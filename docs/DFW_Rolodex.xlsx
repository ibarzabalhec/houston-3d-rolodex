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'Contacts'!$A$6:$AE$218</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4" customWidth="1" min="6" max="6"/>
    <col width="30" customWidth="1" min="7" max="7"/>
    <col width="30" customWidth="1" min="8" max="8"/>
    <col width="30" customWidth="1" min="9" max="9"/>
    <col width="12" customWidth="1" min="10" max="10"/>
    <col width="48" customWidth="1" min="11" max="11"/>
    <col width="12" customWidth="1" min="12" max="12"/>
    <col width="48" customWidth="1" min="13" max="13"/>
    <col width="13" customWidth="1" min="14" max="14"/>
    <col width="48" customWidth="1" min="15" max="15"/>
    <col width="40" customWidth="1" min="16" max="16"/>
    <col width="9" customWidth="1" min="17" max="17"/>
    <col width="14" customWidth="1" min="18" max="18"/>
    <col width="34" customWidth="1" min="19" max="19"/>
    <col width="80" customWidth="1" min="20" max="20"/>
    <col width="15" customWidth="1" min="21" max="21"/>
    <col width="70" customWidth="1" min="22" max="22"/>
    <col width="46" customWidth="1" min="23" max="23"/>
    <col width="42" customWidth="1" min="24" max="24"/>
    <col width="42" customWidth="1" min="25" max="25"/>
    <col width="70" customWidth="1" min="26" max="26"/>
    <col width="18" customWidth="1" min="27" max="27"/>
    <col width="26" customWidth="1" min="28" max="28"/>
    <col width="46" customWidth="1" min="29" max="29"/>
    <col width="32" customWidth="1" min="30" max="30"/>
    <col width="46" customWidth="1" min="31" max="31"/>
  </cols>
  <sheetData>
    <row r="1">
      <c r="A1" s="1" t="inlineStr">
        <is>
          <t>Rolodex · Dallas-Fort Worth · contacts</t>
        </is>
      </c>
    </row>
    <row r="2">
      <c r="A2" s="2" t="inlineStr">
        <is>
          <t>Héctor Ibarzábal · 2026-09-26</t>
        </is>
      </c>
    </row>
    <row r="3">
      <c r="A3" s="2" t="inlineStr">
        <is>
          <t>Rows</t>
        </is>
      </c>
      <c r="B3" s="3">
        <f>COUNTA($A$7:$A$218)</f>
        <v/>
      </c>
      <c r="C3" s="2" t="inlineStr">
        <is>
          <t>LinkedIn held</t>
        </is>
      </c>
      <c r="D3" s="3">
        <f>COUNTIF($R$7:$R$218,"ok")</f>
        <v/>
      </c>
      <c r="E3" s="2" t="inlineStr">
        <is>
          <t>Still to add</t>
        </is>
      </c>
      <c r="F3" s="3">
        <f>COUNTIF($R$7:$R$218,"ADD LINKEDIN")</f>
        <v/>
      </c>
      <c r="G3" s="2" t="inlineStr">
        <is>
          <t>Holds all three counts</t>
        </is>
      </c>
      <c r="H3" s="3">
        <f>SUMPRODUCT((COUNTIF(OFFSET($B$7,ROW($B$7:$B$218)-ROW($B$7),0,1,1),$B$7:$B$218)&gt;0)*($D$7:$D$218="Holds all three counts")/COUNTIF($B$7:$B$218,$B$7:$B$218&amp;""))</f>
        <v/>
      </c>
      <c r="I3" s="2" t="inlineStr">
        <is>
          <t>Wall deciders</t>
        </is>
      </c>
      <c r="J3" s="3">
        <f>COUNTIF($U$7:$U$218,"YES")</f>
        <v/>
      </c>
    </row>
    <row r="4">
      <c r="A4" s="4" t="inlineStr">
        <is>
          <t>Column Q is a LinkedIn people search for that name at that firm. Paste a profile URL into the shaded cell in column P and column R changes from ADD LINKEDIN to ok. Column U marks the people who can change a wall specification; filter it to YES for the call list. Column V is the evidence behind the name and column W the firm's own page that names them. Columns AA to AC carry the firm's main line, its label and the page it is published on, and columns AD and AE the firm's email and its page. Both are the firm's, not the person's.</t>
        </is>
      </c>
    </row>
    <row r="6" ht="22" customHeight="1">
      <c r="A6" s="5" t="inlineStr">
        <is>
          <t>Name</t>
        </is>
      </c>
      <c r="B6" s="5" t="inlineStr">
        <is>
          <t>Firm</t>
        </is>
      </c>
      <c r="C6" s="5" t="inlineStr">
        <is>
          <t>Title</t>
        </is>
      </c>
      <c r="D6" s="5" t="inlineStr">
        <is>
          <t>Group</t>
        </is>
      </c>
      <c r="E6" s="5" t="inlineStr">
        <is>
          <t>Holds</t>
        </is>
      </c>
      <c r="F6" s="5" t="inlineStr">
        <is>
          <t>Role</t>
        </is>
      </c>
      <c r="G6" s="5" t="inlineStr">
        <is>
          <t>Kind</t>
        </is>
      </c>
      <c r="H6" s="5" t="inlineStr">
        <is>
          <t>Region</t>
        </is>
      </c>
      <c r="I6" s="5" t="inlineStr">
        <is>
          <t>Headline</t>
        </is>
      </c>
      <c r="J6" s="5" t="inlineStr">
        <is>
          <t>Repetition</t>
        </is>
      </c>
      <c r="K6" s="5" t="inlineStr">
        <is>
          <t>Repetition why</t>
        </is>
      </c>
      <c r="L6" s="5" t="inlineStr">
        <is>
          <t>Printer fit</t>
        </is>
      </c>
      <c r="M6" s="5" t="inlineStr">
        <is>
          <t>Printer fit why</t>
        </is>
      </c>
      <c r="N6" s="5" t="inlineStr">
        <is>
          <t>Track record</t>
        </is>
      </c>
      <c r="O6" s="5" t="inlineStr">
        <is>
          <t>Track record why</t>
        </is>
      </c>
      <c r="P6" s="5" t="inlineStr">
        <is>
          <t>LinkedIn URL</t>
        </is>
      </c>
      <c r="Q6" s="5" t="inlineStr">
        <is>
          <t>Find</t>
        </is>
      </c>
      <c r="R6" s="5" t="inlineStr">
        <is>
          <t>Status</t>
        </is>
      </c>
      <c r="S6" s="5" t="inlineStr">
        <is>
          <t>Company URL</t>
        </is>
      </c>
      <c r="T6" s="5" t="inlineStr">
        <is>
          <t>Screen result</t>
        </is>
      </c>
      <c r="U6" s="5" t="inlineStr">
        <is>
          <t>Decides the wall</t>
        </is>
      </c>
      <c r="V6" s="5" t="inlineStr">
        <is>
          <t>How this person was verified</t>
        </is>
      </c>
      <c r="W6" s="5" t="inlineStr">
        <is>
          <t>Firm page for this person</t>
        </is>
      </c>
      <c r="X6" s="5" t="inlineStr">
        <is>
          <t>Company LinkedIn</t>
        </is>
      </c>
      <c r="Y6" s="5" t="inlineStr">
        <is>
          <t>Leadership page</t>
        </is>
      </c>
      <c r="Z6" s="5" t="inlineStr">
        <is>
          <t>Latest press</t>
        </is>
      </c>
      <c r="AA6" s="5" t="inlineStr">
        <is>
          <t>Phone</t>
        </is>
      </c>
      <c r="AB6" s="5" t="inlineStr">
        <is>
          <t>Phone label</t>
        </is>
      </c>
      <c r="AC6" s="5" t="inlineStr">
        <is>
          <t>Phone source</t>
        </is>
      </c>
      <c r="AD6" s="5" t="inlineStr">
        <is>
          <t>Email</t>
        </is>
      </c>
      <c r="AE6" s="5" t="inlineStr">
        <is>
          <t>Email source</t>
        </is>
      </c>
    </row>
    <row r="7">
      <c r="A7" s="6" t="inlineStr">
        <is>
          <t>Danting Li</t>
        </is>
      </c>
      <c r="B7" s="6" t="inlineStr">
        <is>
          <t>Wan Bridge Group</t>
        </is>
      </c>
      <c r="C7" s="6" t="inlineStr">
        <is>
          <t>Chief Operating Officer and Co-Founder</t>
        </is>
      </c>
      <c r="D7" s="7" t="inlineStr">
        <is>
          <t>Holds all three counts</t>
        </is>
      </c>
      <c r="E7" s="8" t="n">
        <v>3</v>
      </c>
      <c r="F7" s="6" t="inlineStr">
        <is>
          <t>Printer buyer</t>
        </is>
      </c>
      <c r="G7" s="6" t="inlineStr">
        <is>
          <t>Build-to-rent developer and builder</t>
        </is>
      </c>
      <c r="H7" s="6" t="inlineStr">
        <is>
          <t>Dallas office, with communities in Forney, Denton, Crowley and Lewisville</t>
        </is>
      </c>
      <c r="I7" s="6" t="inlineStr">
        <is>
          <t>201 townhomes at Frontera Shores, Lewisville, launched March 2026</t>
        </is>
      </c>
      <c r="J7" s="8" t="inlineStr">
        <is>
          <t>Yes</t>
        </is>
      </c>
      <c r="K7" s="9" t="inlineStr">
        <is>
          <t>Communities in Forney, Denton, Crowley and Lewisville.</t>
        </is>
      </c>
      <c r="L7" s="8" t="inlineStr">
        <is>
          <t>Partly</t>
        </is>
      </c>
      <c r="M7" s="9" t="inlineStr">
        <is>
          <t>Over ten more communities planned with Centurion, potentially over 1,000 homes. No yearly figure published.</t>
        </is>
      </c>
      <c r="N7" s="8" t="inlineStr">
        <is>
          <t>Partly</t>
        </is>
      </c>
      <c r="O7" s="9" t="inlineStr">
        <is>
          <t>Six years on its own construction software, plus robotic site inspection. Software, not a wall method.</t>
        </is>
      </c>
      <c r="P7" s="10" t="inlineStr"/>
      <c r="Q7" s="6" t="inlineStr"/>
      <c r="R7" s="11">
        <f>IF(P7="","ADD LINKEDIN","ok")</f>
        <v/>
      </c>
      <c r="S7" s="6" t="inlineStr">
        <is>
          <t>https://wanbridge.com/</t>
        </is>
      </c>
      <c r="T7" s="9" t="inlineStr">
        <is>
          <t>Plans over ten more communities with Centurion American, potentially over 1,000 homes. Runs its own construction software.</t>
        </is>
      </c>
      <c r="U7" s="6" t="inlineStr">
        <is>
          <t>YES</t>
        </is>
      </c>
      <c r="V7" s="9" t="inlineStr">
        <is>
          <t>Firm's leadership page.</t>
        </is>
      </c>
      <c r="W7" s="6" t="inlineStr">
        <is>
          <t>https://wanbridge.com/leadership/</t>
        </is>
      </c>
      <c r="X7" s="6" t="inlineStr">
        <is>
          <t>https://www.linkedin.com/company/wan-bridge-group/</t>
        </is>
      </c>
      <c r="Y7" s="6" t="inlineStr"/>
      <c r="Z7" s="6" t="inlineStr"/>
      <c r="AA7" s="6" t="inlineStr">
        <is>
          <t>(713) 219-9400</t>
        </is>
      </c>
      <c r="AB7" s="6" t="inlineStr">
        <is>
          <t>Corporate line</t>
        </is>
      </c>
      <c r="AC7" s="6" t="inlineStr">
        <is>
          <t>https://wanbridge.com/contact/</t>
        </is>
      </c>
      <c r="AD7" s="6" t="inlineStr"/>
      <c r="AE7" s="6" t="inlineStr"/>
    </row>
    <row r="8">
      <c r="A8" s="12" t="inlineStr">
        <is>
          <t>Keith Clipp</t>
        </is>
      </c>
      <c r="B8" s="12" t="inlineStr">
        <is>
          <t>Wan Bridge Group</t>
        </is>
      </c>
      <c r="C8" s="12" t="inlineStr">
        <is>
          <t>Executive Vice President, Development and Operations</t>
        </is>
      </c>
      <c r="D8" s="13" t="inlineStr">
        <is>
          <t>Holds all three counts</t>
        </is>
      </c>
      <c r="E8" s="14" t="n">
        <v>3</v>
      </c>
      <c r="F8" s="12" t="inlineStr">
        <is>
          <t>Printer buyer</t>
        </is>
      </c>
      <c r="G8" s="12" t="inlineStr">
        <is>
          <t>Build-to-rent developer and builder</t>
        </is>
      </c>
      <c r="H8" s="12" t="inlineStr">
        <is>
          <t>Dallas office, with communities in Forney, Denton, Crowley and Lewisville</t>
        </is>
      </c>
      <c r="I8" s="12" t="inlineStr">
        <is>
          <t>201 townhomes at Frontera Shores, Lewisville, launched March 2026</t>
        </is>
      </c>
      <c r="J8" s="14" t="inlineStr">
        <is>
          <t>Yes</t>
        </is>
      </c>
      <c r="K8" s="15" t="inlineStr">
        <is>
          <t>Communities in Forney, Denton, Crowley and Lewisville.</t>
        </is>
      </c>
      <c r="L8" s="14" t="inlineStr">
        <is>
          <t>Partly</t>
        </is>
      </c>
      <c r="M8" s="15" t="inlineStr">
        <is>
          <t>Over ten more communities planned with Centurion, potentially over 1,000 homes. No yearly figure published.</t>
        </is>
      </c>
      <c r="N8" s="14" t="inlineStr">
        <is>
          <t>Partly</t>
        </is>
      </c>
      <c r="O8" s="15" t="inlineStr">
        <is>
          <t>Six years on its own construction software, plus robotic site inspection. Software, not a wall method.</t>
        </is>
      </c>
      <c r="P8" s="10" t="inlineStr"/>
      <c r="Q8" s="12" t="inlineStr"/>
      <c r="R8" s="16">
        <f>IF(P8="","ADD LINKEDIN","ok")</f>
        <v/>
      </c>
      <c r="S8" s="12" t="inlineStr">
        <is>
          <t>https://wanbridge.com/</t>
        </is>
      </c>
      <c r="T8" s="15" t="inlineStr">
        <is>
          <t>Plans over ten more communities with Centurion American, potentially over 1,000 homes. Runs its own construction software.</t>
        </is>
      </c>
      <c r="U8" s="12" t="inlineStr">
        <is>
          <t>YES</t>
        </is>
      </c>
      <c r="V8" s="15" t="inlineStr">
        <is>
          <t>Firm's leadership page.</t>
        </is>
      </c>
      <c r="W8" s="12" t="inlineStr">
        <is>
          <t>https://wanbridge.com/leadership/</t>
        </is>
      </c>
      <c r="X8" s="12" t="inlineStr">
        <is>
          <t>https://www.linkedin.com/company/wan-bridge-group/</t>
        </is>
      </c>
      <c r="Y8" s="12" t="inlineStr"/>
      <c r="Z8" s="12" t="inlineStr"/>
      <c r="AA8" s="12" t="inlineStr">
        <is>
          <t>(713) 219-9400</t>
        </is>
      </c>
      <c r="AB8" s="12" t="inlineStr">
        <is>
          <t>Corporate line</t>
        </is>
      </c>
      <c r="AC8" s="12" t="inlineStr">
        <is>
          <t>https://wanbridge.com/contact/</t>
        </is>
      </c>
      <c r="AD8" s="12" t="inlineStr"/>
      <c r="AE8" s="12" t="inlineStr"/>
    </row>
    <row r="9">
      <c r="A9" s="6" t="inlineStr">
        <is>
          <t>Ting Qiao</t>
        </is>
      </c>
      <c r="B9" s="6" t="inlineStr">
        <is>
          <t>Wan Bridge Group</t>
        </is>
      </c>
      <c r="C9" s="6" t="inlineStr">
        <is>
          <t>Co-Founder</t>
        </is>
      </c>
      <c r="D9" s="7" t="inlineStr">
        <is>
          <t>Holds all three counts</t>
        </is>
      </c>
      <c r="E9" s="8" t="n">
        <v>3</v>
      </c>
      <c r="F9" s="6" t="inlineStr">
        <is>
          <t>Printer buyer</t>
        </is>
      </c>
      <c r="G9" s="6" t="inlineStr">
        <is>
          <t>Build-to-rent developer and builder</t>
        </is>
      </c>
      <c r="H9" s="6" t="inlineStr">
        <is>
          <t>Dallas office, with communities in Forney, Denton, Crowley and Lewisville</t>
        </is>
      </c>
      <c r="I9" s="6" t="inlineStr">
        <is>
          <t>201 townhomes at Frontera Shores, Lewisville, launched March 2026</t>
        </is>
      </c>
      <c r="J9" s="8" t="inlineStr">
        <is>
          <t>Yes</t>
        </is>
      </c>
      <c r="K9" s="9" t="inlineStr">
        <is>
          <t>Communities in Forney, Denton, Crowley and Lewisville.</t>
        </is>
      </c>
      <c r="L9" s="8" t="inlineStr">
        <is>
          <t>Partly</t>
        </is>
      </c>
      <c r="M9" s="9" t="inlineStr">
        <is>
          <t>Over ten more communities planned with Centurion, potentially over 1,000 homes. No yearly figure published.</t>
        </is>
      </c>
      <c r="N9" s="8" t="inlineStr">
        <is>
          <t>Partly</t>
        </is>
      </c>
      <c r="O9" s="9" t="inlineStr">
        <is>
          <t>Six years on its own construction software, plus robotic site inspection. Software, not a wall method.</t>
        </is>
      </c>
      <c r="P9" s="10" t="inlineStr"/>
      <c r="Q9" s="6" t="inlineStr"/>
      <c r="R9" s="11">
        <f>IF(P9="","ADD LINKEDIN","ok")</f>
        <v/>
      </c>
      <c r="S9" s="6" t="inlineStr">
        <is>
          <t>https://wanbridge.com/</t>
        </is>
      </c>
      <c r="T9" s="9" t="inlineStr">
        <is>
          <t>Plans over ten more communities with Centurion American, potentially over 1,000 homes. Runs its own construction software.</t>
        </is>
      </c>
      <c r="U9" s="6" t="inlineStr"/>
      <c r="V9" s="9" t="inlineStr">
        <is>
          <t>Firm's leadership page.</t>
        </is>
      </c>
      <c r="W9" s="6" t="inlineStr">
        <is>
          <t>https://wanbridge.com/leadership/</t>
        </is>
      </c>
      <c r="X9" s="6" t="inlineStr">
        <is>
          <t>https://www.linkedin.com/company/wan-bridge-group/</t>
        </is>
      </c>
      <c r="Y9" s="6" t="inlineStr"/>
      <c r="Z9" s="6" t="inlineStr"/>
      <c r="AA9" s="6" t="inlineStr">
        <is>
          <t>(713) 219-9400</t>
        </is>
      </c>
      <c r="AB9" s="6" t="inlineStr">
        <is>
          <t>Corporate line</t>
        </is>
      </c>
      <c r="AC9" s="6" t="inlineStr">
        <is>
          <t>https://wanbridge.com/contact/</t>
        </is>
      </c>
      <c r="AD9" s="6" t="inlineStr"/>
      <c r="AE9" s="6" t="inlineStr"/>
    </row>
    <row r="10">
      <c r="A10" s="12" t="inlineStr">
        <is>
          <t>Zac Thompson</t>
        </is>
      </c>
      <c r="B10" s="12" t="inlineStr">
        <is>
          <t>HistoryMaker Homes</t>
        </is>
      </c>
      <c r="C10" s="12" t="inlineStr">
        <is>
          <t>President</t>
        </is>
      </c>
      <c r="D10" s="13" t="inlineStr">
        <is>
          <t>Holds all three counts</t>
        </is>
      </c>
      <c r="E10" s="14" t="n">
        <v>3</v>
      </c>
      <c r="F10" s="12" t="inlineStr">
        <is>
          <t>Printer buyer</t>
        </is>
      </c>
      <c r="G10" s="12" t="inlineStr">
        <is>
          <t>Production homebuilder</t>
        </is>
      </c>
      <c r="H10" s="12" t="inlineStr">
        <is>
          <t>Grapevine roots, with communities across DFW</t>
        </is>
      </c>
      <c r="I10" s="12" t="inlineStr">
        <is>
          <t>728 company-wide closings in 2025, 77th on Builder 100</t>
        </is>
      </c>
      <c r="J10" s="14" t="inlineStr">
        <is>
          <t>Yes</t>
        </is>
      </c>
      <c r="K10" s="15" t="inlineStr">
        <is>
          <t>Production plans across 24 DFW communities, its own count.</t>
        </is>
      </c>
      <c r="L10" s="14" t="inlineStr">
        <is>
          <t>Partly</t>
        </is>
      </c>
      <c r="M10" s="15" t="inlineStr">
        <is>
          <t>728 closings company-wide in 2025. No DFW-only figure published.</t>
        </is>
      </c>
      <c r="N10" s="14" t="inlineStr">
        <is>
          <t>Partly</t>
        </is>
      </c>
      <c r="O10" s="15" t="inlineStr">
        <is>
          <t>Some structural elements built off-site, per Construction In Focus, 2024. No new wall system.</t>
        </is>
      </c>
      <c r="P10" s="6" t="inlineStr">
        <is>
          <t>https://www.linkedin.com/in/zac-thompson-09260044/</t>
        </is>
      </c>
      <c r="Q10" s="12" t="inlineStr"/>
      <c r="R10" s="16">
        <f>IF(P10="","ADD LINKEDIN","ok")</f>
        <v/>
      </c>
      <c r="S10" s="12" t="inlineStr">
        <is>
          <t>https://www.historymaker.com/</t>
        </is>
      </c>
      <c r="T10" s="15" t="inlineStr">
        <is>
          <t>Builds some structural elements off-site, per a 2024 trade profile. A fifth-generation family firm, building since 1949.</t>
        </is>
      </c>
      <c r="U10" s="12" t="inlineStr"/>
      <c r="V10" s="15" t="inlineStr">
        <is>
          <t>Indexed title: President, HistoryMaker Homes. Our Legacy page. President from January 1, 2024.</t>
        </is>
      </c>
      <c r="W10" s="12" t="inlineStr">
        <is>
          <t>https://www.historymaker.com/our-legacy</t>
        </is>
      </c>
      <c r="X10" s="12" t="inlineStr">
        <is>
          <t>https://www.linkedin.com/company/history-maker-homes/</t>
        </is>
      </c>
      <c r="Y10" s="12" t="inlineStr">
        <is>
          <t>https://www.historymaker.com/our-legacy</t>
        </is>
      </c>
      <c r="Z10" s="12" t="inlineStr">
        <is>
          <t>2023-07-31 HistoryMaker Homes. HistoryMaker Homes Announces Retirement of Company President And Successor  https://www.historymaker.com/blog/historymaker-homes-announces-retirement-of-company-president-and-successor/</t>
        </is>
      </c>
      <c r="AA10" s="12" t="inlineStr">
        <is>
          <t>(833) 711-1949</t>
        </is>
      </c>
      <c r="AB10" s="12" t="inlineStr">
        <is>
          <t>Main line</t>
        </is>
      </c>
      <c r="AC10" s="12" t="inlineStr">
        <is>
          <t>https://www.historymaker.com/contact-us</t>
        </is>
      </c>
      <c r="AD10" s="12" t="inlineStr"/>
      <c r="AE10" s="12" t="inlineStr"/>
    </row>
    <row r="11">
      <c r="A11" s="6" t="inlineStr">
        <is>
          <t>Nelson Mitchell</t>
        </is>
      </c>
      <c r="B11" s="6" t="inlineStr">
        <is>
          <t>HistoryMaker Homes</t>
        </is>
      </c>
      <c r="C11" s="6" t="inlineStr">
        <is>
          <t>Chief Executive Officer</t>
        </is>
      </c>
      <c r="D11" s="7" t="inlineStr">
        <is>
          <t>Holds all three counts</t>
        </is>
      </c>
      <c r="E11" s="8" t="n">
        <v>3</v>
      </c>
      <c r="F11" s="6" t="inlineStr">
        <is>
          <t>Printer buyer</t>
        </is>
      </c>
      <c r="G11" s="6" t="inlineStr">
        <is>
          <t>Production homebuilder</t>
        </is>
      </c>
      <c r="H11" s="6" t="inlineStr">
        <is>
          <t>Grapevine roots, with communities across DFW</t>
        </is>
      </c>
      <c r="I11" s="6" t="inlineStr">
        <is>
          <t>728 company-wide closings in 2025, 77th on Builder 100</t>
        </is>
      </c>
      <c r="J11" s="8" t="inlineStr">
        <is>
          <t>Yes</t>
        </is>
      </c>
      <c r="K11" s="9" t="inlineStr">
        <is>
          <t>Production plans across 24 DFW communities, its own count.</t>
        </is>
      </c>
      <c r="L11" s="8" t="inlineStr">
        <is>
          <t>Partly</t>
        </is>
      </c>
      <c r="M11" s="9" t="inlineStr">
        <is>
          <t>728 closings company-wide in 2025. No DFW-only figure published.</t>
        </is>
      </c>
      <c r="N11" s="8" t="inlineStr">
        <is>
          <t>Partly</t>
        </is>
      </c>
      <c r="O11" s="9" t="inlineStr">
        <is>
          <t>Some structural elements built off-site, per Construction In Focus, 2024. No new wall system.</t>
        </is>
      </c>
      <c r="P11" s="10" t="inlineStr"/>
      <c r="Q11" s="6" t="inlineStr"/>
      <c r="R11" s="11">
        <f>IF(P11="","ADD LINKEDIN","ok")</f>
        <v/>
      </c>
      <c r="S11" s="6" t="inlineStr">
        <is>
          <t>https://www.historymaker.com/</t>
        </is>
      </c>
      <c r="T11" s="9" t="inlineStr">
        <is>
          <t>Builds some structural elements off-site, per a 2024 trade profile. A fifth-generation family firm, building since 1949.</t>
        </is>
      </c>
      <c r="U11" s="6" t="inlineStr"/>
      <c r="V11" s="9" t="inlineStr">
        <is>
          <t>Company blog post, July 31, 2023. Quoted as CEO.</t>
        </is>
      </c>
      <c r="W11" s="6" t="inlineStr">
        <is>
          <t>https://www.historymaker.com/blog/historymaker-homes-announces-retirement-of-company-president-and-successor/</t>
        </is>
      </c>
      <c r="X11" s="6" t="inlineStr">
        <is>
          <t>https://www.linkedin.com/company/history-maker-homes/</t>
        </is>
      </c>
      <c r="Y11" s="6" t="inlineStr">
        <is>
          <t>https://www.historymaker.com/our-legacy</t>
        </is>
      </c>
      <c r="Z11" s="6" t="inlineStr">
        <is>
          <t>2023-07-31 HistoryMaker Homes. HistoryMaker Homes Announces Retirement of Company President And Successor  https://www.historymaker.com/blog/historymaker-homes-announces-retirement-of-company-president-and-successor/</t>
        </is>
      </c>
      <c r="AA11" s="6" t="inlineStr">
        <is>
          <t>(833) 711-1949</t>
        </is>
      </c>
      <c r="AB11" s="6" t="inlineStr">
        <is>
          <t>Main line</t>
        </is>
      </c>
      <c r="AC11" s="6" t="inlineStr">
        <is>
          <t>https://www.historymaker.com/contact-us</t>
        </is>
      </c>
      <c r="AD11" s="6" t="inlineStr"/>
      <c r="AE11" s="6" t="inlineStr"/>
    </row>
    <row r="12">
      <c r="A12" s="12" t="inlineStr">
        <is>
          <t>John Landon</t>
        </is>
      </c>
      <c r="B12" s="12" t="inlineStr">
        <is>
          <t>Landon Homes</t>
        </is>
      </c>
      <c r="C12" s="12" t="inlineStr">
        <is>
          <t>Owner and Chief Executive Officer</t>
        </is>
      </c>
      <c r="D12" s="13" t="inlineStr">
        <is>
          <t>One gap</t>
        </is>
      </c>
      <c r="E12" s="14" t="n">
        <v>2</v>
      </c>
      <c r="F12" s="12" t="inlineStr">
        <is>
          <t>Printer buyer</t>
        </is>
      </c>
      <c r="G12" s="12" t="inlineStr">
        <is>
          <t>Production homebuilder</t>
        </is>
      </c>
      <c r="H12" s="12" t="inlineStr">
        <is>
          <t>Plano, with communities in Frisco and Prosper</t>
        </is>
      </c>
      <c r="I12" s="12" t="inlineStr">
        <is>
          <t>259 company-wide closings in 2025, 320 in 2024</t>
        </is>
      </c>
      <c r="J12" s="14" t="inlineStr">
        <is>
          <t>Yes</t>
        </is>
      </c>
      <c r="K12" s="15" t="inlineStr">
        <is>
          <t>Prosper and Frisco: 9 master-planned communities on production plans.</t>
        </is>
      </c>
      <c r="L12" s="14" t="inlineStr">
        <is>
          <t>Yes</t>
        </is>
      </c>
      <c r="M12" s="15" t="inlineStr">
        <is>
          <t>259 closings in 2025, concentrated in Frisco and Prosper.</t>
        </is>
      </c>
      <c r="N12" s="14" t="inlineStr">
        <is>
          <t>No</t>
        </is>
      </c>
      <c r="O12" s="15" t="inlineStr">
        <is>
          <t>Nothing on record.</t>
        </is>
      </c>
      <c r="P12" s="10" t="inlineStr"/>
      <c r="Q12" s="12" t="inlineStr"/>
      <c r="R12" s="16">
        <f>IF(P12="","ADD LINKEDIN","ok")</f>
        <v/>
      </c>
      <c r="S12" s="12" t="inlineStr">
        <is>
          <t>https://landonhomes.com/</t>
        </is>
      </c>
      <c r="T12" s="15" t="inlineStr">
        <is>
          <t>Nine master-planned communities in Frisco and Prosper. John Landon is owner and CEO.</t>
        </is>
      </c>
      <c r="U12" s="12" t="inlineStr">
        <is>
          <t>YES</t>
        </is>
      </c>
      <c r="V12" s="15" t="inlineStr">
        <is>
          <t>Our Story page.</t>
        </is>
      </c>
      <c r="W12" s="12" t="inlineStr">
        <is>
          <t>https://landonhomes.com/our-story/</t>
        </is>
      </c>
      <c r="X12" s="12" t="inlineStr">
        <is>
          <t>https://www.linkedin.com/company/landon-homes/</t>
        </is>
      </c>
      <c r="Y12" s="12" t="inlineStr">
        <is>
          <t>https://landonhomes.com/our-story/</t>
        </is>
      </c>
      <c r="Z12" s="12" t="inlineStr"/>
      <c r="AA12" s="12" t="inlineStr">
        <is>
          <t>(469) 567-9303</t>
        </is>
      </c>
      <c r="AB12" s="12" t="inlineStr">
        <is>
          <t>Office, Plano</t>
        </is>
      </c>
      <c r="AC12" s="12" t="inlineStr">
        <is>
          <t>https://landonhomes.com/</t>
        </is>
      </c>
      <c r="AD12" s="12" t="inlineStr"/>
      <c r="AE12" s="12" t="inlineStr"/>
    </row>
    <row r="13">
      <c r="A13" s="6" t="inlineStr">
        <is>
          <t>Carly Landon Huffman</t>
        </is>
      </c>
      <c r="B13" s="6" t="inlineStr">
        <is>
          <t>Landon Homes</t>
        </is>
      </c>
      <c r="C13" s="6" t="inlineStr">
        <is>
          <t>President</t>
        </is>
      </c>
      <c r="D13" s="7" t="inlineStr">
        <is>
          <t>One gap</t>
        </is>
      </c>
      <c r="E13" s="8" t="n">
        <v>2</v>
      </c>
      <c r="F13" s="6" t="inlineStr">
        <is>
          <t>Printer buyer</t>
        </is>
      </c>
      <c r="G13" s="6" t="inlineStr">
        <is>
          <t>Production homebuilder</t>
        </is>
      </c>
      <c r="H13" s="6" t="inlineStr">
        <is>
          <t>Plano, with communities in Frisco and Prosper</t>
        </is>
      </c>
      <c r="I13" s="6" t="inlineStr">
        <is>
          <t>259 company-wide closings in 2025, 320 in 2024</t>
        </is>
      </c>
      <c r="J13" s="8" t="inlineStr">
        <is>
          <t>Yes</t>
        </is>
      </c>
      <c r="K13" s="9" t="inlineStr">
        <is>
          <t>Prosper and Frisco: 9 master-planned communities on production plans.</t>
        </is>
      </c>
      <c r="L13" s="8" t="inlineStr">
        <is>
          <t>Yes</t>
        </is>
      </c>
      <c r="M13" s="9" t="inlineStr">
        <is>
          <t>259 closings in 2025, concentrated in Frisco and Prosper.</t>
        </is>
      </c>
      <c r="N13" s="8" t="inlineStr">
        <is>
          <t>No</t>
        </is>
      </c>
      <c r="O13" s="9" t="inlineStr">
        <is>
          <t>Nothing on record.</t>
        </is>
      </c>
      <c r="P13" s="10" t="inlineStr"/>
      <c r="Q13" s="6" t="inlineStr"/>
      <c r="R13" s="11">
        <f>IF(P13="","ADD LINKEDIN","ok")</f>
        <v/>
      </c>
      <c r="S13" s="6" t="inlineStr">
        <is>
          <t>https://landonhomes.com/</t>
        </is>
      </c>
      <c r="T13" s="9" t="inlineStr">
        <is>
          <t>Nine master-planned communities in Frisco and Prosper. John Landon is owner and CEO.</t>
        </is>
      </c>
      <c r="U13" s="6" t="inlineStr">
        <is>
          <t>YES</t>
        </is>
      </c>
      <c r="V13" s="9" t="inlineStr">
        <is>
          <t>Our Story page.</t>
        </is>
      </c>
      <c r="W13" s="6" t="inlineStr">
        <is>
          <t>https://landonhomes.com/our-story/</t>
        </is>
      </c>
      <c r="X13" s="6" t="inlineStr">
        <is>
          <t>https://www.linkedin.com/company/landon-homes/</t>
        </is>
      </c>
      <c r="Y13" s="6" t="inlineStr">
        <is>
          <t>https://landonhomes.com/our-story/</t>
        </is>
      </c>
      <c r="Z13" s="6" t="inlineStr"/>
      <c r="AA13" s="6" t="inlineStr">
        <is>
          <t>(469) 567-9303</t>
        </is>
      </c>
      <c r="AB13" s="6" t="inlineStr">
        <is>
          <t>Office, Plano</t>
        </is>
      </c>
      <c r="AC13" s="6" t="inlineStr">
        <is>
          <t>https://landonhomes.com/</t>
        </is>
      </c>
      <c r="AD13" s="6" t="inlineStr"/>
      <c r="AE13" s="6" t="inlineStr"/>
    </row>
    <row r="14">
      <c r="A14" s="12" t="inlineStr">
        <is>
          <t>Rusty Landon</t>
        </is>
      </c>
      <c r="B14" s="12" t="inlineStr">
        <is>
          <t>Landon Homes</t>
        </is>
      </c>
      <c r="C14" s="12" t="inlineStr">
        <is>
          <t>Vice President of Development</t>
        </is>
      </c>
      <c r="D14" s="13" t="inlineStr">
        <is>
          <t>One gap</t>
        </is>
      </c>
      <c r="E14" s="14" t="n">
        <v>2</v>
      </c>
      <c r="F14" s="12" t="inlineStr">
        <is>
          <t>Printer buyer</t>
        </is>
      </c>
      <c r="G14" s="12" t="inlineStr">
        <is>
          <t>Production homebuilder</t>
        </is>
      </c>
      <c r="H14" s="12" t="inlineStr">
        <is>
          <t>Plano, with communities in Frisco and Prosper</t>
        </is>
      </c>
      <c r="I14" s="12" t="inlineStr">
        <is>
          <t>259 company-wide closings in 2025, 320 in 2024</t>
        </is>
      </c>
      <c r="J14" s="14" t="inlineStr">
        <is>
          <t>Yes</t>
        </is>
      </c>
      <c r="K14" s="15" t="inlineStr">
        <is>
          <t>Prosper and Frisco: 9 master-planned communities on production plans.</t>
        </is>
      </c>
      <c r="L14" s="14" t="inlineStr">
        <is>
          <t>Yes</t>
        </is>
      </c>
      <c r="M14" s="15" t="inlineStr">
        <is>
          <t>259 closings in 2025, concentrated in Frisco and Prosper.</t>
        </is>
      </c>
      <c r="N14" s="14" t="inlineStr">
        <is>
          <t>No</t>
        </is>
      </c>
      <c r="O14" s="15" t="inlineStr">
        <is>
          <t>Nothing on record.</t>
        </is>
      </c>
      <c r="P14" s="10" t="inlineStr"/>
      <c r="Q14" s="12" t="inlineStr"/>
      <c r="R14" s="16">
        <f>IF(P14="","ADD LINKEDIN","ok")</f>
        <v/>
      </c>
      <c r="S14" s="12" t="inlineStr">
        <is>
          <t>https://landonhomes.com/</t>
        </is>
      </c>
      <c r="T14" s="15" t="inlineStr">
        <is>
          <t>Nine master-planned communities in Frisco and Prosper. John Landon is owner and CEO.</t>
        </is>
      </c>
      <c r="U14" s="12" t="inlineStr"/>
      <c r="V14" s="15" t="inlineStr">
        <is>
          <t>Our Story page.</t>
        </is>
      </c>
      <c r="W14" s="12" t="inlineStr">
        <is>
          <t>https://landonhomes.com/our-story/</t>
        </is>
      </c>
      <c r="X14" s="12" t="inlineStr">
        <is>
          <t>https://www.linkedin.com/company/landon-homes/</t>
        </is>
      </c>
      <c r="Y14" s="12" t="inlineStr">
        <is>
          <t>https://landonhomes.com/our-story/</t>
        </is>
      </c>
      <c r="Z14" s="12" t="inlineStr"/>
      <c r="AA14" s="12" t="inlineStr">
        <is>
          <t>(469) 567-9303</t>
        </is>
      </c>
      <c r="AB14" s="12" t="inlineStr">
        <is>
          <t>Office, Plano</t>
        </is>
      </c>
      <c r="AC14" s="12" t="inlineStr">
        <is>
          <t>https://landonhomes.com/</t>
        </is>
      </c>
      <c r="AD14" s="12" t="inlineStr"/>
      <c r="AE14" s="12" t="inlineStr"/>
    </row>
    <row r="15">
      <c r="A15" s="6" t="inlineStr">
        <is>
          <t>Dustin Austin</t>
        </is>
      </c>
      <c r="B15" s="6" t="inlineStr">
        <is>
          <t>Our Country Homes</t>
        </is>
      </c>
      <c r="C15" s="6" t="inlineStr">
        <is>
          <t>Owner</t>
        </is>
      </c>
      <c r="D15" s="7" t="inlineStr">
        <is>
          <t>One gap</t>
        </is>
      </c>
      <c r="E15" s="8" t="n">
        <v>2</v>
      </c>
      <c r="F15" s="6" t="inlineStr">
        <is>
          <t>Printer buyer</t>
        </is>
      </c>
      <c r="G15" s="6" t="inlineStr">
        <is>
          <t>Production homebuilder</t>
        </is>
      </c>
      <c r="H15" s="6" t="inlineStr">
        <is>
          <t>Hurst, building from Aledo to Celina</t>
        </is>
      </c>
      <c r="I15" s="6" t="inlineStr">
        <is>
          <t>259 company-wide closings in 2023, BUILDER's list rank 162</t>
        </is>
      </c>
      <c r="J15" s="8" t="inlineStr">
        <is>
          <t>Yes</t>
        </is>
      </c>
      <c r="K15" s="9" t="inlineStr">
        <is>
          <t>Production plans from Aledo to Celina.</t>
        </is>
      </c>
      <c r="L15" s="8" t="inlineStr">
        <is>
          <t>Yes</t>
        </is>
      </c>
      <c r="M15" s="9" t="inlineStr">
        <is>
          <t>259 closings in 2023, company-wide.</t>
        </is>
      </c>
      <c r="N15" s="8" t="inlineStr">
        <is>
          <t>No</t>
        </is>
      </c>
      <c r="O15" s="9" t="inlineStr">
        <is>
          <t>Nothing on record.</t>
        </is>
      </c>
      <c r="P15" s="10" t="inlineStr"/>
      <c r="Q15" s="6" t="inlineStr"/>
      <c r="R15" s="11">
        <f>IF(P15="","ADD LINKEDIN","ok")</f>
        <v/>
      </c>
      <c r="S15" s="6" t="inlineStr">
        <is>
          <t>https://www.ourcountryhomes.com/</t>
        </is>
      </c>
      <c r="T15" s="9" t="inlineStr">
        <is>
          <t>Repeats production plans from Aledo to Celina. Family-owned, in its third generation.</t>
        </is>
      </c>
      <c r="U15" s="6" t="inlineStr">
        <is>
          <t>YES</t>
        </is>
      </c>
      <c r="V15" s="9" t="inlineStr">
        <is>
          <t>Fort Worth Report, May 1, 2024.</t>
        </is>
      </c>
      <c r="W15" s="6" t="inlineStr">
        <is>
          <t>https://fortworthreport.org/2024/05/01/fort-worth-business-owner-dustin-austin-to-join-jps-board-of-managers/</t>
        </is>
      </c>
      <c r="X15" s="6" t="inlineStr">
        <is>
          <t>https://www.linkedin.com/company/ourcountryhomes/</t>
        </is>
      </c>
      <c r="Y15" s="6" t="inlineStr">
        <is>
          <t>https://www.ourcountryhomes.com/about-us</t>
        </is>
      </c>
      <c r="Z15" s="6" t="inlineStr"/>
      <c r="AA15" s="6" t="inlineStr">
        <is>
          <t>(817) 229-0344</t>
        </is>
      </c>
      <c r="AB15" s="6" t="inlineStr">
        <is>
          <t>Office, Hurst</t>
        </is>
      </c>
      <c r="AC15" s="6" t="inlineStr">
        <is>
          <t>https://www.ourcountryhomes.com/</t>
        </is>
      </c>
      <c r="AD15" s="6" t="inlineStr"/>
      <c r="AE15" s="6" t="inlineStr"/>
    </row>
    <row r="16">
      <c r="A16" s="12" t="inlineStr">
        <is>
          <t>Mey-Ling Pauri</t>
        </is>
      </c>
      <c r="B16" s="12" t="inlineStr">
        <is>
          <t>Our Country Homes</t>
        </is>
      </c>
      <c r="C16" s="12" t="inlineStr">
        <is>
          <t>Chief Executive Officer</t>
        </is>
      </c>
      <c r="D16" s="13" t="inlineStr">
        <is>
          <t>One gap</t>
        </is>
      </c>
      <c r="E16" s="14" t="n">
        <v>2</v>
      </c>
      <c r="F16" s="12" t="inlineStr">
        <is>
          <t>Printer buyer</t>
        </is>
      </c>
      <c r="G16" s="12" t="inlineStr">
        <is>
          <t>Production homebuilder</t>
        </is>
      </c>
      <c r="H16" s="12" t="inlineStr">
        <is>
          <t>Hurst, building from Aledo to Celina</t>
        </is>
      </c>
      <c r="I16" s="12" t="inlineStr">
        <is>
          <t>259 company-wide closings in 2023, BUILDER's list rank 162</t>
        </is>
      </c>
      <c r="J16" s="14" t="inlineStr">
        <is>
          <t>Yes</t>
        </is>
      </c>
      <c r="K16" s="15" t="inlineStr">
        <is>
          <t>Production plans from Aledo to Celina.</t>
        </is>
      </c>
      <c r="L16" s="14" t="inlineStr">
        <is>
          <t>Yes</t>
        </is>
      </c>
      <c r="M16" s="15" t="inlineStr">
        <is>
          <t>259 closings in 2023, company-wide.</t>
        </is>
      </c>
      <c r="N16" s="14" t="inlineStr">
        <is>
          <t>No</t>
        </is>
      </c>
      <c r="O16" s="15" t="inlineStr">
        <is>
          <t>Nothing on record.</t>
        </is>
      </c>
      <c r="P16" s="10" t="inlineStr"/>
      <c r="Q16" s="12" t="inlineStr"/>
      <c r="R16" s="16">
        <f>IF(P16="","ADD LINKEDIN","ok")</f>
        <v/>
      </c>
      <c r="S16" s="12" t="inlineStr">
        <is>
          <t>https://www.ourcountryhomes.com/</t>
        </is>
      </c>
      <c r="T16" s="15" t="inlineStr">
        <is>
          <t>Repeats production plans from Aledo to Celina. Family-owned, in its third generation.</t>
        </is>
      </c>
      <c r="U16" s="12" t="inlineStr"/>
      <c r="V16" s="15" t="inlineStr">
        <is>
          <t>BUILDER's firm page.</t>
        </is>
      </c>
      <c r="W16" s="12" t="inlineStr">
        <is>
          <t>https://www.builderonline.com/firms/our-country-homes_o/</t>
        </is>
      </c>
      <c r="X16" s="12" t="inlineStr">
        <is>
          <t>https://www.linkedin.com/company/ourcountryhomes/</t>
        </is>
      </c>
      <c r="Y16" s="12" t="inlineStr">
        <is>
          <t>https://www.ourcountryhomes.com/about-us</t>
        </is>
      </c>
      <c r="Z16" s="12" t="inlineStr"/>
      <c r="AA16" s="12" t="inlineStr">
        <is>
          <t>(817) 229-0344</t>
        </is>
      </c>
      <c r="AB16" s="12" t="inlineStr">
        <is>
          <t>Office, Hurst</t>
        </is>
      </c>
      <c r="AC16" s="12" t="inlineStr">
        <is>
          <t>https://www.ourcountryhomes.com/</t>
        </is>
      </c>
      <c r="AD16" s="12" t="inlineStr"/>
      <c r="AE16" s="12" t="inlineStr"/>
    </row>
    <row r="17">
      <c r="A17" s="6" t="inlineStr">
        <is>
          <t>Scott Sandlin</t>
        </is>
      </c>
      <c r="B17" s="6" t="inlineStr">
        <is>
          <t>Sandlin Homes</t>
        </is>
      </c>
      <c r="C17" s="6" t="inlineStr">
        <is>
          <t>Owner and Chief Executive Officer</t>
        </is>
      </c>
      <c r="D17" s="7" t="inlineStr">
        <is>
          <t>One gap</t>
        </is>
      </c>
      <c r="E17" s="8" t="n">
        <v>2</v>
      </c>
      <c r="F17" s="6" t="inlineStr">
        <is>
          <t>Printer buyer</t>
        </is>
      </c>
      <c r="G17" s="6" t="inlineStr">
        <is>
          <t>Production and custom homebuilder</t>
        </is>
      </c>
      <c r="H17" s="6" t="inlineStr">
        <is>
          <t>North Richland Hills, building across North Texas</t>
        </is>
      </c>
      <c r="I17" s="6" t="inlineStr">
        <is>
          <t>177 company-wide closings in 2023, BUILDER rank 194</t>
        </is>
      </c>
      <c r="J17" s="8" t="inlineStr">
        <is>
          <t>Yes</t>
        </is>
      </c>
      <c r="K17" s="9" t="inlineStr">
        <is>
          <t>Production and custom homes under one family firm.</t>
        </is>
      </c>
      <c r="L17" s="8" t="inlineStr">
        <is>
          <t>Yes</t>
        </is>
      </c>
      <c r="M17" s="9" t="inlineStr">
        <is>
          <t>177 closings in 2023, concentrated in North Texas.</t>
        </is>
      </c>
      <c r="N17" s="8" t="inlineStr">
        <is>
          <t>No</t>
        </is>
      </c>
      <c r="O17" s="9" t="inlineStr">
        <is>
          <t>Nothing on record.</t>
        </is>
      </c>
      <c r="P17" s="10" t="inlineStr"/>
      <c r="Q17" s="6" t="inlineStr"/>
      <c r="R17" s="11">
        <f>IF(P17="","ADD LINKEDIN","ok")</f>
        <v/>
      </c>
      <c r="S17" s="6" t="inlineStr">
        <is>
          <t>https://www.sandlinhomes.com/</t>
        </is>
      </c>
      <c r="T17" s="9" t="inlineStr">
        <is>
          <t>Family-owned, with owner and CEO Scott Sandlin the named decision-maker.</t>
        </is>
      </c>
      <c r="U17" s="6" t="inlineStr">
        <is>
          <t>YES</t>
        </is>
      </c>
      <c r="V17" s="9" t="inlineStr">
        <is>
          <t>Meet the Team page.</t>
        </is>
      </c>
      <c r="W17" s="6" t="inlineStr">
        <is>
          <t>https://www.sandlinhomes.com/meet-the-team</t>
        </is>
      </c>
      <c r="X17" s="6" t="inlineStr">
        <is>
          <t>https://www.linkedin.com/company/sandlin-custom-homes/</t>
        </is>
      </c>
      <c r="Y17" s="6" t="inlineStr">
        <is>
          <t>https://www.sandlinhomes.com/meet-the-team</t>
        </is>
      </c>
      <c r="Z17" s="6" t="inlineStr"/>
      <c r="AA17" s="6" t="inlineStr">
        <is>
          <t>(800) 821-4663</t>
        </is>
      </c>
      <c r="AB17" s="6" t="inlineStr">
        <is>
          <t>Main line</t>
        </is>
      </c>
      <c r="AC17" s="6" t="inlineStr">
        <is>
          <t>https://www.sandlinhomes.com/</t>
        </is>
      </c>
      <c r="AD17" s="6" t="inlineStr"/>
      <c r="AE17" s="6" t="inlineStr"/>
    </row>
    <row r="18">
      <c r="A18" s="12" t="inlineStr">
        <is>
          <t>Mike Sandlin</t>
        </is>
      </c>
      <c r="B18" s="12" t="inlineStr">
        <is>
          <t>Sandlin Homes</t>
        </is>
      </c>
      <c r="C18" s="12" t="inlineStr">
        <is>
          <t>Owner</t>
        </is>
      </c>
      <c r="D18" s="13" t="inlineStr">
        <is>
          <t>One gap</t>
        </is>
      </c>
      <c r="E18" s="14" t="n">
        <v>2</v>
      </c>
      <c r="F18" s="12" t="inlineStr">
        <is>
          <t>Printer buyer</t>
        </is>
      </c>
      <c r="G18" s="12" t="inlineStr">
        <is>
          <t>Production and custom homebuilder</t>
        </is>
      </c>
      <c r="H18" s="12" t="inlineStr">
        <is>
          <t>North Richland Hills, building across North Texas</t>
        </is>
      </c>
      <c r="I18" s="12" t="inlineStr">
        <is>
          <t>177 company-wide closings in 2023, BUILDER rank 194</t>
        </is>
      </c>
      <c r="J18" s="14" t="inlineStr">
        <is>
          <t>Yes</t>
        </is>
      </c>
      <c r="K18" s="15" t="inlineStr">
        <is>
          <t>Production and custom homes under one family firm.</t>
        </is>
      </c>
      <c r="L18" s="14" t="inlineStr">
        <is>
          <t>Yes</t>
        </is>
      </c>
      <c r="M18" s="15" t="inlineStr">
        <is>
          <t>177 closings in 2023, concentrated in North Texas.</t>
        </is>
      </c>
      <c r="N18" s="14" t="inlineStr">
        <is>
          <t>No</t>
        </is>
      </c>
      <c r="O18" s="15" t="inlineStr">
        <is>
          <t>Nothing on record.</t>
        </is>
      </c>
      <c r="P18" s="10" t="inlineStr"/>
      <c r="Q18" s="12" t="inlineStr"/>
      <c r="R18" s="16">
        <f>IF(P18="","ADD LINKEDIN","ok")</f>
        <v/>
      </c>
      <c r="S18" s="12" t="inlineStr">
        <is>
          <t>https://www.sandlinhomes.com/</t>
        </is>
      </c>
      <c r="T18" s="15" t="inlineStr">
        <is>
          <t>Family-owned, with owner and CEO Scott Sandlin the named decision-maker.</t>
        </is>
      </c>
      <c r="U18" s="12" t="inlineStr"/>
      <c r="V18" s="15" t="inlineStr">
        <is>
          <t>Meet the Team page.</t>
        </is>
      </c>
      <c r="W18" s="12" t="inlineStr">
        <is>
          <t>https://www.sandlinhomes.com/meet-the-team</t>
        </is>
      </c>
      <c r="X18" s="12" t="inlineStr">
        <is>
          <t>https://www.linkedin.com/company/sandlin-custom-homes/</t>
        </is>
      </c>
      <c r="Y18" s="12" t="inlineStr">
        <is>
          <t>https://www.sandlinhomes.com/meet-the-team</t>
        </is>
      </c>
      <c r="Z18" s="12" t="inlineStr"/>
      <c r="AA18" s="12" t="inlineStr">
        <is>
          <t>(800) 821-4663</t>
        </is>
      </c>
      <c r="AB18" s="12" t="inlineStr">
        <is>
          <t>Main line</t>
        </is>
      </c>
      <c r="AC18" s="12" t="inlineStr">
        <is>
          <t>https://www.sandlinhomes.com/</t>
        </is>
      </c>
      <c r="AD18" s="12" t="inlineStr"/>
      <c r="AE18" s="12" t="inlineStr"/>
    </row>
    <row r="19">
      <c r="A19" s="6" t="inlineStr">
        <is>
          <t>Terry Sandlin</t>
        </is>
      </c>
      <c r="B19" s="6" t="inlineStr">
        <is>
          <t>Sandlin Homes</t>
        </is>
      </c>
      <c r="C19" s="6" t="inlineStr">
        <is>
          <t>Owner</t>
        </is>
      </c>
      <c r="D19" s="7" t="inlineStr">
        <is>
          <t>One gap</t>
        </is>
      </c>
      <c r="E19" s="8" t="n">
        <v>2</v>
      </c>
      <c r="F19" s="6" t="inlineStr">
        <is>
          <t>Printer buyer</t>
        </is>
      </c>
      <c r="G19" s="6" t="inlineStr">
        <is>
          <t>Production and custom homebuilder</t>
        </is>
      </c>
      <c r="H19" s="6" t="inlineStr">
        <is>
          <t>North Richland Hills, building across North Texas</t>
        </is>
      </c>
      <c r="I19" s="6" t="inlineStr">
        <is>
          <t>177 company-wide closings in 2023, BUILDER rank 194</t>
        </is>
      </c>
      <c r="J19" s="8" t="inlineStr">
        <is>
          <t>Yes</t>
        </is>
      </c>
      <c r="K19" s="9" t="inlineStr">
        <is>
          <t>Production and custom homes under one family firm.</t>
        </is>
      </c>
      <c r="L19" s="8" t="inlineStr">
        <is>
          <t>Yes</t>
        </is>
      </c>
      <c r="M19" s="9" t="inlineStr">
        <is>
          <t>177 closings in 2023, concentrated in North Texas.</t>
        </is>
      </c>
      <c r="N19" s="8" t="inlineStr">
        <is>
          <t>No</t>
        </is>
      </c>
      <c r="O19" s="9" t="inlineStr">
        <is>
          <t>Nothing on record.</t>
        </is>
      </c>
      <c r="P19" s="6" t="inlineStr">
        <is>
          <t>https://www.linkedin.com/in/terry-sandlin-69a496b5/</t>
        </is>
      </c>
      <c r="Q19" s="6" t="inlineStr"/>
      <c r="R19" s="11">
        <f>IF(P19="","ADD LINKEDIN","ok")</f>
        <v/>
      </c>
      <c r="S19" s="6" t="inlineStr">
        <is>
          <t>https://www.sandlinhomes.com/</t>
        </is>
      </c>
      <c r="T19" s="9" t="inlineStr">
        <is>
          <t>Family-owned, with owner and CEO Scott Sandlin the named decision-maker.</t>
        </is>
      </c>
      <c r="U19" s="6" t="inlineStr"/>
      <c r="V19" s="9" t="inlineStr">
        <is>
          <t>Indexed title: Sandlin Custom Homes. Meet the Team page.</t>
        </is>
      </c>
      <c r="W19" s="6" t="inlineStr">
        <is>
          <t>https://www.sandlinhomes.com/meet-the-team</t>
        </is>
      </c>
      <c r="X19" s="6" t="inlineStr">
        <is>
          <t>https://www.linkedin.com/company/sandlin-custom-homes/</t>
        </is>
      </c>
      <c r="Y19" s="6" t="inlineStr">
        <is>
          <t>https://www.sandlinhomes.com/meet-the-team</t>
        </is>
      </c>
      <c r="Z19" s="6" t="inlineStr"/>
      <c r="AA19" s="6" t="inlineStr">
        <is>
          <t>(800) 821-4663</t>
        </is>
      </c>
      <c r="AB19" s="6" t="inlineStr">
        <is>
          <t>Main line</t>
        </is>
      </c>
      <c r="AC19" s="6" t="inlineStr">
        <is>
          <t>https://www.sandlinhomes.com/</t>
        </is>
      </c>
      <c r="AD19" s="6" t="inlineStr"/>
      <c r="AE19" s="6" t="inlineStr"/>
    </row>
    <row r="20">
      <c r="A20" s="12" t="inlineStr">
        <is>
          <t>Matt Speight</t>
        </is>
      </c>
      <c r="B20" s="12" t="inlineStr">
        <is>
          <t>Sandlin Homes</t>
        </is>
      </c>
      <c r="C20" s="12" t="inlineStr">
        <is>
          <t>Owner</t>
        </is>
      </c>
      <c r="D20" s="13" t="inlineStr">
        <is>
          <t>One gap</t>
        </is>
      </c>
      <c r="E20" s="14" t="n">
        <v>2</v>
      </c>
      <c r="F20" s="12" t="inlineStr">
        <is>
          <t>Printer buyer</t>
        </is>
      </c>
      <c r="G20" s="12" t="inlineStr">
        <is>
          <t>Production and custom homebuilder</t>
        </is>
      </c>
      <c r="H20" s="12" t="inlineStr">
        <is>
          <t>North Richland Hills, building across North Texas</t>
        </is>
      </c>
      <c r="I20" s="12" t="inlineStr">
        <is>
          <t>177 company-wide closings in 2023, BUILDER rank 194</t>
        </is>
      </c>
      <c r="J20" s="14" t="inlineStr">
        <is>
          <t>Yes</t>
        </is>
      </c>
      <c r="K20" s="15" t="inlineStr">
        <is>
          <t>Production and custom homes under one family firm.</t>
        </is>
      </c>
      <c r="L20" s="14" t="inlineStr">
        <is>
          <t>Yes</t>
        </is>
      </c>
      <c r="M20" s="15" t="inlineStr">
        <is>
          <t>177 closings in 2023, concentrated in North Texas.</t>
        </is>
      </c>
      <c r="N20" s="14" t="inlineStr">
        <is>
          <t>No</t>
        </is>
      </c>
      <c r="O20" s="15" t="inlineStr">
        <is>
          <t>Nothing on record.</t>
        </is>
      </c>
      <c r="P20" s="10" t="inlineStr"/>
      <c r="Q20" s="12" t="inlineStr"/>
      <c r="R20" s="16">
        <f>IF(P20="","ADD LINKEDIN","ok")</f>
        <v/>
      </c>
      <c r="S20" s="12" t="inlineStr">
        <is>
          <t>https://www.sandlinhomes.com/</t>
        </is>
      </c>
      <c r="T20" s="15" t="inlineStr">
        <is>
          <t>Family-owned, with owner and CEO Scott Sandlin the named decision-maker.</t>
        </is>
      </c>
      <c r="U20" s="12" t="inlineStr"/>
      <c r="V20" s="15" t="inlineStr">
        <is>
          <t>Meet the Team page.</t>
        </is>
      </c>
      <c r="W20" s="12" t="inlineStr">
        <is>
          <t>https://www.sandlinhomes.com/meet-the-team</t>
        </is>
      </c>
      <c r="X20" s="12" t="inlineStr">
        <is>
          <t>https://www.linkedin.com/company/sandlin-custom-homes/</t>
        </is>
      </c>
      <c r="Y20" s="12" t="inlineStr">
        <is>
          <t>https://www.sandlinhomes.com/meet-the-team</t>
        </is>
      </c>
      <c r="Z20" s="12" t="inlineStr"/>
      <c r="AA20" s="12" t="inlineStr">
        <is>
          <t>(800) 821-4663</t>
        </is>
      </c>
      <c r="AB20" s="12" t="inlineStr">
        <is>
          <t>Main line</t>
        </is>
      </c>
      <c r="AC20" s="12" t="inlineStr">
        <is>
          <t>https://www.sandlinhomes.com/</t>
        </is>
      </c>
      <c r="AD20" s="12" t="inlineStr"/>
      <c r="AE20" s="12" t="inlineStr"/>
    </row>
    <row r="21">
      <c r="A21" s="6" t="inlineStr">
        <is>
          <t>Brent Landry</t>
        </is>
      </c>
      <c r="B21" s="6" t="inlineStr">
        <is>
          <t>American Homes 4 Rent (AMH)</t>
        </is>
      </c>
      <c r="C21" s="6" t="inlineStr">
        <is>
          <t>Executive Vice President of Development</t>
        </is>
      </c>
      <c r="D21" s="7" t="inlineStr">
        <is>
          <t>One gap</t>
        </is>
      </c>
      <c r="E21" s="8" t="n">
        <v>2</v>
      </c>
      <c r="F21" s="6" t="inlineStr">
        <is>
          <t>Printer buyer</t>
        </is>
      </c>
      <c r="G21" s="6" t="inlineStr">
        <is>
          <t>Single-family rental owner and builder</t>
        </is>
      </c>
      <c r="H21" s="6" t="inlineStr">
        <is>
          <t>Irving office, with rentals across Dallas-Fort Worth</t>
        </is>
      </c>
      <c r="I21" s="6" t="inlineStr">
        <is>
          <t>3,787 wholly owned DFW homes, June 30, 2025</t>
        </is>
      </c>
      <c r="J21" s="8" t="inlineStr">
        <is>
          <t>Yes</t>
        </is>
      </c>
      <c r="K21" s="9" t="inlineStr">
        <is>
          <t>3,787 wholly owned DFW homes on June 30, 2025. The Development Program delivers repeated rentals.</t>
        </is>
      </c>
      <c r="L21" s="8" t="inlineStr">
        <is>
          <t>Partly</t>
        </is>
      </c>
      <c r="M21" s="9" t="inlineStr">
        <is>
          <t>National program. No DFW share of new builds published.</t>
        </is>
      </c>
      <c r="N21" s="8" t="inlineStr">
        <is>
          <t>No</t>
        </is>
      </c>
      <c r="O21" s="9" t="inlineStr">
        <is>
          <t>Nothing on record.</t>
        </is>
      </c>
      <c r="P21" s="10" t="inlineStr"/>
      <c r="Q21" s="6" t="inlineStr"/>
      <c r="R21" s="11">
        <f>IF(P21="","ADD LINKEDIN","ok")</f>
        <v/>
      </c>
      <c r="S21" s="6" t="inlineStr">
        <is>
          <t>https://www.amh.com/homes-for-rent/texas/dallas</t>
        </is>
      </c>
      <c r="T21" s="9" t="inlineStr">
        <is>
          <t>Builds its own rental homes through the AMH Development Program. A national single-family rental REIT.</t>
        </is>
      </c>
      <c r="U21" s="6" t="inlineStr"/>
      <c r="V21" s="9" t="inlineStr">
        <is>
          <t>American Homes 4 Rent release, PR Newswire.</t>
        </is>
      </c>
      <c r="W21" s="6" t="inlineStr">
        <is>
          <t>https://www.prnewswire.com/news-releases/american-homes-4-rent-ranks-41-on-2022-builder-100-list-301565032.html</t>
        </is>
      </c>
      <c r="X21" s="6" t="inlineStr">
        <is>
          <t>https://www.linkedin.com/company/amhliving/</t>
        </is>
      </c>
      <c r="Y21" s="6" t="inlineStr"/>
      <c r="Z21" s="6" t="inlineStr"/>
      <c r="AA21" s="6" t="inlineStr">
        <is>
          <t>(833) 736-8264</t>
        </is>
      </c>
      <c r="AB21" s="6" t="inlineStr">
        <is>
          <t>National line, listed for the Irving office</t>
        </is>
      </c>
      <c r="AC21" s="6" t="inlineStr">
        <is>
          <t>https://www.amh.com/offices</t>
        </is>
      </c>
      <c r="AD21" s="6" t="inlineStr"/>
      <c r="AE21" s="6" t="inlineStr"/>
    </row>
    <row r="22">
      <c r="A22" s="12" t="inlineStr">
        <is>
          <t>Steve Schermerhorn</t>
        </is>
      </c>
      <c r="B22" s="12" t="inlineStr">
        <is>
          <t>CB JENI Homes</t>
        </is>
      </c>
      <c r="C22" s="12" t="inlineStr">
        <is>
          <t>President, CB JENI Lifestyle, Normandy and Southgate Homes</t>
        </is>
      </c>
      <c r="D22" s="13" t="inlineStr">
        <is>
          <t>One gap</t>
        </is>
      </c>
      <c r="E22" s="14" t="n">
        <v>2</v>
      </c>
      <c r="F22" s="12" t="inlineStr">
        <is>
          <t>Printer buyer</t>
        </is>
      </c>
      <c r="G22" s="12" t="inlineStr">
        <is>
          <t>Townhome builder, a Green Brick brand</t>
        </is>
      </c>
      <c r="H22" s="12" t="inlineStr">
        <is>
          <t>Plano, with townhome communities across DFW</t>
        </is>
      </c>
      <c r="I22" s="12" t="inlineStr">
        <is>
          <t>11 DFW townhome communities listed on its site</t>
        </is>
      </c>
      <c r="J22" s="14" t="inlineStr">
        <is>
          <t>Yes</t>
        </is>
      </c>
      <c r="K22" s="15" t="inlineStr">
        <is>
          <t>One townhome plan library across DFW communities.</t>
        </is>
      </c>
      <c r="L22" s="14" t="inlineStr">
        <is>
          <t>Partly</t>
        </is>
      </c>
      <c r="M22" s="15" t="inlineStr">
        <is>
          <t>Two other Green Brick brands share its president. No brand closings figure published.</t>
        </is>
      </c>
      <c r="N22" s="14" t="inlineStr">
        <is>
          <t>No</t>
        </is>
      </c>
      <c r="O22" s="15" t="inlineStr">
        <is>
          <t>Design and sales awards only. No building method on record.</t>
        </is>
      </c>
      <c r="P22" s="6" t="inlineStr">
        <is>
          <t>https://www.linkedin.com/in/steve-schermerhorn-0b39605/</t>
        </is>
      </c>
      <c r="Q22" s="12" t="inlineStr"/>
      <c r="R22" s="16">
        <f>IF(P22="","ADD LINKEDIN","ok")</f>
        <v/>
      </c>
      <c r="S22" s="12" t="inlineStr">
        <is>
          <t>https://cbjenihomes.com/</t>
        </is>
      </c>
      <c r="T22" s="15" t="inlineStr">
        <is>
          <t>One townhome plan library across DFW. Its president, Steve Schermerhorn, runs three Green Brick brands.</t>
        </is>
      </c>
      <c r="U22" s="12" t="inlineStr">
        <is>
          <t>YES</t>
        </is>
      </c>
      <c r="V22" s="15" t="inlineStr">
        <is>
          <t>Indexed title: President at CB JENI, Normandy. Green Brick leadership page, Division Presidents.</t>
        </is>
      </c>
      <c r="W22" s="12" t="inlineStr">
        <is>
          <t>https://greenbrickpartners.com/leadership/</t>
        </is>
      </c>
      <c r="X22" s="12" t="inlineStr">
        <is>
          <t>https://www.linkedin.com/company/cb-jeni-homes/</t>
        </is>
      </c>
      <c r="Y22" s="12" t="inlineStr">
        <is>
          <t>https://greenbrickpartners.com/leadership/</t>
        </is>
      </c>
      <c r="Z22" s="12" t="inlineStr"/>
      <c r="AA22" s="12" t="inlineStr">
        <is>
          <t>(469) 573-6721</t>
        </is>
      </c>
      <c r="AB22" s="12" t="inlineStr">
        <is>
          <t>Green Brick Partners corporate, the parent</t>
        </is>
      </c>
      <c r="AC22" s="12" t="inlineStr">
        <is>
          <t>https://greenbrickpartners.com/about/</t>
        </is>
      </c>
      <c r="AD22" s="12" t="inlineStr"/>
      <c r="AE22" s="12" t="inlineStr"/>
    </row>
    <row r="23">
      <c r="A23" s="6" t="inlineStr">
        <is>
          <t>Lance Wright</t>
        </is>
      </c>
      <c r="B23" s="6" t="inlineStr">
        <is>
          <t>CastleRock Communities</t>
        </is>
      </c>
      <c r="C23" s="6" t="inlineStr">
        <is>
          <t>Chief Executive Officer</t>
        </is>
      </c>
      <c r="D23" s="7" t="inlineStr">
        <is>
          <t>One gap</t>
        </is>
      </c>
      <c r="E23" s="8" t="n">
        <v>2</v>
      </c>
      <c r="F23" s="6" t="inlineStr">
        <is>
          <t>Printer buyer</t>
        </is>
      </c>
      <c r="G23" s="6" t="inlineStr">
        <is>
          <t>Production homebuilder, run from Houston</t>
        </is>
      </c>
      <c r="H23" s="6" t="inlineStr">
        <is>
          <t>Houston headquarters, with DFW communities in Mesquite and Keller</t>
        </is>
      </c>
      <c r="I23" s="6" t="inlineStr">
        <is>
          <t>1,465 company-wide closings in 2025, across four states</t>
        </is>
      </c>
      <c r="J23" s="8" t="inlineStr">
        <is>
          <t>Yes</t>
        </is>
      </c>
      <c r="K23" s="9" t="inlineStr">
        <is>
          <t>Cobalt, Silver and Gold plan collections repeated across Texas markets.</t>
        </is>
      </c>
      <c r="L23" s="8" t="inlineStr">
        <is>
          <t>Partly</t>
        </is>
      </c>
      <c r="M23" s="9" t="inlineStr">
        <is>
          <t>1,465 company-wide closings in 2025. Purchasing sits at the Houston headquarters.</t>
        </is>
      </c>
      <c r="N23" s="8" t="inlineStr">
        <is>
          <t>No</t>
        </is>
      </c>
      <c r="O23" s="9" t="inlineStr">
        <is>
          <t>Nothing on record about wall method.</t>
        </is>
      </c>
      <c r="P23" s="10" t="inlineStr"/>
      <c r="Q23" s="6" t="inlineStr"/>
      <c r="R23" s="11">
        <f>IF(P23="","ADD LINKEDIN","ok")</f>
        <v/>
      </c>
      <c r="S23" s="6" t="inlineStr">
        <is>
          <t>https://www.c-rock.com/</t>
        </is>
      </c>
      <c r="T23" s="9" t="inlineStr">
        <is>
          <t>Run from Houston under Daiwa House ownership. Sells Cobalt, Silver and Gold plan collections.</t>
        </is>
      </c>
      <c r="U23" s="6" t="inlineStr"/>
      <c r="V23" s="9" t="inlineStr">
        <is>
          <t>CastleRock's about page. Founding partner and CEO, over sales, construction, purchasing and marketing.</t>
        </is>
      </c>
      <c r="W23" s="6" t="inlineStr">
        <is>
          <t>https://www.c-rock.com/about/</t>
        </is>
      </c>
      <c r="X23" s="6" t="inlineStr">
        <is>
          <t>https://www.linkedin.com/company/castlerock-communities/</t>
        </is>
      </c>
      <c r="Y23" s="6" t="inlineStr">
        <is>
          <t>https://www.c-rock.com/about/</t>
        </is>
      </c>
      <c r="Z23" s="6" t="inlineStr"/>
      <c r="AA23" s="6" t="inlineStr">
        <is>
          <t>(713) 600-7000</t>
        </is>
      </c>
      <c r="AB23" s="6" t="inlineStr">
        <is>
          <t>Main office, Houston</t>
        </is>
      </c>
      <c r="AC23" s="6" t="inlineStr">
        <is>
          <t>https://www.c-rock.com/</t>
        </is>
      </c>
      <c r="AD23" s="6" t="inlineStr"/>
      <c r="AE23" s="6" t="inlineStr"/>
    </row>
    <row r="24">
      <c r="A24" s="12" t="inlineStr">
        <is>
          <t>Kirk Breitenwischer</t>
        </is>
      </c>
      <c r="B24" s="12" t="inlineStr">
        <is>
          <t>CastleRock Communities</t>
        </is>
      </c>
      <c r="C24" s="12" t="inlineStr">
        <is>
          <t>Senior Executive Vice President</t>
        </is>
      </c>
      <c r="D24" s="13" t="inlineStr">
        <is>
          <t>One gap</t>
        </is>
      </c>
      <c r="E24" s="14" t="n">
        <v>2</v>
      </c>
      <c r="F24" s="12" t="inlineStr">
        <is>
          <t>Printer buyer</t>
        </is>
      </c>
      <c r="G24" s="12" t="inlineStr">
        <is>
          <t>Production homebuilder, run from Houston</t>
        </is>
      </c>
      <c r="H24" s="12" t="inlineStr">
        <is>
          <t>Houston headquarters, with DFW communities in Mesquite and Keller</t>
        </is>
      </c>
      <c r="I24" s="12" t="inlineStr">
        <is>
          <t>1,465 company-wide closings in 2025, across four states</t>
        </is>
      </c>
      <c r="J24" s="14" t="inlineStr">
        <is>
          <t>Yes</t>
        </is>
      </c>
      <c r="K24" s="15" t="inlineStr">
        <is>
          <t>Cobalt, Silver and Gold plan collections repeated across Texas markets.</t>
        </is>
      </c>
      <c r="L24" s="14" t="inlineStr">
        <is>
          <t>Partly</t>
        </is>
      </c>
      <c r="M24" s="15" t="inlineStr">
        <is>
          <t>1,465 company-wide closings in 2025. Purchasing sits at the Houston headquarters.</t>
        </is>
      </c>
      <c r="N24" s="14" t="inlineStr">
        <is>
          <t>No</t>
        </is>
      </c>
      <c r="O24" s="15" t="inlineStr">
        <is>
          <t>Nothing on record about wall method.</t>
        </is>
      </c>
      <c r="P24" s="10" t="inlineStr"/>
      <c r="Q24" s="12" t="inlineStr"/>
      <c r="R24" s="16">
        <f>IF(P24="","ADD LINKEDIN","ok")</f>
        <v/>
      </c>
      <c r="S24" s="12" t="inlineStr">
        <is>
          <t>https://www.c-rock.com/</t>
        </is>
      </c>
      <c r="T24" s="15" t="inlineStr">
        <is>
          <t>Run from Houston under Daiwa House ownership. Sells Cobalt, Silver and Gold plan collections.</t>
        </is>
      </c>
      <c r="U24" s="12" t="inlineStr"/>
      <c r="V24" s="15" t="inlineStr">
        <is>
          <t>CastleRock's about page. Partner and Senior Executive Vice President, over land.</t>
        </is>
      </c>
      <c r="W24" s="12" t="inlineStr">
        <is>
          <t>https://www.c-rock.com/about/</t>
        </is>
      </c>
      <c r="X24" s="12" t="inlineStr">
        <is>
          <t>https://www.linkedin.com/company/castlerock-communities/</t>
        </is>
      </c>
      <c r="Y24" s="12" t="inlineStr">
        <is>
          <t>https://www.c-rock.com/about/</t>
        </is>
      </c>
      <c r="Z24" s="12" t="inlineStr"/>
      <c r="AA24" s="12" t="inlineStr">
        <is>
          <t>(713) 600-7000</t>
        </is>
      </c>
      <c r="AB24" s="12" t="inlineStr">
        <is>
          <t>Main office, Houston</t>
        </is>
      </c>
      <c r="AC24" s="12" t="inlineStr">
        <is>
          <t>https://www.c-rock.com/</t>
        </is>
      </c>
      <c r="AD24" s="12" t="inlineStr"/>
      <c r="AE24" s="12" t="inlineStr"/>
    </row>
    <row r="25">
      <c r="A25" s="6" t="inlineStr">
        <is>
          <t>Trevor Brickman</t>
        </is>
      </c>
      <c r="B25" s="6" t="inlineStr">
        <is>
          <t>Centre Living Homes</t>
        </is>
      </c>
      <c r="C25" s="6" t="inlineStr">
        <is>
          <t>President</t>
        </is>
      </c>
      <c r="D25" s="7" t="inlineStr">
        <is>
          <t>One gap</t>
        </is>
      </c>
      <c r="E25" s="8" t="n">
        <v>2</v>
      </c>
      <c r="F25" s="6" t="inlineStr">
        <is>
          <t>Printer buyer</t>
        </is>
      </c>
      <c r="G25" s="6" t="inlineStr">
        <is>
          <t>Single-family and townhome builder, a Green Brick brand</t>
        </is>
      </c>
      <c r="H25" s="6" t="inlineStr">
        <is>
          <t>Dallas, with communities across DFW including Ellis County</t>
        </is>
      </c>
      <c r="I25" s="6" t="inlineStr">
        <is>
          <t>Seven selling communities at the end of 2025, per Green Brick</t>
        </is>
      </c>
      <c r="J25" s="8" t="inlineStr">
        <is>
          <t>Yes</t>
        </is>
      </c>
      <c r="K25" s="9" t="inlineStr">
        <is>
          <t>Single-family and townhome plans across several DFW communities.</t>
        </is>
      </c>
      <c r="L25" s="8" t="inlineStr">
        <is>
          <t>Partly</t>
        </is>
      </c>
      <c r="M25" s="9" t="inlineStr">
        <is>
          <t>No published closing figure.</t>
        </is>
      </c>
      <c r="N25" s="8" t="inlineStr">
        <is>
          <t>No</t>
        </is>
      </c>
      <c r="O25" s="9" t="inlineStr">
        <is>
          <t>Nothing on record.</t>
        </is>
      </c>
      <c r="P25" s="6" t="inlineStr">
        <is>
          <t>https://www.linkedin.com/in/trevor-brickman-3a52b582/</t>
        </is>
      </c>
      <c r="Q25" s="6" t="inlineStr"/>
      <c r="R25" s="11">
        <f>IF(P25="","ADD LINKEDIN","ok")</f>
        <v/>
      </c>
      <c r="S25" s="6" t="inlineStr">
        <is>
          <t>https://centrelivinghomes.com/</t>
        </is>
      </c>
      <c r="T25" s="9" t="inlineStr">
        <is>
          <t>Makes day-to-day decisions locally. Green Brick supplies its centralized purchasing.</t>
        </is>
      </c>
      <c r="U25" s="6" t="inlineStr">
        <is>
          <t>YES</t>
        </is>
      </c>
      <c r="V25" s="9" t="inlineStr">
        <is>
          <t>Indexed title: Centre Living Homes LLC. Green Brick leadership page. Founder, President since 2012.</t>
        </is>
      </c>
      <c r="W25" s="6" t="inlineStr">
        <is>
          <t>https://greenbrickpartners.com/leadership/</t>
        </is>
      </c>
      <c r="X25" s="6" t="inlineStr">
        <is>
          <t>https://www.linkedin.com/company/centre-living-homes/</t>
        </is>
      </c>
      <c r="Y25" s="6" t="inlineStr">
        <is>
          <t>https://greenbrickpartners.com/leadership/</t>
        </is>
      </c>
      <c r="Z25" s="6" t="inlineStr"/>
      <c r="AA25" s="6" t="inlineStr">
        <is>
          <t>(469) 567-3518</t>
        </is>
      </c>
      <c r="AB25" s="6" t="inlineStr">
        <is>
          <t>Main office, Dallas</t>
        </is>
      </c>
      <c r="AC25" s="6" t="inlineStr">
        <is>
          <t>https://centrelivinghomes.com/contact/</t>
        </is>
      </c>
      <c r="AD25" s="6" t="inlineStr"/>
      <c r="AE25" s="6" t="inlineStr"/>
    </row>
    <row r="26">
      <c r="A26" s="12" t="inlineStr">
        <is>
          <t>Josh E. Hartmann</t>
        </is>
      </c>
      <c r="B26" s="12" t="inlineStr">
        <is>
          <t>NexMetro Communities / Avilla</t>
        </is>
      </c>
      <c r="C26" s="12" t="inlineStr">
        <is>
          <t>Chief Executive Officer</t>
        </is>
      </c>
      <c r="D26" s="13" t="inlineStr">
        <is>
          <t>One gap</t>
        </is>
      </c>
      <c r="E26" s="14" t="n">
        <v>2</v>
      </c>
      <c r="F26" s="12" t="inlineStr">
        <is>
          <t>Client</t>
        </is>
      </c>
      <c r="G26" s="12" t="inlineStr">
        <is>
          <t>Build-to-rent developer</t>
        </is>
      </c>
      <c r="H26" s="12" t="inlineStr">
        <is>
          <t>Dallas office, with neighborhoods from Plano to Cleburne</t>
        </is>
      </c>
      <c r="I26" s="12" t="inlineStr">
        <is>
          <t>Over 2,750 DFW homes built since 2017</t>
        </is>
      </c>
      <c r="J26" s="14" t="inlineStr">
        <is>
          <t>Yes</t>
        </is>
      </c>
      <c r="K26" s="15" t="inlineStr">
        <is>
          <t>Avilla plans repeated across 16 DFW neighborhoods.</t>
        </is>
      </c>
      <c r="L26" s="14" t="inlineStr">
        <is>
          <t>Partly</t>
        </is>
      </c>
      <c r="M26" s="15" t="inlineStr">
        <is>
          <t>Single sites run 151 to 315 homes. In-house or general contractor build is not published.</t>
        </is>
      </c>
      <c r="N26" s="14" t="inlineStr">
        <is>
          <t>No</t>
        </is>
      </c>
      <c r="O26" s="15" t="inlineStr">
        <is>
          <t>Nothing on record.</t>
        </is>
      </c>
      <c r="P26" s="10" t="inlineStr"/>
      <c r="Q26" s="12" t="inlineStr"/>
      <c r="R26" s="16">
        <f>IF(P26="","ADD LINKEDIN","ok")</f>
        <v/>
      </c>
      <c r="S26" s="12" t="inlineStr">
        <is>
          <t>https://www.nexmetro.com/</t>
        </is>
      </c>
      <c r="T26" s="15" t="inlineStr">
        <is>
          <t>Repeats Avilla plans across 16 DFW neighborhoods. Its directory names a National Purchasing Manager and a director of construction.</t>
        </is>
      </c>
      <c r="U26" s="12" t="inlineStr"/>
      <c r="V26" s="15" t="inlineStr">
        <is>
          <t>NexMetro directory.</t>
        </is>
      </c>
      <c r="W26" s="12" t="inlineStr">
        <is>
          <t>https://www.nexmetro.com/directory.php</t>
        </is>
      </c>
      <c r="X26" s="12" t="inlineStr">
        <is>
          <t>https://www.linkedin.com/company/nexmetro-communities/</t>
        </is>
      </c>
      <c r="Y26" s="12" t="inlineStr">
        <is>
          <t>https://www.nexmetro.com/directory.php</t>
        </is>
      </c>
      <c r="Z26" s="12" t="inlineStr">
        <is>
          <t>2025-07-28 MultifamilyBiz / NexMetro. NexMetro Opens 16th Avilla Community in Dallas-Fort Worth Market (Avilla Railhead)  https://daltxrealestate.com/national-build-to-rent-developer-nexmetro-opens-16th-community-in-dallas-fort-worth-market/</t>
        </is>
      </c>
      <c r="AA26" s="12" t="inlineStr">
        <is>
          <t>(469) 249-1819</t>
        </is>
      </c>
      <c r="AB26" s="12" t="inlineStr">
        <is>
          <t>Dallas office</t>
        </is>
      </c>
      <c r="AC26" s="12" t="inlineStr">
        <is>
          <t>https://www.nexmetro.com/contact.php</t>
        </is>
      </c>
      <c r="AD26" s="12" t="inlineStr"/>
      <c r="AE26" s="12" t="inlineStr"/>
    </row>
    <row r="27">
      <c r="A27" s="6" t="inlineStr">
        <is>
          <t>Drew Klasing</t>
        </is>
      </c>
      <c r="B27" s="6" t="inlineStr">
        <is>
          <t>NexMetro Communities / Avilla</t>
        </is>
      </c>
      <c r="C27" s="6" t="inlineStr">
        <is>
          <t>Regional Managing Director, Dallas and Tampa</t>
        </is>
      </c>
      <c r="D27" s="7" t="inlineStr">
        <is>
          <t>One gap</t>
        </is>
      </c>
      <c r="E27" s="8" t="n">
        <v>2</v>
      </c>
      <c r="F27" s="6" t="inlineStr">
        <is>
          <t>Client</t>
        </is>
      </c>
      <c r="G27" s="6" t="inlineStr">
        <is>
          <t>Build-to-rent developer</t>
        </is>
      </c>
      <c r="H27" s="6" t="inlineStr">
        <is>
          <t>Dallas office, with neighborhoods from Plano to Cleburne</t>
        </is>
      </c>
      <c r="I27" s="6" t="inlineStr">
        <is>
          <t>Over 2,750 DFW homes built since 2017</t>
        </is>
      </c>
      <c r="J27" s="8" t="inlineStr">
        <is>
          <t>Yes</t>
        </is>
      </c>
      <c r="K27" s="9" t="inlineStr">
        <is>
          <t>Avilla plans repeated across 16 DFW neighborhoods.</t>
        </is>
      </c>
      <c r="L27" s="8" t="inlineStr">
        <is>
          <t>Partly</t>
        </is>
      </c>
      <c r="M27" s="9" t="inlineStr">
        <is>
          <t>Single sites run 151 to 315 homes. In-house or general contractor build is not published.</t>
        </is>
      </c>
      <c r="N27" s="8" t="inlineStr">
        <is>
          <t>No</t>
        </is>
      </c>
      <c r="O27" s="9" t="inlineStr">
        <is>
          <t>Nothing on record.</t>
        </is>
      </c>
      <c r="P27" s="10" t="inlineStr"/>
      <c r="Q27" s="6" t="inlineStr"/>
      <c r="R27" s="11">
        <f>IF(P27="","ADD LINKEDIN","ok")</f>
        <v/>
      </c>
      <c r="S27" s="6" t="inlineStr">
        <is>
          <t>https://www.nexmetro.com/</t>
        </is>
      </c>
      <c r="T27" s="9" t="inlineStr">
        <is>
          <t>Repeats Avilla plans across 16 DFW neighborhoods. Its directory names a National Purchasing Manager and a director of construction.</t>
        </is>
      </c>
      <c r="U27" s="6" t="inlineStr"/>
      <c r="V27" s="9" t="inlineStr">
        <is>
          <t>NexMetro directory.</t>
        </is>
      </c>
      <c r="W27" s="6" t="inlineStr">
        <is>
          <t>https://www.nexmetro.com/directory.php</t>
        </is>
      </c>
      <c r="X27" s="6" t="inlineStr">
        <is>
          <t>https://www.linkedin.com/company/nexmetro-communities/</t>
        </is>
      </c>
      <c r="Y27" s="6" t="inlineStr">
        <is>
          <t>https://www.nexmetro.com/directory.php</t>
        </is>
      </c>
      <c r="Z27" s="6" t="inlineStr">
        <is>
          <t>2025-07-28 MultifamilyBiz / NexMetro. NexMetro Opens 16th Avilla Community in Dallas-Fort Worth Market (Avilla Railhead)  https://daltxrealestate.com/national-build-to-rent-developer-nexmetro-opens-16th-community-in-dallas-fort-worth-market/</t>
        </is>
      </c>
      <c r="AA27" s="6" t="inlineStr">
        <is>
          <t>(469) 249-1819</t>
        </is>
      </c>
      <c r="AB27" s="6" t="inlineStr">
        <is>
          <t>Dallas office</t>
        </is>
      </c>
      <c r="AC27" s="6" t="inlineStr">
        <is>
          <t>https://www.nexmetro.com/contact.php</t>
        </is>
      </c>
      <c r="AD27" s="6" t="inlineStr"/>
      <c r="AE27" s="6" t="inlineStr"/>
    </row>
    <row r="28">
      <c r="A28" s="12" t="inlineStr">
        <is>
          <t>Bernadette Bendit</t>
        </is>
      </c>
      <c r="B28" s="12" t="inlineStr">
        <is>
          <t>NexMetro Communities / Avilla</t>
        </is>
      </c>
      <c r="C28" s="12" t="inlineStr">
        <is>
          <t>National Purchasing Manager</t>
        </is>
      </c>
      <c r="D28" s="13" t="inlineStr">
        <is>
          <t>One gap</t>
        </is>
      </c>
      <c r="E28" s="14" t="n">
        <v>2</v>
      </c>
      <c r="F28" s="12" t="inlineStr">
        <is>
          <t>Client</t>
        </is>
      </c>
      <c r="G28" s="12" t="inlineStr">
        <is>
          <t>Build-to-rent developer</t>
        </is>
      </c>
      <c r="H28" s="12" t="inlineStr">
        <is>
          <t>Dallas office, with neighborhoods from Plano to Cleburne</t>
        </is>
      </c>
      <c r="I28" s="12" t="inlineStr">
        <is>
          <t>Over 2,750 DFW homes built since 2017</t>
        </is>
      </c>
      <c r="J28" s="14" t="inlineStr">
        <is>
          <t>Yes</t>
        </is>
      </c>
      <c r="K28" s="15" t="inlineStr">
        <is>
          <t>Avilla plans repeated across 16 DFW neighborhoods.</t>
        </is>
      </c>
      <c r="L28" s="14" t="inlineStr">
        <is>
          <t>Partly</t>
        </is>
      </c>
      <c r="M28" s="15" t="inlineStr">
        <is>
          <t>Single sites run 151 to 315 homes. In-house or general contractor build is not published.</t>
        </is>
      </c>
      <c r="N28" s="14" t="inlineStr">
        <is>
          <t>No</t>
        </is>
      </c>
      <c r="O28" s="15" t="inlineStr">
        <is>
          <t>Nothing on record.</t>
        </is>
      </c>
      <c r="P28" s="10" t="inlineStr"/>
      <c r="Q28" s="12" t="inlineStr"/>
      <c r="R28" s="16">
        <f>IF(P28="","ADD LINKEDIN","ok")</f>
        <v/>
      </c>
      <c r="S28" s="12" t="inlineStr">
        <is>
          <t>https://www.nexmetro.com/</t>
        </is>
      </c>
      <c r="T28" s="15" t="inlineStr">
        <is>
          <t>Repeats Avilla plans across 16 DFW neighborhoods. Its directory names a National Purchasing Manager and a director of construction.</t>
        </is>
      </c>
      <c r="U28" s="12" t="inlineStr">
        <is>
          <t>YES</t>
        </is>
      </c>
      <c r="V28" s="15" t="inlineStr">
        <is>
          <t>NexMetro directory.</t>
        </is>
      </c>
      <c r="W28" s="12" t="inlineStr">
        <is>
          <t>https://www.nexmetro.com/directory.php</t>
        </is>
      </c>
      <c r="X28" s="12" t="inlineStr">
        <is>
          <t>https://www.linkedin.com/company/nexmetro-communities/</t>
        </is>
      </c>
      <c r="Y28" s="12" t="inlineStr">
        <is>
          <t>https://www.nexmetro.com/directory.php</t>
        </is>
      </c>
      <c r="Z28" s="12" t="inlineStr">
        <is>
          <t>2025-07-28 MultifamilyBiz / NexMetro. NexMetro Opens 16th Avilla Community in Dallas-Fort Worth Market (Avilla Railhead)  https://daltxrealestate.com/national-build-to-rent-developer-nexmetro-opens-16th-community-in-dallas-fort-worth-market/</t>
        </is>
      </c>
      <c r="AA28" s="12" t="inlineStr">
        <is>
          <t>(469) 249-1819</t>
        </is>
      </c>
      <c r="AB28" s="12" t="inlineStr">
        <is>
          <t>Dallas office</t>
        </is>
      </c>
      <c r="AC28" s="12" t="inlineStr">
        <is>
          <t>https://www.nexmetro.com/contact.php</t>
        </is>
      </c>
      <c r="AD28" s="12" t="inlineStr"/>
      <c r="AE28" s="12" t="inlineStr"/>
    </row>
    <row r="29">
      <c r="A29" s="6" t="inlineStr">
        <is>
          <t>Mark Barton</t>
        </is>
      </c>
      <c r="B29" s="6" t="inlineStr">
        <is>
          <t>NexMetro Communities / Avilla</t>
        </is>
      </c>
      <c r="C29" s="6" t="inlineStr">
        <is>
          <t>Director of Construction</t>
        </is>
      </c>
      <c r="D29" s="7" t="inlineStr">
        <is>
          <t>One gap</t>
        </is>
      </c>
      <c r="E29" s="8" t="n">
        <v>2</v>
      </c>
      <c r="F29" s="6" t="inlineStr">
        <is>
          <t>Client</t>
        </is>
      </c>
      <c r="G29" s="6" t="inlineStr">
        <is>
          <t>Build-to-rent developer</t>
        </is>
      </c>
      <c r="H29" s="6" t="inlineStr">
        <is>
          <t>Dallas office, with neighborhoods from Plano to Cleburne</t>
        </is>
      </c>
      <c r="I29" s="6" t="inlineStr">
        <is>
          <t>Over 2,750 DFW homes built since 2017</t>
        </is>
      </c>
      <c r="J29" s="8" t="inlineStr">
        <is>
          <t>Yes</t>
        </is>
      </c>
      <c r="K29" s="9" t="inlineStr">
        <is>
          <t>Avilla plans repeated across 16 DFW neighborhoods.</t>
        </is>
      </c>
      <c r="L29" s="8" t="inlineStr">
        <is>
          <t>Partly</t>
        </is>
      </c>
      <c r="M29" s="9" t="inlineStr">
        <is>
          <t>Single sites run 151 to 315 homes. In-house or general contractor build is not published.</t>
        </is>
      </c>
      <c r="N29" s="8" t="inlineStr">
        <is>
          <t>No</t>
        </is>
      </c>
      <c r="O29" s="9" t="inlineStr">
        <is>
          <t>Nothing on record.</t>
        </is>
      </c>
      <c r="P29" s="10" t="inlineStr"/>
      <c r="Q29" s="6" t="inlineStr"/>
      <c r="R29" s="11">
        <f>IF(P29="","ADD LINKEDIN","ok")</f>
        <v/>
      </c>
      <c r="S29" s="6" t="inlineStr">
        <is>
          <t>https://www.nexmetro.com/</t>
        </is>
      </c>
      <c r="T29" s="9" t="inlineStr">
        <is>
          <t>Repeats Avilla plans across 16 DFW neighborhoods. Its directory names a National Purchasing Manager and a director of construction.</t>
        </is>
      </c>
      <c r="U29" s="6" t="inlineStr">
        <is>
          <t>YES</t>
        </is>
      </c>
      <c r="V29" s="9" t="inlineStr">
        <is>
          <t>NexMetro directory.</t>
        </is>
      </c>
      <c r="W29" s="6" t="inlineStr">
        <is>
          <t>https://www.nexmetro.com/directory.php</t>
        </is>
      </c>
      <c r="X29" s="6" t="inlineStr">
        <is>
          <t>https://www.linkedin.com/company/nexmetro-communities/</t>
        </is>
      </c>
      <c r="Y29" s="6" t="inlineStr">
        <is>
          <t>https://www.nexmetro.com/directory.php</t>
        </is>
      </c>
      <c r="Z29" s="6" t="inlineStr">
        <is>
          <t>2025-07-28 MultifamilyBiz / NexMetro. NexMetro Opens 16th Avilla Community in Dallas-Fort Worth Market (Avilla Railhead)  https://daltxrealestate.com/national-build-to-rent-developer-nexmetro-opens-16th-community-in-dallas-fort-worth-market/</t>
        </is>
      </c>
      <c r="AA29" s="6" t="inlineStr">
        <is>
          <t>(469) 249-1819</t>
        </is>
      </c>
      <c r="AB29" s="6" t="inlineStr">
        <is>
          <t>Dallas office</t>
        </is>
      </c>
      <c r="AC29" s="6" t="inlineStr">
        <is>
          <t>https://www.nexmetro.com/contact.php</t>
        </is>
      </c>
      <c r="AD29" s="6" t="inlineStr"/>
      <c r="AE29" s="6" t="inlineStr"/>
    </row>
    <row r="30">
      <c r="A30" s="12" t="inlineStr">
        <is>
          <t>Steve Schermerhorn</t>
        </is>
      </c>
      <c r="B30" s="12" t="inlineStr">
        <is>
          <t>Normandy Homes</t>
        </is>
      </c>
      <c r="C30" s="12" t="inlineStr">
        <is>
          <t>President, CB JENI Lifestyle, Normandy and Southgate Homes</t>
        </is>
      </c>
      <c r="D30" s="13" t="inlineStr">
        <is>
          <t>One gap</t>
        </is>
      </c>
      <c r="E30" s="14" t="n">
        <v>2</v>
      </c>
      <c r="F30" s="12" t="inlineStr">
        <is>
          <t>Printer buyer</t>
        </is>
      </c>
      <c r="G30" s="12" t="inlineStr">
        <is>
          <t>Move-up homebuilder, a Green Brick brand</t>
        </is>
      </c>
      <c r="H30" s="12" t="inlineStr">
        <is>
          <t>Dallas-Fort Worth, a Green Brick Partners brand</t>
        </is>
      </c>
      <c r="I30" s="12" t="inlineStr">
        <is>
          <t>Green Brick move-up brand in DFW since 2012</t>
        </is>
      </c>
      <c r="J30" s="14" t="inlineStr">
        <is>
          <t>Yes</t>
        </is>
      </c>
      <c r="K30" s="15" t="inlineStr">
        <is>
          <t>Move-up single-family plan library in DFW.</t>
        </is>
      </c>
      <c r="L30" s="14" t="inlineStr">
        <is>
          <t>Partly</t>
        </is>
      </c>
      <c r="M30" s="15" t="inlineStr">
        <is>
          <t>No brand closing figure published.</t>
        </is>
      </c>
      <c r="N30" s="14" t="inlineStr">
        <is>
          <t>No</t>
        </is>
      </c>
      <c r="O30" s="15" t="inlineStr">
        <is>
          <t>Design and sales awards only. No building method on record.</t>
        </is>
      </c>
      <c r="P30" s="6" t="inlineStr">
        <is>
          <t>https://www.linkedin.com/in/steve-schermerhorn-0b39605/</t>
        </is>
      </c>
      <c r="Q30" s="12" t="inlineStr"/>
      <c r="R30" s="16">
        <f>IF(P30="","ADD LINKEDIN","ok")</f>
        <v/>
      </c>
      <c r="S30" s="12" t="inlineStr">
        <is>
          <t>https://normandyhomes.com/</t>
        </is>
      </c>
      <c r="T30" s="15" t="inlineStr">
        <is>
          <t>Builds at Painted Tree, among other DFW communities. Its president, Steve Schermerhorn, also runs CB JENI.</t>
        </is>
      </c>
      <c r="U30" s="12" t="inlineStr">
        <is>
          <t>YES</t>
        </is>
      </c>
      <c r="V30" s="15" t="inlineStr">
        <is>
          <t>Indexed title: President at CB JENI, Normandy. Green Brick leadership page, Division Presidents.</t>
        </is>
      </c>
      <c r="W30" s="12" t="inlineStr">
        <is>
          <t>https://greenbrickpartners.com/leadership/</t>
        </is>
      </c>
      <c r="X30" s="12" t="inlineStr">
        <is>
          <t>https://www.linkedin.com/company/normandy-homes/</t>
        </is>
      </c>
      <c r="Y30" s="12" t="inlineStr">
        <is>
          <t>https://greenbrickpartners.com/leadership/</t>
        </is>
      </c>
      <c r="Z30" s="12" t="inlineStr"/>
      <c r="AA30" s="12" t="inlineStr">
        <is>
          <t>(469) 573-6721</t>
        </is>
      </c>
      <c r="AB30" s="12" t="inlineStr">
        <is>
          <t>Green Brick Partners corporate, parent company</t>
        </is>
      </c>
      <c r="AC30" s="12" t="inlineStr">
        <is>
          <t>https://greenbrickpartners.com/about/</t>
        </is>
      </c>
      <c r="AD30" s="12" t="inlineStr"/>
      <c r="AE30" s="12" t="inlineStr"/>
    </row>
    <row r="31">
      <c r="A31" s="6" t="inlineStr">
        <is>
          <t>Blake Friesenhahn</t>
        </is>
      </c>
      <c r="B31" s="6" t="inlineStr">
        <is>
          <t>Pacesetter Homes Texas</t>
        </is>
      </c>
      <c r="C31" s="6" t="inlineStr">
        <is>
          <t>Vice President, Pacesetter Homes Dallas-Fort Worth</t>
        </is>
      </c>
      <c r="D31" s="7" t="inlineStr">
        <is>
          <t>One gap</t>
        </is>
      </c>
      <c r="E31" s="8" t="n">
        <v>2</v>
      </c>
      <c r="F31" s="6" t="inlineStr">
        <is>
          <t>Printer buyer</t>
        </is>
      </c>
      <c r="G31" s="6" t="inlineStr">
        <is>
          <t>Production homebuilder</t>
        </is>
      </c>
      <c r="H31" s="6" t="inlineStr">
        <is>
          <t>McKinney office, with communities in Celina, Little Elm, Forney, Rockwall and Justin</t>
        </is>
      </c>
      <c r="I31" s="6" t="inlineStr">
        <is>
          <t>482 closings company-wide in 2025, Austin and DFW</t>
        </is>
      </c>
      <c r="J31" s="8" t="inlineStr">
        <is>
          <t>Yes</t>
        </is>
      </c>
      <c r="K31" s="9" t="inlineStr">
        <is>
          <t>Plans repeated in Celina, Little Elm, Forney, Rockwall and the Justin corridor.</t>
        </is>
      </c>
      <c r="L31" s="8" t="inlineStr">
        <is>
          <t>Partly</t>
        </is>
      </c>
      <c r="M31" s="9" t="inlineStr">
        <is>
          <t>482 closings in 2025 across Austin and DFW. No DFW share published.</t>
        </is>
      </c>
      <c r="N31" s="8" t="inlineStr">
        <is>
          <t>No</t>
        </is>
      </c>
      <c r="O31" s="9" t="inlineStr">
        <is>
          <t>Nothing on record.</t>
        </is>
      </c>
      <c r="P31" s="10" t="inlineStr"/>
      <c r="Q31" s="6" t="inlineStr"/>
      <c r="R31" s="11">
        <f>IF(P31="","ADD LINKEDIN","ok")</f>
        <v/>
      </c>
      <c r="S31" s="6" t="inlineStr">
        <is>
          <t>https://pacesetterhomestexas.com/</t>
        </is>
      </c>
      <c r="T31" s="9" t="inlineStr">
        <is>
          <t>Repeats plans in Celina, Little Elm, Forney, Rockwall and the Justin corridor. Part of the Qualico family.</t>
        </is>
      </c>
      <c r="U31" s="6" t="inlineStr">
        <is>
          <t>YES</t>
        </is>
      </c>
      <c r="V31" s="9" t="inlineStr">
        <is>
          <t>Qualico news release, May 29, 2025.</t>
        </is>
      </c>
      <c r="W31" s="6" t="inlineStr">
        <is>
          <t>https://www.qualico.com/news/pacesetter-homes-texas-earns-spot-on-builder-100-list-for-the-ninth-consecutive-year</t>
        </is>
      </c>
      <c r="X31" s="6" t="inlineStr">
        <is>
          <t>https://www.linkedin.com/company/pacesetter-homes-texas/</t>
        </is>
      </c>
      <c r="Y31" s="6" t="inlineStr"/>
      <c r="Z31" s="6" t="inlineStr">
        <is>
          <t>2025-05-29 Qualico. Pacesetter Homes Texas earns spot on Builder 100 list for the ninth consecutive year  https://www.qualico.com/news/pacesetter-homes-texas-earns-spot-on-builder-100-list-for-the-ninth-consecutive-year</t>
        </is>
      </c>
      <c r="AA31" s="6" t="inlineStr">
        <is>
          <t>(469) 712-7401</t>
        </is>
      </c>
      <c r="AB31" s="6" t="inlineStr">
        <is>
          <t>Dallas corporate office, McKinney</t>
        </is>
      </c>
      <c r="AC31" s="6" t="inlineStr">
        <is>
          <t>https://pacesetterhomestexas.com/about-pacesetter/</t>
        </is>
      </c>
      <c r="AD31" s="6" t="inlineStr"/>
      <c r="AE31" s="6" t="inlineStr"/>
    </row>
    <row r="32">
      <c r="A32" s="12" t="inlineStr">
        <is>
          <t>Steve Schermerhorn</t>
        </is>
      </c>
      <c r="B32" s="12" t="inlineStr">
        <is>
          <t>Southgate Homes</t>
        </is>
      </c>
      <c r="C32" s="12" t="inlineStr">
        <is>
          <t>President, CB JENI Lifestyle, Normandy and Southgate Homes</t>
        </is>
      </c>
      <c r="D32" s="13" t="inlineStr">
        <is>
          <t>One gap</t>
        </is>
      </c>
      <c r="E32" s="14" t="n">
        <v>2</v>
      </c>
      <c r="F32" s="12" t="inlineStr">
        <is>
          <t>Printer buyer</t>
        </is>
      </c>
      <c r="G32" s="12" t="inlineStr">
        <is>
          <t>Luxury homebuilder, a Green Brick brand</t>
        </is>
      </c>
      <c r="H32" s="12" t="inlineStr">
        <is>
          <t>Dallas-Fort Worth, a Green Brick Partners brand</t>
        </is>
      </c>
      <c r="I32" s="12" t="inlineStr">
        <is>
          <t>Five selling communities at the end of 2025, per Green Brick</t>
        </is>
      </c>
      <c r="J32" s="14" t="inlineStr">
        <is>
          <t>Yes</t>
        </is>
      </c>
      <c r="K32" s="15" t="inlineStr">
        <is>
          <t>Production plans in a limited set of DFW communities.</t>
        </is>
      </c>
      <c r="L32" s="14" t="inlineStr">
        <is>
          <t>Partly</t>
        </is>
      </c>
      <c r="M32" s="15" t="inlineStr">
        <is>
          <t>Two other Green Brick brands share its president. No brand closing figure published.</t>
        </is>
      </c>
      <c r="N32" s="14" t="inlineStr">
        <is>
          <t>No</t>
        </is>
      </c>
      <c r="O32" s="15" t="inlineStr">
        <is>
          <t>Design and sales awards only. No building method on record.</t>
        </is>
      </c>
      <c r="P32" s="6" t="inlineStr">
        <is>
          <t>https://www.linkedin.com/in/steve-schermerhorn-0b39605/</t>
        </is>
      </c>
      <c r="Q32" s="12" t="inlineStr"/>
      <c r="R32" s="16">
        <f>IF(P32="","ADD LINKEDIN","ok")</f>
        <v/>
      </c>
      <c r="S32" s="12" t="inlineStr">
        <is>
          <t>https://southgatehomes.com/</t>
        </is>
      </c>
      <c r="T32" s="15" t="inlineStr">
        <is>
          <t>Builds at The Reserve at Watters, Painted Tree and Windsong Ranch. Its president, Steve Schermerhorn, also runs CB JENI and Normandy.</t>
        </is>
      </c>
      <c r="U32" s="12" t="inlineStr">
        <is>
          <t>YES</t>
        </is>
      </c>
      <c r="V32" s="15" t="inlineStr">
        <is>
          <t>Indexed title: President at CB JENI, Normandy. Green Brick leadership page.</t>
        </is>
      </c>
      <c r="W32" s="12" t="inlineStr">
        <is>
          <t>https://greenbrickpartners.com/leadership/</t>
        </is>
      </c>
      <c r="X32" s="12" t="inlineStr">
        <is>
          <t>https://www.linkedin.com/company/southgate-homes/</t>
        </is>
      </c>
      <c r="Y32" s="12" t="inlineStr">
        <is>
          <t>https://greenbrickpartners.com/leadership/</t>
        </is>
      </c>
      <c r="Z32" s="12" t="inlineStr"/>
      <c r="AA32" s="12" t="inlineStr">
        <is>
          <t>(469) 573-6721</t>
        </is>
      </c>
      <c r="AB32" s="12" t="inlineStr">
        <is>
          <t>Green Brick Partners corporate, parent company</t>
        </is>
      </c>
      <c r="AC32" s="12" t="inlineStr">
        <is>
          <t>https://greenbrickpartners.com/about/</t>
        </is>
      </c>
      <c r="AD32" s="12" t="inlineStr"/>
      <c r="AE32" s="12" t="inlineStr"/>
    </row>
    <row r="33">
      <c r="A33" s="6" t="inlineStr">
        <is>
          <t>Chris Wicker</t>
        </is>
      </c>
      <c r="B33" s="6" t="inlineStr">
        <is>
          <t>Trophy Signature Homes</t>
        </is>
      </c>
      <c r="C33" s="6" t="inlineStr">
        <is>
          <t>President, Trophy Signature Homes Dallas</t>
        </is>
      </c>
      <c r="D33" s="7" t="inlineStr">
        <is>
          <t>One gap</t>
        </is>
      </c>
      <c r="E33" s="8" t="n">
        <v>2</v>
      </c>
      <c r="F33" s="6" t="inlineStr">
        <is>
          <t>Printer buyer</t>
        </is>
      </c>
      <c r="G33" s="6" t="inlineStr">
        <is>
          <t>Entry-level and move-up homebuilder, a Green Brick brand</t>
        </is>
      </c>
      <c r="H33" s="6" t="inlineStr">
        <is>
          <t>Dallas-Fort Worth, with Austin and Houston added</t>
        </is>
      </c>
      <c r="I33" s="6" t="inlineStr">
        <is>
          <t>Parent Green Brick: 3,196 DFW closings in 2025</t>
        </is>
      </c>
      <c r="J33" s="8" t="inlineStr">
        <is>
          <t>Yes</t>
        </is>
      </c>
      <c r="K33" s="9" t="inlineStr">
        <is>
          <t>Entry-level and move-up plans under one brand. Austin added in 2023, Houston announced in 2024.</t>
        </is>
      </c>
      <c r="L33" s="8" t="inlineStr">
        <is>
          <t>Partly</t>
        </is>
      </c>
      <c r="M33" s="9" t="inlineStr">
        <is>
          <t>No closing figure published for the brand alone.</t>
        </is>
      </c>
      <c r="N33" s="8" t="inlineStr">
        <is>
          <t>No</t>
        </is>
      </c>
      <c r="O33" s="9" t="inlineStr">
        <is>
          <t>Under 90 days average cycle time, the lowest in brand history. Not a new wall method.</t>
        </is>
      </c>
      <c r="P33" s="6" t="inlineStr">
        <is>
          <t>https://www.linkedin.com/in/chris-wicker-08776a66/</t>
        </is>
      </c>
      <c r="Q33" s="6" t="inlineStr"/>
      <c r="R33" s="11">
        <f>IF(P33="","ADD LINKEDIN","ok")</f>
        <v/>
      </c>
      <c r="S33" s="6" t="inlineStr">
        <is>
          <t>https://trophysignaturehomes.com/</t>
        </is>
      </c>
      <c r="T33" s="9" t="inlineStr">
        <is>
          <t>Its DFW cycle time is under 90 days. Land and purchasing sit at the parent.</t>
        </is>
      </c>
      <c r="U33" s="6" t="inlineStr">
        <is>
          <t>YES</t>
        </is>
      </c>
      <c r="V33" s="9" t="inlineStr">
        <is>
          <t>Indexed title: Trophy Signature Homes. Green Brick leadership page. Promoted December 2024.</t>
        </is>
      </c>
      <c r="W33" s="6" t="inlineStr">
        <is>
          <t>https://greenbrickpartners.com/leadership/</t>
        </is>
      </c>
      <c r="X33" s="6" t="inlineStr">
        <is>
          <t>https://www.linkedin.com/company/trophysignaturehomes/</t>
        </is>
      </c>
      <c r="Y33" s="6" t="inlineStr">
        <is>
          <t>https://greenbrickpartners.com/team-member/chris-wicker/</t>
        </is>
      </c>
      <c r="Z33" s="6" t="inlineStr"/>
      <c r="AA33" s="6" t="inlineStr">
        <is>
          <t>(469) 573-6721</t>
        </is>
      </c>
      <c r="AB33" s="6" t="inlineStr">
        <is>
          <t>Green Brick Partners corporate office, Plano</t>
        </is>
      </c>
      <c r="AC33" s="6" t="inlineStr">
        <is>
          <t>https://greenbrickpartners.com/about/</t>
        </is>
      </c>
      <c r="AD33" s="6" t="inlineStr"/>
      <c r="AE33" s="6" t="inlineStr"/>
    </row>
    <row r="34">
      <c r="A34" s="12" t="inlineStr">
        <is>
          <t>Jed Dolson</t>
        </is>
      </c>
      <c r="B34" s="12" t="inlineStr">
        <is>
          <t>Trophy Signature Homes</t>
        </is>
      </c>
      <c r="C34" s="12" t="inlineStr">
        <is>
          <t>President and Chief Operating Officer, Green Brick Partners. Co-Chief Executive Officer from 15 October 2026</t>
        </is>
      </c>
      <c r="D34" s="13" t="inlineStr">
        <is>
          <t>One gap</t>
        </is>
      </c>
      <c r="E34" s="14" t="n">
        <v>2</v>
      </c>
      <c r="F34" s="12" t="inlineStr">
        <is>
          <t>Printer buyer</t>
        </is>
      </c>
      <c r="G34" s="12" t="inlineStr">
        <is>
          <t>Entry-level and move-up homebuilder, a Green Brick brand</t>
        </is>
      </c>
      <c r="H34" s="12" t="inlineStr">
        <is>
          <t>Dallas-Fort Worth, with Austin and Houston added</t>
        </is>
      </c>
      <c r="I34" s="12" t="inlineStr">
        <is>
          <t>Parent Green Brick: 3,196 DFW closings in 2025</t>
        </is>
      </c>
      <c r="J34" s="14" t="inlineStr">
        <is>
          <t>Yes</t>
        </is>
      </c>
      <c r="K34" s="15" t="inlineStr">
        <is>
          <t>Entry-level and move-up plans under one brand. Austin added in 2023, Houston announced in 2024.</t>
        </is>
      </c>
      <c r="L34" s="14" t="inlineStr">
        <is>
          <t>Partly</t>
        </is>
      </c>
      <c r="M34" s="15" t="inlineStr">
        <is>
          <t>No closing figure published for the brand alone.</t>
        </is>
      </c>
      <c r="N34" s="14" t="inlineStr">
        <is>
          <t>No</t>
        </is>
      </c>
      <c r="O34" s="15" t="inlineStr">
        <is>
          <t>Under 90 days average cycle time, the lowest in brand history. Not a new wall method.</t>
        </is>
      </c>
      <c r="P34" s="6" t="inlineStr">
        <is>
          <t>https://www.linkedin.com/in/jed-dolson/</t>
        </is>
      </c>
      <c r="Q34" s="12" t="inlineStr"/>
      <c r="R34" s="16">
        <f>IF(P34="","ADD LINKEDIN","ok")</f>
        <v/>
      </c>
      <c r="S34" s="12" t="inlineStr">
        <is>
          <t>https://trophysignaturehomes.com/</t>
        </is>
      </c>
      <c r="T34" s="15" t="inlineStr">
        <is>
          <t>Its DFW cycle time is under 90 days. Land and purchasing sit at the parent.</t>
        </is>
      </c>
      <c r="U34" s="12" t="inlineStr"/>
      <c r="V34" s="15" t="inlineStr">
        <is>
          <t>Indexed title: Chief Operating Officer and Executive Vice President, Green Brick Partners. Green Brick leadership page and 30 July 2026 release. Formerly President, Texas region.</t>
        </is>
      </c>
      <c r="W34" s="12" t="inlineStr">
        <is>
          <t>https://greenbrickpartners.com/leadership/</t>
        </is>
      </c>
      <c r="X34" s="12" t="inlineStr">
        <is>
          <t>https://www.linkedin.com/company/trophysignaturehomes/</t>
        </is>
      </c>
      <c r="Y34" s="12" t="inlineStr">
        <is>
          <t>https://greenbrickpartners.com/team-member/chris-wicker/</t>
        </is>
      </c>
      <c r="Z34" s="12" t="inlineStr"/>
      <c r="AA34" s="12" t="inlineStr">
        <is>
          <t>(469) 573-6721</t>
        </is>
      </c>
      <c r="AB34" s="12" t="inlineStr">
        <is>
          <t>Green Brick Partners corporate office, Plano</t>
        </is>
      </c>
      <c r="AC34" s="12" t="inlineStr">
        <is>
          <t>https://greenbrickpartners.com/about/</t>
        </is>
      </c>
      <c r="AD34" s="12" t="inlineStr"/>
      <c r="AE34" s="12" t="inlineStr"/>
    </row>
    <row r="35">
      <c r="A35" s="6" t="inlineStr">
        <is>
          <t>no contact identified</t>
        </is>
      </c>
      <c r="B35" s="6" t="inlineStr">
        <is>
          <t>William Ryan Homes</t>
        </is>
      </c>
      <c r="C35" s="6" t="inlineStr"/>
      <c r="D35" s="7" t="inlineStr">
        <is>
          <t>One gap</t>
        </is>
      </c>
      <c r="E35" s="8" t="n">
        <v>2</v>
      </c>
      <c r="F35" s="6" t="inlineStr">
        <is>
          <t>Printer buyer</t>
        </is>
      </c>
      <c r="G35" s="6" t="inlineStr">
        <is>
          <t>Production homebuilder</t>
        </is>
      </c>
      <c r="H35" s="6" t="inlineStr">
        <is>
          <t>Farmers Branch design center, with communities across North Texas</t>
        </is>
      </c>
      <c r="I35" s="6" t="inlineStr">
        <is>
          <t>436 company-wide closings in 2025, BUILDER rank 117</t>
        </is>
      </c>
      <c r="J35" s="8" t="inlineStr">
        <is>
          <t>Yes</t>
        </is>
      </c>
      <c r="K35" s="9" t="inlineStr">
        <is>
          <t>Floor-plan catalog repeated in Forney, Midlothian, Justin, Celina, McKinney, Anna and Royse City.</t>
        </is>
      </c>
      <c r="L35" s="8" t="inlineStr">
        <is>
          <t>Partly</t>
        </is>
      </c>
      <c r="M35" s="9" t="inlineStr">
        <is>
          <t>436 company-wide closings in 2025, no DFW share. 2023 regional goal was about 500 a year.</t>
        </is>
      </c>
      <c r="N35" s="8" t="inlineStr">
        <is>
          <t>No</t>
        </is>
      </c>
      <c r="O35" s="9" t="inlineStr">
        <is>
          <t>Nothing on record.</t>
        </is>
      </c>
      <c r="P35" s="10" t="inlineStr"/>
      <c r="Q35" s="6" t="inlineStr"/>
      <c r="R35" s="11">
        <f>IF(P35="","ADD LINKEDIN","ok")</f>
        <v/>
      </c>
      <c r="S35" s="6" t="inlineStr">
        <is>
          <t>https://www.williamryanhomes.com/dfw</t>
        </is>
      </c>
      <c r="T35" s="9" t="inlineStr">
        <is>
          <t>Returned to DFW in 2023 with lots under contract across North Texas. Sells one repeated floor-plan catalog.</t>
        </is>
      </c>
      <c r="U35" s="6" t="inlineStr"/>
      <c r="V35" s="9" t="inlineStr"/>
      <c r="W35" s="6" t="inlineStr"/>
      <c r="X35" s="6" t="inlineStr">
        <is>
          <t>https://www.linkedin.com/company/william-ryan-homes/</t>
        </is>
      </c>
      <c r="Y35" s="6" t="inlineStr"/>
      <c r="Z35" s="6" t="inlineStr">
        <is>
          <t>2023-07-07 Dallas Morning News. Chicago builder that left D-FW returns to area, takes 1,500 home sites  https://www.dallasnews.com/business/real-estate/2023/07/07/chicago-builder-that-left-d-fw-returns-to-area-takes-1500-home-sites/</t>
        </is>
      </c>
      <c r="AA35" s="6" t="inlineStr"/>
      <c r="AB35" s="6" t="inlineStr"/>
      <c r="AC35" s="6" t="inlineStr"/>
      <c r="AD35" s="6" t="inlineStr"/>
      <c r="AE35" s="6" t="inlineStr"/>
    </row>
    <row r="36">
      <c r="A36" s="12" t="inlineStr">
        <is>
          <t>Mark Wolf</t>
        </is>
      </c>
      <c r="B36" s="12" t="inlineStr">
        <is>
          <t>AHV Communities</t>
        </is>
      </c>
      <c r="C36" s="12" t="inlineStr">
        <is>
          <t>Co-founder and CEO</t>
        </is>
      </c>
      <c r="D36" s="13" t="inlineStr">
        <is>
          <t>One gap</t>
        </is>
      </c>
      <c r="E36" s="14" t="n">
        <v>2</v>
      </c>
      <c r="F36" s="12" t="inlineStr">
        <is>
          <t>Printer buyer</t>
        </is>
      </c>
      <c r="G36" s="12" t="inlineStr">
        <is>
          <t>Build-to-rent developer and builder</t>
        </is>
      </c>
      <c r="H36" s="12" t="inlineStr">
        <is>
          <t>San Antonio headquarters, first DFW project in McKinney</t>
        </is>
      </c>
      <c r="I36" s="12" t="inlineStr">
        <is>
          <t>157-home first DFW project on 38 acres, McKinney</t>
        </is>
      </c>
      <c r="J36" s="14" t="inlineStr">
        <is>
          <t>Yes</t>
        </is>
      </c>
      <c r="K36" s="15" t="inlineStr">
        <is>
          <t>One 38-acre McKinney site with rental plans repeated.</t>
        </is>
      </c>
      <c r="L36" s="14" t="inlineStr">
        <is>
          <t>Partly</t>
        </is>
      </c>
      <c r="M36" s="15" t="inlineStr">
        <is>
          <t>157 homes is a project total, not a yearly figure.</t>
        </is>
      </c>
      <c r="N36" s="14" t="inlineStr">
        <is>
          <t>No</t>
        </is>
      </c>
      <c r="O36" s="15" t="inlineStr">
        <is>
          <t>Nothing on record.</t>
        </is>
      </c>
      <c r="P36" s="10" t="inlineStr"/>
      <c r="Q36" s="12" t="inlineStr"/>
      <c r="R36" s="16">
        <f>IF(P36="","ADD LINKEDIN","ok")</f>
        <v/>
      </c>
      <c r="S36" s="12" t="inlineStr">
        <is>
          <t>https://ahvcommunities.com/</t>
        </is>
      </c>
      <c r="T36" s="15" t="inlineStr">
        <is>
          <t>Develops, builds and operates its own rental communities. Headquartered in San Antonio, moved from Costa Mesa.</t>
        </is>
      </c>
      <c r="U36" s="12" t="inlineStr">
        <is>
          <t>YES</t>
        </is>
      </c>
      <c r="V36" s="15" t="inlineStr">
        <is>
          <t>CandysDirt article, July 2022.</t>
        </is>
      </c>
      <c r="W36" s="12" t="inlineStr">
        <is>
          <t>https://candysdirt.com/2022/07/10/san-antonio-company-finds-a-sweet-spot-with-first-north-texas-project/</t>
        </is>
      </c>
      <c r="X36" s="12" t="inlineStr">
        <is>
          <t>https://www.linkedin.com/company/ahv-communities/</t>
        </is>
      </c>
      <c r="Y36" s="12" t="inlineStr"/>
      <c r="Z36" s="12" t="inlineStr">
        <is>
          <t>2024 DALTX Real Estate. San Antonio company finds a sweet spot with first North Texas project  https://daltxrealestate.com/san-antonio-company-finds-a-sweet-spot-with-first-north-texas-project/</t>
        </is>
      </c>
      <c r="AA36" s="12" t="inlineStr">
        <is>
          <t>(949) 508-2099</t>
        </is>
      </c>
      <c r="AB36" s="12" t="inlineStr">
        <is>
          <t>Main line, on the firm's homepage</t>
        </is>
      </c>
      <c r="AC36" s="12" t="inlineStr">
        <is>
          <t>https://ahvcommunities.com/</t>
        </is>
      </c>
      <c r="AD36" s="12" t="inlineStr"/>
      <c r="AE36" s="12" t="inlineStr"/>
    </row>
    <row r="37">
      <c r="A37" s="6" t="inlineStr">
        <is>
          <t>Kevin Egan</t>
        </is>
      </c>
      <c r="B37" s="6" t="inlineStr">
        <is>
          <t>American Legend Homes</t>
        </is>
      </c>
      <c r="C37" s="6" t="inlineStr">
        <is>
          <t>Chief Executive Officer</t>
        </is>
      </c>
      <c r="D37" s="7" t="inlineStr">
        <is>
          <t>One gap</t>
        </is>
      </c>
      <c r="E37" s="8" t="n">
        <v>2</v>
      </c>
      <c r="F37" s="6" t="inlineStr">
        <is>
          <t>Printer buyer</t>
        </is>
      </c>
      <c r="G37" s="6" t="inlineStr">
        <is>
          <t>Production homebuilder</t>
        </is>
      </c>
      <c r="H37" s="6" t="inlineStr">
        <is>
          <t>Lewisville, with communities across DFW and in Colorado</t>
        </is>
      </c>
      <c r="I37" s="6" t="inlineStr">
        <is>
          <t>636 company-wide closings in 2025, 87th on Builder 100</t>
        </is>
      </c>
      <c r="J37" s="8" t="inlineStr">
        <is>
          <t>Yes</t>
        </is>
      </c>
      <c r="K37" s="9" t="inlineStr">
        <is>
          <t>Production plans sold on masterplan builder rosters.</t>
        </is>
      </c>
      <c r="L37" s="8" t="inlineStr">
        <is>
          <t>Partly</t>
        </is>
      </c>
      <c r="M37" s="9" t="inlineStr">
        <is>
          <t>636 closings in 2025 across Texas and Colorado. No DFW-only figure published.</t>
        </is>
      </c>
      <c r="N37" s="8" t="inlineStr">
        <is>
          <t>No</t>
        </is>
      </c>
      <c r="O37" s="9" t="inlineStr">
        <is>
          <t>Low-E argon windows, TechShield radiant barrier, 16 SEER systems, tankless heaters. No new wall method.</t>
        </is>
      </c>
      <c r="P37" s="10" t="inlineStr"/>
      <c r="Q37" s="6" t="inlineStr"/>
      <c r="R37" s="11">
        <f>IF(P37="","ADD LINKEDIN","ok")</f>
        <v/>
      </c>
      <c r="S37" s="6" t="inlineStr">
        <is>
          <t>https://www.amlegendhomes.com/</t>
        </is>
      </c>
      <c r="T37" s="9" t="inlineStr">
        <is>
          <t>Every home is HERS-rated by an independent energy rater. Family and employee-owned, with a sister brand, Belclaire.</t>
        </is>
      </c>
      <c r="U37" s="6" t="inlineStr"/>
      <c r="V37" s="9" t="inlineStr">
        <is>
          <t>Firm's blog post, December 14, 2022. Named Chief Executive Officer after serving as president.</t>
        </is>
      </c>
      <c r="W37" s="6" t="inlineStr">
        <is>
          <t>https://www.amlegendhomes.com/blog/american-legend-homes-announces-new-ceo-and-leadership-team</t>
        </is>
      </c>
      <c r="X37" s="6" t="inlineStr">
        <is>
          <t>https://www.linkedin.com/company/american-legend-homes/</t>
        </is>
      </c>
      <c r="Y37" s="6" t="inlineStr">
        <is>
          <t>https://www.amlegendhomes.com/blog/american-legend-homes-announces-new-ceo-and-leadership-team</t>
        </is>
      </c>
      <c r="Z37" s="6" t="inlineStr"/>
      <c r="AA37" s="6" t="inlineStr">
        <is>
          <t>(972) 410-5701</t>
        </is>
      </c>
      <c r="AB37" s="6" t="inlineStr">
        <is>
          <t>Texas corporate office</t>
        </is>
      </c>
      <c r="AC37" s="6" t="inlineStr">
        <is>
          <t>https://www.amlegendhomes.com/</t>
        </is>
      </c>
      <c r="AD37" s="6" t="inlineStr"/>
      <c r="AE37" s="6" t="inlineStr"/>
    </row>
    <row r="38">
      <c r="A38" s="12" t="inlineStr">
        <is>
          <t>Paul Miller</t>
        </is>
      </c>
      <c r="B38" s="12" t="inlineStr">
        <is>
          <t>American Legend Homes</t>
        </is>
      </c>
      <c r="C38" s="12" t="inlineStr">
        <is>
          <t>President and Chief Operating Officer</t>
        </is>
      </c>
      <c r="D38" s="13" t="inlineStr">
        <is>
          <t>One gap</t>
        </is>
      </c>
      <c r="E38" s="14" t="n">
        <v>2</v>
      </c>
      <c r="F38" s="12" t="inlineStr">
        <is>
          <t>Printer buyer</t>
        </is>
      </c>
      <c r="G38" s="12" t="inlineStr">
        <is>
          <t>Production homebuilder</t>
        </is>
      </c>
      <c r="H38" s="12" t="inlineStr">
        <is>
          <t>Lewisville, with communities across DFW and in Colorado</t>
        </is>
      </c>
      <c r="I38" s="12" t="inlineStr">
        <is>
          <t>636 company-wide closings in 2025, 87th on Builder 100</t>
        </is>
      </c>
      <c r="J38" s="14" t="inlineStr">
        <is>
          <t>Yes</t>
        </is>
      </c>
      <c r="K38" s="15" t="inlineStr">
        <is>
          <t>Production plans sold on masterplan builder rosters.</t>
        </is>
      </c>
      <c r="L38" s="14" t="inlineStr">
        <is>
          <t>Partly</t>
        </is>
      </c>
      <c r="M38" s="15" t="inlineStr">
        <is>
          <t>636 closings in 2025 across Texas and Colorado. No DFW-only figure published.</t>
        </is>
      </c>
      <c r="N38" s="14" t="inlineStr">
        <is>
          <t>No</t>
        </is>
      </c>
      <c r="O38" s="15" t="inlineStr">
        <is>
          <t>Low-E argon windows, TechShield radiant barrier, 16 SEER systems, tankless heaters. No new wall method.</t>
        </is>
      </c>
      <c r="P38" s="10" t="inlineStr"/>
      <c r="Q38" s="12" t="inlineStr"/>
      <c r="R38" s="16">
        <f>IF(P38="","ADD LINKEDIN","ok")</f>
        <v/>
      </c>
      <c r="S38" s="12" t="inlineStr">
        <is>
          <t>https://www.amlegendhomes.com/</t>
        </is>
      </c>
      <c r="T38" s="15" t="inlineStr">
        <is>
          <t>Every home is HERS-rated by an independent energy rater. Family and employee-owned, with a sister brand, Belclaire.</t>
        </is>
      </c>
      <c r="U38" s="12" t="inlineStr"/>
      <c r="V38" s="15" t="inlineStr">
        <is>
          <t>Firm's blog post, December 14, 2022. Named President and Chief Operating Officer.</t>
        </is>
      </c>
      <c r="W38" s="12" t="inlineStr">
        <is>
          <t>https://www.amlegendhomes.com/blog/american-legend-homes-announces-new-ceo-and-leadership-team</t>
        </is>
      </c>
      <c r="X38" s="12" t="inlineStr">
        <is>
          <t>https://www.linkedin.com/company/american-legend-homes/</t>
        </is>
      </c>
      <c r="Y38" s="12" t="inlineStr">
        <is>
          <t>https://www.amlegendhomes.com/blog/american-legend-homes-announces-new-ceo-and-leadership-team</t>
        </is>
      </c>
      <c r="Z38" s="12" t="inlineStr"/>
      <c r="AA38" s="12" t="inlineStr">
        <is>
          <t>(972) 410-5701</t>
        </is>
      </c>
      <c r="AB38" s="12" t="inlineStr">
        <is>
          <t>Texas corporate office</t>
        </is>
      </c>
      <c r="AC38" s="12" t="inlineStr">
        <is>
          <t>https://www.amlegendhomes.com/</t>
        </is>
      </c>
      <c r="AD38" s="12" t="inlineStr"/>
      <c r="AE38" s="12" t="inlineStr"/>
    </row>
    <row r="39">
      <c r="A39" s="6" t="inlineStr">
        <is>
          <t>Bruno Pasquinelli</t>
        </is>
      </c>
      <c r="B39" s="6" t="inlineStr">
        <is>
          <t>Cadence Homes</t>
        </is>
      </c>
      <c r="C39" s="6" t="inlineStr">
        <is>
          <t>Founder</t>
        </is>
      </c>
      <c r="D39" s="7" t="inlineStr">
        <is>
          <t>One gap</t>
        </is>
      </c>
      <c r="E39" s="8" t="n">
        <v>2</v>
      </c>
      <c r="F39" s="6" t="inlineStr">
        <is>
          <t>Printer buyer</t>
        </is>
      </c>
      <c r="G39" s="6" t="inlineStr">
        <is>
          <t>Townhome builder</t>
        </is>
      </c>
      <c r="H39" s="6" t="inlineStr">
        <is>
          <t>Plano, with communities from McKinney to Crowley</t>
        </is>
      </c>
      <c r="I39" s="6" t="inlineStr">
        <is>
          <t>Townhome builder, eight DFW communities on its site</t>
        </is>
      </c>
      <c r="J39" s="8" t="inlineStr">
        <is>
          <t>Yes</t>
        </is>
      </c>
      <c r="K39" s="9" t="inlineStr">
        <is>
          <t>Plan library repeated in at least eight DFW communities.</t>
        </is>
      </c>
      <c r="L39" s="8" t="inlineStr">
        <is>
          <t>Partly</t>
        </is>
      </c>
      <c r="M39" s="9" t="inlineStr">
        <is>
          <t>Townhomes in at least eight DFW communities. Annual closings not published.</t>
        </is>
      </c>
      <c r="N39" s="8" t="inlineStr">
        <is>
          <t>No</t>
        </is>
      </c>
      <c r="O39" s="9" t="inlineStr">
        <is>
          <t>Nothing on record.</t>
        </is>
      </c>
      <c r="P39" s="10" t="inlineStr"/>
      <c r="Q39" s="6" t="inlineStr"/>
      <c r="R39" s="11">
        <f>IF(P39="","ADD LINKEDIN","ok")</f>
        <v/>
      </c>
      <c r="S39" s="6" t="inlineStr">
        <is>
          <t>https://cadencehomestx.com/</t>
        </is>
      </c>
      <c r="T39" s="9" t="inlineStr">
        <is>
          <t>Repeats one attached-townhome plan library across DFW, from McKinney to Crowley. Bruno Pasquinelli founded it.</t>
        </is>
      </c>
      <c r="U39" s="6" t="inlineStr">
        <is>
          <t>YES</t>
        </is>
      </c>
      <c r="V39" s="9" t="inlineStr">
        <is>
          <t>Trinity Falls builder page. Over 30 years of experience.</t>
        </is>
      </c>
      <c r="W39" s="6" t="inlineStr">
        <is>
          <t>https://cadencehomestx.com/</t>
        </is>
      </c>
      <c r="X39" s="6" t="inlineStr">
        <is>
          <t>https://www.linkedin.com/company/cadence-homes/</t>
        </is>
      </c>
      <c r="Y39" s="6" t="inlineStr"/>
      <c r="Z39" s="6" t="inlineStr"/>
      <c r="AA39" s="6" t="inlineStr">
        <is>
          <t>(469) 294-0196</t>
        </is>
      </c>
      <c r="AB39" s="6" t="inlineStr">
        <is>
          <t>Corporate office, Plano</t>
        </is>
      </c>
      <c r="AC39" s="6" t="inlineStr">
        <is>
          <t>https://cadencehomestx.com/</t>
        </is>
      </c>
      <c r="AD39" s="6" t="inlineStr"/>
      <c r="AE39" s="6" t="inlineStr"/>
    </row>
    <row r="40">
      <c r="A40" s="12" t="inlineStr">
        <is>
          <t>Dan Miller</t>
        </is>
      </c>
      <c r="B40" s="12" t="inlineStr">
        <is>
          <t>Camillo Companies / SimplyHome</t>
        </is>
      </c>
      <c r="C40" s="12" t="inlineStr">
        <is>
          <t>Chief Executive Officer, Camillo Companies</t>
        </is>
      </c>
      <c r="D40" s="13" t="inlineStr">
        <is>
          <t>One gap</t>
        </is>
      </c>
      <c r="E40" s="14" t="n">
        <v>2</v>
      </c>
      <c r="F40" s="12" t="inlineStr">
        <is>
          <t>Printer buyer</t>
        </is>
      </c>
      <c r="G40" s="12" t="inlineStr">
        <is>
          <t>Build-to-rent builder and owner</t>
        </is>
      </c>
      <c r="H40" s="12" t="inlineStr">
        <is>
          <t>Houston-based, with SimplyHome rentals in Dallas-Fort Worth</t>
        </is>
      </c>
      <c r="I40" s="12" t="inlineStr">
        <is>
          <t>65,000+ SimplyHome residents since 2012, its own count</t>
        </is>
      </c>
      <c r="J40" s="14" t="inlineStr">
        <is>
          <t>Yes</t>
        </is>
      </c>
      <c r="K40" s="15" t="inlineStr">
        <is>
          <t>Rental plans repeated across SimplyHome communities in Texas.</t>
        </is>
      </c>
      <c r="L40" s="14" t="inlineStr">
        <is>
          <t>Partly</t>
        </is>
      </c>
      <c r="M40" s="15" t="inlineStr">
        <is>
          <t>No DFW build volume. Which DFW communities it built or bought is not published.</t>
        </is>
      </c>
      <c r="N40" s="14" t="inlineStr">
        <is>
          <t>No</t>
        </is>
      </c>
      <c r="O40" s="15" t="inlineStr">
        <is>
          <t>Nothing on record.</t>
        </is>
      </c>
      <c r="P40" s="6" t="inlineStr">
        <is>
          <t>https://www.linkedin.com/in/dan-miller/</t>
        </is>
      </c>
      <c r="Q40" s="12" t="inlineStr"/>
      <c r="R40" s="16">
        <f>IF(P40="","ADD LINKEDIN","ok")</f>
        <v/>
      </c>
      <c r="S40" s="12" t="inlineStr">
        <is>
          <t>https://www.camillocompanies.com/</t>
        </is>
      </c>
      <c r="T40" s="15" t="inlineStr">
        <is>
          <t>Develops and rents homes across Texas through SimplyHome. Named Dan Miller Chief Executive Officer on August 4, 2025.</t>
        </is>
      </c>
      <c r="U40" s="12" t="inlineStr"/>
      <c r="V40" s="15" t="inlineStr">
        <is>
          <t>Indexed title: Chief Executive Officer at Camillo Companies. Camillo release, August 4, 2025.</t>
        </is>
      </c>
      <c r="W40" s="12" t="inlineStr">
        <is>
          <t>https://www.camillocompanies.com/camillo-companies-names-dan-miller-as-ceo</t>
        </is>
      </c>
      <c r="X40" s="12" t="inlineStr">
        <is>
          <t>https://www.linkedin.com/company/camillo-companies/</t>
        </is>
      </c>
      <c r="Y40" s="12" t="inlineStr">
        <is>
          <t>https://www.camillocompanies.com/camillo-companies-names-dan-miller-as-ceo</t>
        </is>
      </c>
      <c r="Z40" s="12" t="inlineStr"/>
      <c r="AA40" s="12" t="inlineStr">
        <is>
          <t>(888) 234-9451</t>
        </is>
      </c>
      <c r="AB40" s="12" t="inlineStr">
        <is>
          <t>Camillo Companies main line</t>
        </is>
      </c>
      <c r="AC40" s="12" t="inlineStr">
        <is>
          <t>https://www.camillocompanies.com/</t>
        </is>
      </c>
      <c r="AD40" s="12" t="inlineStr"/>
      <c r="AE40" s="12" t="inlineStr"/>
    </row>
    <row r="41">
      <c r="A41" s="6" t="inlineStr">
        <is>
          <t>Matt Hansen</t>
        </is>
      </c>
      <c r="B41" s="6" t="inlineStr">
        <is>
          <t>Camillo Companies / SimplyHome</t>
        </is>
      </c>
      <c r="C41" s="6" t="inlineStr">
        <is>
          <t>President, SimplyHome</t>
        </is>
      </c>
      <c r="D41" s="7" t="inlineStr">
        <is>
          <t>One gap</t>
        </is>
      </c>
      <c r="E41" s="8" t="n">
        <v>2</v>
      </c>
      <c r="F41" s="6" t="inlineStr">
        <is>
          <t>Printer buyer</t>
        </is>
      </c>
      <c r="G41" s="6" t="inlineStr">
        <is>
          <t>Build-to-rent builder and owner</t>
        </is>
      </c>
      <c r="H41" s="6" t="inlineStr">
        <is>
          <t>Houston-based, with SimplyHome rentals in Dallas-Fort Worth</t>
        </is>
      </c>
      <c r="I41" s="6" t="inlineStr">
        <is>
          <t>65,000+ SimplyHome residents since 2012, its own count</t>
        </is>
      </c>
      <c r="J41" s="8" t="inlineStr">
        <is>
          <t>Yes</t>
        </is>
      </c>
      <c r="K41" s="9" t="inlineStr">
        <is>
          <t>Rental plans repeated across SimplyHome communities in Texas.</t>
        </is>
      </c>
      <c r="L41" s="8" t="inlineStr">
        <is>
          <t>Partly</t>
        </is>
      </c>
      <c r="M41" s="9" t="inlineStr">
        <is>
          <t>No DFW build volume. Which DFW communities it built or bought is not published.</t>
        </is>
      </c>
      <c r="N41" s="8" t="inlineStr">
        <is>
          <t>No</t>
        </is>
      </c>
      <c r="O41" s="9" t="inlineStr">
        <is>
          <t>Nothing on record.</t>
        </is>
      </c>
      <c r="P41" s="10" t="inlineStr"/>
      <c r="Q41" s="6" t="inlineStr"/>
      <c r="R41" s="11">
        <f>IF(P41="","ADD LINKEDIN","ok")</f>
        <v/>
      </c>
      <c r="S41" s="6" t="inlineStr">
        <is>
          <t>https://www.camillocompanies.com/</t>
        </is>
      </c>
      <c r="T41" s="9" t="inlineStr">
        <is>
          <t>Develops and rents homes across Texas through SimplyHome. Named Dan Miller Chief Executive Officer on August 4, 2025.</t>
        </is>
      </c>
      <c r="U41" s="6" t="inlineStr"/>
      <c r="V41" s="9" t="inlineStr">
        <is>
          <t>Camillo blog, May 22, 2023.</t>
        </is>
      </c>
      <c r="W41" s="6" t="inlineStr">
        <is>
          <t>https://www.camillocompanies.com/blog/camillo-companies-names-tanya-rizzo-president-legend-homes-matt-hansen-president-simplyhome</t>
        </is>
      </c>
      <c r="X41" s="6" t="inlineStr">
        <is>
          <t>https://www.linkedin.com/company/camillo-companies/</t>
        </is>
      </c>
      <c r="Y41" s="6" t="inlineStr">
        <is>
          <t>https://www.camillocompanies.com/camillo-companies-names-dan-miller-as-ceo</t>
        </is>
      </c>
      <c r="Z41" s="6" t="inlineStr"/>
      <c r="AA41" s="6" t="inlineStr">
        <is>
          <t>(888) 234-9451</t>
        </is>
      </c>
      <c r="AB41" s="6" t="inlineStr">
        <is>
          <t>Camillo Companies main line</t>
        </is>
      </c>
      <c r="AC41" s="6" t="inlineStr">
        <is>
          <t>https://www.camillocompanies.com/</t>
        </is>
      </c>
      <c r="AD41" s="6" t="inlineStr"/>
      <c r="AE41" s="6" t="inlineStr"/>
    </row>
    <row r="42">
      <c r="A42" s="12" t="inlineStr">
        <is>
          <t>Joey Goss</t>
        </is>
      </c>
      <c r="B42" s="12" t="inlineStr">
        <is>
          <t>Cheldan Homes</t>
        </is>
      </c>
      <c r="C42" s="12" t="inlineStr">
        <is>
          <t>Chief Executive Officer and Founder</t>
        </is>
      </c>
      <c r="D42" s="13" t="inlineStr">
        <is>
          <t>One gap</t>
        </is>
      </c>
      <c r="E42" s="14" t="n">
        <v>2</v>
      </c>
      <c r="F42" s="12" t="inlineStr">
        <is>
          <t>Printer buyer</t>
        </is>
      </c>
      <c r="G42" s="12" t="inlineStr">
        <is>
          <t>Family homebuilder</t>
        </is>
      </c>
      <c r="H42" s="12" t="inlineStr">
        <is>
          <t>Fort Worth, with communities in Boyd, Cleburne, Venus, Graham, Keene and Springtown</t>
        </is>
      </c>
      <c r="I42" s="12" t="inlineStr">
        <is>
          <t>Seven communities around Fort Worth, per its own site</t>
        </is>
      </c>
      <c r="J42" s="14" t="inlineStr">
        <is>
          <t>Yes</t>
        </is>
      </c>
      <c r="K42" s="15" t="inlineStr">
        <is>
          <t>One plan library, including the Essex, across its communities.</t>
        </is>
      </c>
      <c r="L42" s="14" t="inlineStr">
        <is>
          <t>Partly</t>
        </is>
      </c>
      <c r="M42" s="15" t="inlineStr">
        <is>
          <t>Seven communities west and south of Fort Worth. Annual closings not published.</t>
        </is>
      </c>
      <c r="N42" s="14" t="inlineStr">
        <is>
          <t>No</t>
        </is>
      </c>
      <c r="O42" s="15" t="inlineStr">
        <is>
          <t>A 2025 JCBA energy award covers one community. Nothing on record about wall method.</t>
        </is>
      </c>
      <c r="P42" s="10" t="inlineStr"/>
      <c r="Q42" s="12" t="inlineStr"/>
      <c r="R42" s="16">
        <f>IF(P42="","ADD LINKEDIN","ok")</f>
        <v/>
      </c>
      <c r="S42" s="12" t="inlineStr">
        <is>
          <t>https://www.cheldanhomes.com/</t>
        </is>
      </c>
      <c r="T42" s="15" t="inlineStr">
        <is>
          <t>One plan library, including the Essex, west and south of Fort Worth. Its team page names CEO Joey Goss and two vice presidents.</t>
        </is>
      </c>
      <c r="U42" s="12" t="inlineStr">
        <is>
          <t>YES</t>
        </is>
      </c>
      <c r="V42" s="15" t="inlineStr">
        <is>
          <t>Meet the Team page.</t>
        </is>
      </c>
      <c r="W42" s="12" t="inlineStr">
        <is>
          <t>https://www.cheldanhomes.com/meet-the-team</t>
        </is>
      </c>
      <c r="X42" s="12" t="inlineStr">
        <is>
          <t>https://www.linkedin.com/company/cheldan-homes/</t>
        </is>
      </c>
      <c r="Y42" s="12" t="inlineStr">
        <is>
          <t>https://www.cheldanhomes.com/meet-the-team</t>
        </is>
      </c>
      <c r="Z42" s="12" t="inlineStr"/>
      <c r="AA42" s="12" t="inlineStr">
        <is>
          <t>(817) 244-3450</t>
        </is>
      </c>
      <c r="AB42" s="12" t="inlineStr">
        <is>
          <t>Main office, Fort Worth</t>
        </is>
      </c>
      <c r="AC42" s="12" t="inlineStr">
        <is>
          <t>https://www.cheldanhomes.com/contact-us</t>
        </is>
      </c>
      <c r="AD42" s="12" t="inlineStr"/>
      <c r="AE42" s="12" t="inlineStr"/>
    </row>
    <row r="43">
      <c r="A43" s="6" t="inlineStr">
        <is>
          <t>Trey Hart</t>
        </is>
      </c>
      <c r="B43" s="6" t="inlineStr">
        <is>
          <t>Cheldan Homes</t>
        </is>
      </c>
      <c r="C43" s="6" t="inlineStr">
        <is>
          <t>Vice President of Operations</t>
        </is>
      </c>
      <c r="D43" s="7" t="inlineStr">
        <is>
          <t>One gap</t>
        </is>
      </c>
      <c r="E43" s="8" t="n">
        <v>2</v>
      </c>
      <c r="F43" s="6" t="inlineStr">
        <is>
          <t>Printer buyer</t>
        </is>
      </c>
      <c r="G43" s="6" t="inlineStr">
        <is>
          <t>Family homebuilder</t>
        </is>
      </c>
      <c r="H43" s="6" t="inlineStr">
        <is>
          <t>Fort Worth, with communities in Boyd, Cleburne, Venus, Graham, Keene and Springtown</t>
        </is>
      </c>
      <c r="I43" s="6" t="inlineStr">
        <is>
          <t>Seven communities around Fort Worth, per its own site</t>
        </is>
      </c>
      <c r="J43" s="8" t="inlineStr">
        <is>
          <t>Yes</t>
        </is>
      </c>
      <c r="K43" s="9" t="inlineStr">
        <is>
          <t>One plan library, including the Essex, across its communities.</t>
        </is>
      </c>
      <c r="L43" s="8" t="inlineStr">
        <is>
          <t>Partly</t>
        </is>
      </c>
      <c r="M43" s="9" t="inlineStr">
        <is>
          <t>Seven communities west and south of Fort Worth. Annual closings not published.</t>
        </is>
      </c>
      <c r="N43" s="8" t="inlineStr">
        <is>
          <t>No</t>
        </is>
      </c>
      <c r="O43" s="9" t="inlineStr">
        <is>
          <t>A 2025 JCBA energy award covers one community. Nothing on record about wall method.</t>
        </is>
      </c>
      <c r="P43" s="10" t="inlineStr"/>
      <c r="Q43" s="6" t="inlineStr"/>
      <c r="R43" s="11">
        <f>IF(P43="","ADD LINKEDIN","ok")</f>
        <v/>
      </c>
      <c r="S43" s="6" t="inlineStr">
        <is>
          <t>https://www.cheldanhomes.com/</t>
        </is>
      </c>
      <c r="T43" s="9" t="inlineStr">
        <is>
          <t>One plan library, including the Essex, west and south of Fort Worth. Its team page names CEO Joey Goss and two vice presidents.</t>
        </is>
      </c>
      <c r="U43" s="6" t="inlineStr"/>
      <c r="V43" s="9" t="inlineStr">
        <is>
          <t>Meet the Team page.</t>
        </is>
      </c>
      <c r="W43" s="6" t="inlineStr">
        <is>
          <t>https://www.cheldanhomes.com/meet-the-team</t>
        </is>
      </c>
      <c r="X43" s="6" t="inlineStr">
        <is>
          <t>https://www.linkedin.com/company/cheldan-homes/</t>
        </is>
      </c>
      <c r="Y43" s="6" t="inlineStr">
        <is>
          <t>https://www.cheldanhomes.com/meet-the-team</t>
        </is>
      </c>
      <c r="Z43" s="6" t="inlineStr"/>
      <c r="AA43" s="6" t="inlineStr">
        <is>
          <t>(817) 244-3450</t>
        </is>
      </c>
      <c r="AB43" s="6" t="inlineStr">
        <is>
          <t>Main office, Fort Worth</t>
        </is>
      </c>
      <c r="AC43" s="6" t="inlineStr">
        <is>
          <t>https://www.cheldanhomes.com/contact-us</t>
        </is>
      </c>
      <c r="AD43" s="6" t="inlineStr"/>
      <c r="AE43" s="6" t="inlineStr"/>
    </row>
    <row r="44">
      <c r="A44" s="12" t="inlineStr">
        <is>
          <t>Chelsea Brown</t>
        </is>
      </c>
      <c r="B44" s="12" t="inlineStr">
        <is>
          <t>Cheldan Homes</t>
        </is>
      </c>
      <c r="C44" s="12" t="inlineStr">
        <is>
          <t>Vice President of Sales and Marketing</t>
        </is>
      </c>
      <c r="D44" s="13" t="inlineStr">
        <is>
          <t>One gap</t>
        </is>
      </c>
      <c r="E44" s="14" t="n">
        <v>2</v>
      </c>
      <c r="F44" s="12" t="inlineStr">
        <is>
          <t>Printer buyer</t>
        </is>
      </c>
      <c r="G44" s="12" t="inlineStr">
        <is>
          <t>Family homebuilder</t>
        </is>
      </c>
      <c r="H44" s="12" t="inlineStr">
        <is>
          <t>Fort Worth, with communities in Boyd, Cleburne, Venus, Graham, Keene and Springtown</t>
        </is>
      </c>
      <c r="I44" s="12" t="inlineStr">
        <is>
          <t>Seven communities around Fort Worth, per its own site</t>
        </is>
      </c>
      <c r="J44" s="14" t="inlineStr">
        <is>
          <t>Yes</t>
        </is>
      </c>
      <c r="K44" s="15" t="inlineStr">
        <is>
          <t>One plan library, including the Essex, across its communities.</t>
        </is>
      </c>
      <c r="L44" s="14" t="inlineStr">
        <is>
          <t>Partly</t>
        </is>
      </c>
      <c r="M44" s="15" t="inlineStr">
        <is>
          <t>Seven communities west and south of Fort Worth. Annual closings not published.</t>
        </is>
      </c>
      <c r="N44" s="14" t="inlineStr">
        <is>
          <t>No</t>
        </is>
      </c>
      <c r="O44" s="15" t="inlineStr">
        <is>
          <t>A 2025 JCBA energy award covers one community. Nothing on record about wall method.</t>
        </is>
      </c>
      <c r="P44" s="10" t="inlineStr"/>
      <c r="Q44" s="12" t="inlineStr"/>
      <c r="R44" s="16">
        <f>IF(P44="","ADD LINKEDIN","ok")</f>
        <v/>
      </c>
      <c r="S44" s="12" t="inlineStr">
        <is>
          <t>https://www.cheldanhomes.com/</t>
        </is>
      </c>
      <c r="T44" s="15" t="inlineStr">
        <is>
          <t>One plan library, including the Essex, west and south of Fort Worth. Its team page names CEO Joey Goss and two vice presidents.</t>
        </is>
      </c>
      <c r="U44" s="12" t="inlineStr"/>
      <c r="V44" s="15" t="inlineStr">
        <is>
          <t>Meet the Team page.</t>
        </is>
      </c>
      <c r="W44" s="12" t="inlineStr">
        <is>
          <t>https://www.cheldanhomes.com/meet-the-team</t>
        </is>
      </c>
      <c r="X44" s="12" t="inlineStr">
        <is>
          <t>https://www.linkedin.com/company/cheldan-homes/</t>
        </is>
      </c>
      <c r="Y44" s="12" t="inlineStr">
        <is>
          <t>https://www.cheldanhomes.com/meet-the-team</t>
        </is>
      </c>
      <c r="Z44" s="12" t="inlineStr"/>
      <c r="AA44" s="12" t="inlineStr">
        <is>
          <t>(817) 244-3450</t>
        </is>
      </c>
      <c r="AB44" s="12" t="inlineStr">
        <is>
          <t>Main office, Fort Worth</t>
        </is>
      </c>
      <c r="AC44" s="12" t="inlineStr">
        <is>
          <t>https://www.cheldanhomes.com/contact-us</t>
        </is>
      </c>
      <c r="AD44" s="12" t="inlineStr"/>
      <c r="AE44" s="12" t="inlineStr"/>
    </row>
    <row r="45">
      <c r="A45" s="6" t="inlineStr">
        <is>
          <t>Nathan Pile</t>
        </is>
      </c>
      <c r="B45" s="6" t="inlineStr">
        <is>
          <t>Cyrene at Painted Tree (Curve Development)</t>
        </is>
      </c>
      <c r="C45" s="6" t="inlineStr">
        <is>
          <t>President, Curve Development</t>
        </is>
      </c>
      <c r="D45" s="7" t="inlineStr">
        <is>
          <t>One gap</t>
        </is>
      </c>
      <c r="E45" s="8" t="n">
        <v>2</v>
      </c>
      <c r="F45" s="6" t="inlineStr">
        <is>
          <t>Client</t>
        </is>
      </c>
      <c r="G45" s="6" t="inlineStr">
        <is>
          <t>Build-to-rent community</t>
        </is>
      </c>
      <c r="H45" s="6" t="inlineStr">
        <is>
          <t>Painted Tree, McKinney</t>
        </is>
      </c>
      <c r="I45" s="6" t="inlineStr">
        <is>
          <t>243 build-to-rent homes on 46 acres, McKinney</t>
        </is>
      </c>
      <c r="J45" s="8" t="inlineStr">
        <is>
          <t>Yes</t>
        </is>
      </c>
      <c r="K45" s="9" t="inlineStr">
        <is>
          <t>243 detached rental homes at one McKinney site, on repeated three- and four-bedroom plans.</t>
        </is>
      </c>
      <c r="L45" s="8" t="inlineStr">
        <is>
          <t>Partly</t>
        </is>
      </c>
      <c r="M45" s="9" t="inlineStr">
        <is>
          <t>243 homes on one site. The developer or its contractor buys the wall.</t>
        </is>
      </c>
      <c r="N45" s="8" t="inlineStr">
        <is>
          <t>No</t>
        </is>
      </c>
      <c r="O45" s="9" t="inlineStr">
        <is>
          <t>Nothing on record. Conventional detached rentals.</t>
        </is>
      </c>
      <c r="P45" s="10" t="inlineStr"/>
      <c r="Q45" s="6" t="inlineStr"/>
      <c r="R45" s="11">
        <f>IF(P45="","ADD LINKEDIN","ok")</f>
        <v/>
      </c>
      <c r="S45" s="6" t="inlineStr">
        <is>
          <t>https://www.cyreneatpaintedtree.com/</t>
        </is>
      </c>
      <c r="T45" s="9" t="inlineStr">
        <is>
          <t>Curve Development developed it under its Cyrene brand, inside Painted Tree in McKinney. Detached three- and four-bedroom rentals.</t>
        </is>
      </c>
      <c r="U45" s="6" t="inlineStr">
        <is>
          <t>YES</t>
        </is>
      </c>
      <c r="V45" s="9" t="inlineStr">
        <is>
          <t>Curve release, January 9, 2024.</t>
        </is>
      </c>
      <c r="W45" s="6" t="inlineStr">
        <is>
          <t>https://www.prweb.com/releases/construction-commences-for-new-build-for-rent-community-within-master-planned-community-of-painted-tree-in-dallas-area-302029396.html</t>
        </is>
      </c>
      <c r="X45" s="6" t="inlineStr">
        <is>
          <t>https://www.linkedin.com/company/curvedevelopment/</t>
        </is>
      </c>
      <c r="Y45" s="6" t="inlineStr"/>
      <c r="Z45" s="6" t="inlineStr"/>
      <c r="AA45" s="6" t="inlineStr">
        <is>
          <t>(877) 853-3717</t>
        </is>
      </c>
      <c r="AB45" s="6" t="inlineStr">
        <is>
          <t>Leasing office, Cyrene at Painted Tree</t>
        </is>
      </c>
      <c r="AC45" s="6" t="inlineStr">
        <is>
          <t>https://www.cyreneatpaintedtree.com/</t>
        </is>
      </c>
      <c r="AD45" s="6" t="inlineStr"/>
      <c r="AE45" s="6" t="inlineStr"/>
    </row>
    <row r="46">
      <c r="A46" s="12" t="inlineStr">
        <is>
          <t>Randall Van Wolfswinkel</t>
        </is>
      </c>
      <c r="B46" s="12" t="inlineStr">
        <is>
          <t>First Texas Homes</t>
        </is>
      </c>
      <c r="C46" s="12" t="inlineStr">
        <is>
          <t>Chief Executive Officer (as of 2010)</t>
        </is>
      </c>
      <c r="D46" s="13" t="inlineStr">
        <is>
          <t>One gap</t>
        </is>
      </c>
      <c r="E46" s="14" t="n">
        <v>2</v>
      </c>
      <c r="F46" s="12" t="inlineStr">
        <is>
          <t>Printer buyer</t>
        </is>
      </c>
      <c r="G46" s="12" t="inlineStr">
        <is>
          <t>Production homebuilder</t>
        </is>
      </c>
      <c r="H46" s="12" t="inlineStr">
        <is>
          <t>Dallas, with communities across DFW</t>
        </is>
      </c>
      <c r="I46" s="12" t="inlineStr">
        <is>
          <t>1,034 DFW closings in 2025, 2.5% share</t>
        </is>
      </c>
      <c r="J46" s="14" t="inlineStr">
        <is>
          <t>Yes</t>
        </is>
      </c>
      <c r="K46" s="15" t="inlineStr">
        <is>
          <t>Production plans across DFW. Sister brands Gallery Custom Homes and Harwood Homes.</t>
        </is>
      </c>
      <c r="L46" s="14" t="inlineStr">
        <is>
          <t>Partly</t>
        </is>
      </c>
      <c r="M46" s="15" t="inlineStr">
        <is>
          <t>1,034 DFW closings in 2025, per BUILDER's Local Leaders table.</t>
        </is>
      </c>
      <c r="N46" s="14" t="inlineStr">
        <is>
          <t>No</t>
        </is>
      </c>
      <c r="O46" s="15" t="inlineStr">
        <is>
          <t>Nothing on record. Lists customization, energy efficiency and smart-home features.</t>
        </is>
      </c>
      <c r="P46" s="10" t="inlineStr"/>
      <c r="Q46" s="12" t="inlineStr"/>
      <c r="R46" s="16">
        <f>IF(P46="","ADD LINKEDIN","ok")</f>
        <v/>
      </c>
      <c r="S46" s="12" t="inlineStr">
        <is>
          <t>https://www.firsttexashomes.com/</t>
        </is>
      </c>
      <c r="T46" s="15" t="inlineStr">
        <is>
          <t>Locally owned, with no parent company above it. Sister brands: Gallery Custom Homes and Harwood Homes.</t>
        </is>
      </c>
      <c r="U46" s="12" t="inlineStr"/>
      <c r="V46" s="15" t="inlineStr">
        <is>
          <t>Dallas News, 2010.</t>
        </is>
      </c>
      <c r="W46" s="12" t="inlineStr">
        <is>
          <t>https://www.dallasnews.com/news/2010/02/08/first-texas-homes-moves-from-arlington-to-uptown-dallas/</t>
        </is>
      </c>
      <c r="X46" s="12" t="inlineStr">
        <is>
          <t>https://www.linkedin.com/company/first-texas-homes/</t>
        </is>
      </c>
      <c r="Y46" s="12" t="inlineStr">
        <is>
          <t>https://www.firsttexashomes.com/about/</t>
        </is>
      </c>
      <c r="Z46" s="12" t="inlineStr">
        <is>
          <t>2025-07-24 Dallas Morning News. The 10 biggest homebuilders in D-FW  https://www.dallasnews.com/business/real-estate/2025/07/24/list-who-are-the-10-biggest-homebuilders-in-d-fw/</t>
        </is>
      </c>
      <c r="AA46" s="12" t="inlineStr">
        <is>
          <t>(214) 613-3400</t>
        </is>
      </c>
      <c r="AB46" s="12" t="inlineStr">
        <is>
          <t>Corporate office, Dallas</t>
        </is>
      </c>
      <c r="AC46" s="12" t="inlineStr">
        <is>
          <t>https://www.firsttexashomes.com/about/</t>
        </is>
      </c>
      <c r="AD46" s="12" t="inlineStr"/>
      <c r="AE46" s="12" t="inlineStr"/>
    </row>
    <row r="47">
      <c r="A47" s="6" t="inlineStr">
        <is>
          <t>Stephen H. Brooks</t>
        </is>
      </c>
      <c r="B47" s="6" t="inlineStr">
        <is>
          <t>Grand Homes</t>
        </is>
      </c>
      <c r="C47" s="6" t="inlineStr">
        <is>
          <t>Founder</t>
        </is>
      </c>
      <c r="D47" s="7" t="inlineStr">
        <is>
          <t>One gap</t>
        </is>
      </c>
      <c r="E47" s="8" t="n">
        <v>2</v>
      </c>
      <c r="F47" s="6" t="inlineStr">
        <is>
          <t>Printer buyer</t>
        </is>
      </c>
      <c r="G47" s="6" t="inlineStr">
        <is>
          <t>Semi-custom production homebuilder</t>
        </is>
      </c>
      <c r="H47" s="6" t="inlineStr">
        <is>
          <t>Addison, building only in the Dallas/Fort Worth Metroplex</t>
        </is>
      </c>
      <c r="I47" s="6" t="inlineStr">
        <is>
          <t>Over 400 homes a year, DFW only, own count</t>
        </is>
      </c>
      <c r="J47" s="8" t="inlineStr">
        <is>
          <t>Yes</t>
        </is>
      </c>
      <c r="K47" s="9" t="inlineStr">
        <is>
          <t>30 to 35 communities, all inside the DFW Metroplex, on semi-custom production plans.</t>
        </is>
      </c>
      <c r="L47" s="8" t="inlineStr">
        <is>
          <t>Partly</t>
        </is>
      </c>
      <c r="M47" s="9" t="inlineStr">
        <is>
          <t>Over 400 a year across 30 to 35 communities.</t>
        </is>
      </c>
      <c r="N47" s="8" t="inlineStr">
        <is>
          <t>No</t>
        </is>
      </c>
      <c r="O47" s="9" t="inlineStr">
        <is>
          <t>Every home ENERGY STAR certified with 2x6 exterior walls. Above-code performance, nothing structural.</t>
        </is>
      </c>
      <c r="P47" s="6" t="inlineStr">
        <is>
          <t>https://www.linkedin.com/in/stephen-brooks-6a058412/</t>
        </is>
      </c>
      <c r="Q47" s="6" t="inlineStr"/>
      <c r="R47" s="11">
        <f>IF(P47="","ADD LINKEDIN","ok")</f>
        <v/>
      </c>
      <c r="S47" s="6" t="inlineStr">
        <is>
          <t>https://www.grandhomes.com/</t>
        </is>
      </c>
      <c r="T47" s="9" t="inlineStr">
        <is>
          <t>Frames 2x6 exterior walls and certifies every home ENERGY STAR. Stephen Brooks founded it in 1986.</t>
        </is>
      </c>
      <c r="U47" s="6" t="inlineStr">
        <is>
          <t>YES</t>
        </is>
      </c>
      <c r="V47" s="9" t="inlineStr">
        <is>
          <t>Indexed title: Stephen Brooks, Grand Homes. Firm's about page.</t>
        </is>
      </c>
      <c r="W47" s="6" t="inlineStr">
        <is>
          <t>https://www.grandhomes.com/index.cfm?p=about_us</t>
        </is>
      </c>
      <c r="X47" s="6" t="inlineStr">
        <is>
          <t>https://www.linkedin.com/company/grand-homes/</t>
        </is>
      </c>
      <c r="Y47" s="6" t="inlineStr">
        <is>
          <t>https://www.grandhomes.com/index.cfm?p=about_us</t>
        </is>
      </c>
      <c r="Z47" s="6" t="inlineStr"/>
      <c r="AA47" s="6" t="inlineStr">
        <is>
          <t>(972) 387-6087</t>
        </is>
      </c>
      <c r="AB47" s="6" t="inlineStr">
        <is>
          <t>General Questions line, Addison office</t>
        </is>
      </c>
      <c r="AC47" s="6" t="inlineStr">
        <is>
          <t>https://www.grandhomes.com/blog/</t>
        </is>
      </c>
      <c r="AD47" s="6" t="inlineStr"/>
      <c r="AE47" s="6" t="inlineStr"/>
    </row>
    <row r="48">
      <c r="A48" s="12" t="inlineStr">
        <is>
          <t>Anthony Natale</t>
        </is>
      </c>
      <c r="B48" s="12" t="inlineStr">
        <is>
          <t>Grenadier Homes</t>
        </is>
      </c>
      <c r="C48" s="12" t="inlineStr">
        <is>
          <t>Co-founder</t>
        </is>
      </c>
      <c r="D48" s="13" t="inlineStr">
        <is>
          <t>One gap</t>
        </is>
      </c>
      <c r="E48" s="14" t="n">
        <v>2</v>
      </c>
      <c r="F48" s="12" t="inlineStr">
        <is>
          <t>Printer buyer</t>
        </is>
      </c>
      <c r="G48" s="12" t="inlineStr">
        <is>
          <t>Villa and townhome builder</t>
        </is>
      </c>
      <c r="H48" s="12" t="inlineStr">
        <is>
          <t>Dallas, with villas and townhomes at Windsong Ranch, Prosper</t>
        </is>
      </c>
      <c r="I48" s="12" t="inlineStr">
        <is>
          <t>Dallas villa and townhome builder, founded 1991</t>
        </is>
      </c>
      <c r="J48" s="14" t="inlineStr">
        <is>
          <t>Yes</t>
        </is>
      </c>
      <c r="K48" s="15" t="inlineStr">
        <is>
          <t>Plans repeated inside Windsong Ranch, a Prosper masterplan.</t>
        </is>
      </c>
      <c r="L48" s="14" t="inlineStr">
        <is>
          <t>Partly</t>
        </is>
      </c>
      <c r="M48" s="15" t="inlineStr">
        <is>
          <t>No published closing figure.</t>
        </is>
      </c>
      <c r="N48" s="14" t="inlineStr">
        <is>
          <t>No</t>
        </is>
      </c>
      <c r="O48" s="15" t="inlineStr">
        <is>
          <t>Nothing on record.</t>
        </is>
      </c>
      <c r="P48" s="10" t="inlineStr"/>
      <c r="Q48" s="12" t="inlineStr"/>
      <c r="R48" s="16">
        <f>IF(P48="","ADD LINKEDIN","ok")</f>
        <v/>
      </c>
      <c r="S48" s="12" t="inlineStr">
        <is>
          <t>https://grenadierhomes.com/</t>
        </is>
      </c>
      <c r="T48" s="15" t="inlineStr">
        <is>
          <t>Repeats villa and townhome plans inside Windsong Ranch in Prosper. Its two founders direct the business.</t>
        </is>
      </c>
      <c r="U48" s="12" t="inlineStr">
        <is>
          <t>YES</t>
        </is>
      </c>
      <c r="V48" s="15" t="inlineStr">
        <is>
          <t>Windsong Ranch builders article.</t>
        </is>
      </c>
      <c r="W48" s="12" t="inlineStr">
        <is>
          <t>https://windsongranchliving.com/explore-windsong-ranchs-exceptional-builders/</t>
        </is>
      </c>
      <c r="X48" s="12" t="inlineStr">
        <is>
          <t>https://www.linkedin.com/company/grenadier-homes/</t>
        </is>
      </c>
      <c r="Y48" s="12" t="inlineStr"/>
      <c r="Z48" s="12" t="inlineStr"/>
      <c r="AA48" s="12" t="inlineStr">
        <is>
          <t>(214) 224-0095</t>
        </is>
      </c>
      <c r="AB48" s="12" t="inlineStr">
        <is>
          <t>Corporate office, Dallas</t>
        </is>
      </c>
      <c r="AC48" s="12" t="inlineStr">
        <is>
          <t>https://grenadierhomes.com/contact-us/</t>
        </is>
      </c>
      <c r="AD48" s="12" t="inlineStr"/>
      <c r="AE48" s="12" t="inlineStr"/>
    </row>
    <row r="49">
      <c r="A49" s="6" t="inlineStr">
        <is>
          <t>John Egnatis</t>
        </is>
      </c>
      <c r="B49" s="6" t="inlineStr">
        <is>
          <t>Grenadier Homes</t>
        </is>
      </c>
      <c r="C49" s="6" t="inlineStr">
        <is>
          <t>Co-founder</t>
        </is>
      </c>
      <c r="D49" s="7" t="inlineStr">
        <is>
          <t>One gap</t>
        </is>
      </c>
      <c r="E49" s="8" t="n">
        <v>2</v>
      </c>
      <c r="F49" s="6" t="inlineStr">
        <is>
          <t>Printer buyer</t>
        </is>
      </c>
      <c r="G49" s="6" t="inlineStr">
        <is>
          <t>Villa and townhome builder</t>
        </is>
      </c>
      <c r="H49" s="6" t="inlineStr">
        <is>
          <t>Dallas, with villas and townhomes at Windsong Ranch, Prosper</t>
        </is>
      </c>
      <c r="I49" s="6" t="inlineStr">
        <is>
          <t>Dallas villa and townhome builder, founded 1991</t>
        </is>
      </c>
      <c r="J49" s="8" t="inlineStr">
        <is>
          <t>Yes</t>
        </is>
      </c>
      <c r="K49" s="9" t="inlineStr">
        <is>
          <t>Plans repeated inside Windsong Ranch, a Prosper masterplan.</t>
        </is>
      </c>
      <c r="L49" s="8" t="inlineStr">
        <is>
          <t>Partly</t>
        </is>
      </c>
      <c r="M49" s="9" t="inlineStr">
        <is>
          <t>No published closing figure.</t>
        </is>
      </c>
      <c r="N49" s="8" t="inlineStr">
        <is>
          <t>No</t>
        </is>
      </c>
      <c r="O49" s="9" t="inlineStr">
        <is>
          <t>Nothing on record.</t>
        </is>
      </c>
      <c r="P49" s="10" t="inlineStr"/>
      <c r="Q49" s="6" t="inlineStr"/>
      <c r="R49" s="11">
        <f>IF(P49="","ADD LINKEDIN","ok")</f>
        <v/>
      </c>
      <c r="S49" s="6" t="inlineStr">
        <is>
          <t>https://grenadierhomes.com/</t>
        </is>
      </c>
      <c r="T49" s="9" t="inlineStr">
        <is>
          <t>Repeats villa and townhome plans inside Windsong Ranch in Prosper. Its two founders direct the business.</t>
        </is>
      </c>
      <c r="U49" s="6" t="inlineStr">
        <is>
          <t>YES</t>
        </is>
      </c>
      <c r="V49" s="9" t="inlineStr">
        <is>
          <t>Windsong Ranch builders article.</t>
        </is>
      </c>
      <c r="W49" s="6" t="inlineStr">
        <is>
          <t>https://windsongranchliving.com/explore-windsong-ranchs-exceptional-builders/</t>
        </is>
      </c>
      <c r="X49" s="6" t="inlineStr">
        <is>
          <t>https://www.linkedin.com/company/grenadier-homes/</t>
        </is>
      </c>
      <c r="Y49" s="6" t="inlineStr"/>
      <c r="Z49" s="6" t="inlineStr"/>
      <c r="AA49" s="6" t="inlineStr">
        <is>
          <t>(214) 224-0095</t>
        </is>
      </c>
      <c r="AB49" s="6" t="inlineStr">
        <is>
          <t>Corporate office, Dallas</t>
        </is>
      </c>
      <c r="AC49" s="6" t="inlineStr">
        <is>
          <t>https://grenadierhomes.com/contact-us/</t>
        </is>
      </c>
      <c r="AD49" s="6" t="inlineStr"/>
      <c r="AE49" s="6" t="inlineStr"/>
    </row>
    <row r="50">
      <c r="A50" s="12" t="inlineStr">
        <is>
          <t>Matthew McGhee</t>
        </is>
      </c>
      <c r="B50" s="12" t="inlineStr">
        <is>
          <t>HHS Residential</t>
        </is>
      </c>
      <c r="C50" s="12" t="inlineStr">
        <is>
          <t>Vice President</t>
        </is>
      </c>
      <c r="D50" s="13" t="inlineStr">
        <is>
          <t>One gap</t>
        </is>
      </c>
      <c r="E50" s="14" t="n">
        <v>2</v>
      </c>
      <c r="F50" s="12" t="inlineStr">
        <is>
          <t>Printer buyer</t>
        </is>
      </c>
      <c r="G50" s="12" t="inlineStr">
        <is>
          <t>Build-to-rent builder</t>
        </is>
      </c>
      <c r="H50" s="12" t="inlineStr">
        <is>
          <t>Plano, with build-to-rent work across Texas</t>
        </is>
      </c>
      <c r="I50" s="12" t="inlineStr">
        <is>
          <t>More than 2,900 homes company-wide, its own count</t>
        </is>
      </c>
      <c r="J50" s="14" t="inlineStr">
        <is>
          <t>Yes</t>
        </is>
      </c>
      <c r="K50" s="15" t="inlineStr">
        <is>
          <t>Rental plans repeated across Texas build-to-rent communities.</t>
        </is>
      </c>
      <c r="L50" s="14" t="inlineStr">
        <is>
          <t>Partly</t>
        </is>
      </c>
      <c r="M50" s="15" t="inlineStr">
        <is>
          <t>More than 2,900 homes claimed, a Texas total with no year and no DFW figure.</t>
        </is>
      </c>
      <c r="N50" s="14" t="inlineStr">
        <is>
          <t>No</t>
        </is>
      </c>
      <c r="O50" s="15" t="inlineStr">
        <is>
          <t>Nothing on record.</t>
        </is>
      </c>
      <c r="P50" s="10" t="inlineStr"/>
      <c r="Q50" s="12" t="inlineStr"/>
      <c r="R50" s="16">
        <f>IF(P50="","ADD LINKEDIN","ok")</f>
        <v/>
      </c>
      <c r="S50" s="12" t="inlineStr">
        <is>
          <t>https://hhsresidential.com/</t>
        </is>
      </c>
      <c r="T50" s="15" t="inlineStr">
        <is>
          <t>Builds single-family rental homes for clients under its BUILD model. A Tricon Residential release names it builder partner.</t>
        </is>
      </c>
      <c r="U50" s="12" t="inlineStr"/>
      <c r="V50" s="15" t="inlineStr">
        <is>
          <t>Tricon Residential release. Now at Bluprint Ventures.</t>
        </is>
      </c>
      <c r="W50" s="12" t="inlineStr">
        <is>
          <t>https://triconhomes.com/resources/insights/tricon-residential-opens-new-community-in-arlington-texas-add-to-housing-supply/</t>
        </is>
      </c>
      <c r="X50" s="12" t="inlineStr">
        <is>
          <t>https://www.linkedin.com/company/hhs-residential-llc/</t>
        </is>
      </c>
      <c r="Y50" s="12" t="inlineStr"/>
      <c r="Z50" s="12" t="inlineStr">
        <is>
          <t>2025-07-15 Tricon Residential. Tricon Residential Opens New Community in Arlington, Texas  https://triconhomes.com/resources/insights/tricon-residential-opens-new-community-in-arlington-texas-add-to-housing-supply/</t>
        </is>
      </c>
      <c r="AA50" s="12" t="inlineStr">
        <is>
          <t>(972) 789-3535</t>
        </is>
      </c>
      <c r="AB50" s="12" t="inlineStr">
        <is>
          <t>Main office</t>
        </is>
      </c>
      <c r="AC50" s="12" t="inlineStr">
        <is>
          <t>https://hhsresidential.com/</t>
        </is>
      </c>
      <c r="AD50" s="12" t="inlineStr"/>
      <c r="AE50" s="12" t="inlineStr"/>
    </row>
    <row r="51">
      <c r="A51" s="6" t="inlineStr">
        <is>
          <t>Nikki Pechet</t>
        </is>
      </c>
      <c r="B51" s="6" t="inlineStr">
        <is>
          <t>Homebound</t>
        </is>
      </c>
      <c r="C51" s="6" t="inlineStr">
        <is>
          <t>Co-Founder and Chief Executive Officer</t>
        </is>
      </c>
      <c r="D51" s="7" t="inlineStr">
        <is>
          <t>One gap</t>
        </is>
      </c>
      <c r="E51" s="8" t="n">
        <v>2</v>
      </c>
      <c r="F51" s="6" t="inlineStr">
        <is>
          <t>Printer buyer</t>
        </is>
      </c>
      <c r="G51" s="6" t="inlineStr">
        <is>
          <t>Semi-custom homebuilder</t>
        </is>
      </c>
      <c r="H51" s="6" t="inlineStr">
        <is>
          <t>Dallas, Flower Mound, Prosper and Celina, plus Houston, Denver and Tampa</t>
        </is>
      </c>
      <c r="I51" s="6" t="inlineStr">
        <is>
          <t>More than 1,000 DFW lots lined up, 2026</t>
        </is>
      </c>
      <c r="J51" s="8" t="inlineStr">
        <is>
          <t>Yes</t>
        </is>
      </c>
      <c r="K51" s="9" t="inlineStr">
        <is>
          <t>One plan catalog, including Addison, Bandera, Collin, Grayson and Magnolia, repeated across its DFW sites.</t>
        </is>
      </c>
      <c r="L51" s="8" t="inlineStr">
        <is>
          <t>Partly</t>
        </is>
      </c>
      <c r="M51" s="9" t="inlineStr">
        <is>
          <t>Semi-custom, about $800,000 to over $1.5 million. Also Houston, Denver, Tampa. DFW closings not published.</t>
        </is>
      </c>
      <c r="N51" s="8" t="inlineStr">
        <is>
          <t>No</t>
        </is>
      </c>
      <c r="O51" s="9" t="inlineStr">
        <is>
          <t>Digital Design Studio lets buyers personalize plans. No new wall method.</t>
        </is>
      </c>
      <c r="P51" s="6" t="inlineStr">
        <is>
          <t>https://www.linkedin.com/in/nikki-pechet-4b949210/</t>
        </is>
      </c>
      <c r="Q51" s="6" t="inlineStr"/>
      <c r="R51" s="11">
        <f>IF(P51="","ADD LINKEDIN","ok")</f>
        <v/>
      </c>
      <c r="S51" s="6" t="inlineStr">
        <is>
          <t>https://www.homebound.com/</t>
        </is>
      </c>
      <c r="T51" s="9" t="inlineStr">
        <is>
          <t>Sells its own design and build-tracking software with each home. Its about page names a Texas Regional President.</t>
        </is>
      </c>
      <c r="U51" s="6" t="inlineStr"/>
      <c r="V51" s="9" t="inlineStr">
        <is>
          <t>Indexed title: Nikki Pechet, Homebound. Homebound about page.</t>
        </is>
      </c>
      <c r="W51" s="6" t="inlineStr">
        <is>
          <t>https://www.homebound.com/about</t>
        </is>
      </c>
      <c r="X51" s="6" t="inlineStr">
        <is>
          <t>https://www.linkedin.com/company/homebound-construction/</t>
        </is>
      </c>
      <c r="Y51" s="6" t="inlineStr">
        <is>
          <t>https://www.homebound.com/about</t>
        </is>
      </c>
      <c r="Z51" s="6" t="inlineStr"/>
      <c r="AA51" s="6" t="inlineStr">
        <is>
          <t>(214) 851-1912</t>
        </is>
      </c>
      <c r="AB51" s="6" t="inlineStr">
        <is>
          <t>Mosaic sales office, Celina</t>
        </is>
      </c>
      <c r="AC51" s="6" t="inlineStr">
        <is>
          <t>https://www.homebound.com/upcoming-communities/mosaic</t>
        </is>
      </c>
      <c r="AD51" s="6" t="inlineStr"/>
      <c r="AE51" s="6" t="inlineStr"/>
    </row>
    <row r="52">
      <c r="A52" s="12" t="inlineStr">
        <is>
          <t>Charlie Coleman</t>
        </is>
      </c>
      <c r="B52" s="12" t="inlineStr">
        <is>
          <t>Homebound</t>
        </is>
      </c>
      <c r="C52" s="12" t="inlineStr">
        <is>
          <t>Texas Regional President</t>
        </is>
      </c>
      <c r="D52" s="13" t="inlineStr">
        <is>
          <t>One gap</t>
        </is>
      </c>
      <c r="E52" s="14" t="n">
        <v>2</v>
      </c>
      <c r="F52" s="12" t="inlineStr">
        <is>
          <t>Printer buyer</t>
        </is>
      </c>
      <c r="G52" s="12" t="inlineStr">
        <is>
          <t>Semi-custom homebuilder</t>
        </is>
      </c>
      <c r="H52" s="12" t="inlineStr">
        <is>
          <t>Dallas, Flower Mound, Prosper and Celina, plus Houston, Denver and Tampa</t>
        </is>
      </c>
      <c r="I52" s="12" t="inlineStr">
        <is>
          <t>More than 1,000 DFW lots lined up, 2026</t>
        </is>
      </c>
      <c r="J52" s="14" t="inlineStr">
        <is>
          <t>Yes</t>
        </is>
      </c>
      <c r="K52" s="15" t="inlineStr">
        <is>
          <t>One plan catalog, including Addison, Bandera, Collin, Grayson and Magnolia, repeated across its DFW sites.</t>
        </is>
      </c>
      <c r="L52" s="14" t="inlineStr">
        <is>
          <t>Partly</t>
        </is>
      </c>
      <c r="M52" s="15" t="inlineStr">
        <is>
          <t>Semi-custom, about $800,000 to over $1.5 million. Also Houston, Denver, Tampa. DFW closings not published.</t>
        </is>
      </c>
      <c r="N52" s="14" t="inlineStr">
        <is>
          <t>No</t>
        </is>
      </c>
      <c r="O52" s="15" t="inlineStr">
        <is>
          <t>Digital Design Studio lets buyers personalize plans. No new wall method.</t>
        </is>
      </c>
      <c r="P52" s="10" t="inlineStr"/>
      <c r="Q52" s="12" t="inlineStr"/>
      <c r="R52" s="16">
        <f>IF(P52="","ADD LINKEDIN","ok")</f>
        <v/>
      </c>
      <c r="S52" s="12" t="inlineStr">
        <is>
          <t>https://www.homebound.com/</t>
        </is>
      </c>
      <c r="T52" s="15" t="inlineStr">
        <is>
          <t>Sells its own design and build-tracking software with each home. Its about page names a Texas Regional President.</t>
        </is>
      </c>
      <c r="U52" s="12" t="inlineStr">
        <is>
          <t>YES</t>
        </is>
      </c>
      <c r="V52" s="15" t="inlineStr">
        <is>
          <t>Homebound about page. Formerly Pulte's DFW Division President.</t>
        </is>
      </c>
      <c r="W52" s="12" t="inlineStr">
        <is>
          <t>https://www.homebound.com/about</t>
        </is>
      </c>
      <c r="X52" s="12" t="inlineStr">
        <is>
          <t>https://www.linkedin.com/company/homebound-construction/</t>
        </is>
      </c>
      <c r="Y52" s="12" t="inlineStr">
        <is>
          <t>https://www.homebound.com/about</t>
        </is>
      </c>
      <c r="Z52" s="12" t="inlineStr"/>
      <c r="AA52" s="12" t="inlineStr">
        <is>
          <t>(214) 851-1912</t>
        </is>
      </c>
      <c r="AB52" s="12" t="inlineStr">
        <is>
          <t>Mosaic sales office, Celina</t>
        </is>
      </c>
      <c r="AC52" s="12" t="inlineStr">
        <is>
          <t>https://www.homebound.com/upcoming-communities/mosaic</t>
        </is>
      </c>
      <c r="AD52" s="12" t="inlineStr"/>
      <c r="AE52" s="12" t="inlineStr"/>
    </row>
    <row r="53">
      <c r="A53" s="6" t="inlineStr">
        <is>
          <t>Al Tuten</t>
        </is>
      </c>
      <c r="B53" s="6" t="inlineStr">
        <is>
          <t>Homebound</t>
        </is>
      </c>
      <c r="C53" s="6" t="inlineStr">
        <is>
          <t>Vice President, Homebuilding Operations</t>
        </is>
      </c>
      <c r="D53" s="7" t="inlineStr">
        <is>
          <t>One gap</t>
        </is>
      </c>
      <c r="E53" s="8" t="n">
        <v>2</v>
      </c>
      <c r="F53" s="6" t="inlineStr">
        <is>
          <t>Printer buyer</t>
        </is>
      </c>
      <c r="G53" s="6" t="inlineStr">
        <is>
          <t>Semi-custom homebuilder</t>
        </is>
      </c>
      <c r="H53" s="6" t="inlineStr">
        <is>
          <t>Dallas, Flower Mound, Prosper and Celina, plus Houston, Denver and Tampa</t>
        </is>
      </c>
      <c r="I53" s="6" t="inlineStr">
        <is>
          <t>More than 1,000 DFW lots lined up, 2026</t>
        </is>
      </c>
      <c r="J53" s="8" t="inlineStr">
        <is>
          <t>Yes</t>
        </is>
      </c>
      <c r="K53" s="9" t="inlineStr">
        <is>
          <t>One plan catalog, including Addison, Bandera, Collin, Grayson and Magnolia, repeated across its DFW sites.</t>
        </is>
      </c>
      <c r="L53" s="8" t="inlineStr">
        <is>
          <t>Partly</t>
        </is>
      </c>
      <c r="M53" s="9" t="inlineStr">
        <is>
          <t>Semi-custom, about $800,000 to over $1.5 million. Also Houston, Denver, Tampa. DFW closings not published.</t>
        </is>
      </c>
      <c r="N53" s="8" t="inlineStr">
        <is>
          <t>No</t>
        </is>
      </c>
      <c r="O53" s="9" t="inlineStr">
        <is>
          <t>Digital Design Studio lets buyers personalize plans. No new wall method.</t>
        </is>
      </c>
      <c r="P53" s="10" t="inlineStr"/>
      <c r="Q53" s="6" t="inlineStr"/>
      <c r="R53" s="11">
        <f>IF(P53="","ADD LINKEDIN","ok")</f>
        <v/>
      </c>
      <c r="S53" s="6" t="inlineStr">
        <is>
          <t>https://www.homebound.com/</t>
        </is>
      </c>
      <c r="T53" s="9" t="inlineStr">
        <is>
          <t>Sells its own design and build-tracking software with each home. Its about page names a Texas Regional President.</t>
        </is>
      </c>
      <c r="U53" s="6" t="inlineStr"/>
      <c r="V53" s="9" t="inlineStr">
        <is>
          <t>Homebound about page.</t>
        </is>
      </c>
      <c r="W53" s="6" t="inlineStr">
        <is>
          <t>https://www.homebound.com/about</t>
        </is>
      </c>
      <c r="X53" s="6" t="inlineStr">
        <is>
          <t>https://www.linkedin.com/company/homebound-construction/</t>
        </is>
      </c>
      <c r="Y53" s="6" t="inlineStr">
        <is>
          <t>https://www.homebound.com/about</t>
        </is>
      </c>
      <c r="Z53" s="6" t="inlineStr"/>
      <c r="AA53" s="6" t="inlineStr">
        <is>
          <t>(214) 851-1912</t>
        </is>
      </c>
      <c r="AB53" s="6" t="inlineStr">
        <is>
          <t>Mosaic sales office, Celina</t>
        </is>
      </c>
      <c r="AC53" s="6" t="inlineStr">
        <is>
          <t>https://www.homebound.com/upcoming-communities/mosaic</t>
        </is>
      </c>
      <c r="AD53" s="6" t="inlineStr"/>
      <c r="AE53" s="6" t="inlineStr"/>
    </row>
    <row r="54">
      <c r="A54" s="12" t="inlineStr">
        <is>
          <t>Steve Garza</t>
        </is>
      </c>
      <c r="B54" s="12" t="inlineStr">
        <is>
          <t>Impression Homes</t>
        </is>
      </c>
      <c r="C54" s="12" t="inlineStr">
        <is>
          <t>President and Chairman</t>
        </is>
      </c>
      <c r="D54" s="13" t="inlineStr">
        <is>
          <t>One gap</t>
        </is>
      </c>
      <c r="E54" s="14" t="n">
        <v>2</v>
      </c>
      <c r="F54" s="12" t="inlineStr">
        <is>
          <t>Printer buyer</t>
        </is>
      </c>
      <c r="G54" s="12" t="inlineStr">
        <is>
          <t>Production homebuilder</t>
        </is>
      </c>
      <c r="H54" s="12" t="inlineStr">
        <is>
          <t>Southlake, with communities in Tarrant, Denton, Kaufman, Rockwall and Johnson counties</t>
        </is>
      </c>
      <c r="I54" s="12" t="inlineStr">
        <is>
          <t>406 company-wide closings in 2025, 601 in 2024</t>
        </is>
      </c>
      <c r="J54" s="14" t="inlineStr">
        <is>
          <t>Yes</t>
        </is>
      </c>
      <c r="K54" s="15" t="inlineStr">
        <is>
          <t>Production plans repeated across five DFW suburban counties.</t>
        </is>
      </c>
      <c r="L54" s="14" t="inlineStr">
        <is>
          <t>Partly</t>
        </is>
      </c>
      <c r="M54" s="15" t="inlineStr">
        <is>
          <t>406 closings in 2025 and 601 in 2024, company-wide, per BUILDER.</t>
        </is>
      </c>
      <c r="N54" s="14" t="inlineStr">
        <is>
          <t>No</t>
        </is>
      </c>
      <c r="O54" s="15" t="inlineStr">
        <is>
          <t>Nothing on record. About and team pages stress craftsmanship and a people-first process.</t>
        </is>
      </c>
      <c r="P54" s="10" t="inlineStr"/>
      <c r="Q54" s="12" t="inlineStr"/>
      <c r="R54" s="16">
        <f>IF(P54="","ADD LINKEDIN","ok")</f>
        <v/>
      </c>
      <c r="S54" s="12" t="inlineStr">
        <is>
          <t>https://www.impressionhomes.net/</t>
        </is>
      </c>
      <c r="T54" s="15" t="inlineStr">
        <is>
          <t>Locally owned in Southlake. Builds attainable homes in Tarrant, Denton, Kaufman, Rockwall and Johnson counties.</t>
        </is>
      </c>
      <c r="U54" s="12" t="inlineStr"/>
      <c r="V54" s="15" t="inlineStr">
        <is>
          <t>Firm's team page. President since 2024.</t>
        </is>
      </c>
      <c r="W54" s="12" t="inlineStr">
        <is>
          <t>https://www.impressionhomes.net/about-us/meet-the-team/</t>
        </is>
      </c>
      <c r="X54" s="12" t="inlineStr">
        <is>
          <t>https://www.linkedin.com/company/impression-homes/</t>
        </is>
      </c>
      <c r="Y54" s="12" t="inlineStr">
        <is>
          <t>https://www.impressionhomes.net/about-us/meet-the-team/</t>
        </is>
      </c>
      <c r="Z54" s="12" t="inlineStr"/>
      <c r="AA54" s="12" t="inlineStr">
        <is>
          <t>(817) 719-3111</t>
        </is>
      </c>
      <c r="AB54" s="12" t="inlineStr">
        <is>
          <t>Corporate office, Southlake</t>
        </is>
      </c>
      <c r="AC54" s="12" t="inlineStr">
        <is>
          <t>https://www.impressionhomes.net/about-us/meet-the-team/</t>
        </is>
      </c>
      <c r="AD54" s="12" t="inlineStr"/>
      <c r="AE54" s="12" t="inlineStr"/>
    </row>
    <row r="55">
      <c r="A55" s="6" t="inlineStr">
        <is>
          <t>Bruce Heikkinen</t>
        </is>
      </c>
      <c r="B55" s="6" t="inlineStr">
        <is>
          <t>Impression Homes</t>
        </is>
      </c>
      <c r="C55" s="6" t="inlineStr">
        <is>
          <t>Founder and Board Member</t>
        </is>
      </c>
      <c r="D55" s="7" t="inlineStr">
        <is>
          <t>One gap</t>
        </is>
      </c>
      <c r="E55" s="8" t="n">
        <v>2</v>
      </c>
      <c r="F55" s="6" t="inlineStr">
        <is>
          <t>Printer buyer</t>
        </is>
      </c>
      <c r="G55" s="6" t="inlineStr">
        <is>
          <t>Production homebuilder</t>
        </is>
      </c>
      <c r="H55" s="6" t="inlineStr">
        <is>
          <t>Southlake, with communities in Tarrant, Denton, Kaufman, Rockwall and Johnson counties</t>
        </is>
      </c>
      <c r="I55" s="6" t="inlineStr">
        <is>
          <t>406 company-wide closings in 2025, 601 in 2024</t>
        </is>
      </c>
      <c r="J55" s="8" t="inlineStr">
        <is>
          <t>Yes</t>
        </is>
      </c>
      <c r="K55" s="9" t="inlineStr">
        <is>
          <t>Production plans repeated across five DFW suburban counties.</t>
        </is>
      </c>
      <c r="L55" s="8" t="inlineStr">
        <is>
          <t>Partly</t>
        </is>
      </c>
      <c r="M55" s="9" t="inlineStr">
        <is>
          <t>406 closings in 2025 and 601 in 2024, company-wide, per BUILDER.</t>
        </is>
      </c>
      <c r="N55" s="8" t="inlineStr">
        <is>
          <t>No</t>
        </is>
      </c>
      <c r="O55" s="9" t="inlineStr">
        <is>
          <t>Nothing on record. About and team pages stress craftsmanship and a people-first process.</t>
        </is>
      </c>
      <c r="P55" s="10" t="inlineStr"/>
      <c r="Q55" s="6" t="inlineStr"/>
      <c r="R55" s="11">
        <f>IF(P55="","ADD LINKEDIN","ok")</f>
        <v/>
      </c>
      <c r="S55" s="6" t="inlineStr">
        <is>
          <t>https://www.impressionhomes.net/</t>
        </is>
      </c>
      <c r="T55" s="9" t="inlineStr">
        <is>
          <t>Locally owned in Southlake. Builds attainable homes in Tarrant, Denton, Kaufman, Rockwall and Johnson counties.</t>
        </is>
      </c>
      <c r="U55" s="6" t="inlineStr"/>
      <c r="V55" s="9" t="inlineStr">
        <is>
          <t>Firm's team page.</t>
        </is>
      </c>
      <c r="W55" s="6" t="inlineStr">
        <is>
          <t>https://www.impressionhomes.net/about-us/meet-the-team/</t>
        </is>
      </c>
      <c r="X55" s="6" t="inlineStr">
        <is>
          <t>https://www.linkedin.com/company/impression-homes/</t>
        </is>
      </c>
      <c r="Y55" s="6" t="inlineStr">
        <is>
          <t>https://www.impressionhomes.net/about-us/meet-the-team/</t>
        </is>
      </c>
      <c r="Z55" s="6" t="inlineStr"/>
      <c r="AA55" s="6" t="inlineStr">
        <is>
          <t>(817) 719-3111</t>
        </is>
      </c>
      <c r="AB55" s="6" t="inlineStr">
        <is>
          <t>Corporate office, Southlake</t>
        </is>
      </c>
      <c r="AC55" s="6" t="inlineStr">
        <is>
          <t>https://www.impressionhomes.net/about-us/meet-the-team/</t>
        </is>
      </c>
      <c r="AD55" s="6" t="inlineStr"/>
      <c r="AE55" s="6" t="inlineStr"/>
    </row>
    <row r="56">
      <c r="A56" s="12" t="inlineStr">
        <is>
          <t>John Houston</t>
        </is>
      </c>
      <c r="B56" s="12" t="inlineStr">
        <is>
          <t>John Houston Homes</t>
        </is>
      </c>
      <c r="C56" s="12" t="inlineStr">
        <is>
          <t>Co-founder</t>
        </is>
      </c>
      <c r="D56" s="13" t="inlineStr">
        <is>
          <t>One gap</t>
        </is>
      </c>
      <c r="E56" s="14" t="n">
        <v>2</v>
      </c>
      <c r="F56" s="12" t="inlineStr">
        <is>
          <t>Printer buyer</t>
        </is>
      </c>
      <c r="G56" s="12" t="inlineStr">
        <is>
          <t>Production homebuilder</t>
        </is>
      </c>
      <c r="H56" s="12" t="inlineStr">
        <is>
          <t>Red Oak, with communities across DFW, Waco and Temple</t>
        </is>
      </c>
      <c r="I56" s="12" t="inlineStr">
        <is>
          <t>Hundreds of homes a year company-wide, 40+ communities</t>
        </is>
      </c>
      <c r="J56" s="14" t="inlineStr">
        <is>
          <t>Yes</t>
        </is>
      </c>
      <c r="K56" s="15" t="inlineStr">
        <is>
          <t>Named plans like Madrid and Athens repeated across 40+ communities, including DFW and Waco.</t>
        </is>
      </c>
      <c r="L56" s="14" t="inlineStr">
        <is>
          <t>Partly</t>
        </is>
      </c>
      <c r="M56" s="15" t="inlineStr">
        <is>
          <t>Four market areas. No DFW share published.</t>
        </is>
      </c>
      <c r="N56" s="14" t="inlineStr">
        <is>
          <t>No</t>
        </is>
      </c>
      <c r="O56" s="15" t="inlineStr">
        <is>
          <t>Nothing on record.</t>
        </is>
      </c>
      <c r="P56" s="10" t="inlineStr"/>
      <c r="Q56" s="12" t="inlineStr"/>
      <c r="R56" s="16">
        <f>IF(P56="","ADD LINKEDIN","ok")</f>
        <v/>
      </c>
      <c r="S56" s="12" t="inlineStr">
        <is>
          <t>https://jhoustonhomes.com/</t>
        </is>
      </c>
      <c r="T56" s="15" t="inlineStr">
        <is>
          <t>Repeats named plans such as Madrid and Athens across DFW and Waco. Employee-owned through an ESOP since 2020.</t>
        </is>
      </c>
      <c r="U56" s="12" t="inlineStr">
        <is>
          <t>YES</t>
        </is>
      </c>
      <c r="V56" s="15" t="inlineStr">
        <is>
          <t>Firm's purpose page.</t>
        </is>
      </c>
      <c r="W56" s="12" t="inlineStr">
        <is>
          <t>https://jhoustonhomes.com/our-purpose/</t>
        </is>
      </c>
      <c r="X56" s="12" t="inlineStr">
        <is>
          <t>https://www.linkedin.com/company/john-houston-homes/</t>
        </is>
      </c>
      <c r="Y56" s="12" t="inlineStr"/>
      <c r="Z56" s="12" t="inlineStr"/>
      <c r="AA56" s="12" t="inlineStr">
        <is>
          <t>(972) 937-4085</t>
        </is>
      </c>
      <c r="AB56" s="12" t="inlineStr">
        <is>
          <t>Main office, Red Oak</t>
        </is>
      </c>
      <c r="AC56" s="12" t="inlineStr">
        <is>
          <t>https://jhoustonhomes.com/contact/</t>
        </is>
      </c>
      <c r="AD56" s="12" t="inlineStr"/>
      <c r="AE56" s="12" t="inlineStr"/>
    </row>
    <row r="57">
      <c r="A57" s="6" t="inlineStr">
        <is>
          <t>Tracy Houston</t>
        </is>
      </c>
      <c r="B57" s="6" t="inlineStr">
        <is>
          <t>John Houston Homes</t>
        </is>
      </c>
      <c r="C57" s="6" t="inlineStr">
        <is>
          <t>Co-founder</t>
        </is>
      </c>
      <c r="D57" s="7" t="inlineStr">
        <is>
          <t>One gap</t>
        </is>
      </c>
      <c r="E57" s="8" t="n">
        <v>2</v>
      </c>
      <c r="F57" s="6" t="inlineStr">
        <is>
          <t>Printer buyer</t>
        </is>
      </c>
      <c r="G57" s="6" t="inlineStr">
        <is>
          <t>Production homebuilder</t>
        </is>
      </c>
      <c r="H57" s="6" t="inlineStr">
        <is>
          <t>Red Oak, with communities across DFW, Waco and Temple</t>
        </is>
      </c>
      <c r="I57" s="6" t="inlineStr">
        <is>
          <t>Hundreds of homes a year company-wide, 40+ communities</t>
        </is>
      </c>
      <c r="J57" s="8" t="inlineStr">
        <is>
          <t>Yes</t>
        </is>
      </c>
      <c r="K57" s="9" t="inlineStr">
        <is>
          <t>Named plans like Madrid and Athens repeated across 40+ communities, including DFW and Waco.</t>
        </is>
      </c>
      <c r="L57" s="8" t="inlineStr">
        <is>
          <t>Partly</t>
        </is>
      </c>
      <c r="M57" s="9" t="inlineStr">
        <is>
          <t>Four market areas. No DFW share published.</t>
        </is>
      </c>
      <c r="N57" s="8" t="inlineStr">
        <is>
          <t>No</t>
        </is>
      </c>
      <c r="O57" s="9" t="inlineStr">
        <is>
          <t>Nothing on record.</t>
        </is>
      </c>
      <c r="P57" s="10" t="inlineStr"/>
      <c r="Q57" s="6" t="inlineStr"/>
      <c r="R57" s="11">
        <f>IF(P57="","ADD LINKEDIN","ok")</f>
        <v/>
      </c>
      <c r="S57" s="6" t="inlineStr">
        <is>
          <t>https://jhoustonhomes.com/</t>
        </is>
      </c>
      <c r="T57" s="9" t="inlineStr">
        <is>
          <t>Repeats named plans such as Madrid and Athens across DFW and Waco. Employee-owned through an ESOP since 2020.</t>
        </is>
      </c>
      <c r="U57" s="6" t="inlineStr"/>
      <c r="V57" s="9" t="inlineStr">
        <is>
          <t>Firm's purpose page.</t>
        </is>
      </c>
      <c r="W57" s="6" t="inlineStr">
        <is>
          <t>https://jhoustonhomes.com/our-purpose/</t>
        </is>
      </c>
      <c r="X57" s="6" t="inlineStr">
        <is>
          <t>https://www.linkedin.com/company/john-houston-homes/</t>
        </is>
      </c>
      <c r="Y57" s="6" t="inlineStr"/>
      <c r="Z57" s="6" t="inlineStr"/>
      <c r="AA57" s="6" t="inlineStr">
        <is>
          <t>(972) 937-4085</t>
        </is>
      </c>
      <c r="AB57" s="6" t="inlineStr">
        <is>
          <t>Main office, Red Oak</t>
        </is>
      </c>
      <c r="AC57" s="6" t="inlineStr">
        <is>
          <t>https://jhoustonhomes.com/contact/</t>
        </is>
      </c>
      <c r="AD57" s="6" t="inlineStr"/>
      <c r="AE57" s="6" t="inlineStr"/>
    </row>
    <row r="58">
      <c r="A58" s="12" t="inlineStr">
        <is>
          <t>Aaron Ipour</t>
        </is>
      </c>
      <c r="B58" s="12" t="inlineStr">
        <is>
          <t>Megatel Homes</t>
        </is>
      </c>
      <c r="C58" s="12" t="inlineStr">
        <is>
          <t>Co-Founder, Megatel Group</t>
        </is>
      </c>
      <c r="D58" s="13" t="inlineStr">
        <is>
          <t>One gap</t>
        </is>
      </c>
      <c r="E58" s="14" t="n">
        <v>2</v>
      </c>
      <c r="F58" s="12" t="inlineStr">
        <is>
          <t>Printer buyer</t>
        </is>
      </c>
      <c r="G58" s="12" t="inlineStr">
        <is>
          <t>Homebuilder and developer</t>
        </is>
      </c>
      <c r="H58" s="12" t="inlineStr">
        <is>
          <t>North Texas, Dallas-Fort Worth</t>
        </is>
      </c>
      <c r="I58" s="12" t="inlineStr">
        <is>
          <t>696 company-wide closings in 2023, Builder 100 rank 81</t>
        </is>
      </c>
      <c r="J58" s="14" t="inlineStr">
        <is>
          <t>Yes</t>
        </is>
      </c>
      <c r="K58" s="15" t="inlineStr">
        <is>
          <t>Repeated plans across its North Texas lagoon masterplans.</t>
        </is>
      </c>
      <c r="L58" s="14" t="inlineStr">
        <is>
          <t>Partly</t>
        </is>
      </c>
      <c r="M58" s="15" t="inlineStr">
        <is>
          <t>696 company-wide closings in 2023, inside masterplans it controls.</t>
        </is>
      </c>
      <c r="N58" s="14" t="inlineStr">
        <is>
          <t>No</t>
        </is>
      </c>
      <c r="O58" s="15" t="inlineStr">
        <is>
          <t>Nothing on record.</t>
        </is>
      </c>
      <c r="P58" s="10" t="inlineStr"/>
      <c r="Q58" s="12" t="inlineStr"/>
      <c r="R58" s="16">
        <f>IF(P58="","ADD LINKEDIN","ok")</f>
        <v/>
      </c>
      <c r="S58" s="12" t="inlineStr">
        <is>
          <t>https://www.megatelhomes.com/</t>
        </is>
      </c>
      <c r="T58" s="15" t="inlineStr">
        <is>
          <t>Builds its own homes inside lagoon-amenity masterplans it controls. Repeats single-family and townhome plans.</t>
        </is>
      </c>
      <c r="U58" s="12" t="inlineStr"/>
      <c r="V58" s="15" t="inlineStr">
        <is>
          <t>Megatel about page.</t>
        </is>
      </c>
      <c r="W58" s="12" t="inlineStr">
        <is>
          <t>https://www.megatelhomes.com/about-us</t>
        </is>
      </c>
      <c r="X58" s="12" t="inlineStr">
        <is>
          <t>https://www.linkedin.com/company/megatelhomes/</t>
        </is>
      </c>
      <c r="Y58" s="12" t="inlineStr">
        <is>
          <t>https://www.megatelhomes.com/about-us</t>
        </is>
      </c>
      <c r="Z58" s="12" t="inlineStr"/>
      <c r="AA58" s="12" t="inlineStr">
        <is>
          <t>(972) 339-0159</t>
        </is>
      </c>
      <c r="AB58" s="12" t="inlineStr">
        <is>
          <t>Corporate office</t>
        </is>
      </c>
      <c r="AC58" s="12" t="inlineStr">
        <is>
          <t>https://www.megatelhomes.com/</t>
        </is>
      </c>
      <c r="AD58" s="12" t="inlineStr"/>
      <c r="AE58" s="12" t="inlineStr"/>
    </row>
    <row r="59">
      <c r="A59" s="6" t="inlineStr">
        <is>
          <t>Zach Ipour</t>
        </is>
      </c>
      <c r="B59" s="6" t="inlineStr">
        <is>
          <t>Megatel Homes</t>
        </is>
      </c>
      <c r="C59" s="6" t="inlineStr">
        <is>
          <t>Co-Founder, Megatel Group</t>
        </is>
      </c>
      <c r="D59" s="7" t="inlineStr">
        <is>
          <t>One gap</t>
        </is>
      </c>
      <c r="E59" s="8" t="n">
        <v>2</v>
      </c>
      <c r="F59" s="6" t="inlineStr">
        <is>
          <t>Printer buyer</t>
        </is>
      </c>
      <c r="G59" s="6" t="inlineStr">
        <is>
          <t>Homebuilder and developer</t>
        </is>
      </c>
      <c r="H59" s="6" t="inlineStr">
        <is>
          <t>North Texas, Dallas-Fort Worth</t>
        </is>
      </c>
      <c r="I59" s="6" t="inlineStr">
        <is>
          <t>696 company-wide closings in 2023, Builder 100 rank 81</t>
        </is>
      </c>
      <c r="J59" s="8" t="inlineStr">
        <is>
          <t>Yes</t>
        </is>
      </c>
      <c r="K59" s="9" t="inlineStr">
        <is>
          <t>Repeated plans across its North Texas lagoon masterplans.</t>
        </is>
      </c>
      <c r="L59" s="8" t="inlineStr">
        <is>
          <t>Partly</t>
        </is>
      </c>
      <c r="M59" s="9" t="inlineStr">
        <is>
          <t>696 company-wide closings in 2023, inside masterplans it controls.</t>
        </is>
      </c>
      <c r="N59" s="8" t="inlineStr">
        <is>
          <t>No</t>
        </is>
      </c>
      <c r="O59" s="9" t="inlineStr">
        <is>
          <t>Nothing on record.</t>
        </is>
      </c>
      <c r="P59" s="10" t="inlineStr"/>
      <c r="Q59" s="6" t="inlineStr"/>
      <c r="R59" s="11">
        <f>IF(P59="","ADD LINKEDIN","ok")</f>
        <v/>
      </c>
      <c r="S59" s="6" t="inlineStr">
        <is>
          <t>https://www.megatelhomes.com/</t>
        </is>
      </c>
      <c r="T59" s="9" t="inlineStr">
        <is>
          <t>Builds its own homes inside lagoon-amenity masterplans it controls. Repeats single-family and townhome plans.</t>
        </is>
      </c>
      <c r="U59" s="6" t="inlineStr"/>
      <c r="V59" s="9" t="inlineStr">
        <is>
          <t>Megatel about page.</t>
        </is>
      </c>
      <c r="W59" s="6" t="inlineStr">
        <is>
          <t>https://www.megatelhomes.com/about-us</t>
        </is>
      </c>
      <c r="X59" s="6" t="inlineStr">
        <is>
          <t>https://www.linkedin.com/company/megatelhomes/</t>
        </is>
      </c>
      <c r="Y59" s="6" t="inlineStr">
        <is>
          <t>https://www.megatelhomes.com/about-us</t>
        </is>
      </c>
      <c r="Z59" s="6" t="inlineStr"/>
      <c r="AA59" s="6" t="inlineStr">
        <is>
          <t>(972) 339-0159</t>
        </is>
      </c>
      <c r="AB59" s="6" t="inlineStr">
        <is>
          <t>Corporate office</t>
        </is>
      </c>
      <c r="AC59" s="6" t="inlineStr">
        <is>
          <t>https://www.megatelhomes.com/</t>
        </is>
      </c>
      <c r="AD59" s="6" t="inlineStr"/>
      <c r="AE59" s="6" t="inlineStr"/>
    </row>
    <row r="60">
      <c r="A60" s="12" t="inlineStr">
        <is>
          <t>Chris Lemming</t>
        </is>
      </c>
      <c r="B60" s="12" t="inlineStr">
        <is>
          <t>Paul Taylor Homes</t>
        </is>
      </c>
      <c r="C60" s="12" t="inlineStr">
        <is>
          <t>President, Partners In Building, since June 2026. Previously Division President, Dallas-Fort Worth</t>
        </is>
      </c>
      <c r="D60" s="13" t="inlineStr">
        <is>
          <t>One gap</t>
        </is>
      </c>
      <c r="E60" s="14" t="n">
        <v>2</v>
      </c>
      <c r="F60" s="12" t="inlineStr">
        <is>
          <t>Printer buyer</t>
        </is>
      </c>
      <c r="G60" s="12" t="inlineStr">
        <is>
          <t>Homebuilder, owned by Partners in Building</t>
        </is>
      </c>
      <c r="H60" s="12" t="inlineStr">
        <is>
          <t>Carrollton office, with its last community in Garland</t>
        </is>
      </c>
      <c r="I60" s="12" t="inlineStr">
        <is>
          <t>More than 3,000 homes sold company-wide, its own count</t>
        </is>
      </c>
      <c r="J60" s="14" t="inlineStr">
        <is>
          <t>Yes</t>
        </is>
      </c>
      <c r="K60" s="15" t="inlineStr">
        <is>
          <t>Four named plans repeated at Lyons Crest Estates, Garland.</t>
        </is>
      </c>
      <c r="L60" s="14" t="inlineStr">
        <is>
          <t>Partly</t>
        </is>
      </c>
      <c r="M60" s="15" t="inlineStr">
        <is>
          <t>No current closings figure. Parent builds custom homes.</t>
        </is>
      </c>
      <c r="N60" s="14" t="inlineStr">
        <is>
          <t>No</t>
        </is>
      </c>
      <c r="O60" s="15" t="inlineStr">
        <is>
          <t>Nothing on record.</t>
        </is>
      </c>
      <c r="P60" s="10" t="inlineStr"/>
      <c r="Q60" s="12" t="inlineStr"/>
      <c r="R60" s="16">
        <f>IF(P60="","ADD LINKEDIN","ok")</f>
        <v/>
      </c>
      <c r="S60" s="12" t="inlineStr">
        <is>
          <t>https://paultaylorhomes.com/</t>
        </is>
      </c>
      <c r="T60" s="15" t="inlineStr">
        <is>
          <t>Partners In Building, a Houston custom builder, bought it in February 2022. Its last listed community, in Garland, is closed out.</t>
        </is>
      </c>
      <c r="U60" s="12" t="inlineStr">
        <is>
          <t>YES</t>
        </is>
      </c>
      <c r="V60" s="15" t="inlineStr">
        <is>
          <t>Realty News Report, June 11, 2026.</t>
        </is>
      </c>
      <c r="W60" s="12" t="inlineStr">
        <is>
          <t>https://realtynewsreport.com/houston-home-builder-names-new-leader/</t>
        </is>
      </c>
      <c r="X60" s="12" t="inlineStr">
        <is>
          <t>https://www.linkedin.com/company/paul-taylor-homes-dallas/</t>
        </is>
      </c>
      <c r="Y60" s="12" t="inlineStr"/>
      <c r="Z60" s="12" t="inlineStr"/>
      <c r="AA60" s="12" t="inlineStr">
        <is>
          <t>(469) 902-3200</t>
        </is>
      </c>
      <c r="AB60" s="12" t="inlineStr">
        <is>
          <t>DFW office, Carrollton</t>
        </is>
      </c>
      <c r="AC60" s="12" t="inlineStr">
        <is>
          <t>https://paultaylorhomes.com/about-us</t>
        </is>
      </c>
      <c r="AD60" s="12" t="inlineStr"/>
      <c r="AE60" s="12" t="inlineStr"/>
    </row>
    <row r="61">
      <c r="A61" s="6" t="inlineStr">
        <is>
          <t>Jim Lemming</t>
        </is>
      </c>
      <c r="B61" s="6" t="inlineStr">
        <is>
          <t>Paul Taylor Homes</t>
        </is>
      </c>
      <c r="C61" s="6" t="inlineStr">
        <is>
          <t>Chairman, Partners In Building, since June 2026</t>
        </is>
      </c>
      <c r="D61" s="7" t="inlineStr">
        <is>
          <t>One gap</t>
        </is>
      </c>
      <c r="E61" s="8" t="n">
        <v>2</v>
      </c>
      <c r="F61" s="6" t="inlineStr">
        <is>
          <t>Printer buyer</t>
        </is>
      </c>
      <c r="G61" s="6" t="inlineStr">
        <is>
          <t>Homebuilder, owned by Partners in Building</t>
        </is>
      </c>
      <c r="H61" s="6" t="inlineStr">
        <is>
          <t>Carrollton office, with its last community in Garland</t>
        </is>
      </c>
      <c r="I61" s="6" t="inlineStr">
        <is>
          <t>More than 3,000 homes sold company-wide, its own count</t>
        </is>
      </c>
      <c r="J61" s="8" t="inlineStr">
        <is>
          <t>Yes</t>
        </is>
      </c>
      <c r="K61" s="9" t="inlineStr">
        <is>
          <t>Four named plans repeated at Lyons Crest Estates, Garland.</t>
        </is>
      </c>
      <c r="L61" s="8" t="inlineStr">
        <is>
          <t>Partly</t>
        </is>
      </c>
      <c r="M61" s="9" t="inlineStr">
        <is>
          <t>No current closings figure. Parent builds custom homes.</t>
        </is>
      </c>
      <c r="N61" s="8" t="inlineStr">
        <is>
          <t>No</t>
        </is>
      </c>
      <c r="O61" s="9" t="inlineStr">
        <is>
          <t>Nothing on record.</t>
        </is>
      </c>
      <c r="P61" s="10" t="inlineStr"/>
      <c r="Q61" s="6" t="inlineStr"/>
      <c r="R61" s="11">
        <f>IF(P61="","ADD LINKEDIN","ok")</f>
        <v/>
      </c>
      <c r="S61" s="6" t="inlineStr">
        <is>
          <t>https://paultaylorhomes.com/</t>
        </is>
      </c>
      <c r="T61" s="9" t="inlineStr">
        <is>
          <t>Partners In Building, a Houston custom builder, bought it in February 2022. Its last listed community, in Garland, is closed out.</t>
        </is>
      </c>
      <c r="U61" s="6" t="inlineStr"/>
      <c r="V61" s="9" t="inlineStr">
        <is>
          <t>Realty News Report, June 2026. Formerly Chief Executive Officer.</t>
        </is>
      </c>
      <c r="W61" s="6" t="inlineStr">
        <is>
          <t>https://realtynewsreport.com/houston-home-builder-names-new-leader/</t>
        </is>
      </c>
      <c r="X61" s="6" t="inlineStr">
        <is>
          <t>https://www.linkedin.com/company/paul-taylor-homes-dallas/</t>
        </is>
      </c>
      <c r="Y61" s="6" t="inlineStr"/>
      <c r="Z61" s="6" t="inlineStr"/>
      <c r="AA61" s="6" t="inlineStr">
        <is>
          <t>(469) 902-3200</t>
        </is>
      </c>
      <c r="AB61" s="6" t="inlineStr">
        <is>
          <t>DFW office, Carrollton</t>
        </is>
      </c>
      <c r="AC61" s="6" t="inlineStr">
        <is>
          <t>https://paultaylorhomes.com/about-us</t>
        </is>
      </c>
      <c r="AD61" s="6" t="inlineStr"/>
      <c r="AE61" s="6" t="inlineStr"/>
    </row>
    <row r="62">
      <c r="A62" s="12" t="inlineStr">
        <is>
          <t>Matthew R. Zaist</t>
        </is>
      </c>
      <c r="B62" s="12" t="inlineStr">
        <is>
          <t>Risewell Homes</t>
        </is>
      </c>
      <c r="C62" s="12" t="inlineStr">
        <is>
          <t>President and Chief Executive Officer</t>
        </is>
      </c>
      <c r="D62" s="13" t="inlineStr">
        <is>
          <t>One gap</t>
        </is>
      </c>
      <c r="E62" s="14" t="n">
        <v>2</v>
      </c>
      <c r="F62" s="12" t="inlineStr">
        <is>
          <t>Printer buyer</t>
        </is>
      </c>
      <c r="G62" s="12" t="inlineStr">
        <is>
          <t>Production homebuilder</t>
        </is>
      </c>
      <c r="H62" s="12" t="inlineStr">
        <is>
          <t>Irving office, with communities in DFW</t>
        </is>
      </c>
      <c r="I62" s="12" t="inlineStr">
        <is>
          <t>19 DFW listings selling and four coming, September 2026</t>
        </is>
      </c>
      <c r="J62" s="14" t="inlineStr">
        <is>
          <t>Yes</t>
        </is>
      </c>
      <c r="K62" s="15" t="inlineStr">
        <is>
          <t>DFW market pages, plus a signed place at Serenade.</t>
        </is>
      </c>
      <c r="L62" s="14" t="inlineStr">
        <is>
          <t>Partly</t>
        </is>
      </c>
      <c r="M62" s="15" t="inlineStr">
        <is>
          <t>Annual closings not published.</t>
        </is>
      </c>
      <c r="N62" s="14" t="inlineStr">
        <is>
          <t>No</t>
        </is>
      </c>
      <c r="O62" s="15" t="inlineStr">
        <is>
          <t>Nothing on record.</t>
        </is>
      </c>
      <c r="P62" s="10" t="inlineStr"/>
      <c r="Q62" s="12" t="inlineStr"/>
      <c r="R62" s="16">
        <f>IF(P62="","ADD LINKEDIN","ok")</f>
        <v/>
      </c>
      <c r="S62" s="12" t="inlineStr">
        <is>
          <t>https://risewellhomes.com/texas/dallas-fort-worth-new-homes</t>
        </is>
      </c>
      <c r="T62" s="15" t="inlineStr">
        <is>
          <t>One of six Phase 1 builders signed at Serenade in Celina. Its models there target 2027.</t>
        </is>
      </c>
      <c r="U62" s="12" t="inlineStr"/>
      <c r="V62" s="15" t="inlineStr">
        <is>
          <t>Builder 100 speaker bio. Joined New Home Co. in that role, September 2021.</t>
        </is>
      </c>
      <c r="W62" s="12" t="inlineStr">
        <is>
          <t>https://www.builder100.com/speaker/matthew-r-zaist/</t>
        </is>
      </c>
      <c r="X62" s="12" t="inlineStr">
        <is>
          <t>https://www.linkedin.com/company/risewell-homes/</t>
        </is>
      </c>
      <c r="Y62" s="12" t="inlineStr"/>
      <c r="Z62" s="12" t="inlineStr"/>
      <c r="AA62" s="12" t="inlineStr">
        <is>
          <t>(888) 827-4421</t>
        </is>
      </c>
      <c r="AB62" s="12" t="inlineStr">
        <is>
          <t>Dallas office</t>
        </is>
      </c>
      <c r="AC62" s="12" t="inlineStr">
        <is>
          <t>https://risewellhomes.com/contact</t>
        </is>
      </c>
      <c r="AD62" s="12" t="inlineStr"/>
      <c r="AE62" s="12" t="inlineStr"/>
    </row>
    <row r="63">
      <c r="A63" s="6" t="inlineStr">
        <is>
          <t>Tim Fleet</t>
        </is>
      </c>
      <c r="B63" s="6" t="inlineStr">
        <is>
          <t>Riverside Homebuilders</t>
        </is>
      </c>
      <c r="C63" s="6" t="inlineStr">
        <is>
          <t>President and Founder</t>
        </is>
      </c>
      <c r="D63" s="7" t="inlineStr">
        <is>
          <t>One gap</t>
        </is>
      </c>
      <c r="E63" s="8" t="n">
        <v>2</v>
      </c>
      <c r="F63" s="6" t="inlineStr">
        <is>
          <t>Printer buyer</t>
        </is>
      </c>
      <c r="G63" s="6" t="inlineStr">
        <is>
          <t>Production homebuilder</t>
        </is>
      </c>
      <c r="H63" s="6" t="inlineStr">
        <is>
          <t>Fort Worth, with communities across North Texas counties from Grayson to Ellis</t>
        </is>
      </c>
      <c r="I63" s="6" t="inlineStr">
        <is>
          <t>649 company-wide closings in 2025, Builder 100 rank 84</t>
        </is>
      </c>
      <c r="J63" s="8" t="inlineStr">
        <is>
          <t>Yes</t>
        </is>
      </c>
      <c r="K63" s="9" t="inlineStr">
        <is>
          <t>More than 25 active and coming communities on a repeated floor-plan library.</t>
        </is>
      </c>
      <c r="L63" s="8" t="inlineStr">
        <is>
          <t>Partly</t>
        </is>
      </c>
      <c r="M63" s="9" t="inlineStr">
        <is>
          <t>649 closings in 2025.</t>
        </is>
      </c>
      <c r="N63" s="8" t="inlineStr">
        <is>
          <t>No</t>
        </is>
      </c>
      <c r="O63" s="9" t="inlineStr">
        <is>
          <t>Nothing on record.</t>
        </is>
      </c>
      <c r="P63" s="10" t="inlineStr"/>
      <c r="Q63" s="6" t="inlineStr"/>
      <c r="R63" s="11">
        <f>IF(P63="","ADD LINKEDIN","ok")</f>
        <v/>
      </c>
      <c r="S63" s="6" t="inlineStr">
        <is>
          <t>https://www.riversidehomebuilders.com/</t>
        </is>
      </c>
      <c r="T63" s="9" t="inlineStr">
        <is>
          <t>Repeats one floor-plan library across more than 25 active and coming communities. Founder Tim Fleet is president.</t>
        </is>
      </c>
      <c r="U63" s="6" t="inlineStr"/>
      <c r="V63" s="9" t="inlineStr">
        <is>
          <t>Firm's about page.</t>
        </is>
      </c>
      <c r="W63" s="6" t="inlineStr">
        <is>
          <t>https://www.riversidehomebuilders.com/about/</t>
        </is>
      </c>
      <c r="X63" s="6" t="inlineStr">
        <is>
          <t>https://www.linkedin.com/company/riversidehomebuilders/</t>
        </is>
      </c>
      <c r="Y63" s="6" t="inlineStr"/>
      <c r="Z63" s="6" t="inlineStr"/>
      <c r="AA63" s="6" t="inlineStr">
        <is>
          <t>(817) 734-8528</t>
        </is>
      </c>
      <c r="AB63" s="6" t="inlineStr">
        <is>
          <t>Sales line, Fort Worth</t>
        </is>
      </c>
      <c r="AC63" s="6" t="inlineStr">
        <is>
          <t>https://www.riversidehomebuilders.com/contact-us/</t>
        </is>
      </c>
      <c r="AD63" s="6" t="inlineStr"/>
      <c r="AE63" s="6" t="inlineStr"/>
    </row>
    <row r="64">
      <c r="A64" s="12" t="inlineStr">
        <is>
          <t>Lindsay Motley</t>
        </is>
      </c>
      <c r="B64" s="12" t="inlineStr">
        <is>
          <t>Starlight Homes (Ashton Woods brand)</t>
        </is>
      </c>
      <c r="C64" s="12" t="inlineStr">
        <is>
          <t>Regional President, Texas, Ashton Woods</t>
        </is>
      </c>
      <c r="D64" s="13" t="inlineStr">
        <is>
          <t>One gap</t>
        </is>
      </c>
      <c r="E64" s="14" t="n">
        <v>2</v>
      </c>
      <c r="F64" s="12" t="inlineStr">
        <is>
          <t>Printer buyer</t>
        </is>
      </c>
      <c r="G64" s="12" t="inlineStr">
        <is>
          <t>Entry-level homebuilder, an Ashton Woods brand</t>
        </is>
      </c>
      <c r="H64" s="12" t="inlineStr">
        <is>
          <t>Dallas-Fort Worth, from Howe to Cedar Hill</t>
        </is>
      </c>
      <c r="I64" s="12" t="inlineStr">
        <is>
          <t>Ashton Woods brand, parent had 1,289 DFW closings in 2025</t>
        </is>
      </c>
      <c r="J64" s="14" t="inlineStr">
        <is>
          <t>Yes</t>
        </is>
      </c>
      <c r="K64" s="15" t="inlineStr">
        <is>
          <t>Plans Rayne, Orbit, Crescent and Luna repeat across DFW neighborhoods.</t>
        </is>
      </c>
      <c r="L64" s="14" t="inlineStr">
        <is>
          <t>Partly</t>
        </is>
      </c>
      <c r="M64" s="15" t="inlineStr">
        <is>
          <t>No brand closings figure published. Ashton Woods names its SVP of Purchasing.</t>
        </is>
      </c>
      <c r="N64" s="14" t="inlineStr">
        <is>
          <t>No</t>
        </is>
      </c>
      <c r="O64" s="15" t="inlineStr">
        <is>
          <t>Nothing on record.</t>
        </is>
      </c>
      <c r="P64" s="6" t="inlineStr">
        <is>
          <t>https://www.linkedin.com/in/lindsay-motley-3553b614</t>
        </is>
      </c>
      <c r="Q64" s="12" t="inlineStr"/>
      <c r="R64" s="16">
        <f>IF(P64="","ADD LINKEDIN","ok")</f>
        <v/>
      </c>
      <c r="S64" s="12" t="inlineStr">
        <is>
          <t>https://www.starlighthomes.com/dallas</t>
        </is>
      </c>
      <c r="T64" s="15" t="inlineStr">
        <is>
          <t>An Ashton Woods brand repeating streamlined plans across DFW. Purchasing sits with the parent.</t>
        </is>
      </c>
      <c r="U64" s="12" t="inlineStr">
        <is>
          <t>YES</t>
        </is>
      </c>
      <c r="V64" s="15" t="inlineStr">
        <is>
          <t>Indexed title: Regional President at Ashton Woods. Ashton Woods corporate page. Texas markets since 2022.</t>
        </is>
      </c>
      <c r="W64" s="12" t="inlineStr">
        <is>
          <t>https://www.ashtonwoods.com/corporate-info</t>
        </is>
      </c>
      <c r="X64" s="12" t="inlineStr">
        <is>
          <t>https://www.linkedin.com/company/starlight-homes/</t>
        </is>
      </c>
      <c r="Y64" s="12" t="inlineStr"/>
      <c r="Z64" s="12" t="inlineStr"/>
      <c r="AA64" s="12" t="inlineStr">
        <is>
          <t>(972) 449-1907</t>
        </is>
      </c>
      <c r="AB64" s="12" t="inlineStr">
        <is>
          <t>Dallas rates page line</t>
        </is>
      </c>
      <c r="AC64" s="12" t="inlineStr">
        <is>
          <t>https://www2.starlighthomes.com/lower-rates-lower-payments-dallas</t>
        </is>
      </c>
      <c r="AD64" s="12" t="inlineStr"/>
      <c r="AE64" s="12" t="inlineStr"/>
    </row>
    <row r="65">
      <c r="A65" s="6" t="inlineStr">
        <is>
          <t>Adam Weaver</t>
        </is>
      </c>
      <c r="B65" s="6" t="inlineStr">
        <is>
          <t>Starlight Homes (Ashton Woods brand)</t>
        </is>
      </c>
      <c r="C65" s="6" t="inlineStr">
        <is>
          <t>Senior Vice President of Purchasing, Ashton Woods</t>
        </is>
      </c>
      <c r="D65" s="7" t="inlineStr">
        <is>
          <t>One gap</t>
        </is>
      </c>
      <c r="E65" s="8" t="n">
        <v>2</v>
      </c>
      <c r="F65" s="6" t="inlineStr">
        <is>
          <t>Printer buyer</t>
        </is>
      </c>
      <c r="G65" s="6" t="inlineStr">
        <is>
          <t>Entry-level homebuilder, an Ashton Woods brand</t>
        </is>
      </c>
      <c r="H65" s="6" t="inlineStr">
        <is>
          <t>Dallas-Fort Worth, from Howe to Cedar Hill</t>
        </is>
      </c>
      <c r="I65" s="6" t="inlineStr">
        <is>
          <t>Ashton Woods brand, parent had 1,289 DFW closings in 2025</t>
        </is>
      </c>
      <c r="J65" s="8" t="inlineStr">
        <is>
          <t>Yes</t>
        </is>
      </c>
      <c r="K65" s="9" t="inlineStr">
        <is>
          <t>Plans Rayne, Orbit, Crescent and Luna repeat across DFW neighborhoods.</t>
        </is>
      </c>
      <c r="L65" s="8" t="inlineStr">
        <is>
          <t>Partly</t>
        </is>
      </c>
      <c r="M65" s="9" t="inlineStr">
        <is>
          <t>No brand closings figure published. Ashton Woods names its SVP of Purchasing.</t>
        </is>
      </c>
      <c r="N65" s="8" t="inlineStr">
        <is>
          <t>No</t>
        </is>
      </c>
      <c r="O65" s="9" t="inlineStr">
        <is>
          <t>Nothing on record.</t>
        </is>
      </c>
      <c r="P65" s="6" t="inlineStr">
        <is>
          <t>https://www.linkedin.com/in/adamweaver/</t>
        </is>
      </c>
      <c r="Q65" s="6" t="inlineStr"/>
      <c r="R65" s="11">
        <f>IF(P65="","ADD LINKEDIN","ok")</f>
        <v/>
      </c>
      <c r="S65" s="6" t="inlineStr">
        <is>
          <t>https://www.starlighthomes.com/dallas</t>
        </is>
      </c>
      <c r="T65" s="9" t="inlineStr">
        <is>
          <t>An Ashton Woods brand repeating streamlined plans across DFW. Purchasing sits with the parent.</t>
        </is>
      </c>
      <c r="U65" s="6" t="inlineStr">
        <is>
          <t>YES</t>
        </is>
      </c>
      <c r="V65" s="9" t="inlineStr">
        <is>
          <t>Indexed title: Ashton Woods Homes. Ashton Woods corporate page.</t>
        </is>
      </c>
      <c r="W65" s="6" t="inlineStr">
        <is>
          <t>https://www.ashtonwoods.com/corporate-info</t>
        </is>
      </c>
      <c r="X65" s="6" t="inlineStr">
        <is>
          <t>https://www.linkedin.com/company/starlight-homes/</t>
        </is>
      </c>
      <c r="Y65" s="6" t="inlineStr"/>
      <c r="Z65" s="6" t="inlineStr"/>
      <c r="AA65" s="6" t="inlineStr">
        <is>
          <t>(972) 449-1907</t>
        </is>
      </c>
      <c r="AB65" s="6" t="inlineStr">
        <is>
          <t>Dallas rates page line</t>
        </is>
      </c>
      <c r="AC65" s="6" t="inlineStr">
        <is>
          <t>https://www2.starlighthomes.com/lower-rates-lower-payments-dallas</t>
        </is>
      </c>
      <c r="AD65" s="6" t="inlineStr"/>
      <c r="AE65" s="6" t="inlineStr"/>
    </row>
    <row r="66">
      <c r="A66" s="12" t="inlineStr">
        <is>
          <t>Ryan Hayes</t>
        </is>
      </c>
      <c r="B66" s="12" t="inlineStr">
        <is>
          <t>Stonehollow Homes</t>
        </is>
      </c>
      <c r="C66" s="12" t="inlineStr">
        <is>
          <t>Title not published</t>
        </is>
      </c>
      <c r="D66" s="13" t="inlineStr">
        <is>
          <t>One gap</t>
        </is>
      </c>
      <c r="E66" s="14" t="n">
        <v>2</v>
      </c>
      <c r="F66" s="12" t="inlineStr">
        <is>
          <t>Printer buyer</t>
        </is>
      </c>
      <c r="G66" s="12" t="inlineStr">
        <is>
          <t>Production homebuilder</t>
        </is>
      </c>
      <c r="H66" s="12" t="inlineStr">
        <is>
          <t>McKinney, with communities from Sherman to Fort Worth</t>
        </is>
      </c>
      <c r="I66" s="12" t="inlineStr">
        <is>
          <t>176 company-wide closings in 2022, BUILDER records</t>
        </is>
      </c>
      <c r="J66" s="14" t="inlineStr">
        <is>
          <t>Yes</t>
        </is>
      </c>
      <c r="K66" s="15" t="inlineStr">
        <is>
          <t>One plan library repeated in Pilot Point, Lavon, Anna and other towns.</t>
        </is>
      </c>
      <c r="L66" s="14" t="inlineStr">
        <is>
          <t>Partly</t>
        </is>
      </c>
      <c r="M66" s="15" t="inlineStr">
        <is>
          <t>176 closings in 2022, the latest figure, spread across many community entries.</t>
        </is>
      </c>
      <c r="N66" s="14" t="inlineStr">
        <is>
          <t>No</t>
        </is>
      </c>
      <c r="O66" s="15" t="inlineStr">
        <is>
          <t>Nothing on record.</t>
        </is>
      </c>
      <c r="P66" s="10" t="inlineStr"/>
      <c r="Q66" s="12" t="inlineStr"/>
      <c r="R66" s="16">
        <f>IF(P66="","ADD LINKEDIN","ok")</f>
        <v/>
      </c>
      <c r="S66" s="12" t="inlineStr">
        <is>
          <t>https://www.stonehollowhomes.com/</t>
        </is>
      </c>
      <c r="T66" s="15" t="inlineStr">
        <is>
          <t>Repeats one plan library in Pilot Point, Lavon, Anna and other towns. Family-owned, established in 2010 in Melissa.</t>
        </is>
      </c>
      <c r="U66" s="12" t="inlineStr"/>
      <c r="V66" s="15" t="inlineStr">
        <is>
          <t>Company LinkedIn post, December 2025, with Tami Hayes. No title given.</t>
        </is>
      </c>
      <c r="W66" s="12" t="inlineStr">
        <is>
          <t>https://www.linkedin.com/posts/stonehollow-homes_stonehollow-homes-is-hitting-the-screen-activity-7405267233117159424-txNB</t>
        </is>
      </c>
      <c r="X66" s="12" t="inlineStr">
        <is>
          <t>https://www.linkedin.com/company/stonehollow-homes/</t>
        </is>
      </c>
      <c r="Y66" s="12" t="inlineStr"/>
      <c r="Z66" s="12" t="inlineStr"/>
      <c r="AA66" s="12" t="inlineStr">
        <is>
          <t>(469) 237-6320</t>
        </is>
      </c>
      <c r="AB66" s="12" t="inlineStr">
        <is>
          <t>Main office, McKinney</t>
        </is>
      </c>
      <c r="AC66" s="12" t="inlineStr">
        <is>
          <t>https://www.stonehollowhomes.com/about-us</t>
        </is>
      </c>
      <c r="AD66" s="12" t="inlineStr"/>
      <c r="AE66" s="12" t="inlineStr"/>
    </row>
    <row r="67">
      <c r="A67" s="6" t="inlineStr">
        <is>
          <t>Tami Hayes</t>
        </is>
      </c>
      <c r="B67" s="6" t="inlineStr">
        <is>
          <t>Stonehollow Homes</t>
        </is>
      </c>
      <c r="C67" s="6" t="inlineStr">
        <is>
          <t>Title not published</t>
        </is>
      </c>
      <c r="D67" s="7" t="inlineStr">
        <is>
          <t>One gap</t>
        </is>
      </c>
      <c r="E67" s="8" t="n">
        <v>2</v>
      </c>
      <c r="F67" s="6" t="inlineStr">
        <is>
          <t>Printer buyer</t>
        </is>
      </c>
      <c r="G67" s="6" t="inlineStr">
        <is>
          <t>Production homebuilder</t>
        </is>
      </c>
      <c r="H67" s="6" t="inlineStr">
        <is>
          <t>McKinney, with communities from Sherman to Fort Worth</t>
        </is>
      </c>
      <c r="I67" s="6" t="inlineStr">
        <is>
          <t>176 company-wide closings in 2022, BUILDER records</t>
        </is>
      </c>
      <c r="J67" s="8" t="inlineStr">
        <is>
          <t>Yes</t>
        </is>
      </c>
      <c r="K67" s="9" t="inlineStr">
        <is>
          <t>One plan library repeated in Pilot Point, Lavon, Anna and other towns.</t>
        </is>
      </c>
      <c r="L67" s="8" t="inlineStr">
        <is>
          <t>Partly</t>
        </is>
      </c>
      <c r="M67" s="9" t="inlineStr">
        <is>
          <t>176 closings in 2022, the latest figure, spread across many community entries.</t>
        </is>
      </c>
      <c r="N67" s="8" t="inlineStr">
        <is>
          <t>No</t>
        </is>
      </c>
      <c r="O67" s="9" t="inlineStr">
        <is>
          <t>Nothing on record.</t>
        </is>
      </c>
      <c r="P67" s="10" t="inlineStr"/>
      <c r="Q67" s="6" t="inlineStr"/>
      <c r="R67" s="11">
        <f>IF(P67="","ADD LINKEDIN","ok")</f>
        <v/>
      </c>
      <c r="S67" s="6" t="inlineStr">
        <is>
          <t>https://www.stonehollowhomes.com/</t>
        </is>
      </c>
      <c r="T67" s="9" t="inlineStr">
        <is>
          <t>Repeats one plan library in Pilot Point, Lavon, Anna and other towns. Family-owned, established in 2010 in Melissa.</t>
        </is>
      </c>
      <c r="U67" s="6" t="inlineStr"/>
      <c r="V67" s="9" t="inlineStr">
        <is>
          <t>Same December 2025 post. No title given.</t>
        </is>
      </c>
      <c r="W67" s="6" t="inlineStr">
        <is>
          <t>https://www.linkedin.com/posts/stonehollow-homes_stonehollow-homes-is-hitting-the-screen-activity-7405267233117159424-txNB</t>
        </is>
      </c>
      <c r="X67" s="6" t="inlineStr">
        <is>
          <t>https://www.linkedin.com/company/stonehollow-homes/</t>
        </is>
      </c>
      <c r="Y67" s="6" t="inlineStr"/>
      <c r="Z67" s="6" t="inlineStr"/>
      <c r="AA67" s="6" t="inlineStr">
        <is>
          <t>(469) 237-6320</t>
        </is>
      </c>
      <c r="AB67" s="6" t="inlineStr">
        <is>
          <t>Main office, McKinney</t>
        </is>
      </c>
      <c r="AC67" s="6" t="inlineStr">
        <is>
          <t>https://www.stonehollowhomes.com/about-us</t>
        </is>
      </c>
      <c r="AD67" s="6" t="inlineStr"/>
      <c r="AE67" s="6" t="inlineStr"/>
    </row>
    <row r="68">
      <c r="A68" s="12" t="inlineStr">
        <is>
          <t>Zach Schneider</t>
        </is>
      </c>
      <c r="B68" s="12" t="inlineStr">
        <is>
          <t>Tradition Homes</t>
        </is>
      </c>
      <c r="C68" s="12" t="inlineStr">
        <is>
          <t>President and CEO, co-founder</t>
        </is>
      </c>
      <c r="D68" s="13" t="inlineStr">
        <is>
          <t>One gap</t>
        </is>
      </c>
      <c r="E68" s="14" t="n">
        <v>2</v>
      </c>
      <c r="F68" s="12" t="inlineStr">
        <is>
          <t>Printer buyer</t>
        </is>
      </c>
      <c r="G68" s="12" t="inlineStr">
        <is>
          <t>Move-up homebuilder</t>
        </is>
      </c>
      <c r="H68" s="12" t="inlineStr">
        <is>
          <t>McKinney, with communities in Prosper and Celina</t>
        </is>
      </c>
      <c r="I68" s="12" t="inlineStr">
        <is>
          <t>DFW move-up builder founded 2019 by Darling and Schneider</t>
        </is>
      </c>
      <c r="J68" s="14" t="inlineStr">
        <is>
          <t>Yes</t>
        </is>
      </c>
      <c r="K68" s="15" t="inlineStr">
        <is>
          <t>Production and semi-custom plans in Light Farms, Windsong Ranch and Brookhollow.</t>
        </is>
      </c>
      <c r="L68" s="14" t="inlineStr">
        <is>
          <t>Partly</t>
        </is>
      </c>
      <c r="M68" s="15" t="inlineStr">
        <is>
          <t>Concentrated in DFW. No annual closing figure published.</t>
        </is>
      </c>
      <c r="N68" s="14" t="inlineStr">
        <is>
          <t>No</t>
        </is>
      </c>
      <c r="O68" s="15" t="inlineStr">
        <is>
          <t>Nothing on record.</t>
        </is>
      </c>
      <c r="P68" s="10" t="inlineStr"/>
      <c r="Q68" s="12" t="inlineStr"/>
      <c r="R68" s="16">
        <f>IF(P68="","ADD LINKEDIN","ok")</f>
        <v/>
      </c>
      <c r="S68" s="12" t="inlineStr">
        <is>
          <t>https://www.traditionhomes.com/</t>
        </is>
      </c>
      <c r="T68" s="15" t="inlineStr">
        <is>
          <t>Builds production and semi-custom plans at Light Farms, Windsong Ranch and Brookhollow. Co-founder Bill Darling sold Darling Homes to Taylor Morrison in 2013.</t>
        </is>
      </c>
      <c r="U68" s="12" t="inlineStr">
        <is>
          <t>YES</t>
        </is>
      </c>
      <c r="V68" s="15" t="inlineStr">
        <is>
          <t>Firm's homepage. LinkedIn profile gives President and CEO.</t>
        </is>
      </c>
      <c r="W68" s="12" t="inlineStr">
        <is>
          <t>https://www.traditionhomes.com/</t>
        </is>
      </c>
      <c r="X68" s="12" t="inlineStr">
        <is>
          <t>https://www.linkedin.com/company/traditonhomes/</t>
        </is>
      </c>
      <c r="Y68" s="12" t="inlineStr"/>
      <c r="Z68" s="12" t="inlineStr">
        <is>
          <t>2019-07-24 Dallas Business Journal (hosted on Tradition site). Longtime DFW builder Bill Darling leaps back into high-end homes in Celina’s Light Farms  https://www.traditionhomes.com/longtime-dfw-builder-bill-darling-leaps-back-into-high-end-homes-in-celinas-light-farms/</t>
        </is>
      </c>
      <c r="AA68" s="12" t="inlineStr">
        <is>
          <t>(469) 202-4663</t>
        </is>
      </c>
      <c r="AB68" s="12" t="inlineStr">
        <is>
          <t>Office, McKinney</t>
        </is>
      </c>
      <c r="AC68" s="12" t="inlineStr">
        <is>
          <t>https://www.traditionhomes.com/</t>
        </is>
      </c>
      <c r="AD68" s="12" t="inlineStr"/>
      <c r="AE68" s="12" t="inlineStr"/>
    </row>
    <row r="69">
      <c r="A69" s="6" t="inlineStr">
        <is>
          <t>Bill Darling</t>
        </is>
      </c>
      <c r="B69" s="6" t="inlineStr">
        <is>
          <t>Tradition Homes</t>
        </is>
      </c>
      <c r="C69" s="6" t="inlineStr">
        <is>
          <t>Co-founder</t>
        </is>
      </c>
      <c r="D69" s="7" t="inlineStr">
        <is>
          <t>One gap</t>
        </is>
      </c>
      <c r="E69" s="8" t="n">
        <v>2</v>
      </c>
      <c r="F69" s="6" t="inlineStr">
        <is>
          <t>Printer buyer</t>
        </is>
      </c>
      <c r="G69" s="6" t="inlineStr">
        <is>
          <t>Move-up homebuilder</t>
        </is>
      </c>
      <c r="H69" s="6" t="inlineStr">
        <is>
          <t>McKinney, with communities in Prosper and Celina</t>
        </is>
      </c>
      <c r="I69" s="6" t="inlineStr">
        <is>
          <t>DFW move-up builder founded 2019 by Darling and Schneider</t>
        </is>
      </c>
      <c r="J69" s="8" t="inlineStr">
        <is>
          <t>Yes</t>
        </is>
      </c>
      <c r="K69" s="9" t="inlineStr">
        <is>
          <t>Production and semi-custom plans in Light Farms, Windsong Ranch and Brookhollow.</t>
        </is>
      </c>
      <c r="L69" s="8" t="inlineStr">
        <is>
          <t>Partly</t>
        </is>
      </c>
      <c r="M69" s="9" t="inlineStr">
        <is>
          <t>Concentrated in DFW. No annual closing figure published.</t>
        </is>
      </c>
      <c r="N69" s="8" t="inlineStr">
        <is>
          <t>No</t>
        </is>
      </c>
      <c r="O69" s="9" t="inlineStr">
        <is>
          <t>Nothing on record.</t>
        </is>
      </c>
      <c r="P69" s="10" t="inlineStr"/>
      <c r="Q69" s="6" t="inlineStr"/>
      <c r="R69" s="11">
        <f>IF(P69="","ADD LINKEDIN","ok")</f>
        <v/>
      </c>
      <c r="S69" s="6" t="inlineStr">
        <is>
          <t>https://www.traditionhomes.com/</t>
        </is>
      </c>
      <c r="T69" s="9" t="inlineStr">
        <is>
          <t>Builds production and semi-custom plans at Light Farms, Windsong Ranch and Brookhollow. Co-founder Bill Darling sold Darling Homes to Taylor Morrison in 2013.</t>
        </is>
      </c>
      <c r="U69" s="6" t="inlineStr">
        <is>
          <t>YES</t>
        </is>
      </c>
      <c r="V69" s="9" t="inlineStr">
        <is>
          <t>Dallas Business Journal article, hosted on the firm's site.</t>
        </is>
      </c>
      <c r="W69" s="6" t="inlineStr">
        <is>
          <t>https://www.traditionhomes.com/longtime-dfw-builder-bill-darling-leaps-back-into-high-end-homes-in-celinas-light-farms/</t>
        </is>
      </c>
      <c r="X69" s="6" t="inlineStr">
        <is>
          <t>https://www.linkedin.com/company/traditonhomes/</t>
        </is>
      </c>
      <c r="Y69" s="6" t="inlineStr"/>
      <c r="Z69" s="6" t="inlineStr">
        <is>
          <t>2019-07-24 Dallas Business Journal (hosted on Tradition site). Longtime DFW builder Bill Darling leaps back into high-end homes in Celina’s Light Farms  https://www.traditionhomes.com/longtime-dfw-builder-bill-darling-leaps-back-into-high-end-homes-in-celinas-light-farms/</t>
        </is>
      </c>
      <c r="AA69" s="6" t="inlineStr">
        <is>
          <t>(469) 202-4663</t>
        </is>
      </c>
      <c r="AB69" s="6" t="inlineStr">
        <is>
          <t>Office, McKinney</t>
        </is>
      </c>
      <c r="AC69" s="6" t="inlineStr">
        <is>
          <t>https://www.traditionhomes.com/</t>
        </is>
      </c>
      <c r="AD69" s="6" t="inlineStr"/>
      <c r="AE69" s="6" t="inlineStr"/>
    </row>
    <row r="70">
      <c r="A70" s="12" t="inlineStr">
        <is>
          <t>Tim Gehan</t>
        </is>
      </c>
      <c r="B70" s="12" t="inlineStr">
        <is>
          <t>UnionMain Homes</t>
        </is>
      </c>
      <c r="C70" s="12" t="inlineStr">
        <is>
          <t>Chief Executive Officer</t>
        </is>
      </c>
      <c r="D70" s="13" t="inlineStr">
        <is>
          <t>One gap</t>
        </is>
      </c>
      <c r="E70" s="14" t="n">
        <v>2</v>
      </c>
      <c r="F70" s="12" t="inlineStr">
        <is>
          <t>Printer buyer</t>
        </is>
      </c>
      <c r="G70" s="12" t="inlineStr">
        <is>
          <t>Production homebuilder</t>
        </is>
      </c>
      <c r="H70" s="12" t="inlineStr">
        <is>
          <t>North Texas, from Celina to Waxahachie, and Atlanta</t>
        </is>
      </c>
      <c r="I70" s="12" t="inlineStr">
        <is>
          <t>12 Texas communities in 9 cities, own count</t>
        </is>
      </c>
      <c r="J70" s="14" t="inlineStr">
        <is>
          <t>Yes</t>
        </is>
      </c>
      <c r="K70" s="15" t="inlineStr">
        <is>
          <t>40 floor plans repeated across 12 communities.</t>
        </is>
      </c>
      <c r="L70" s="14" t="inlineStr">
        <is>
          <t>Partly</t>
        </is>
      </c>
      <c r="M70" s="15" t="inlineStr">
        <is>
          <t>No annual closings published.</t>
        </is>
      </c>
      <c r="N70" s="14" t="inlineStr">
        <is>
          <t>No</t>
        </is>
      </c>
      <c r="O70" s="15" t="inlineStr">
        <is>
          <t>Nothing on record.</t>
        </is>
      </c>
      <c r="P70" s="10" t="inlineStr"/>
      <c r="Q70" s="12" t="inlineStr"/>
      <c r="R70" s="16">
        <f>IF(P70="","ADD LINKEDIN","ok")</f>
        <v/>
      </c>
      <c r="S70" s="12" t="inlineStr">
        <is>
          <t>https://www.unionmainhomes.com/</t>
        </is>
      </c>
      <c r="T70" s="15" t="inlineStr">
        <is>
          <t>Repeats 40 floor plans across its Texas communities, from Celina to Waxahachie.</t>
        </is>
      </c>
      <c r="U70" s="12" t="inlineStr">
        <is>
          <t>YES</t>
        </is>
      </c>
      <c r="V70" s="15" t="inlineStr">
        <is>
          <t>Dallas Builders Association feature on Walden Pond, Forney.</t>
        </is>
      </c>
      <c r="W70" s="12" t="inlineStr">
        <is>
          <t>https://dallasbuilders.com/home-of-the-week-unionmain-homes-7/</t>
        </is>
      </c>
      <c r="X70" s="12" t="inlineStr">
        <is>
          <t>https://www.linkedin.com/company/unionmainhomes/</t>
        </is>
      </c>
      <c r="Y70" s="12" t="inlineStr">
        <is>
          <t>https://www.unionmainhomes.com/about</t>
        </is>
      </c>
      <c r="Z70" s="12" t="inlineStr"/>
      <c r="AA70" s="12" t="inlineStr">
        <is>
          <t>(469) 813-8700</t>
        </is>
      </c>
      <c r="AB70" s="12" t="inlineStr">
        <is>
          <t>Online sales consultant</t>
        </is>
      </c>
      <c r="AC70" s="12" t="inlineStr">
        <is>
          <t>https://www.unionmainhomes.com/contact</t>
        </is>
      </c>
      <c r="AD70" s="12" t="inlineStr"/>
      <c r="AE70" s="12" t="inlineStr"/>
    </row>
    <row r="71">
      <c r="A71" s="6" t="inlineStr">
        <is>
          <t>Kathy Britton</t>
        </is>
      </c>
      <c r="B71" s="6" t="inlineStr">
        <is>
          <t>Britton Homes</t>
        </is>
      </c>
      <c r="C71" s="6" t="inlineStr">
        <is>
          <t>Owner and Executive Chair, Perry Homes</t>
        </is>
      </c>
      <c r="D71" s="7" t="inlineStr">
        <is>
          <t>One gap</t>
        </is>
      </c>
      <c r="E71" s="8" t="n">
        <v>2</v>
      </c>
      <c r="F71" s="6" t="inlineStr">
        <is>
          <t>Printer buyer</t>
        </is>
      </c>
      <c r="G71" s="6" t="inlineStr">
        <is>
          <t>Luxury homebuilder, a Perry Homes brand</t>
        </is>
      </c>
      <c r="H71" s="6" t="inlineStr">
        <is>
          <t>North Texas: Plano, Frisco, Celina, Highland Village and Prosper</t>
        </is>
      </c>
      <c r="I71" s="6" t="inlineStr">
        <is>
          <t>Six DFW communities listed on its site</t>
        </is>
      </c>
      <c r="J71" s="8" t="inlineStr">
        <is>
          <t>Partly</t>
        </is>
      </c>
      <c r="K71" s="9" t="inlineStr">
        <is>
          <t>Brand plan library. Upscale product, less standardized than entry production.</t>
        </is>
      </c>
      <c r="L71" s="8" t="inlineStr">
        <is>
          <t>Partly</t>
        </is>
      </c>
      <c r="M71" s="9" t="inlineStr">
        <is>
          <t>No Britton-only closing figure published.</t>
        </is>
      </c>
      <c r="N71" s="8" t="inlineStr">
        <is>
          <t>No</t>
        </is>
      </c>
      <c r="O71" s="9" t="inlineStr">
        <is>
          <t>Nothing on record.</t>
        </is>
      </c>
      <c r="P71" s="10" t="inlineStr"/>
      <c r="Q71" s="6" t="inlineStr"/>
      <c r="R71" s="11">
        <f>IF(P71="","ADD LINKEDIN","ok")</f>
        <v/>
      </c>
      <c r="S71" s="6" t="inlineStr">
        <is>
          <t>https://www.brittonhomestexas.com/</t>
        </is>
      </c>
      <c r="T71" s="9" t="inlineStr">
        <is>
          <t>The luxury brand of Perry Homes, building in Plano, Frisco, Celina and Highland Village.</t>
        </is>
      </c>
      <c r="U71" s="6" t="inlineStr"/>
      <c r="V71" s="9" t="inlineStr">
        <is>
          <t>Perry Homes about page.</t>
        </is>
      </c>
      <c r="W71" s="6" t="inlineStr">
        <is>
          <t>https://www.perryhomes.com/about-perry-homes</t>
        </is>
      </c>
      <c r="X71" s="6" t="inlineStr">
        <is>
          <t>https://www.linkedin.com/company/britton-homes-texas/</t>
        </is>
      </c>
      <c r="Y71" s="6" t="inlineStr"/>
      <c r="Z71" s="6" t="inlineStr"/>
      <c r="AA71" s="6" t="inlineStr">
        <is>
          <t>(800) 247-3779</t>
        </is>
      </c>
      <c r="AB71" s="6" t="inlineStr">
        <is>
          <t>Perry Homes line, on the Britton contact page</t>
        </is>
      </c>
      <c r="AC71" s="6" t="inlineStr">
        <is>
          <t>https://www.brittonhomestexas.com/contact-us/</t>
        </is>
      </c>
      <c r="AD71" s="6" t="inlineStr"/>
      <c r="AE71" s="6" t="inlineStr"/>
    </row>
    <row r="72">
      <c r="A72" s="12" t="inlineStr">
        <is>
          <t>Chris Terhune</t>
        </is>
      </c>
      <c r="B72" s="12" t="inlineStr">
        <is>
          <t>Coventry Homes</t>
        </is>
      </c>
      <c r="C72" s="12" t="inlineStr">
        <is>
          <t>Division President, Dallas-Fort Worth</t>
        </is>
      </c>
      <c r="D72" s="13" t="inlineStr">
        <is>
          <t>One gap</t>
        </is>
      </c>
      <c r="E72" s="14" t="n">
        <v>2</v>
      </c>
      <c r="F72" s="12" t="inlineStr">
        <is>
          <t>Printer buyer</t>
        </is>
      </c>
      <c r="G72" s="12" t="inlineStr">
        <is>
          <t>Production homebuilder, a Dream Finders brand</t>
        </is>
      </c>
      <c r="H72" s="12" t="inlineStr">
        <is>
          <t>Dallas-Fort Worth, with communities in McKinney, Celina and Anna</t>
        </is>
      </c>
      <c r="I72" s="12" t="inlineStr">
        <is>
          <t>More than 55,000 Texas homes closed, its own count</t>
        </is>
      </c>
      <c r="J72" s="14" t="inlineStr">
        <is>
          <t>Partly</t>
        </is>
      </c>
      <c r="K72" s="15" t="inlineStr">
        <is>
          <t>Close to 100 communities in four Texas metros on production plans. No DFW count.</t>
        </is>
      </c>
      <c r="L72" s="14" t="inlineStr">
        <is>
          <t>Partly</t>
        </is>
      </c>
      <c r="M72" s="15" t="inlineStr">
        <is>
          <t>No DFW closings figure. Public parent.</t>
        </is>
      </c>
      <c r="N72" s="14" t="inlineStr">
        <is>
          <t>No</t>
        </is>
      </c>
      <c r="O72" s="15" t="inlineStr">
        <is>
          <t>EcoSmart and Energy Star cover some homes only. No new wall method on record.</t>
        </is>
      </c>
      <c r="P72" s="10" t="inlineStr"/>
      <c r="Q72" s="12" t="inlineStr"/>
      <c r="R72" s="16">
        <f>IF(P72="","ADD LINKEDIN","ok")</f>
        <v/>
      </c>
      <c r="S72" s="12" t="inlineStr">
        <is>
          <t>https://www.coventryhomes.com/</t>
        </is>
      </c>
      <c r="T72" s="15" t="inlineStr">
        <is>
          <t>A Dream Finders Homes brand. Builds at Painted Tree in McKinney and at Ramble in Celina.</t>
        </is>
      </c>
      <c r="U72" s="12" t="inlineStr">
        <is>
          <t>YES</t>
        </is>
      </c>
      <c r="V72" s="15" t="inlineStr">
        <is>
          <t>Coventry blog, on the Meadow Vista expansion in Anna.</t>
        </is>
      </c>
      <c r="W72" s="12" t="inlineStr">
        <is>
          <t>https://www.coventryhomes.com/blog/coventry-homes-expands-to-meadow-vista-with-award-winning-home-designs/</t>
        </is>
      </c>
      <c r="X72" s="12" t="inlineStr">
        <is>
          <t>https://www.linkedin.com/company/coventryhomes/</t>
        </is>
      </c>
      <c r="Y72" s="12" t="inlineStr">
        <is>
          <t>https://www.coventryhomes.com/about-us/</t>
        </is>
      </c>
      <c r="Z72" s="12" t="inlineStr"/>
      <c r="AA72" s="12" t="inlineStr">
        <is>
          <t>(972) 366-8789</t>
        </is>
      </c>
      <c r="AB72" s="12" t="inlineStr">
        <is>
          <t>Dallas and Fort Worth line</t>
        </is>
      </c>
      <c r="AC72" s="12" t="inlineStr">
        <is>
          <t>https://www.coventryhomes.com/connect/</t>
        </is>
      </c>
      <c r="AD72" s="12" t="inlineStr"/>
      <c r="AE72" s="12" t="inlineStr"/>
    </row>
    <row r="73">
      <c r="A73" s="6" t="inlineStr">
        <is>
          <t>Aaron Graham</t>
        </is>
      </c>
      <c r="B73" s="6" t="inlineStr">
        <is>
          <t>Huntington Homes</t>
        </is>
      </c>
      <c r="C73" s="6" t="inlineStr">
        <is>
          <t>Chairman and Chief Executive Officer, Highland Homes</t>
        </is>
      </c>
      <c r="D73" s="7" t="inlineStr">
        <is>
          <t>One gap</t>
        </is>
      </c>
      <c r="E73" s="8" t="n">
        <v>2</v>
      </c>
      <c r="F73" s="6" t="inlineStr">
        <is>
          <t>Printer buyer</t>
        </is>
      </c>
      <c r="G73" s="6" t="inlineStr">
        <is>
          <t>Luxury homebuilder</t>
        </is>
      </c>
      <c r="H73" s="6" t="inlineStr">
        <is>
          <t>Plano office, with communities in Parker, Prosper and Celina</t>
        </is>
      </c>
      <c r="I73" s="6" t="inlineStr">
        <is>
          <t>Highland Homes' luxury brand, three DFW communities</t>
        </is>
      </c>
      <c r="J73" s="8" t="inlineStr">
        <is>
          <t>Partly</t>
        </is>
      </c>
      <c r="K73" s="9" t="inlineStr">
        <is>
          <t>Plan library with custom selections in three DFW communities.</t>
        </is>
      </c>
      <c r="L73" s="8" t="inlineStr">
        <is>
          <t>Partly</t>
        </is>
      </c>
      <c r="M73" s="9" t="inlineStr">
        <is>
          <t>No published closings figure.</t>
        </is>
      </c>
      <c r="N73" s="8" t="inlineStr">
        <is>
          <t>No</t>
        </is>
      </c>
      <c r="O73" s="9" t="inlineStr">
        <is>
          <t>Nothing on record.</t>
        </is>
      </c>
      <c r="P73" s="6" t="inlineStr">
        <is>
          <t>https://www.linkedin.com/in/aaron-graham-38728878/</t>
        </is>
      </c>
      <c r="Q73" s="6" t="inlineStr"/>
      <c r="R73" s="11">
        <f>IF(P73="","ADD LINKEDIN","ok")</f>
        <v/>
      </c>
      <c r="S73" s="6" t="inlineStr">
        <is>
          <t>https://www.huntingtonhomestx.com/</t>
        </is>
      </c>
      <c r="T73" s="9" t="inlineStr">
        <is>
          <t>Sells a plan library with custom selections on 100-foot lots. Trades as Sanders Custom Builder, LLC.</t>
        </is>
      </c>
      <c r="U73" s="6" t="inlineStr"/>
      <c r="V73" s="9" t="inlineStr">
        <is>
          <t>Indexed title: Highland Homes. Builder and Developer, August 6, 2026. Title is at the parent brand.</t>
        </is>
      </c>
      <c r="W73" s="6" t="inlineStr">
        <is>
          <t>https://www.bdmag.com/highland-homes-announces-restructuring/</t>
        </is>
      </c>
      <c r="X73" s="6" t="inlineStr">
        <is>
          <t>https://www.linkedin.com/company/huntington-custom-homes/</t>
        </is>
      </c>
      <c r="Y73" s="6" t="inlineStr"/>
      <c r="Z73" s="6" t="inlineStr"/>
      <c r="AA73" s="6" t="inlineStr">
        <is>
          <t>(972) 789-3500</t>
        </is>
      </c>
      <c r="AB73" s="6" t="inlineStr">
        <is>
          <t>Plano office</t>
        </is>
      </c>
      <c r="AC73" s="6" t="inlineStr">
        <is>
          <t>https://www.huntingtonhomestx.com/</t>
        </is>
      </c>
      <c r="AD73" s="6" t="inlineStr"/>
      <c r="AE73" s="6" t="inlineStr"/>
    </row>
    <row r="74">
      <c r="A74" s="12" t="inlineStr">
        <is>
          <t>Peter H. Shaddock</t>
        </is>
      </c>
      <c r="B74" s="12" t="inlineStr">
        <is>
          <t>Shaddock Homes</t>
        </is>
      </c>
      <c r="C74" s="12" t="inlineStr">
        <is>
          <t>President</t>
        </is>
      </c>
      <c r="D74" s="13" t="inlineStr">
        <is>
          <t>One gap</t>
        </is>
      </c>
      <c r="E74" s="14" t="n">
        <v>2</v>
      </c>
      <c r="F74" s="12" t="inlineStr">
        <is>
          <t>Printer buyer</t>
        </is>
      </c>
      <c r="G74" s="12" t="inlineStr">
        <is>
          <t>Production and semi-custom homebuilder</t>
        </is>
      </c>
      <c r="H74" s="12" t="inlineStr">
        <is>
          <t>Plano, with communities in Celina, Prosper, Frisco, McKinney and Rockwall</t>
        </is>
      </c>
      <c r="I74" s="12" t="inlineStr">
        <is>
          <t>374 company-wide closings in 2025, BUILDER's list rank 132</t>
        </is>
      </c>
      <c r="J74" s="14" t="inlineStr">
        <is>
          <t>Partly</t>
        </is>
      </c>
      <c r="K74" s="15" t="inlineStr">
        <is>
          <t>Plans repeat. The product is premium and semi-custom.</t>
        </is>
      </c>
      <c r="L74" s="14" t="inlineStr">
        <is>
          <t>Partly</t>
        </is>
      </c>
      <c r="M74" s="15" t="inlineStr">
        <is>
          <t>374 closings company-wide in 2025, spread across many North Dallas communities rather than a few.</t>
        </is>
      </c>
      <c r="N74" s="14" t="inlineStr">
        <is>
          <t>No</t>
        </is>
      </c>
      <c r="O74" s="15" t="inlineStr">
        <is>
          <t>Nothing on record.</t>
        </is>
      </c>
      <c r="P74" s="10" t="inlineStr"/>
      <c r="Q74" s="12" t="inlineStr"/>
      <c r="R74" s="16">
        <f>IF(P74="","ADD LINKEDIN","ok")</f>
        <v/>
      </c>
      <c r="S74" s="12" t="inlineStr">
        <is>
          <t>https://www.shaddockhomes.com/</t>
        </is>
      </c>
      <c r="T74" s="15" t="inlineStr">
        <is>
          <t>Its plans repeat, semi-custom and premium, across many North Dallas communities. Peter Shaddock and the next generation lead it.</t>
        </is>
      </c>
      <c r="U74" s="12" t="inlineStr">
        <is>
          <t>YES</t>
        </is>
      </c>
      <c r="V74" s="15" t="inlineStr">
        <is>
          <t>Company press release.</t>
        </is>
      </c>
      <c r="W74" s="12" t="inlineStr">
        <is>
          <t>https://www.natlawreview.com/press-releases/peter-h-shaddock-shaddock-homes-celebrates-60-years-excellence-luxury</t>
        </is>
      </c>
      <c r="X74" s="12" t="inlineStr">
        <is>
          <t>https://www.linkedin.com/company/shaddock-homes/</t>
        </is>
      </c>
      <c r="Y74" s="12" t="inlineStr">
        <is>
          <t>https://www.shaddockhomes.com/contact-us</t>
        </is>
      </c>
      <c r="Z74" s="12" t="inlineStr">
        <is>
          <t>2024 National Law Review (company release). Peter H. Shaddock of Shaddock Homes Celebrates 60 Years of Excellence  https://www.natlawreview.com/press-releases/peter-h-shaddock-shaddock-homes-celebrates-60-years-excellence-luxury</t>
        </is>
      </c>
      <c r="AA74" s="12" t="inlineStr">
        <is>
          <t>(214) 225-9360</t>
        </is>
      </c>
      <c r="AB74" s="12" t="inlineStr">
        <is>
          <t>Corporate office, Plano</t>
        </is>
      </c>
      <c r="AC74" s="12" t="inlineStr">
        <is>
          <t>https://www.shaddockhomes.com/contact-us</t>
        </is>
      </c>
      <c r="AD74" s="12" t="inlineStr"/>
      <c r="AE74" s="12" t="inlineStr"/>
    </row>
    <row r="75">
      <c r="A75" s="6" t="inlineStr">
        <is>
          <t>no contact identified</t>
        </is>
      </c>
      <c r="B75" s="6" t="inlineStr">
        <is>
          <t>D and R Concrete Construction LLC</t>
        </is>
      </c>
      <c r="C75" s="6" t="inlineStr"/>
      <c r="D75" s="7" t="inlineStr">
        <is>
          <t>Contractors and plants</t>
        </is>
      </c>
      <c r="E75" s="8" t="n">
        <v>3</v>
      </c>
      <c r="F75" s="6" t="inlineStr">
        <is>
          <t>Printer buyer</t>
        </is>
      </c>
      <c r="G75" s="6" t="inlineStr">
        <is>
          <t>ICF and concrete contractor</t>
        </is>
      </c>
      <c r="H75" s="6" t="inlineStr">
        <is>
          <t>Bells, serving North Texas</t>
        </is>
      </c>
      <c r="I75" s="6" t="inlineStr">
        <is>
          <t>ICF contractor serving North Texas for over 25 years</t>
        </is>
      </c>
      <c r="J75" s="8" t="inlineStr">
        <is>
          <t>Yes</t>
        </is>
      </c>
      <c r="K75" s="9" t="inlineStr">
        <is>
          <t>ICF and concrete walls, repeated across North Texas projects.</t>
        </is>
      </c>
      <c r="L75" s="8" t="inlineStr">
        <is>
          <t>Partly</t>
        </is>
      </c>
      <c r="M75" s="9" t="inlineStr">
        <is>
          <t>No annual count published.</t>
        </is>
      </c>
      <c r="N75" s="8" t="inlineStr">
        <is>
          <t>Yes</t>
        </is>
      </c>
      <c r="O75" s="9" t="inlineStr">
        <is>
          <t>Its product replaces wood-framed walls.</t>
        </is>
      </c>
      <c r="P75" s="10" t="inlineStr"/>
      <c r="Q75" s="6" t="inlineStr"/>
      <c r="R75" s="11">
        <f>IF(P75="","ADD LINKEDIN","ok")</f>
        <v/>
      </c>
      <c r="S75" s="6" t="inlineStr">
        <is>
          <t>https://dnrconcrete.com/</t>
        </is>
      </c>
      <c r="T75" s="9" t="inlineStr">
        <is>
          <t>Builds ICF and concrete walls across North Texas. Family-owned, based in Bells.</t>
        </is>
      </c>
      <c r="U75" s="6" t="inlineStr"/>
      <c r="V75" s="9" t="inlineStr"/>
      <c r="W75" s="6" t="inlineStr"/>
      <c r="X75" s="6" t="inlineStr"/>
      <c r="Y75" s="6" t="inlineStr"/>
      <c r="Z75" s="6" t="inlineStr"/>
      <c r="AA75" s="6" t="inlineStr">
        <is>
          <t>(970) 275-2366</t>
        </is>
      </c>
      <c r="AB75" s="6" t="inlineStr">
        <is>
          <t>Call or text line, Bells</t>
        </is>
      </c>
      <c r="AC75" s="6" t="inlineStr">
        <is>
          <t>https://dnrconcrete.com/</t>
        </is>
      </c>
      <c r="AD75" s="6" t="inlineStr"/>
      <c r="AE75" s="6" t="inlineStr"/>
    </row>
    <row r="76">
      <c r="A76" s="12" t="inlineStr">
        <is>
          <t>Glen Gilbert</t>
        </is>
      </c>
      <c r="B76" s="12" t="inlineStr">
        <is>
          <t>Future Frame USA</t>
        </is>
      </c>
      <c r="C76" s="12" t="inlineStr">
        <is>
          <t>General Manager</t>
        </is>
      </c>
      <c r="D76" s="13" t="inlineStr">
        <is>
          <t>Contractors and plants</t>
        </is>
      </c>
      <c r="E76" s="14" t="n">
        <v>3</v>
      </c>
      <c r="F76" s="12" t="inlineStr">
        <is>
          <t>Printer buyer</t>
        </is>
      </c>
      <c r="G76" s="12" t="inlineStr">
        <is>
          <t>Wall panel and truss plant</t>
        </is>
      </c>
      <c r="H76" s="12" t="inlineStr">
        <is>
          <t>New Caney and Conroe plant, Houston area, with a shipping radius of about 200 miles</t>
        </is>
      </c>
      <c r="I76" s="12" t="inlineStr">
        <is>
          <t>17,000 sq ft production space added in New Caney, 2023</t>
        </is>
      </c>
      <c r="J76" s="14" t="inlineStr">
        <is>
          <t>Yes</t>
        </is>
      </c>
      <c r="K76" s="15" t="inlineStr">
        <is>
          <t>Same engineered wall, floor and roof kits, made repeatedly for residential projects.</t>
        </is>
      </c>
      <c r="L76" s="14" t="inlineStr">
        <is>
          <t>Partly</t>
        </is>
      </c>
      <c r="M76" s="15" t="inlineStr">
        <is>
          <t>No DFW homes-a-year figure. Plant serves several Texas metros.</t>
        </is>
      </c>
      <c r="N76" s="14" t="inlineStr">
        <is>
          <t>Yes</t>
        </is>
      </c>
      <c r="O76" s="15" t="inlineStr">
        <is>
          <t>Sells factory panelized framing to replace stick-built walls.</t>
        </is>
      </c>
      <c r="P76" s="10" t="inlineStr"/>
      <c r="Q76" s="12" t="inlineStr"/>
      <c r="R76" s="16">
        <f>IF(P76="","ADD LINKEDIN","ok")</f>
        <v/>
      </c>
      <c r="S76" s="12" t="inlineStr">
        <is>
          <t>https://futureframeusa.com/</t>
        </is>
      </c>
      <c r="T76" s="15" t="inlineStr">
        <is>
          <t>Sells factory-made wall, floor and roof kits against stick framing. Ships about 200 miles, taking in DFW.</t>
        </is>
      </c>
      <c r="U76" s="12" t="inlineStr">
        <is>
          <t>YES</t>
        </is>
      </c>
      <c r="V76" s="15" t="inlineStr">
        <is>
          <t>Meet Our Team page.</t>
        </is>
      </c>
      <c r="W76" s="12" t="inlineStr">
        <is>
          <t>https://futureframeusa.com/meet-our-team/</t>
        </is>
      </c>
      <c r="X76" s="12" t="inlineStr">
        <is>
          <t>https://www.linkedin.com/company/future-frame-usa/</t>
        </is>
      </c>
      <c r="Y76" s="12" t="inlineStr">
        <is>
          <t>https://futureframeusa.com/</t>
        </is>
      </c>
      <c r="Z76" s="12" t="inlineStr"/>
      <c r="AA76" s="12" t="inlineStr">
        <is>
          <t>(281) 231-9200</t>
        </is>
      </c>
      <c r="AB76" s="12" t="inlineStr">
        <is>
          <t>Texas plant and sales</t>
        </is>
      </c>
      <c r="AC76" s="12" t="inlineStr">
        <is>
          <t>https://futureframeusa.com/</t>
        </is>
      </c>
      <c r="AD76" s="12" t="inlineStr"/>
      <c r="AE76" s="12" t="inlineStr"/>
    </row>
    <row r="77">
      <c r="A77" s="6" t="inlineStr">
        <is>
          <t>Shane McCullough</t>
        </is>
      </c>
      <c r="B77" s="6" t="inlineStr">
        <is>
          <t>Future Frame USA</t>
        </is>
      </c>
      <c r="C77" s="6" t="inlineStr">
        <is>
          <t>President</t>
        </is>
      </c>
      <c r="D77" s="7" t="inlineStr">
        <is>
          <t>Contractors and plants</t>
        </is>
      </c>
      <c r="E77" s="8" t="n">
        <v>3</v>
      </c>
      <c r="F77" s="6" t="inlineStr">
        <is>
          <t>Printer buyer</t>
        </is>
      </c>
      <c r="G77" s="6" t="inlineStr">
        <is>
          <t>Wall panel and truss plant</t>
        </is>
      </c>
      <c r="H77" s="6" t="inlineStr">
        <is>
          <t>New Caney and Conroe plant, Houston area, with a shipping radius of about 200 miles</t>
        </is>
      </c>
      <c r="I77" s="6" t="inlineStr">
        <is>
          <t>17,000 sq ft production space added in New Caney, 2023</t>
        </is>
      </c>
      <c r="J77" s="8" t="inlineStr">
        <is>
          <t>Yes</t>
        </is>
      </c>
      <c r="K77" s="9" t="inlineStr">
        <is>
          <t>Same engineered wall, floor and roof kits, made repeatedly for residential projects.</t>
        </is>
      </c>
      <c r="L77" s="8" t="inlineStr">
        <is>
          <t>Partly</t>
        </is>
      </c>
      <c r="M77" s="9" t="inlineStr">
        <is>
          <t>No DFW homes-a-year figure. Plant serves several Texas metros.</t>
        </is>
      </c>
      <c r="N77" s="8" t="inlineStr">
        <is>
          <t>Yes</t>
        </is>
      </c>
      <c r="O77" s="9" t="inlineStr">
        <is>
          <t>Sells factory panelized framing to replace stick-built walls.</t>
        </is>
      </c>
      <c r="P77" s="10" t="inlineStr"/>
      <c r="Q77" s="6" t="inlineStr"/>
      <c r="R77" s="11">
        <f>IF(P77="","ADD LINKEDIN","ok")</f>
        <v/>
      </c>
      <c r="S77" s="6" t="inlineStr">
        <is>
          <t>https://futureframeusa.com/</t>
        </is>
      </c>
      <c r="T77" s="9" t="inlineStr">
        <is>
          <t>Sells factory-made wall, floor and roof kits against stick framing. Ships about 200 miles, taking in DFW.</t>
        </is>
      </c>
      <c r="U77" s="6" t="inlineStr">
        <is>
          <t>YES</t>
        </is>
      </c>
      <c r="V77" s="9" t="inlineStr">
        <is>
          <t>Meet Our Team page.</t>
        </is>
      </c>
      <c r="W77" s="6" t="inlineStr">
        <is>
          <t>https://futureframeusa.com/meet-our-team/</t>
        </is>
      </c>
      <c r="X77" s="6" t="inlineStr">
        <is>
          <t>https://www.linkedin.com/company/future-frame-usa/</t>
        </is>
      </c>
      <c r="Y77" s="6" t="inlineStr">
        <is>
          <t>https://futureframeusa.com/</t>
        </is>
      </c>
      <c r="Z77" s="6" t="inlineStr"/>
      <c r="AA77" s="6" t="inlineStr">
        <is>
          <t>(281) 231-9200</t>
        </is>
      </c>
      <c r="AB77" s="6" t="inlineStr">
        <is>
          <t>Texas plant and sales</t>
        </is>
      </c>
      <c r="AC77" s="6" t="inlineStr">
        <is>
          <t>https://futureframeusa.com/</t>
        </is>
      </c>
      <c r="AD77" s="6" t="inlineStr"/>
      <c r="AE77" s="6" t="inlineStr"/>
    </row>
    <row r="78">
      <c r="A78" s="12" t="inlineStr">
        <is>
          <t>Joe Mazzenga</t>
        </is>
      </c>
      <c r="B78" s="12" t="inlineStr">
        <is>
          <t>Future Frame USA</t>
        </is>
      </c>
      <c r="C78" s="12" t="inlineStr">
        <is>
          <t>General Manager in 2022</t>
        </is>
      </c>
      <c r="D78" s="13" t="inlineStr">
        <is>
          <t>Contractors and plants</t>
        </is>
      </c>
      <c r="E78" s="14" t="n">
        <v>3</v>
      </c>
      <c r="F78" s="12" t="inlineStr">
        <is>
          <t>Printer buyer</t>
        </is>
      </c>
      <c r="G78" s="12" t="inlineStr">
        <is>
          <t>Wall panel and truss plant</t>
        </is>
      </c>
      <c r="H78" s="12" t="inlineStr">
        <is>
          <t>New Caney and Conroe plant, Houston area, with a shipping radius of about 200 miles</t>
        </is>
      </c>
      <c r="I78" s="12" t="inlineStr">
        <is>
          <t>17,000 sq ft production space added in New Caney, 2023</t>
        </is>
      </c>
      <c r="J78" s="14" t="inlineStr">
        <is>
          <t>Yes</t>
        </is>
      </c>
      <c r="K78" s="15" t="inlineStr">
        <is>
          <t>Same engineered wall, floor and roof kits, made repeatedly for residential projects.</t>
        </is>
      </c>
      <c r="L78" s="14" t="inlineStr">
        <is>
          <t>Partly</t>
        </is>
      </c>
      <c r="M78" s="15" t="inlineStr">
        <is>
          <t>No DFW homes-a-year figure. Plant serves several Texas metros.</t>
        </is>
      </c>
      <c r="N78" s="14" t="inlineStr">
        <is>
          <t>Yes</t>
        </is>
      </c>
      <c r="O78" s="15" t="inlineStr">
        <is>
          <t>Sells factory panelized framing to replace stick-built walls.</t>
        </is>
      </c>
      <c r="P78" s="10" t="inlineStr"/>
      <c r="Q78" s="12" t="inlineStr"/>
      <c r="R78" s="16">
        <f>IF(P78="","ADD LINKEDIN","ok")</f>
        <v/>
      </c>
      <c r="S78" s="12" t="inlineStr">
        <is>
          <t>https://futureframeusa.com/</t>
        </is>
      </c>
      <c r="T78" s="15" t="inlineStr">
        <is>
          <t>Sells factory-made wall, floor and roof kits against stick framing. Ships about 200 miles, taking in DFW.</t>
        </is>
      </c>
      <c r="U78" s="12" t="inlineStr"/>
      <c r="V78" s="15" t="inlineStr">
        <is>
          <t>Community Impact article, February 24, 2022. Named General Manager at the plant opening.</t>
        </is>
      </c>
      <c r="W78" s="12" t="inlineStr">
        <is>
          <t>https://communityimpact.com/houston/lake-houston-humble-kingwood/impacts/2022/02/24/future-frame-usa-now-open-in-east-montgomery-county-industrial-park/</t>
        </is>
      </c>
      <c r="X78" s="12" t="inlineStr">
        <is>
          <t>https://www.linkedin.com/company/future-frame-usa/</t>
        </is>
      </c>
      <c r="Y78" s="12" t="inlineStr">
        <is>
          <t>https://futureframeusa.com/</t>
        </is>
      </c>
      <c r="Z78" s="12" t="inlineStr"/>
      <c r="AA78" s="12" t="inlineStr">
        <is>
          <t>(281) 231-9200</t>
        </is>
      </c>
      <c r="AB78" s="12" t="inlineStr">
        <is>
          <t>Texas plant and sales</t>
        </is>
      </c>
      <c r="AC78" s="12" t="inlineStr">
        <is>
          <t>https://futureframeusa.com/</t>
        </is>
      </c>
      <c r="AD78" s="12" t="inlineStr"/>
      <c r="AE78" s="12" t="inlineStr"/>
    </row>
    <row r="79">
      <c r="A79" s="6" t="inlineStr">
        <is>
          <t>Mark Womack</t>
        </is>
      </c>
      <c r="B79" s="6" t="inlineStr">
        <is>
          <t>Monster Constructors</t>
        </is>
      </c>
      <c r="C79" s="6" t="inlineStr">
        <is>
          <t>Owner</t>
        </is>
      </c>
      <c r="D79" s="7" t="inlineStr">
        <is>
          <t>Contractors and plants</t>
        </is>
      </c>
      <c r="E79" s="8" t="n">
        <v>3</v>
      </c>
      <c r="F79" s="6" t="inlineStr">
        <is>
          <t>Printer buyer</t>
        </is>
      </c>
      <c r="G79" s="6" t="inlineStr">
        <is>
          <t>ICF wall contractor</t>
        </is>
      </c>
      <c r="H79" s="6" t="inlineStr">
        <is>
          <t>Fort Worth, working across the DFW Metroplex</t>
        </is>
      </c>
      <c r="I79" s="6" t="inlineStr">
        <is>
          <t>ICF wall shells across DFW, in business since 2005</t>
        </is>
      </c>
      <c r="J79" s="8" t="inlineStr">
        <is>
          <t>Yes</t>
        </is>
      </c>
      <c r="K79" s="9" t="inlineStr">
        <is>
          <t>Same ICF wall system on DFW custom and light commercial jobs.</t>
        </is>
      </c>
      <c r="L79" s="8" t="inlineStr">
        <is>
          <t>Partly</t>
        </is>
      </c>
      <c r="M79" s="9" t="inlineStr">
        <is>
          <t>No annual home or wall count published.</t>
        </is>
      </c>
      <c r="N79" s="8" t="inlineStr">
        <is>
          <t>Yes</t>
        </is>
      </c>
      <c r="O79" s="9" t="inlineStr">
        <is>
          <t>ICF walls are the product.</t>
        </is>
      </c>
      <c r="P79" s="10" t="inlineStr"/>
      <c r="Q79" s="6" t="inlineStr"/>
      <c r="R79" s="11">
        <f>IF(P79="","ADD LINKEDIN","ok")</f>
        <v/>
      </c>
      <c r="S79" s="6" t="inlineStr">
        <is>
          <t>https://monsterconstructors.com/</t>
        </is>
      </c>
      <c r="T79" s="9" t="inlineStr">
        <is>
          <t>Sets ICF walls on DFW custom and light commercial jobs. Mark Womack acquired it in 2010.</t>
        </is>
      </c>
      <c r="U79" s="6" t="inlineStr">
        <is>
          <t>YES</t>
        </is>
      </c>
      <c r="V79" s="9" t="inlineStr">
        <is>
          <t>About page. Acquired the firm in 2010.</t>
        </is>
      </c>
      <c r="W79" s="6" t="inlineStr">
        <is>
          <t>https://monsterconstructors.com/about-us/</t>
        </is>
      </c>
      <c r="X79" s="6" t="inlineStr">
        <is>
          <t>https://www.linkedin.com/company/monster-constructors/</t>
        </is>
      </c>
      <c r="Y79" s="6" t="inlineStr">
        <is>
          <t>https://monsterconstructors.com/about-us/</t>
        </is>
      </c>
      <c r="Z79" s="6" t="inlineStr"/>
      <c r="AA79" s="6" t="inlineStr">
        <is>
          <t>(972) 533-8678</t>
        </is>
      </c>
      <c r="AB79" s="6" t="inlineStr">
        <is>
          <t>DFW office</t>
        </is>
      </c>
      <c r="AC79" s="6" t="inlineStr">
        <is>
          <t>https://monsterconstructors.com/contact-us/</t>
        </is>
      </c>
      <c r="AD79" s="6" t="inlineStr"/>
      <c r="AE79" s="6" t="inlineStr"/>
    </row>
    <row r="80">
      <c r="A80" s="12" t="inlineStr">
        <is>
          <t>Keith Giddens</t>
        </is>
      </c>
      <c r="B80" s="12" t="inlineStr">
        <is>
          <t>BakerTriangle Prefab</t>
        </is>
      </c>
      <c r="C80" s="12" t="inlineStr">
        <is>
          <t>President, BakerTriangle Prefab</t>
        </is>
      </c>
      <c r="D80" s="13" t="inlineStr">
        <is>
          <t>Contractors and plants</t>
        </is>
      </c>
      <c r="E80" s="14" t="n">
        <v>3</v>
      </c>
      <c r="F80" s="12" t="inlineStr">
        <is>
          <t>Printer buyer</t>
        </is>
      </c>
      <c r="G80" s="12" t="inlineStr">
        <is>
          <t>Exterior wall panel plant</t>
        </is>
      </c>
      <c r="H80" s="12" t="inlineStr">
        <is>
          <t>Richardson plant, Mesquite headquarters</t>
        </is>
      </c>
      <c r="I80" s="12" t="inlineStr">
        <is>
          <t>80,000 sq ft prefabrication plant in Richardson</t>
        </is>
      </c>
      <c r="J80" s="14" t="inlineStr">
        <is>
          <t>Yes</t>
        </is>
      </c>
      <c r="K80" s="15" t="inlineStr">
        <is>
          <t>Panels repeated for DFW and Texas commercial envelopes.</t>
        </is>
      </c>
      <c r="L80" s="14" t="inlineStr">
        <is>
          <t>Partly</t>
        </is>
      </c>
      <c r="M80" s="15" t="inlineStr">
        <is>
          <t>One plant. Commercial and multifamily jobs, no single-family production.</t>
        </is>
      </c>
      <c r="N80" s="14" t="inlineStr">
        <is>
          <t>Partly</t>
        </is>
      </c>
      <c r="O80" s="15" t="inlineStr">
        <is>
          <t>StoPanel and other panels made offsite. The wall itself is unchanged.</t>
        </is>
      </c>
      <c r="P80" s="10" t="inlineStr"/>
      <c r="Q80" s="12" t="inlineStr"/>
      <c r="R80" s="16">
        <f>IF(P80="","ADD LINKEDIN","ok")</f>
        <v/>
      </c>
      <c r="S80" s="12" t="inlineStr">
        <is>
          <t>https://bakerprefab.com/</t>
        </is>
      </c>
      <c r="T80" s="15" t="inlineStr">
        <is>
          <t>Makes metal, EIFS and StoPanel brick panels for commercial envelopes. Built panels for the Medical City Tower Expansion in Plano.</t>
        </is>
      </c>
      <c r="U80" s="12" t="inlineStr">
        <is>
          <t>YES</t>
        </is>
      </c>
      <c r="V80" s="15" t="inlineStr">
        <is>
          <t>BakerTriangle leadership page.</t>
        </is>
      </c>
      <c r="W80" s="12" t="inlineStr">
        <is>
          <t>https://bakertriangle.com/who-we-are/leadership</t>
        </is>
      </c>
      <c r="X80" s="12" t="inlineStr">
        <is>
          <t>https://www.linkedin.com/company/baker-triangle/</t>
        </is>
      </c>
      <c r="Y80" s="12" t="inlineStr">
        <is>
          <t>https://bakertriangle.com/who-we-are/leadership</t>
        </is>
      </c>
      <c r="Z80" s="12" t="inlineStr"/>
      <c r="AA80" s="12" t="inlineStr">
        <is>
          <t>(214) 217-3280</t>
        </is>
      </c>
      <c r="AB80" s="12" t="inlineStr">
        <is>
          <t>Prefab plant, Richardson</t>
        </is>
      </c>
      <c r="AC80" s="12" t="inlineStr">
        <is>
          <t>https://bakerprefab.com/contact</t>
        </is>
      </c>
      <c r="AD80" s="12" t="inlineStr"/>
      <c r="AE80" s="12" t="inlineStr"/>
    </row>
    <row r="81">
      <c r="A81" s="6" t="inlineStr">
        <is>
          <t>Barry Corey</t>
        </is>
      </c>
      <c r="B81" s="6" t="inlineStr">
        <is>
          <t>GMi (Greater Metroplex Interiors)</t>
        </is>
      </c>
      <c r="C81" s="6" t="inlineStr">
        <is>
          <t>Vice President</t>
        </is>
      </c>
      <c r="D81" s="7" t="inlineStr">
        <is>
          <t>Contractors and plants</t>
        </is>
      </c>
      <c r="E81" s="8" t="n">
        <v>3</v>
      </c>
      <c r="F81" s="6" t="inlineStr">
        <is>
          <t>Printer buyer</t>
        </is>
      </c>
      <c r="G81" s="6" t="inlineStr">
        <is>
          <t>Framing and interiors contractor</t>
        </is>
      </c>
      <c r="H81" s="6" t="inlineStr">
        <is>
          <t>Southlake, working across Dallas-Fort Worth</t>
        </is>
      </c>
      <c r="I81" s="6" t="inlineStr">
        <is>
          <t>70,000 sq ft Southlake headquarters and prefab plant</t>
        </is>
      </c>
      <c r="J81" s="8" t="inlineStr">
        <is>
          <t>Yes</t>
        </is>
      </c>
      <c r="K81" s="9" t="inlineStr">
        <is>
          <t>Panels repeated for DFW commercial and institutional envelopes.</t>
        </is>
      </c>
      <c r="L81" s="8" t="inlineStr">
        <is>
          <t>Partly</t>
        </is>
      </c>
      <c r="M81" s="9" t="inlineStr">
        <is>
          <t>Commercial panels. No published volume or residential share.</t>
        </is>
      </c>
      <c r="N81" s="8" t="inlineStr">
        <is>
          <t>Partly</t>
        </is>
      </c>
      <c r="O81" s="9" t="inlineStr">
        <is>
          <t>60 percent schedule cut on a school from offsite wall panels. Light-gauge framing, not new material.</t>
        </is>
      </c>
      <c r="P81" s="10" t="inlineStr"/>
      <c r="Q81" s="6" t="inlineStr"/>
      <c r="R81" s="11">
        <f>IF(P81="","ADD LINKEDIN","ok")</f>
        <v/>
      </c>
      <c r="S81" s="6" t="inlineStr">
        <is>
          <t>https://gmitexas.com/</t>
        </is>
      </c>
      <c r="T81" s="9" t="inlineStr">
        <is>
          <t>Builds light-gauge exterior wall panels offsite for commercial and institutional jobs. Cut a school's schedule by 60 percent, by its own account.</t>
        </is>
      </c>
      <c r="U81" s="6" t="inlineStr">
        <is>
          <t>YES</t>
        </is>
      </c>
      <c r="V81" s="9" t="inlineStr">
        <is>
          <t>Quoted on its prefabrication page.</t>
        </is>
      </c>
      <c r="W81" s="6" t="inlineStr">
        <is>
          <t>https://gmitexas.com/prefabrication/</t>
        </is>
      </c>
      <c r="X81" s="6" t="inlineStr">
        <is>
          <t>https://www.linkedin.com/company/greatermetroplexinteriors/</t>
        </is>
      </c>
      <c r="Y81" s="6" t="inlineStr"/>
      <c r="Z81" s="6" t="inlineStr"/>
      <c r="AA81" s="6" t="inlineStr">
        <is>
          <t>(817) 481-0029</t>
        </is>
      </c>
      <c r="AB81" s="6" t="inlineStr">
        <is>
          <t>Corporate office, Southlake</t>
        </is>
      </c>
      <c r="AC81" s="6" t="inlineStr">
        <is>
          <t>https://gmitexas.com/contact/</t>
        </is>
      </c>
      <c r="AD81" s="6" t="inlineStr"/>
      <c r="AE81" s="6" t="inlineStr"/>
    </row>
    <row r="82">
      <c r="A82" s="12" t="inlineStr">
        <is>
          <t>Robert V. "Rob" Barnes III</t>
        </is>
      </c>
      <c r="B82" s="12" t="inlineStr">
        <is>
          <t>Dee Brown, Inc.</t>
        </is>
      </c>
      <c r="C82" s="12" t="inlineStr">
        <is>
          <t>President and CEO</t>
        </is>
      </c>
      <c r="D82" s="13" t="inlineStr">
        <is>
          <t>Contractors and plants</t>
        </is>
      </c>
      <c r="E82" s="14" t="n">
        <v>3</v>
      </c>
      <c r="F82" s="12" t="inlineStr">
        <is>
          <t>Printer buyer</t>
        </is>
      </c>
      <c r="G82" s="12" t="inlineStr">
        <is>
          <t>Masonry contractor</t>
        </is>
      </c>
      <c r="H82" s="12" t="inlineStr">
        <is>
          <t>Richardson, with a Garland shop and a Tomball office</t>
        </is>
      </c>
      <c r="I82" s="12" t="inlineStr">
        <is>
          <t>Richardson masonry contractor with prefabricated wall systems</t>
        </is>
      </c>
      <c r="J82" s="14" t="inlineStr">
        <is>
          <t>Yes</t>
        </is>
      </c>
      <c r="K82" s="15" t="inlineStr">
        <is>
          <t>Masonry and stone walls, repeated on North Texas jobs.</t>
        </is>
      </c>
      <c r="L82" s="14" t="inlineStr">
        <is>
          <t>Partly</t>
        </is>
      </c>
      <c r="M82" s="15" t="inlineStr">
        <is>
          <t>No published volume figure.</t>
        </is>
      </c>
      <c r="N82" s="14" t="inlineStr">
        <is>
          <t>Partly</t>
        </is>
      </c>
      <c r="O82" s="15" t="inlineStr">
        <is>
          <t>7,700 square foot fabrication facility for prefabricated wall systems.</t>
        </is>
      </c>
      <c r="P82" s="10" t="inlineStr"/>
      <c r="Q82" s="12" t="inlineStr"/>
      <c r="R82" s="16">
        <f>IF(P82="","ADD LINKEDIN","ok")</f>
        <v/>
      </c>
      <c r="S82" s="12" t="inlineStr">
        <is>
          <t>https://www.deebrowncompanies.com/</t>
        </is>
      </c>
      <c r="T82" s="15" t="inlineStr">
        <is>
          <t>Makes prefabricated wall systems in a 7,700 square foot facility. Rob Barnes became president and CEO in 2015.</t>
        </is>
      </c>
      <c r="U82" s="12" t="inlineStr">
        <is>
          <t>YES</t>
        </is>
      </c>
      <c r="V82" s="15" t="inlineStr">
        <is>
          <t>About page. In the role since 2015.</t>
        </is>
      </c>
      <c r="W82" s="12" t="inlineStr">
        <is>
          <t>https://www.deebrowncompanies.com/about</t>
        </is>
      </c>
      <c r="X82" s="12" t="inlineStr">
        <is>
          <t>https://www.linkedin.com/company/dee-brown-companies/</t>
        </is>
      </c>
      <c r="Y82" s="12" t="inlineStr">
        <is>
          <t>https://www.deebrowncompanies.com/about</t>
        </is>
      </c>
      <c r="Z82" s="12" t="inlineStr">
        <is>
          <t>2023-08 D Magazine / D CEO. Third-generation Dee Brown Inc. on iconic North Texas buildings  https://www.dmagazine.com/publications/d-ceo/2023/august/third-generation-family-run-company-dee-brown-inc-has-had-a-hand-in-some-of-north-texas-most-iconic-buildings/</t>
        </is>
      </c>
      <c r="AA82" s="12" t="inlineStr">
        <is>
          <t>(214) 321-6443</t>
        </is>
      </c>
      <c r="AB82" s="12" t="inlineStr">
        <is>
          <t>Main office, Dallas</t>
        </is>
      </c>
      <c r="AC82" s="12" t="inlineStr">
        <is>
          <t>https://www.deebrowncompanies.com/contact</t>
        </is>
      </c>
      <c r="AD82" s="12" t="inlineStr"/>
      <c r="AE82" s="12" t="inlineStr"/>
    </row>
    <row r="83">
      <c r="A83" s="6" t="inlineStr">
        <is>
          <t>Tim Hughes</t>
        </is>
      </c>
      <c r="B83" s="6" t="inlineStr">
        <is>
          <t>Dee Brown, Inc.</t>
        </is>
      </c>
      <c r="C83" s="6" t="inlineStr">
        <is>
          <t>Senior Vice President, Construction Management</t>
        </is>
      </c>
      <c r="D83" s="7" t="inlineStr">
        <is>
          <t>Contractors and plants</t>
        </is>
      </c>
      <c r="E83" s="8" t="n">
        <v>3</v>
      </c>
      <c r="F83" s="6" t="inlineStr">
        <is>
          <t>Printer buyer</t>
        </is>
      </c>
      <c r="G83" s="6" t="inlineStr">
        <is>
          <t>Masonry contractor</t>
        </is>
      </c>
      <c r="H83" s="6" t="inlineStr">
        <is>
          <t>Richardson, with a Garland shop and a Tomball office</t>
        </is>
      </c>
      <c r="I83" s="6" t="inlineStr">
        <is>
          <t>Richardson masonry contractor with prefabricated wall systems</t>
        </is>
      </c>
      <c r="J83" s="8" t="inlineStr">
        <is>
          <t>Yes</t>
        </is>
      </c>
      <c r="K83" s="9" t="inlineStr">
        <is>
          <t>Masonry and stone walls, repeated on North Texas jobs.</t>
        </is>
      </c>
      <c r="L83" s="8" t="inlineStr">
        <is>
          <t>Partly</t>
        </is>
      </c>
      <c r="M83" s="9" t="inlineStr">
        <is>
          <t>No published volume figure.</t>
        </is>
      </c>
      <c r="N83" s="8" t="inlineStr">
        <is>
          <t>Partly</t>
        </is>
      </c>
      <c r="O83" s="9" t="inlineStr">
        <is>
          <t>7,700 square foot fabrication facility for prefabricated wall systems.</t>
        </is>
      </c>
      <c r="P83" s="10" t="inlineStr"/>
      <c r="Q83" s="6" t="inlineStr"/>
      <c r="R83" s="11">
        <f>IF(P83="","ADD LINKEDIN","ok")</f>
        <v/>
      </c>
      <c r="S83" s="6" t="inlineStr">
        <is>
          <t>https://www.deebrowncompanies.com/</t>
        </is>
      </c>
      <c r="T83" s="9" t="inlineStr">
        <is>
          <t>Makes prefabricated wall systems in a 7,700 square foot facility. Rob Barnes became president and CEO in 2015.</t>
        </is>
      </c>
      <c r="U83" s="6" t="inlineStr">
        <is>
          <t>YES</t>
        </is>
      </c>
      <c r="V83" s="9" t="inlineStr">
        <is>
          <t>About page lists him as Vice President, Construction Management.</t>
        </is>
      </c>
      <c r="W83" s="6" t="inlineStr">
        <is>
          <t>https://www.deebrowncompanies.com/about</t>
        </is>
      </c>
      <c r="X83" s="6" t="inlineStr">
        <is>
          <t>https://www.linkedin.com/company/dee-brown-companies/</t>
        </is>
      </c>
      <c r="Y83" s="6" t="inlineStr">
        <is>
          <t>https://www.deebrowncompanies.com/about</t>
        </is>
      </c>
      <c r="Z83" s="6" t="inlineStr">
        <is>
          <t>2023-08 D Magazine / D CEO. Third-generation Dee Brown Inc. on iconic North Texas buildings  https://www.dmagazine.com/publications/d-ceo/2023/august/third-generation-family-run-company-dee-brown-inc-has-had-a-hand-in-some-of-north-texas-most-iconic-buildings/</t>
        </is>
      </c>
      <c r="AA83" s="6" t="inlineStr">
        <is>
          <t>(214) 321-6443</t>
        </is>
      </c>
      <c r="AB83" s="6" t="inlineStr">
        <is>
          <t>Main office, Dallas</t>
        </is>
      </c>
      <c r="AC83" s="6" t="inlineStr">
        <is>
          <t>https://www.deebrowncompanies.com/contact</t>
        </is>
      </c>
      <c r="AD83" s="6" t="inlineStr"/>
      <c r="AE83" s="6" t="inlineStr"/>
    </row>
    <row r="84">
      <c r="A84" s="12" t="inlineStr">
        <is>
          <t>Michael "Paladin" Hasty</t>
        </is>
      </c>
      <c r="B84" s="12" t="inlineStr">
        <is>
          <t>Paladin (CallPaladin)</t>
        </is>
      </c>
      <c r="C84" s="12" t="inlineStr">
        <is>
          <t>Founder and Owner</t>
        </is>
      </c>
      <c r="D84" s="13" t="inlineStr">
        <is>
          <t>Contractors and plants</t>
        </is>
      </c>
      <c r="E84" s="14" t="n">
        <v>3</v>
      </c>
      <c r="F84" s="12" t="inlineStr">
        <is>
          <t>Printer buyer</t>
        </is>
      </c>
      <c r="G84" s="12" t="inlineStr">
        <is>
          <t>SIP envelope contractor</t>
        </is>
      </c>
      <c r="H84" s="12" t="inlineStr">
        <is>
          <t>Grand Prairie, working across DFW</t>
        </is>
      </c>
      <c r="I84" s="12" t="inlineStr">
        <is>
          <t>MgO SIP envelopes, Grand Prairie, founded 1990</t>
        </is>
      </c>
      <c r="J84" s="14" t="inlineStr">
        <is>
          <t>Partly</t>
        </is>
      </c>
      <c r="K84" s="15" t="inlineStr">
        <is>
          <t>Luxury residential specialty jobs across several divisions.</t>
        </is>
      </c>
      <c r="L84" s="14" t="inlineStr">
        <is>
          <t>Partly</t>
        </is>
      </c>
      <c r="M84" s="15" t="inlineStr">
        <is>
          <t>Boutique scale. No published volume.</t>
        </is>
      </c>
      <c r="N84" s="14" t="inlineStr">
        <is>
          <t>Yes</t>
        </is>
      </c>
      <c r="O84" s="15" t="inlineStr">
        <is>
          <t>SIPs are one of its systems.</t>
        </is>
      </c>
      <c r="P84" s="10" t="inlineStr"/>
      <c r="Q84" s="12" t="inlineStr"/>
      <c r="R84" s="16">
        <f>IF(P84="","ADD LINKEDIN","ok")</f>
        <v/>
      </c>
      <c r="S84" s="12" t="inlineStr">
        <is>
          <t>https://www.callpaladin.com/</t>
        </is>
      </c>
      <c r="T84" s="15" t="inlineStr">
        <is>
          <t>Builds structural insulated panel envelopes on luxury homes, alongside geothermal and roofing divisions.</t>
        </is>
      </c>
      <c r="U84" s="12" t="inlineStr">
        <is>
          <t>YES</t>
        </is>
      </c>
      <c r="V84" s="15" t="inlineStr">
        <is>
          <t>Firm's about page.</t>
        </is>
      </c>
      <c r="W84" s="12" t="inlineStr">
        <is>
          <t>https://www.callpaladin.com/about.html</t>
        </is>
      </c>
      <c r="X84" s="12" t="inlineStr">
        <is>
          <t>https://www.linkedin.com/company/paladin-general-construction/</t>
        </is>
      </c>
      <c r="Y84" s="12" t="inlineStr"/>
      <c r="Z84" s="12" t="inlineStr"/>
      <c r="AA84" s="12" t="inlineStr">
        <is>
          <t>(214) 507-7681</t>
        </is>
      </c>
      <c r="AB84" s="12" t="inlineStr">
        <is>
          <t>Main line, Grand Prairie</t>
        </is>
      </c>
      <c r="AC84" s="12" t="inlineStr">
        <is>
          <t>https://www.callpaladin.com/</t>
        </is>
      </c>
      <c r="AD84" s="12" t="inlineStr"/>
      <c r="AE84" s="12" t="inlineStr"/>
    </row>
    <row r="85">
      <c r="A85" s="6" t="inlineStr">
        <is>
          <t>no contact identified</t>
        </is>
      </c>
      <c r="B85" s="6" t="inlineStr">
        <is>
          <t>84 Lumber, DFW</t>
        </is>
      </c>
      <c r="C85" s="6" t="inlineStr"/>
      <c r="D85" s="7" t="inlineStr">
        <is>
          <t>Contractors and plants</t>
        </is>
      </c>
      <c r="E85" s="8" t="n">
        <v>2</v>
      </c>
      <c r="F85" s="6" t="inlineStr">
        <is>
          <t>Printer buyer</t>
        </is>
      </c>
      <c r="G85" s="6" t="inlineStr">
        <is>
          <t>Building materials dealer</t>
        </is>
      </c>
      <c r="H85" s="6" t="inlineStr">
        <is>
          <t>Dallas door shop and Denton store, serving DFW</t>
        </is>
      </c>
      <c r="I85" s="6" t="inlineStr">
        <is>
          <t>60,000 sq ft Dallas door shop, no DFW panel plant</t>
        </is>
      </c>
      <c r="J85" s="8" t="inlineStr">
        <is>
          <t>Yes</t>
        </is>
      </c>
      <c r="K85" s="9" t="inlineStr">
        <is>
          <t>Components supplied repeatedly into DFW home building.</t>
        </is>
      </c>
      <c r="L85" s="8" t="inlineStr">
        <is>
          <t>No</t>
        </is>
      </c>
      <c r="M85" s="9" t="inlineStr">
        <is>
          <t>National network. Corporate purchasing.</t>
        </is>
      </c>
      <c r="N85" s="8" t="inlineStr">
        <is>
          <t>Partly</t>
        </is>
      </c>
      <c r="O85" s="9" t="inlineStr">
        <is>
          <t>Offsite components line. The wall itself is unchanged.</t>
        </is>
      </c>
      <c r="P85" s="10" t="inlineStr"/>
      <c r="Q85" s="6" t="inlineStr"/>
      <c r="R85" s="11">
        <f>IF(P85="","ADD LINKEDIN","ok")</f>
        <v/>
      </c>
      <c r="S85" s="6" t="inlineStr">
        <is>
          <t>https://www.84lumber.com/manufacturing</t>
        </is>
      </c>
      <c r="T85" s="9" t="inlineStr">
        <is>
          <t>Supplies DFW builders from a national components line. Purchasing runs through corporate.</t>
        </is>
      </c>
      <c r="U85" s="6" t="inlineStr"/>
      <c r="V85" s="9" t="inlineStr"/>
      <c r="W85" s="6" t="inlineStr"/>
      <c r="X85" s="6" t="inlineStr">
        <is>
          <t>https://www.linkedin.com/company/84-lumber/</t>
        </is>
      </c>
      <c r="Y85" s="6" t="inlineStr"/>
      <c r="Z85" s="6" t="inlineStr"/>
      <c r="AA85" s="6" t="inlineStr">
        <is>
          <t>(940) 243-8484</t>
        </is>
      </c>
      <c r="AB85" s="6" t="inlineStr">
        <is>
          <t>Denton store 1941</t>
        </is>
      </c>
      <c r="AC85" s="6" t="inlineStr">
        <is>
          <t>https://84lumber.com/store-locator/store-detail?storeId=1941</t>
        </is>
      </c>
      <c r="AD85" s="6" t="inlineStr"/>
      <c r="AE85" s="6" t="inlineStr"/>
    </row>
    <row r="86">
      <c r="A86" s="12" t="inlineStr">
        <is>
          <t>no contact identified</t>
        </is>
      </c>
      <c r="B86" s="12" t="inlineStr">
        <is>
          <t>Builders FirstSource, Fort Worth Truss (formerly Trussway)</t>
        </is>
      </c>
      <c r="C86" s="12" t="inlineStr"/>
      <c r="D86" s="13" t="inlineStr">
        <is>
          <t>Contractors and plants</t>
        </is>
      </c>
      <c r="E86" s="14" t="n">
        <v>2</v>
      </c>
      <c r="F86" s="12" t="inlineStr">
        <is>
          <t>Printer buyer</t>
        </is>
      </c>
      <c r="G86" s="12" t="inlineStr">
        <is>
          <t>Truss and wall panel plant</t>
        </is>
      </c>
      <c r="H86" s="12" t="inlineStr">
        <is>
          <t>Fort Worth plant, corporate office in Irving</t>
        </is>
      </c>
      <c r="I86" s="12" t="inlineStr">
        <is>
          <t>Fort Worth truss and wall-panel plant, formerly Trussway</t>
        </is>
      </c>
      <c r="J86" s="14" t="inlineStr">
        <is>
          <t>Yes</t>
        </is>
      </c>
      <c r="K86" s="15" t="inlineStr">
        <is>
          <t>One Fort Worth plant making wall panels and trusses repeatedly for DFW production builders.</t>
        </is>
      </c>
      <c r="L86" s="14" t="inlineStr">
        <is>
          <t>No</t>
        </is>
      </c>
      <c r="M86" s="15" t="inlineStr">
        <is>
          <t>One plant in a national network. National purchasing desk.</t>
        </is>
      </c>
      <c r="N86" s="14" t="inlineStr">
        <is>
          <t>Partly</t>
        </is>
      </c>
      <c r="O86" s="15" t="inlineStr">
        <is>
          <t>Automated offsite framing. The wall itself is unchanged.</t>
        </is>
      </c>
      <c r="P86" s="10" t="inlineStr"/>
      <c r="Q86" s="12" t="inlineStr"/>
      <c r="R86" s="16">
        <f>IF(P86="","ADD LINKEDIN","ok")</f>
        <v/>
      </c>
      <c r="S86" s="12" t="inlineStr">
        <is>
          <t>https://www.bldr.com/location/ft-worth-tx-truss-trussway/FORTTXMF</t>
        </is>
      </c>
      <c r="T86" s="15" t="inlineStr">
        <is>
          <t>Makes wall panels and trusses for production builders in Hurst, Arlington and around DFW. One plant under a national purchasing desk.</t>
        </is>
      </c>
      <c r="U86" s="12" t="inlineStr"/>
      <c r="V86" s="15" t="inlineStr"/>
      <c r="W86" s="12" t="inlineStr"/>
      <c r="X86" s="12" t="inlineStr">
        <is>
          <t>https://www.linkedin.com/company/builders-firstsource/</t>
        </is>
      </c>
      <c r="Y86" s="12" t="inlineStr"/>
      <c r="Z86" s="12" t="inlineStr"/>
      <c r="AA86" s="12" t="inlineStr">
        <is>
          <t>(817) 589-1467</t>
        </is>
      </c>
      <c r="AB86" s="12" t="inlineStr">
        <is>
          <t>Fort Worth truss plant</t>
        </is>
      </c>
      <c r="AC86" s="12" t="inlineStr">
        <is>
          <t>https://www.bldr.com/location/ft-worth-tx-truss-trussway/FORTTXMF</t>
        </is>
      </c>
      <c r="AD86" s="12" t="inlineStr"/>
      <c r="AE86" s="12" t="inlineStr"/>
    </row>
    <row r="87">
      <c r="A87" s="6" t="inlineStr">
        <is>
          <t>Robb Harrington</t>
        </is>
      </c>
      <c r="B87" s="6" t="inlineStr">
        <is>
          <t>Coreslab Structures (Texas)</t>
        </is>
      </c>
      <c r="C87" s="6" t="inlineStr">
        <is>
          <t>Project Consultant, Dallas/Ft. Worth and North Texas</t>
        </is>
      </c>
      <c r="D87" s="7" t="inlineStr">
        <is>
          <t>Contractors and plants</t>
        </is>
      </c>
      <c r="E87" s="8" t="n">
        <v>2</v>
      </c>
      <c r="F87" s="6" t="inlineStr">
        <is>
          <t>Printer buyer</t>
        </is>
      </c>
      <c r="G87" s="6" t="inlineStr">
        <is>
          <t>Precast concrete plant</t>
        </is>
      </c>
      <c r="H87" s="6" t="inlineStr">
        <is>
          <t>Cedar Park plant, selling into DFW and North Texas</t>
        </is>
      </c>
      <c r="I87" s="6" t="inlineStr">
        <is>
          <t>Cedar Park precast plant, named North Texas consultant</t>
        </is>
      </c>
      <c r="J87" s="8" t="inlineStr">
        <is>
          <t>Yes</t>
        </is>
      </c>
      <c r="K87" s="9" t="inlineStr">
        <is>
          <t>Since 1988, architectural and structural precast cast repeatedly from one Texas plant.</t>
        </is>
      </c>
      <c r="L87" s="8" t="inlineStr">
        <is>
          <t>Partly</t>
        </is>
      </c>
      <c r="M87" s="9" t="inlineStr">
        <is>
          <t>One statewide plant. DFW is a sales territory only.</t>
        </is>
      </c>
      <c r="N87" s="8" t="inlineStr">
        <is>
          <t>No</t>
        </is>
      </c>
      <c r="O87" s="9" t="inlineStr">
        <is>
          <t>No record of an unproven method.</t>
        </is>
      </c>
      <c r="P87" s="10" t="inlineStr"/>
      <c r="Q87" s="6" t="inlineStr"/>
      <c r="R87" s="11">
        <f>IF(P87="","ADD LINKEDIN","ok")</f>
        <v/>
      </c>
      <c r="S87" s="6" t="inlineStr">
        <is>
          <t>https://www.coreslab.com/locations/austin-texas-precast-concrete/</t>
        </is>
      </c>
      <c r="T87" s="9" t="inlineStr">
        <is>
          <t>Casts architectural and structural precast in Central Texas since 1988. DFW is a sales territory.</t>
        </is>
      </c>
      <c r="U87" s="6" t="inlineStr"/>
      <c r="V87" s="9" t="inlineStr">
        <is>
          <t>Cedar Park plant page, with a direct line.</t>
        </is>
      </c>
      <c r="W87" s="6" t="inlineStr">
        <is>
          <t>https://www.coreslab.com/locations/austin-texas-precast-concrete/</t>
        </is>
      </c>
      <c r="X87" s="6" t="inlineStr">
        <is>
          <t>https://www.linkedin.com/company/coreslab-structures/</t>
        </is>
      </c>
      <c r="Y87" s="6" t="inlineStr"/>
      <c r="Z87" s="6" t="inlineStr"/>
      <c r="AA87" s="6" t="inlineStr">
        <is>
          <t>(512) 250-0755</t>
        </is>
      </c>
      <c r="AB87" s="6" t="inlineStr">
        <is>
          <t>Cedar Park plant, main line</t>
        </is>
      </c>
      <c r="AC87" s="6" t="inlineStr">
        <is>
          <t>https://www.coreslab.com/locations/austin-texas-precast-concrete/</t>
        </is>
      </c>
      <c r="AD87" s="6" t="inlineStr"/>
      <c r="AE87" s="6" t="inlineStr"/>
    </row>
    <row r="88">
      <c r="A88" s="12" t="inlineStr">
        <is>
          <t>Garrett Weidman</t>
        </is>
      </c>
      <c r="B88" s="12" t="inlineStr">
        <is>
          <t>Coreslab Structures (Texas)</t>
        </is>
      </c>
      <c r="C88" s="12" t="inlineStr">
        <is>
          <t>Sales Manager</t>
        </is>
      </c>
      <c r="D88" s="13" t="inlineStr">
        <is>
          <t>Contractors and plants</t>
        </is>
      </c>
      <c r="E88" s="14" t="n">
        <v>2</v>
      </c>
      <c r="F88" s="12" t="inlineStr">
        <is>
          <t>Printer buyer</t>
        </is>
      </c>
      <c r="G88" s="12" t="inlineStr">
        <is>
          <t>Precast concrete plant</t>
        </is>
      </c>
      <c r="H88" s="12" t="inlineStr">
        <is>
          <t>Cedar Park plant, selling into DFW and North Texas</t>
        </is>
      </c>
      <c r="I88" s="12" t="inlineStr">
        <is>
          <t>Cedar Park precast plant, named North Texas consultant</t>
        </is>
      </c>
      <c r="J88" s="14" t="inlineStr">
        <is>
          <t>Yes</t>
        </is>
      </c>
      <c r="K88" s="15" t="inlineStr">
        <is>
          <t>Since 1988, architectural and structural precast cast repeatedly from one Texas plant.</t>
        </is>
      </c>
      <c r="L88" s="14" t="inlineStr">
        <is>
          <t>Partly</t>
        </is>
      </c>
      <c r="M88" s="15" t="inlineStr">
        <is>
          <t>One statewide plant. DFW is a sales territory only.</t>
        </is>
      </c>
      <c r="N88" s="14" t="inlineStr">
        <is>
          <t>No</t>
        </is>
      </c>
      <c r="O88" s="15" t="inlineStr">
        <is>
          <t>No record of an unproven method.</t>
        </is>
      </c>
      <c r="P88" s="10" t="inlineStr"/>
      <c r="Q88" s="12" t="inlineStr"/>
      <c r="R88" s="16">
        <f>IF(P88="","ADD LINKEDIN","ok")</f>
        <v/>
      </c>
      <c r="S88" s="12" t="inlineStr">
        <is>
          <t>https://www.coreslab.com/locations/austin-texas-precast-concrete/</t>
        </is>
      </c>
      <c r="T88" s="15" t="inlineStr">
        <is>
          <t>Casts architectural and structural precast in Central Texas since 1988. DFW is a sales territory.</t>
        </is>
      </c>
      <c r="U88" s="12" t="inlineStr"/>
      <c r="V88" s="15" t="inlineStr">
        <is>
          <t>Plant page. Listed as P.E.</t>
        </is>
      </c>
      <c r="W88" s="12" t="inlineStr">
        <is>
          <t>https://www.coreslab.com/locations/austin-texas-precast-concrete/</t>
        </is>
      </c>
      <c r="X88" s="12" t="inlineStr">
        <is>
          <t>https://www.linkedin.com/company/coreslab-structures/</t>
        </is>
      </c>
      <c r="Y88" s="12" t="inlineStr"/>
      <c r="Z88" s="12" t="inlineStr"/>
      <c r="AA88" s="12" t="inlineStr">
        <is>
          <t>(512) 250-0755</t>
        </is>
      </c>
      <c r="AB88" s="12" t="inlineStr">
        <is>
          <t>Cedar Park plant, main line</t>
        </is>
      </c>
      <c r="AC88" s="12" t="inlineStr">
        <is>
          <t>https://www.coreslab.com/locations/austin-texas-precast-concrete/</t>
        </is>
      </c>
      <c r="AD88" s="12" t="inlineStr"/>
      <c r="AE88" s="12" t="inlineStr"/>
    </row>
    <row r="89">
      <c r="A89" s="6" t="inlineStr">
        <is>
          <t>Scott Clarke</t>
        </is>
      </c>
      <c r="B89" s="6" t="inlineStr">
        <is>
          <t>Harvey Cleary</t>
        </is>
      </c>
      <c r="C89" s="6" t="inlineStr">
        <is>
          <t>Chief Operating Officer and Managing Partner</t>
        </is>
      </c>
      <c r="D89" s="7" t="inlineStr">
        <is>
          <t>Contractors and plants</t>
        </is>
      </c>
      <c r="E89" s="8" t="n">
        <v>2</v>
      </c>
      <c r="F89" s="6" t="inlineStr">
        <is>
          <t>Printer buyer</t>
        </is>
      </c>
      <c r="G89" s="6" t="inlineStr">
        <is>
          <t>General contractor with its own concrete crews</t>
        </is>
      </c>
      <c r="H89" s="6" t="inlineStr">
        <is>
          <t>Austin, with Texas offices in Houston and San Antonio</t>
        </is>
      </c>
      <c r="I89" s="6" t="inlineStr">
        <is>
          <t>Texas tilt-wall general contractor, offices in Austin, Houston and San Antonio</t>
        </is>
      </c>
      <c r="J89" s="8" t="inlineStr">
        <is>
          <t>Yes</t>
        </is>
      </c>
      <c r="K89" s="9" t="inlineStr">
        <is>
          <t>Tilt-wall and commercial shells, repeated across Texas.</t>
        </is>
      </c>
      <c r="L89" s="8" t="inlineStr">
        <is>
          <t>Partly</t>
        </is>
      </c>
      <c r="M89" s="9" t="inlineStr">
        <is>
          <t>$2 billion construction volume, more than 700 employees, its own count.</t>
        </is>
      </c>
      <c r="N89" s="8" t="inlineStr">
        <is>
          <t>No</t>
        </is>
      </c>
      <c r="O89" s="9" t="inlineStr">
        <is>
          <t>Nothing on record.</t>
        </is>
      </c>
      <c r="P89" s="6" t="inlineStr">
        <is>
          <t>https://www.linkedin.com/in/scott-clarke-a2a1a521/</t>
        </is>
      </c>
      <c r="Q89" s="6" t="inlineStr"/>
      <c r="R89" s="11">
        <f>IF(P89="","ADD LINKEDIN","ok")</f>
        <v/>
      </c>
      <c r="S89" s="6" t="inlineStr">
        <is>
          <t>https://www.harveycleary.com/</t>
        </is>
      </c>
      <c r="T89" s="9" t="inlineStr">
        <is>
          <t>Builds tilt-wall shells across Texas. Counts more than 700 employees.</t>
        </is>
      </c>
      <c r="U89" s="6" t="inlineStr">
        <is>
          <t>YES</t>
        </is>
      </c>
      <c r="V89" s="9" t="inlineStr">
        <is>
          <t>Indexed title: Harvey-Cleary Builders. Austin location page.</t>
        </is>
      </c>
      <c r="W89" s="6" t="inlineStr">
        <is>
          <t>https://www.harveycleary.com/about-us/locations/austin-tx/</t>
        </is>
      </c>
      <c r="X89" s="6" t="inlineStr">
        <is>
          <t>https://www.linkedin.com/company/harvey-cleary/</t>
        </is>
      </c>
      <c r="Y89" s="6" t="inlineStr">
        <is>
          <t>https://www.harveycleary.com/about-us/locations/austin-tx/</t>
        </is>
      </c>
      <c r="Z89" s="6" t="inlineStr"/>
      <c r="AA89" s="6" t="inlineStr">
        <is>
          <t>(512) 928-9300</t>
        </is>
      </c>
      <c r="AB89" s="6" t="inlineStr">
        <is>
          <t>Austin office</t>
        </is>
      </c>
      <c r="AC89" s="6" t="inlineStr">
        <is>
          <t>https://www.harveycleary.com/about-us/locations/austin-tx/</t>
        </is>
      </c>
      <c r="AD89" s="6" t="inlineStr"/>
      <c r="AE89" s="6" t="inlineStr"/>
    </row>
    <row r="90">
      <c r="A90" s="12" t="inlineStr">
        <is>
          <t>Larry Miller</t>
        </is>
      </c>
      <c r="B90" s="12" t="inlineStr">
        <is>
          <t>Heldenfels Enterprises (a Metromont company)</t>
        </is>
      </c>
      <c r="C90" s="12" t="inlineStr">
        <is>
          <t>VP of Preconstruction and Business Development</t>
        </is>
      </c>
      <c r="D90" s="13" t="inlineStr">
        <is>
          <t>Contractors and plants</t>
        </is>
      </c>
      <c r="E90" s="14" t="n">
        <v>2</v>
      </c>
      <c r="F90" s="12" t="inlineStr">
        <is>
          <t>Printer buyer</t>
        </is>
      </c>
      <c r="G90" s="12" t="inlineStr">
        <is>
          <t>Precast concrete plant</t>
        </is>
      </c>
      <c r="H90" s="12" t="inlineStr">
        <is>
          <t>San Marcos and Corpus Christi plants, delivering across Texas</t>
        </is>
      </c>
      <c r="I90" s="12" t="inlineStr">
        <is>
          <t>85-acre precast plant in San Marcos</t>
        </is>
      </c>
      <c r="J90" s="14" t="inlineStr">
        <is>
          <t>Yes</t>
        </is>
      </c>
      <c r="K90" s="15" t="inlineStr">
        <is>
          <t>Precast cast repeatedly for Texas projects.</t>
        </is>
      </c>
      <c r="L90" s="14" t="inlineStr">
        <is>
          <t>Partly</t>
        </is>
      </c>
      <c r="M90" s="15" t="inlineStr">
        <is>
          <t>Two Texas plants. No DFW figure published.</t>
        </is>
      </c>
      <c r="N90" s="14" t="inlineStr">
        <is>
          <t>No</t>
        </is>
      </c>
      <c r="O90" s="15" t="inlineStr">
        <is>
          <t>Prestressed wall panels are its normal product. No new wall method.</t>
        </is>
      </c>
      <c r="P90" s="10" t="inlineStr"/>
      <c r="Q90" s="12" t="inlineStr"/>
      <c r="R90" s="16">
        <f>IF(P90="","ADD LINKEDIN","ok")</f>
        <v/>
      </c>
      <c r="S90" s="12" t="inlineStr">
        <is>
          <t>https://heldenfels.com/</t>
        </is>
      </c>
      <c r="T90" s="15" t="inlineStr">
        <is>
          <t>Prestressed wall panels are its normal product, from San Marcos and Corpus Christi. Metromont acquired it effective December 15, 2025.</t>
        </is>
      </c>
      <c r="U90" s="12" t="inlineStr">
        <is>
          <t>YES</t>
        </is>
      </c>
      <c r="V90" s="15" t="inlineStr">
        <is>
          <t>Firm's contact page.</t>
        </is>
      </c>
      <c r="W90" s="12" t="inlineStr">
        <is>
          <t>https://heldenfels.com/contact/</t>
        </is>
      </c>
      <c r="X90" s="12" t="inlineStr">
        <is>
          <t>https://www.linkedin.com/company/heldenfels-enterprises/</t>
        </is>
      </c>
      <c r="Y90" s="12" t="inlineStr">
        <is>
          <t>https://heldenfels.com/contact/</t>
        </is>
      </c>
      <c r="Z90" s="12" t="inlineStr"/>
      <c r="AA90" s="12" t="inlineStr">
        <is>
          <t>(512) 396-2376</t>
        </is>
      </c>
      <c r="AB90" s="12" t="inlineStr">
        <is>
          <t>Headquarters, San Marcos</t>
        </is>
      </c>
      <c r="AC90" s="12" t="inlineStr">
        <is>
          <t>https://heldenfels.com/contact/</t>
        </is>
      </c>
      <c r="AD90" s="12" t="inlineStr"/>
      <c r="AE90" s="12" t="inlineStr"/>
    </row>
    <row r="91">
      <c r="A91" s="6" t="inlineStr">
        <is>
          <t>Eric Dyess</t>
        </is>
      </c>
      <c r="B91" s="6" t="inlineStr">
        <is>
          <t>Kaufman Concrete (ERW Companies)</t>
        </is>
      </c>
      <c r="C91" s="6" t="inlineStr">
        <is>
          <t>President and COO</t>
        </is>
      </c>
      <c r="D91" s="7" t="inlineStr">
        <is>
          <t>Contractors and plants</t>
        </is>
      </c>
      <c r="E91" s="8" t="n">
        <v>2</v>
      </c>
      <c r="F91" s="6" t="inlineStr">
        <is>
          <t>Printer buyer</t>
        </is>
      </c>
      <c r="G91" s="6" t="inlineStr">
        <is>
          <t>Residential foundation contractor</t>
        </is>
      </c>
      <c r="H91" s="6" t="inlineStr">
        <is>
          <t>Prosper and Carrollton, serving DFW and Austin</t>
        </is>
      </c>
      <c r="I91" s="6" t="inlineStr">
        <is>
          <t>Fifteen to twenty slabs a week, per First Texas Homes</t>
        </is>
      </c>
      <c r="J91" s="8" t="inlineStr">
        <is>
          <t>Yes</t>
        </is>
      </c>
      <c r="K91" s="9" t="inlineStr">
        <is>
          <t>Post-tensioned foundations poured repeatedly for production builders.</t>
        </is>
      </c>
      <c r="L91" s="8" t="inlineStr">
        <is>
          <t>Partly</t>
        </is>
      </c>
      <c r="M91" s="9" t="inlineStr">
        <is>
          <t>Weekly slab rate covers one community. No firm-wide yearly figure.</t>
        </is>
      </c>
      <c r="N91" s="8" t="inlineStr">
        <is>
          <t>No</t>
        </is>
      </c>
      <c r="O91" s="9" t="inlineStr">
        <is>
          <t>Conventional production slabs.</t>
        </is>
      </c>
      <c r="P91" s="10" t="inlineStr"/>
      <c r="Q91" s="6" t="inlineStr"/>
      <c r="R91" s="11">
        <f>IF(P91="","ADD LINKEDIN","ok")</f>
        <v/>
      </c>
      <c r="S91" s="6" t="inlineStr">
        <is>
          <t>https://erw-sitesolutions.com/construction-company-texas/kaufman-concrete-foundations-texas/</t>
        </is>
      </c>
      <c r="T91" s="9" t="inlineStr">
        <is>
          <t>Pours post-tensioned slabs for production builders. Part of ERW Companies, with Eric Dyess as president.</t>
        </is>
      </c>
      <c r="U91" s="6" t="inlineStr">
        <is>
          <t>YES</t>
        </is>
      </c>
      <c r="V91" s="9" t="inlineStr">
        <is>
          <t>Kaufman Concrete page.</t>
        </is>
      </c>
      <c r="W91" s="6" t="inlineStr">
        <is>
          <t>https://erw-sitesolutions.com/construction-company-texas/kaufman-concrete-foundations-texas/</t>
        </is>
      </c>
      <c r="X91" s="6" t="inlineStr">
        <is>
          <t>https://www.linkedin.com/company/kaufman-concrete-erwss/</t>
        </is>
      </c>
      <c r="Y91" s="6" t="inlineStr">
        <is>
          <t>https://erw-sitesolutions.com/construction-company-texas/kaufman-concrete-foundations-texas/</t>
        </is>
      </c>
      <c r="Z91" s="6" t="inlineStr"/>
      <c r="AA91" s="6" t="inlineStr"/>
      <c r="AB91" s="6" t="inlineStr"/>
      <c r="AC91" s="6" t="inlineStr"/>
      <c r="AD91" s="6" t="inlineStr"/>
      <c r="AE91" s="6" t="inlineStr"/>
    </row>
    <row r="92">
      <c r="A92" s="12" t="inlineStr">
        <is>
          <t>Robert Miller</t>
        </is>
      </c>
      <c r="B92" s="12" t="inlineStr">
        <is>
          <t>Miller Sierra</t>
        </is>
      </c>
      <c r="C92" s="12" t="inlineStr">
        <is>
          <t>Chief Executive Officer</t>
        </is>
      </c>
      <c r="D92" s="13" t="inlineStr">
        <is>
          <t>Contractors and plants</t>
        </is>
      </c>
      <c r="E92" s="14" t="n">
        <v>2</v>
      </c>
      <c r="F92" s="12" t="inlineStr">
        <is>
          <t>Printer buyer</t>
        </is>
      </c>
      <c r="G92" s="12" t="inlineStr">
        <is>
          <t>Tilt-up concrete contractor</t>
        </is>
      </c>
      <c r="H92" s="12" t="inlineStr">
        <is>
          <t>Euless and Arlington</t>
        </is>
      </c>
      <c r="I92" s="12" t="inlineStr">
        <is>
          <t>More than 1,500 concrete staff, per its own site</t>
        </is>
      </c>
      <c r="J92" s="14" t="inlineStr">
        <is>
          <t>Yes</t>
        </is>
      </c>
      <c r="K92" s="15" t="inlineStr">
        <is>
          <t>Concrete walls repeated across North Texas commercial and institutional jobs.</t>
        </is>
      </c>
      <c r="L92" s="14" t="inlineStr">
        <is>
          <t>No</t>
        </is>
      </c>
      <c r="M92" s="15" t="inlineStr">
        <is>
          <t>More than 1,500 staff, millions of square feet a year, per its own site.</t>
        </is>
      </c>
      <c r="N92" s="14" t="inlineStr">
        <is>
          <t>Partly</t>
        </is>
      </c>
      <c r="O92" s="15" t="inlineStr">
        <is>
          <t>Invests in LiDAR, robotics and new equipment. None replaces the wall.</t>
        </is>
      </c>
      <c r="P92" s="10" t="inlineStr"/>
      <c r="Q92" s="12" t="inlineStr"/>
      <c r="R92" s="16">
        <f>IF(P92="","ADD LINKEDIN","ok")</f>
        <v/>
      </c>
      <c r="S92" s="12" t="inlineStr">
        <is>
          <t>https://www.millersierra.com/</t>
        </is>
      </c>
      <c r="T92" s="15" t="inlineStr">
        <is>
          <t>Pours tilt-wall, schools and paving from Euless and Arlington. Invests in LiDAR, robotics and new equipment.</t>
        </is>
      </c>
      <c r="U92" s="12" t="inlineStr">
        <is>
          <t>YES</t>
        </is>
      </c>
      <c r="V92" s="15" t="inlineStr">
        <is>
          <t>Leadership team page.</t>
        </is>
      </c>
      <c r="W92" s="12" t="inlineStr">
        <is>
          <t>https://www.millersierra.com/who-we-are/</t>
        </is>
      </c>
      <c r="X92" s="12" t="inlineStr">
        <is>
          <t>https://www.linkedin.com/company/miller-sierra-contractors-inc./</t>
        </is>
      </c>
      <c r="Y92" s="12" t="inlineStr">
        <is>
          <t>https://www.millersierra.com/who-we-are/</t>
        </is>
      </c>
      <c r="Z92" s="12" t="inlineStr"/>
      <c r="AA92" s="12" t="inlineStr">
        <is>
          <t>(817) 461-8802</t>
        </is>
      </c>
      <c r="AB92" s="12" t="inlineStr">
        <is>
          <t>Main office</t>
        </is>
      </c>
      <c r="AC92" s="12" t="inlineStr">
        <is>
          <t>https://www.millersierra.com/contact-us/</t>
        </is>
      </c>
      <c r="AD92" s="12" t="inlineStr"/>
      <c r="AE92" s="12" t="inlineStr"/>
    </row>
    <row r="93">
      <c r="A93" s="6" t="inlineStr">
        <is>
          <t>Terry Fowler</t>
        </is>
      </c>
      <c r="B93" s="6" t="inlineStr">
        <is>
          <t>Miller Sierra</t>
        </is>
      </c>
      <c r="C93" s="6" t="inlineStr">
        <is>
          <t>President</t>
        </is>
      </c>
      <c r="D93" s="7" t="inlineStr">
        <is>
          <t>Contractors and plants</t>
        </is>
      </c>
      <c r="E93" s="8" t="n">
        <v>2</v>
      </c>
      <c r="F93" s="6" t="inlineStr">
        <is>
          <t>Printer buyer</t>
        </is>
      </c>
      <c r="G93" s="6" t="inlineStr">
        <is>
          <t>Tilt-up concrete contractor</t>
        </is>
      </c>
      <c r="H93" s="6" t="inlineStr">
        <is>
          <t>Euless and Arlington</t>
        </is>
      </c>
      <c r="I93" s="6" t="inlineStr">
        <is>
          <t>More than 1,500 concrete staff, per its own site</t>
        </is>
      </c>
      <c r="J93" s="8" t="inlineStr">
        <is>
          <t>Yes</t>
        </is>
      </c>
      <c r="K93" s="9" t="inlineStr">
        <is>
          <t>Concrete walls repeated across North Texas commercial and institutional jobs.</t>
        </is>
      </c>
      <c r="L93" s="8" t="inlineStr">
        <is>
          <t>No</t>
        </is>
      </c>
      <c r="M93" s="9" t="inlineStr">
        <is>
          <t>More than 1,500 staff, millions of square feet a year, per its own site.</t>
        </is>
      </c>
      <c r="N93" s="8" t="inlineStr">
        <is>
          <t>Partly</t>
        </is>
      </c>
      <c r="O93" s="9" t="inlineStr">
        <is>
          <t>Invests in LiDAR, robotics and new equipment. None replaces the wall.</t>
        </is>
      </c>
      <c r="P93" s="10" t="inlineStr"/>
      <c r="Q93" s="6" t="inlineStr"/>
      <c r="R93" s="11">
        <f>IF(P93="","ADD LINKEDIN","ok")</f>
        <v/>
      </c>
      <c r="S93" s="6" t="inlineStr">
        <is>
          <t>https://www.millersierra.com/</t>
        </is>
      </c>
      <c r="T93" s="9" t="inlineStr">
        <is>
          <t>Pours tilt-wall, schools and paving from Euless and Arlington. Invests in LiDAR, robotics and new equipment.</t>
        </is>
      </c>
      <c r="U93" s="6" t="inlineStr">
        <is>
          <t>YES</t>
        </is>
      </c>
      <c r="V93" s="9" t="inlineStr">
        <is>
          <t>Who We Are page.</t>
        </is>
      </c>
      <c r="W93" s="6" t="inlineStr">
        <is>
          <t>https://www.millersierra.com/who-we-are/</t>
        </is>
      </c>
      <c r="X93" s="6" t="inlineStr">
        <is>
          <t>https://www.linkedin.com/company/miller-sierra-contractors-inc./</t>
        </is>
      </c>
      <c r="Y93" s="6" t="inlineStr">
        <is>
          <t>https://www.millersierra.com/who-we-are/</t>
        </is>
      </c>
      <c r="Z93" s="6" t="inlineStr"/>
      <c r="AA93" s="6" t="inlineStr">
        <is>
          <t>(817) 461-8802</t>
        </is>
      </c>
      <c r="AB93" s="6" t="inlineStr">
        <is>
          <t>Main office</t>
        </is>
      </c>
      <c r="AC93" s="6" t="inlineStr">
        <is>
          <t>https://www.millersierra.com/contact-us/</t>
        </is>
      </c>
      <c r="AD93" s="6" t="inlineStr"/>
      <c r="AE93" s="6" t="inlineStr"/>
    </row>
    <row r="94">
      <c r="A94" s="12" t="inlineStr">
        <is>
          <t>Dan Juntunen</t>
        </is>
      </c>
      <c r="B94" s="12" t="inlineStr">
        <is>
          <t>Wells, Hillsboro plants</t>
        </is>
      </c>
      <c r="C94" s="12" t="inlineStr">
        <is>
          <t>President and Chief Executive Officer, The Wells Companies</t>
        </is>
      </c>
      <c r="D94" s="13" t="inlineStr">
        <is>
          <t>Contractors and plants</t>
        </is>
      </c>
      <c r="E94" s="14" t="n">
        <v>2</v>
      </c>
      <c r="F94" s="12" t="inlineStr">
        <is>
          <t>Printer buyer</t>
        </is>
      </c>
      <c r="G94" s="12" t="inlineStr">
        <is>
          <t>Precast concrete plant</t>
        </is>
      </c>
      <c r="H94" s="12" t="inlineStr">
        <is>
          <t>Hillsboro, 1220 and 1700 N Waco St, between DFW and Austin</t>
        </is>
      </c>
      <c r="I94" s="12" t="inlineStr">
        <is>
          <t>Two Hillsboro precast plants, more than 320 staff</t>
        </is>
      </c>
      <c r="J94" s="14" t="inlineStr">
        <is>
          <t>Yes</t>
        </is>
      </c>
      <c r="K94" s="15" t="inlineStr">
        <is>
          <t>Two Hillsboro plants cast precast repeatedly for Texas and Oklahoma projects.</t>
        </is>
      </c>
      <c r="L94" s="14" t="inlineStr">
        <is>
          <t>Partly</t>
        </is>
      </c>
      <c r="M94" s="15" t="inlineStr">
        <is>
          <t>Plants serve several states. DFW is one delivery market.</t>
        </is>
      </c>
      <c r="N94" s="14" t="inlineStr">
        <is>
          <t>No</t>
        </is>
      </c>
      <c r="O94" s="15" t="inlineStr">
        <is>
          <t>No record of buying an unproven method.</t>
        </is>
      </c>
      <c r="P94" s="6" t="inlineStr">
        <is>
          <t>https://www.linkedin.com/in/dan-juntunen-b2765a14/</t>
        </is>
      </c>
      <c r="Q94" s="12" t="inlineStr"/>
      <c r="R94" s="16">
        <f>IF(P94="","ADD LINKEDIN","ok")</f>
        <v/>
      </c>
      <c r="S94" s="12" t="inlineStr">
        <is>
          <t>https://wells.build/contact/locations/hillsboro-texas/</t>
        </is>
      </c>
      <c r="T94" s="15" t="inlineStr">
        <is>
          <t>Its precast panels go to Dallas residential and civic jobs. Wells runs the plants after buying GATE Precast in July 2024.</t>
        </is>
      </c>
      <c r="U94" s="12" t="inlineStr">
        <is>
          <t>YES</t>
        </is>
      </c>
      <c r="V94" s="15" t="inlineStr">
        <is>
          <t>Indexed title: Wells Concrete. Wells release, July 15, 2024.</t>
        </is>
      </c>
      <c r="W94" s="12" t="inlineStr">
        <is>
          <t>https://wells.build/company/news/wells-announces-acquisition-of-gate-precast/</t>
        </is>
      </c>
      <c r="X94" s="12" t="inlineStr">
        <is>
          <t>https://www.linkedin.com/company/wellsbuilds/</t>
        </is>
      </c>
      <c r="Y94" s="12" t="inlineStr"/>
      <c r="Z94" s="12" t="inlineStr">
        <is>
          <t>2024-07-15 Wells. Wells Announces Acquisition of GATE Precast  https://wells.build/company/news/wells-announces-acquisition-of-gate-precast/</t>
        </is>
      </c>
      <c r="AA94" s="12" t="inlineStr">
        <is>
          <t>(254) 582-7200</t>
        </is>
      </c>
      <c r="AB94" s="12" t="inlineStr">
        <is>
          <t>Hillsboro plants, chamber listing</t>
        </is>
      </c>
      <c r="AC94" s="12" t="inlineStr">
        <is>
          <t>https://business.hillsborochamber.org/members/member/wells-build-177</t>
        </is>
      </c>
      <c r="AD94" s="12" t="inlineStr"/>
      <c r="AE94" s="12" t="inlineStr"/>
    </row>
    <row r="95">
      <c r="A95" s="6" t="inlineStr">
        <is>
          <t>Dean Gwin</t>
        </is>
      </c>
      <c r="B95" s="6" t="inlineStr">
        <is>
          <t>Wells, Hillsboro plants</t>
        </is>
      </c>
      <c r="C95" s="6" t="inlineStr">
        <is>
          <t>President and Chief Operating Officer, GATE Precast</t>
        </is>
      </c>
      <c r="D95" s="7" t="inlineStr">
        <is>
          <t>Contractors and plants</t>
        </is>
      </c>
      <c r="E95" s="8" t="n">
        <v>2</v>
      </c>
      <c r="F95" s="6" t="inlineStr">
        <is>
          <t>Printer buyer</t>
        </is>
      </c>
      <c r="G95" s="6" t="inlineStr">
        <is>
          <t>Precast concrete plant</t>
        </is>
      </c>
      <c r="H95" s="6" t="inlineStr">
        <is>
          <t>Hillsboro, 1220 and 1700 N Waco St, between DFW and Austin</t>
        </is>
      </c>
      <c r="I95" s="6" t="inlineStr">
        <is>
          <t>Two Hillsboro precast plants, more than 320 staff</t>
        </is>
      </c>
      <c r="J95" s="8" t="inlineStr">
        <is>
          <t>Yes</t>
        </is>
      </c>
      <c r="K95" s="9" t="inlineStr">
        <is>
          <t>Two Hillsboro plants cast precast repeatedly for Texas and Oklahoma projects.</t>
        </is>
      </c>
      <c r="L95" s="8" t="inlineStr">
        <is>
          <t>Partly</t>
        </is>
      </c>
      <c r="M95" s="9" t="inlineStr">
        <is>
          <t>Plants serve several states. DFW is one delivery market.</t>
        </is>
      </c>
      <c r="N95" s="8" t="inlineStr">
        <is>
          <t>No</t>
        </is>
      </c>
      <c r="O95" s="9" t="inlineStr">
        <is>
          <t>No record of buying an unproven method.</t>
        </is>
      </c>
      <c r="P95" s="6" t="inlineStr">
        <is>
          <t>https://www.linkedin.com/in/dean-gwin-102a1991/</t>
        </is>
      </c>
      <c r="Q95" s="6" t="inlineStr"/>
      <c r="R95" s="11">
        <f>IF(P95="","ADD LINKEDIN","ok")</f>
        <v/>
      </c>
      <c r="S95" s="6" t="inlineStr">
        <is>
          <t>https://wells.build/contact/locations/hillsboro-texas/</t>
        </is>
      </c>
      <c r="T95" s="9" t="inlineStr">
        <is>
          <t>Its precast panels go to Dallas residential and civic jobs. Wells runs the plants after buying GATE Precast in July 2024.</t>
        </is>
      </c>
      <c r="U95" s="6" t="inlineStr">
        <is>
          <t>YES</t>
        </is>
      </c>
      <c r="V95" s="9" t="inlineStr">
        <is>
          <t>Indexed title: Wells. Same Wells release. Title held at the July 2024 acquisition.</t>
        </is>
      </c>
      <c r="W95" s="6" t="inlineStr">
        <is>
          <t>https://wells.build/company/news/wells-announces-acquisition-of-gate-precast/</t>
        </is>
      </c>
      <c r="X95" s="6" t="inlineStr">
        <is>
          <t>https://www.linkedin.com/company/wellsbuilds/</t>
        </is>
      </c>
      <c r="Y95" s="6" t="inlineStr"/>
      <c r="Z95" s="6" t="inlineStr">
        <is>
          <t>2024-07-15 Wells. Wells Announces Acquisition of GATE Precast  https://wells.build/company/news/wells-announces-acquisition-of-gate-precast/</t>
        </is>
      </c>
      <c r="AA95" s="6" t="inlineStr">
        <is>
          <t>(254) 582-7200</t>
        </is>
      </c>
      <c r="AB95" s="6" t="inlineStr">
        <is>
          <t>Hillsboro plants, chamber listing</t>
        </is>
      </c>
      <c r="AC95" s="6" t="inlineStr">
        <is>
          <t>https://business.hillsborochamber.org/members/member/wells-build-177</t>
        </is>
      </c>
      <c r="AD95" s="6" t="inlineStr"/>
      <c r="AE95" s="6" t="inlineStr"/>
    </row>
    <row r="96">
      <c r="A96" s="12" t="inlineStr">
        <is>
          <t>Nathan Frazier</t>
        </is>
      </c>
      <c r="B96" s="12" t="inlineStr">
        <is>
          <t>All About Concrete LLC</t>
        </is>
      </c>
      <c r="C96" s="12" t="inlineStr">
        <is>
          <t>CEO and Founder</t>
        </is>
      </c>
      <c r="D96" s="13" t="inlineStr">
        <is>
          <t>Contractors and plants</t>
        </is>
      </c>
      <c r="E96" s="14" t="n">
        <v>2</v>
      </c>
      <c r="F96" s="12" t="inlineStr">
        <is>
          <t>Printer buyer</t>
        </is>
      </c>
      <c r="G96" s="12" t="inlineStr">
        <is>
          <t>Residential concrete contractor</t>
        </is>
      </c>
      <c r="H96" s="12" t="inlineStr">
        <is>
          <t>Tomball, serving Dallas-Fort Worth, Houston, Austin and San Antonio</t>
        </is>
      </c>
      <c r="I96" s="12" t="inlineStr">
        <is>
          <t>Production-builder foundations, DFW served from Tomball</t>
        </is>
      </c>
      <c r="J96" s="14" t="inlineStr">
        <is>
          <t>Yes</t>
        </is>
      </c>
      <c r="K96" s="15" t="inlineStr">
        <is>
          <t>Same foundation and flatwork product, repeated for production builders.</t>
        </is>
      </c>
      <c r="L96" s="14" t="inlineStr">
        <is>
          <t>Partly</t>
        </is>
      </c>
      <c r="M96" s="15" t="inlineStr">
        <is>
          <t>No published slab count.</t>
        </is>
      </c>
      <c r="N96" s="14" t="inlineStr">
        <is>
          <t>No</t>
        </is>
      </c>
      <c r="O96" s="15" t="inlineStr">
        <is>
          <t>Conventional foundations and flatwork.</t>
        </is>
      </c>
      <c r="P96" s="10" t="inlineStr"/>
      <c r="Q96" s="12" t="inlineStr"/>
      <c r="R96" s="16">
        <f>IF(P96="","ADD LINKEDIN","ok")</f>
        <v/>
      </c>
      <c r="S96" s="12" t="inlineStr">
        <is>
          <t>https://allaboutconcretellc.net/</t>
        </is>
      </c>
      <c r="T96" s="15" t="inlineStr">
        <is>
          <t>Pours foundations, paving and streets for residential communities. High Street Capital announced an investment in August 2026.</t>
        </is>
      </c>
      <c r="U96" s="12" t="inlineStr">
        <is>
          <t>YES</t>
        </is>
      </c>
      <c r="V96" s="15" t="inlineStr">
        <is>
          <t>High Street Capital announcement, August 2026.</t>
        </is>
      </c>
      <c r="W96" s="12" t="inlineStr">
        <is>
          <t>https://www.highstreetcapital.com/news/high-street-capital-invests-in-all-about-concrete/</t>
        </is>
      </c>
      <c r="X96" s="12" t="inlineStr">
        <is>
          <t>https://www.linkedin.com/company/all-about-concrete-llc/</t>
        </is>
      </c>
      <c r="Y96" s="12" t="inlineStr">
        <is>
          <t>https://allaboutconcretellc.net/</t>
        </is>
      </c>
      <c r="Z96" s="12" t="inlineStr"/>
      <c r="AA96" s="12" t="inlineStr">
        <is>
          <t>(281) 370-4470</t>
        </is>
      </c>
      <c r="AB96" s="12" t="inlineStr">
        <is>
          <t>Main office, Tomball</t>
        </is>
      </c>
      <c r="AC96" s="12" t="inlineStr">
        <is>
          <t>https://allaboutconcretellc.net/partner-with-us/</t>
        </is>
      </c>
      <c r="AD96" s="12" t="inlineStr"/>
      <c r="AE96" s="12" t="inlineStr"/>
    </row>
    <row r="97">
      <c r="A97" s="6" t="inlineStr">
        <is>
          <t>Don Edwards</t>
        </is>
      </c>
      <c r="B97" s="6" t="inlineStr">
        <is>
          <t>All About Concrete LLC</t>
        </is>
      </c>
      <c r="C97" s="6" t="inlineStr">
        <is>
          <t>Chief Operating Officer</t>
        </is>
      </c>
      <c r="D97" s="7" t="inlineStr">
        <is>
          <t>Contractors and plants</t>
        </is>
      </c>
      <c r="E97" s="8" t="n">
        <v>2</v>
      </c>
      <c r="F97" s="6" t="inlineStr">
        <is>
          <t>Printer buyer</t>
        </is>
      </c>
      <c r="G97" s="6" t="inlineStr">
        <is>
          <t>Residential concrete contractor</t>
        </is>
      </c>
      <c r="H97" s="6" t="inlineStr">
        <is>
          <t>Tomball, serving Dallas-Fort Worth, Houston, Austin and San Antonio</t>
        </is>
      </c>
      <c r="I97" s="6" t="inlineStr">
        <is>
          <t>Production-builder foundations, DFW served from Tomball</t>
        </is>
      </c>
      <c r="J97" s="8" t="inlineStr">
        <is>
          <t>Yes</t>
        </is>
      </c>
      <c r="K97" s="9" t="inlineStr">
        <is>
          <t>Same foundation and flatwork product, repeated for production builders.</t>
        </is>
      </c>
      <c r="L97" s="8" t="inlineStr">
        <is>
          <t>Partly</t>
        </is>
      </c>
      <c r="M97" s="9" t="inlineStr">
        <is>
          <t>No published slab count.</t>
        </is>
      </c>
      <c r="N97" s="8" t="inlineStr">
        <is>
          <t>No</t>
        </is>
      </c>
      <c r="O97" s="9" t="inlineStr">
        <is>
          <t>Conventional foundations and flatwork.</t>
        </is>
      </c>
      <c r="P97" s="10" t="inlineStr"/>
      <c r="Q97" s="6" t="inlineStr"/>
      <c r="R97" s="11">
        <f>IF(P97="","ADD LINKEDIN","ok")</f>
        <v/>
      </c>
      <c r="S97" s="6" t="inlineStr">
        <is>
          <t>https://allaboutconcretellc.net/</t>
        </is>
      </c>
      <c r="T97" s="9" t="inlineStr">
        <is>
          <t>Pours foundations, paving and streets for residential communities. High Street Capital announced an investment in August 2026.</t>
        </is>
      </c>
      <c r="U97" s="6" t="inlineStr"/>
      <c r="V97" s="9" t="inlineStr">
        <is>
          <t>Same announcement. Stays on as COO.</t>
        </is>
      </c>
      <c r="W97" s="6" t="inlineStr">
        <is>
          <t>https://www.highstreetcapital.com/news/high-street-capital-invests-in-all-about-concrete/</t>
        </is>
      </c>
      <c r="X97" s="6" t="inlineStr">
        <is>
          <t>https://www.linkedin.com/company/all-about-concrete-llc/</t>
        </is>
      </c>
      <c r="Y97" s="6" t="inlineStr">
        <is>
          <t>https://allaboutconcretellc.net/</t>
        </is>
      </c>
      <c r="Z97" s="6" t="inlineStr"/>
      <c r="AA97" s="6" t="inlineStr">
        <is>
          <t>(281) 370-4470</t>
        </is>
      </c>
      <c r="AB97" s="6" t="inlineStr">
        <is>
          <t>Main office, Tomball</t>
        </is>
      </c>
      <c r="AC97" s="6" t="inlineStr">
        <is>
          <t>https://allaboutconcretellc.net/partner-with-us/</t>
        </is>
      </c>
      <c r="AD97" s="6" t="inlineStr"/>
      <c r="AE97" s="6" t="inlineStr"/>
    </row>
    <row r="98">
      <c r="A98" s="12" t="inlineStr">
        <is>
          <t>Sergio</t>
        </is>
      </c>
      <c r="B98" s="12" t="inlineStr">
        <is>
          <t>Black Knight Construction</t>
        </is>
      </c>
      <c r="C98" s="12" t="inlineStr">
        <is>
          <t>Primary contact</t>
        </is>
      </c>
      <c r="D98" s="13" t="inlineStr">
        <is>
          <t>Contractors and plants</t>
        </is>
      </c>
      <c r="E98" s="14" t="n">
        <v>2</v>
      </c>
      <c r="F98" s="12" t="inlineStr">
        <is>
          <t>Printer buyer</t>
        </is>
      </c>
      <c r="G98" s="12" t="inlineStr">
        <is>
          <t>Masonry and stucco contractor</t>
        </is>
      </c>
      <c r="H98" s="12" t="inlineStr">
        <is>
          <t>Dallas-Fort Worth Metroplex</t>
        </is>
      </c>
      <c r="I98" s="12" t="inlineStr">
        <is>
          <t>DFW commercial masonry and stucco contractor since 2006</t>
        </is>
      </c>
      <c r="J98" s="14" t="inlineStr">
        <is>
          <t>Yes</t>
        </is>
      </c>
      <c r="K98" s="15" t="inlineStr">
        <is>
          <t>Masonry, stucco and EIFS walls repeated across DFW commercial jobs.</t>
        </is>
      </c>
      <c r="L98" s="14" t="inlineStr">
        <is>
          <t>Partly</t>
        </is>
      </c>
      <c r="M98" s="15" t="inlineStr">
        <is>
          <t>Local commercial specialty firm. No published volume.</t>
        </is>
      </c>
      <c r="N98" s="14" t="inlineStr">
        <is>
          <t>No</t>
        </is>
      </c>
      <c r="O98" s="15" t="inlineStr">
        <is>
          <t>Nothing on record.</t>
        </is>
      </c>
      <c r="P98" s="10" t="inlineStr"/>
      <c r="Q98" s="12" t="inlineStr"/>
      <c r="R98" s="16">
        <f>IF(P98="","ADD LINKEDIN","ok")</f>
        <v/>
      </c>
      <c r="S98" s="12" t="inlineStr">
        <is>
          <t>https://www.blackknightconstruction.com/</t>
        </is>
      </c>
      <c r="T98" s="15" t="inlineStr">
        <is>
          <t>Lays brick, block, stone and stucco walls on DFW commercial and retail jobs.</t>
        </is>
      </c>
      <c r="U98" s="12" t="inlineStr"/>
      <c r="V98" s="15" t="inlineStr">
        <is>
          <t>Firm's homepage, contact email and testimonial. No surname published.</t>
        </is>
      </c>
      <c r="W98" s="12" t="inlineStr">
        <is>
          <t>https://www.blackknightconstruction.com/</t>
        </is>
      </c>
      <c r="X98" s="12" t="inlineStr"/>
      <c r="Y98" s="12" t="inlineStr">
        <is>
          <t>https://www.blackknightconstruction.com/</t>
        </is>
      </c>
      <c r="Z98" s="12" t="inlineStr"/>
      <c r="AA98" s="12" t="inlineStr">
        <is>
          <t>(214) 566-2009</t>
        </is>
      </c>
      <c r="AB98" s="12" t="inlineStr">
        <is>
          <t>Main office</t>
        </is>
      </c>
      <c r="AC98" s="12" t="inlineStr">
        <is>
          <t>https://www.blackknightconstruction.com/</t>
        </is>
      </c>
      <c r="AD98" s="12" t="inlineStr"/>
      <c r="AE98" s="12" t="inlineStr"/>
    </row>
    <row r="99">
      <c r="A99" s="6" t="inlineStr">
        <is>
          <t>Bill Schultheis</t>
        </is>
      </c>
      <c r="B99" s="6" t="inlineStr">
        <is>
          <t>Brick &amp; Stone Master</t>
        </is>
      </c>
      <c r="C99" s="6" t="inlineStr">
        <is>
          <t>Owner</t>
        </is>
      </c>
      <c r="D99" s="7" t="inlineStr">
        <is>
          <t>Contractors and plants</t>
        </is>
      </c>
      <c r="E99" s="8" t="n">
        <v>2</v>
      </c>
      <c r="F99" s="6" t="inlineStr">
        <is>
          <t>Printer buyer</t>
        </is>
      </c>
      <c r="G99" s="6" t="inlineStr">
        <is>
          <t>Residential masonry contractor</t>
        </is>
      </c>
      <c r="H99" s="6" t="inlineStr">
        <is>
          <t>Roanoke, working across DFW</t>
        </is>
      </c>
      <c r="I99" s="6" t="inlineStr">
        <is>
          <t>Roanoke residential masonry since 1997</t>
        </is>
      </c>
      <c r="J99" s="8" t="inlineStr">
        <is>
          <t>Yes</t>
        </is>
      </c>
      <c r="K99" s="9" t="inlineStr">
        <is>
          <t>Brick and stone masonry repeated across DFW residential jobs.</t>
        </is>
      </c>
      <c r="L99" s="8" t="inlineStr">
        <is>
          <t>Partly</t>
        </is>
      </c>
      <c r="M99" s="9" t="inlineStr">
        <is>
          <t>No production-builder elevation count published.</t>
        </is>
      </c>
      <c r="N99" s="8" t="inlineStr">
        <is>
          <t>No</t>
        </is>
      </c>
      <c r="O99" s="9" t="inlineStr">
        <is>
          <t>Nothing on record.</t>
        </is>
      </c>
      <c r="P99" s="10" t="inlineStr"/>
      <c r="Q99" s="6" t="inlineStr"/>
      <c r="R99" s="11">
        <f>IF(P99="","ADD LINKEDIN","ok")</f>
        <v/>
      </c>
      <c r="S99" s="6" t="inlineStr">
        <is>
          <t>https://www.brickandstonemaster.com/</t>
        </is>
      </c>
      <c r="T99" s="9" t="inlineStr">
        <is>
          <t>Lays brick and stone for DFW homeowners, with repair, stucco and hardscape. Claims over 10,000 homeowners served.</t>
        </is>
      </c>
      <c r="U99" s="6" t="inlineStr">
        <is>
          <t>YES</t>
        </is>
      </c>
      <c r="V99" s="9" t="inlineStr">
        <is>
          <t>Firm's blog. In masonry since 1983.</t>
        </is>
      </c>
      <c r="W99" s="6" t="inlineStr">
        <is>
          <t>https://www.brickandstonemaster.com/blog/crack-repair-vs-full-brick-restoration-entrance-sign</t>
        </is>
      </c>
      <c r="X99" s="6" t="inlineStr">
        <is>
          <t>https://www.linkedin.com/company/brick-and-stone-master/</t>
        </is>
      </c>
      <c r="Y99" s="6" t="inlineStr">
        <is>
          <t>https://www.brickandstonemaster.com/aboutus</t>
        </is>
      </c>
      <c r="Z99" s="6" t="inlineStr"/>
      <c r="AA99" s="6" t="inlineStr">
        <is>
          <t>(817) 485-7200</t>
        </is>
      </c>
      <c r="AB99" s="6" t="inlineStr">
        <is>
          <t>Main office, Roanoke</t>
        </is>
      </c>
      <c r="AC99" s="6" t="inlineStr">
        <is>
          <t>https://www.brickandstonemaster.com/home/about</t>
        </is>
      </c>
      <c r="AD99" s="6" t="inlineStr"/>
      <c r="AE99" s="6" t="inlineStr"/>
    </row>
    <row r="100">
      <c r="A100" s="12" t="inlineStr">
        <is>
          <t>Jacob Andrews</t>
        </is>
      </c>
      <c r="B100" s="12" t="inlineStr">
        <is>
          <t>Brick Experts</t>
        </is>
      </c>
      <c r="C100" s="12" t="inlineStr">
        <is>
          <t>Owner &amp; CEO</t>
        </is>
      </c>
      <c r="D100" s="13" t="inlineStr">
        <is>
          <t>Contractors and plants</t>
        </is>
      </c>
      <c r="E100" s="14" t="n">
        <v>2</v>
      </c>
      <c r="F100" s="12" t="inlineStr">
        <is>
          <t>Printer buyer</t>
        </is>
      </c>
      <c r="G100" s="12" t="inlineStr">
        <is>
          <t>Masonry contractor</t>
        </is>
      </c>
      <c r="H100" s="12" t="inlineStr">
        <is>
          <t>Grapevine, working across Dallas-Fort Worth</t>
        </is>
      </c>
      <c r="I100" s="12" t="inlineStr">
        <is>
          <t>Grapevine masonry contractor, founded 2015 by father and son</t>
        </is>
      </c>
      <c r="J100" s="14" t="inlineStr">
        <is>
          <t>Yes</t>
        </is>
      </c>
      <c r="K100" s="15" t="inlineStr">
        <is>
          <t>Brick, concrete and stone walls repeated across DFW jobs.</t>
        </is>
      </c>
      <c r="L100" s="14" t="inlineStr">
        <is>
          <t>Partly</t>
        </is>
      </c>
      <c r="M100" s="15" t="inlineStr">
        <is>
          <t>Local family firm. No published volume.</t>
        </is>
      </c>
      <c r="N100" s="14" t="inlineStr">
        <is>
          <t>No</t>
        </is>
      </c>
      <c r="O100" s="15" t="inlineStr">
        <is>
          <t>Nothing on record.</t>
        </is>
      </c>
      <c r="P100" s="10" t="inlineStr"/>
      <c r="Q100" s="12" t="inlineStr"/>
      <c r="R100" s="16">
        <f>IF(P100="","ADD LINKEDIN","ok")</f>
        <v/>
      </c>
      <c r="S100" s="12" t="inlineStr">
        <is>
          <t>https://brickexpertsdfw.net/</t>
        </is>
      </c>
      <c r="T100" s="15" t="inlineStr">
        <is>
          <t>Builds new masonry walls and restores old ones for HOAs, property managers and general contractors.</t>
        </is>
      </c>
      <c r="U100" s="12" t="inlineStr">
        <is>
          <t>YES</t>
        </is>
      </c>
      <c r="V100" s="15" t="inlineStr">
        <is>
          <t>Owner &amp; CEO section. Attended Ouachita Baptist University.</t>
        </is>
      </c>
      <c r="W100" s="12" t="inlineStr">
        <is>
          <t>https://brickexpertsdfw.net/</t>
        </is>
      </c>
      <c r="X100" s="12" t="inlineStr">
        <is>
          <t>https://www.linkedin.com/company/brick-experts-dfw/</t>
        </is>
      </c>
      <c r="Y100" s="12" t="inlineStr">
        <is>
          <t>https://brickexpertsdfw.net/</t>
        </is>
      </c>
      <c r="Z100" s="12" t="inlineStr"/>
      <c r="AA100" s="12" t="inlineStr">
        <is>
          <t>(817) 901-0236</t>
        </is>
      </c>
      <c r="AB100" s="12" t="inlineStr">
        <is>
          <t>Main office, Grapevine</t>
        </is>
      </c>
      <c r="AC100" s="12" t="inlineStr">
        <is>
          <t>https://brickexpertsdfw.net/</t>
        </is>
      </c>
      <c r="AD100" s="12" t="inlineStr"/>
      <c r="AE100" s="12" t="inlineStr"/>
    </row>
    <row r="101">
      <c r="A101" s="6" t="inlineStr">
        <is>
          <t>David Andrews</t>
        </is>
      </c>
      <c r="B101" s="6" t="inlineStr">
        <is>
          <t>Brick Experts</t>
        </is>
      </c>
      <c r="C101" s="6" t="inlineStr">
        <is>
          <t>Co-Founder</t>
        </is>
      </c>
      <c r="D101" s="7" t="inlineStr">
        <is>
          <t>Contractors and plants</t>
        </is>
      </c>
      <c r="E101" s="8" t="n">
        <v>2</v>
      </c>
      <c r="F101" s="6" t="inlineStr">
        <is>
          <t>Printer buyer</t>
        </is>
      </c>
      <c r="G101" s="6" t="inlineStr">
        <is>
          <t>Masonry contractor</t>
        </is>
      </c>
      <c r="H101" s="6" t="inlineStr">
        <is>
          <t>Grapevine, working across Dallas-Fort Worth</t>
        </is>
      </c>
      <c r="I101" s="6" t="inlineStr">
        <is>
          <t>Grapevine masonry contractor, founded 2015 by father and son</t>
        </is>
      </c>
      <c r="J101" s="8" t="inlineStr">
        <is>
          <t>Yes</t>
        </is>
      </c>
      <c r="K101" s="9" t="inlineStr">
        <is>
          <t>Brick, concrete and stone walls repeated across DFW jobs.</t>
        </is>
      </c>
      <c r="L101" s="8" t="inlineStr">
        <is>
          <t>Partly</t>
        </is>
      </c>
      <c r="M101" s="9" t="inlineStr">
        <is>
          <t>Local family firm. No published volume.</t>
        </is>
      </c>
      <c r="N101" s="8" t="inlineStr">
        <is>
          <t>No</t>
        </is>
      </c>
      <c r="O101" s="9" t="inlineStr">
        <is>
          <t>Nothing on record.</t>
        </is>
      </c>
      <c r="P101" s="10" t="inlineStr"/>
      <c r="Q101" s="6" t="inlineStr"/>
      <c r="R101" s="11">
        <f>IF(P101="","ADD LINKEDIN","ok")</f>
        <v/>
      </c>
      <c r="S101" s="6" t="inlineStr">
        <is>
          <t>https://brickexpertsdfw.net/</t>
        </is>
      </c>
      <c r="T101" s="9" t="inlineStr">
        <is>
          <t>Builds new masonry walls and restores old ones for HOAs, property managers and general contractors.</t>
        </is>
      </c>
      <c r="U101" s="6" t="inlineStr"/>
      <c r="V101" s="9" t="inlineStr">
        <is>
          <t>Co-Founder section. Master brick mason for 30 years.</t>
        </is>
      </c>
      <c r="W101" s="6" t="inlineStr">
        <is>
          <t>https://brickexpertsdfw.net/</t>
        </is>
      </c>
      <c r="X101" s="6" t="inlineStr">
        <is>
          <t>https://www.linkedin.com/company/brick-experts-dfw/</t>
        </is>
      </c>
      <c r="Y101" s="6" t="inlineStr">
        <is>
          <t>https://brickexpertsdfw.net/</t>
        </is>
      </c>
      <c r="Z101" s="6" t="inlineStr"/>
      <c r="AA101" s="6" t="inlineStr">
        <is>
          <t>(817) 901-0236</t>
        </is>
      </c>
      <c r="AB101" s="6" t="inlineStr">
        <is>
          <t>Main office, Grapevine</t>
        </is>
      </c>
      <c r="AC101" s="6" t="inlineStr">
        <is>
          <t>https://brickexpertsdfw.net/</t>
        </is>
      </c>
      <c r="AD101" s="6" t="inlineStr"/>
      <c r="AE101" s="6" t="inlineStr"/>
    </row>
    <row r="102">
      <c r="A102" s="12" t="inlineStr">
        <is>
          <t>Josh Lavelle</t>
        </is>
      </c>
      <c r="B102" s="12" t="inlineStr">
        <is>
          <t>Cardinal Foundation Services</t>
        </is>
      </c>
      <c r="C102" s="12" t="inlineStr">
        <is>
          <t>Owner</t>
        </is>
      </c>
      <c r="D102" s="13" t="inlineStr">
        <is>
          <t>Contractors and plants</t>
        </is>
      </c>
      <c r="E102" s="14" t="n">
        <v>2</v>
      </c>
      <c r="F102" s="12" t="inlineStr">
        <is>
          <t>Printer buyer</t>
        </is>
      </c>
      <c r="G102" s="12" t="inlineStr">
        <is>
          <t>Foundation contractor</t>
        </is>
      </c>
      <c r="H102" s="12" t="inlineStr">
        <is>
          <t>Fort Worth, serving DFW builders, with Houston also listed</t>
        </is>
      </c>
      <c r="I102" s="12" t="inlineStr">
        <is>
          <t>DFW slab and flatwork contractor for builders</t>
        </is>
      </c>
      <c r="J102" s="14" t="inlineStr">
        <is>
          <t>Yes</t>
        </is>
      </c>
      <c r="K102" s="15" t="inlineStr">
        <is>
          <t>Same slab and flatwork product repeated for DFW builders and homeowners.</t>
        </is>
      </c>
      <c r="L102" s="14" t="inlineStr">
        <is>
          <t>Partly</t>
        </is>
      </c>
      <c r="M102" s="15" t="inlineStr">
        <is>
          <t>No annual slab count published.</t>
        </is>
      </c>
      <c r="N102" s="14" t="inlineStr">
        <is>
          <t>No</t>
        </is>
      </c>
      <c r="O102" s="15" t="inlineStr">
        <is>
          <t>Nothing on record.</t>
        </is>
      </c>
      <c r="P102" s="10" t="inlineStr"/>
      <c r="Q102" s="12" t="inlineStr"/>
      <c r="R102" s="16">
        <f>IF(P102="","ADD LINKEDIN","ok")</f>
        <v/>
      </c>
      <c r="S102" s="12" t="inlineStr">
        <is>
          <t>https://cardinalfoundationservices.com/</t>
        </is>
      </c>
      <c r="T102" s="15" t="inlineStr">
        <is>
          <t>Pours slabs and flatwork for DFW builders and homeowners. Owned by Josh Lavelle and Daneel Nortier, PE.</t>
        </is>
      </c>
      <c r="U102" s="12" t="inlineStr">
        <is>
          <t>YES</t>
        </is>
      </c>
      <c r="V102" s="15" t="inlineStr">
        <is>
          <t>Firm's site.</t>
        </is>
      </c>
      <c r="W102" s="12" t="inlineStr">
        <is>
          <t>https://cardinalfoundationservices.com/</t>
        </is>
      </c>
      <c r="X102" s="12" t="inlineStr">
        <is>
          <t>https://www.linkedin.com/company/cardinal-foundation-services/</t>
        </is>
      </c>
      <c r="Y102" s="12" t="inlineStr">
        <is>
          <t>https://cardinalfoundationservices.com/</t>
        </is>
      </c>
      <c r="Z102" s="12" t="inlineStr"/>
      <c r="AA102" s="12" t="inlineStr">
        <is>
          <t>(972) 656-8251</t>
        </is>
      </c>
      <c r="AB102" s="12" t="inlineStr">
        <is>
          <t>Main line</t>
        </is>
      </c>
      <c r="AC102" s="12" t="inlineStr">
        <is>
          <t>https://cardinalfoundationservices.com/new-construction/concrete-flatwork/</t>
        </is>
      </c>
      <c r="AD102" s="12" t="inlineStr"/>
      <c r="AE102" s="12" t="inlineStr"/>
    </row>
    <row r="103">
      <c r="A103" s="6" t="inlineStr">
        <is>
          <t>Daneel Nortier</t>
        </is>
      </c>
      <c r="B103" s="6" t="inlineStr">
        <is>
          <t>Cardinal Foundation Services</t>
        </is>
      </c>
      <c r="C103" s="6" t="inlineStr">
        <is>
          <t>Owner and Principal Engineer</t>
        </is>
      </c>
      <c r="D103" s="7" t="inlineStr">
        <is>
          <t>Contractors and plants</t>
        </is>
      </c>
      <c r="E103" s="8" t="n">
        <v>2</v>
      </c>
      <c r="F103" s="6" t="inlineStr">
        <is>
          <t>Printer buyer</t>
        </is>
      </c>
      <c r="G103" s="6" t="inlineStr">
        <is>
          <t>Foundation contractor</t>
        </is>
      </c>
      <c r="H103" s="6" t="inlineStr">
        <is>
          <t>Fort Worth, serving DFW builders, with Houston also listed</t>
        </is>
      </c>
      <c r="I103" s="6" t="inlineStr">
        <is>
          <t>DFW slab and flatwork contractor for builders</t>
        </is>
      </c>
      <c r="J103" s="8" t="inlineStr">
        <is>
          <t>Yes</t>
        </is>
      </c>
      <c r="K103" s="9" t="inlineStr">
        <is>
          <t>Same slab and flatwork product repeated for DFW builders and homeowners.</t>
        </is>
      </c>
      <c r="L103" s="8" t="inlineStr">
        <is>
          <t>Partly</t>
        </is>
      </c>
      <c r="M103" s="9" t="inlineStr">
        <is>
          <t>No annual slab count published.</t>
        </is>
      </c>
      <c r="N103" s="8" t="inlineStr">
        <is>
          <t>No</t>
        </is>
      </c>
      <c r="O103" s="9" t="inlineStr">
        <is>
          <t>Nothing on record.</t>
        </is>
      </c>
      <c r="P103" s="10" t="inlineStr"/>
      <c r="Q103" s="6" t="inlineStr"/>
      <c r="R103" s="11">
        <f>IF(P103="","ADD LINKEDIN","ok")</f>
        <v/>
      </c>
      <c r="S103" s="6" t="inlineStr">
        <is>
          <t>https://cardinalfoundationservices.com/</t>
        </is>
      </c>
      <c r="T103" s="9" t="inlineStr">
        <is>
          <t>Pours slabs and flatwork for DFW builders and homeowners. Owned by Josh Lavelle and Daneel Nortier, PE.</t>
        </is>
      </c>
      <c r="U103" s="6" t="inlineStr">
        <is>
          <t>YES</t>
        </is>
      </c>
      <c r="V103" s="9" t="inlineStr">
        <is>
          <t>Firm's site. PE since 2012.</t>
        </is>
      </c>
      <c r="W103" s="6" t="inlineStr">
        <is>
          <t>https://cardinalfoundationservices.com/</t>
        </is>
      </c>
      <c r="X103" s="6" t="inlineStr">
        <is>
          <t>https://www.linkedin.com/company/cardinal-foundation-services/</t>
        </is>
      </c>
      <c r="Y103" s="6" t="inlineStr">
        <is>
          <t>https://cardinalfoundationservices.com/</t>
        </is>
      </c>
      <c r="Z103" s="6" t="inlineStr"/>
      <c r="AA103" s="6" t="inlineStr">
        <is>
          <t>(972) 656-8251</t>
        </is>
      </c>
      <c r="AB103" s="6" t="inlineStr">
        <is>
          <t>Main line</t>
        </is>
      </c>
      <c r="AC103" s="6" t="inlineStr">
        <is>
          <t>https://cardinalfoundationservices.com/new-construction/concrete-flatwork/</t>
        </is>
      </c>
      <c r="AD103" s="6" t="inlineStr"/>
      <c r="AE103" s="6" t="inlineStr"/>
    </row>
    <row r="104">
      <c r="A104" s="12" t="inlineStr">
        <is>
          <t>no contact identified</t>
        </is>
      </c>
      <c r="B104" s="12" t="inlineStr">
        <is>
          <t>Correa Masonry &amp; Stucco LLC</t>
        </is>
      </c>
      <c r="C104" s="12" t="inlineStr"/>
      <c r="D104" s="13" t="inlineStr">
        <is>
          <t>Contractors and plants</t>
        </is>
      </c>
      <c r="E104" s="14" t="n">
        <v>2</v>
      </c>
      <c r="F104" s="12" t="inlineStr">
        <is>
          <t>Printer buyer</t>
        </is>
      </c>
      <c r="G104" s="12" t="inlineStr">
        <is>
          <t>Masonry and stucco contractor</t>
        </is>
      </c>
      <c r="H104" s="12" t="inlineStr">
        <is>
          <t>Dallas, with residential, multifamily and commercial work across DFW</t>
        </is>
      </c>
      <c r="I104" s="12" t="inlineStr">
        <is>
          <t>Dallas masonry and stucco contractor since 2010</t>
        </is>
      </c>
      <c r="J104" s="14" t="inlineStr">
        <is>
          <t>Yes</t>
        </is>
      </c>
      <c r="K104" s="15" t="inlineStr">
        <is>
          <t>Masonry and stucco repeated across DFW residential and multifamily jobs.</t>
        </is>
      </c>
      <c r="L104" s="14" t="inlineStr">
        <is>
          <t>Partly</t>
        </is>
      </c>
      <c r="M104" s="15" t="inlineStr">
        <is>
          <t>Local specialty contractor, some multifamily. No annual square footage published.</t>
        </is>
      </c>
      <c r="N104" s="14" t="inlineStr">
        <is>
          <t>No</t>
        </is>
      </c>
      <c r="O104" s="15" t="inlineStr">
        <is>
          <t>Nothing on record.</t>
        </is>
      </c>
      <c r="P104" s="10" t="inlineStr"/>
      <c r="Q104" s="12" t="inlineStr"/>
      <c r="R104" s="16">
        <f>IF(P104="","ADD LINKEDIN","ok")</f>
        <v/>
      </c>
      <c r="S104" s="12" t="inlineStr">
        <is>
          <t>https://correamasonryllc.com/</t>
        </is>
      </c>
      <c r="T104" s="15" t="inlineStr">
        <is>
          <t>Lays brick, stone and CMU and applies stucco for residential, multifamily and commercial builders.</t>
        </is>
      </c>
      <c r="U104" s="12" t="inlineStr"/>
      <c r="V104" s="15" t="inlineStr"/>
      <c r="W104" s="12" t="inlineStr"/>
      <c r="X104" s="12" t="inlineStr">
        <is>
          <t>https://www.linkedin.com/company/correamasonry/</t>
        </is>
      </c>
      <c r="Y104" s="12" t="inlineStr"/>
      <c r="Z104" s="12" t="inlineStr"/>
      <c r="AA104" s="12" t="inlineStr">
        <is>
          <t>(469) 854-3445</t>
        </is>
      </c>
      <c r="AB104" s="12" t="inlineStr">
        <is>
          <t>Main office, Dallas</t>
        </is>
      </c>
      <c r="AC104" s="12" t="inlineStr">
        <is>
          <t>https://correamasonryllc.com/</t>
        </is>
      </c>
      <c r="AD104" s="12" t="inlineStr"/>
      <c r="AE104" s="12" t="inlineStr"/>
    </row>
    <row r="105">
      <c r="A105" s="6" t="inlineStr">
        <is>
          <t>no contact identified</t>
        </is>
      </c>
      <c r="B105" s="6" t="inlineStr">
        <is>
          <t>Dayd Masonry</t>
        </is>
      </c>
      <c r="C105" s="6" t="inlineStr"/>
      <c r="D105" s="7" t="inlineStr">
        <is>
          <t>Contractors and plants</t>
        </is>
      </c>
      <c r="E105" s="8" t="n">
        <v>2</v>
      </c>
      <c r="F105" s="6" t="inlineStr">
        <is>
          <t>Printer buyer</t>
        </is>
      </c>
      <c r="G105" s="6" t="inlineStr">
        <is>
          <t>Masonry and stucco contractor</t>
        </is>
      </c>
      <c r="H105" s="6" t="inlineStr">
        <is>
          <t>Dallas-Fort Worth and North Texas</t>
        </is>
      </c>
      <c r="I105" s="6" t="inlineStr">
        <is>
          <t>Masonry and stucco subcontractor to DFW builders</t>
        </is>
      </c>
      <c r="J105" s="8" t="inlineStr">
        <is>
          <t>Yes</t>
        </is>
      </c>
      <c r="K105" s="9" t="inlineStr">
        <is>
          <t>Repeats the same wall types across DFW.</t>
        </is>
      </c>
      <c r="L105" s="8" t="inlineStr">
        <is>
          <t>Partly</t>
        </is>
      </c>
      <c r="M105" s="9" t="inlineStr">
        <is>
          <t>Local specialty trade. No published job count.</t>
        </is>
      </c>
      <c r="N105" s="8" t="inlineStr">
        <is>
          <t>No</t>
        </is>
      </c>
      <c r="O105" s="9" t="inlineStr">
        <is>
          <t>Nothing on record. Conventional masonry.</t>
        </is>
      </c>
      <c r="P105" s="10" t="inlineStr"/>
      <c r="Q105" s="6" t="inlineStr"/>
      <c r="R105" s="11">
        <f>IF(P105="","ADD LINKEDIN","ok")</f>
        <v/>
      </c>
      <c r="S105" s="6" t="inlineStr">
        <is>
          <t>https://daydmasonry.com/</t>
        </is>
      </c>
      <c r="T105" s="9" t="inlineStr">
        <is>
          <t>Builds brick, stone, block and precast panel enclosures for builders and homeowners across DFW.</t>
        </is>
      </c>
      <c r="U105" s="6" t="inlineStr"/>
      <c r="V105" s="9" t="inlineStr"/>
      <c r="W105" s="6" t="inlineStr"/>
      <c r="X105" s="6" t="inlineStr"/>
      <c r="Y105" s="6" t="inlineStr">
        <is>
          <t>https://daydmasonry.com/</t>
        </is>
      </c>
      <c r="Z105" s="6" t="inlineStr"/>
      <c r="AA105" s="6" t="inlineStr">
        <is>
          <t>(817) 713-0046</t>
        </is>
      </c>
      <c r="AB105" s="6" t="inlineStr">
        <is>
          <t>North Texas office</t>
        </is>
      </c>
      <c r="AC105" s="6" t="inlineStr">
        <is>
          <t>https://daydmasonry.com/</t>
        </is>
      </c>
      <c r="AD105" s="6" t="inlineStr"/>
      <c r="AE105" s="6" t="inlineStr"/>
    </row>
    <row r="106">
      <c r="A106" s="12" t="inlineStr">
        <is>
          <t>Efren De Hoyos</t>
        </is>
      </c>
      <c r="B106" s="12" t="inlineStr">
        <is>
          <t>Efren Masonry</t>
        </is>
      </c>
      <c r="C106" s="12" t="inlineStr">
        <is>
          <t>Owner</t>
        </is>
      </c>
      <c r="D106" s="13" t="inlineStr">
        <is>
          <t>Contractors and plants</t>
        </is>
      </c>
      <c r="E106" s="14" t="n">
        <v>2</v>
      </c>
      <c r="F106" s="12" t="inlineStr">
        <is>
          <t>Printer buyer</t>
        </is>
      </c>
      <c r="G106" s="12" t="inlineStr">
        <is>
          <t>Masonry contractor</t>
        </is>
      </c>
      <c r="H106" s="12" t="inlineStr">
        <is>
          <t>Dallas County and nearby cities</t>
        </is>
      </c>
      <c r="I106" s="12" t="inlineStr">
        <is>
          <t>Dallas family masonry firm, new-home construction</t>
        </is>
      </c>
      <c r="J106" s="14" t="inlineStr">
        <is>
          <t>Yes</t>
        </is>
      </c>
      <c r="K106" s="15" t="inlineStr">
        <is>
          <t>Repeated brick and stone work on new homes.</t>
        </is>
      </c>
      <c r="L106" s="14" t="inlineStr">
        <is>
          <t>Partly</t>
        </is>
      </c>
      <c r="M106" s="15" t="inlineStr">
        <is>
          <t>Local family firm. No published annual volume.</t>
        </is>
      </c>
      <c r="N106" s="14" t="inlineStr">
        <is>
          <t>No</t>
        </is>
      </c>
      <c r="O106" s="15" t="inlineStr">
        <is>
          <t>Nothing on record.</t>
        </is>
      </c>
      <c r="P106" s="6" t="inlineStr">
        <is>
          <t>https://www.linkedin.com/in/efren-de-hoyos-a26434234/</t>
        </is>
      </c>
      <c r="Q106" s="12" t="inlineStr"/>
      <c r="R106" s="16">
        <f>IF(P106="","ADD LINKEDIN","ok")</f>
        <v/>
      </c>
      <c r="S106" s="12" t="inlineStr">
        <is>
          <t>https://www.efrenmasonry.com/</t>
        </is>
      </c>
      <c r="T106" s="15" t="inlineStr">
        <is>
          <t>Lays brick and stone on new homes in Dallas County and nearby cities.</t>
        </is>
      </c>
      <c r="U106" s="12" t="inlineStr">
        <is>
          <t>YES</t>
        </is>
      </c>
      <c r="V106" s="15" t="inlineStr">
        <is>
          <t>Indexed title: Efren De Hoyos, Efren Masonry. Firm's Google Sites page, same phone and email as efrenmasonry.com.</t>
        </is>
      </c>
      <c r="W106" s="12" t="inlineStr">
        <is>
          <t>https://sites.google.com/view/efrendehoyos/</t>
        </is>
      </c>
      <c r="X106" s="12" t="inlineStr"/>
      <c r="Y106" s="12" t="inlineStr">
        <is>
          <t>https://sites.google.com/view/efrendehoyos/</t>
        </is>
      </c>
      <c r="Z106" s="12" t="inlineStr"/>
      <c r="AA106" s="12" t="inlineStr">
        <is>
          <t>(214) 278-4005</t>
        </is>
      </c>
      <c r="AB106" s="12" t="inlineStr">
        <is>
          <t>Main line</t>
        </is>
      </c>
      <c r="AC106" s="12" t="inlineStr">
        <is>
          <t>https://www.efrenmasonry.com/</t>
        </is>
      </c>
      <c r="AD106" s="12" t="inlineStr"/>
      <c r="AE106" s="12" t="inlineStr"/>
    </row>
    <row r="107">
      <c r="A107" s="6" t="inlineStr">
        <is>
          <t>David Grzesiak</t>
        </is>
      </c>
      <c r="B107" s="6" t="inlineStr">
        <is>
          <t>Fenimore-Blythe Commercial Masonry</t>
        </is>
      </c>
      <c r="C107" s="6" t="inlineStr">
        <is>
          <t>President and Preconstruction Manager</t>
        </is>
      </c>
      <c r="D107" s="7" t="inlineStr">
        <is>
          <t>Contractors and plants</t>
        </is>
      </c>
      <c r="E107" s="8" t="n">
        <v>2</v>
      </c>
      <c r="F107" s="6" t="inlineStr">
        <is>
          <t>Printer buyer</t>
        </is>
      </c>
      <c r="G107" s="6" t="inlineStr">
        <is>
          <t>Masonry contractor</t>
        </is>
      </c>
      <c r="H107" s="6" t="inlineStr">
        <is>
          <t>Fort Worth</t>
        </is>
      </c>
      <c r="I107" s="6" t="inlineStr">
        <is>
          <t>Fort Worth commercial masonry since 1945</t>
        </is>
      </c>
      <c r="J107" s="8" t="inlineStr">
        <is>
          <t>Yes</t>
        </is>
      </c>
      <c r="K107" s="9" t="inlineStr">
        <is>
          <t>Since 1945, CMU, brick veneer, stone and structural masonry repeated across DFW jobs.</t>
        </is>
      </c>
      <c r="L107" s="8" t="inlineStr">
        <is>
          <t>Partly</t>
        </is>
      </c>
      <c r="M107" s="9" t="inlineStr">
        <is>
          <t>Work leans commercial and institutional over production housing.</t>
        </is>
      </c>
      <c r="N107" s="8" t="inlineStr">
        <is>
          <t>No</t>
        </is>
      </c>
      <c r="O107" s="9" t="inlineStr">
        <is>
          <t>Nothing on record.</t>
        </is>
      </c>
      <c r="P107" s="10" t="inlineStr"/>
      <c r="Q107" s="6" t="inlineStr"/>
      <c r="R107" s="11">
        <f>IF(P107="","ADD LINKEDIN","ok")</f>
        <v/>
      </c>
      <c r="S107" s="6" t="inlineStr">
        <is>
          <t>https://www.fenimoreblythe.com/</t>
        </is>
      </c>
      <c r="T107" s="9" t="inlineStr">
        <is>
          <t>Lays structural CMU, brick veneer and stone, mostly on commercial and institutional jobs. David Grzesiak is President.</t>
        </is>
      </c>
      <c r="U107" s="6" t="inlineStr">
        <is>
          <t>YES</t>
        </is>
      </c>
      <c r="V107" s="9" t="inlineStr">
        <is>
          <t>Firm's team page.</t>
        </is>
      </c>
      <c r="W107" s="6" t="inlineStr">
        <is>
          <t>https://www.fenimoreblythe.com/team/</t>
        </is>
      </c>
      <c r="X107" s="6" t="inlineStr">
        <is>
          <t>https://www.linkedin.com/company/fenimore-blythe-commercial-masonry/</t>
        </is>
      </c>
      <c r="Y107" s="6" t="inlineStr">
        <is>
          <t>https://www.fenimoreblythe.com/team/</t>
        </is>
      </c>
      <c r="Z107" s="6" t="inlineStr"/>
      <c r="AA107" s="6" t="inlineStr">
        <is>
          <t>(817) 834-6301</t>
        </is>
      </c>
      <c r="AB107" s="6" t="inlineStr">
        <is>
          <t>Main office, Fort Worth</t>
        </is>
      </c>
      <c r="AC107" s="6" t="inlineStr">
        <is>
          <t>https://www.fenimoreblythe.com/contact/</t>
        </is>
      </c>
      <c r="AD107" s="6" t="inlineStr"/>
      <c r="AE107" s="6" t="inlineStr"/>
    </row>
    <row r="108">
      <c r="A108" s="12" t="inlineStr">
        <is>
          <t>Mark Grzesiak</t>
        </is>
      </c>
      <c r="B108" s="12" t="inlineStr">
        <is>
          <t>Fenimore-Blythe Commercial Masonry</t>
        </is>
      </c>
      <c r="C108" s="12" t="inlineStr">
        <is>
          <t>Chief Financial Officer</t>
        </is>
      </c>
      <c r="D108" s="13" t="inlineStr">
        <is>
          <t>Contractors and plants</t>
        </is>
      </c>
      <c r="E108" s="14" t="n">
        <v>2</v>
      </c>
      <c r="F108" s="12" t="inlineStr">
        <is>
          <t>Printer buyer</t>
        </is>
      </c>
      <c r="G108" s="12" t="inlineStr">
        <is>
          <t>Masonry contractor</t>
        </is>
      </c>
      <c r="H108" s="12" t="inlineStr">
        <is>
          <t>Fort Worth</t>
        </is>
      </c>
      <c r="I108" s="12" t="inlineStr">
        <is>
          <t>Fort Worth commercial masonry since 1945</t>
        </is>
      </c>
      <c r="J108" s="14" t="inlineStr">
        <is>
          <t>Yes</t>
        </is>
      </c>
      <c r="K108" s="15" t="inlineStr">
        <is>
          <t>Since 1945, CMU, brick veneer, stone and structural masonry repeated across DFW jobs.</t>
        </is>
      </c>
      <c r="L108" s="14" t="inlineStr">
        <is>
          <t>Partly</t>
        </is>
      </c>
      <c r="M108" s="15" t="inlineStr">
        <is>
          <t>Work leans commercial and institutional over production housing.</t>
        </is>
      </c>
      <c r="N108" s="14" t="inlineStr">
        <is>
          <t>No</t>
        </is>
      </c>
      <c r="O108" s="15" t="inlineStr">
        <is>
          <t>Nothing on record.</t>
        </is>
      </c>
      <c r="P108" s="10" t="inlineStr"/>
      <c r="Q108" s="12" t="inlineStr"/>
      <c r="R108" s="16">
        <f>IF(P108="","ADD LINKEDIN","ok")</f>
        <v/>
      </c>
      <c r="S108" s="12" t="inlineStr">
        <is>
          <t>https://www.fenimoreblythe.com/</t>
        </is>
      </c>
      <c r="T108" s="15" t="inlineStr">
        <is>
          <t>Lays structural CMU, brick veneer and stone, mostly on commercial and institutional jobs. David Grzesiak is President.</t>
        </is>
      </c>
      <c r="U108" s="12" t="inlineStr"/>
      <c r="V108" s="15" t="inlineStr">
        <is>
          <t>Firm's team page.</t>
        </is>
      </c>
      <c r="W108" s="12" t="inlineStr">
        <is>
          <t>https://www.fenimoreblythe.com/team/</t>
        </is>
      </c>
      <c r="X108" s="12" t="inlineStr">
        <is>
          <t>https://www.linkedin.com/company/fenimore-blythe-commercial-masonry/</t>
        </is>
      </c>
      <c r="Y108" s="12" t="inlineStr">
        <is>
          <t>https://www.fenimoreblythe.com/team/</t>
        </is>
      </c>
      <c r="Z108" s="12" t="inlineStr"/>
      <c r="AA108" s="12" t="inlineStr">
        <is>
          <t>(817) 834-6301</t>
        </is>
      </c>
      <c r="AB108" s="12" t="inlineStr">
        <is>
          <t>Main office, Fort Worth</t>
        </is>
      </c>
      <c r="AC108" s="12" t="inlineStr">
        <is>
          <t>https://www.fenimoreblythe.com/contact/</t>
        </is>
      </c>
      <c r="AD108" s="12" t="inlineStr"/>
      <c r="AE108" s="12" t="inlineStr"/>
    </row>
    <row r="109">
      <c r="A109" s="6" t="inlineStr">
        <is>
          <t>no contact identified</t>
        </is>
      </c>
      <c r="B109" s="6" t="inlineStr">
        <is>
          <t>General Contractors of DFW</t>
        </is>
      </c>
      <c r="C109" s="6" t="inlineStr"/>
      <c r="D109" s="7" t="inlineStr">
        <is>
          <t>Contractors and plants</t>
        </is>
      </c>
      <c r="E109" s="8" t="n">
        <v>2</v>
      </c>
      <c r="F109" s="6" t="inlineStr">
        <is>
          <t>Printer buyer</t>
        </is>
      </c>
      <c r="G109" s="6" t="inlineStr">
        <is>
          <t>Tilt-up general contractor</t>
        </is>
      </c>
      <c r="H109" s="6" t="inlineStr">
        <is>
          <t>Dallas-Fort Worth</t>
        </is>
      </c>
      <c r="I109" s="6" t="inlineStr">
        <is>
          <t>DFW tilt-wall general contractor</t>
        </is>
      </c>
      <c r="J109" s="8" t="inlineStr">
        <is>
          <t>Yes</t>
        </is>
      </c>
      <c r="K109" s="9" t="inlineStr">
        <is>
          <t>Casts and erects tilt-wall panels as a repeated service.</t>
        </is>
      </c>
      <c r="L109" s="8" t="inlineStr">
        <is>
          <t>Partly</t>
        </is>
      </c>
      <c r="M109" s="9" t="inlineStr">
        <is>
          <t>No published volume figure.</t>
        </is>
      </c>
      <c r="N109" s="8" t="inlineStr">
        <is>
          <t>No</t>
        </is>
      </c>
      <c r="O109" s="9" t="inlineStr">
        <is>
          <t>Nothing on record beyond conventional tilt-wall.</t>
        </is>
      </c>
      <c r="P109" s="10" t="inlineStr"/>
      <c r="Q109" s="6" t="inlineStr"/>
      <c r="R109" s="11">
        <f>IF(P109="","ADD LINKEDIN","ok")</f>
        <v/>
      </c>
      <c r="S109" s="6" t="inlineStr">
        <is>
          <t>https://generalcontractorsofdfw.com/</t>
        </is>
      </c>
      <c r="T109" s="9" t="inlineStr">
        <is>
          <t>Casts and erects tilt-wall panels as one scope, from panel layout to envelope turnover.</t>
        </is>
      </c>
      <c r="U109" s="6" t="inlineStr"/>
      <c r="V109" s="9" t="inlineStr"/>
      <c r="W109" s="6" t="inlineStr"/>
      <c r="X109" s="6" t="inlineStr"/>
      <c r="Y109" s="6" t="inlineStr"/>
      <c r="Z109" s="6" t="inlineStr"/>
      <c r="AA109" s="6" t="inlineStr">
        <is>
          <t>(214) 307-9841</t>
        </is>
      </c>
      <c r="AB109" s="6" t="inlineStr">
        <is>
          <t>Main line</t>
        </is>
      </c>
      <c r="AC109" s="6" t="inlineStr">
        <is>
          <t>https://generalcontractorsofdfw.com/services/tilt-wall-construction</t>
        </is>
      </c>
      <c r="AD109" s="6" t="inlineStr"/>
      <c r="AE109" s="6" t="inlineStr"/>
    </row>
    <row r="110">
      <c r="A110" s="12" t="inlineStr">
        <is>
          <t>no contact identified</t>
        </is>
      </c>
      <c r="B110" s="12" t="inlineStr">
        <is>
          <t>Grapevine Masonry (HNS Masonry)</t>
        </is>
      </c>
      <c r="C110" s="12" t="inlineStr"/>
      <c r="D110" s="13" t="inlineStr">
        <is>
          <t>Contractors and plants</t>
        </is>
      </c>
      <c r="E110" s="14" t="n">
        <v>2</v>
      </c>
      <c r="F110" s="12" t="inlineStr">
        <is>
          <t>Printer buyer</t>
        </is>
      </c>
      <c r="G110" s="12" t="inlineStr">
        <is>
          <t>Residential masonry contractor</t>
        </is>
      </c>
      <c r="H110" s="12" t="inlineStr">
        <is>
          <t>Southlake, serving Grapevine and the mid-cities</t>
        </is>
      </c>
      <c r="I110" s="12" t="inlineStr">
        <is>
          <t>Mid-cities residential brick and stone, HNS division</t>
        </is>
      </c>
      <c r="J110" s="14" t="inlineStr">
        <is>
          <t>Yes</t>
        </is>
      </c>
      <c r="K110" s="15" t="inlineStr">
        <is>
          <t>Veneer and repair repeated across mid-cities homes.</t>
        </is>
      </c>
      <c r="L110" s="14" t="inlineStr">
        <is>
          <t>Partly</t>
        </is>
      </c>
      <c r="M110" s="15" t="inlineStr">
        <is>
          <t>No published volume. Mixes repair with new veneer.</t>
        </is>
      </c>
      <c r="N110" s="14" t="inlineStr">
        <is>
          <t>No</t>
        </is>
      </c>
      <c r="O110" s="15" t="inlineStr">
        <is>
          <t>Nothing on record.</t>
        </is>
      </c>
      <c r="P110" s="10" t="inlineStr"/>
      <c r="Q110" s="12" t="inlineStr"/>
      <c r="R110" s="16">
        <f>IF(P110="","ADD LINKEDIN","ok")</f>
        <v/>
      </c>
      <c r="S110" s="12" t="inlineStr">
        <is>
          <t>https://grapevine-masonry.com/</t>
        </is>
      </c>
      <c r="T110" s="15" t="inlineStr">
        <is>
          <t>Installs brick and stone veneer on new custom homes, alongside repair work, in Grapevine and Colleyville.</t>
        </is>
      </c>
      <c r="U110" s="12" t="inlineStr"/>
      <c r="V110" s="15" t="inlineStr"/>
      <c r="W110" s="12" t="inlineStr"/>
      <c r="X110" s="12" t="inlineStr"/>
      <c r="Y110" s="12" t="inlineStr"/>
      <c r="Z110" s="12" t="inlineStr"/>
      <c r="AA110" s="12" t="inlineStr">
        <is>
          <t>(682) 688-8436</t>
        </is>
      </c>
      <c r="AB110" s="12" t="inlineStr">
        <is>
          <t>Main office, Southlake</t>
        </is>
      </c>
      <c r="AC110" s="12" t="inlineStr">
        <is>
          <t>https://grapevine-masonry.com/</t>
        </is>
      </c>
      <c r="AD110" s="12" t="inlineStr"/>
      <c r="AE110" s="12" t="inlineStr"/>
    </row>
    <row r="111">
      <c r="A111" s="6" t="inlineStr">
        <is>
          <t>no contact identified</t>
        </is>
      </c>
      <c r="B111" s="6" t="inlineStr">
        <is>
          <t>Originally Masonry</t>
        </is>
      </c>
      <c r="C111" s="6" t="inlineStr"/>
      <c r="D111" s="7" t="inlineStr">
        <is>
          <t>Contractors and plants</t>
        </is>
      </c>
      <c r="E111" s="8" t="n">
        <v>2</v>
      </c>
      <c r="F111" s="6" t="inlineStr">
        <is>
          <t>Printer buyer</t>
        </is>
      </c>
      <c r="G111" s="6" t="inlineStr">
        <is>
          <t>Masonry contractor</t>
        </is>
      </c>
      <c r="H111" s="6" t="inlineStr">
        <is>
          <t>Grand Prairie, working across DFW</t>
        </is>
      </c>
      <c r="I111" s="6" t="inlineStr">
        <is>
          <t>Grand Prairie masonry, new-construction brick and stone exteriors</t>
        </is>
      </c>
      <c r="J111" s="8" t="inlineStr">
        <is>
          <t>Yes</t>
        </is>
      </c>
      <c r="K111" s="9" t="inlineStr">
        <is>
          <t>Brick, stone and block walls repeated on residential and light commercial jobs.</t>
        </is>
      </c>
      <c r="L111" s="8" t="inlineStr">
        <is>
          <t>Partly</t>
        </is>
      </c>
      <c r="M111" s="9" t="inlineStr">
        <is>
          <t>No annual count published.</t>
        </is>
      </c>
      <c r="N111" s="8" t="inlineStr">
        <is>
          <t>No</t>
        </is>
      </c>
      <c r="O111" s="9" t="inlineStr">
        <is>
          <t>Conventional masonry. Nothing on record.</t>
        </is>
      </c>
      <c r="P111" s="10" t="inlineStr"/>
      <c r="Q111" s="6" t="inlineStr"/>
      <c r="R111" s="11">
        <f>IF(P111="","ADD LINKEDIN","ok")</f>
        <v/>
      </c>
      <c r="S111" s="6" t="inlineStr">
        <is>
          <t>https://originallymasonry.com/</t>
        </is>
      </c>
      <c r="T111" s="9" t="inlineStr">
        <is>
          <t>Lays brick, stone and block exteriors on new homes and light commercial jobs across DFW.</t>
        </is>
      </c>
      <c r="U111" s="6" t="inlineStr"/>
      <c r="V111" s="9" t="inlineStr"/>
      <c r="W111" s="6" t="inlineStr"/>
      <c r="X111" s="6" t="inlineStr"/>
      <c r="Y111" s="6" t="inlineStr">
        <is>
          <t>https://originallymasonry.com/</t>
        </is>
      </c>
      <c r="Z111" s="6" t="inlineStr"/>
      <c r="AA111" s="6" t="inlineStr">
        <is>
          <t>(214) 609-6292</t>
        </is>
      </c>
      <c r="AB111" s="6" t="inlineStr">
        <is>
          <t>Grand Prairie office</t>
        </is>
      </c>
      <c r="AC111" s="6" t="inlineStr">
        <is>
          <t>https://originallymasonry.com/</t>
        </is>
      </c>
      <c r="AD111" s="6" t="inlineStr"/>
      <c r="AE111" s="6" t="inlineStr"/>
    </row>
    <row r="112">
      <c r="A112" s="12" t="inlineStr">
        <is>
          <t>Derek Tuttle</t>
        </is>
      </c>
      <c r="B112" s="12" t="inlineStr">
        <is>
          <t>Post-Tension Services</t>
        </is>
      </c>
      <c r="C112" s="12" t="inlineStr">
        <is>
          <t>President</t>
        </is>
      </c>
      <c r="D112" s="13" t="inlineStr">
        <is>
          <t>Contractors and plants</t>
        </is>
      </c>
      <c r="E112" s="14" t="n">
        <v>2</v>
      </c>
      <c r="F112" s="12" t="inlineStr">
        <is>
          <t>Printer buyer</t>
        </is>
      </c>
      <c r="G112" s="12" t="inlineStr">
        <is>
          <t>Post-tension foundation company</t>
        </is>
      </c>
      <c r="H112" s="12" t="inlineStr">
        <is>
          <t>Dallas headquarters, working across DFW and Texas</t>
        </is>
      </c>
      <c r="I112" s="12" t="inlineStr">
        <is>
          <t>Dallas post-tension headquarters, residential slabs</t>
        </is>
      </c>
      <c r="J112" s="14" t="inlineStr">
        <is>
          <t>Yes</t>
        </is>
      </c>
      <c r="K112" s="15" t="inlineStr">
        <is>
          <t>Slab packages repeated across DFW.</t>
        </is>
      </c>
      <c r="L112" s="14" t="inlineStr">
        <is>
          <t>Partly</t>
        </is>
      </c>
      <c r="M112" s="15" t="inlineStr">
        <is>
          <t>No published home count. Works across several states.</t>
        </is>
      </c>
      <c r="N112" s="14" t="inlineStr">
        <is>
          <t>No</t>
        </is>
      </c>
      <c r="O112" s="15" t="inlineStr">
        <is>
          <t>Nothing on record.</t>
        </is>
      </c>
      <c r="P112" s="10" t="inlineStr"/>
      <c r="Q112" s="12" t="inlineStr"/>
      <c r="R112" s="16">
        <f>IF(P112="","ADD LINKEDIN","ok")</f>
        <v/>
      </c>
      <c r="S112" s="12" t="inlineStr">
        <is>
          <t>https://post-tension.com/</t>
        </is>
      </c>
      <c r="T112" s="15" t="inlineStr">
        <is>
          <t>Supplies post-tension slabs for production and custom builders, with a Houston office. Derek Tuttle is President.</t>
        </is>
      </c>
      <c r="U112" s="12" t="inlineStr">
        <is>
          <t>YES</t>
        </is>
      </c>
      <c r="V112" s="15" t="inlineStr">
        <is>
          <t>Firm's Meet Our Team page.</t>
        </is>
      </c>
      <c r="W112" s="12" t="inlineStr">
        <is>
          <t>https://post-tension.com/about/</t>
        </is>
      </c>
      <c r="X112" s="12" t="inlineStr">
        <is>
          <t>https://www.linkedin.com/company/post-tension-services-of-texas/</t>
        </is>
      </c>
      <c r="Y112" s="12" t="inlineStr"/>
      <c r="Z112" s="12" t="inlineStr"/>
      <c r="AA112" s="12" t="inlineStr">
        <is>
          <t>(972) 845-5500</t>
        </is>
      </c>
      <c r="AB112" s="12" t="inlineStr">
        <is>
          <t>Headquarters, Dallas</t>
        </is>
      </c>
      <c r="AC112" s="12" t="inlineStr">
        <is>
          <t>https://post-tension.com/post-tension-concrete-slab-construction/</t>
        </is>
      </c>
      <c r="AD112" s="12" t="inlineStr"/>
      <c r="AE112" s="12" t="inlineStr"/>
    </row>
    <row r="113">
      <c r="A113" s="6" t="inlineStr">
        <is>
          <t>Justin Zuckerbrow</t>
        </is>
      </c>
      <c r="B113" s="6" t="inlineStr">
        <is>
          <t>Post-Tension Services</t>
        </is>
      </c>
      <c r="C113" s="6" t="inlineStr">
        <is>
          <t>Vice President</t>
        </is>
      </c>
      <c r="D113" s="7" t="inlineStr">
        <is>
          <t>Contractors and plants</t>
        </is>
      </c>
      <c r="E113" s="8" t="n">
        <v>2</v>
      </c>
      <c r="F113" s="6" t="inlineStr">
        <is>
          <t>Printer buyer</t>
        </is>
      </c>
      <c r="G113" s="6" t="inlineStr">
        <is>
          <t>Post-tension foundation company</t>
        </is>
      </c>
      <c r="H113" s="6" t="inlineStr">
        <is>
          <t>Dallas headquarters, working across DFW and Texas</t>
        </is>
      </c>
      <c r="I113" s="6" t="inlineStr">
        <is>
          <t>Dallas post-tension headquarters, residential slabs</t>
        </is>
      </c>
      <c r="J113" s="8" t="inlineStr">
        <is>
          <t>Yes</t>
        </is>
      </c>
      <c r="K113" s="9" t="inlineStr">
        <is>
          <t>Slab packages repeated across DFW.</t>
        </is>
      </c>
      <c r="L113" s="8" t="inlineStr">
        <is>
          <t>Partly</t>
        </is>
      </c>
      <c r="M113" s="9" t="inlineStr">
        <is>
          <t>No published home count. Works across several states.</t>
        </is>
      </c>
      <c r="N113" s="8" t="inlineStr">
        <is>
          <t>No</t>
        </is>
      </c>
      <c r="O113" s="9" t="inlineStr">
        <is>
          <t>Nothing on record.</t>
        </is>
      </c>
      <c r="P113" s="6" t="inlineStr">
        <is>
          <t>https://www.linkedin.com/in/justin-zuckerbrow-033a429/</t>
        </is>
      </c>
      <c r="Q113" s="6" t="inlineStr"/>
      <c r="R113" s="11">
        <f>IF(P113="","ADD LINKEDIN","ok")</f>
        <v/>
      </c>
      <c r="S113" s="6" t="inlineStr">
        <is>
          <t>https://post-tension.com/</t>
        </is>
      </c>
      <c r="T113" s="9" t="inlineStr">
        <is>
          <t>Supplies post-tension slabs for production and custom builders, with a Houston office. Derek Tuttle is President.</t>
        </is>
      </c>
      <c r="U113" s="6" t="inlineStr"/>
      <c r="V113" s="9" t="inlineStr">
        <is>
          <t>Indexed title: Vice President and Owner at Post-Tension Services. Firm's Meet Our Team page.</t>
        </is>
      </c>
      <c r="W113" s="6" t="inlineStr">
        <is>
          <t>https://post-tension.com/about/</t>
        </is>
      </c>
      <c r="X113" s="6" t="inlineStr">
        <is>
          <t>https://www.linkedin.com/company/post-tension-services-of-texas/</t>
        </is>
      </c>
      <c r="Y113" s="6" t="inlineStr"/>
      <c r="Z113" s="6" t="inlineStr"/>
      <c r="AA113" s="6" t="inlineStr">
        <is>
          <t>(972) 845-5500</t>
        </is>
      </c>
      <c r="AB113" s="6" t="inlineStr">
        <is>
          <t>Headquarters, Dallas</t>
        </is>
      </c>
      <c r="AC113" s="6" t="inlineStr">
        <is>
          <t>https://post-tension.com/post-tension-concrete-slab-construction/</t>
        </is>
      </c>
      <c r="AD113" s="6" t="inlineStr"/>
      <c r="AE113" s="6" t="inlineStr"/>
    </row>
    <row r="114">
      <c r="A114" s="12" t="inlineStr">
        <is>
          <t>Mike Freeman</t>
        </is>
      </c>
      <c r="B114" s="12" t="inlineStr">
        <is>
          <t>Steele &amp; Freeman, Inc.</t>
        </is>
      </c>
      <c r="C114" s="12" t="inlineStr">
        <is>
          <t>Chief Executive Officer</t>
        </is>
      </c>
      <c r="D114" s="13" t="inlineStr">
        <is>
          <t>Contractors and plants</t>
        </is>
      </c>
      <c r="E114" s="14" t="n">
        <v>2</v>
      </c>
      <c r="F114" s="12" t="inlineStr">
        <is>
          <t>Client</t>
        </is>
      </c>
      <c r="G114" s="12" t="inlineStr">
        <is>
          <t>General contractor</t>
        </is>
      </c>
      <c r="H114" s="12" t="inlineStr">
        <is>
          <t>Fort Worth, working across North Texas and southern Oklahoma</t>
        </is>
      </c>
      <c r="I114" s="12" t="inlineStr">
        <is>
          <t>$175.3 million in 2020 volume, its own figure</t>
        </is>
      </c>
      <c r="J114" s="14" t="inlineStr">
        <is>
          <t>Yes</t>
        </is>
      </c>
      <c r="K114" s="15" t="inlineStr">
        <is>
          <t>Commercial and institutional shells repeated across North Texas.</t>
        </is>
      </c>
      <c r="L114" s="14" t="inlineStr">
        <is>
          <t>Partly</t>
        </is>
      </c>
      <c r="M114" s="15" t="inlineStr">
        <is>
          <t>$175.3 million in 2020, commercial, not homes. Purchasing sits with local owners.</t>
        </is>
      </c>
      <c r="N114" s="14" t="inlineStr">
        <is>
          <t>No</t>
        </is>
      </c>
      <c r="O114" s="15" t="inlineStr">
        <is>
          <t>Nothing on record.</t>
        </is>
      </c>
      <c r="P114" s="10" t="inlineStr"/>
      <c r="Q114" s="12" t="inlineStr"/>
      <c r="R114" s="16">
        <f>IF(P114="","ADD LINKEDIN","ok")</f>
        <v/>
      </c>
      <c r="S114" s="12" t="inlineStr">
        <is>
          <t>https://steelefreeman.com/</t>
        </is>
      </c>
      <c r="T114" s="15" t="inlineStr">
        <is>
          <t>Builds K-12, municipal, medical and faith projects from Fort Worth. Mike Freeman bought the company in 2005, and purchasing sits with the family.</t>
        </is>
      </c>
      <c r="U114" s="12" t="inlineStr">
        <is>
          <t>YES</t>
        </is>
      </c>
      <c r="V114" s="15" t="inlineStr">
        <is>
          <t>Firm's about page. Second generation, bought the company in 2005.</t>
        </is>
      </c>
      <c r="W114" s="12" t="inlineStr">
        <is>
          <t>https://steelefreeman.com/about-us/</t>
        </is>
      </c>
      <c r="X114" s="12" t="inlineStr">
        <is>
          <t>https://www.linkedin.com/company/steele-freeman-inc/</t>
        </is>
      </c>
      <c r="Y114" s="12" t="inlineStr">
        <is>
          <t>https://steelefreeman.com/about-us/</t>
        </is>
      </c>
      <c r="Z114" s="12" t="inlineStr"/>
      <c r="AA114" s="12" t="inlineStr">
        <is>
          <t>(817) 232-4742</t>
        </is>
      </c>
      <c r="AB114" s="12" t="inlineStr">
        <is>
          <t>Main office, Fort Worth</t>
        </is>
      </c>
      <c r="AC114" s="12" t="inlineStr">
        <is>
          <t>https://steelefreeman.com/about-us/</t>
        </is>
      </c>
      <c r="AD114" s="12" t="inlineStr"/>
      <c r="AE114" s="12" t="inlineStr"/>
    </row>
    <row r="115">
      <c r="A115" s="6" t="inlineStr">
        <is>
          <t>Reilly Freeman</t>
        </is>
      </c>
      <c r="B115" s="6" t="inlineStr">
        <is>
          <t>Steele &amp; Freeman, Inc.</t>
        </is>
      </c>
      <c r="C115" s="6" t="inlineStr">
        <is>
          <t>President</t>
        </is>
      </c>
      <c r="D115" s="7" t="inlineStr">
        <is>
          <t>Contractors and plants</t>
        </is>
      </c>
      <c r="E115" s="8" t="n">
        <v>2</v>
      </c>
      <c r="F115" s="6" t="inlineStr">
        <is>
          <t>Client</t>
        </is>
      </c>
      <c r="G115" s="6" t="inlineStr">
        <is>
          <t>General contractor</t>
        </is>
      </c>
      <c r="H115" s="6" t="inlineStr">
        <is>
          <t>Fort Worth, working across North Texas and southern Oklahoma</t>
        </is>
      </c>
      <c r="I115" s="6" t="inlineStr">
        <is>
          <t>$175.3 million in 2020 volume, its own figure</t>
        </is>
      </c>
      <c r="J115" s="8" t="inlineStr">
        <is>
          <t>Yes</t>
        </is>
      </c>
      <c r="K115" s="9" t="inlineStr">
        <is>
          <t>Commercial and institutional shells repeated across North Texas.</t>
        </is>
      </c>
      <c r="L115" s="8" t="inlineStr">
        <is>
          <t>Partly</t>
        </is>
      </c>
      <c r="M115" s="9" t="inlineStr">
        <is>
          <t>$175.3 million in 2020, commercial, not homes. Purchasing sits with local owners.</t>
        </is>
      </c>
      <c r="N115" s="8" t="inlineStr">
        <is>
          <t>No</t>
        </is>
      </c>
      <c r="O115" s="9" t="inlineStr">
        <is>
          <t>Nothing on record.</t>
        </is>
      </c>
      <c r="P115" s="10" t="inlineStr"/>
      <c r="Q115" s="6" t="inlineStr"/>
      <c r="R115" s="11">
        <f>IF(P115="","ADD LINKEDIN","ok")</f>
        <v/>
      </c>
      <c r="S115" s="6" t="inlineStr">
        <is>
          <t>https://steelefreeman.com/</t>
        </is>
      </c>
      <c r="T115" s="9" t="inlineStr">
        <is>
          <t>Builds K-12, municipal, medical and faith projects from Fort Worth. Mike Freeman bought the company in 2005, and purchasing sits with the family.</t>
        </is>
      </c>
      <c r="U115" s="6" t="inlineStr">
        <is>
          <t>YES</t>
        </is>
      </c>
      <c r="V115" s="9" t="inlineStr">
        <is>
          <t>About page. Runs day-to-day operations and client relationships.</t>
        </is>
      </c>
      <c r="W115" s="6" t="inlineStr">
        <is>
          <t>https://steelefreeman.com/about-us/</t>
        </is>
      </c>
      <c r="X115" s="6" t="inlineStr">
        <is>
          <t>https://www.linkedin.com/company/steele-freeman-inc/</t>
        </is>
      </c>
      <c r="Y115" s="6" t="inlineStr">
        <is>
          <t>https://steelefreeman.com/about-us/</t>
        </is>
      </c>
      <c r="Z115" s="6" t="inlineStr"/>
      <c r="AA115" s="6" t="inlineStr">
        <is>
          <t>(817) 232-4742</t>
        </is>
      </c>
      <c r="AB115" s="6" t="inlineStr">
        <is>
          <t>Main office, Fort Worth</t>
        </is>
      </c>
      <c r="AC115" s="6" t="inlineStr">
        <is>
          <t>https://steelefreeman.com/about-us/</t>
        </is>
      </c>
      <c r="AD115" s="6" t="inlineStr"/>
      <c r="AE115" s="6" t="inlineStr"/>
    </row>
    <row r="116">
      <c r="A116" s="12" t="inlineStr">
        <is>
          <t>Warren Nugent</t>
        </is>
      </c>
      <c r="B116" s="12" t="inlineStr">
        <is>
          <t>Texcon, LLC</t>
        </is>
      </c>
      <c r="C116" s="12" t="inlineStr">
        <is>
          <t>Owner, Founder and CEO</t>
        </is>
      </c>
      <c r="D116" s="13" t="inlineStr">
        <is>
          <t>Contractors and plants</t>
        </is>
      </c>
      <c r="E116" s="14" t="n">
        <v>2</v>
      </c>
      <c r="F116" s="12" t="inlineStr">
        <is>
          <t>Printer buyer</t>
        </is>
      </c>
      <c r="G116" s="12" t="inlineStr">
        <is>
          <t>Tilt-up concrete contractor</t>
        </is>
      </c>
      <c r="H116" s="12" t="inlineStr">
        <is>
          <t>Dallas, tilt-wall and site paving across DFW</t>
        </is>
      </c>
      <c r="I116" s="12" t="inlineStr">
        <is>
          <t>Dallas tilt-wall and site-paving contractor</t>
        </is>
      </c>
      <c r="J116" s="14" t="inlineStr">
        <is>
          <t>Yes</t>
        </is>
      </c>
      <c r="K116" s="15" t="inlineStr">
        <is>
          <t>Repeated tilt-wall panel jobs across DFW.</t>
        </is>
      </c>
      <c r="L116" s="14" t="inlineStr">
        <is>
          <t>Partly</t>
        </is>
      </c>
      <c r="M116" s="15" t="inlineStr">
        <is>
          <t>No annual panel or square-footage figure published.</t>
        </is>
      </c>
      <c r="N116" s="14" t="inlineStr">
        <is>
          <t>No</t>
        </is>
      </c>
      <c r="O116" s="15" t="inlineStr">
        <is>
          <t>Nothing on record beyond conventional tilt-up.</t>
        </is>
      </c>
      <c r="P116" s="10" t="inlineStr"/>
      <c r="Q116" s="12" t="inlineStr"/>
      <c r="R116" s="16">
        <f>IF(P116="","ADD LINKEDIN","ok")</f>
        <v/>
      </c>
      <c r="S116" s="12" t="inlineStr">
        <is>
          <t>https://texconllc.com/</t>
        </is>
      </c>
      <c r="T116" s="15" t="inlineStr">
        <is>
          <t>Casts and erects tilt-wall panels on site for commercial and industrial shells. Warren Nugent is owner, founder and CEO.</t>
        </is>
      </c>
      <c r="U116" s="12" t="inlineStr">
        <is>
          <t>YES</t>
        </is>
      </c>
      <c r="V116" s="15" t="inlineStr">
        <is>
          <t>Firm's about page. Owner, founder and CEO.</t>
        </is>
      </c>
      <c r="W116" s="12" t="inlineStr">
        <is>
          <t>https://texconllc.com/about/</t>
        </is>
      </c>
      <c r="X116" s="12" t="inlineStr">
        <is>
          <t>https://www.linkedin.com/company/texcon-llc/</t>
        </is>
      </c>
      <c r="Y116" s="12" t="inlineStr">
        <is>
          <t>https://texconllc.com/about/</t>
        </is>
      </c>
      <c r="Z116" s="12" t="inlineStr"/>
      <c r="AA116" s="12" t="inlineStr">
        <is>
          <t>(972) 483-9266</t>
        </is>
      </c>
      <c r="AB116" s="12" t="inlineStr">
        <is>
          <t>Office, Dallas</t>
        </is>
      </c>
      <c r="AC116" s="12" t="inlineStr">
        <is>
          <t>https://texconllc.com/contact-us/</t>
        </is>
      </c>
      <c r="AD116" s="12" t="inlineStr"/>
      <c r="AE116" s="12" t="inlineStr"/>
    </row>
    <row r="117">
      <c r="A117" s="6" t="inlineStr">
        <is>
          <t>Farris Wilks</t>
        </is>
      </c>
      <c r="B117" s="6" t="inlineStr">
        <is>
          <t>Wilks Masonry</t>
        </is>
      </c>
      <c r="C117" s="6" t="inlineStr">
        <is>
          <t>Co-founder</t>
        </is>
      </c>
      <c r="D117" s="7" t="inlineStr">
        <is>
          <t>Contractors and plants</t>
        </is>
      </c>
      <c r="E117" s="8" t="n">
        <v>2</v>
      </c>
      <c r="F117" s="6" t="inlineStr">
        <is>
          <t>Printer buyer</t>
        </is>
      </c>
      <c r="G117" s="6" t="inlineStr">
        <is>
          <t>Masonry and precast installer</t>
        </is>
      </c>
      <c r="H117" s="6" t="inlineStr">
        <is>
          <t>Fort Worth, working across DFW</t>
        </is>
      </c>
      <c r="I117" s="6" t="inlineStr">
        <is>
          <t>Fort Worth commercial masonry and precast installer, founded 1995</t>
        </is>
      </c>
      <c r="J117" s="8" t="inlineStr">
        <is>
          <t>Yes</t>
        </is>
      </c>
      <c r="K117" s="9" t="inlineStr">
        <is>
          <t>Commercial masonry walls repeated across DFW jobs.</t>
        </is>
      </c>
      <c r="L117" s="8" t="inlineStr">
        <is>
          <t>Partly</t>
        </is>
      </c>
      <c r="M117" s="9" t="inlineStr">
        <is>
          <t>No published volume. Local commercial specialty firm.</t>
        </is>
      </c>
      <c r="N117" s="8" t="inlineStr">
        <is>
          <t>No</t>
        </is>
      </c>
      <c r="O117" s="9" t="inlineStr">
        <is>
          <t>Nothing on record.</t>
        </is>
      </c>
      <c r="P117" s="10" t="inlineStr"/>
      <c r="Q117" s="6" t="inlineStr"/>
      <c r="R117" s="11">
        <f>IF(P117="","ADD LINKEDIN","ok")</f>
        <v/>
      </c>
      <c r="S117" s="6" t="inlineStr">
        <is>
          <t>https://www.wilksmasonry.com/</t>
        </is>
      </c>
      <c r="T117" s="9" t="inlineStr">
        <is>
          <t>Installs masonry and precast on commercial projects across the Metroplex. Brothers Farris and Dan Wilks founded it.</t>
        </is>
      </c>
      <c r="U117" s="6" t="inlineStr">
        <is>
          <t>YES</t>
        </is>
      </c>
      <c r="V117" s="9" t="inlineStr">
        <is>
          <t>Firm's history page.</t>
        </is>
      </c>
      <c r="W117" s="6" t="inlineStr">
        <is>
          <t>https://www.wilksmasonry.com/history</t>
        </is>
      </c>
      <c r="X117" s="6" t="inlineStr">
        <is>
          <t>https://www.linkedin.com/company/wilks-masonry-corp/</t>
        </is>
      </c>
      <c r="Y117" s="6" t="inlineStr"/>
      <c r="Z117" s="6" t="inlineStr"/>
      <c r="AA117" s="6" t="inlineStr">
        <is>
          <t>(682) 587-8150</t>
        </is>
      </c>
      <c r="AB117" s="6" t="inlineStr">
        <is>
          <t>Front desk, Fort Worth</t>
        </is>
      </c>
      <c r="AC117" s="6" t="inlineStr">
        <is>
          <t>https://www.wilksmasonry.com/contact</t>
        </is>
      </c>
      <c r="AD117" s="6" t="inlineStr"/>
      <c r="AE117" s="6" t="inlineStr"/>
    </row>
    <row r="118">
      <c r="A118" s="12" t="inlineStr">
        <is>
          <t>Dan Wilks</t>
        </is>
      </c>
      <c r="B118" s="12" t="inlineStr">
        <is>
          <t>Wilks Masonry</t>
        </is>
      </c>
      <c r="C118" s="12" t="inlineStr">
        <is>
          <t>Co-founder</t>
        </is>
      </c>
      <c r="D118" s="13" t="inlineStr">
        <is>
          <t>Contractors and plants</t>
        </is>
      </c>
      <c r="E118" s="14" t="n">
        <v>2</v>
      </c>
      <c r="F118" s="12" t="inlineStr">
        <is>
          <t>Printer buyer</t>
        </is>
      </c>
      <c r="G118" s="12" t="inlineStr">
        <is>
          <t>Masonry and precast installer</t>
        </is>
      </c>
      <c r="H118" s="12" t="inlineStr">
        <is>
          <t>Fort Worth, working across DFW</t>
        </is>
      </c>
      <c r="I118" s="12" t="inlineStr">
        <is>
          <t>Fort Worth commercial masonry and precast installer, founded 1995</t>
        </is>
      </c>
      <c r="J118" s="14" t="inlineStr">
        <is>
          <t>Yes</t>
        </is>
      </c>
      <c r="K118" s="15" t="inlineStr">
        <is>
          <t>Commercial masonry walls repeated across DFW jobs.</t>
        </is>
      </c>
      <c r="L118" s="14" t="inlineStr">
        <is>
          <t>Partly</t>
        </is>
      </c>
      <c r="M118" s="15" t="inlineStr">
        <is>
          <t>No published volume. Local commercial specialty firm.</t>
        </is>
      </c>
      <c r="N118" s="14" t="inlineStr">
        <is>
          <t>No</t>
        </is>
      </c>
      <c r="O118" s="15" t="inlineStr">
        <is>
          <t>Nothing on record.</t>
        </is>
      </c>
      <c r="P118" s="10" t="inlineStr"/>
      <c r="Q118" s="12" t="inlineStr"/>
      <c r="R118" s="16">
        <f>IF(P118="","ADD LINKEDIN","ok")</f>
        <v/>
      </c>
      <c r="S118" s="12" t="inlineStr">
        <is>
          <t>https://www.wilksmasonry.com/</t>
        </is>
      </c>
      <c r="T118" s="15" t="inlineStr">
        <is>
          <t>Installs masonry and precast on commercial projects across the Metroplex. Brothers Farris and Dan Wilks founded it.</t>
        </is>
      </c>
      <c r="U118" s="12" t="inlineStr">
        <is>
          <t>YES</t>
        </is>
      </c>
      <c r="V118" s="15" t="inlineStr">
        <is>
          <t>Firm's history page.</t>
        </is>
      </c>
      <c r="W118" s="12" t="inlineStr">
        <is>
          <t>https://www.wilksmasonry.com/history</t>
        </is>
      </c>
      <c r="X118" s="12" t="inlineStr">
        <is>
          <t>https://www.linkedin.com/company/wilks-masonry-corp/</t>
        </is>
      </c>
      <c r="Y118" s="12" t="inlineStr"/>
      <c r="Z118" s="12" t="inlineStr"/>
      <c r="AA118" s="12" t="inlineStr">
        <is>
          <t>(682) 587-8150</t>
        </is>
      </c>
      <c r="AB118" s="12" t="inlineStr">
        <is>
          <t>Front desk, Fort Worth</t>
        </is>
      </c>
      <c r="AC118" s="12" t="inlineStr">
        <is>
          <t>https://www.wilksmasonry.com/contact</t>
        </is>
      </c>
      <c r="AD118" s="12" t="inlineStr"/>
      <c r="AE118" s="12" t="inlineStr"/>
    </row>
    <row r="119">
      <c r="A119" s="6" t="inlineStr">
        <is>
          <t>Dani V. Nicholas</t>
        </is>
      </c>
      <c r="B119" s="6" t="inlineStr">
        <is>
          <t>Austin Commercial (Austin Industries)</t>
        </is>
      </c>
      <c r="C119" s="6" t="inlineStr">
        <is>
          <t>Business Development Director</t>
        </is>
      </c>
      <c r="D119" s="7" t="inlineStr">
        <is>
          <t>Contractors and plants</t>
        </is>
      </c>
      <c r="E119" s="8" t="n">
        <v>1</v>
      </c>
      <c r="F119" s="6" t="inlineStr">
        <is>
          <t>Client</t>
        </is>
      </c>
      <c r="G119" s="6" t="inlineStr">
        <is>
          <t>Construction manager</t>
        </is>
      </c>
      <c r="H119" s="6" t="inlineStr">
        <is>
          <t>Dallas headquarters, working across North Texas</t>
        </is>
      </c>
      <c r="I119" s="6" t="inlineStr">
        <is>
          <t>Dallas construction manager, headquartered there since 1975</t>
        </is>
      </c>
      <c r="J119" s="8" t="inlineStr">
        <is>
          <t>Yes</t>
        </is>
      </c>
      <c r="K119" s="9" t="inlineStr">
        <is>
          <t>Commercial pipeline recurring across North Texas.</t>
        </is>
      </c>
      <c r="L119" s="8" t="inlineStr">
        <is>
          <t>No</t>
        </is>
      </c>
      <c r="M119" s="9" t="inlineStr">
        <is>
          <t>Portfolio too large for one or two printers. Purchasing is institutional.</t>
        </is>
      </c>
      <c r="N119" s="8" t="inlineStr">
        <is>
          <t>No</t>
        </is>
      </c>
      <c r="O119" s="9" t="inlineStr">
        <is>
          <t>Nothing on record.</t>
        </is>
      </c>
      <c r="P119" s="10" t="inlineStr"/>
      <c r="Q119" s="6" t="inlineStr"/>
      <c r="R119" s="11">
        <f>IF(P119="","ADD LINKEDIN","ok")</f>
        <v/>
      </c>
      <c r="S119" s="6" t="inlineStr">
        <is>
          <t>https://www.austin-ind.com/locations/dallas</t>
        </is>
      </c>
      <c r="T119" s="9" t="inlineStr">
        <is>
          <t>Manages commercial construction for Austin Industries. Its purchasing is institutional.</t>
        </is>
      </c>
      <c r="U119" s="6" t="inlineStr"/>
      <c r="V119" s="9" t="inlineStr">
        <is>
          <t>Austin Industries Dallas location page.</t>
        </is>
      </c>
      <c r="W119" s="6" t="inlineStr">
        <is>
          <t>https://www.austin-ind.com/locations/dallas</t>
        </is>
      </c>
      <c r="X119" s="6" t="inlineStr">
        <is>
          <t>https://www.linkedin.com/company/austin-commercial/</t>
        </is>
      </c>
      <c r="Y119" s="6" t="inlineStr"/>
      <c r="Z119" s="6" t="inlineStr"/>
      <c r="AA119" s="6" t="inlineStr">
        <is>
          <t>(214) 443-5700</t>
        </is>
      </c>
      <c r="AB119" s="6" t="inlineStr">
        <is>
          <t>Headquarters, Dallas</t>
        </is>
      </c>
      <c r="AC119" s="6" t="inlineStr">
        <is>
          <t>https://www.austin-ind.com/locations/dallas</t>
        </is>
      </c>
      <c r="AD119" s="6" t="inlineStr"/>
      <c r="AE119" s="6" t="inlineStr"/>
    </row>
    <row r="120">
      <c r="A120" s="12" t="inlineStr">
        <is>
          <t>Andrew Henry</t>
        </is>
      </c>
      <c r="B120" s="12" t="inlineStr">
        <is>
          <t>Austin Commercial (Austin Industries)</t>
        </is>
      </c>
      <c r="C120" s="12" t="inlineStr">
        <is>
          <t>Business Development Director</t>
        </is>
      </c>
      <c r="D120" s="13" t="inlineStr">
        <is>
          <t>Contractors and plants</t>
        </is>
      </c>
      <c r="E120" s="14" t="n">
        <v>1</v>
      </c>
      <c r="F120" s="12" t="inlineStr">
        <is>
          <t>Client</t>
        </is>
      </c>
      <c r="G120" s="12" t="inlineStr">
        <is>
          <t>Construction manager</t>
        </is>
      </c>
      <c r="H120" s="12" t="inlineStr">
        <is>
          <t>Dallas headquarters, working across North Texas</t>
        </is>
      </c>
      <c r="I120" s="12" t="inlineStr">
        <is>
          <t>Dallas construction manager, headquartered there since 1975</t>
        </is>
      </c>
      <c r="J120" s="14" t="inlineStr">
        <is>
          <t>Yes</t>
        </is>
      </c>
      <c r="K120" s="15" t="inlineStr">
        <is>
          <t>Commercial pipeline recurring across North Texas.</t>
        </is>
      </c>
      <c r="L120" s="14" t="inlineStr">
        <is>
          <t>No</t>
        </is>
      </c>
      <c r="M120" s="15" t="inlineStr">
        <is>
          <t>Portfolio too large for one or two printers. Purchasing is institutional.</t>
        </is>
      </c>
      <c r="N120" s="14" t="inlineStr">
        <is>
          <t>No</t>
        </is>
      </c>
      <c r="O120" s="15" t="inlineStr">
        <is>
          <t>Nothing on record.</t>
        </is>
      </c>
      <c r="P120" s="10" t="inlineStr"/>
      <c r="Q120" s="12" t="inlineStr"/>
      <c r="R120" s="16">
        <f>IF(P120="","ADD LINKEDIN","ok")</f>
        <v/>
      </c>
      <c r="S120" s="12" t="inlineStr">
        <is>
          <t>https://www.austin-ind.com/locations/dallas</t>
        </is>
      </c>
      <c r="T120" s="15" t="inlineStr">
        <is>
          <t>Manages commercial construction for Austin Industries. Its purchasing is institutional.</t>
        </is>
      </c>
      <c r="U120" s="12" t="inlineStr"/>
      <c r="V120" s="15" t="inlineStr">
        <is>
          <t>Austin Industries Dallas location page.</t>
        </is>
      </c>
      <c r="W120" s="12" t="inlineStr">
        <is>
          <t>https://www.austin-ind.com/locations/dallas</t>
        </is>
      </c>
      <c r="X120" s="12" t="inlineStr">
        <is>
          <t>https://www.linkedin.com/company/austin-commercial/</t>
        </is>
      </c>
      <c r="Y120" s="12" t="inlineStr"/>
      <c r="Z120" s="12" t="inlineStr"/>
      <c r="AA120" s="12" t="inlineStr">
        <is>
          <t>(214) 443-5700</t>
        </is>
      </c>
      <c r="AB120" s="12" t="inlineStr">
        <is>
          <t>Headquarters, Dallas</t>
        </is>
      </c>
      <c r="AC120" s="12" t="inlineStr">
        <is>
          <t>https://www.austin-ind.com/locations/dallas</t>
        </is>
      </c>
      <c r="AD120" s="12" t="inlineStr"/>
      <c r="AE120" s="12" t="inlineStr"/>
    </row>
    <row r="121">
      <c r="A121" s="6" t="inlineStr">
        <is>
          <t>David Yeagy</t>
        </is>
      </c>
      <c r="B121" s="6" t="inlineStr">
        <is>
          <t>Austin Commercial (Austin Industries)</t>
        </is>
      </c>
      <c r="C121" s="6" t="inlineStr">
        <is>
          <t>President, Austin Commercial</t>
        </is>
      </c>
      <c r="D121" s="7" t="inlineStr">
        <is>
          <t>Contractors and plants</t>
        </is>
      </c>
      <c r="E121" s="8" t="n">
        <v>1</v>
      </c>
      <c r="F121" s="6" t="inlineStr">
        <is>
          <t>Client</t>
        </is>
      </c>
      <c r="G121" s="6" t="inlineStr">
        <is>
          <t>Construction manager</t>
        </is>
      </c>
      <c r="H121" s="6" t="inlineStr">
        <is>
          <t>Dallas headquarters, working across North Texas</t>
        </is>
      </c>
      <c r="I121" s="6" t="inlineStr">
        <is>
          <t>Dallas construction manager, headquartered there since 1975</t>
        </is>
      </c>
      <c r="J121" s="8" t="inlineStr">
        <is>
          <t>Yes</t>
        </is>
      </c>
      <c r="K121" s="9" t="inlineStr">
        <is>
          <t>Commercial pipeline recurring across North Texas.</t>
        </is>
      </c>
      <c r="L121" s="8" t="inlineStr">
        <is>
          <t>No</t>
        </is>
      </c>
      <c r="M121" s="9" t="inlineStr">
        <is>
          <t>Portfolio too large for one or two printers. Purchasing is institutional.</t>
        </is>
      </c>
      <c r="N121" s="8" t="inlineStr">
        <is>
          <t>No</t>
        </is>
      </c>
      <c r="O121" s="9" t="inlineStr">
        <is>
          <t>Nothing on record.</t>
        </is>
      </c>
      <c r="P121" s="10" t="inlineStr"/>
      <c r="Q121" s="6" t="inlineStr"/>
      <c r="R121" s="11">
        <f>IF(P121="","ADD LINKEDIN","ok")</f>
        <v/>
      </c>
      <c r="S121" s="6" t="inlineStr">
        <is>
          <t>https://www.austin-ind.com/locations/dallas</t>
        </is>
      </c>
      <c r="T121" s="9" t="inlineStr">
        <is>
          <t>Manages commercial construction for Austin Industries. Its purchasing is institutional.</t>
        </is>
      </c>
      <c r="U121" s="6" t="inlineStr">
        <is>
          <t>YES</t>
        </is>
      </c>
      <c r="V121" s="9" t="inlineStr">
        <is>
          <t>Austin Industries news post, July 28, 2025.</t>
        </is>
      </c>
      <c r="W121" s="6" t="inlineStr">
        <is>
          <t>https://www.austin-ind.com/news/david-yeagy-named-president-of-austin-commercial-2</t>
        </is>
      </c>
      <c r="X121" s="6" t="inlineStr">
        <is>
          <t>https://www.linkedin.com/company/austin-commercial/</t>
        </is>
      </c>
      <c r="Y121" s="6" t="inlineStr"/>
      <c r="Z121" s="6" t="inlineStr"/>
      <c r="AA121" s="6" t="inlineStr">
        <is>
          <t>(214) 443-5700</t>
        </is>
      </c>
      <c r="AB121" s="6" t="inlineStr">
        <is>
          <t>Headquarters, Dallas</t>
        </is>
      </c>
      <c r="AC121" s="6" t="inlineStr">
        <is>
          <t>https://www.austin-ind.com/locations/dallas</t>
        </is>
      </c>
      <c r="AD121" s="6" t="inlineStr"/>
      <c r="AE121" s="6" t="inlineStr"/>
    </row>
    <row r="122">
      <c r="A122" s="12" t="inlineStr">
        <is>
          <t>Elliott Goodman</t>
        </is>
      </c>
      <c r="B122" s="12" t="inlineStr">
        <is>
          <t>Austin Commercial (Austin Industries)</t>
        </is>
      </c>
      <c r="C122" s="12" t="inlineStr">
        <is>
          <t>Senior Vice President, Dallas-Fort Worth</t>
        </is>
      </c>
      <c r="D122" s="13" t="inlineStr">
        <is>
          <t>Contractors and plants</t>
        </is>
      </c>
      <c r="E122" s="14" t="n">
        <v>1</v>
      </c>
      <c r="F122" s="12" t="inlineStr">
        <is>
          <t>Client</t>
        </is>
      </c>
      <c r="G122" s="12" t="inlineStr">
        <is>
          <t>Construction manager</t>
        </is>
      </c>
      <c r="H122" s="12" t="inlineStr">
        <is>
          <t>Dallas headquarters, working across North Texas</t>
        </is>
      </c>
      <c r="I122" s="12" t="inlineStr">
        <is>
          <t>Dallas construction manager, headquartered there since 1975</t>
        </is>
      </c>
      <c r="J122" s="14" t="inlineStr">
        <is>
          <t>Yes</t>
        </is>
      </c>
      <c r="K122" s="15" t="inlineStr">
        <is>
          <t>Commercial pipeline recurring across North Texas.</t>
        </is>
      </c>
      <c r="L122" s="14" t="inlineStr">
        <is>
          <t>No</t>
        </is>
      </c>
      <c r="M122" s="15" t="inlineStr">
        <is>
          <t>Portfolio too large for one or two printers. Purchasing is institutional.</t>
        </is>
      </c>
      <c r="N122" s="14" t="inlineStr">
        <is>
          <t>No</t>
        </is>
      </c>
      <c r="O122" s="15" t="inlineStr">
        <is>
          <t>Nothing on record.</t>
        </is>
      </c>
      <c r="P122" s="10" t="inlineStr"/>
      <c r="Q122" s="12" t="inlineStr"/>
      <c r="R122" s="16">
        <f>IF(P122="","ADD LINKEDIN","ok")</f>
        <v/>
      </c>
      <c r="S122" s="12" t="inlineStr">
        <is>
          <t>https://www.austin-ind.com/locations/dallas</t>
        </is>
      </c>
      <c r="T122" s="15" t="inlineStr">
        <is>
          <t>Manages commercial construction for Austin Industries. Its purchasing is institutional.</t>
        </is>
      </c>
      <c r="U122" s="12" t="inlineStr">
        <is>
          <t>YES</t>
        </is>
      </c>
      <c r="V122" s="15" t="inlineStr">
        <is>
          <t>Leadership page. Oversees large programs in North Texas.</t>
        </is>
      </c>
      <c r="W122" s="12" t="inlineStr">
        <is>
          <t>https://www.austin-ind.com/our-company/leadership</t>
        </is>
      </c>
      <c r="X122" s="12" t="inlineStr">
        <is>
          <t>https://www.linkedin.com/company/austin-commercial/</t>
        </is>
      </c>
      <c r="Y122" s="12" t="inlineStr"/>
      <c r="Z122" s="12" t="inlineStr"/>
      <c r="AA122" s="12" t="inlineStr">
        <is>
          <t>(214) 443-5700</t>
        </is>
      </c>
      <c r="AB122" s="12" t="inlineStr">
        <is>
          <t>Headquarters, Dallas</t>
        </is>
      </c>
      <c r="AC122" s="12" t="inlineStr">
        <is>
          <t>https://www.austin-ind.com/locations/dallas</t>
        </is>
      </c>
      <c r="AD122" s="12" t="inlineStr"/>
      <c r="AE122" s="12" t="inlineStr"/>
    </row>
    <row r="123">
      <c r="A123" s="6" t="inlineStr">
        <is>
          <t>Karl Watson</t>
        </is>
      </c>
      <c r="B123" s="6" t="inlineStr">
        <is>
          <t>Baker Construction</t>
        </is>
      </c>
      <c r="C123" s="6" t="inlineStr">
        <is>
          <t>Chief Executive Officer, Baker Construction Enterprises</t>
        </is>
      </c>
      <c r="D123" s="7" t="inlineStr">
        <is>
          <t>Contractors and plants</t>
        </is>
      </c>
      <c r="E123" s="8" t="n">
        <v>1</v>
      </c>
      <c r="F123" s="6" t="inlineStr">
        <is>
          <t>Printer buyer</t>
        </is>
      </c>
      <c r="G123" s="6" t="inlineStr">
        <is>
          <t>Tilt-up and structural concrete contractor</t>
        </is>
      </c>
      <c r="H123" s="6" t="inlineStr">
        <is>
          <t>National, with published Texas work mostly in Houston</t>
        </is>
      </c>
      <c r="I123" s="6" t="inlineStr">
        <is>
          <t>More than 12,500 co-workers across the U.S., its own count</t>
        </is>
      </c>
      <c r="J123" s="8" t="inlineStr">
        <is>
          <t>Yes</t>
        </is>
      </c>
      <c r="K123" s="9" t="inlineStr">
        <is>
          <t>Tilt panels and structural concrete repeated across US markets.</t>
        </is>
      </c>
      <c r="L123" s="8" t="inlineStr">
        <is>
          <t>No</t>
        </is>
      </c>
      <c r="M123" s="9" t="inlineStr">
        <is>
          <t>Machine purchases run through a national desk.</t>
        </is>
      </c>
      <c r="N123" s="8" t="inlineStr">
        <is>
          <t>No</t>
        </is>
      </c>
      <c r="O123" s="9" t="inlineStr">
        <is>
          <t>75-foot tilt panels at Harris Health use an existing method, not a new one.</t>
        </is>
      </c>
      <c r="P123" s="10" t="inlineStr"/>
      <c r="Q123" s="6" t="inlineStr"/>
      <c r="R123" s="11">
        <f>IF(P123="","ADD LINKEDIN","ok")</f>
        <v/>
      </c>
      <c r="S123" s="6" t="inlineStr">
        <is>
          <t>https://bakerconstruction.com/</t>
        </is>
      </c>
      <c r="T123" s="9" t="inlineStr">
        <is>
          <t>Pours tilt panels and structural concrete nationally, with its Texas jobs mostly in Houston. Machine purchases run through a national desk.</t>
        </is>
      </c>
      <c r="U123" s="6" t="inlineStr">
        <is>
          <t>YES</t>
        </is>
      </c>
      <c r="V123" s="9" t="inlineStr">
        <is>
          <t>Leadership page. CEO since June 2023.</t>
        </is>
      </c>
      <c r="W123" s="6" t="inlineStr">
        <is>
          <t>https://bakerconstruction.com/about-us/leadership/</t>
        </is>
      </c>
      <c r="X123" s="6" t="inlineStr">
        <is>
          <t>https://www.linkedin.com/company/bakerconstruction/</t>
        </is>
      </c>
      <c r="Y123" s="6" t="inlineStr">
        <is>
          <t>https://bakerconstruction.com/about-us/leadership/</t>
        </is>
      </c>
      <c r="Z123" s="6" t="inlineStr"/>
      <c r="AA123" s="6" t="inlineStr">
        <is>
          <t>(800) 539-2224</t>
        </is>
      </c>
      <c r="AB123" s="6" t="inlineStr">
        <is>
          <t>Headquarters</t>
        </is>
      </c>
      <c r="AC123" s="6" t="inlineStr">
        <is>
          <t>https://bakerconstruction.com/</t>
        </is>
      </c>
      <c r="AD123" s="6" t="inlineStr"/>
      <c r="AE123" s="6" t="inlineStr"/>
    </row>
    <row r="124">
      <c r="A124" s="12" t="inlineStr">
        <is>
          <t>Dan T. Baker</t>
        </is>
      </c>
      <c r="B124" s="12" t="inlineStr">
        <is>
          <t>Baker Construction</t>
        </is>
      </c>
      <c r="C124" s="12" t="inlineStr">
        <is>
          <t>Executive Vice Chair of the Board and President, Baker Construction Enterprises</t>
        </is>
      </c>
      <c r="D124" s="13" t="inlineStr">
        <is>
          <t>Contractors and plants</t>
        </is>
      </c>
      <c r="E124" s="14" t="n">
        <v>1</v>
      </c>
      <c r="F124" s="12" t="inlineStr">
        <is>
          <t>Printer buyer</t>
        </is>
      </c>
      <c r="G124" s="12" t="inlineStr">
        <is>
          <t>Tilt-up and structural concrete contractor</t>
        </is>
      </c>
      <c r="H124" s="12" t="inlineStr">
        <is>
          <t>National, with published Texas work mostly in Houston</t>
        </is>
      </c>
      <c r="I124" s="12" t="inlineStr">
        <is>
          <t>More than 12,500 co-workers across the U.S., its own count</t>
        </is>
      </c>
      <c r="J124" s="14" t="inlineStr">
        <is>
          <t>Yes</t>
        </is>
      </c>
      <c r="K124" s="15" t="inlineStr">
        <is>
          <t>Tilt panels and structural concrete repeated across US markets.</t>
        </is>
      </c>
      <c r="L124" s="14" t="inlineStr">
        <is>
          <t>No</t>
        </is>
      </c>
      <c r="M124" s="15" t="inlineStr">
        <is>
          <t>Machine purchases run through a national desk.</t>
        </is>
      </c>
      <c r="N124" s="14" t="inlineStr">
        <is>
          <t>No</t>
        </is>
      </c>
      <c r="O124" s="15" t="inlineStr">
        <is>
          <t>75-foot tilt panels at Harris Health use an existing method, not a new one.</t>
        </is>
      </c>
      <c r="P124" s="10" t="inlineStr"/>
      <c r="Q124" s="12" t="inlineStr"/>
      <c r="R124" s="16">
        <f>IF(P124="","ADD LINKEDIN","ok")</f>
        <v/>
      </c>
      <c r="S124" s="12" t="inlineStr">
        <is>
          <t>https://bakerconstruction.com/</t>
        </is>
      </c>
      <c r="T124" s="15" t="inlineStr">
        <is>
          <t>Pours tilt panels and structural concrete nationally, with its Texas jobs mostly in Houston. Machine purchases run through a national desk.</t>
        </is>
      </c>
      <c r="U124" s="12" t="inlineStr">
        <is>
          <t>YES</t>
        </is>
      </c>
      <c r="V124" s="15" t="inlineStr">
        <is>
          <t>Leadership page. In the role from June 2023.</t>
        </is>
      </c>
      <c r="W124" s="12" t="inlineStr">
        <is>
          <t>https://bakerconstruction.com/about-us/leadership/</t>
        </is>
      </c>
      <c r="X124" s="12" t="inlineStr">
        <is>
          <t>https://www.linkedin.com/company/bakerconstruction/</t>
        </is>
      </c>
      <c r="Y124" s="12" t="inlineStr">
        <is>
          <t>https://bakerconstruction.com/about-us/leadership/</t>
        </is>
      </c>
      <c r="Z124" s="12" t="inlineStr"/>
      <c r="AA124" s="12" t="inlineStr">
        <is>
          <t>(800) 539-2224</t>
        </is>
      </c>
      <c r="AB124" s="12" t="inlineStr">
        <is>
          <t>Headquarters</t>
        </is>
      </c>
      <c r="AC124" s="12" t="inlineStr">
        <is>
          <t>https://bakerconstruction.com/</t>
        </is>
      </c>
      <c r="AD124" s="12" t="inlineStr"/>
      <c r="AE124" s="12" t="inlineStr"/>
    </row>
    <row r="125">
      <c r="A125" s="6" t="inlineStr">
        <is>
          <t>Gary Benson</t>
        </is>
      </c>
      <c r="B125" s="6" t="inlineStr">
        <is>
          <t>Baker Construction</t>
        </is>
      </c>
      <c r="C125" s="6" t="inlineStr">
        <is>
          <t>Chief Operating Officer, Baker Construction Enterprises</t>
        </is>
      </c>
      <c r="D125" s="7" t="inlineStr">
        <is>
          <t>Contractors and plants</t>
        </is>
      </c>
      <c r="E125" s="8" t="n">
        <v>1</v>
      </c>
      <c r="F125" s="6" t="inlineStr">
        <is>
          <t>Printer buyer</t>
        </is>
      </c>
      <c r="G125" s="6" t="inlineStr">
        <is>
          <t>Tilt-up and structural concrete contractor</t>
        </is>
      </c>
      <c r="H125" s="6" t="inlineStr">
        <is>
          <t>National, with published Texas work mostly in Houston</t>
        </is>
      </c>
      <c r="I125" s="6" t="inlineStr">
        <is>
          <t>More than 12,500 co-workers across the U.S., its own count</t>
        </is>
      </c>
      <c r="J125" s="8" t="inlineStr">
        <is>
          <t>Yes</t>
        </is>
      </c>
      <c r="K125" s="9" t="inlineStr">
        <is>
          <t>Tilt panels and structural concrete repeated across US markets.</t>
        </is>
      </c>
      <c r="L125" s="8" t="inlineStr">
        <is>
          <t>No</t>
        </is>
      </c>
      <c r="M125" s="9" t="inlineStr">
        <is>
          <t>Machine purchases run through a national desk.</t>
        </is>
      </c>
      <c r="N125" s="8" t="inlineStr">
        <is>
          <t>No</t>
        </is>
      </c>
      <c r="O125" s="9" t="inlineStr">
        <is>
          <t>75-foot tilt panels at Harris Health use an existing method, not a new one.</t>
        </is>
      </c>
      <c r="P125" s="10" t="inlineStr"/>
      <c r="Q125" s="6" t="inlineStr"/>
      <c r="R125" s="11">
        <f>IF(P125="","ADD LINKEDIN","ok")</f>
        <v/>
      </c>
      <c r="S125" s="6" t="inlineStr">
        <is>
          <t>https://bakerconstruction.com/</t>
        </is>
      </c>
      <c r="T125" s="9" t="inlineStr">
        <is>
          <t>Pours tilt panels and structural concrete nationally, with its Texas jobs mostly in Houston. Machine purchases run through a national desk.</t>
        </is>
      </c>
      <c r="U125" s="6" t="inlineStr">
        <is>
          <t>YES</t>
        </is>
      </c>
      <c r="V125" s="9" t="inlineStr">
        <is>
          <t>Leadership page.</t>
        </is>
      </c>
      <c r="W125" s="6" t="inlineStr">
        <is>
          <t>https://bakerconstruction.com/about-us/leadership/</t>
        </is>
      </c>
      <c r="X125" s="6" t="inlineStr">
        <is>
          <t>https://www.linkedin.com/company/bakerconstruction/</t>
        </is>
      </c>
      <c r="Y125" s="6" t="inlineStr">
        <is>
          <t>https://bakerconstruction.com/about-us/leadership/</t>
        </is>
      </c>
      <c r="Z125" s="6" t="inlineStr"/>
      <c r="AA125" s="6" t="inlineStr">
        <is>
          <t>(800) 539-2224</t>
        </is>
      </c>
      <c r="AB125" s="6" t="inlineStr">
        <is>
          <t>Headquarters</t>
        </is>
      </c>
      <c r="AC125" s="6" t="inlineStr">
        <is>
          <t>https://bakerconstruction.com/</t>
        </is>
      </c>
      <c r="AD125" s="6" t="inlineStr"/>
      <c r="AE125" s="6" t="inlineStr"/>
    </row>
    <row r="126">
      <c r="A126" s="12" t="inlineStr">
        <is>
          <t>Martin Jordana</t>
        </is>
      </c>
      <c r="B126" s="12" t="inlineStr">
        <is>
          <t>Baker Construction</t>
        </is>
      </c>
      <c r="C126" s="12" t="inlineStr">
        <is>
          <t>President, Central and Great West Region</t>
        </is>
      </c>
      <c r="D126" s="13" t="inlineStr">
        <is>
          <t>Contractors and plants</t>
        </is>
      </c>
      <c r="E126" s="14" t="n">
        <v>1</v>
      </c>
      <c r="F126" s="12" t="inlineStr">
        <is>
          <t>Printer buyer</t>
        </is>
      </c>
      <c r="G126" s="12" t="inlineStr">
        <is>
          <t>Tilt-up and structural concrete contractor</t>
        </is>
      </c>
      <c r="H126" s="12" t="inlineStr">
        <is>
          <t>National, with published Texas work mostly in Houston</t>
        </is>
      </c>
      <c r="I126" s="12" t="inlineStr">
        <is>
          <t>More than 12,500 co-workers across the U.S., its own count</t>
        </is>
      </c>
      <c r="J126" s="14" t="inlineStr">
        <is>
          <t>Yes</t>
        </is>
      </c>
      <c r="K126" s="15" t="inlineStr">
        <is>
          <t>Tilt panels and structural concrete repeated across US markets.</t>
        </is>
      </c>
      <c r="L126" s="14" t="inlineStr">
        <is>
          <t>No</t>
        </is>
      </c>
      <c r="M126" s="15" t="inlineStr">
        <is>
          <t>Machine purchases run through a national desk.</t>
        </is>
      </c>
      <c r="N126" s="14" t="inlineStr">
        <is>
          <t>No</t>
        </is>
      </c>
      <c r="O126" s="15" t="inlineStr">
        <is>
          <t>75-foot tilt panels at Harris Health use an existing method, not a new one.</t>
        </is>
      </c>
      <c r="P126" s="10" t="inlineStr"/>
      <c r="Q126" s="12" t="inlineStr"/>
      <c r="R126" s="16">
        <f>IF(P126="","ADD LINKEDIN","ok")</f>
        <v/>
      </c>
      <c r="S126" s="12" t="inlineStr">
        <is>
          <t>https://bakerconstruction.com/</t>
        </is>
      </c>
      <c r="T126" s="15" t="inlineStr">
        <is>
          <t>Pours tilt panels and structural concrete nationally, with its Texas jobs mostly in Houston. Machine purchases run through a national desk.</t>
        </is>
      </c>
      <c r="U126" s="12" t="inlineStr">
        <is>
          <t>YES</t>
        </is>
      </c>
      <c r="V126" s="15" t="inlineStr">
        <is>
          <t>Leadership page. His region includes Texas.</t>
        </is>
      </c>
      <c r="W126" s="12" t="inlineStr">
        <is>
          <t>https://bakerconstruction.com/about-us/leadership/</t>
        </is>
      </c>
      <c r="X126" s="12" t="inlineStr">
        <is>
          <t>https://www.linkedin.com/company/bakerconstruction/</t>
        </is>
      </c>
      <c r="Y126" s="12" t="inlineStr">
        <is>
          <t>https://bakerconstruction.com/about-us/leadership/</t>
        </is>
      </c>
      <c r="Z126" s="12" t="inlineStr"/>
      <c r="AA126" s="12" t="inlineStr">
        <is>
          <t>(800) 539-2224</t>
        </is>
      </c>
      <c r="AB126" s="12" t="inlineStr">
        <is>
          <t>Headquarters</t>
        </is>
      </c>
      <c r="AC126" s="12" t="inlineStr">
        <is>
          <t>https://bakerconstruction.com/</t>
        </is>
      </c>
      <c r="AD126" s="12" t="inlineStr"/>
      <c r="AE126" s="12" t="inlineStr"/>
    </row>
    <row r="127">
      <c r="A127" s="6" t="inlineStr">
        <is>
          <t>Mark Young</t>
        </is>
      </c>
      <c r="B127" s="6" t="inlineStr">
        <is>
          <t>Brundage-Bone Concrete Pumping</t>
        </is>
      </c>
      <c r="C127" s="6" t="inlineStr">
        <is>
          <t>President, U.S. Concrete Pumping (Brundage-Bone)</t>
        </is>
      </c>
      <c r="D127" s="7" t="inlineStr">
        <is>
          <t>Contractors and plants</t>
        </is>
      </c>
      <c r="E127" s="8" t="n">
        <v>1</v>
      </c>
      <c r="F127" s="6" t="inlineStr">
        <is>
          <t>Printer buyer</t>
        </is>
      </c>
      <c r="G127" s="6" t="inlineStr">
        <is>
          <t>Concrete pumping company</t>
        </is>
      </c>
      <c r="H127" s="6" t="inlineStr">
        <is>
          <t>National, with a Dallas branch</t>
        </is>
      </c>
      <c r="I127" s="6" t="inlineStr">
        <is>
          <t>Over 750 mobile machines in its fleet, company-wide</t>
        </is>
      </c>
      <c r="J127" s="8" t="inlineStr">
        <is>
          <t>Yes</t>
        </is>
      </c>
      <c r="K127" s="9" t="inlineStr">
        <is>
          <t>Pumping and placement repeated across Texas metros.</t>
        </is>
      </c>
      <c r="L127" s="8" t="inlineStr">
        <is>
          <t>No</t>
        </is>
      </c>
      <c r="M127" s="9" t="inlineStr">
        <is>
          <t>National pump fleet, bought at a scale beyond one or two printers.</t>
        </is>
      </c>
      <c r="N127" s="8" t="inlineStr">
        <is>
          <t>No</t>
        </is>
      </c>
      <c r="O127" s="9" t="inlineStr">
        <is>
          <t>Standard pumping equipment. Nothing on record.</t>
        </is>
      </c>
      <c r="P127" s="10" t="inlineStr"/>
      <c r="Q127" s="6" t="inlineStr"/>
      <c r="R127" s="11">
        <f>IF(P127="","ADD LINKEDIN","ok")</f>
        <v/>
      </c>
      <c r="S127" s="6" t="inlineStr">
        <is>
          <t>https://www.brundagebone.com/</t>
        </is>
      </c>
      <c r="T127" s="9" t="inlineStr">
        <is>
          <t>Pumps and places concrete for other firms from a Dallas branch. Its parent is Concrete Pumping Holdings.</t>
        </is>
      </c>
      <c r="U127" s="6" t="inlineStr">
        <is>
          <t>YES</t>
        </is>
      </c>
      <c r="V127" s="9" t="inlineStr">
        <is>
          <t>Parent's management page. General manager of Brundage-Bone since 2018.</t>
        </is>
      </c>
      <c r="W127" s="6" t="inlineStr">
        <is>
          <t>https://www.concretepumpingholdings.com/team/management-team</t>
        </is>
      </c>
      <c r="X127" s="6" t="inlineStr">
        <is>
          <t>https://www.linkedin.com/company/brundage-bone-/</t>
        </is>
      </c>
      <c r="Y127" s="6" t="inlineStr"/>
      <c r="Z127" s="6" t="inlineStr"/>
      <c r="AA127" s="6" t="inlineStr">
        <is>
          <t>(972) 579-4444</t>
        </is>
      </c>
      <c r="AB127" s="6" t="inlineStr">
        <is>
          <t>Dallas branch</t>
        </is>
      </c>
      <c r="AC127" s="6" t="inlineStr">
        <is>
          <t>https://brundagebone.com/locations/dallas/</t>
        </is>
      </c>
      <c r="AD127" s="6" t="inlineStr"/>
      <c r="AE127" s="6" t="inlineStr"/>
    </row>
    <row r="128">
      <c r="A128" s="12" t="inlineStr">
        <is>
          <t>Bruce Young</t>
        </is>
      </c>
      <c r="B128" s="12" t="inlineStr">
        <is>
          <t>Brundage-Bone Concrete Pumping</t>
        </is>
      </c>
      <c r="C128" s="12" t="inlineStr">
        <is>
          <t>Chief Executive Officer, Concrete Pumping Holdings</t>
        </is>
      </c>
      <c r="D128" s="13" t="inlineStr">
        <is>
          <t>Contractors and plants</t>
        </is>
      </c>
      <c r="E128" s="14" t="n">
        <v>1</v>
      </c>
      <c r="F128" s="12" t="inlineStr">
        <is>
          <t>Printer buyer</t>
        </is>
      </c>
      <c r="G128" s="12" t="inlineStr">
        <is>
          <t>Concrete pumping company</t>
        </is>
      </c>
      <c r="H128" s="12" t="inlineStr">
        <is>
          <t>National, with a Dallas branch</t>
        </is>
      </c>
      <c r="I128" s="12" t="inlineStr">
        <is>
          <t>Over 750 mobile machines in its fleet, company-wide</t>
        </is>
      </c>
      <c r="J128" s="14" t="inlineStr">
        <is>
          <t>Yes</t>
        </is>
      </c>
      <c r="K128" s="15" t="inlineStr">
        <is>
          <t>Pumping and placement repeated across Texas metros.</t>
        </is>
      </c>
      <c r="L128" s="14" t="inlineStr">
        <is>
          <t>No</t>
        </is>
      </c>
      <c r="M128" s="15" t="inlineStr">
        <is>
          <t>National pump fleet, bought at a scale beyond one or two printers.</t>
        </is>
      </c>
      <c r="N128" s="14" t="inlineStr">
        <is>
          <t>No</t>
        </is>
      </c>
      <c r="O128" s="15" t="inlineStr">
        <is>
          <t>Standard pumping equipment. Nothing on record.</t>
        </is>
      </c>
      <c r="P128" s="10" t="inlineStr"/>
      <c r="Q128" s="12" t="inlineStr"/>
      <c r="R128" s="16">
        <f>IF(P128="","ADD LINKEDIN","ok")</f>
        <v/>
      </c>
      <c r="S128" s="12" t="inlineStr">
        <is>
          <t>https://www.brundagebone.com/</t>
        </is>
      </c>
      <c r="T128" s="15" t="inlineStr">
        <is>
          <t>Pumps and places concrete for other firms from a Dallas branch. Its parent is Concrete Pumping Holdings.</t>
        </is>
      </c>
      <c r="U128" s="12" t="inlineStr">
        <is>
          <t>YES</t>
        </is>
      </c>
      <c r="V128" s="15" t="inlineStr">
        <is>
          <t>Same page. With Brundage-Bone since 1985, CEO since 2008.</t>
        </is>
      </c>
      <c r="W128" s="12" t="inlineStr">
        <is>
          <t>https://www.concretepumpingholdings.com/team/management-team</t>
        </is>
      </c>
      <c r="X128" s="12" t="inlineStr">
        <is>
          <t>https://www.linkedin.com/company/brundage-bone-/</t>
        </is>
      </c>
      <c r="Y128" s="12" t="inlineStr"/>
      <c r="Z128" s="12" t="inlineStr"/>
      <c r="AA128" s="12" t="inlineStr">
        <is>
          <t>(972) 579-4444</t>
        </is>
      </c>
      <c r="AB128" s="12" t="inlineStr">
        <is>
          <t>Dallas branch</t>
        </is>
      </c>
      <c r="AC128" s="12" t="inlineStr">
        <is>
          <t>https://brundagebone.com/locations/dallas/</t>
        </is>
      </c>
      <c r="AD128" s="12" t="inlineStr"/>
      <c r="AE128" s="12" t="inlineStr"/>
    </row>
    <row r="129">
      <c r="A129" s="6" t="inlineStr">
        <is>
          <t>David Dozzo</t>
        </is>
      </c>
      <c r="B129" s="6" t="inlineStr">
        <is>
          <t>Capform Inc.</t>
        </is>
      </c>
      <c r="C129" s="6" t="inlineStr">
        <is>
          <t>President and Owner</t>
        </is>
      </c>
      <c r="D129" s="7" t="inlineStr">
        <is>
          <t>Contractors and plants</t>
        </is>
      </c>
      <c r="E129" s="8" t="n">
        <v>1</v>
      </c>
      <c r="F129" s="6" t="inlineStr">
        <is>
          <t>Printer buyer</t>
        </is>
      </c>
      <c r="G129" s="6" t="inlineStr">
        <is>
          <t>Structural concrete contractor</t>
        </is>
      </c>
      <c r="H129" s="6" t="inlineStr">
        <is>
          <t>Carrollton, with offices in Austin, Tampa and Miami</t>
        </is>
      </c>
      <c r="I129" s="6" t="inlineStr">
        <is>
          <t>More than $300 million a year, per its own site</t>
        </is>
      </c>
      <c r="J129" s="8" t="inlineStr">
        <is>
          <t>Yes</t>
        </is>
      </c>
      <c r="K129" s="9" t="inlineStr">
        <is>
          <t>Structural concrete and formwork repeated on DFW high-rise and specialty jobs.</t>
        </is>
      </c>
      <c r="L129" s="8" t="inlineStr">
        <is>
          <t>No</t>
        </is>
      </c>
      <c r="M129" s="9" t="inlineStr">
        <is>
          <t>About 1,800 hourly staff across several states. Buys through a commercial purchasing desk.</t>
        </is>
      </c>
      <c r="N129" s="8" t="inlineStr">
        <is>
          <t>No</t>
        </is>
      </c>
      <c r="O129" s="9" t="inlineStr">
        <is>
          <t>Its own formwork designs are equipment. No new wall method.</t>
        </is>
      </c>
      <c r="P129" s="10" t="inlineStr"/>
      <c r="Q129" s="6" t="inlineStr"/>
      <c r="R129" s="11">
        <f>IF(P129="","ADD LINKEDIN","ok")</f>
        <v/>
      </c>
      <c r="S129" s="6" t="inlineStr">
        <is>
          <t>https://capforminc.com/CFI2019/</t>
        </is>
      </c>
      <c r="T129" s="9" t="inlineStr">
        <is>
          <t>Self-performs concrete and formwork for high-rises, hotels and stadiums. Runs a 25-acre formwork yard in Dallas.</t>
        </is>
      </c>
      <c r="U129" s="6" t="inlineStr">
        <is>
          <t>YES</t>
        </is>
      </c>
      <c r="V129" s="9" t="inlineStr">
        <is>
          <t>Capform contact page.</t>
        </is>
      </c>
      <c r="W129" s="6" t="inlineStr">
        <is>
          <t>https://capforminc.com/CFI2019/contact/</t>
        </is>
      </c>
      <c r="X129" s="6" t="inlineStr">
        <is>
          <t>https://www.linkedin.com/company/capform-inc/</t>
        </is>
      </c>
      <c r="Y129" s="6" t="inlineStr">
        <is>
          <t>https://capforminc.com/CFI2019/contact/</t>
        </is>
      </c>
      <c r="Z129" s="6" t="inlineStr"/>
      <c r="AA129" s="6" t="inlineStr">
        <is>
          <t>(972) 245-7292</t>
        </is>
      </c>
      <c r="AB129" s="6" t="inlineStr">
        <is>
          <t>Corporate office, Carrollton</t>
        </is>
      </c>
      <c r="AC129" s="6" t="inlineStr">
        <is>
          <t>https://capforminc.com/CFI2019/</t>
        </is>
      </c>
      <c r="AD129" s="6" t="inlineStr"/>
      <c r="AE129" s="6" t="inlineStr"/>
    </row>
    <row r="130">
      <c r="A130" s="12" t="inlineStr">
        <is>
          <t>Luc Lafleur</t>
        </is>
      </c>
      <c r="B130" s="12" t="inlineStr">
        <is>
          <t>Capform Inc.</t>
        </is>
      </c>
      <c r="C130" s="12" t="inlineStr">
        <is>
          <t>Chief Executive Officer</t>
        </is>
      </c>
      <c r="D130" s="13" t="inlineStr">
        <is>
          <t>Contractors and plants</t>
        </is>
      </c>
      <c r="E130" s="14" t="n">
        <v>1</v>
      </c>
      <c r="F130" s="12" t="inlineStr">
        <is>
          <t>Printer buyer</t>
        </is>
      </c>
      <c r="G130" s="12" t="inlineStr">
        <is>
          <t>Structural concrete contractor</t>
        </is>
      </c>
      <c r="H130" s="12" t="inlineStr">
        <is>
          <t>Carrollton, with offices in Austin, Tampa and Miami</t>
        </is>
      </c>
      <c r="I130" s="12" t="inlineStr">
        <is>
          <t>More than $300 million a year, per its own site</t>
        </is>
      </c>
      <c r="J130" s="14" t="inlineStr">
        <is>
          <t>Yes</t>
        </is>
      </c>
      <c r="K130" s="15" t="inlineStr">
        <is>
          <t>Structural concrete and formwork repeated on DFW high-rise and specialty jobs.</t>
        </is>
      </c>
      <c r="L130" s="14" t="inlineStr">
        <is>
          <t>No</t>
        </is>
      </c>
      <c r="M130" s="15" t="inlineStr">
        <is>
          <t>About 1,800 hourly staff across several states. Buys through a commercial purchasing desk.</t>
        </is>
      </c>
      <c r="N130" s="14" t="inlineStr">
        <is>
          <t>No</t>
        </is>
      </c>
      <c r="O130" s="15" t="inlineStr">
        <is>
          <t>Its own formwork designs are equipment. No new wall method.</t>
        </is>
      </c>
      <c r="P130" s="10" t="inlineStr"/>
      <c r="Q130" s="12" t="inlineStr"/>
      <c r="R130" s="16">
        <f>IF(P130="","ADD LINKEDIN","ok")</f>
        <v/>
      </c>
      <c r="S130" s="12" t="inlineStr">
        <is>
          <t>https://capforminc.com/CFI2019/</t>
        </is>
      </c>
      <c r="T130" s="15" t="inlineStr">
        <is>
          <t>Self-performs concrete and formwork for high-rises, hotels and stadiums. Runs a 25-acre formwork yard in Dallas.</t>
        </is>
      </c>
      <c r="U130" s="12" t="inlineStr">
        <is>
          <t>YES</t>
        </is>
      </c>
      <c r="V130" s="15" t="inlineStr">
        <is>
          <t>Capform officers page.</t>
        </is>
      </c>
      <c r="W130" s="12" t="inlineStr">
        <is>
          <t>https://capforminc.com/CFI2019/contact/</t>
        </is>
      </c>
      <c r="X130" s="12" t="inlineStr">
        <is>
          <t>https://www.linkedin.com/company/capform-inc/</t>
        </is>
      </c>
      <c r="Y130" s="12" t="inlineStr">
        <is>
          <t>https://capforminc.com/CFI2019/contact/</t>
        </is>
      </c>
      <c r="Z130" s="12" t="inlineStr"/>
      <c r="AA130" s="12" t="inlineStr">
        <is>
          <t>(972) 245-7292</t>
        </is>
      </c>
      <c r="AB130" s="12" t="inlineStr">
        <is>
          <t>Corporate office, Carrollton</t>
        </is>
      </c>
      <c r="AC130" s="12" t="inlineStr">
        <is>
          <t>https://capforminc.com/CFI2019/</t>
        </is>
      </c>
      <c r="AD130" s="12" t="inlineStr"/>
      <c r="AE130" s="12" t="inlineStr"/>
    </row>
    <row r="131">
      <c r="A131" s="6" t="inlineStr">
        <is>
          <t>Tuan Pho</t>
        </is>
      </c>
      <c r="B131" s="6" t="inlineStr">
        <is>
          <t>Capform Inc.</t>
        </is>
      </c>
      <c r="C131" s="6" t="inlineStr">
        <is>
          <t>Vice President of Pre-Construction Services</t>
        </is>
      </c>
      <c r="D131" s="7" t="inlineStr">
        <is>
          <t>Contractors and plants</t>
        </is>
      </c>
      <c r="E131" s="8" t="n">
        <v>1</v>
      </c>
      <c r="F131" s="6" t="inlineStr">
        <is>
          <t>Printer buyer</t>
        </is>
      </c>
      <c r="G131" s="6" t="inlineStr">
        <is>
          <t>Structural concrete contractor</t>
        </is>
      </c>
      <c r="H131" s="6" t="inlineStr">
        <is>
          <t>Carrollton, with offices in Austin, Tampa and Miami</t>
        </is>
      </c>
      <c r="I131" s="6" t="inlineStr">
        <is>
          <t>More than $300 million a year, per its own site</t>
        </is>
      </c>
      <c r="J131" s="8" t="inlineStr">
        <is>
          <t>Yes</t>
        </is>
      </c>
      <c r="K131" s="9" t="inlineStr">
        <is>
          <t>Structural concrete and formwork repeated on DFW high-rise and specialty jobs.</t>
        </is>
      </c>
      <c r="L131" s="8" t="inlineStr">
        <is>
          <t>No</t>
        </is>
      </c>
      <c r="M131" s="9" t="inlineStr">
        <is>
          <t>About 1,800 hourly staff across several states. Buys through a commercial purchasing desk.</t>
        </is>
      </c>
      <c r="N131" s="8" t="inlineStr">
        <is>
          <t>No</t>
        </is>
      </c>
      <c r="O131" s="9" t="inlineStr">
        <is>
          <t>Its own formwork designs are equipment. No new wall method.</t>
        </is>
      </c>
      <c r="P131" s="10" t="inlineStr"/>
      <c r="Q131" s="6" t="inlineStr"/>
      <c r="R131" s="11">
        <f>IF(P131="","ADD LINKEDIN","ok")</f>
        <v/>
      </c>
      <c r="S131" s="6" t="inlineStr">
        <is>
          <t>https://capforminc.com/CFI2019/</t>
        </is>
      </c>
      <c r="T131" s="9" t="inlineStr">
        <is>
          <t>Self-performs concrete and formwork for high-rises, hotels and stadiums. Runs a 25-acre formwork yard in Dallas.</t>
        </is>
      </c>
      <c r="U131" s="6" t="inlineStr">
        <is>
          <t>YES</t>
        </is>
      </c>
      <c r="V131" s="9" t="inlineStr">
        <is>
          <t>Capform officers page.</t>
        </is>
      </c>
      <c r="W131" s="6" t="inlineStr">
        <is>
          <t>https://capforminc.com/CFI2019/contact/</t>
        </is>
      </c>
      <c r="X131" s="6" t="inlineStr">
        <is>
          <t>https://www.linkedin.com/company/capform-inc/</t>
        </is>
      </c>
      <c r="Y131" s="6" t="inlineStr">
        <is>
          <t>https://capforminc.com/CFI2019/contact/</t>
        </is>
      </c>
      <c r="Z131" s="6" t="inlineStr"/>
      <c r="AA131" s="6" t="inlineStr">
        <is>
          <t>(972) 245-7292</t>
        </is>
      </c>
      <c r="AB131" s="6" t="inlineStr">
        <is>
          <t>Corporate office, Carrollton</t>
        </is>
      </c>
      <c r="AC131" s="6" t="inlineStr">
        <is>
          <t>https://capforminc.com/CFI2019/</t>
        </is>
      </c>
      <c r="AD131" s="6" t="inlineStr"/>
      <c r="AE131" s="6" t="inlineStr"/>
    </row>
    <row r="132">
      <c r="A132" s="12" t="inlineStr">
        <is>
          <t>Travis Porter</t>
        </is>
      </c>
      <c r="B132" s="12" t="inlineStr">
        <is>
          <t>Manhattan Construction Company, Dallas</t>
        </is>
      </c>
      <c r="C132" s="12" t="inlineStr">
        <is>
          <t>Regional Leader</t>
        </is>
      </c>
      <c r="D132" s="13" t="inlineStr">
        <is>
          <t>Contractors and plants</t>
        </is>
      </c>
      <c r="E132" s="14" t="n">
        <v>1</v>
      </c>
      <c r="F132" s="12" t="inlineStr">
        <is>
          <t>Client</t>
        </is>
      </c>
      <c r="G132" s="12" t="inlineStr">
        <is>
          <t>General contractor</t>
        </is>
      </c>
      <c r="H132" s="12" t="inlineStr">
        <is>
          <t>Farmers Branch, serving North Texas</t>
        </is>
      </c>
      <c r="I132" s="12" t="inlineStr">
        <is>
          <t>Farmers Branch office, named preconstruction director</t>
        </is>
      </c>
      <c r="J132" s="14" t="inlineStr">
        <is>
          <t>Yes</t>
        </is>
      </c>
      <c r="K132" s="15" t="inlineStr">
        <is>
          <t>Commercial and institutional shells repeated across North Texas.</t>
        </is>
      </c>
      <c r="L132" s="14" t="inlineStr">
        <is>
          <t>No</t>
        </is>
      </c>
      <c r="M132" s="15" t="inlineStr">
        <is>
          <t>Regional arm of a national group. Machine purchases run through the group.</t>
        </is>
      </c>
      <c r="N132" s="14" t="inlineStr">
        <is>
          <t>No</t>
        </is>
      </c>
      <c r="O132" s="15" t="inlineStr">
        <is>
          <t>Nothing on record.</t>
        </is>
      </c>
      <c r="P132" s="10" t="inlineStr"/>
      <c r="Q132" s="12" t="inlineStr"/>
      <c r="R132" s="16">
        <f>IF(P132="","ADD LINKEDIN","ok")</f>
        <v/>
      </c>
      <c r="S132" s="12" t="inlineStr">
        <is>
          <t>https://manhattanconstructiongroup.com/manhattan-construction-company/locations/dallas/</t>
        </is>
      </c>
      <c r="T132" s="15" t="inlineStr">
        <is>
          <t>The Dallas arm of a national group, building commercial, institutional and sports work.</t>
        </is>
      </c>
      <c r="U132" s="12" t="inlineStr">
        <is>
          <t>YES</t>
        </is>
      </c>
      <c r="V132" s="15" t="inlineStr">
        <is>
          <t>Dallas location page.</t>
        </is>
      </c>
      <c r="W132" s="12" t="inlineStr">
        <is>
          <t>https://manhattanconstructiongroup.com/manhattan-construction-company/locations/dallas/</t>
        </is>
      </c>
      <c r="X132" s="12" t="inlineStr">
        <is>
          <t>https://www.linkedin.com/company/manhattan-construction-group/</t>
        </is>
      </c>
      <c r="Y132" s="12" t="inlineStr"/>
      <c r="Z132" s="12" t="inlineStr"/>
      <c r="AA132" s="12" t="inlineStr">
        <is>
          <t>(214) 357-7400</t>
        </is>
      </c>
      <c r="AB132" s="12" t="inlineStr">
        <is>
          <t>Dallas office, Farmers Branch</t>
        </is>
      </c>
      <c r="AC132" s="12" t="inlineStr">
        <is>
          <t>https://manhattanconstructiongroup.com/manhattan-construction-company/locations/dallas/</t>
        </is>
      </c>
      <c r="AD132" s="12" t="inlineStr"/>
      <c r="AE132" s="12" t="inlineStr"/>
    </row>
    <row r="133">
      <c r="A133" s="6" t="inlineStr">
        <is>
          <t>Tim Willson</t>
        </is>
      </c>
      <c r="B133" s="6" t="inlineStr">
        <is>
          <t>Manhattan Construction Company, Dallas</t>
        </is>
      </c>
      <c r="C133" s="6" t="inlineStr">
        <is>
          <t>Director of Preconstruction Services</t>
        </is>
      </c>
      <c r="D133" s="7" t="inlineStr">
        <is>
          <t>Contractors and plants</t>
        </is>
      </c>
      <c r="E133" s="8" t="n">
        <v>1</v>
      </c>
      <c r="F133" s="6" t="inlineStr">
        <is>
          <t>Client</t>
        </is>
      </c>
      <c r="G133" s="6" t="inlineStr">
        <is>
          <t>General contractor</t>
        </is>
      </c>
      <c r="H133" s="6" t="inlineStr">
        <is>
          <t>Farmers Branch, serving North Texas</t>
        </is>
      </c>
      <c r="I133" s="6" t="inlineStr">
        <is>
          <t>Farmers Branch office, named preconstruction director</t>
        </is>
      </c>
      <c r="J133" s="8" t="inlineStr">
        <is>
          <t>Yes</t>
        </is>
      </c>
      <c r="K133" s="9" t="inlineStr">
        <is>
          <t>Commercial and institutional shells repeated across North Texas.</t>
        </is>
      </c>
      <c r="L133" s="8" t="inlineStr">
        <is>
          <t>No</t>
        </is>
      </c>
      <c r="M133" s="9" t="inlineStr">
        <is>
          <t>Regional arm of a national group. Machine purchases run through the group.</t>
        </is>
      </c>
      <c r="N133" s="8" t="inlineStr">
        <is>
          <t>No</t>
        </is>
      </c>
      <c r="O133" s="9" t="inlineStr">
        <is>
          <t>Nothing on record.</t>
        </is>
      </c>
      <c r="P133" s="10" t="inlineStr"/>
      <c r="Q133" s="6" t="inlineStr"/>
      <c r="R133" s="11">
        <f>IF(P133="","ADD LINKEDIN","ok")</f>
        <v/>
      </c>
      <c r="S133" s="6" t="inlineStr">
        <is>
          <t>https://manhattanconstructiongroup.com/manhattan-construction-company/locations/dallas/</t>
        </is>
      </c>
      <c r="T133" s="9" t="inlineStr">
        <is>
          <t>The Dallas arm of a national group, building commercial, institutional and sports work.</t>
        </is>
      </c>
      <c r="U133" s="6" t="inlineStr">
        <is>
          <t>YES</t>
        </is>
      </c>
      <c r="V133" s="9" t="inlineStr">
        <is>
          <t>Dallas location page.</t>
        </is>
      </c>
      <c r="W133" s="6" t="inlineStr">
        <is>
          <t>https://manhattanconstructiongroup.com/manhattan-construction-company/locations/dallas/</t>
        </is>
      </c>
      <c r="X133" s="6" t="inlineStr">
        <is>
          <t>https://www.linkedin.com/company/manhattan-construction-group/</t>
        </is>
      </c>
      <c r="Y133" s="6" t="inlineStr"/>
      <c r="Z133" s="6" t="inlineStr"/>
      <c r="AA133" s="6" t="inlineStr">
        <is>
          <t>(214) 357-7400</t>
        </is>
      </c>
      <c r="AB133" s="6" t="inlineStr">
        <is>
          <t>Dallas office, Farmers Branch</t>
        </is>
      </c>
      <c r="AC133" s="6" t="inlineStr">
        <is>
          <t>https://manhattanconstructiongroup.com/manhattan-construction-company/locations/dallas/</t>
        </is>
      </c>
      <c r="AD133" s="6" t="inlineStr"/>
      <c r="AE133" s="6" t="inlineStr"/>
    </row>
    <row r="134">
      <c r="A134" s="12" t="inlineStr">
        <is>
          <t>Justin McAfee</t>
        </is>
      </c>
      <c r="B134" s="12" t="inlineStr">
        <is>
          <t>Rogers-O'Brien Construction</t>
        </is>
      </c>
      <c r="C134" s="12" t="inlineStr">
        <is>
          <t>Chief Executive Officer</t>
        </is>
      </c>
      <c r="D134" s="13" t="inlineStr">
        <is>
          <t>Contractors and plants</t>
        </is>
      </c>
      <c r="E134" s="14" t="n">
        <v>1</v>
      </c>
      <c r="F134" s="12" t="inlineStr">
        <is>
          <t>Client</t>
        </is>
      </c>
      <c r="G134" s="12" t="inlineStr">
        <is>
          <t>General contractor</t>
        </is>
      </c>
      <c r="H134" s="12" t="inlineStr">
        <is>
          <t>Dallas, with offices in Austin, Houston, San Antonio and Waco</t>
        </is>
      </c>
      <c r="I134" s="12" t="inlineStr">
        <is>
          <t>Dallas general contractor, Tilt-Up Concrete Association member</t>
        </is>
      </c>
      <c r="J134" s="14" t="inlineStr">
        <is>
          <t>Yes</t>
        </is>
      </c>
      <c r="K134" s="15" t="inlineStr">
        <is>
          <t>Tilt-wall and industrial shells repeated across Texas markets.</t>
        </is>
      </c>
      <c r="L134" s="14" t="inlineStr">
        <is>
          <t>No</t>
        </is>
      </c>
      <c r="M134" s="15" t="inlineStr">
        <is>
          <t>Volume above what one or two printers cover. Purchasing is corporate.</t>
        </is>
      </c>
      <c r="N134" s="14" t="inlineStr">
        <is>
          <t>No</t>
        </is>
      </c>
      <c r="O134" s="15" t="inlineStr">
        <is>
          <t>Nothing on record. Tilt-up is conventional.</t>
        </is>
      </c>
      <c r="P134" s="10" t="inlineStr"/>
      <c r="Q134" s="12" t="inlineStr"/>
      <c r="R134" s="16">
        <f>IF(P134="","ADD LINKEDIN","ok")</f>
        <v/>
      </c>
      <c r="S134" s="12" t="inlineStr">
        <is>
          <t>https://r-o.com/</t>
        </is>
      </c>
      <c r="T134" s="15" t="inlineStr">
        <is>
          <t>Builds tilt-wall and industrial shells across Texas. Purchasing is corporate.</t>
        </is>
      </c>
      <c r="U134" s="12" t="inlineStr">
        <is>
          <t>YES</t>
        </is>
      </c>
      <c r="V134" s="15" t="inlineStr">
        <is>
          <t>Corporate people page.</t>
        </is>
      </c>
      <c r="W134" s="12" t="inlineStr">
        <is>
          <t>https://r-o.com/people/corporate/</t>
        </is>
      </c>
      <c r="X134" s="12" t="inlineStr">
        <is>
          <t>https://www.linkedin.com/company/rogersobrien/</t>
        </is>
      </c>
      <c r="Y134" s="12" t="inlineStr">
        <is>
          <t>https://r-o.com/people/corporate/</t>
        </is>
      </c>
      <c r="Z134" s="12" t="inlineStr"/>
      <c r="AA134" s="12" t="inlineStr">
        <is>
          <t>(214) 962-3000</t>
        </is>
      </c>
      <c r="AB134" s="12" t="inlineStr">
        <is>
          <t>Headquarters, Dallas</t>
        </is>
      </c>
      <c r="AC134" s="12" t="inlineStr">
        <is>
          <t>https://r-o.com/contact-us/</t>
        </is>
      </c>
      <c r="AD134" s="12" t="inlineStr"/>
      <c r="AE134" s="12" t="inlineStr"/>
    </row>
    <row r="135">
      <c r="A135" s="6" t="inlineStr">
        <is>
          <t>Mike Dempsey</t>
        </is>
      </c>
      <c r="B135" s="6" t="inlineStr">
        <is>
          <t>Rogers-O'Brien Construction</t>
        </is>
      </c>
      <c r="C135" s="6" t="inlineStr">
        <is>
          <t>President and Chief Operating Officer</t>
        </is>
      </c>
      <c r="D135" s="7" t="inlineStr">
        <is>
          <t>Contractors and plants</t>
        </is>
      </c>
      <c r="E135" s="8" t="n">
        <v>1</v>
      </c>
      <c r="F135" s="6" t="inlineStr">
        <is>
          <t>Client</t>
        </is>
      </c>
      <c r="G135" s="6" t="inlineStr">
        <is>
          <t>General contractor</t>
        </is>
      </c>
      <c r="H135" s="6" t="inlineStr">
        <is>
          <t>Dallas, with offices in Austin, Houston, San Antonio and Waco</t>
        </is>
      </c>
      <c r="I135" s="6" t="inlineStr">
        <is>
          <t>Dallas general contractor, Tilt-Up Concrete Association member</t>
        </is>
      </c>
      <c r="J135" s="8" t="inlineStr">
        <is>
          <t>Yes</t>
        </is>
      </c>
      <c r="K135" s="9" t="inlineStr">
        <is>
          <t>Tilt-wall and industrial shells repeated across Texas markets.</t>
        </is>
      </c>
      <c r="L135" s="8" t="inlineStr">
        <is>
          <t>No</t>
        </is>
      </c>
      <c r="M135" s="9" t="inlineStr">
        <is>
          <t>Volume above what one or two printers cover. Purchasing is corporate.</t>
        </is>
      </c>
      <c r="N135" s="8" t="inlineStr">
        <is>
          <t>No</t>
        </is>
      </c>
      <c r="O135" s="9" t="inlineStr">
        <is>
          <t>Nothing on record. Tilt-up is conventional.</t>
        </is>
      </c>
      <c r="P135" s="10" t="inlineStr"/>
      <c r="Q135" s="6" t="inlineStr"/>
      <c r="R135" s="11">
        <f>IF(P135="","ADD LINKEDIN","ok")</f>
        <v/>
      </c>
      <c r="S135" s="6" t="inlineStr">
        <is>
          <t>https://r-o.com/</t>
        </is>
      </c>
      <c r="T135" s="9" t="inlineStr">
        <is>
          <t>Builds tilt-wall and industrial shells across Texas. Purchasing is corporate.</t>
        </is>
      </c>
      <c r="U135" s="6" t="inlineStr">
        <is>
          <t>YES</t>
        </is>
      </c>
      <c r="V135" s="9" t="inlineStr">
        <is>
          <t>Corporate people page.</t>
        </is>
      </c>
      <c r="W135" s="6" t="inlineStr">
        <is>
          <t>https://r-o.com/people/corporate/</t>
        </is>
      </c>
      <c r="X135" s="6" t="inlineStr">
        <is>
          <t>https://www.linkedin.com/company/rogersobrien/</t>
        </is>
      </c>
      <c r="Y135" s="6" t="inlineStr">
        <is>
          <t>https://r-o.com/people/corporate/</t>
        </is>
      </c>
      <c r="Z135" s="6" t="inlineStr"/>
      <c r="AA135" s="6" t="inlineStr">
        <is>
          <t>(214) 962-3000</t>
        </is>
      </c>
      <c r="AB135" s="6" t="inlineStr">
        <is>
          <t>Headquarters, Dallas</t>
        </is>
      </c>
      <c r="AC135" s="6" t="inlineStr">
        <is>
          <t>https://r-o.com/contact-us/</t>
        </is>
      </c>
      <c r="AD135" s="6" t="inlineStr"/>
      <c r="AE135" s="6" t="inlineStr"/>
    </row>
    <row r="136">
      <c r="A136" s="12" t="inlineStr">
        <is>
          <t>Rick Callihan</t>
        </is>
      </c>
      <c r="B136" s="12" t="inlineStr">
        <is>
          <t>Tealstone Residential Concrete</t>
        </is>
      </c>
      <c r="C136" s="12" t="inlineStr">
        <is>
          <t>Vice President</t>
        </is>
      </c>
      <c r="D136" s="13" t="inlineStr">
        <is>
          <t>Contractors and plants</t>
        </is>
      </c>
      <c r="E136" s="14" t="n">
        <v>1</v>
      </c>
      <c r="F136" s="12" t="inlineStr">
        <is>
          <t>Printer buyer</t>
        </is>
      </c>
      <c r="G136" s="12" t="inlineStr">
        <is>
          <t>Residential foundation contractor</t>
        </is>
      </c>
      <c r="H136" s="12" t="inlineStr">
        <is>
          <t>Denton, serving DFW, with work in Houston, Austin, San Antonio, Oklahoma and Arizona</t>
        </is>
      </c>
      <c r="I136" s="12" t="inlineStr">
        <is>
          <t>10,000+ slabs a year, on its own site</t>
        </is>
      </c>
      <c r="J136" s="14" t="inlineStr">
        <is>
          <t>Yes</t>
        </is>
      </c>
      <c r="K136" s="15" t="inlineStr">
        <is>
          <t>Foundations repeated across the same DFW communities.</t>
        </is>
      </c>
      <c r="L136" s="14" t="inlineStr">
        <is>
          <t>No</t>
        </is>
      </c>
      <c r="M136" s="15" t="inlineStr">
        <is>
          <t>10,000+ slabs a year on its own site, far beyond what one or two printers cover.</t>
        </is>
      </c>
      <c r="N136" s="14" t="inlineStr">
        <is>
          <t>No</t>
        </is>
      </c>
      <c r="O136" s="15" t="inlineStr">
        <is>
          <t>Nothing on record.</t>
        </is>
      </c>
      <c r="P136" s="10" t="inlineStr"/>
      <c r="Q136" s="12" t="inlineStr"/>
      <c r="R136" s="16">
        <f>IF(P136="","ADD LINKEDIN","ok")</f>
        <v/>
      </c>
      <c r="S136" s="12" t="inlineStr">
        <is>
          <t>https://tealstonelp.com/</t>
        </is>
      </c>
      <c r="T136" s="15" t="inlineStr">
        <is>
          <t>Pours foundations for DFW production builders in 20-plus communities. A subsidiary of Sterling Infrastructure.</t>
        </is>
      </c>
      <c r="U136" s="12" t="inlineStr"/>
      <c r="V136" s="15" t="inlineStr">
        <is>
          <t>Firm's Who We Are page.</t>
        </is>
      </c>
      <c r="W136" s="12" t="inlineStr">
        <is>
          <t>https://www.tealstonelp.com/who-we-are/</t>
        </is>
      </c>
      <c r="X136" s="12" t="inlineStr">
        <is>
          <t>https://www.linkedin.com/company/tealstone-residential-concrete-inc./</t>
        </is>
      </c>
      <c r="Y136" s="12" t="inlineStr">
        <is>
          <t>https://tealstonelp.com/what-we-do/</t>
        </is>
      </c>
      <c r="Z136" s="12" t="inlineStr"/>
      <c r="AA136" s="12" t="inlineStr">
        <is>
          <t>(940) 383-2887</t>
        </is>
      </c>
      <c r="AB136" s="12" t="inlineStr">
        <is>
          <t>Office, Denton</t>
        </is>
      </c>
      <c r="AC136" s="12" t="inlineStr">
        <is>
          <t>https://tealstonelp.com/contact-us/</t>
        </is>
      </c>
      <c r="AD136" s="12" t="inlineStr"/>
      <c r="AE136" s="12" t="inlineStr"/>
    </row>
    <row r="137">
      <c r="A137" s="6" t="inlineStr">
        <is>
          <t>Gary Engasser</t>
        </is>
      </c>
      <c r="B137" s="6" t="inlineStr">
        <is>
          <t>Tealstone Residential Concrete</t>
        </is>
      </c>
      <c r="C137" s="6" t="inlineStr">
        <is>
          <t>President</t>
        </is>
      </c>
      <c r="D137" s="7" t="inlineStr">
        <is>
          <t>Contractors and plants</t>
        </is>
      </c>
      <c r="E137" s="8" t="n">
        <v>1</v>
      </c>
      <c r="F137" s="6" t="inlineStr">
        <is>
          <t>Printer buyer</t>
        </is>
      </c>
      <c r="G137" s="6" t="inlineStr">
        <is>
          <t>Residential foundation contractor</t>
        </is>
      </c>
      <c r="H137" s="6" t="inlineStr">
        <is>
          <t>Denton, serving DFW, with work in Houston, Austin, San Antonio, Oklahoma and Arizona</t>
        </is>
      </c>
      <c r="I137" s="6" t="inlineStr">
        <is>
          <t>10,000+ slabs a year, on its own site</t>
        </is>
      </c>
      <c r="J137" s="8" t="inlineStr">
        <is>
          <t>Yes</t>
        </is>
      </c>
      <c r="K137" s="9" t="inlineStr">
        <is>
          <t>Foundations repeated across the same DFW communities.</t>
        </is>
      </c>
      <c r="L137" s="8" t="inlineStr">
        <is>
          <t>No</t>
        </is>
      </c>
      <c r="M137" s="9" t="inlineStr">
        <is>
          <t>10,000+ slabs a year on its own site, far beyond what one or two printers cover.</t>
        </is>
      </c>
      <c r="N137" s="8" t="inlineStr">
        <is>
          <t>No</t>
        </is>
      </c>
      <c r="O137" s="9" t="inlineStr">
        <is>
          <t>Nothing on record.</t>
        </is>
      </c>
      <c r="P137" s="10" t="inlineStr"/>
      <c r="Q137" s="6" t="inlineStr"/>
      <c r="R137" s="11">
        <f>IF(P137="","ADD LINKEDIN","ok")</f>
        <v/>
      </c>
      <c r="S137" s="6" t="inlineStr">
        <is>
          <t>https://tealstonelp.com/</t>
        </is>
      </c>
      <c r="T137" s="9" t="inlineStr">
        <is>
          <t>Pours foundations for DFW production builders in 20-plus communities. A subsidiary of Sterling Infrastructure.</t>
        </is>
      </c>
      <c r="U137" s="6" t="inlineStr">
        <is>
          <t>YES</t>
        </is>
      </c>
      <c r="V137" s="9" t="inlineStr">
        <is>
          <t>Firm's Who We Are page.</t>
        </is>
      </c>
      <c r="W137" s="6" t="inlineStr">
        <is>
          <t>https://www.tealstonelp.com/who-we-are/</t>
        </is>
      </c>
      <c r="X137" s="6" t="inlineStr">
        <is>
          <t>https://www.linkedin.com/company/tealstone-residential-concrete-inc./</t>
        </is>
      </c>
      <c r="Y137" s="6" t="inlineStr">
        <is>
          <t>https://tealstonelp.com/what-we-do/</t>
        </is>
      </c>
      <c r="Z137" s="6" t="inlineStr"/>
      <c r="AA137" s="6" t="inlineStr">
        <is>
          <t>(940) 383-2887</t>
        </is>
      </c>
      <c r="AB137" s="6" t="inlineStr">
        <is>
          <t>Office, Denton</t>
        </is>
      </c>
      <c r="AC137" s="6" t="inlineStr">
        <is>
          <t>https://tealstonelp.com/contact-us/</t>
        </is>
      </c>
      <c r="AD137" s="6" t="inlineStr"/>
      <c r="AE137" s="6" t="inlineStr"/>
    </row>
    <row r="138">
      <c r="A138" s="12" t="inlineStr">
        <is>
          <t>Dwain Hutton</t>
        </is>
      </c>
      <c r="B138" s="12" t="inlineStr">
        <is>
          <t>UFP Site Built, Hillsboro</t>
        </is>
      </c>
      <c r="C138" s="12" t="inlineStr">
        <is>
          <t>Executive Vice President, UFP Site Built</t>
        </is>
      </c>
      <c r="D138" s="13" t="inlineStr">
        <is>
          <t>Contractors and plants</t>
        </is>
      </c>
      <c r="E138" s="14" t="n">
        <v>1</v>
      </c>
      <c r="F138" s="12" t="inlineStr">
        <is>
          <t>Printer buyer</t>
        </is>
      </c>
      <c r="G138" s="12" t="inlineStr">
        <is>
          <t>Truss and wall panel plant</t>
        </is>
      </c>
      <c r="H138" s="12" t="inlineStr">
        <is>
          <t>Hillsboro, serving DFW</t>
        </is>
      </c>
      <c r="I138" s="12" t="inlineStr">
        <is>
          <t>Hillsboro plant, one of 25 UFP Site Built facilities</t>
        </is>
      </c>
      <c r="J138" s="14" t="inlineStr">
        <is>
          <t>Yes</t>
        </is>
      </c>
      <c r="K138" s="15" t="inlineStr">
        <is>
          <t>Trusses and components made repeatedly for Texas production builders.</t>
        </is>
      </c>
      <c r="L138" s="14" t="inlineStr">
        <is>
          <t>No</t>
        </is>
      </c>
      <c r="M138" s="15" t="inlineStr">
        <is>
          <t>Purchasing is corporate.</t>
        </is>
      </c>
      <c r="N138" s="14" t="inlineStr">
        <is>
          <t>No</t>
        </is>
      </c>
      <c r="O138" s="15" t="inlineStr">
        <is>
          <t>No record of paying for an unproven method. Wall panels are its ordinary business.</t>
        </is>
      </c>
      <c r="P138" s="10" t="inlineStr"/>
      <c r="Q138" s="12" t="inlineStr"/>
      <c r="R138" s="16">
        <f>IF(P138="","ADD LINKEDIN","ok")</f>
        <v/>
      </c>
      <c r="S138" s="12" t="inlineStr">
        <is>
          <t>https://ufpsitebuilt.com/our-locations/hillsboro-tx</t>
        </is>
      </c>
      <c r="T138" s="15" t="inlineStr">
        <is>
          <t>Makes trusses and wall panels for DFW builders. Part of UFP Industries, with corporate purchasing.</t>
        </is>
      </c>
      <c r="U138" s="12" t="inlineStr">
        <is>
          <t>YES</t>
        </is>
      </c>
      <c r="V138" s="15" t="inlineStr">
        <is>
          <t>UFP Site Built leadership page.</t>
        </is>
      </c>
      <c r="W138" s="12" t="inlineStr">
        <is>
          <t>https://ufpsitebuilt.com/leadershipteam/</t>
        </is>
      </c>
      <c r="X138" s="12" t="inlineStr">
        <is>
          <t>https://www.linkedin.com/company/ufpconstruction-sitebuilt/</t>
        </is>
      </c>
      <c r="Y138" s="12" t="inlineStr"/>
      <c r="Z138" s="12" t="inlineStr"/>
      <c r="AA138" s="12" t="inlineStr">
        <is>
          <t>(254) 580-2846</t>
        </is>
      </c>
      <c r="AB138" s="12" t="inlineStr">
        <is>
          <t>Hillsboro plant</t>
        </is>
      </c>
      <c r="AC138" s="12" t="inlineStr">
        <is>
          <t>https://ufpsitebuilt.com/our-locations/hillsboro-tx</t>
        </is>
      </c>
      <c r="AD138" s="12" t="inlineStr"/>
      <c r="AE138" s="12" t="inlineStr"/>
    </row>
    <row r="139">
      <c r="A139" s="6" t="inlineStr">
        <is>
          <t>Mike Mizell</t>
        </is>
      </c>
      <c r="B139" s="6" t="inlineStr">
        <is>
          <t>UFP Site Built, Hillsboro</t>
        </is>
      </c>
      <c r="C139" s="6" t="inlineStr">
        <is>
          <t>Vice President Operations West, UFP Site Built</t>
        </is>
      </c>
      <c r="D139" s="7" t="inlineStr">
        <is>
          <t>Contractors and plants</t>
        </is>
      </c>
      <c r="E139" s="8" t="n">
        <v>1</v>
      </c>
      <c r="F139" s="6" t="inlineStr">
        <is>
          <t>Printer buyer</t>
        </is>
      </c>
      <c r="G139" s="6" t="inlineStr">
        <is>
          <t>Truss and wall panel plant</t>
        </is>
      </c>
      <c r="H139" s="6" t="inlineStr">
        <is>
          <t>Hillsboro, serving DFW</t>
        </is>
      </c>
      <c r="I139" s="6" t="inlineStr">
        <is>
          <t>Hillsboro plant, one of 25 UFP Site Built facilities</t>
        </is>
      </c>
      <c r="J139" s="8" t="inlineStr">
        <is>
          <t>Yes</t>
        </is>
      </c>
      <c r="K139" s="9" t="inlineStr">
        <is>
          <t>Trusses and components made repeatedly for Texas production builders.</t>
        </is>
      </c>
      <c r="L139" s="8" t="inlineStr">
        <is>
          <t>No</t>
        </is>
      </c>
      <c r="M139" s="9" t="inlineStr">
        <is>
          <t>Purchasing is corporate.</t>
        </is>
      </c>
      <c r="N139" s="8" t="inlineStr">
        <is>
          <t>No</t>
        </is>
      </c>
      <c r="O139" s="9" t="inlineStr">
        <is>
          <t>No record of paying for an unproven method. Wall panels are its ordinary business.</t>
        </is>
      </c>
      <c r="P139" s="10" t="inlineStr"/>
      <c r="Q139" s="6" t="inlineStr"/>
      <c r="R139" s="11">
        <f>IF(P139="","ADD LINKEDIN","ok")</f>
        <v/>
      </c>
      <c r="S139" s="6" t="inlineStr">
        <is>
          <t>https://ufpsitebuilt.com/our-locations/hillsboro-tx</t>
        </is>
      </c>
      <c r="T139" s="9" t="inlineStr">
        <is>
          <t>Makes trusses and wall panels for DFW builders. Part of UFP Industries, with corporate purchasing.</t>
        </is>
      </c>
      <c r="U139" s="6" t="inlineStr">
        <is>
          <t>YES</t>
        </is>
      </c>
      <c r="V139" s="9" t="inlineStr">
        <is>
          <t>UFP Site Built leadership page.</t>
        </is>
      </c>
      <c r="W139" s="6" t="inlineStr">
        <is>
          <t>https://ufpsitebuilt.com/leadershipteam/</t>
        </is>
      </c>
      <c r="X139" s="6" t="inlineStr">
        <is>
          <t>https://www.linkedin.com/company/ufpconstruction-sitebuilt/</t>
        </is>
      </c>
      <c r="Y139" s="6" t="inlineStr"/>
      <c r="Z139" s="6" t="inlineStr"/>
      <c r="AA139" s="6" t="inlineStr">
        <is>
          <t>(254) 580-2846</t>
        </is>
      </c>
      <c r="AB139" s="6" t="inlineStr">
        <is>
          <t>Hillsboro plant</t>
        </is>
      </c>
      <c r="AC139" s="6" t="inlineStr">
        <is>
          <t>https://ufpsitebuilt.com/our-locations/hillsboro-tx</t>
        </is>
      </c>
      <c r="AD139" s="6" t="inlineStr"/>
      <c r="AE139" s="6" t="inlineStr"/>
    </row>
    <row r="140">
      <c r="A140" s="12" t="inlineStr">
        <is>
          <t>Steve Brown</t>
        </is>
      </c>
      <c r="B140" s="12" t="inlineStr">
        <is>
          <t>Carl Franklin Homes, L.C.</t>
        </is>
      </c>
      <c r="C140" s="12" t="inlineStr">
        <is>
          <t>Owner and President</t>
        </is>
      </c>
      <c r="D140" s="13" t="inlineStr">
        <is>
          <t>Custom and hybrid job</t>
        </is>
      </c>
      <c r="E140" s="14" t="n">
        <v>3</v>
      </c>
      <c r="F140" s="12" t="inlineStr">
        <is>
          <t>Printer buyer</t>
        </is>
      </c>
      <c r="G140" s="12" t="inlineStr">
        <is>
          <t>Custom homebuilder, SIP walls</t>
        </is>
      </c>
      <c r="H140" s="12" t="inlineStr">
        <is>
          <t>Lewisville and Plano area, with a DOE project in Garland</t>
        </is>
      </c>
      <c r="I140" s="12" t="inlineStr">
        <is>
          <t>Structural insulated panels on new homes since 1993</t>
        </is>
      </c>
      <c r="J140" s="14" t="inlineStr">
        <is>
          <t>Partly</t>
        </is>
      </c>
      <c r="K140" s="15" t="inlineStr">
        <is>
          <t>Custom homes, no production plan set.</t>
        </is>
      </c>
      <c r="L140" s="14" t="inlineStr">
        <is>
          <t>Partly</t>
        </is>
      </c>
      <c r="M140" s="15" t="inlineStr">
        <is>
          <t>Low-volume custom builder. No yearly home count.</t>
        </is>
      </c>
      <c r="N140" s="14" t="inlineStr">
        <is>
          <t>Yes</t>
        </is>
      </c>
      <c r="O140" s="15" t="inlineStr">
        <is>
          <t>Panels are its wall system, per the 2014 DOE case study.</t>
        </is>
      </c>
      <c r="P140" s="10" t="inlineStr"/>
      <c r="Q140" s="12" t="inlineStr"/>
      <c r="R140" s="16">
        <f>IF(P140="","ADD LINKEDIN","ok")</f>
        <v/>
      </c>
      <c r="S140" s="12" t="inlineStr"/>
      <c r="T140" s="15" t="inlineStr">
        <is>
          <t>Builds custom homes in the Lewisville and Plano area. A 2014 DOE case study names Steve Brown as its head.</t>
        </is>
      </c>
      <c r="U140" s="12" t="inlineStr">
        <is>
          <t>YES</t>
        </is>
      </c>
      <c r="V140" s="15" t="inlineStr">
        <is>
          <t>2014 DOE case study. Mitsubishi Comfort case study calls him president.</t>
        </is>
      </c>
      <c r="W140" s="12" t="inlineStr">
        <is>
          <t>https://www.energy.gov/sites/prod/files/2015/06/f22/DOE_ZEH_CarlFranklin_09-20-14.pdf</t>
        </is>
      </c>
      <c r="X140" s="12" t="inlineStr"/>
      <c r="Y140" s="12" t="inlineStr"/>
      <c r="Z140" s="12" t="inlineStr"/>
      <c r="AA140" s="12" t="inlineStr"/>
      <c r="AB140" s="12" t="inlineStr"/>
      <c r="AC140" s="12" t="inlineStr"/>
      <c r="AD140" s="12" t="inlineStr"/>
      <c r="AE140" s="12" t="inlineStr"/>
    </row>
    <row r="141">
      <c r="A141" s="6" t="inlineStr">
        <is>
          <t>Chris Lemming</t>
        </is>
      </c>
      <c r="B141" s="6" t="inlineStr">
        <is>
          <t>Partners in Building</t>
        </is>
      </c>
      <c r="C141" s="6" t="inlineStr">
        <is>
          <t>President</t>
        </is>
      </c>
      <c r="D141" s="7" t="inlineStr">
        <is>
          <t>Custom and hybrid job</t>
        </is>
      </c>
      <c r="E141" s="8" t="n">
        <v>1</v>
      </c>
      <c r="F141" s="6" t="inlineStr">
        <is>
          <t>Printer buyer</t>
        </is>
      </c>
      <c r="G141" s="6" t="inlineStr">
        <is>
          <t>Custom homebuilder, build on your lot</t>
        </is>
      </c>
      <c r="H141" s="6" t="inlineStr">
        <is>
          <t>Carrollton office, building across Texas and Tennessee</t>
        </is>
      </c>
      <c r="I141" s="6" t="inlineStr">
        <is>
          <t>286 company-wide closings in 2025, BUILDER's list rank 153</t>
        </is>
      </c>
      <c r="J141" s="8" t="inlineStr">
        <is>
          <t>No</t>
        </is>
      </c>
      <c r="K141" s="9" t="inlineStr">
        <is>
          <t>Every home is one-of-a-kind, by its own description.</t>
        </is>
      </c>
      <c r="L141" s="8" t="inlineStr">
        <is>
          <t>Yes</t>
        </is>
      </c>
      <c r="M141" s="9" t="inlineStr">
        <is>
          <t>286 closings in 2025 per BUILDER, company-wide across Texas and Tennessee.</t>
        </is>
      </c>
      <c r="N141" s="8" t="inlineStr">
        <is>
          <t>No</t>
        </is>
      </c>
      <c r="O141" s="9" t="inlineStr">
        <is>
          <t>Nothing on record.</t>
        </is>
      </c>
      <c r="P141" s="10" t="inlineStr"/>
      <c r="Q141" s="6" t="inlineStr"/>
      <c r="R141" s="11">
        <f>IF(P141="","ADD LINKEDIN","ok")</f>
        <v/>
      </c>
      <c r="S141" s="6" t="inlineStr">
        <is>
          <t>https://partnersinbuilding.com/</t>
        </is>
      </c>
      <c r="T141" s="9" t="inlineStr">
        <is>
          <t>Builds one-of-a-kind homes on buyers' lots. Entered Dallas in 2022 by buying Paul Taylor Homes.</t>
        </is>
      </c>
      <c r="U141" s="6" t="inlineStr">
        <is>
          <t>YES</t>
        </is>
      </c>
      <c r="V141" s="9" t="inlineStr">
        <is>
          <t>Realty News Report, June 11, 2026. Previously Division President for DFW.</t>
        </is>
      </c>
      <c r="W141" s="6" t="inlineStr">
        <is>
          <t>https://realtynewsreport.com/houston-home-builder-names-new-leader/</t>
        </is>
      </c>
      <c r="X141" s="6" t="inlineStr">
        <is>
          <t>https://www.linkedin.com/company/partners-in-building/</t>
        </is>
      </c>
      <c r="Y141" s="6" t="inlineStr"/>
      <c r="Z141" s="6" t="inlineStr">
        <is>
          <t>2026-06-11 Realty News Report. Houston Home Builder Names New Leader  https://realtynewsreport.com/houston-home-builder-names-new-leader/</t>
        </is>
      </c>
      <c r="AA141" s="6" t="inlineStr">
        <is>
          <t>(469) 902-3200</t>
        </is>
      </c>
      <c r="AB141" s="6" t="inlineStr">
        <is>
          <t>DFW office, Carrollton</t>
        </is>
      </c>
      <c r="AC141" s="6" t="inlineStr">
        <is>
          <t>https://partnersinbuilding.com/contact</t>
        </is>
      </c>
      <c r="AD141" s="6" t="inlineStr"/>
      <c r="AE141" s="6" t="inlineStr"/>
    </row>
    <row r="142">
      <c r="A142" s="12" t="inlineStr">
        <is>
          <t>Jim Lemming</t>
        </is>
      </c>
      <c r="B142" s="12" t="inlineStr">
        <is>
          <t>Partners in Building</t>
        </is>
      </c>
      <c r="C142" s="12" t="inlineStr">
        <is>
          <t>Chairman</t>
        </is>
      </c>
      <c r="D142" s="13" t="inlineStr">
        <is>
          <t>Custom and hybrid job</t>
        </is>
      </c>
      <c r="E142" s="14" t="n">
        <v>1</v>
      </c>
      <c r="F142" s="12" t="inlineStr">
        <is>
          <t>Printer buyer</t>
        </is>
      </c>
      <c r="G142" s="12" t="inlineStr">
        <is>
          <t>Custom homebuilder, build on your lot</t>
        </is>
      </c>
      <c r="H142" s="12" t="inlineStr">
        <is>
          <t>Carrollton office, building across Texas and Tennessee</t>
        </is>
      </c>
      <c r="I142" s="12" t="inlineStr">
        <is>
          <t>286 company-wide closings in 2025, BUILDER's list rank 153</t>
        </is>
      </c>
      <c r="J142" s="14" t="inlineStr">
        <is>
          <t>No</t>
        </is>
      </c>
      <c r="K142" s="15" t="inlineStr">
        <is>
          <t>Every home is one-of-a-kind, by its own description.</t>
        </is>
      </c>
      <c r="L142" s="14" t="inlineStr">
        <is>
          <t>Yes</t>
        </is>
      </c>
      <c r="M142" s="15" t="inlineStr">
        <is>
          <t>286 closings in 2025 per BUILDER, company-wide across Texas and Tennessee.</t>
        </is>
      </c>
      <c r="N142" s="14" t="inlineStr">
        <is>
          <t>No</t>
        </is>
      </c>
      <c r="O142" s="15" t="inlineStr">
        <is>
          <t>Nothing on record.</t>
        </is>
      </c>
      <c r="P142" s="10" t="inlineStr"/>
      <c r="Q142" s="12" t="inlineStr"/>
      <c r="R142" s="16">
        <f>IF(P142="","ADD LINKEDIN","ok")</f>
        <v/>
      </c>
      <c r="S142" s="12" t="inlineStr">
        <is>
          <t>https://partnersinbuilding.com/</t>
        </is>
      </c>
      <c r="T142" s="15" t="inlineStr">
        <is>
          <t>Builds one-of-a-kind homes on buyers' lots. Entered Dallas in 2022 by buying Paul Taylor Homes.</t>
        </is>
      </c>
      <c r="U142" s="12" t="inlineStr"/>
      <c r="V142" s="15" t="inlineStr">
        <is>
          <t>CEO from 2010, per story page. Moved to Chairman, June 2026.</t>
        </is>
      </c>
      <c r="W142" s="12" t="inlineStr">
        <is>
          <t>https://partnersinbuilding.com/our-story</t>
        </is>
      </c>
      <c r="X142" s="12" t="inlineStr">
        <is>
          <t>https://www.linkedin.com/company/partners-in-building/</t>
        </is>
      </c>
      <c r="Y142" s="12" t="inlineStr"/>
      <c r="Z142" s="12" t="inlineStr">
        <is>
          <t>2026-06-11 Realty News Report. Houston Home Builder Names New Leader  https://realtynewsreport.com/houston-home-builder-names-new-leader/</t>
        </is>
      </c>
      <c r="AA142" s="12" t="inlineStr">
        <is>
          <t>(469) 902-3200</t>
        </is>
      </c>
      <c r="AB142" s="12" t="inlineStr">
        <is>
          <t>DFW office, Carrollton</t>
        </is>
      </c>
      <c r="AC142" s="12" t="inlineStr">
        <is>
          <t>https://partnersinbuilding.com/contact</t>
        </is>
      </c>
      <c r="AD142" s="12" t="inlineStr"/>
      <c r="AE142" s="12" t="inlineStr"/>
    </row>
    <row r="143">
      <c r="A143" s="6" t="inlineStr">
        <is>
          <t>Paul J. Romanowski</t>
        </is>
      </c>
      <c r="B143" s="6" t="inlineStr">
        <is>
          <t>D.R. Horton, Inc.</t>
        </is>
      </c>
      <c r="C143" s="6" t="inlineStr">
        <is>
          <t>President and Chief Executive Officer</t>
        </is>
      </c>
      <c r="D143" s="7" t="inlineStr">
        <is>
          <t>National builder</t>
        </is>
      </c>
      <c r="E143" s="8" t="n">
        <v>2</v>
      </c>
      <c r="F143" s="6" t="inlineStr">
        <is>
          <t>Client</t>
        </is>
      </c>
      <c r="G143" s="6" t="inlineStr">
        <is>
          <t>National homebuilder</t>
        </is>
      </c>
      <c r="H143" s="6" t="inlineStr">
        <is>
          <t>Arlington headquarters, with DFW Central, East and West divisions</t>
        </is>
      </c>
      <c r="I143" s="6" t="inlineStr">
        <is>
          <t>7,058 DFW closings in 2025, first on BUILDER's Local Leaders</t>
        </is>
      </c>
      <c r="J143" s="8" t="inlineStr">
        <is>
          <t>Yes</t>
        </is>
      </c>
      <c r="K143" s="9" t="inlineStr">
        <is>
          <t>A production plan library across three DFW divisions, Central, East and West.</t>
        </is>
      </c>
      <c r="L143" s="8" t="inlineStr">
        <is>
          <t>No</t>
        </is>
      </c>
      <c r="M143" s="9" t="inlineStr">
        <is>
          <t>7,058 DFW closings. Purchasing and printer decisions sit above the metro.</t>
        </is>
      </c>
      <c r="N143" s="8" t="inlineStr">
        <is>
          <t>Yes</t>
        </is>
      </c>
      <c r="O143" s="9" t="inlineStr">
        <is>
          <t>Printing robot investment announced March 11, 2024. Brad Conlon spoke for the builder.</t>
        </is>
      </c>
      <c r="P143" s="10" t="inlineStr"/>
      <c r="Q143" s="6" t="inlineStr"/>
      <c r="R143" s="11">
        <f>IF(P143="","ADD LINKEDIN","ok")</f>
        <v/>
      </c>
      <c r="S143" s="6" t="inlineStr">
        <is>
          <t>https://www.drhorton.com/</t>
        </is>
      </c>
      <c r="T143" s="9" t="inlineStr">
        <is>
          <t>Invested in Apis Cor, a maker of construction printing robots, in March 2024. Runs three DFW divisions: Central, East and West.</t>
        </is>
      </c>
      <c r="U143" s="6" t="inlineStr"/>
      <c r="V143" s="9" t="inlineStr">
        <is>
          <t>Investor executive officers page.</t>
        </is>
      </c>
      <c r="W143" s="6" t="inlineStr">
        <is>
          <t>https://investor.drhorton.com/corporate-governance/executive-officers</t>
        </is>
      </c>
      <c r="X143" s="6" t="inlineStr">
        <is>
          <t>https://www.linkedin.com/company/dr-horton/</t>
        </is>
      </c>
      <c r="Y143" s="6" t="inlineStr">
        <is>
          <t>https://investor.drhorton.com/corporate-governance/executive-officers</t>
        </is>
      </c>
      <c r="Z143" s="6" t="inlineStr">
        <is>
          <t>2024-03-11 PR Newswire / Apis Cor. Apis Cor announces strategic investment by D.R. Horton  https://www.prnewswire.com/news-releases/apis-cor-a-manufacturer-of-construction-3d-printing-robots-announces-strategic-investment-by-dr-horton-302084850.html</t>
        </is>
      </c>
      <c r="AA143" s="6" t="inlineStr">
        <is>
          <t>(817) 390-8200</t>
        </is>
      </c>
      <c r="AB143" s="6" t="inlineStr">
        <is>
          <t>Headquarters, Arlington</t>
        </is>
      </c>
      <c r="AC143" s="6" t="inlineStr">
        <is>
          <t>https://www.drhorton.com/contact-us-page</t>
        </is>
      </c>
      <c r="AD143" s="6" t="inlineStr"/>
      <c r="AE143" s="6" t="inlineStr"/>
    </row>
    <row r="144">
      <c r="A144" s="12" t="inlineStr">
        <is>
          <t>Michael J. Murray</t>
        </is>
      </c>
      <c r="B144" s="12" t="inlineStr">
        <is>
          <t>D.R. Horton, Inc.</t>
        </is>
      </c>
      <c r="C144" s="12" t="inlineStr">
        <is>
          <t>Executive Vice President and Chief Operating Officer</t>
        </is>
      </c>
      <c r="D144" s="13" t="inlineStr">
        <is>
          <t>National builder</t>
        </is>
      </c>
      <c r="E144" s="14" t="n">
        <v>2</v>
      </c>
      <c r="F144" s="12" t="inlineStr">
        <is>
          <t>Client</t>
        </is>
      </c>
      <c r="G144" s="12" t="inlineStr">
        <is>
          <t>National homebuilder</t>
        </is>
      </c>
      <c r="H144" s="12" t="inlineStr">
        <is>
          <t>Arlington headquarters, with DFW Central, East and West divisions</t>
        </is>
      </c>
      <c r="I144" s="12" t="inlineStr">
        <is>
          <t>7,058 DFW closings in 2025, first on BUILDER's Local Leaders</t>
        </is>
      </c>
      <c r="J144" s="14" t="inlineStr">
        <is>
          <t>Yes</t>
        </is>
      </c>
      <c r="K144" s="15" t="inlineStr">
        <is>
          <t>A production plan library across three DFW divisions, Central, East and West.</t>
        </is>
      </c>
      <c r="L144" s="14" t="inlineStr">
        <is>
          <t>No</t>
        </is>
      </c>
      <c r="M144" s="15" t="inlineStr">
        <is>
          <t>7,058 DFW closings. Purchasing and printer decisions sit above the metro.</t>
        </is>
      </c>
      <c r="N144" s="14" t="inlineStr">
        <is>
          <t>Yes</t>
        </is>
      </c>
      <c r="O144" s="15" t="inlineStr">
        <is>
          <t>Printing robot investment announced March 11, 2024. Brad Conlon spoke for the builder.</t>
        </is>
      </c>
      <c r="P144" s="10" t="inlineStr"/>
      <c r="Q144" s="12" t="inlineStr"/>
      <c r="R144" s="16">
        <f>IF(P144="","ADD LINKEDIN","ok")</f>
        <v/>
      </c>
      <c r="S144" s="12" t="inlineStr">
        <is>
          <t>https://www.drhorton.com/</t>
        </is>
      </c>
      <c r="T144" s="15" t="inlineStr">
        <is>
          <t>Invested in Apis Cor, a maker of construction printing robots, in March 2024. Runs three DFW divisions: Central, East and West.</t>
        </is>
      </c>
      <c r="U144" s="12" t="inlineStr"/>
      <c r="V144" s="15" t="inlineStr">
        <is>
          <t>Investor executive officers page.</t>
        </is>
      </c>
      <c r="W144" s="12" t="inlineStr">
        <is>
          <t>https://investor.drhorton.com/corporate-governance/executive-officers</t>
        </is>
      </c>
      <c r="X144" s="12" t="inlineStr">
        <is>
          <t>https://www.linkedin.com/company/dr-horton/</t>
        </is>
      </c>
      <c r="Y144" s="12" t="inlineStr">
        <is>
          <t>https://investor.drhorton.com/corporate-governance/executive-officers</t>
        </is>
      </c>
      <c r="Z144" s="12" t="inlineStr">
        <is>
          <t>2024-03-11 PR Newswire / Apis Cor. Apis Cor announces strategic investment by D.R. Horton  https://www.prnewswire.com/news-releases/apis-cor-a-manufacturer-of-construction-3d-printing-robots-announces-strategic-investment-by-dr-horton-302084850.html</t>
        </is>
      </c>
      <c r="AA144" s="12" t="inlineStr">
        <is>
          <t>(817) 390-8200</t>
        </is>
      </c>
      <c r="AB144" s="12" t="inlineStr">
        <is>
          <t>Headquarters, Arlington</t>
        </is>
      </c>
      <c r="AC144" s="12" t="inlineStr">
        <is>
          <t>https://www.drhorton.com/contact-us-page</t>
        </is>
      </c>
      <c r="AD144" s="12" t="inlineStr"/>
      <c r="AE144" s="12" t="inlineStr"/>
    </row>
    <row r="145">
      <c r="A145" s="6" t="inlineStr">
        <is>
          <t>David V. Auld</t>
        </is>
      </c>
      <c r="B145" s="6" t="inlineStr">
        <is>
          <t>D.R. Horton, Inc.</t>
        </is>
      </c>
      <c r="C145" s="6" t="inlineStr">
        <is>
          <t>Executive Chairman</t>
        </is>
      </c>
      <c r="D145" s="7" t="inlineStr">
        <is>
          <t>National builder</t>
        </is>
      </c>
      <c r="E145" s="8" t="n">
        <v>2</v>
      </c>
      <c r="F145" s="6" t="inlineStr">
        <is>
          <t>Client</t>
        </is>
      </c>
      <c r="G145" s="6" t="inlineStr">
        <is>
          <t>National homebuilder</t>
        </is>
      </c>
      <c r="H145" s="6" t="inlineStr">
        <is>
          <t>Arlington headquarters, with DFW Central, East and West divisions</t>
        </is>
      </c>
      <c r="I145" s="6" t="inlineStr">
        <is>
          <t>7,058 DFW closings in 2025, first on BUILDER's Local Leaders</t>
        </is>
      </c>
      <c r="J145" s="8" t="inlineStr">
        <is>
          <t>Yes</t>
        </is>
      </c>
      <c r="K145" s="9" t="inlineStr">
        <is>
          <t>A production plan library across three DFW divisions, Central, East and West.</t>
        </is>
      </c>
      <c r="L145" s="8" t="inlineStr">
        <is>
          <t>No</t>
        </is>
      </c>
      <c r="M145" s="9" t="inlineStr">
        <is>
          <t>7,058 DFW closings. Purchasing and printer decisions sit above the metro.</t>
        </is>
      </c>
      <c r="N145" s="8" t="inlineStr">
        <is>
          <t>Yes</t>
        </is>
      </c>
      <c r="O145" s="9" t="inlineStr">
        <is>
          <t>Printing robot investment announced March 11, 2024. Brad Conlon spoke for the builder.</t>
        </is>
      </c>
      <c r="P145" s="10" t="inlineStr"/>
      <c r="Q145" s="6" t="inlineStr"/>
      <c r="R145" s="11">
        <f>IF(P145="","ADD LINKEDIN","ok")</f>
        <v/>
      </c>
      <c r="S145" s="6" t="inlineStr">
        <is>
          <t>https://www.drhorton.com/</t>
        </is>
      </c>
      <c r="T145" s="9" t="inlineStr">
        <is>
          <t>Invested in Apis Cor, a maker of construction printing robots, in March 2024. Runs three DFW divisions: Central, East and West.</t>
        </is>
      </c>
      <c r="U145" s="6" t="inlineStr"/>
      <c r="V145" s="9" t="inlineStr">
        <is>
          <t>Investor executive officers page.</t>
        </is>
      </c>
      <c r="W145" s="6" t="inlineStr">
        <is>
          <t>https://investor.drhorton.com/corporate-governance/executive-officers</t>
        </is>
      </c>
      <c r="X145" s="6" t="inlineStr">
        <is>
          <t>https://www.linkedin.com/company/dr-horton/</t>
        </is>
      </c>
      <c r="Y145" s="6" t="inlineStr">
        <is>
          <t>https://investor.drhorton.com/corporate-governance/executive-officers</t>
        </is>
      </c>
      <c r="Z145" s="6" t="inlineStr">
        <is>
          <t>2024-03-11 PR Newswire / Apis Cor. Apis Cor announces strategic investment by D.R. Horton  https://www.prnewswire.com/news-releases/apis-cor-a-manufacturer-of-construction-3d-printing-robots-announces-strategic-investment-by-dr-horton-302084850.html</t>
        </is>
      </c>
      <c r="AA145" s="6" t="inlineStr">
        <is>
          <t>(817) 390-8200</t>
        </is>
      </c>
      <c r="AB145" s="6" t="inlineStr">
        <is>
          <t>Headquarters, Arlington</t>
        </is>
      </c>
      <c r="AC145" s="6" t="inlineStr">
        <is>
          <t>https://www.drhorton.com/contact-us-page</t>
        </is>
      </c>
      <c r="AD145" s="6" t="inlineStr"/>
      <c r="AE145" s="6" t="inlineStr"/>
    </row>
    <row r="146">
      <c r="A146" s="12" t="inlineStr">
        <is>
          <t>Brad Conlon</t>
        </is>
      </c>
      <c r="B146" s="12" t="inlineStr">
        <is>
          <t>D.R. Horton, Inc.</t>
        </is>
      </c>
      <c r="C146" s="12" t="inlineStr">
        <is>
          <t>Senior Vice President of Business Development</t>
        </is>
      </c>
      <c r="D146" s="13" t="inlineStr">
        <is>
          <t>National builder</t>
        </is>
      </c>
      <c r="E146" s="14" t="n">
        <v>2</v>
      </c>
      <c r="F146" s="12" t="inlineStr">
        <is>
          <t>Client</t>
        </is>
      </c>
      <c r="G146" s="12" t="inlineStr">
        <is>
          <t>National homebuilder</t>
        </is>
      </c>
      <c r="H146" s="12" t="inlineStr">
        <is>
          <t>Arlington headquarters, with DFW Central, East and West divisions</t>
        </is>
      </c>
      <c r="I146" s="12" t="inlineStr">
        <is>
          <t>7,058 DFW closings in 2025, first on BUILDER's Local Leaders</t>
        </is>
      </c>
      <c r="J146" s="14" t="inlineStr">
        <is>
          <t>Yes</t>
        </is>
      </c>
      <c r="K146" s="15" t="inlineStr">
        <is>
          <t>A production plan library across three DFW divisions, Central, East and West.</t>
        </is>
      </c>
      <c r="L146" s="14" t="inlineStr">
        <is>
          <t>No</t>
        </is>
      </c>
      <c r="M146" s="15" t="inlineStr">
        <is>
          <t>7,058 DFW closings. Purchasing and printer decisions sit above the metro.</t>
        </is>
      </c>
      <c r="N146" s="14" t="inlineStr">
        <is>
          <t>Yes</t>
        </is>
      </c>
      <c r="O146" s="15" t="inlineStr">
        <is>
          <t>Printing robot investment announced March 11, 2024. Brad Conlon spoke for the builder.</t>
        </is>
      </c>
      <c r="P146" s="10" t="inlineStr"/>
      <c r="Q146" s="12" t="inlineStr"/>
      <c r="R146" s="16">
        <f>IF(P146="","ADD LINKEDIN","ok")</f>
        <v/>
      </c>
      <c r="S146" s="12" t="inlineStr">
        <is>
          <t>https://www.drhorton.com/</t>
        </is>
      </c>
      <c r="T146" s="15" t="inlineStr">
        <is>
          <t>Invested in Apis Cor, a maker of construction printing robots, in March 2024. Runs three DFW divisions: Central, East and West.</t>
        </is>
      </c>
      <c r="U146" s="12" t="inlineStr"/>
      <c r="V146" s="15" t="inlineStr">
        <is>
          <t>Quoted on the Apis Cor investment release.</t>
        </is>
      </c>
      <c r="W146" s="12" t="inlineStr">
        <is>
          <t>https://www.prnewswire.com/news-releases/apis-cor-a-manufacturer-of-construction-3d-printing-robots-announces-strategic-investment-by-dr-horton-302084850.html</t>
        </is>
      </c>
      <c r="X146" s="12" t="inlineStr">
        <is>
          <t>https://www.linkedin.com/company/dr-horton/</t>
        </is>
      </c>
      <c r="Y146" s="12" t="inlineStr">
        <is>
          <t>https://investor.drhorton.com/corporate-governance/executive-officers</t>
        </is>
      </c>
      <c r="Z146" s="12" t="inlineStr">
        <is>
          <t>2024-03-11 PR Newswire / Apis Cor. Apis Cor announces strategic investment by D.R. Horton  https://www.prnewswire.com/news-releases/apis-cor-a-manufacturer-of-construction-3d-printing-robots-announces-strategic-investment-by-dr-horton-302084850.html</t>
        </is>
      </c>
      <c r="AA146" s="12" t="inlineStr">
        <is>
          <t>(817) 390-8200</t>
        </is>
      </c>
      <c r="AB146" s="12" t="inlineStr">
        <is>
          <t>Headquarters, Arlington</t>
        </is>
      </c>
      <c r="AC146" s="12" t="inlineStr">
        <is>
          <t>https://www.drhorton.com/contact-us-page</t>
        </is>
      </c>
      <c r="AD146" s="12" t="inlineStr"/>
      <c r="AE146" s="12" t="inlineStr"/>
    </row>
    <row r="147">
      <c r="A147" s="6" t="inlineStr">
        <is>
          <t>Scott Bryson</t>
        </is>
      </c>
      <c r="B147" s="6" t="inlineStr">
        <is>
          <t>PulteGroup, Inc.</t>
        </is>
      </c>
      <c r="C147" s="6" t="inlineStr">
        <is>
          <t>Dallas Division President</t>
        </is>
      </c>
      <c r="D147" s="7" t="inlineStr">
        <is>
          <t>National builder</t>
        </is>
      </c>
      <c r="E147" s="8" t="n">
        <v>2</v>
      </c>
      <c r="F147" s="6" t="inlineStr">
        <is>
          <t>Client</t>
        </is>
      </c>
      <c r="G147" s="6" t="inlineStr">
        <is>
          <t>National homebuilder</t>
        </is>
      </c>
      <c r="H147" s="6" t="inlineStr">
        <is>
          <t>Dallas division, with communities in Forney and Fort Worth</t>
        </is>
      </c>
      <c r="I147" s="6" t="inlineStr">
        <is>
          <t>1,083 DFW closings in 2025, 2.7% share</t>
        </is>
      </c>
      <c r="J147" s="8" t="inlineStr">
        <is>
          <t>Yes</t>
        </is>
      </c>
      <c r="K147" s="9" t="inlineStr">
        <is>
          <t>Pulte, Centex and Del Webb plan libraries across Dallas.</t>
        </is>
      </c>
      <c r="L147" s="8" t="inlineStr">
        <is>
          <t>No</t>
        </is>
      </c>
      <c r="M147" s="9" t="inlineStr">
        <is>
          <t>1,083 DFW closings in 2025. Materials negotiated nationally or regionally make method change a corporate pilot.</t>
        </is>
      </c>
      <c r="N147" s="8" t="inlineStr">
        <is>
          <t>Yes</t>
        </is>
      </c>
      <c r="O147" s="9" t="inlineStr">
        <is>
          <t>Owned a framing plant and piloted a robotic wall.</t>
        </is>
      </c>
      <c r="P147" s="6" t="inlineStr">
        <is>
          <t>https://www.linkedin.com/in/scott-bryson-2909939/</t>
        </is>
      </c>
      <c r="Q147" s="6" t="inlineStr"/>
      <c r="R147" s="11">
        <f>IF(P147="","ADD LINKEDIN","ok")</f>
        <v/>
      </c>
      <c r="S147" s="6" t="inlineStr">
        <is>
          <t>https://www.pulte.com/homes/texas/dallas</t>
        </is>
      </c>
      <c r="T147" s="9" t="inlineStr">
        <is>
          <t>Owned a framing plant and piloted a robotic wall. Materials are negotiated nationally or regionally.</t>
        </is>
      </c>
      <c r="U147" s="6" t="inlineStr">
        <is>
          <t>YES</t>
        </is>
      </c>
      <c r="V147" s="9" t="inlineStr">
        <is>
          <t>Indexed title: Scott Bryson, PulteGroup. PulteGroup release, August 21, 2025.</t>
        </is>
      </c>
      <c r="W147" s="6" t="inlineStr">
        <is>
          <t>https://www.businesswire.com/news/home/20250821913928/en/PulteGroup-Promotes-Scott-Bryson-to-Dallas-Division-President</t>
        </is>
      </c>
      <c r="X147" s="6" t="inlineStr">
        <is>
          <t>https://www.linkedin.com/company/pultegroup/</t>
        </is>
      </c>
      <c r="Y147" s="6" t="inlineStr">
        <is>
          <t>https://www.businesswire.com/news/home/20250821913928/en/PulteGroup-Promotes-Scott-Bryson-to-Dallas-Division-President</t>
        </is>
      </c>
      <c r="Z147" s="6" t="inlineStr">
        <is>
          <t>2025-07-24 Dallas Morning News. The 10 biggest homebuilders in D-FW  https://www.dallasnews.com/business/real-estate/2025/07/24/list-who-are-the-10-biggest-homebuilders-in-d-fw/</t>
        </is>
      </c>
      <c r="AA147" s="6" t="inlineStr">
        <is>
          <t>(972) 200-3727</t>
        </is>
      </c>
      <c r="AB147" s="6" t="inlineStr">
        <is>
          <t>Dallas market line, Pulte Dallas homes page</t>
        </is>
      </c>
      <c r="AC147" s="6" t="inlineStr">
        <is>
          <t>https://www.pulte.com/homes/texas/dallas</t>
        </is>
      </c>
      <c r="AD147" s="6" t="inlineStr"/>
      <c r="AE147" s="6" t="inlineStr"/>
    </row>
    <row r="148">
      <c r="A148" s="12" t="inlineStr">
        <is>
          <t>Jay Brown</t>
        </is>
      </c>
      <c r="B148" s="12" t="inlineStr">
        <is>
          <t>David Weekley Homes</t>
        </is>
      </c>
      <c r="C148" s="12" t="inlineStr">
        <is>
          <t>Chief Executive Officer</t>
        </is>
      </c>
      <c r="D148" s="13" t="inlineStr">
        <is>
          <t>National builder</t>
        </is>
      </c>
      <c r="E148" s="14" t="n">
        <v>2</v>
      </c>
      <c r="F148" s="12" t="inlineStr">
        <is>
          <t>Client</t>
        </is>
      </c>
      <c r="G148" s="12" t="inlineStr">
        <is>
          <t>National homebuilder</t>
        </is>
      </c>
      <c r="H148" s="12" t="inlineStr">
        <is>
          <t>Carrollton division office, with communities across DFW</t>
        </is>
      </c>
      <c r="I148" s="12" t="inlineStr">
        <is>
          <t>943 Dallas-division closings in 2025, its own press kit</t>
        </is>
      </c>
      <c r="J148" s="14" t="inlineStr">
        <is>
          <t>Yes</t>
        </is>
      </c>
      <c r="K148" s="15" t="inlineStr">
        <is>
          <t>67 DFW communities on a national plan library, per the 2025 press kit.</t>
        </is>
      </c>
      <c r="L148" s="14" t="inlineStr">
        <is>
          <t>Partly</t>
        </is>
      </c>
      <c r="M148" s="15" t="inlineStr">
        <is>
          <t>943 Dallas-division closings in 2025, its own press kit.</t>
        </is>
      </c>
      <c r="N148" s="14" t="inlineStr">
        <is>
          <t>No</t>
        </is>
      </c>
      <c r="O148" s="15" t="inlineStr">
        <is>
          <t>ENERGY STAR recognition. Nothing structural on record.</t>
        </is>
      </c>
      <c r="P148" s="6" t="inlineStr">
        <is>
          <t>https://www.linkedin.com/in/jay-brown-14305a12/</t>
        </is>
      </c>
      <c r="Q148" s="12" t="inlineStr"/>
      <c r="R148" s="16">
        <f>IF(P148="","ADD LINKEDIN","ok")</f>
        <v/>
      </c>
      <c r="S148" s="12" t="inlineStr">
        <is>
          <t>https://www.davidweekleyhomes.com/new-homes/tx/dallas-ft-worth</t>
        </is>
      </c>
      <c r="T148" s="15" t="inlineStr">
        <is>
          <t>Repeats a national plan library across 67 DFW communities. Its chief operating officer once ran Dallas.</t>
        </is>
      </c>
      <c r="U148" s="12" t="inlineStr"/>
      <c r="V148" s="15" t="inlineStr">
        <is>
          <t>Indexed title: Jay Brown, David Weekley Homes. Firm's about page.</t>
        </is>
      </c>
      <c r="W148" s="12" t="inlineStr">
        <is>
          <t>https://www.davidweekleyhomes.com/about-us</t>
        </is>
      </c>
      <c r="X148" s="12" t="inlineStr">
        <is>
          <t>https://www.linkedin.com/company/david-weekley-homes/</t>
        </is>
      </c>
      <c r="Y148" s="12" t="inlineStr">
        <is>
          <t>https://www.davidweekleyhomes.com/about-us</t>
        </is>
      </c>
      <c r="Z148" s="12" t="inlineStr">
        <is>
          <t>2025-07-24 Dallas Morning News. The 10 biggest homebuilders in D-FW  https://www.dallasnews.com/business/real-estate/2025/07/24/list-who-are-the-10-biggest-homebuilders-in-d-fw/</t>
        </is>
      </c>
      <c r="AA148" s="12" t="inlineStr">
        <is>
          <t>(877) 933-5539</t>
        </is>
      </c>
      <c r="AB148" s="12" t="inlineStr">
        <is>
          <t>Dallas/Ft. Worth homes page line</t>
        </is>
      </c>
      <c r="AC148" s="12" t="inlineStr">
        <is>
          <t>https://www.davidweekleyhomes.com/new-homes/tx/dallas-ft-worth</t>
        </is>
      </c>
      <c r="AD148" s="12" t="inlineStr"/>
      <c r="AE148" s="12" t="inlineStr"/>
    </row>
    <row r="149">
      <c r="A149" s="6" t="inlineStr">
        <is>
          <t>Chris Weekley</t>
        </is>
      </c>
      <c r="B149" s="6" t="inlineStr">
        <is>
          <t>David Weekley Homes</t>
        </is>
      </c>
      <c r="C149" s="6" t="inlineStr">
        <is>
          <t>President and Vice Chairman</t>
        </is>
      </c>
      <c r="D149" s="7" t="inlineStr">
        <is>
          <t>National builder</t>
        </is>
      </c>
      <c r="E149" s="8" t="n">
        <v>2</v>
      </c>
      <c r="F149" s="6" t="inlineStr">
        <is>
          <t>Client</t>
        </is>
      </c>
      <c r="G149" s="6" t="inlineStr">
        <is>
          <t>National homebuilder</t>
        </is>
      </c>
      <c r="H149" s="6" t="inlineStr">
        <is>
          <t>Carrollton division office, with communities across DFW</t>
        </is>
      </c>
      <c r="I149" s="6" t="inlineStr">
        <is>
          <t>943 Dallas-division closings in 2025, its own press kit</t>
        </is>
      </c>
      <c r="J149" s="8" t="inlineStr">
        <is>
          <t>Yes</t>
        </is>
      </c>
      <c r="K149" s="9" t="inlineStr">
        <is>
          <t>67 DFW communities on a national plan library, per the 2025 press kit.</t>
        </is>
      </c>
      <c r="L149" s="8" t="inlineStr">
        <is>
          <t>Partly</t>
        </is>
      </c>
      <c r="M149" s="9" t="inlineStr">
        <is>
          <t>943 Dallas-division closings in 2025, its own press kit.</t>
        </is>
      </c>
      <c r="N149" s="8" t="inlineStr">
        <is>
          <t>No</t>
        </is>
      </c>
      <c r="O149" s="9" t="inlineStr">
        <is>
          <t>ENERGY STAR recognition. Nothing structural on record.</t>
        </is>
      </c>
      <c r="P149" s="10" t="inlineStr"/>
      <c r="Q149" s="6" t="inlineStr"/>
      <c r="R149" s="11">
        <f>IF(P149="","ADD LINKEDIN","ok")</f>
        <v/>
      </c>
      <c r="S149" s="6" t="inlineStr">
        <is>
          <t>https://www.davidweekleyhomes.com/new-homes/tx/dallas-ft-worth</t>
        </is>
      </c>
      <c r="T149" s="9" t="inlineStr">
        <is>
          <t>Repeats a national plan library across 67 DFW communities. Its chief operating officer once ran Dallas.</t>
        </is>
      </c>
      <c r="U149" s="6" t="inlineStr"/>
      <c r="V149" s="9" t="inlineStr">
        <is>
          <t>Firm's about page.</t>
        </is>
      </c>
      <c r="W149" s="6" t="inlineStr">
        <is>
          <t>https://www.davidweekleyhomes.com/about-us</t>
        </is>
      </c>
      <c r="X149" s="6" t="inlineStr">
        <is>
          <t>https://www.linkedin.com/company/david-weekley-homes/</t>
        </is>
      </c>
      <c r="Y149" s="6" t="inlineStr">
        <is>
          <t>https://www.davidweekleyhomes.com/about-us</t>
        </is>
      </c>
      <c r="Z149" s="6" t="inlineStr">
        <is>
          <t>2025-07-24 Dallas Morning News. The 10 biggest homebuilders in D-FW  https://www.dallasnews.com/business/real-estate/2025/07/24/list-who-are-the-10-biggest-homebuilders-in-d-fw/</t>
        </is>
      </c>
      <c r="AA149" s="6" t="inlineStr">
        <is>
          <t>(877) 933-5539</t>
        </is>
      </c>
      <c r="AB149" s="6" t="inlineStr">
        <is>
          <t>Dallas/Ft. Worth homes page line</t>
        </is>
      </c>
      <c r="AC149" s="6" t="inlineStr">
        <is>
          <t>https://www.davidweekleyhomes.com/new-homes/tx/dallas-ft-worth</t>
        </is>
      </c>
      <c r="AD149" s="6" t="inlineStr"/>
      <c r="AE149" s="6" t="inlineStr"/>
    </row>
    <row r="150">
      <c r="A150" s="12" t="inlineStr">
        <is>
          <t>David Weekley</t>
        </is>
      </c>
      <c r="B150" s="12" t="inlineStr">
        <is>
          <t>David Weekley Homes</t>
        </is>
      </c>
      <c r="C150" s="12" t="inlineStr">
        <is>
          <t>Chairman</t>
        </is>
      </c>
      <c r="D150" s="13" t="inlineStr">
        <is>
          <t>National builder</t>
        </is>
      </c>
      <c r="E150" s="14" t="n">
        <v>2</v>
      </c>
      <c r="F150" s="12" t="inlineStr">
        <is>
          <t>Client</t>
        </is>
      </c>
      <c r="G150" s="12" t="inlineStr">
        <is>
          <t>National homebuilder</t>
        </is>
      </c>
      <c r="H150" s="12" t="inlineStr">
        <is>
          <t>Carrollton division office, with communities across DFW</t>
        </is>
      </c>
      <c r="I150" s="12" t="inlineStr">
        <is>
          <t>943 Dallas-division closings in 2025, its own press kit</t>
        </is>
      </c>
      <c r="J150" s="14" t="inlineStr">
        <is>
          <t>Yes</t>
        </is>
      </c>
      <c r="K150" s="15" t="inlineStr">
        <is>
          <t>67 DFW communities on a national plan library, per the 2025 press kit.</t>
        </is>
      </c>
      <c r="L150" s="14" t="inlineStr">
        <is>
          <t>Partly</t>
        </is>
      </c>
      <c r="M150" s="15" t="inlineStr">
        <is>
          <t>943 Dallas-division closings in 2025, its own press kit.</t>
        </is>
      </c>
      <c r="N150" s="14" t="inlineStr">
        <is>
          <t>No</t>
        </is>
      </c>
      <c r="O150" s="15" t="inlineStr">
        <is>
          <t>ENERGY STAR recognition. Nothing structural on record.</t>
        </is>
      </c>
      <c r="P150" s="6" t="inlineStr">
        <is>
          <t>https://www.linkedin.com/in/david-weekley-507212149</t>
        </is>
      </c>
      <c r="Q150" s="12" t="inlineStr"/>
      <c r="R150" s="16">
        <f>IF(P150="","ADD LINKEDIN","ok")</f>
        <v/>
      </c>
      <c r="S150" s="12" t="inlineStr">
        <is>
          <t>https://www.davidweekleyhomes.com/new-homes/tx/dallas-ft-worth</t>
        </is>
      </c>
      <c r="T150" s="15" t="inlineStr">
        <is>
          <t>Repeats a national plan library across 67 DFW communities. Its chief operating officer once ran Dallas.</t>
        </is>
      </c>
      <c r="U150" s="12" t="inlineStr"/>
      <c r="V150" s="15" t="inlineStr">
        <is>
          <t>Indexed title: Chairman at David Weekley Homes. Firm's about page.</t>
        </is>
      </c>
      <c r="W150" s="12" t="inlineStr">
        <is>
          <t>https://www.davidweekleyhomes.com/about-us</t>
        </is>
      </c>
      <c r="X150" s="12" t="inlineStr">
        <is>
          <t>https://www.linkedin.com/company/david-weekley-homes/</t>
        </is>
      </c>
      <c r="Y150" s="12" t="inlineStr">
        <is>
          <t>https://www.davidweekleyhomes.com/about-us</t>
        </is>
      </c>
      <c r="Z150" s="12" t="inlineStr">
        <is>
          <t>2025-07-24 Dallas Morning News. The 10 biggest homebuilders in D-FW  https://www.dallasnews.com/business/real-estate/2025/07/24/list-who-are-the-10-biggest-homebuilders-in-d-fw/</t>
        </is>
      </c>
      <c r="AA150" s="12" t="inlineStr">
        <is>
          <t>(877) 933-5539</t>
        </is>
      </c>
      <c r="AB150" s="12" t="inlineStr">
        <is>
          <t>Dallas/Ft. Worth homes page line</t>
        </is>
      </c>
      <c r="AC150" s="12" t="inlineStr">
        <is>
          <t>https://www.davidweekleyhomes.com/new-homes/tx/dallas-ft-worth</t>
        </is>
      </c>
      <c r="AD150" s="12" t="inlineStr"/>
      <c r="AE150" s="12" t="inlineStr"/>
    </row>
    <row r="151">
      <c r="A151" s="6" t="inlineStr">
        <is>
          <t>Ladd Fargo</t>
        </is>
      </c>
      <c r="B151" s="6" t="inlineStr">
        <is>
          <t>David Weekley Homes</t>
        </is>
      </c>
      <c r="C151" s="6" t="inlineStr">
        <is>
          <t>Chief Operating Officer</t>
        </is>
      </c>
      <c r="D151" s="7" t="inlineStr">
        <is>
          <t>National builder</t>
        </is>
      </c>
      <c r="E151" s="8" t="n">
        <v>2</v>
      </c>
      <c r="F151" s="6" t="inlineStr">
        <is>
          <t>Client</t>
        </is>
      </c>
      <c r="G151" s="6" t="inlineStr">
        <is>
          <t>National homebuilder</t>
        </is>
      </c>
      <c r="H151" s="6" t="inlineStr">
        <is>
          <t>Carrollton division office, with communities across DFW</t>
        </is>
      </c>
      <c r="I151" s="6" t="inlineStr">
        <is>
          <t>943 Dallas-division closings in 2025, its own press kit</t>
        </is>
      </c>
      <c r="J151" s="8" t="inlineStr">
        <is>
          <t>Yes</t>
        </is>
      </c>
      <c r="K151" s="9" t="inlineStr">
        <is>
          <t>67 DFW communities on a national plan library, per the 2025 press kit.</t>
        </is>
      </c>
      <c r="L151" s="8" t="inlineStr">
        <is>
          <t>Partly</t>
        </is>
      </c>
      <c r="M151" s="9" t="inlineStr">
        <is>
          <t>943 Dallas-division closings in 2025, its own press kit.</t>
        </is>
      </c>
      <c r="N151" s="8" t="inlineStr">
        <is>
          <t>No</t>
        </is>
      </c>
      <c r="O151" s="9" t="inlineStr">
        <is>
          <t>ENERGY STAR recognition. Nothing structural on record.</t>
        </is>
      </c>
      <c r="P151" s="10" t="inlineStr"/>
      <c r="Q151" s="6" t="inlineStr"/>
      <c r="R151" s="11">
        <f>IF(P151="","ADD LINKEDIN","ok")</f>
        <v/>
      </c>
      <c r="S151" s="6" t="inlineStr">
        <is>
          <t>https://www.davidweekleyhomes.com/new-homes/tx/dallas-ft-worth</t>
        </is>
      </c>
      <c r="T151" s="9" t="inlineStr">
        <is>
          <t>Repeats a national plan library across 67 DFW communities. Its chief operating officer once ran Dallas.</t>
        </is>
      </c>
      <c r="U151" s="6" t="inlineStr"/>
      <c r="V151" s="9" t="inlineStr">
        <is>
          <t>About page. Over all division operations.</t>
        </is>
      </c>
      <c r="W151" s="6" t="inlineStr">
        <is>
          <t>https://www.davidweekleyhomes.com/about-us</t>
        </is>
      </c>
      <c r="X151" s="6" t="inlineStr">
        <is>
          <t>https://www.linkedin.com/company/david-weekley-homes/</t>
        </is>
      </c>
      <c r="Y151" s="6" t="inlineStr">
        <is>
          <t>https://www.davidweekleyhomes.com/about-us</t>
        </is>
      </c>
      <c r="Z151" s="6" t="inlineStr">
        <is>
          <t>2025-07-24 Dallas Morning News. The 10 biggest homebuilders in D-FW  https://www.dallasnews.com/business/real-estate/2025/07/24/list-who-are-the-10-biggest-homebuilders-in-d-fw/</t>
        </is>
      </c>
      <c r="AA151" s="6" t="inlineStr">
        <is>
          <t>(877) 933-5539</t>
        </is>
      </c>
      <c r="AB151" s="6" t="inlineStr">
        <is>
          <t>Dallas/Ft. Worth homes page line</t>
        </is>
      </c>
      <c r="AC151" s="6" t="inlineStr">
        <is>
          <t>https://www.davidweekleyhomes.com/new-homes/tx/dallas-ft-worth</t>
        </is>
      </c>
      <c r="AD151" s="6" t="inlineStr"/>
      <c r="AE151" s="6" t="inlineStr"/>
    </row>
    <row r="152">
      <c r="A152" s="12" t="inlineStr">
        <is>
          <t>Kathy Britton</t>
        </is>
      </c>
      <c r="B152" s="12" t="inlineStr">
        <is>
          <t>Perry Homes</t>
        </is>
      </c>
      <c r="C152" s="12" t="inlineStr">
        <is>
          <t>Owner and Executive Chair</t>
        </is>
      </c>
      <c r="D152" s="13" t="inlineStr">
        <is>
          <t>National builder</t>
        </is>
      </c>
      <c r="E152" s="14" t="n">
        <v>2</v>
      </c>
      <c r="F152" s="12" t="inlineStr">
        <is>
          <t>Client</t>
        </is>
      </c>
      <c r="G152" s="12" t="inlineStr">
        <is>
          <t>National homebuilder</t>
        </is>
      </c>
      <c r="H152" s="12" t="inlineStr">
        <is>
          <t>Houston headquarters, Dallas office in Plano</t>
        </is>
      </c>
      <c r="I152" s="12" t="inlineStr">
        <is>
          <t>1,132 DFW closings in 2024, 2.6% share</t>
        </is>
      </c>
      <c r="J152" s="14" t="inlineStr">
        <is>
          <t>Yes</t>
        </is>
      </c>
      <c r="K152" s="15" t="inlineStr">
        <is>
          <t>Repeated plans across Houston, Austin, Dallas-Fort Worth, San Antonio and Florida.</t>
        </is>
      </c>
      <c r="L152" s="14" t="inlineStr">
        <is>
          <t>Partly</t>
        </is>
      </c>
      <c r="M152" s="15" t="inlineStr">
        <is>
          <t>1,132 DFW closings in 2024. Purchasing spans several markets.</t>
        </is>
      </c>
      <c r="N152" s="14" t="inlineStr">
        <is>
          <t>No</t>
        </is>
      </c>
      <c r="O152" s="15" t="inlineStr">
        <is>
          <t>Stresses design, warranty and features. Nothing structural.</t>
        </is>
      </c>
      <c r="P152" s="10" t="inlineStr"/>
      <c r="Q152" s="12" t="inlineStr"/>
      <c r="R152" s="16">
        <f>IF(P152="","ADD LINKEDIN","ok")</f>
        <v/>
      </c>
      <c r="S152" s="12" t="inlineStr">
        <is>
          <t>https://www.perryhomes.com/</t>
        </is>
      </c>
      <c r="T152" s="15" t="inlineStr">
        <is>
          <t>Run from Houston, with purchasing across several markets. Builds in Houston, Austin, Dallas-Fort Worth and San Antonio.</t>
        </is>
      </c>
      <c r="U152" s="12" t="inlineStr"/>
      <c r="V152" s="15" t="inlineStr">
        <is>
          <t>Perry about page.</t>
        </is>
      </c>
      <c r="W152" s="12" t="inlineStr">
        <is>
          <t>https://www.perryhomes.com/about-perry-homes</t>
        </is>
      </c>
      <c r="X152" s="12" t="inlineStr">
        <is>
          <t>https://www.linkedin.com/company/perry-homes/</t>
        </is>
      </c>
      <c r="Y152" s="12" t="inlineStr">
        <is>
          <t>https://www.perryhomes.com/about-perry-homes</t>
        </is>
      </c>
      <c r="Z152" s="12" t="inlineStr">
        <is>
          <t>2025-07-24 Dallas Morning News. The 10 biggest homebuilders in D-FW  https://www.dallasnews.com/business/real-estate/2025/07/24/list-who-are-the-10-biggest-homebuilders-in-d-fw/</t>
        </is>
      </c>
      <c r="AA152" s="12" t="inlineStr">
        <is>
          <t>(800) 247-3779</t>
        </is>
      </c>
      <c r="AB152" s="12" t="inlineStr">
        <is>
          <t>Main line</t>
        </is>
      </c>
      <c r="AC152" s="12" t="inlineStr">
        <is>
          <t>https://www.perryhomes.com/contact-us</t>
        </is>
      </c>
      <c r="AD152" s="12" t="inlineStr"/>
      <c r="AE152" s="12" t="inlineStr"/>
    </row>
    <row r="153">
      <c r="A153" s="6" t="inlineStr">
        <is>
          <t>Todd Chachere</t>
        </is>
      </c>
      <c r="B153" s="6" t="inlineStr">
        <is>
          <t>Perry Homes</t>
        </is>
      </c>
      <c r="C153" s="6" t="inlineStr">
        <is>
          <t>Chief Executive Officer</t>
        </is>
      </c>
      <c r="D153" s="7" t="inlineStr">
        <is>
          <t>National builder</t>
        </is>
      </c>
      <c r="E153" s="8" t="n">
        <v>2</v>
      </c>
      <c r="F153" s="6" t="inlineStr">
        <is>
          <t>Client</t>
        </is>
      </c>
      <c r="G153" s="6" t="inlineStr">
        <is>
          <t>National homebuilder</t>
        </is>
      </c>
      <c r="H153" s="6" t="inlineStr">
        <is>
          <t>Houston headquarters, Dallas office in Plano</t>
        </is>
      </c>
      <c r="I153" s="6" t="inlineStr">
        <is>
          <t>1,132 DFW closings in 2024, 2.6% share</t>
        </is>
      </c>
      <c r="J153" s="8" t="inlineStr">
        <is>
          <t>Yes</t>
        </is>
      </c>
      <c r="K153" s="9" t="inlineStr">
        <is>
          <t>Repeated plans across Houston, Austin, Dallas-Fort Worth, San Antonio and Florida.</t>
        </is>
      </c>
      <c r="L153" s="8" t="inlineStr">
        <is>
          <t>Partly</t>
        </is>
      </c>
      <c r="M153" s="9" t="inlineStr">
        <is>
          <t>1,132 DFW closings in 2024. Purchasing spans several markets.</t>
        </is>
      </c>
      <c r="N153" s="8" t="inlineStr">
        <is>
          <t>No</t>
        </is>
      </c>
      <c r="O153" s="9" t="inlineStr">
        <is>
          <t>Stresses design, warranty and features. Nothing structural.</t>
        </is>
      </c>
      <c r="P153" s="6" t="inlineStr">
        <is>
          <t>https://www.linkedin.com/in/todd-chachere-9516193b/</t>
        </is>
      </c>
      <c r="Q153" s="6" t="inlineStr"/>
      <c r="R153" s="11">
        <f>IF(P153="","ADD LINKEDIN","ok")</f>
        <v/>
      </c>
      <c r="S153" s="6" t="inlineStr">
        <is>
          <t>https://www.perryhomes.com/</t>
        </is>
      </c>
      <c r="T153" s="9" t="inlineStr">
        <is>
          <t>Run from Houston, with purchasing across several markets. Builds in Houston, Austin, Dallas-Fort Worth and San Antonio.</t>
        </is>
      </c>
      <c r="U153" s="6" t="inlineStr"/>
      <c r="V153" s="9" t="inlineStr">
        <is>
          <t>Indexed title: Todd Chachere, Perry Homes. Perry about page.</t>
        </is>
      </c>
      <c r="W153" s="6" t="inlineStr">
        <is>
          <t>https://www.perryhomes.com/about-perry-homes</t>
        </is>
      </c>
      <c r="X153" s="6" t="inlineStr">
        <is>
          <t>https://www.linkedin.com/company/perry-homes/</t>
        </is>
      </c>
      <c r="Y153" s="6" t="inlineStr">
        <is>
          <t>https://www.perryhomes.com/about-perry-homes</t>
        </is>
      </c>
      <c r="Z153" s="6" t="inlineStr">
        <is>
          <t>2025-07-24 Dallas Morning News. The 10 biggest homebuilders in D-FW  https://www.dallasnews.com/business/real-estate/2025/07/24/list-who-are-the-10-biggest-homebuilders-in-d-fw/</t>
        </is>
      </c>
      <c r="AA153" s="6" t="inlineStr">
        <is>
          <t>(800) 247-3779</t>
        </is>
      </c>
      <c r="AB153" s="6" t="inlineStr">
        <is>
          <t>Main line</t>
        </is>
      </c>
      <c r="AC153" s="6" t="inlineStr">
        <is>
          <t>https://www.perryhomes.com/contact-us</t>
        </is>
      </c>
      <c r="AD153" s="6" t="inlineStr"/>
      <c r="AE153" s="6" t="inlineStr"/>
    </row>
    <row r="154">
      <c r="A154" s="12" t="inlineStr">
        <is>
          <t>Troy Radelat</t>
        </is>
      </c>
      <c r="B154" s="12" t="inlineStr">
        <is>
          <t>Beazer Homes</t>
        </is>
      </c>
      <c r="C154" s="12" t="inlineStr">
        <is>
          <t>Area President</t>
        </is>
      </c>
      <c r="D154" s="13" t="inlineStr">
        <is>
          <t>National builder</t>
        </is>
      </c>
      <c r="E154" s="14" t="n">
        <v>1</v>
      </c>
      <c r="F154" s="12" t="inlineStr">
        <is>
          <t>Client</t>
        </is>
      </c>
      <c r="G154" s="12" t="inlineStr">
        <is>
          <t>National homebuilder</t>
        </is>
      </c>
      <c r="H154" s="12" t="inlineStr">
        <is>
          <t>DFW suburbs from Fate and Forney to Celina and Justin</t>
        </is>
      </c>
      <c r="I154" s="12" t="inlineStr">
        <is>
          <t>Dallas page lists 17 DFW place names</t>
        </is>
      </c>
      <c r="J154" s="14" t="inlineStr">
        <is>
          <t>Yes</t>
        </is>
      </c>
      <c r="K154" s="15" t="inlineStr">
        <is>
          <t>Production plans repeated across 17 DFW places, per its Dallas page.</t>
        </is>
      </c>
      <c r="L154" s="14" t="inlineStr">
        <is>
          <t>No</t>
        </is>
      </c>
      <c r="M154" s="15" t="inlineStr">
        <is>
          <t>Purchasing sits at a national desk.</t>
        </is>
      </c>
      <c r="N154" s="14" t="inlineStr">
        <is>
          <t>No</t>
        </is>
      </c>
      <c r="O154" s="15" t="inlineStr">
        <is>
          <t>Nothing on record.</t>
        </is>
      </c>
      <c r="P154" s="10" t="inlineStr"/>
      <c r="Q154" s="12" t="inlineStr"/>
      <c r="R154" s="16">
        <f>IF(P154="","ADD LINKEDIN","ok")</f>
        <v/>
      </c>
      <c r="S154" s="12" t="inlineStr">
        <is>
          <t>https://www.beazer.com/dallas-tx</t>
        </is>
      </c>
      <c r="T154" s="15" t="inlineStr">
        <is>
          <t>A national public builder, buying at a national desk. Sells from Fate and Forney to Celina and Justin.</t>
        </is>
      </c>
      <c r="U154" s="12" t="inlineStr">
        <is>
          <t>YES</t>
        </is>
      </c>
      <c r="V154" s="15" t="inlineStr">
        <is>
          <t>SuperAging, April 25, 2024. Spoke on Gatherings communities in six metros.</t>
        </is>
      </c>
      <c r="W154" s="12" t="inlineStr">
        <is>
          <t>https://superagingnews.com/age-restricted-housing-developments-are-booming/</t>
        </is>
      </c>
      <c r="X154" s="12" t="inlineStr">
        <is>
          <t>https://www.linkedin.com/company/beazer-homes/</t>
        </is>
      </c>
      <c r="Y154" s="12" t="inlineStr"/>
      <c r="Z154" s="12" t="inlineStr"/>
      <c r="AA154" s="12" t="inlineStr">
        <is>
          <t>(469) 630-6077</t>
        </is>
      </c>
      <c r="AB154" s="12" t="inlineStr">
        <is>
          <t>Goodland community sales, Midlothian</t>
        </is>
      </c>
      <c r="AC154" s="12" t="inlineStr">
        <is>
          <t>https://www.beazer.com/dallas-TX/midlothian/goodland</t>
        </is>
      </c>
      <c r="AD154" s="12" t="inlineStr"/>
      <c r="AE154" s="12" t="inlineStr"/>
    </row>
    <row r="155">
      <c r="A155" s="6" t="inlineStr">
        <is>
          <t>Scott Bryson</t>
        </is>
      </c>
      <c r="B155" s="6" t="inlineStr">
        <is>
          <t>Centex (PulteGroup brand)</t>
        </is>
      </c>
      <c r="C155" s="6" t="inlineStr">
        <is>
          <t>Dallas Division President, PulteGroup</t>
        </is>
      </c>
      <c r="D155" s="7" t="inlineStr">
        <is>
          <t>National builder</t>
        </is>
      </c>
      <c r="E155" s="8" t="n">
        <v>1</v>
      </c>
      <c r="F155" s="6" t="inlineStr">
        <is>
          <t>Client</t>
        </is>
      </c>
      <c r="G155" s="6" t="inlineStr">
        <is>
          <t>National homebuilder, a PulteGroup brand</t>
        </is>
      </c>
      <c r="H155" s="6" t="inlineStr">
        <is>
          <t>DFW, with communities in Denton and Forney</t>
        </is>
      </c>
      <c r="I155" s="6" t="inlineStr">
        <is>
          <t>Inside PulteGroup's 1,083 DFW closings in 2025</t>
        </is>
      </c>
      <c r="J155" s="8" t="inlineStr">
        <is>
          <t>Yes</t>
        </is>
      </c>
      <c r="K155" s="9" t="inlineStr">
        <is>
          <t>Entry-level plan sets, including Townsend Green in Denton and Arbordale in Forney.</t>
        </is>
      </c>
      <c r="L155" s="8" t="inlineStr">
        <is>
          <t>No</t>
        </is>
      </c>
      <c r="M155" s="9" t="inlineStr">
        <is>
          <t>A brand, not a separate metro wall buyer.</t>
        </is>
      </c>
      <c r="N155" s="8" t="inlineStr">
        <is>
          <t>No</t>
        </is>
      </c>
      <c r="O155" s="9" t="inlineStr">
        <is>
          <t>Nothing on record. HERS content is PulteGroup platform material.</t>
        </is>
      </c>
      <c r="P155" s="6" t="inlineStr">
        <is>
          <t>https://www.linkedin.com/in/scott-bryson-2909939/</t>
        </is>
      </c>
      <c r="Q155" s="6" t="inlineStr"/>
      <c r="R155" s="11">
        <f>IF(P155="","ADD LINKEDIN","ok")</f>
        <v/>
      </c>
      <c r="S155" s="6" t="inlineStr">
        <is>
          <t>https://www.centex.com/homes/texas/dallas</t>
        </is>
      </c>
      <c r="T155" s="9" t="inlineStr">
        <is>
          <t>PulteGroup's affordable brand, buying through PulteGroup's national desk. Sells at Townsend Green in Denton and Arbordale in Forney.</t>
        </is>
      </c>
      <c r="U155" s="6" t="inlineStr">
        <is>
          <t>YES</t>
        </is>
      </c>
      <c r="V155" s="9" t="inlineStr">
        <is>
          <t>Indexed title: Scott Bryson, PulteGroup. PulteGroup release, August 21, 2025. It does not mention Centex.</t>
        </is>
      </c>
      <c r="W155" s="6" t="inlineStr">
        <is>
          <t>https://www.businesswire.com/news/home/20250821913928/en/PulteGroup-Promotes-Scott-Bryson-to-Dallas-Division-President</t>
        </is>
      </c>
      <c r="X155" s="6" t="inlineStr">
        <is>
          <t>https://www.linkedin.com/company/centex-homes/</t>
        </is>
      </c>
      <c r="Y155" s="6" t="inlineStr"/>
      <c r="Z155" s="6" t="inlineStr"/>
      <c r="AA155" s="6" t="inlineStr">
        <is>
          <t>(972) 634-1226</t>
        </is>
      </c>
      <c r="AB155" s="6" t="inlineStr">
        <is>
          <t>Arbordale community sales, Forney</t>
        </is>
      </c>
      <c r="AC155" s="6" t="inlineStr">
        <is>
          <t>https://www.centex.com/homes/texas/dallas/forney/arbordale-211042</t>
        </is>
      </c>
      <c r="AD155" s="6" t="inlineStr"/>
      <c r="AE155" s="6" t="inlineStr"/>
    </row>
    <row r="156">
      <c r="A156" s="12" t="inlineStr">
        <is>
          <t>Taylor Humphrey</t>
        </is>
      </c>
      <c r="B156" s="12" t="inlineStr">
        <is>
          <t>Century Communities</t>
        </is>
      </c>
      <c r="C156" s="12" t="inlineStr">
        <is>
          <t>Division President, Dallas-Fort Worth</t>
        </is>
      </c>
      <c r="D156" s="13" t="inlineStr">
        <is>
          <t>National builder</t>
        </is>
      </c>
      <c r="E156" s="14" t="n">
        <v>1</v>
      </c>
      <c r="F156" s="12" t="inlineStr">
        <is>
          <t>Client</t>
        </is>
      </c>
      <c r="G156" s="12" t="inlineStr">
        <is>
          <t>National homebuilder</t>
        </is>
      </c>
      <c r="H156" s="12" t="inlineStr">
        <is>
          <t>Dallas-Fort Worth, from Anna to Ferris</t>
        </is>
      </c>
      <c r="I156" s="12" t="inlineStr">
        <is>
          <t>New homes in eight DFW cities, per its own site</t>
        </is>
      </c>
      <c r="J156" s="14" t="inlineStr">
        <is>
          <t>Yes</t>
        </is>
      </c>
      <c r="K156" s="15" t="inlineStr">
        <is>
          <t>National plan collections, including Classic, repeated across DFW communities.</t>
        </is>
      </c>
      <c r="L156" s="14" t="inlineStr">
        <is>
          <t>No</t>
        </is>
      </c>
      <c r="M156" s="15" t="inlineStr">
        <is>
          <t>National builder.</t>
        </is>
      </c>
      <c r="N156" s="14" t="inlineStr">
        <is>
          <t>No</t>
        </is>
      </c>
      <c r="O156" s="15" t="inlineStr">
        <is>
          <t>112-day cycle and 5 percent direct-cost cut in Q2 2026, per HousingWire. No change of method.</t>
        </is>
      </c>
      <c r="P156" s="10" t="inlineStr"/>
      <c r="Q156" s="12" t="inlineStr"/>
      <c r="R156" s="16">
        <f>IF(P156="","ADD LINKEDIN","ok")</f>
        <v/>
      </c>
      <c r="S156" s="12" t="inlineStr">
        <is>
          <t>https://www.centurycommunities.com/</t>
        </is>
      </c>
      <c r="T156" s="15" t="inlineStr">
        <is>
          <t>Purchasing sits above the metro. Cut direct costs 5 percent in Q2 2026 with no change of method.</t>
        </is>
      </c>
      <c r="U156" s="12" t="inlineStr">
        <is>
          <t>YES</t>
        </is>
      </c>
      <c r="V156" s="15" t="inlineStr">
        <is>
          <t>Century release on PR Newswire, April 15, 2026.</t>
        </is>
      </c>
      <c r="W156" s="12" t="inlineStr">
        <is>
          <t>https://www.prnewswire.com/news-releases/century-communities-plans-april-grand-opening-in-fast-growing-anna-tx-302743467.html</t>
        </is>
      </c>
      <c r="X156" s="12" t="inlineStr">
        <is>
          <t>https://www.linkedin.com/company/century-communities/</t>
        </is>
      </c>
      <c r="Y156" s="12" t="inlineStr">
        <is>
          <t>https://www.prnewswire.com/news-releases/century-communities-plans-april-grand-opening-in-fast-growing-anna-tx-302743467.html</t>
        </is>
      </c>
      <c r="Z156" s="12" t="inlineStr"/>
      <c r="AA156" s="12" t="inlineStr">
        <is>
          <t>(817) 866-2980</t>
        </is>
      </c>
      <c r="AB156" s="12" t="inlineStr">
        <is>
          <t>DFW available-homes line</t>
        </is>
      </c>
      <c r="AC156" s="12" t="inlineStr">
        <is>
          <t>https://www.centurycommunities.com/find-your-new-home/texas/dallas-fort-worth-metro/</t>
        </is>
      </c>
      <c r="AD156" s="12" t="inlineStr"/>
      <c r="AE156" s="12" t="inlineStr"/>
    </row>
    <row r="157">
      <c r="A157" s="6" t="inlineStr">
        <is>
          <t>Scott Bryson</t>
        </is>
      </c>
      <c r="B157" s="6" t="inlineStr">
        <is>
          <t>Del Webb (PulteGroup brand)</t>
        </is>
      </c>
      <c r="C157" s="6" t="inlineStr">
        <is>
          <t>President, PulteGroup Dallas division</t>
        </is>
      </c>
      <c r="D157" s="7" t="inlineStr">
        <is>
          <t>National builder</t>
        </is>
      </c>
      <c r="E157" s="8" t="n">
        <v>1</v>
      </c>
      <c r="F157" s="6" t="inlineStr">
        <is>
          <t>Client</t>
        </is>
      </c>
      <c r="G157" s="6" t="inlineStr">
        <is>
          <t>Active-adult homebuilder, a PulteGroup brand</t>
        </is>
      </c>
      <c r="H157" s="6" t="inlineStr">
        <is>
          <t>McKinney, at Trinity Falls</t>
        </is>
      </c>
      <c r="I157" s="6" t="inlineStr">
        <is>
          <t>PulteGroup 55+ brand at Trinity Falls, McKinney</t>
        </is>
      </c>
      <c r="J157" s="8" t="inlineStr">
        <is>
          <t>Yes</t>
        </is>
      </c>
      <c r="K157" s="9" t="inlineStr">
        <is>
          <t>55+ plan collections repeated across its Dallas market page.</t>
        </is>
      </c>
      <c r="L157" s="8" t="inlineStr">
        <is>
          <t>No</t>
        </is>
      </c>
      <c r="M157" s="9" t="inlineStr">
        <is>
          <t>Purchasing at PulteGroup's national desk.</t>
        </is>
      </c>
      <c r="N157" s="8" t="inlineStr">
        <is>
          <t>No</t>
        </is>
      </c>
      <c r="O157" s="9" t="inlineStr">
        <is>
          <t>Nothing published for Del Webb in DFW.</t>
        </is>
      </c>
      <c r="P157" s="6" t="inlineStr">
        <is>
          <t>https://www.linkedin.com/in/scott-bryson-2909939/</t>
        </is>
      </c>
      <c r="Q157" s="6" t="inlineStr"/>
      <c r="R157" s="11">
        <f>IF(P157="","ADD LINKEDIN","ok")</f>
        <v/>
      </c>
      <c r="S157" s="6" t="inlineStr">
        <is>
          <t>https://www.delwebb.com/homes/texas/dallas</t>
        </is>
      </c>
      <c r="T157" s="9" t="inlineStr">
        <is>
          <t>Buys through PulteGroup's national desk. Repeats active-adult plan collections across its Dallas market page.</t>
        </is>
      </c>
      <c r="U157" s="6" t="inlineStr">
        <is>
          <t>YES</t>
        </is>
      </c>
      <c r="V157" s="9" t="inlineStr">
        <is>
          <t>Indexed title: PulteGroup. PulteGroup BusinessWire release, August 21, 2025.</t>
        </is>
      </c>
      <c r="W157" s="6" t="inlineStr">
        <is>
          <t>https://www.businesswire.com/news/home/20250821913928/en/PulteGroup-Promotes-Scott-Bryson-to-Dallas-Division-President</t>
        </is>
      </c>
      <c r="X157" s="6" t="inlineStr">
        <is>
          <t>https://www.linkedin.com/company/del-webb/</t>
        </is>
      </c>
      <c r="Y157" s="6" t="inlineStr"/>
      <c r="Z157" s="6" t="inlineStr"/>
      <c r="AA157" s="6" t="inlineStr">
        <is>
          <t>(972) 736-9368</t>
        </is>
      </c>
      <c r="AB157" s="6" t="inlineStr">
        <is>
          <t>Sales, Del Webb at Trinity Falls, McKinney</t>
        </is>
      </c>
      <c r="AC157" s="6" t="inlineStr">
        <is>
          <t>https://www.delwebb.com/homes/texas/dallas/mckinney/del-webb-at-trinity-falls-210272</t>
        </is>
      </c>
      <c r="AD157" s="6" t="inlineStr"/>
      <c r="AE157" s="6" t="inlineStr"/>
    </row>
    <row r="158">
      <c r="A158" s="12" t="inlineStr">
        <is>
          <t>James R. Brickman</t>
        </is>
      </c>
      <c r="B158" s="12" t="inlineStr">
        <is>
          <t>Green Brick Partners, Inc.</t>
        </is>
      </c>
      <c r="C158" s="12" t="inlineStr">
        <is>
          <t>Co-founder, Chief Executive Officer and Director</t>
        </is>
      </c>
      <c r="D158" s="13" t="inlineStr">
        <is>
          <t>National builder</t>
        </is>
      </c>
      <c r="E158" s="14" t="n">
        <v>1</v>
      </c>
      <c r="F158" s="12" t="inlineStr">
        <is>
          <t>Client</t>
        </is>
      </c>
      <c r="G158" s="12" t="inlineStr">
        <is>
          <t>National homebuilder and land developer</t>
        </is>
      </c>
      <c r="H158" s="12" t="inlineStr">
        <is>
          <t>Plano, with five brands across Dallas-Fort Worth</t>
        </is>
      </c>
      <c r="I158" s="12" t="inlineStr">
        <is>
          <t>3,196 DFW closings in 2025, 7.8% share</t>
        </is>
      </c>
      <c r="J158" s="14" t="inlineStr">
        <is>
          <t>Yes</t>
        </is>
      </c>
      <c r="K158" s="15" t="inlineStr">
        <is>
          <t>Five DFW production brands, with land acquisition and development run centrally.</t>
        </is>
      </c>
      <c r="L158" s="14" t="inlineStr">
        <is>
          <t>No</t>
        </is>
      </c>
      <c r="M158" s="15" t="inlineStr">
        <is>
          <t>Parent volume above 1,500 closings, per BUILDER.</t>
        </is>
      </c>
      <c r="N158" s="14" t="inlineStr">
        <is>
          <t>No</t>
        </is>
      </c>
      <c r="O158" s="15" t="inlineStr">
        <is>
          <t>Claims technological advancement and process integration. No payment for a new wall method.</t>
        </is>
      </c>
      <c r="P158" s="6" t="inlineStr">
        <is>
          <t>https://www.linkedin.com/in/james-brickman-10040316/</t>
        </is>
      </c>
      <c r="Q158" s="12" t="inlineStr"/>
      <c r="R158" s="16">
        <f>IF(P158="","ADD LINKEDIN","ok")</f>
        <v/>
      </c>
      <c r="S158" s="12" t="inlineStr">
        <is>
          <t>https://greenbrickpartners.com/</t>
        </is>
      </c>
      <c r="T158" s="15" t="inlineStr">
        <is>
          <t>Runs five DFW builder brands, Trophy Signature, CB JENI and Southgate among them, with land acquisition and development run centrally.</t>
        </is>
      </c>
      <c r="U158" s="12" t="inlineStr"/>
      <c r="V158" s="15" t="inlineStr">
        <is>
          <t>Indexed title: Green Brick Partners. Firm's leadership page.</t>
        </is>
      </c>
      <c r="W158" s="12" t="inlineStr">
        <is>
          <t>https://greenbrickpartners.com/leadership/</t>
        </is>
      </c>
      <c r="X158" s="12" t="inlineStr">
        <is>
          <t>https://www.linkedin.com/company/green-brick-partners/</t>
        </is>
      </c>
      <c r="Y158" s="12" t="inlineStr">
        <is>
          <t>https://greenbrickpartners.com/leadership/</t>
        </is>
      </c>
      <c r="Z158" s="12" t="inlineStr">
        <is>
          <t>2025-07-24 Dallas Morning News. The 10 biggest homebuilders in D-FW  https://www.dallasnews.com/business/real-estate/2025/07/24/list-who-are-the-10-biggest-homebuilders-in-d-fw/</t>
        </is>
      </c>
      <c r="AA158" s="12" t="inlineStr">
        <is>
          <t>(469) 573-6721</t>
        </is>
      </c>
      <c r="AB158" s="12" t="inlineStr">
        <is>
          <t>Corporate office, Plano</t>
        </is>
      </c>
      <c r="AC158" s="12" t="inlineStr">
        <is>
          <t>https://greenbrickpartners.com/about/</t>
        </is>
      </c>
      <c r="AD158" s="12" t="inlineStr"/>
      <c r="AE158" s="12" t="inlineStr"/>
    </row>
    <row r="159">
      <c r="A159" s="6" t="inlineStr">
        <is>
          <t>Jed Dolson</t>
        </is>
      </c>
      <c r="B159" s="6" t="inlineStr">
        <is>
          <t>Green Brick Partners, Inc.</t>
        </is>
      </c>
      <c r="C159" s="6" t="inlineStr">
        <is>
          <t>President and Chief Operating Officer. Co-Chief Executive Officer from 15 October 2026</t>
        </is>
      </c>
      <c r="D159" s="7" t="inlineStr">
        <is>
          <t>National builder</t>
        </is>
      </c>
      <c r="E159" s="8" t="n">
        <v>1</v>
      </c>
      <c r="F159" s="6" t="inlineStr">
        <is>
          <t>Client</t>
        </is>
      </c>
      <c r="G159" s="6" t="inlineStr">
        <is>
          <t>National homebuilder and land developer</t>
        </is>
      </c>
      <c r="H159" s="6" t="inlineStr">
        <is>
          <t>Plano, with five brands across Dallas-Fort Worth</t>
        </is>
      </c>
      <c r="I159" s="6" t="inlineStr">
        <is>
          <t>3,196 DFW closings in 2025, 7.8% share</t>
        </is>
      </c>
      <c r="J159" s="8" t="inlineStr">
        <is>
          <t>Yes</t>
        </is>
      </c>
      <c r="K159" s="9" t="inlineStr">
        <is>
          <t>Five DFW production brands, with land acquisition and development run centrally.</t>
        </is>
      </c>
      <c r="L159" s="8" t="inlineStr">
        <is>
          <t>No</t>
        </is>
      </c>
      <c r="M159" s="9" t="inlineStr">
        <is>
          <t>Parent volume above 1,500 closings, per BUILDER.</t>
        </is>
      </c>
      <c r="N159" s="8" t="inlineStr">
        <is>
          <t>No</t>
        </is>
      </c>
      <c r="O159" s="9" t="inlineStr">
        <is>
          <t>Claims technological advancement and process integration. No payment for a new wall method.</t>
        </is>
      </c>
      <c r="P159" s="6" t="inlineStr">
        <is>
          <t>https://www.linkedin.com/in/jed-dolson/</t>
        </is>
      </c>
      <c r="Q159" s="6" t="inlineStr"/>
      <c r="R159" s="11">
        <f>IF(P159="","ADD LINKEDIN","ok")</f>
        <v/>
      </c>
      <c r="S159" s="6" t="inlineStr">
        <is>
          <t>https://greenbrickpartners.com/</t>
        </is>
      </c>
      <c r="T159" s="9" t="inlineStr">
        <is>
          <t>Runs five DFW builder brands, Trophy Signature, CB JENI and Southgate among them, with land acquisition and development run centrally.</t>
        </is>
      </c>
      <c r="U159" s="6" t="inlineStr"/>
      <c r="V159" s="9" t="inlineStr">
        <is>
          <t>Indexed title: Chief Operating Officer and Executive Vice President. Leadership page. 30 July 2026 release, filed with the SEC.</t>
        </is>
      </c>
      <c r="W159" s="6" t="inlineStr">
        <is>
          <t>https://greenbrickpartners.com/leadership/</t>
        </is>
      </c>
      <c r="X159" s="6" t="inlineStr">
        <is>
          <t>https://www.linkedin.com/company/green-brick-partners/</t>
        </is>
      </c>
      <c r="Y159" s="6" t="inlineStr">
        <is>
          <t>https://greenbrickpartners.com/leadership/</t>
        </is>
      </c>
      <c r="Z159" s="6" t="inlineStr">
        <is>
          <t>2025-07-24 Dallas Morning News. The 10 biggest homebuilders in D-FW  https://www.dallasnews.com/business/real-estate/2025/07/24/list-who-are-the-10-biggest-homebuilders-in-d-fw/</t>
        </is>
      </c>
      <c r="AA159" s="6" t="inlineStr">
        <is>
          <t>(469) 573-6721</t>
        </is>
      </c>
      <c r="AB159" s="6" t="inlineStr">
        <is>
          <t>Corporate office, Plano</t>
        </is>
      </c>
      <c r="AC159" s="6" t="inlineStr">
        <is>
          <t>https://greenbrickpartners.com/about/</t>
        </is>
      </c>
      <c r="AD159" s="6" t="inlineStr"/>
      <c r="AE159" s="6" t="inlineStr"/>
    </row>
    <row r="160">
      <c r="A160" s="12" t="inlineStr">
        <is>
          <t>Bobby L. Samuel III</t>
        </is>
      </c>
      <c r="B160" s="12" t="inlineStr">
        <is>
          <t>Green Brick Partners, Inc.</t>
        </is>
      </c>
      <c r="C160" s="12" t="inlineStr">
        <is>
          <t>Executive Vice President of Land</t>
        </is>
      </c>
      <c r="D160" s="13" t="inlineStr">
        <is>
          <t>National builder</t>
        </is>
      </c>
      <c r="E160" s="14" t="n">
        <v>1</v>
      </c>
      <c r="F160" s="12" t="inlineStr">
        <is>
          <t>Client</t>
        </is>
      </c>
      <c r="G160" s="12" t="inlineStr">
        <is>
          <t>National homebuilder and land developer</t>
        </is>
      </c>
      <c r="H160" s="12" t="inlineStr">
        <is>
          <t>Plano, with five brands across Dallas-Fort Worth</t>
        </is>
      </c>
      <c r="I160" s="12" t="inlineStr">
        <is>
          <t>3,196 DFW closings in 2025, 7.8% share</t>
        </is>
      </c>
      <c r="J160" s="14" t="inlineStr">
        <is>
          <t>Yes</t>
        </is>
      </c>
      <c r="K160" s="15" t="inlineStr">
        <is>
          <t>Five DFW production brands, with land acquisition and development run centrally.</t>
        </is>
      </c>
      <c r="L160" s="14" t="inlineStr">
        <is>
          <t>No</t>
        </is>
      </c>
      <c r="M160" s="15" t="inlineStr">
        <is>
          <t>Parent volume above 1,500 closings, per BUILDER.</t>
        </is>
      </c>
      <c r="N160" s="14" t="inlineStr">
        <is>
          <t>No</t>
        </is>
      </c>
      <c r="O160" s="15" t="inlineStr">
        <is>
          <t>Claims technological advancement and process integration. No payment for a new wall method.</t>
        </is>
      </c>
      <c r="P160" s="10" t="inlineStr"/>
      <c r="Q160" s="12" t="inlineStr"/>
      <c r="R160" s="16">
        <f>IF(P160="","ADD LINKEDIN","ok")</f>
        <v/>
      </c>
      <c r="S160" s="12" t="inlineStr">
        <is>
          <t>https://greenbrickpartners.com/</t>
        </is>
      </c>
      <c r="T160" s="15" t="inlineStr">
        <is>
          <t>Runs five DFW builder brands, Trophy Signature, CB JENI and Southgate among them, with land acquisition and development run centrally.</t>
        </is>
      </c>
      <c r="U160" s="12" t="inlineStr"/>
      <c r="V160" s="15" t="inlineStr">
        <is>
          <t>Leadership page. Runs land for the parent and subsidiary builders.</t>
        </is>
      </c>
      <c r="W160" s="12" t="inlineStr">
        <is>
          <t>https://greenbrickpartners.com/leadership/</t>
        </is>
      </c>
      <c r="X160" s="12" t="inlineStr">
        <is>
          <t>https://www.linkedin.com/company/green-brick-partners/</t>
        </is>
      </c>
      <c r="Y160" s="12" t="inlineStr">
        <is>
          <t>https://greenbrickpartners.com/leadership/</t>
        </is>
      </c>
      <c r="Z160" s="12" t="inlineStr">
        <is>
          <t>2025-07-24 Dallas Morning News. The 10 biggest homebuilders in D-FW  https://www.dallasnews.com/business/real-estate/2025/07/24/list-who-are-the-10-biggest-homebuilders-in-d-fw/</t>
        </is>
      </c>
      <c r="AA160" s="12" t="inlineStr">
        <is>
          <t>(469) 573-6721</t>
        </is>
      </c>
      <c r="AB160" s="12" t="inlineStr">
        <is>
          <t>Corporate office, Plano</t>
        </is>
      </c>
      <c r="AC160" s="12" t="inlineStr">
        <is>
          <t>https://greenbrickpartners.com/about/</t>
        </is>
      </c>
      <c r="AD160" s="12" t="inlineStr"/>
      <c r="AE160" s="12" t="inlineStr"/>
    </row>
    <row r="161">
      <c r="A161" s="6" t="inlineStr">
        <is>
          <t>Jeffery Cox</t>
        </is>
      </c>
      <c r="B161" s="6" t="inlineStr">
        <is>
          <t>Green Brick Partners, Inc.</t>
        </is>
      </c>
      <c r="C161" s="6" t="inlineStr">
        <is>
          <t>Chief Financial Officer</t>
        </is>
      </c>
      <c r="D161" s="7" t="inlineStr">
        <is>
          <t>National builder</t>
        </is>
      </c>
      <c r="E161" s="8" t="n">
        <v>1</v>
      </c>
      <c r="F161" s="6" t="inlineStr">
        <is>
          <t>Client</t>
        </is>
      </c>
      <c r="G161" s="6" t="inlineStr">
        <is>
          <t>National homebuilder and land developer</t>
        </is>
      </c>
      <c r="H161" s="6" t="inlineStr">
        <is>
          <t>Plano, with five brands across Dallas-Fort Worth</t>
        </is>
      </c>
      <c r="I161" s="6" t="inlineStr">
        <is>
          <t>3,196 DFW closings in 2025, 7.8% share</t>
        </is>
      </c>
      <c r="J161" s="8" t="inlineStr">
        <is>
          <t>Yes</t>
        </is>
      </c>
      <c r="K161" s="9" t="inlineStr">
        <is>
          <t>Five DFW production brands, with land acquisition and development run centrally.</t>
        </is>
      </c>
      <c r="L161" s="8" t="inlineStr">
        <is>
          <t>No</t>
        </is>
      </c>
      <c r="M161" s="9" t="inlineStr">
        <is>
          <t>Parent volume above 1,500 closings, per BUILDER.</t>
        </is>
      </c>
      <c r="N161" s="8" t="inlineStr">
        <is>
          <t>No</t>
        </is>
      </c>
      <c r="O161" s="9" t="inlineStr">
        <is>
          <t>Claims technological advancement and process integration. No payment for a new wall method.</t>
        </is>
      </c>
      <c r="P161" s="6" t="inlineStr">
        <is>
          <t>https://www.linkedin.com/in/jefferycox/</t>
        </is>
      </c>
      <c r="Q161" s="6" t="inlineStr"/>
      <c r="R161" s="11">
        <f>IF(P161="","ADD LINKEDIN","ok")</f>
        <v/>
      </c>
      <c r="S161" s="6" t="inlineStr">
        <is>
          <t>https://greenbrickpartners.com/</t>
        </is>
      </c>
      <c r="T161" s="9" t="inlineStr">
        <is>
          <t>Runs five DFW builder brands, Trophy Signature, CB JENI and Southgate among them, with land acquisition and development run centrally.</t>
        </is>
      </c>
      <c r="U161" s="6" t="inlineStr"/>
      <c r="V161" s="9" t="inlineStr">
        <is>
          <t>Indexed title: Green Brick Partners. Leadership page. Appointed October 2025.</t>
        </is>
      </c>
      <c r="W161" s="6" t="inlineStr">
        <is>
          <t>https://greenbrickpartners.com/leadership/</t>
        </is>
      </c>
      <c r="X161" s="6" t="inlineStr">
        <is>
          <t>https://www.linkedin.com/company/green-brick-partners/</t>
        </is>
      </c>
      <c r="Y161" s="6" t="inlineStr">
        <is>
          <t>https://greenbrickpartners.com/leadership/</t>
        </is>
      </c>
      <c r="Z161" s="6" t="inlineStr">
        <is>
          <t>2025-07-24 Dallas Morning News. The 10 biggest homebuilders in D-FW  https://www.dallasnews.com/business/real-estate/2025/07/24/list-who-are-the-10-biggest-homebuilders-in-d-fw/</t>
        </is>
      </c>
      <c r="AA161" s="6" t="inlineStr">
        <is>
          <t>(469) 573-6721</t>
        </is>
      </c>
      <c r="AB161" s="6" t="inlineStr">
        <is>
          <t>Corporate office, Plano</t>
        </is>
      </c>
      <c r="AC161" s="6" t="inlineStr">
        <is>
          <t>https://greenbrickpartners.com/about/</t>
        </is>
      </c>
      <c r="AD161" s="6" t="inlineStr"/>
      <c r="AE161" s="6" t="inlineStr"/>
    </row>
    <row r="162">
      <c r="A162" s="12" t="inlineStr">
        <is>
          <t>Chris Hartley</t>
        </is>
      </c>
      <c r="B162" s="12" t="inlineStr">
        <is>
          <t>K. Hovnanian Homes</t>
        </is>
      </c>
      <c r="C162" s="12" t="inlineStr">
        <is>
          <t>Division President</t>
        </is>
      </c>
      <c r="D162" s="13" t="inlineStr">
        <is>
          <t>National builder</t>
        </is>
      </c>
      <c r="E162" s="14" t="n">
        <v>1</v>
      </c>
      <c r="F162" s="12" t="inlineStr">
        <is>
          <t>Client</t>
        </is>
      </c>
      <c r="G162" s="12" t="inlineStr">
        <is>
          <t>National homebuilder</t>
        </is>
      </c>
      <c r="H162" s="12" t="inlineStr">
        <is>
          <t>North Texas: Haslet, Fort Worth, Van Alstyne and Providence Village</t>
        </is>
      </c>
      <c r="I162" s="12" t="inlineStr">
        <is>
          <t>National public builder with North Texas communities</t>
        </is>
      </c>
      <c r="J162" s="14" t="inlineStr">
        <is>
          <t>Yes</t>
        </is>
      </c>
      <c r="K162" s="15" t="inlineStr">
        <is>
          <t>Production plans repeated across several North Texas communities.</t>
        </is>
      </c>
      <c r="L162" s="14" t="inlineStr">
        <is>
          <t>No</t>
        </is>
      </c>
      <c r="M162" s="15" t="inlineStr">
        <is>
          <t>Public builder with a national purchasing desk.</t>
        </is>
      </c>
      <c r="N162" s="14" t="inlineStr">
        <is>
          <t>No</t>
        </is>
      </c>
      <c r="O162" s="15" t="inlineStr">
        <is>
          <t>Nothing published on construction method.</t>
        </is>
      </c>
      <c r="P162" s="10" t="inlineStr"/>
      <c r="Q162" s="12" t="inlineStr"/>
      <c r="R162" s="16">
        <f>IF(P162="","ADD LINKEDIN","ok")</f>
        <v/>
      </c>
      <c r="S162" s="12" t="inlineStr">
        <is>
          <t>https://www.khov.com/</t>
        </is>
      </c>
      <c r="T162" s="15" t="inlineStr">
        <is>
          <t>Repeats production plans in Haslet, Fort Worth, Van Alstyne and Providence Village. Buys at a national desk.</t>
        </is>
      </c>
      <c r="U162" s="12" t="inlineStr">
        <is>
          <t>YES</t>
        </is>
      </c>
      <c r="V162" s="15" t="inlineStr">
        <is>
          <t>BUILDER's Dealmakers Dallas speaker page.</t>
        </is>
      </c>
      <c r="W162" s="12" t="inlineStr">
        <is>
          <t>https://dealmakers.builderonline.com/dallas/speaker/chris-hartley/</t>
        </is>
      </c>
      <c r="X162" s="12" t="inlineStr">
        <is>
          <t>https://www.linkedin.com/company/k--hovnanian-homes/</t>
        </is>
      </c>
      <c r="Y162" s="12" t="inlineStr"/>
      <c r="Z162" s="12" t="inlineStr"/>
      <c r="AA162" s="12" t="inlineStr">
        <is>
          <t>(888) 425-1427</t>
        </is>
      </c>
      <c r="AB162" s="12" t="inlineStr">
        <is>
          <t>Wellington Estates South sales, Fort Worth</t>
        </is>
      </c>
      <c r="AC162" s="12" t="inlineStr">
        <is>
          <t>https://www.khov.com/new-construction-homes/texas/fort-worth/wellington-estates-south/</t>
        </is>
      </c>
      <c r="AD162" s="12" t="inlineStr"/>
      <c r="AE162" s="12" t="inlineStr"/>
    </row>
    <row r="163">
      <c r="A163" s="6" t="inlineStr">
        <is>
          <t>Ben Clark</t>
        </is>
      </c>
      <c r="B163" s="6" t="inlineStr">
        <is>
          <t>KB Home</t>
        </is>
      </c>
      <c r="C163" s="6" t="inlineStr">
        <is>
          <t>President, Dallas Division</t>
        </is>
      </c>
      <c r="D163" s="7" t="inlineStr">
        <is>
          <t>National builder</t>
        </is>
      </c>
      <c r="E163" s="8" t="n">
        <v>1</v>
      </c>
      <c r="F163" s="6" t="inlineStr">
        <is>
          <t>Client</t>
        </is>
      </c>
      <c r="G163" s="6" t="inlineStr">
        <is>
          <t>National homebuilder</t>
        </is>
      </c>
      <c r="H163" s="6" t="inlineStr">
        <is>
          <t>Dallas-Fort Worth, including Denton, Lavon and Seagoville</t>
        </is>
      </c>
      <c r="I163" s="6" t="inlineStr">
        <is>
          <t>Eight DFW communities listed on its site</t>
        </is>
      </c>
      <c r="J163" s="8" t="inlineStr">
        <is>
          <t>Yes</t>
        </is>
      </c>
      <c r="K163" s="9" t="inlineStr">
        <is>
          <t>Production plans repeated across several DFW communities.</t>
        </is>
      </c>
      <c r="L163" s="8" t="inlineStr">
        <is>
          <t>No</t>
        </is>
      </c>
      <c r="M163" s="9" t="inlineStr">
        <is>
          <t>Public builder with a national purchasing desk.</t>
        </is>
      </c>
      <c r="N163" s="8" t="inlineStr">
        <is>
          <t>No</t>
        </is>
      </c>
      <c r="O163" s="9" t="inlineStr">
        <is>
          <t>Nothing published on wall method.</t>
        </is>
      </c>
      <c r="P163" s="10" t="inlineStr"/>
      <c r="Q163" s="6" t="inlineStr"/>
      <c r="R163" s="11">
        <f>IF(P163="","ADD LINKEDIN","ok")</f>
        <v/>
      </c>
      <c r="S163" s="6" t="inlineStr">
        <is>
          <t>https://www.kbhome.com/new-homes-dallas-fort-worth</t>
        </is>
      </c>
      <c r="T163" s="9" t="inlineStr">
        <is>
          <t>Opened Elevon in Lavon in June 2026. Buys at a national desk.</t>
        </is>
      </c>
      <c r="U163" s="6" t="inlineStr">
        <is>
          <t>YES</t>
        </is>
      </c>
      <c r="V163" s="9" t="inlineStr">
        <is>
          <t>KB Home release, June 3, 2026, on the Elevon opening.</t>
        </is>
      </c>
      <c r="W163" s="6" t="inlineStr">
        <is>
          <t>https://investor.kbhome.com/company-news/news-releases/press-release-details/2026/KB-HOME-OPENS-ELEVON-A-SOUGHT-AFTER-MASTER-PLANNED-COMMUNITY-IN-A-DESIRABLE-DALLAS-AREA-LOCATION/default.aspx</t>
        </is>
      </c>
      <c r="X163" s="6" t="inlineStr">
        <is>
          <t>https://www.linkedin.com/company/kb-home/</t>
        </is>
      </c>
      <c r="Y163" s="6" t="inlineStr">
        <is>
          <t>https://investor.kbhome.com/company-news/news-releases/press-release-details/2026/KB-HOME-OPENS-ELEVON-A-SOUGHT-AFTER-MASTER-PLANNED-COMMUNITY-IN-A-DESIRABLE-DALLAS-AREA-LOCATION/default.aspx</t>
        </is>
      </c>
      <c r="Z163" s="6" t="inlineStr"/>
      <c r="AA163" s="6" t="inlineStr">
        <is>
          <t>(469) 530-6107</t>
        </is>
      </c>
      <c r="AB163" s="6" t="inlineStr">
        <is>
          <t>Dallas/Fort Worth market line</t>
        </is>
      </c>
      <c r="AC163" s="6" t="inlineStr">
        <is>
          <t>https://www.kbhome.com/new-homes-dallas-fort-worth</t>
        </is>
      </c>
      <c r="AD163" s="6" t="inlineStr"/>
      <c r="AE163" s="6" t="inlineStr"/>
    </row>
    <row r="164">
      <c r="A164" s="12" t="inlineStr">
        <is>
          <t>Stacy Conley</t>
        </is>
      </c>
      <c r="B164" s="12" t="inlineStr">
        <is>
          <t>LGI Homes</t>
        </is>
      </c>
      <c r="C164" s="12" t="inlineStr">
        <is>
          <t>Division President, Dallas-Fort Worth</t>
        </is>
      </c>
      <c r="D164" s="13" t="inlineStr">
        <is>
          <t>National builder</t>
        </is>
      </c>
      <c r="E164" s="14" t="n">
        <v>1</v>
      </c>
      <c r="F164" s="12" t="inlineStr">
        <is>
          <t>Client</t>
        </is>
      </c>
      <c r="G164" s="12" t="inlineStr">
        <is>
          <t>National homebuilder</t>
        </is>
      </c>
      <c r="H164" s="12" t="inlineStr">
        <is>
          <t>Dallas-Fort Worth, including Forney and Dallas</t>
        </is>
      </c>
      <c r="I164" s="12" t="inlineStr">
        <is>
          <t>18 DFW communities listed on its site</t>
        </is>
      </c>
      <c r="J164" s="14" t="inlineStr">
        <is>
          <t>Yes</t>
        </is>
      </c>
      <c r="K164" s="15" t="inlineStr">
        <is>
          <t>Entry-level plans repeated across its DFW communities.</t>
        </is>
      </c>
      <c r="L164" s="14" t="inlineStr">
        <is>
          <t>No</t>
        </is>
      </c>
      <c r="M164" s="15" t="inlineStr">
        <is>
          <t>Public builder. Purchasing at the corporate desk.</t>
        </is>
      </c>
      <c r="N164" s="14" t="inlineStr">
        <is>
          <t>No</t>
        </is>
      </c>
      <c r="O164" s="15" t="inlineStr">
        <is>
          <t>Nothing published on wall method.</t>
        </is>
      </c>
      <c r="P164" s="10" t="inlineStr"/>
      <c r="Q164" s="12" t="inlineStr"/>
      <c r="R164" s="16">
        <f>IF(P164="","ADD LINKEDIN","ok")</f>
        <v/>
      </c>
      <c r="S164" s="12" t="inlineStr">
        <is>
          <t>https://www.lgihomes.com/texas/dallas-fort-worth</t>
        </is>
      </c>
      <c r="T164" s="15" t="inlineStr">
        <is>
          <t>Buys at its corporate desk in The Woodlands. Repeats entry-level plans in Forney and Dallas.</t>
        </is>
      </c>
      <c r="U164" s="12" t="inlineStr">
        <is>
          <t>YES</t>
        </is>
      </c>
      <c r="V164" s="15" t="inlineStr">
        <is>
          <t>LGI release, April 15, 2026, Sherman Heights grand opening.</t>
        </is>
      </c>
      <c r="W164" s="12" t="inlineStr">
        <is>
          <t>https://investor.lgihomes.com/news-releases/news-release-details/lgi-homes-expands-sherman-texas-grand-opening-sherman-heights</t>
        </is>
      </c>
      <c r="X164" s="12" t="inlineStr">
        <is>
          <t>https://www.linkedin.com/company/lgi-homes/</t>
        </is>
      </c>
      <c r="Y164" s="12" t="inlineStr"/>
      <c r="Z164" s="12" t="inlineStr"/>
      <c r="AA164" s="12" t="inlineStr">
        <is>
          <t>(855) 581-6400</t>
        </is>
      </c>
      <c r="AB164" s="12" t="inlineStr">
        <is>
          <t>College Park sales information center, Dallas</t>
        </is>
      </c>
      <c r="AC164" s="12" t="inlineStr">
        <is>
          <t>https://www.lgihomes.com/texas/dallas-fort-worth/college-park</t>
        </is>
      </c>
      <c r="AD164" s="12" t="inlineStr"/>
      <c r="AE164" s="12" t="inlineStr"/>
    </row>
    <row r="165">
      <c r="A165" s="6" t="inlineStr">
        <is>
          <t>Chad Tschetter</t>
        </is>
      </c>
      <c r="B165" s="6" t="inlineStr">
        <is>
          <t>M/I Homes</t>
        </is>
      </c>
      <c r="C165" s="6" t="inlineStr">
        <is>
          <t>Area President, Dallas-Fort Worth</t>
        </is>
      </c>
      <c r="D165" s="7" t="inlineStr">
        <is>
          <t>National builder</t>
        </is>
      </c>
      <c r="E165" s="8" t="n">
        <v>1</v>
      </c>
      <c r="F165" s="6" t="inlineStr">
        <is>
          <t>Client</t>
        </is>
      </c>
      <c r="G165" s="6" t="inlineStr">
        <is>
          <t>National homebuilder</t>
        </is>
      </c>
      <c r="H165" s="6" t="inlineStr">
        <is>
          <t>Dallas-Fort Worth, including Royse City</t>
        </is>
      </c>
      <c r="I165" s="6" t="inlineStr">
        <is>
          <t>889 DFW closings in 2025, 2.2% share</t>
        </is>
      </c>
      <c r="J165" s="8" t="inlineStr">
        <is>
          <t>Yes</t>
        </is>
      </c>
      <c r="K165" s="9" t="inlineStr">
        <is>
          <t>Production plans across its DFW Metroplex communities.</t>
        </is>
      </c>
      <c r="L165" s="8" t="inlineStr">
        <is>
          <t>No</t>
        </is>
      </c>
      <c r="M165" s="9" t="inlineStr">
        <is>
          <t>Volume inside 400 to 1,500, per BUILDER. Purchasing at a national desk.</t>
        </is>
      </c>
      <c r="N165" s="8" t="inlineStr">
        <is>
          <t>No</t>
        </is>
      </c>
      <c r="O165" s="9" t="inlineStr">
        <is>
          <t>Nothing published on wall method.</t>
        </is>
      </c>
      <c r="P165" s="10" t="inlineStr"/>
      <c r="Q165" s="6" t="inlineStr"/>
      <c r="R165" s="11">
        <f>IF(P165="","ADD LINKEDIN","ok")</f>
        <v/>
      </c>
      <c r="S165" s="6" t="inlineStr">
        <is>
          <t>https://www.mihomes.com/new-homes/texas/dallas-fort-worth-metroplex</t>
        </is>
      </c>
      <c r="T165" s="9" t="inlineStr">
        <is>
          <t>Buys at a national desk. Builds at Verandah in Royse City.</t>
        </is>
      </c>
      <c r="U165" s="6" t="inlineStr">
        <is>
          <t>YES</t>
        </is>
      </c>
      <c r="V165" s="9" t="inlineStr">
        <is>
          <t>Candy's Dirt article, February 27, 2022, citing NBC 5. Quoted as Area President.</t>
        </is>
      </c>
      <c r="W165" s="6" t="inlineStr">
        <is>
          <t>https://candysdirt.com/2022/02/27/collin-county-residential-building-permits/</t>
        </is>
      </c>
      <c r="X165" s="6" t="inlineStr">
        <is>
          <t>https://www.linkedin.com/company/mihomes/</t>
        </is>
      </c>
      <c r="Y165" s="6" t="inlineStr"/>
      <c r="Z165" s="6" t="inlineStr"/>
      <c r="AA165" s="6" t="inlineStr">
        <is>
          <t>(972) 619-4200</t>
        </is>
      </c>
      <c r="AB165" s="6" t="inlineStr">
        <is>
          <t>Line for real estate agents</t>
        </is>
      </c>
      <c r="AC165" s="6" t="inlineStr">
        <is>
          <t>https://www.mihomes.com/agent/dallas-fort-worth-metroplex/agent-info</t>
        </is>
      </c>
      <c r="AD165" s="6" t="inlineStr"/>
      <c r="AE165" s="6" t="inlineStr"/>
    </row>
    <row r="166">
      <c r="A166" s="12" t="inlineStr">
        <is>
          <t>John Kuntz</t>
        </is>
      </c>
      <c r="B166" s="12" t="inlineStr">
        <is>
          <t>Mattamy Homes</t>
        </is>
      </c>
      <c r="C166" s="12" t="inlineStr">
        <is>
          <t>President, Dallas Division</t>
        </is>
      </c>
      <c r="D166" s="13" t="inlineStr">
        <is>
          <t>National builder</t>
        </is>
      </c>
      <c r="E166" s="14" t="n">
        <v>1</v>
      </c>
      <c r="F166" s="12" t="inlineStr">
        <is>
          <t>Client</t>
        </is>
      </c>
      <c r="G166" s="12" t="inlineStr">
        <is>
          <t>National homebuilder</t>
        </is>
      </c>
      <c r="H166" s="12" t="inlineStr">
        <is>
          <t>Dallas-Fort Worth, from Justin to Forney</t>
        </is>
      </c>
      <c r="I166" s="12" t="inlineStr">
        <is>
          <t>Dallas Division launched 2020, President John Kuntz</t>
        </is>
      </c>
      <c r="J166" s="14" t="inlineStr">
        <is>
          <t>Yes</t>
        </is>
      </c>
      <c r="K166" s="15" t="inlineStr">
        <is>
          <t>Single-family and townhome plan sets repeated across DFW masterplans.</t>
        </is>
      </c>
      <c r="L166" s="14" t="inlineStr">
        <is>
          <t>No</t>
        </is>
      </c>
      <c r="M166" s="15" t="inlineStr">
        <is>
          <t>Builds across several US metros.</t>
        </is>
      </c>
      <c r="N166" s="14" t="inlineStr">
        <is>
          <t>No</t>
        </is>
      </c>
      <c r="O166" s="15" t="inlineStr">
        <is>
          <t>Markets a HERS Index average of 51 in a DFW community. Nothing structural on record.</t>
        </is>
      </c>
      <c r="P166" s="10" t="inlineStr"/>
      <c r="Q166" s="12" t="inlineStr"/>
      <c r="R166" s="16">
        <f>IF(P166="","ADD LINKEDIN","ok")</f>
        <v/>
      </c>
      <c r="S166" s="12" t="inlineStr">
        <is>
          <t>https://mattamyhomes.com/texas/dallas-fort-worth</t>
        </is>
      </c>
      <c r="T166" s="15" t="inlineStr">
        <is>
          <t>Builds across several US metros, buying above its Dallas Division. Sells in Justin, Celina, Forney and Gunter.</t>
        </is>
      </c>
      <c r="U166" s="12" t="inlineStr">
        <is>
          <t>YES</t>
        </is>
      </c>
      <c r="V166" s="15" t="inlineStr">
        <is>
          <t>PR Newswire release, 15 November 2023.</t>
        </is>
      </c>
      <c r="W166" s="12" t="inlineStr">
        <is>
          <t>https://www.prnewswire.com/news-releases/four-up-and-coming-mattamy-communities-unveil-new-model-homes-in-dallas-fort-worth-301988953.html</t>
        </is>
      </c>
      <c r="X166" s="12" t="inlineStr">
        <is>
          <t>https://www.linkedin.com/company/mattamy-homes/</t>
        </is>
      </c>
      <c r="Y166" s="12" t="inlineStr">
        <is>
          <t>https://www.prnewswire.com/news-releases/four-up-and-coming-mattamy-communities-unveil-new-model-homes-in-dallas-fort-worth-301988953.html</t>
        </is>
      </c>
      <c r="Z166" s="12" t="inlineStr">
        <is>
          <t>2023-11-15 PR Newswire. Four up-and-coming Mattamy communities unveil new model homes in Dallas-Fort Worth  https://www.prnewswire.com/news-releases/four-up-and-coming-mattamy-communities-unveil-new-model-homes-in-dallas-fort-worth-301988953.html</t>
        </is>
      </c>
      <c r="AA166" s="12" t="inlineStr">
        <is>
          <t>(469) 551-6812</t>
        </is>
      </c>
      <c r="AB166" s="12" t="inlineStr">
        <is>
          <t>Wildflower Ranch sales gallery, Justin</t>
        </is>
      </c>
      <c r="AC166" s="12" t="inlineStr">
        <is>
          <t>https://mattamyhomes.com/texas/dallas-fort-worth/justin/wildflower-ranch</t>
        </is>
      </c>
      <c r="AD166" s="12" t="inlineStr"/>
      <c r="AE166" s="12" t="inlineStr"/>
    </row>
    <row r="167">
      <c r="A167" s="6" t="inlineStr">
        <is>
          <t>Phillippe Lord</t>
        </is>
      </c>
      <c r="B167" s="6" t="inlineStr">
        <is>
          <t>Meritage Homes Corporation</t>
        </is>
      </c>
      <c r="C167" s="6" t="inlineStr">
        <is>
          <t>Chief Executive Officer</t>
        </is>
      </c>
      <c r="D167" s="7" t="inlineStr">
        <is>
          <t>National builder</t>
        </is>
      </c>
      <c r="E167" s="8" t="n">
        <v>1</v>
      </c>
      <c r="F167" s="6" t="inlineStr">
        <is>
          <t>Client</t>
        </is>
      </c>
      <c r="G167" s="6" t="inlineStr">
        <is>
          <t>National homebuilder</t>
        </is>
      </c>
      <c r="H167" s="6" t="inlineStr">
        <is>
          <t>Dallas-Fort Worth, part of a national builder</t>
        </is>
      </c>
      <c r="I167" s="6" t="inlineStr">
        <is>
          <t>1,833 DFW closings in 2025, 4.5% share</t>
        </is>
      </c>
      <c r="J167" s="8" t="inlineStr">
        <is>
          <t>Yes</t>
        </is>
      </c>
      <c r="K167" s="9" t="inlineStr">
        <is>
          <t>National energy-efficient plan library sold across DFW.</t>
        </is>
      </c>
      <c r="L167" s="8" t="inlineStr">
        <is>
          <t>No</t>
        </is>
      </c>
      <c r="M167" s="9" t="inlineStr">
        <is>
          <t>1,833 DFW closings in 2025.</t>
        </is>
      </c>
      <c r="N167" s="8" t="inlineStr">
        <is>
          <t>No</t>
        </is>
      </c>
      <c r="O167" s="9" t="inlineStr">
        <is>
          <t>Stresses energy efficiency and cycle time. Nothing structural on record.</t>
        </is>
      </c>
      <c r="P167" s="6" t="inlineStr">
        <is>
          <t>https://www.linkedin.com/in/phillippe-lord-72924012/</t>
        </is>
      </c>
      <c r="Q167" s="6" t="inlineStr"/>
      <c r="R167" s="11">
        <f>IF(P167="","ADD LINKEDIN","ok")</f>
        <v/>
      </c>
      <c r="S167" s="6" t="inlineStr">
        <is>
          <t>https://www.meritagehomes.com/state/tx/dallasft-worth</t>
        </is>
      </c>
      <c r="T167" s="9" t="inlineStr">
        <is>
          <t>Sells a national energy-efficient plan library across DFW. Its record stresses efficiency and cycle time.</t>
        </is>
      </c>
      <c r="U167" s="6" t="inlineStr"/>
      <c r="V167" s="9" t="inlineStr">
        <is>
          <t>Indexed title: Phillippe Lord, Meritage Homes. Investor management page.</t>
        </is>
      </c>
      <c r="W167" s="6" t="inlineStr">
        <is>
          <t>https://investors.meritagehomes.com/company-information/management-team</t>
        </is>
      </c>
      <c r="X167" s="6" t="inlineStr">
        <is>
          <t>https://www.linkedin.com/company/meritage-homes/</t>
        </is>
      </c>
      <c r="Y167" s="6" t="inlineStr">
        <is>
          <t>https://investors.meritagehomes.com/company-information/management-team</t>
        </is>
      </c>
      <c r="Z167" s="6" t="inlineStr">
        <is>
          <t>2025-07-24 Dallas Morning News. The 10 biggest homebuilders in D-FW  https://www.dallasnews.com/business/real-estate/2025/07/24/list-who-are-the-10-biggest-homebuilders-in-d-fw/</t>
        </is>
      </c>
      <c r="AA167" s="6" t="inlineStr">
        <is>
          <t>(469) 487-7973</t>
        </is>
      </c>
      <c r="AB167" s="6" t="inlineStr">
        <is>
          <t>Dallas/Ft. Worth sales team</t>
        </is>
      </c>
      <c r="AC167" s="6" t="inlineStr">
        <is>
          <t>https://www.meritagehomes.com/state/tx/dallasft-worth</t>
        </is>
      </c>
      <c r="AD167" s="6" t="inlineStr"/>
      <c r="AE167" s="6" t="inlineStr"/>
    </row>
    <row r="168">
      <c r="A168" s="12" t="inlineStr">
        <is>
          <t>Hilla Sferruzza</t>
        </is>
      </c>
      <c r="B168" s="12" t="inlineStr">
        <is>
          <t>Meritage Homes Corporation</t>
        </is>
      </c>
      <c r="C168" s="12" t="inlineStr">
        <is>
          <t>Executive Vice President and Chief Financial Officer</t>
        </is>
      </c>
      <c r="D168" s="13" t="inlineStr">
        <is>
          <t>National builder</t>
        </is>
      </c>
      <c r="E168" s="14" t="n">
        <v>1</v>
      </c>
      <c r="F168" s="12" t="inlineStr">
        <is>
          <t>Client</t>
        </is>
      </c>
      <c r="G168" s="12" t="inlineStr">
        <is>
          <t>National homebuilder</t>
        </is>
      </c>
      <c r="H168" s="12" t="inlineStr">
        <is>
          <t>Dallas-Fort Worth, part of a national builder</t>
        </is>
      </c>
      <c r="I168" s="12" t="inlineStr">
        <is>
          <t>1,833 DFW closings in 2025, 4.5% share</t>
        </is>
      </c>
      <c r="J168" s="14" t="inlineStr">
        <is>
          <t>Yes</t>
        </is>
      </c>
      <c r="K168" s="15" t="inlineStr">
        <is>
          <t>National energy-efficient plan library sold across DFW.</t>
        </is>
      </c>
      <c r="L168" s="14" t="inlineStr">
        <is>
          <t>No</t>
        </is>
      </c>
      <c r="M168" s="15" t="inlineStr">
        <is>
          <t>1,833 DFW closings in 2025.</t>
        </is>
      </c>
      <c r="N168" s="14" t="inlineStr">
        <is>
          <t>No</t>
        </is>
      </c>
      <c r="O168" s="15" t="inlineStr">
        <is>
          <t>Stresses energy efficiency and cycle time. Nothing structural on record.</t>
        </is>
      </c>
      <c r="P168" s="6" t="inlineStr">
        <is>
          <t>https://www.linkedin.com/in/hilla-sferruzza-cpa-mba-b3170b8/</t>
        </is>
      </c>
      <c r="Q168" s="12" t="inlineStr"/>
      <c r="R168" s="16">
        <f>IF(P168="","ADD LINKEDIN","ok")</f>
        <v/>
      </c>
      <c r="S168" s="12" t="inlineStr">
        <is>
          <t>https://www.meritagehomes.com/state/tx/dallasft-worth</t>
        </is>
      </c>
      <c r="T168" s="15" t="inlineStr">
        <is>
          <t>Sells a national energy-efficient plan library across DFW. Its record stresses efficiency and cycle time.</t>
        </is>
      </c>
      <c r="U168" s="12" t="inlineStr"/>
      <c r="V168" s="15" t="inlineStr">
        <is>
          <t>Indexed title: Hilla Sferruzza, CPA, MBA, Meritage Homes. Investor management page.</t>
        </is>
      </c>
      <c r="W168" s="12" t="inlineStr">
        <is>
          <t>https://investors.meritagehomes.com/company-information/management-team</t>
        </is>
      </c>
      <c r="X168" s="12" t="inlineStr">
        <is>
          <t>https://www.linkedin.com/company/meritage-homes/</t>
        </is>
      </c>
      <c r="Y168" s="12" t="inlineStr">
        <is>
          <t>https://investors.meritagehomes.com/company-information/management-team</t>
        </is>
      </c>
      <c r="Z168" s="12" t="inlineStr">
        <is>
          <t>2025-07-24 Dallas Morning News. The 10 biggest homebuilders in D-FW  https://www.dallasnews.com/business/real-estate/2025/07/24/list-who-are-the-10-biggest-homebuilders-in-d-fw/</t>
        </is>
      </c>
      <c r="AA168" s="12" t="inlineStr">
        <is>
          <t>(469) 487-7973</t>
        </is>
      </c>
      <c r="AB168" s="12" t="inlineStr">
        <is>
          <t>Dallas/Ft. Worth sales team</t>
        </is>
      </c>
      <c r="AC168" s="12" t="inlineStr">
        <is>
          <t>https://www.meritagehomes.com/state/tx/dallasft-worth</t>
        </is>
      </c>
      <c r="AD168" s="12" t="inlineStr"/>
      <c r="AE168" s="12" t="inlineStr"/>
    </row>
    <row r="169">
      <c r="A169" s="6" t="inlineStr">
        <is>
          <t>Austin Woffinden</t>
        </is>
      </c>
      <c r="B169" s="6" t="inlineStr">
        <is>
          <t>Meritage Homes Corporation</t>
        </is>
      </c>
      <c r="C169" s="6" t="inlineStr">
        <is>
          <t>Executive Vice President, Corporate Operations and Strategy</t>
        </is>
      </c>
      <c r="D169" s="7" t="inlineStr">
        <is>
          <t>National builder</t>
        </is>
      </c>
      <c r="E169" s="8" t="n">
        <v>1</v>
      </c>
      <c r="F169" s="6" t="inlineStr">
        <is>
          <t>Client</t>
        </is>
      </c>
      <c r="G169" s="6" t="inlineStr">
        <is>
          <t>National homebuilder</t>
        </is>
      </c>
      <c r="H169" s="6" t="inlineStr">
        <is>
          <t>Dallas-Fort Worth, part of a national builder</t>
        </is>
      </c>
      <c r="I169" s="6" t="inlineStr">
        <is>
          <t>1,833 DFW closings in 2025, 4.5% share</t>
        </is>
      </c>
      <c r="J169" s="8" t="inlineStr">
        <is>
          <t>Yes</t>
        </is>
      </c>
      <c r="K169" s="9" t="inlineStr">
        <is>
          <t>National energy-efficient plan library sold across DFW.</t>
        </is>
      </c>
      <c r="L169" s="8" t="inlineStr">
        <is>
          <t>No</t>
        </is>
      </c>
      <c r="M169" s="9" t="inlineStr">
        <is>
          <t>1,833 DFW closings in 2025.</t>
        </is>
      </c>
      <c r="N169" s="8" t="inlineStr">
        <is>
          <t>No</t>
        </is>
      </c>
      <c r="O169" s="9" t="inlineStr">
        <is>
          <t>Stresses energy efficiency and cycle time. Nothing structural on record.</t>
        </is>
      </c>
      <c r="P169" s="6" t="inlineStr">
        <is>
          <t>https://www.linkedin.com/in/austin-woffinden-692297b/</t>
        </is>
      </c>
      <c r="Q169" s="6" t="inlineStr"/>
      <c r="R169" s="11">
        <f>IF(P169="","ADD LINKEDIN","ok")</f>
        <v/>
      </c>
      <c r="S169" s="6" t="inlineStr">
        <is>
          <t>https://www.meritagehomes.com/state/tx/dallasft-worth</t>
        </is>
      </c>
      <c r="T169" s="9" t="inlineStr">
        <is>
          <t>Sells a national energy-efficient plan library across DFW. Its record stresses efficiency and cycle time.</t>
        </is>
      </c>
      <c r="U169" s="6" t="inlineStr"/>
      <c r="V169" s="9" t="inlineStr">
        <is>
          <t>Indexed title: Austin Woffinden, Meritage Homes. Management page bio. Area President, Dallas Fort Worth and Nashville, in 2025.</t>
        </is>
      </c>
      <c r="W169" s="6" t="inlineStr">
        <is>
          <t>https://investors.meritagehomes.com/company-information/management-team</t>
        </is>
      </c>
      <c r="X169" s="6" t="inlineStr">
        <is>
          <t>https://www.linkedin.com/company/meritage-homes/</t>
        </is>
      </c>
      <c r="Y169" s="6" t="inlineStr">
        <is>
          <t>https://investors.meritagehomes.com/company-information/management-team</t>
        </is>
      </c>
      <c r="Z169" s="6" t="inlineStr">
        <is>
          <t>2025-07-24 Dallas Morning News. The 10 biggest homebuilders in D-FW  https://www.dallasnews.com/business/real-estate/2025/07/24/list-who-are-the-10-biggest-homebuilders-in-d-fw/</t>
        </is>
      </c>
      <c r="AA169" s="6" t="inlineStr">
        <is>
          <t>(469) 487-7973</t>
        </is>
      </c>
      <c r="AB169" s="6" t="inlineStr">
        <is>
          <t>Dallas/Ft. Worth sales team</t>
        </is>
      </c>
      <c r="AC169" s="6" t="inlineStr">
        <is>
          <t>https://www.meritagehomes.com/state/tx/dallasft-worth</t>
        </is>
      </c>
      <c r="AD169" s="6" t="inlineStr"/>
      <c r="AE169" s="6" t="inlineStr"/>
    </row>
    <row r="170">
      <c r="A170" s="12" t="inlineStr">
        <is>
          <t>Tom Cawthon</t>
        </is>
      </c>
      <c r="B170" s="12" t="inlineStr">
        <is>
          <t>Taylor Morrison</t>
        </is>
      </c>
      <c r="C170" s="12" t="inlineStr">
        <is>
          <t>Dallas Division President (as of June 2025)</t>
        </is>
      </c>
      <c r="D170" s="13" t="inlineStr">
        <is>
          <t>National builder</t>
        </is>
      </c>
      <c r="E170" s="14" t="n">
        <v>1</v>
      </c>
      <c r="F170" s="12" t="inlineStr">
        <is>
          <t>Client</t>
        </is>
      </c>
      <c r="G170" s="12" t="inlineStr">
        <is>
          <t>National homebuilder</t>
        </is>
      </c>
      <c r="H170" s="12" t="inlineStr">
        <is>
          <t>Dallas division, Frisco office</t>
        </is>
      </c>
      <c r="I170" s="12" t="inlineStr">
        <is>
          <t>National public builder, Dallas division plus Yardly brand</t>
        </is>
      </c>
      <c r="J170" s="14" t="inlineStr">
        <is>
          <t>Yes</t>
        </is>
      </c>
      <c r="K170" s="15" t="inlineStr">
        <is>
          <t>One plan library repeated across its Dallas division communities.</t>
        </is>
      </c>
      <c r="L170" s="14" t="inlineStr">
        <is>
          <t>No</t>
        </is>
      </c>
      <c r="M170" s="15" t="inlineStr">
        <is>
          <t>Public builder with a national buying desk.</t>
        </is>
      </c>
      <c r="N170" s="14" t="inlineStr">
        <is>
          <t>No</t>
        </is>
      </c>
      <c r="O170" s="15" t="inlineStr">
        <is>
          <t>Nothing on its Dallas pages.</t>
        </is>
      </c>
      <c r="P170" s="10" t="inlineStr"/>
      <c r="Q170" s="12" t="inlineStr"/>
      <c r="R170" s="16">
        <f>IF(P170="","ADD LINKEDIN","ok")</f>
        <v/>
      </c>
      <c r="S170" s="12" t="inlineStr">
        <is>
          <t>https://www.taylormorrison.com/texas/dallas</t>
        </is>
      </c>
      <c r="T170" s="15" t="inlineStr">
        <is>
          <t>One plan library across its Dallas division, from Justin to Crandall. Buys at a national desk.</t>
        </is>
      </c>
      <c r="U170" s="12" t="inlineStr"/>
      <c r="V170" s="15" t="inlineStr">
        <is>
          <t>Local Profile, June 19, 2025, on Ranch at Uptown Celina.</t>
        </is>
      </c>
      <c r="W170" s="12" t="inlineStr">
        <is>
          <t>https://www.localprofile.com/real-estate/home-builders-betting-big-celina-10833314</t>
        </is>
      </c>
      <c r="X170" s="12" t="inlineStr">
        <is>
          <t>https://www.linkedin.com/company/taylor-morrison/</t>
        </is>
      </c>
      <c r="Y170" s="12" t="inlineStr"/>
      <c r="Z170" s="12" t="inlineStr"/>
      <c r="AA170" s="12" t="inlineStr">
        <is>
          <t>(469) 252-2306</t>
        </is>
      </c>
      <c r="AB170" s="12" t="inlineStr">
        <is>
          <t>Online sales manager, Dallas division</t>
        </is>
      </c>
      <c r="AC170" s="12" t="inlineStr">
        <is>
          <t>https://www.taylormorrison.com/contact-us</t>
        </is>
      </c>
      <c r="AD170" s="12" t="inlineStr"/>
      <c r="AE170" s="12" t="inlineStr"/>
    </row>
    <row r="171">
      <c r="A171" s="6" t="inlineStr">
        <is>
          <t>Jay Saunders</t>
        </is>
      </c>
      <c r="B171" s="6" t="inlineStr">
        <is>
          <t>Toll Brothers</t>
        </is>
      </c>
      <c r="C171" s="6" t="inlineStr">
        <is>
          <t>Division President, Dallas-Fort Worth</t>
        </is>
      </c>
      <c r="D171" s="7" t="inlineStr">
        <is>
          <t>National builder</t>
        </is>
      </c>
      <c r="E171" s="8" t="n">
        <v>1</v>
      </c>
      <c r="F171" s="6" t="inlineStr">
        <is>
          <t>Client</t>
        </is>
      </c>
      <c r="G171" s="6" t="inlineStr">
        <is>
          <t>National luxury homebuilder</t>
        </is>
      </c>
      <c r="H171" s="6" t="inlineStr">
        <is>
          <t>Frisco and Fort Worth, part of a national builder</t>
        </is>
      </c>
      <c r="I171" s="6" t="inlineStr">
        <is>
          <t>Two DFW communities, named Division President</t>
        </is>
      </c>
      <c r="J171" s="8" t="inlineStr">
        <is>
          <t>Yes</t>
        </is>
      </c>
      <c r="K171" s="9" t="inlineStr">
        <is>
          <t>Luxury plan collections repeated across DFW communities.</t>
        </is>
      </c>
      <c r="L171" s="8" t="inlineStr">
        <is>
          <t>No</t>
        </is>
      </c>
      <c r="M171" s="9" t="inlineStr">
        <is>
          <t>National public builder.</t>
        </is>
      </c>
      <c r="N171" s="8" t="inlineStr">
        <is>
          <t>No</t>
        </is>
      </c>
      <c r="O171" s="9" t="inlineStr">
        <is>
          <t>Nothing published.</t>
        </is>
      </c>
      <c r="P171" s="10" t="inlineStr"/>
      <c r="Q171" s="6" t="inlineStr"/>
      <c r="R171" s="11">
        <f>IF(P171="","ADD LINKEDIN","ok")</f>
        <v/>
      </c>
      <c r="S171" s="6" t="inlineStr">
        <is>
          <t>https://www.tollbrothers.com/</t>
        </is>
      </c>
      <c r="T171" s="9" t="inlineStr">
        <is>
          <t>Luxury plans repeat at Prestwick Grove in Frisco and Wildflower Ranch. Buys at a national or division desk.</t>
        </is>
      </c>
      <c r="U171" s="6" t="inlineStr">
        <is>
          <t>YES</t>
        </is>
      </c>
      <c r="V171" s="9" t="inlineStr">
        <is>
          <t>Toll release, 22 October 2025, Prestwick Grove grand opening.</t>
        </is>
      </c>
      <c r="W171" s="6" t="inlineStr">
        <is>
          <t>https://www.tollbrothers.com/blog/prestwick-grove-frisco-texas-grand-opening</t>
        </is>
      </c>
      <c r="X171" s="6" t="inlineStr">
        <is>
          <t>https://www.linkedin.com/company/toll-brothers/</t>
        </is>
      </c>
      <c r="Y171" s="6" t="inlineStr"/>
      <c r="Z171" s="6" t="inlineStr">
        <is>
          <t>2025-10-22 Toll Brothers / GlobeNewswire. Toll Brothers Announces Prestwick Grove Now Open in Frisco, Texas  https://www.tollbrothers.com/blog/prestwick-grove-frisco-texas-grand-opening</t>
        </is>
      </c>
      <c r="AA171" s="6" t="inlineStr">
        <is>
          <t>(855) 289-8656</t>
        </is>
      </c>
      <c r="AB171" s="6" t="inlineStr">
        <is>
          <t>Texas community line</t>
        </is>
      </c>
      <c r="AC171" s="6" t="inlineStr">
        <is>
          <t>https://www.tollbrothers.com/luxury-homes-for-sale/Texas/Prestwick-Grove</t>
        </is>
      </c>
      <c r="AD171" s="6" t="inlineStr"/>
      <c r="AE171" s="6" t="inlineStr"/>
    </row>
    <row r="172">
      <c r="A172" s="12" t="inlineStr">
        <is>
          <t>Ken Balogh</t>
        </is>
      </c>
      <c r="B172" s="12" t="inlineStr">
        <is>
          <t>Ashton Woods Homes</t>
        </is>
      </c>
      <c r="C172" s="12" t="inlineStr">
        <is>
          <t>President and Chief Executive Officer</t>
        </is>
      </c>
      <c r="D172" s="13" t="inlineStr">
        <is>
          <t>National builder</t>
        </is>
      </c>
      <c r="E172" s="14" t="n">
        <v>1</v>
      </c>
      <c r="F172" s="12" t="inlineStr">
        <is>
          <t>Client</t>
        </is>
      </c>
      <c r="G172" s="12" t="inlineStr">
        <is>
          <t>National homebuilder</t>
        </is>
      </c>
      <c r="H172" s="12" t="inlineStr">
        <is>
          <t>Dallas-Fort Worth, with communities in McKinney, Celina and Plano</t>
        </is>
      </c>
      <c r="I172" s="12" t="inlineStr">
        <is>
          <t>1,289 DFW closings in 2025, 3.2% share</t>
        </is>
      </c>
      <c r="J172" s="14" t="inlineStr">
        <is>
          <t>Yes</t>
        </is>
      </c>
      <c r="K172" s="15" t="inlineStr">
        <is>
          <t>A national plan library, with Texas markets under one regional president.</t>
        </is>
      </c>
      <c r="L172" s="14" t="inlineStr">
        <is>
          <t>No</t>
        </is>
      </c>
      <c r="M172" s="15" t="inlineStr">
        <is>
          <t>1,289 DFW closings in 2025. Purchasing is a corporate function.</t>
        </is>
      </c>
      <c r="N172" s="14" t="inlineStr">
        <is>
          <t>No</t>
        </is>
      </c>
      <c r="O172" s="15" t="inlineStr">
        <is>
          <t>Nothing on record.</t>
        </is>
      </c>
      <c r="P172" s="6" t="inlineStr">
        <is>
          <t>https://www.linkedin.com/in/ken-balogh-02964741/</t>
        </is>
      </c>
      <c r="Q172" s="12" t="inlineStr"/>
      <c r="R172" s="16">
        <f>IF(P172="","ADD LINKEDIN","ok")</f>
        <v/>
      </c>
      <c r="S172" s="12" t="inlineStr">
        <is>
          <t>https://www.ashtonwoods.com/</t>
        </is>
      </c>
      <c r="T172" s="15" t="inlineStr">
        <is>
          <t>Purchasing is a corporate function, under a named Senior Vice President of Purchasing. One regional president covers Texas.</t>
        </is>
      </c>
      <c r="U172" s="12" t="inlineStr"/>
      <c r="V172" s="15" t="inlineStr">
        <is>
          <t>Indexed title: Ken Balogh, Ashton Woods Homes. Corporate page.</t>
        </is>
      </c>
      <c r="W172" s="12" t="inlineStr">
        <is>
          <t>https://www.ashtonwoods.com/corporate-info</t>
        </is>
      </c>
      <c r="X172" s="12" t="inlineStr">
        <is>
          <t>https://www.linkedin.com/company/ashton-woods-homes/</t>
        </is>
      </c>
      <c r="Y172" s="12" t="inlineStr">
        <is>
          <t>https://www.ashtonwoods.com/corporate-info</t>
        </is>
      </c>
      <c r="Z172" s="12" t="inlineStr">
        <is>
          <t>2025-07-24 Dallas Morning News. The 10 biggest homebuilders in D-FW  https://www.dallasnews.com/business/real-estate/2025/07/24/list-who-are-the-10-biggest-homebuilders-in-d-fw/</t>
        </is>
      </c>
      <c r="AA172" s="12" t="inlineStr">
        <is>
          <t>(770) 998-9663</t>
        </is>
      </c>
      <c r="AB172" s="12" t="inlineStr">
        <is>
          <t>Corporate headquarters, Alpharetta, Georgia</t>
        </is>
      </c>
      <c r="AC172" s="12" t="inlineStr">
        <is>
          <t>https://www.ashtonwoods.com/corporate-info</t>
        </is>
      </c>
      <c r="AD172" s="12" t="inlineStr"/>
      <c r="AE172" s="12" t="inlineStr"/>
    </row>
    <row r="173">
      <c r="A173" s="6" t="inlineStr">
        <is>
          <t>Lindsay Motley</t>
        </is>
      </c>
      <c r="B173" s="6" t="inlineStr">
        <is>
          <t>Ashton Woods Homes</t>
        </is>
      </c>
      <c r="C173" s="6" t="inlineStr">
        <is>
          <t>Regional President, Texas</t>
        </is>
      </c>
      <c r="D173" s="7" t="inlineStr">
        <is>
          <t>National builder</t>
        </is>
      </c>
      <c r="E173" s="8" t="n">
        <v>1</v>
      </c>
      <c r="F173" s="6" t="inlineStr">
        <is>
          <t>Client</t>
        </is>
      </c>
      <c r="G173" s="6" t="inlineStr">
        <is>
          <t>National homebuilder</t>
        </is>
      </c>
      <c r="H173" s="6" t="inlineStr">
        <is>
          <t>Dallas-Fort Worth, with communities in McKinney, Celina and Plano</t>
        </is>
      </c>
      <c r="I173" s="6" t="inlineStr">
        <is>
          <t>1,289 DFW closings in 2025, 3.2% share</t>
        </is>
      </c>
      <c r="J173" s="8" t="inlineStr">
        <is>
          <t>Yes</t>
        </is>
      </c>
      <c r="K173" s="9" t="inlineStr">
        <is>
          <t>A national plan library, with Texas markets under one regional president.</t>
        </is>
      </c>
      <c r="L173" s="8" t="inlineStr">
        <is>
          <t>No</t>
        </is>
      </c>
      <c r="M173" s="9" t="inlineStr">
        <is>
          <t>1,289 DFW closings in 2025. Purchasing is a corporate function.</t>
        </is>
      </c>
      <c r="N173" s="8" t="inlineStr">
        <is>
          <t>No</t>
        </is>
      </c>
      <c r="O173" s="9" t="inlineStr">
        <is>
          <t>Nothing on record.</t>
        </is>
      </c>
      <c r="P173" s="6" t="inlineStr">
        <is>
          <t>https://www.linkedin.com/in/lindsay-motley-3553b614</t>
        </is>
      </c>
      <c r="Q173" s="6" t="inlineStr"/>
      <c r="R173" s="11">
        <f>IF(P173="","ADD LINKEDIN","ok")</f>
        <v/>
      </c>
      <c r="S173" s="6" t="inlineStr">
        <is>
          <t>https://www.ashtonwoods.com/</t>
        </is>
      </c>
      <c r="T173" s="9" t="inlineStr">
        <is>
          <t>Purchasing is a corporate function, under a named Senior Vice President of Purchasing. One regional president covers Texas.</t>
        </is>
      </c>
      <c r="U173" s="6" t="inlineStr">
        <is>
          <t>YES</t>
        </is>
      </c>
      <c r="V173" s="9" t="inlineStr">
        <is>
          <t>Indexed title: Regional President at Ashton Woods. Corporate page. Promoted to the role in 2022.</t>
        </is>
      </c>
      <c r="W173" s="6" t="inlineStr">
        <is>
          <t>https://www.ashtonwoods.com/corporate-info</t>
        </is>
      </c>
      <c r="X173" s="6" t="inlineStr">
        <is>
          <t>https://www.linkedin.com/company/ashton-woods-homes/</t>
        </is>
      </c>
      <c r="Y173" s="6" t="inlineStr">
        <is>
          <t>https://www.ashtonwoods.com/corporate-info</t>
        </is>
      </c>
      <c r="Z173" s="6" t="inlineStr">
        <is>
          <t>2025-07-24 Dallas Morning News. The 10 biggest homebuilders in D-FW  https://www.dallasnews.com/business/real-estate/2025/07/24/list-who-are-the-10-biggest-homebuilders-in-d-fw/</t>
        </is>
      </c>
      <c r="AA173" s="6" t="inlineStr">
        <is>
          <t>(770) 998-9663</t>
        </is>
      </c>
      <c r="AB173" s="6" t="inlineStr">
        <is>
          <t>Corporate headquarters, Alpharetta, Georgia</t>
        </is>
      </c>
      <c r="AC173" s="6" t="inlineStr">
        <is>
          <t>https://www.ashtonwoods.com/corporate-info</t>
        </is>
      </c>
      <c r="AD173" s="6" t="inlineStr"/>
      <c r="AE173" s="6" t="inlineStr"/>
    </row>
    <row r="174">
      <c r="A174" s="12" t="inlineStr">
        <is>
          <t>Adam Weaver</t>
        </is>
      </c>
      <c r="B174" s="12" t="inlineStr">
        <is>
          <t>Ashton Woods Homes</t>
        </is>
      </c>
      <c r="C174" s="12" t="inlineStr">
        <is>
          <t>Senior Vice President of Purchasing</t>
        </is>
      </c>
      <c r="D174" s="13" t="inlineStr">
        <is>
          <t>National builder</t>
        </is>
      </c>
      <c r="E174" s="14" t="n">
        <v>1</v>
      </c>
      <c r="F174" s="12" t="inlineStr">
        <is>
          <t>Client</t>
        </is>
      </c>
      <c r="G174" s="12" t="inlineStr">
        <is>
          <t>National homebuilder</t>
        </is>
      </c>
      <c r="H174" s="12" t="inlineStr">
        <is>
          <t>Dallas-Fort Worth, with communities in McKinney, Celina and Plano</t>
        </is>
      </c>
      <c r="I174" s="12" t="inlineStr">
        <is>
          <t>1,289 DFW closings in 2025, 3.2% share</t>
        </is>
      </c>
      <c r="J174" s="14" t="inlineStr">
        <is>
          <t>Yes</t>
        </is>
      </c>
      <c r="K174" s="15" t="inlineStr">
        <is>
          <t>A national plan library, with Texas markets under one regional president.</t>
        </is>
      </c>
      <c r="L174" s="14" t="inlineStr">
        <is>
          <t>No</t>
        </is>
      </c>
      <c r="M174" s="15" t="inlineStr">
        <is>
          <t>1,289 DFW closings in 2025. Purchasing is a corporate function.</t>
        </is>
      </c>
      <c r="N174" s="14" t="inlineStr">
        <is>
          <t>No</t>
        </is>
      </c>
      <c r="O174" s="15" t="inlineStr">
        <is>
          <t>Nothing on record.</t>
        </is>
      </c>
      <c r="P174" s="6" t="inlineStr">
        <is>
          <t>https://www.linkedin.com/in/adamweaver/</t>
        </is>
      </c>
      <c r="Q174" s="12" t="inlineStr"/>
      <c r="R174" s="16">
        <f>IF(P174="","ADD LINKEDIN","ok")</f>
        <v/>
      </c>
      <c r="S174" s="12" t="inlineStr">
        <is>
          <t>https://www.ashtonwoods.com/</t>
        </is>
      </c>
      <c r="T174" s="15" t="inlineStr">
        <is>
          <t>Purchasing is a corporate function, under a named Senior Vice President of Purchasing. One regional president covers Texas.</t>
        </is>
      </c>
      <c r="U174" s="12" t="inlineStr">
        <is>
          <t>YES</t>
        </is>
      </c>
      <c r="V174" s="15" t="inlineStr">
        <is>
          <t>Indexed title: Adam Weaver, Ashton Woods Homes. Corporate page executive team.</t>
        </is>
      </c>
      <c r="W174" s="12" t="inlineStr">
        <is>
          <t>https://www.ashtonwoods.com/corporate-info</t>
        </is>
      </c>
      <c r="X174" s="12" t="inlineStr">
        <is>
          <t>https://www.linkedin.com/company/ashton-woods-homes/</t>
        </is>
      </c>
      <c r="Y174" s="12" t="inlineStr">
        <is>
          <t>https://www.ashtonwoods.com/corporate-info</t>
        </is>
      </c>
      <c r="Z174" s="12" t="inlineStr">
        <is>
          <t>2025-07-24 Dallas Morning News. The 10 biggest homebuilders in D-FW  https://www.dallasnews.com/business/real-estate/2025/07/24/list-who-are-the-10-biggest-homebuilders-in-d-fw/</t>
        </is>
      </c>
      <c r="AA174" s="12" t="inlineStr">
        <is>
          <t>(770) 998-9663</t>
        </is>
      </c>
      <c r="AB174" s="12" t="inlineStr">
        <is>
          <t>Corporate headquarters, Alpharetta, Georgia</t>
        </is>
      </c>
      <c r="AC174" s="12" t="inlineStr">
        <is>
          <t>https://www.ashtonwoods.com/corporate-info</t>
        </is>
      </c>
      <c r="AD174" s="12" t="inlineStr"/>
      <c r="AE174" s="12" t="inlineStr"/>
    </row>
    <row r="175">
      <c r="A175" s="6" t="inlineStr">
        <is>
          <t>Ken Newman</t>
        </is>
      </c>
      <c r="B175" s="6" t="inlineStr">
        <is>
          <t>Ashton Woods Homes</t>
        </is>
      </c>
      <c r="C175" s="6" t="inlineStr">
        <is>
          <t>Senior Vice President of Construction Operations</t>
        </is>
      </c>
      <c r="D175" s="7" t="inlineStr">
        <is>
          <t>National builder</t>
        </is>
      </c>
      <c r="E175" s="8" t="n">
        <v>1</v>
      </c>
      <c r="F175" s="6" t="inlineStr">
        <is>
          <t>Client</t>
        </is>
      </c>
      <c r="G175" s="6" t="inlineStr">
        <is>
          <t>National homebuilder</t>
        </is>
      </c>
      <c r="H175" s="6" t="inlineStr">
        <is>
          <t>Dallas-Fort Worth, with communities in McKinney, Celina and Plano</t>
        </is>
      </c>
      <c r="I175" s="6" t="inlineStr">
        <is>
          <t>1,289 DFW closings in 2025, 3.2% share</t>
        </is>
      </c>
      <c r="J175" s="8" t="inlineStr">
        <is>
          <t>Yes</t>
        </is>
      </c>
      <c r="K175" s="9" t="inlineStr">
        <is>
          <t>A national plan library, with Texas markets under one regional president.</t>
        </is>
      </c>
      <c r="L175" s="8" t="inlineStr">
        <is>
          <t>No</t>
        </is>
      </c>
      <c r="M175" s="9" t="inlineStr">
        <is>
          <t>1,289 DFW closings in 2025. Purchasing is a corporate function.</t>
        </is>
      </c>
      <c r="N175" s="8" t="inlineStr">
        <is>
          <t>No</t>
        </is>
      </c>
      <c r="O175" s="9" t="inlineStr">
        <is>
          <t>Nothing on record.</t>
        </is>
      </c>
      <c r="P175" s="10" t="inlineStr"/>
      <c r="Q175" s="6" t="inlineStr"/>
      <c r="R175" s="11">
        <f>IF(P175="","ADD LINKEDIN","ok")</f>
        <v/>
      </c>
      <c r="S175" s="6" t="inlineStr">
        <is>
          <t>https://www.ashtonwoods.com/</t>
        </is>
      </c>
      <c r="T175" s="9" t="inlineStr">
        <is>
          <t>Purchasing is a corporate function, under a named Senior Vice President of Purchasing. One regional president covers Texas.</t>
        </is>
      </c>
      <c r="U175" s="6" t="inlineStr">
        <is>
          <t>YES</t>
        </is>
      </c>
      <c r="V175" s="9" t="inlineStr">
        <is>
          <t>Corporate page executive team.</t>
        </is>
      </c>
      <c r="W175" s="6" t="inlineStr">
        <is>
          <t>https://www.ashtonwoods.com/corporate-info</t>
        </is>
      </c>
      <c r="X175" s="6" t="inlineStr">
        <is>
          <t>https://www.linkedin.com/company/ashton-woods-homes/</t>
        </is>
      </c>
      <c r="Y175" s="6" t="inlineStr">
        <is>
          <t>https://www.ashtonwoods.com/corporate-info</t>
        </is>
      </c>
      <c r="Z175" s="6" t="inlineStr">
        <is>
          <t>2025-07-24 Dallas Morning News. The 10 biggest homebuilders in D-FW  https://www.dallasnews.com/business/real-estate/2025/07/24/list-who-are-the-10-biggest-homebuilders-in-d-fw/</t>
        </is>
      </c>
      <c r="AA175" s="6" t="inlineStr">
        <is>
          <t>(770) 998-9663</t>
        </is>
      </c>
      <c r="AB175" s="6" t="inlineStr">
        <is>
          <t>Corporate headquarters, Alpharetta, Georgia</t>
        </is>
      </c>
      <c r="AC175" s="6" t="inlineStr">
        <is>
          <t>https://www.ashtonwoods.com/corporate-info</t>
        </is>
      </c>
      <c r="AD175" s="6" t="inlineStr"/>
      <c r="AE175" s="6" t="inlineStr"/>
    </row>
    <row r="176">
      <c r="A176" s="12" t="inlineStr">
        <is>
          <t>Sean Ricks</t>
        </is>
      </c>
      <c r="B176" s="12" t="inlineStr">
        <is>
          <t>Tri Pointe Homes</t>
        </is>
      </c>
      <c r="C176" s="12" t="inlineStr">
        <is>
          <t>President, Dallas-Fort Worth Division</t>
        </is>
      </c>
      <c r="D176" s="13" t="inlineStr">
        <is>
          <t>National builder</t>
        </is>
      </c>
      <c r="E176" s="14" t="n">
        <v>1</v>
      </c>
      <c r="F176" s="12" t="inlineStr">
        <is>
          <t>Client</t>
        </is>
      </c>
      <c r="G176" s="12" t="inlineStr">
        <is>
          <t>National homebuilder</t>
        </is>
      </c>
      <c r="H176" s="12" t="inlineStr">
        <is>
          <t>Dallas-Fort Worth division of a national builder</t>
        </is>
      </c>
      <c r="I176" s="12" t="inlineStr">
        <is>
          <t>National public builder, 23 DFW communities on its page</t>
        </is>
      </c>
      <c r="J176" s="14" t="inlineStr">
        <is>
          <t>Partly</t>
        </is>
      </c>
      <c r="K176" s="15" t="inlineStr">
        <is>
          <t>DFW communities on a national plan platform shared across many metros.</t>
        </is>
      </c>
      <c r="L176" s="14" t="inlineStr">
        <is>
          <t>No</t>
        </is>
      </c>
      <c r="M176" s="15" t="inlineStr">
        <is>
          <t>Public builder with a national purchasing desk.</t>
        </is>
      </c>
      <c r="N176" s="14" t="inlineStr">
        <is>
          <t>No</t>
        </is>
      </c>
      <c r="O176" s="15" t="inlineStr">
        <is>
          <t>Nothing published.</t>
        </is>
      </c>
      <c r="P176" s="10" t="inlineStr"/>
      <c r="Q176" s="12" t="inlineStr"/>
      <c r="R176" s="16">
        <f>IF(P176="","ADD LINKEDIN","ok")</f>
        <v/>
      </c>
      <c r="S176" s="12" t="inlineStr">
        <is>
          <t>https://www.tripointehomes.com/</t>
        </is>
      </c>
      <c r="T176" s="15" t="inlineStr">
        <is>
          <t>Builds three districts at Painted Tree in McKinney. Buys at a national desk, on a platform shared across many metros.</t>
        </is>
      </c>
      <c r="U176" s="12" t="inlineStr">
        <is>
          <t>YES</t>
        </is>
      </c>
      <c r="V176" s="15" t="inlineStr">
        <is>
          <t>Tri Pointe investor divisions page.</t>
        </is>
      </c>
      <c r="W176" s="12" t="inlineStr">
        <is>
          <t>https://investors.tripointehomes.com/divisions/default.aspx</t>
        </is>
      </c>
      <c r="X176" s="12" t="inlineStr">
        <is>
          <t>https://www.linkedin.com/company/tri-pointe-homes/</t>
        </is>
      </c>
      <c r="Y176" s="12" t="inlineStr">
        <is>
          <t>https://www.tripointehomes.com/about/</t>
        </is>
      </c>
      <c r="Z176" s="12" t="inlineStr"/>
      <c r="AA176" s="12" t="inlineStr">
        <is>
          <t>(214) 765-0570</t>
        </is>
      </c>
      <c r="AB176" s="12" t="inlineStr">
        <is>
          <t>Dallas-Fort Worth division office</t>
        </is>
      </c>
      <c r="AC176" s="12" t="inlineStr">
        <is>
          <t>https://investors.tripointehomes.com/contact-us/</t>
        </is>
      </c>
      <c r="AD176" s="12" t="inlineStr"/>
      <c r="AE176" s="12" t="inlineStr"/>
    </row>
    <row r="177">
      <c r="A177" s="6" t="inlineStr">
        <is>
          <t>Debbie Wilson</t>
        </is>
      </c>
      <c r="B177" s="6" t="inlineStr">
        <is>
          <t>Cambridge Crossing (Celina, Cambridge Companies)</t>
        </is>
      </c>
      <c r="C177" s="6" t="inlineStr">
        <is>
          <t>Owner, Cambridge Companies</t>
        </is>
      </c>
      <c r="D177" s="7" t="inlineStr">
        <is>
          <t>Land owner, not the buyer</t>
        </is>
      </c>
      <c r="E177" s="8" t="n">
        <v>1</v>
      </c>
      <c r="F177" s="6" t="inlineStr">
        <is>
          <t>Land owner</t>
        </is>
      </c>
      <c r="G177" s="6" t="inlineStr">
        <is>
          <t>Masterplanned community</t>
        </is>
      </c>
      <c r="H177" s="6" t="inlineStr">
        <is>
          <t>Celina, near the Tollway and Outer Loop</t>
        </is>
      </c>
      <c r="I177" s="6" t="inlineStr">
        <is>
          <t>About 1,500 homes on 639 acres, four builders</t>
        </is>
      </c>
      <c r="J177" s="8" t="inlineStr">
        <is>
          <t>Yes</t>
        </is>
      </c>
      <c r="K177" s="9" t="inlineStr">
        <is>
          <t>Production builders on one 639-acre site.</t>
        </is>
      </c>
      <c r="L177" s="8" t="inlineStr">
        <is>
          <t>No</t>
        </is>
      </c>
      <c r="M177" s="9" t="inlineStr">
        <is>
          <t>It sells lots. The builders buy the wall.</t>
        </is>
      </c>
      <c r="N177" s="8" t="inlineStr">
        <is>
          <t>No</t>
        </is>
      </c>
      <c r="O177" s="9" t="inlineStr">
        <is>
          <t>Nothing published on construction method.</t>
        </is>
      </c>
      <c r="P177" s="10" t="inlineStr"/>
      <c r="Q177" s="6" t="inlineStr"/>
      <c r="R177" s="11">
        <f>IF(P177="","ADD LINKEDIN","ok")</f>
        <v/>
      </c>
      <c r="S177" s="6" t="inlineStr">
        <is>
          <t>https://cambridgecrossingcelina.com/</t>
        </is>
      </c>
      <c r="T177" s="9" t="inlineStr">
        <is>
          <t>Sells lots to Coventry, Highland, Perry and UnionMain. Cambridge Companies, owned by Debbie Wilson, develops it.</t>
        </is>
      </c>
      <c r="U177" s="6" t="inlineStr"/>
      <c r="V177" s="9" t="inlineStr">
        <is>
          <t>Cambridge Companies about page.</t>
        </is>
      </c>
      <c r="W177" s="6" t="inlineStr">
        <is>
          <t>https://cambridgecos.com/about/</t>
        </is>
      </c>
      <c r="X177" s="6" t="inlineStr"/>
      <c r="Y177" s="6" t="inlineStr">
        <is>
          <t>https://cambridgecos.com/about/</t>
        </is>
      </c>
      <c r="Z177" s="6" t="inlineStr"/>
      <c r="AA177" s="6" t="inlineStr">
        <is>
          <t>(214) 771-7305</t>
        </is>
      </c>
      <c r="AB177" s="6" t="inlineStr">
        <is>
          <t>Community office, Celina</t>
        </is>
      </c>
      <c r="AC177" s="6" t="inlineStr">
        <is>
          <t>https://cambridgecrossingcelina.com/builders/</t>
        </is>
      </c>
      <c r="AD177" s="6" t="inlineStr"/>
      <c r="AE177" s="6" t="inlineStr"/>
    </row>
    <row r="178">
      <c r="A178" s="12" t="inlineStr">
        <is>
          <t>Jim Melino</t>
        </is>
      </c>
      <c r="B178" s="12" t="inlineStr">
        <is>
          <t>Cambridge Crossing (Celina, Cambridge Companies)</t>
        </is>
      </c>
      <c r="C178" s="12" t="inlineStr">
        <is>
          <t>President and General Counsel</t>
        </is>
      </c>
      <c r="D178" s="13" t="inlineStr">
        <is>
          <t>Land owner, not the buyer</t>
        </is>
      </c>
      <c r="E178" s="14" t="n">
        <v>1</v>
      </c>
      <c r="F178" s="12" t="inlineStr">
        <is>
          <t>Land owner</t>
        </is>
      </c>
      <c r="G178" s="12" t="inlineStr">
        <is>
          <t>Masterplanned community</t>
        </is>
      </c>
      <c r="H178" s="12" t="inlineStr">
        <is>
          <t>Celina, near the Tollway and Outer Loop</t>
        </is>
      </c>
      <c r="I178" s="12" t="inlineStr">
        <is>
          <t>About 1,500 homes on 639 acres, four builders</t>
        </is>
      </c>
      <c r="J178" s="14" t="inlineStr">
        <is>
          <t>Yes</t>
        </is>
      </c>
      <c r="K178" s="15" t="inlineStr">
        <is>
          <t>Production builders on one 639-acre site.</t>
        </is>
      </c>
      <c r="L178" s="14" t="inlineStr">
        <is>
          <t>No</t>
        </is>
      </c>
      <c r="M178" s="15" t="inlineStr">
        <is>
          <t>It sells lots. The builders buy the wall.</t>
        </is>
      </c>
      <c r="N178" s="14" t="inlineStr">
        <is>
          <t>No</t>
        </is>
      </c>
      <c r="O178" s="15" t="inlineStr">
        <is>
          <t>Nothing published on construction method.</t>
        </is>
      </c>
      <c r="P178" s="10" t="inlineStr"/>
      <c r="Q178" s="12" t="inlineStr"/>
      <c r="R178" s="16">
        <f>IF(P178="","ADD LINKEDIN","ok")</f>
        <v/>
      </c>
      <c r="S178" s="12" t="inlineStr">
        <is>
          <t>https://cambridgecrossingcelina.com/</t>
        </is>
      </c>
      <c r="T178" s="15" t="inlineStr">
        <is>
          <t>Sells lots to Coventry, Highland, Perry and UnionMain. Cambridge Companies, owned by Debbie Wilson, develops it.</t>
        </is>
      </c>
      <c r="U178" s="12" t="inlineStr"/>
      <c r="V178" s="15" t="inlineStr">
        <is>
          <t>Cambridge Companies about page.</t>
        </is>
      </c>
      <c r="W178" s="12" t="inlineStr">
        <is>
          <t>https://cambridgecos.com/about/</t>
        </is>
      </c>
      <c r="X178" s="12" t="inlineStr"/>
      <c r="Y178" s="12" t="inlineStr">
        <is>
          <t>https://cambridgecos.com/about/</t>
        </is>
      </c>
      <c r="Z178" s="12" t="inlineStr"/>
      <c r="AA178" s="12" t="inlineStr">
        <is>
          <t>(214) 771-7305</t>
        </is>
      </c>
      <c r="AB178" s="12" t="inlineStr">
        <is>
          <t>Community office, Celina</t>
        </is>
      </c>
      <c r="AC178" s="12" t="inlineStr">
        <is>
          <t>https://cambridgecrossingcelina.com/builders/</t>
        </is>
      </c>
      <c r="AD178" s="12" t="inlineStr"/>
      <c r="AE178" s="12" t="inlineStr"/>
    </row>
    <row r="179">
      <c r="A179" s="6" t="inlineStr">
        <is>
          <t>Randy McCuistion</t>
        </is>
      </c>
      <c r="B179" s="6" t="inlineStr">
        <is>
          <t>Cambridge Crossing (Celina, Cambridge Companies)</t>
        </is>
      </c>
      <c r="C179" s="6" t="inlineStr">
        <is>
          <t>Chief Development Officer</t>
        </is>
      </c>
      <c r="D179" s="7" t="inlineStr">
        <is>
          <t>Land owner, not the buyer</t>
        </is>
      </c>
      <c r="E179" s="8" t="n">
        <v>1</v>
      </c>
      <c r="F179" s="6" t="inlineStr">
        <is>
          <t>Land owner</t>
        </is>
      </c>
      <c r="G179" s="6" t="inlineStr">
        <is>
          <t>Masterplanned community</t>
        </is>
      </c>
      <c r="H179" s="6" t="inlineStr">
        <is>
          <t>Celina, near the Tollway and Outer Loop</t>
        </is>
      </c>
      <c r="I179" s="6" t="inlineStr">
        <is>
          <t>About 1,500 homes on 639 acres, four builders</t>
        </is>
      </c>
      <c r="J179" s="8" t="inlineStr">
        <is>
          <t>Yes</t>
        </is>
      </c>
      <c r="K179" s="9" t="inlineStr">
        <is>
          <t>Production builders on one 639-acre site.</t>
        </is>
      </c>
      <c r="L179" s="8" t="inlineStr">
        <is>
          <t>No</t>
        </is>
      </c>
      <c r="M179" s="9" t="inlineStr">
        <is>
          <t>It sells lots. The builders buy the wall.</t>
        </is>
      </c>
      <c r="N179" s="8" t="inlineStr">
        <is>
          <t>No</t>
        </is>
      </c>
      <c r="O179" s="9" t="inlineStr">
        <is>
          <t>Nothing published on construction method.</t>
        </is>
      </c>
      <c r="P179" s="10" t="inlineStr"/>
      <c r="Q179" s="6" t="inlineStr"/>
      <c r="R179" s="11">
        <f>IF(P179="","ADD LINKEDIN","ok")</f>
        <v/>
      </c>
      <c r="S179" s="6" t="inlineStr">
        <is>
          <t>https://cambridgecrossingcelina.com/</t>
        </is>
      </c>
      <c r="T179" s="9" t="inlineStr">
        <is>
          <t>Sells lots to Coventry, Highland, Perry and UnionMain. Cambridge Companies, owned by Debbie Wilson, develops it.</t>
        </is>
      </c>
      <c r="U179" s="6" t="inlineStr"/>
      <c r="V179" s="9" t="inlineStr">
        <is>
          <t>Cambridge Companies about page.</t>
        </is>
      </c>
      <c r="W179" s="6" t="inlineStr">
        <is>
          <t>https://cambridgecos.com/about/</t>
        </is>
      </c>
      <c r="X179" s="6" t="inlineStr"/>
      <c r="Y179" s="6" t="inlineStr">
        <is>
          <t>https://cambridgecos.com/about/</t>
        </is>
      </c>
      <c r="Z179" s="6" t="inlineStr"/>
      <c r="AA179" s="6" t="inlineStr">
        <is>
          <t>(214) 771-7305</t>
        </is>
      </c>
      <c r="AB179" s="6" t="inlineStr">
        <is>
          <t>Community office, Celina</t>
        </is>
      </c>
      <c r="AC179" s="6" t="inlineStr">
        <is>
          <t>https://cambridgecrossingcelina.com/builders/</t>
        </is>
      </c>
      <c r="AD179" s="6" t="inlineStr"/>
      <c r="AE179" s="6" t="inlineStr"/>
    </row>
    <row r="180">
      <c r="A180" s="12" t="inlineStr">
        <is>
          <t>Mehrdad Moayedi</t>
        </is>
      </c>
      <c r="B180" s="12" t="inlineStr">
        <is>
          <t>Centurion American Development Group</t>
        </is>
      </c>
      <c r="C180" s="12" t="inlineStr">
        <is>
          <t>President and Chief Executive Officer</t>
        </is>
      </c>
      <c r="D180" s="13" t="inlineStr">
        <is>
          <t>Land owner, not the buyer</t>
        </is>
      </c>
      <c r="E180" s="14" t="n">
        <v>1</v>
      </c>
      <c r="F180" s="12" t="inlineStr">
        <is>
          <t>Land owner</t>
        </is>
      </c>
      <c r="G180" s="12" t="inlineStr">
        <is>
          <t>Masterplan developer</t>
        </is>
      </c>
      <c r="H180" s="12" t="inlineStr">
        <is>
          <t>Farmers Branch, with masterplans across North Texas</t>
        </is>
      </c>
      <c r="I180" s="12" t="inlineStr">
        <is>
          <t>Over 100,000 lots in more than 300 North Texas communities</t>
        </is>
      </c>
      <c r="J180" s="14" t="inlineStr">
        <is>
          <t>Yes</t>
        </is>
      </c>
      <c r="K180" s="15" t="inlineStr">
        <is>
          <t>Repeat builders across Legacy Hills, Creekview, Platinum Ranch and Cottonwood.</t>
        </is>
      </c>
      <c r="L180" s="14" t="inlineStr">
        <is>
          <t>No</t>
        </is>
      </c>
      <c r="M180" s="15" t="inlineStr">
        <is>
          <t>It sells lots. The builders buy the wall.</t>
        </is>
      </c>
      <c r="N180" s="14" t="inlineStr">
        <is>
          <t>No</t>
        </is>
      </c>
      <c r="O180" s="15" t="inlineStr">
        <is>
          <t>Nothing published.</t>
        </is>
      </c>
      <c r="P180" s="10" t="inlineStr"/>
      <c r="Q180" s="12" t="inlineStr"/>
      <c r="R180" s="16">
        <f>IF(P180="","ADD LINKEDIN","ok")</f>
        <v/>
      </c>
      <c r="S180" s="12" t="inlineStr">
        <is>
          <t>https://centurionamerican.com/</t>
        </is>
      </c>
      <c r="T180" s="15" t="inlineStr">
        <is>
          <t>Sells lots to production builders including Horton, Lennar, Pulte and Ashton Woods. Formed a build-to-rent joint venture with Wan Bridge in 2025.</t>
        </is>
      </c>
      <c r="U180" s="12" t="inlineStr"/>
      <c r="V180" s="15" t="inlineStr">
        <is>
          <t>Leadership page. Founded Centurion American Custom Homes in 1990.</t>
        </is>
      </c>
      <c r="W180" s="12" t="inlineStr">
        <is>
          <t>https://centurionamerican.com/about/leadership/</t>
        </is>
      </c>
      <c r="X180" s="12" t="inlineStr">
        <is>
          <t>https://www.linkedin.com/company/centurion-american/</t>
        </is>
      </c>
      <c r="Y180" s="12" t="inlineStr"/>
      <c r="Z180" s="12" t="inlineStr"/>
      <c r="AA180" s="12" t="inlineStr">
        <is>
          <t>(469) 892-7200</t>
        </is>
      </c>
      <c r="AB180" s="12" t="inlineStr">
        <is>
          <t>Headquarters, Farmers Branch</t>
        </is>
      </c>
      <c r="AC180" s="12" t="inlineStr">
        <is>
          <t>https://centurionamerican.com/contact/</t>
        </is>
      </c>
      <c r="AD180" s="12" t="inlineStr"/>
      <c r="AE180" s="12" t="inlineStr"/>
    </row>
    <row r="181">
      <c r="A181" s="6" t="inlineStr">
        <is>
          <t>Fred Balda</t>
        </is>
      </c>
      <c r="B181" s="6" t="inlineStr">
        <is>
          <t>Hillwood Communities</t>
        </is>
      </c>
      <c r="C181" s="6" t="inlineStr">
        <is>
          <t>President</t>
        </is>
      </c>
      <c r="D181" s="7" t="inlineStr">
        <is>
          <t>Land owner, not the buyer</t>
        </is>
      </c>
      <c r="E181" s="8" t="n">
        <v>1</v>
      </c>
      <c r="F181" s="6" t="inlineStr">
        <is>
          <t>Land owner</t>
        </is>
      </c>
      <c r="G181" s="6" t="inlineStr">
        <is>
          <t>Masterplan developer</t>
        </is>
      </c>
      <c r="H181" s="6" t="inlineStr">
        <is>
          <t>Dallas headquarters, with masterplans in Celina and Melissa</t>
        </is>
      </c>
      <c r="I181" s="6" t="inlineStr">
        <is>
          <t>Nine current DFW masterplans on its site, 13 in Texas</t>
        </is>
      </c>
      <c r="J181" s="8" t="inlineStr">
        <is>
          <t>Yes</t>
        </is>
      </c>
      <c r="K181" s="9" t="inlineStr">
        <is>
          <t>Several DFW masterplans at once, each with a multi-builder roster.</t>
        </is>
      </c>
      <c r="L181" s="8" t="inlineStr">
        <is>
          <t>No</t>
        </is>
      </c>
      <c r="M181" s="9" t="inlineStr">
        <is>
          <t>It sells lots. The builders buy the wall.</t>
        </is>
      </c>
      <c r="N181" s="8" t="inlineStr">
        <is>
          <t>No</t>
        </is>
      </c>
      <c r="O181" s="9" t="inlineStr">
        <is>
          <t>Its own blog calls Wolf Ranch a collaboration of ICON, Lennar, BIG and Hillwood.</t>
        </is>
      </c>
      <c r="P181" s="10" t="inlineStr"/>
      <c r="Q181" s="6" t="inlineStr"/>
      <c r="R181" s="11">
        <f>IF(P181="","ADD LINKEDIN","ok")</f>
        <v/>
      </c>
      <c r="S181" s="6" t="inlineStr">
        <is>
          <t>https://www.hillwoodcommunities.com/</t>
        </is>
      </c>
      <c r="T181" s="9" t="inlineStr">
        <is>
          <t>Developed Wolf Ranch in Georgetown, where ICON printed 100 homes for Lennar. Develops Liberty and Ramble in DFW.</t>
        </is>
      </c>
      <c r="U181" s="6" t="inlineStr"/>
      <c r="V181" s="9" t="inlineStr">
        <is>
          <t>Hillwood Communities leadership page.</t>
        </is>
      </c>
      <c r="W181" s="6" t="inlineStr">
        <is>
          <t>https://www.hillwoodcommunities.com/leadership/</t>
        </is>
      </c>
      <c r="X181" s="6" t="inlineStr">
        <is>
          <t>https://www.linkedin.com/company/hillwoodcommunities/</t>
        </is>
      </c>
      <c r="Y181" s="6" t="inlineStr">
        <is>
          <t>https://www.hillwoodcommunities.com/leadership/</t>
        </is>
      </c>
      <c r="Z181" s="6" t="inlineStr"/>
      <c r="AA181" s="6" t="inlineStr">
        <is>
          <t>(214) 449-0914</t>
        </is>
      </c>
      <c r="AB181" s="6" t="inlineStr">
        <is>
          <t>Main office, Dallas</t>
        </is>
      </c>
      <c r="AC181" s="6" t="inlineStr">
        <is>
          <t>https://www.hillwoodcommunities.com/contact/</t>
        </is>
      </c>
      <c r="AD181" s="6" t="inlineStr"/>
      <c r="AE181" s="6" t="inlineStr"/>
    </row>
    <row r="182">
      <c r="A182" s="12" t="inlineStr">
        <is>
          <t>Elaine Eatman</t>
        </is>
      </c>
      <c r="B182" s="12" t="inlineStr">
        <is>
          <t>Hillwood Communities</t>
        </is>
      </c>
      <c r="C182" s="12" t="inlineStr">
        <is>
          <t>Senior Vice President, DFW Project Manager for Ramble and Union Park</t>
        </is>
      </c>
      <c r="D182" s="13" t="inlineStr">
        <is>
          <t>Land owner, not the buyer</t>
        </is>
      </c>
      <c r="E182" s="14" t="n">
        <v>1</v>
      </c>
      <c r="F182" s="12" t="inlineStr">
        <is>
          <t>Land owner</t>
        </is>
      </c>
      <c r="G182" s="12" t="inlineStr">
        <is>
          <t>Masterplan developer</t>
        </is>
      </c>
      <c r="H182" s="12" t="inlineStr">
        <is>
          <t>Dallas headquarters, with masterplans in Celina and Melissa</t>
        </is>
      </c>
      <c r="I182" s="12" t="inlineStr">
        <is>
          <t>Nine current DFW masterplans on its site, 13 in Texas</t>
        </is>
      </c>
      <c r="J182" s="14" t="inlineStr">
        <is>
          <t>Yes</t>
        </is>
      </c>
      <c r="K182" s="15" t="inlineStr">
        <is>
          <t>Several DFW masterplans at once, each with a multi-builder roster.</t>
        </is>
      </c>
      <c r="L182" s="14" t="inlineStr">
        <is>
          <t>No</t>
        </is>
      </c>
      <c r="M182" s="15" t="inlineStr">
        <is>
          <t>It sells lots. The builders buy the wall.</t>
        </is>
      </c>
      <c r="N182" s="14" t="inlineStr">
        <is>
          <t>No</t>
        </is>
      </c>
      <c r="O182" s="15" t="inlineStr">
        <is>
          <t>Its own blog calls Wolf Ranch a collaboration of ICON, Lennar, BIG and Hillwood.</t>
        </is>
      </c>
      <c r="P182" s="6" t="inlineStr">
        <is>
          <t>https://www.linkedin.com/in/elaine-eatman-54596a10</t>
        </is>
      </c>
      <c r="Q182" s="12" t="inlineStr"/>
      <c r="R182" s="16">
        <f>IF(P182="","ADD LINKEDIN","ok")</f>
        <v/>
      </c>
      <c r="S182" s="12" t="inlineStr">
        <is>
          <t>https://www.hillwoodcommunities.com/</t>
        </is>
      </c>
      <c r="T182" s="15" t="inlineStr">
        <is>
          <t>Developed Wolf Ranch in Georgetown, where ICON printed 100 homes for Lennar. Develops Liberty and Ramble in DFW.</t>
        </is>
      </c>
      <c r="U182" s="12" t="inlineStr">
        <is>
          <t>YES</t>
        </is>
      </c>
      <c r="V182" s="15" t="inlineStr">
        <is>
          <t>Indexed title: Senior Vice President at Hillwood. Hillwood leadership page, DFW project managers.</t>
        </is>
      </c>
      <c r="W182" s="12" t="inlineStr">
        <is>
          <t>https://www.hillwoodcommunities.com/leadership/</t>
        </is>
      </c>
      <c r="X182" s="12" t="inlineStr">
        <is>
          <t>https://www.linkedin.com/company/hillwoodcommunities/</t>
        </is>
      </c>
      <c r="Y182" s="12" t="inlineStr">
        <is>
          <t>https://www.hillwoodcommunities.com/leadership/</t>
        </is>
      </c>
      <c r="Z182" s="12" t="inlineStr"/>
      <c r="AA182" s="12" t="inlineStr">
        <is>
          <t>(214) 449-0914</t>
        </is>
      </c>
      <c r="AB182" s="12" t="inlineStr">
        <is>
          <t>Main office, Dallas</t>
        </is>
      </c>
      <c r="AC182" s="12" t="inlineStr">
        <is>
          <t>https://www.hillwoodcommunities.com/contact/</t>
        </is>
      </c>
      <c r="AD182" s="12" t="inlineStr"/>
      <c r="AE182" s="12" t="inlineStr"/>
    </row>
    <row r="183">
      <c r="A183" s="6" t="inlineStr">
        <is>
          <t>Angie Mastrocola</t>
        </is>
      </c>
      <c r="B183" s="6" t="inlineStr">
        <is>
          <t>Hillwood Communities</t>
        </is>
      </c>
      <c r="C183" s="6" t="inlineStr">
        <is>
          <t>Senior Vice President, DFW Project Manager for Harvest</t>
        </is>
      </c>
      <c r="D183" s="7" t="inlineStr">
        <is>
          <t>Land owner, not the buyer</t>
        </is>
      </c>
      <c r="E183" s="8" t="n">
        <v>1</v>
      </c>
      <c r="F183" s="6" t="inlineStr">
        <is>
          <t>Land owner</t>
        </is>
      </c>
      <c r="G183" s="6" t="inlineStr">
        <is>
          <t>Masterplan developer</t>
        </is>
      </c>
      <c r="H183" s="6" t="inlineStr">
        <is>
          <t>Dallas headquarters, with masterplans in Celina and Melissa</t>
        </is>
      </c>
      <c r="I183" s="6" t="inlineStr">
        <is>
          <t>Nine current DFW masterplans on its site, 13 in Texas</t>
        </is>
      </c>
      <c r="J183" s="8" t="inlineStr">
        <is>
          <t>Yes</t>
        </is>
      </c>
      <c r="K183" s="9" t="inlineStr">
        <is>
          <t>Several DFW masterplans at once, each with a multi-builder roster.</t>
        </is>
      </c>
      <c r="L183" s="8" t="inlineStr">
        <is>
          <t>No</t>
        </is>
      </c>
      <c r="M183" s="9" t="inlineStr">
        <is>
          <t>It sells lots. The builders buy the wall.</t>
        </is>
      </c>
      <c r="N183" s="8" t="inlineStr">
        <is>
          <t>No</t>
        </is>
      </c>
      <c r="O183" s="9" t="inlineStr">
        <is>
          <t>Its own blog calls Wolf Ranch a collaboration of ICON, Lennar, BIG and Hillwood.</t>
        </is>
      </c>
      <c r="P183" s="6" t="inlineStr">
        <is>
          <t>https://www.linkedin.com/in/angie-waddle-mastrocola-94766213/</t>
        </is>
      </c>
      <c r="Q183" s="6" t="inlineStr"/>
      <c r="R183" s="11">
        <f>IF(P183="","ADD LINKEDIN","ok")</f>
        <v/>
      </c>
      <c r="S183" s="6" t="inlineStr">
        <is>
          <t>https://www.hillwoodcommunities.com/</t>
        </is>
      </c>
      <c r="T183" s="9" t="inlineStr">
        <is>
          <t>Developed Wolf Ranch in Georgetown, where ICON printed 100 homes for Lennar. Develops Liberty and Ramble in DFW.</t>
        </is>
      </c>
      <c r="U183" s="6" t="inlineStr">
        <is>
          <t>YES</t>
        </is>
      </c>
      <c r="V183" s="9" t="inlineStr">
        <is>
          <t>Indexed title: Angie (Waddle) Mastrocola, Hillwood Development. Hillwood leadership page, DFW project managers.</t>
        </is>
      </c>
      <c r="W183" s="6" t="inlineStr">
        <is>
          <t>https://www.hillwoodcommunities.com/leadership/</t>
        </is>
      </c>
      <c r="X183" s="6" t="inlineStr">
        <is>
          <t>https://www.linkedin.com/company/hillwoodcommunities/</t>
        </is>
      </c>
      <c r="Y183" s="6" t="inlineStr">
        <is>
          <t>https://www.hillwoodcommunities.com/leadership/</t>
        </is>
      </c>
      <c r="Z183" s="6" t="inlineStr"/>
      <c r="AA183" s="6" t="inlineStr">
        <is>
          <t>(214) 449-0914</t>
        </is>
      </c>
      <c r="AB183" s="6" t="inlineStr">
        <is>
          <t>Main office, Dallas</t>
        </is>
      </c>
      <c r="AC183" s="6" t="inlineStr">
        <is>
          <t>https://www.hillwoodcommunities.com/contact/</t>
        </is>
      </c>
      <c r="AD183" s="6" t="inlineStr"/>
      <c r="AE183" s="6" t="inlineStr"/>
    </row>
    <row r="184">
      <c r="A184" s="12" t="inlineStr">
        <is>
          <t>Phillip Huffines</t>
        </is>
      </c>
      <c r="B184" s="12" t="inlineStr">
        <is>
          <t>Huffines Communities</t>
        </is>
      </c>
      <c r="C184" s="12" t="inlineStr">
        <is>
          <t>President, CEO and Co-founder</t>
        </is>
      </c>
      <c r="D184" s="13" t="inlineStr">
        <is>
          <t>Land owner, not the buyer</t>
        </is>
      </c>
      <c r="E184" s="14" t="n">
        <v>1</v>
      </c>
      <c r="F184" s="12" t="inlineStr">
        <is>
          <t>Land owner</t>
        </is>
      </c>
      <c r="G184" s="12" t="inlineStr">
        <is>
          <t>Land developer</t>
        </is>
      </c>
      <c r="H184" s="12" t="inlineStr">
        <is>
          <t>Dallas, with masterplans in Celina, Mesquite, Midlothian and Grand Prairie</t>
        </is>
      </c>
      <c r="I184" s="12" t="inlineStr">
        <is>
          <t>Three masterplans: Serenade, Solterra, Lakesong</t>
        </is>
      </c>
      <c r="J184" s="14" t="inlineStr">
        <is>
          <t>Yes</t>
        </is>
      </c>
      <c r="K184" s="15" t="inlineStr">
        <is>
          <t>A family developer since 1985, with Serenade, Solterra and Lakesong active as multi-builder masterplans.</t>
        </is>
      </c>
      <c r="L184" s="14" t="inlineStr">
        <is>
          <t>No</t>
        </is>
      </c>
      <c r="M184" s="15" t="inlineStr">
        <is>
          <t>It develops lots and infrastructure. The builders buy the wall.</t>
        </is>
      </c>
      <c r="N184" s="14" t="inlineStr">
        <is>
          <t>No</t>
        </is>
      </c>
      <c r="O184" s="15" t="inlineStr">
        <is>
          <t>Nothing published on construction method.</t>
        </is>
      </c>
      <c r="P184" s="10" t="inlineStr"/>
      <c r="Q184" s="12" t="inlineStr"/>
      <c r="R184" s="16">
        <f>IF(P184="","ADD LINKEDIN","ok")</f>
        <v/>
      </c>
      <c r="S184" s="12" t="inlineStr">
        <is>
          <t>https://huffinescommunities.com/</t>
        </is>
      </c>
      <c r="T184" s="15" t="inlineStr">
        <is>
          <t>Sells lots to builders such as HistoryMaker, First Texas and Chesmar. Twin brothers Phillip and Don Huffines founded it in 1985.</t>
        </is>
      </c>
      <c r="U184" s="12" t="inlineStr"/>
      <c r="V184" s="15" t="inlineStr">
        <is>
          <t>Firm blog post, June 4, 2025.</t>
        </is>
      </c>
      <c r="W184" s="12" t="inlineStr">
        <is>
          <t>https://huffinescommunities.com/from-fireworks-to-foundations-phillip-huffines-on-dallas-dirt-with-candy-evans/</t>
        </is>
      </c>
      <c r="X184" s="12" t="inlineStr">
        <is>
          <t>https://www.linkedin.com/company/huffines-communities/</t>
        </is>
      </c>
      <c r="Y184" s="12" t="inlineStr">
        <is>
          <t>https://huffinescommunities.com/from-fireworks-to-foundations-phillip-huffines-on-dallas-dirt-with-candy-evans/</t>
        </is>
      </c>
      <c r="Z184" s="12" t="inlineStr"/>
      <c r="AA184" s="12" t="inlineStr">
        <is>
          <t>(214) 750-1800</t>
        </is>
      </c>
      <c r="AB184" s="12" t="inlineStr">
        <is>
          <t>Main office, Dallas</t>
        </is>
      </c>
      <c r="AC184" s="12" t="inlineStr">
        <is>
          <t>https://huffinescommunities.com/</t>
        </is>
      </c>
      <c r="AD184" s="12" t="inlineStr"/>
      <c r="AE184" s="12" t="inlineStr"/>
    </row>
    <row r="185">
      <c r="A185" s="6" t="inlineStr">
        <is>
          <t>Don Huffines</t>
        </is>
      </c>
      <c r="B185" s="6" t="inlineStr">
        <is>
          <t>Huffines Communities</t>
        </is>
      </c>
      <c r="C185" s="6" t="inlineStr">
        <is>
          <t>Co-founder</t>
        </is>
      </c>
      <c r="D185" s="7" t="inlineStr">
        <is>
          <t>Land owner, not the buyer</t>
        </is>
      </c>
      <c r="E185" s="8" t="n">
        <v>1</v>
      </c>
      <c r="F185" s="6" t="inlineStr">
        <is>
          <t>Land owner</t>
        </is>
      </c>
      <c r="G185" s="6" t="inlineStr">
        <is>
          <t>Land developer</t>
        </is>
      </c>
      <c r="H185" s="6" t="inlineStr">
        <is>
          <t>Dallas, with masterplans in Celina, Mesquite, Midlothian and Grand Prairie</t>
        </is>
      </c>
      <c r="I185" s="6" t="inlineStr">
        <is>
          <t>Three masterplans: Serenade, Solterra, Lakesong</t>
        </is>
      </c>
      <c r="J185" s="8" t="inlineStr">
        <is>
          <t>Yes</t>
        </is>
      </c>
      <c r="K185" s="9" t="inlineStr">
        <is>
          <t>A family developer since 1985, with Serenade, Solterra and Lakesong active as multi-builder masterplans.</t>
        </is>
      </c>
      <c r="L185" s="8" t="inlineStr">
        <is>
          <t>No</t>
        </is>
      </c>
      <c r="M185" s="9" t="inlineStr">
        <is>
          <t>It develops lots and infrastructure. The builders buy the wall.</t>
        </is>
      </c>
      <c r="N185" s="8" t="inlineStr">
        <is>
          <t>No</t>
        </is>
      </c>
      <c r="O185" s="9" t="inlineStr">
        <is>
          <t>Nothing published on construction method.</t>
        </is>
      </c>
      <c r="P185" s="10" t="inlineStr"/>
      <c r="Q185" s="6" t="inlineStr"/>
      <c r="R185" s="11">
        <f>IF(P185="","ADD LINKEDIN","ok")</f>
        <v/>
      </c>
      <c r="S185" s="6" t="inlineStr">
        <is>
          <t>https://huffinescommunities.com/</t>
        </is>
      </c>
      <c r="T185" s="9" t="inlineStr">
        <is>
          <t>Sells lots to builders such as HistoryMaker, First Texas and Chesmar. Twin brothers Phillip and Don Huffines founded it in 1985.</t>
        </is>
      </c>
      <c r="U185" s="6" t="inlineStr"/>
      <c r="V185" s="9" t="inlineStr">
        <is>
          <t>Firm's Who We Are page.</t>
        </is>
      </c>
      <c r="W185" s="6" t="inlineStr">
        <is>
          <t>https://huffinescommunities.com/who-we-are/</t>
        </is>
      </c>
      <c r="X185" s="6" t="inlineStr">
        <is>
          <t>https://www.linkedin.com/company/huffines-communities/</t>
        </is>
      </c>
      <c r="Y185" s="6" t="inlineStr">
        <is>
          <t>https://huffinescommunities.com/from-fireworks-to-foundations-phillip-huffines-on-dallas-dirt-with-candy-evans/</t>
        </is>
      </c>
      <c r="Z185" s="6" t="inlineStr"/>
      <c r="AA185" s="6" t="inlineStr">
        <is>
          <t>(214) 750-1800</t>
        </is>
      </c>
      <c r="AB185" s="6" t="inlineStr">
        <is>
          <t>Main office, Dallas</t>
        </is>
      </c>
      <c r="AC185" s="6" t="inlineStr">
        <is>
          <t>https://huffinescommunities.com/</t>
        </is>
      </c>
      <c r="AD185" s="6" t="inlineStr"/>
      <c r="AE185" s="6" t="inlineStr"/>
    </row>
    <row r="186">
      <c r="A186" s="12" t="inlineStr">
        <is>
          <t>Chris Kleinert</t>
        </is>
      </c>
      <c r="B186" s="12" t="inlineStr">
        <is>
          <t>Hunt Realty Investments</t>
        </is>
      </c>
      <c r="C186" s="12" t="inlineStr">
        <is>
          <t>Chief Executive Officer, Hunt Investment Holdings, and President, Hunt Realty Investments</t>
        </is>
      </c>
      <c r="D186" s="13" t="inlineStr">
        <is>
          <t>Land owner, not the buyer</t>
        </is>
      </c>
      <c r="E186" s="14" t="n">
        <v>1</v>
      </c>
      <c r="F186" s="12" t="inlineStr">
        <is>
          <t>Land owner</t>
        </is>
      </c>
      <c r="G186" s="12" t="inlineStr">
        <is>
          <t>Land developer</t>
        </is>
      </c>
      <c r="H186" s="12" t="inlineStr">
        <is>
          <t>Dallas office, with Fields in far north Frisco</t>
        </is>
      </c>
      <c r="I186" s="12" t="inlineStr">
        <is>
          <t>Fields, Frisco: 2,544 acres, 10,000+ homes planned</t>
        </is>
      </c>
      <c r="J186" s="14" t="inlineStr">
        <is>
          <t>Yes</t>
        </is>
      </c>
      <c r="K186" s="15" t="inlineStr">
        <is>
          <t>One 2,544-acre masterplan with several single-family neighborhoods, plus multifamily.</t>
        </is>
      </c>
      <c r="L186" s="14" t="inlineStr">
        <is>
          <t>No</t>
        </is>
      </c>
      <c r="M186" s="15" t="inlineStr">
        <is>
          <t>It develops and sells land. The builders buy the wall.</t>
        </is>
      </c>
      <c r="N186" s="14" t="inlineStr">
        <is>
          <t>No</t>
        </is>
      </c>
      <c r="O186" s="15" t="inlineStr">
        <is>
          <t>Nothing published on construction method.</t>
        </is>
      </c>
      <c r="P186" s="10" t="inlineStr"/>
      <c r="Q186" s="12" t="inlineStr"/>
      <c r="R186" s="16">
        <f>IF(P186="","ADD LINKEDIN","ok")</f>
        <v/>
      </c>
      <c r="S186" s="12" t="inlineStr">
        <is>
          <t>https://huntrealty.com/</t>
        </is>
      </c>
      <c r="T186" s="15" t="inlineStr">
        <is>
          <t>Sells lots at Fields to Landon Homes and to the custom builders at the Preserve. Co-develops Fields with Karahan Companies.</t>
        </is>
      </c>
      <c r="U186" s="12" t="inlineStr"/>
      <c r="V186" s="15" t="inlineStr">
        <is>
          <t>Firm's team page.</t>
        </is>
      </c>
      <c r="W186" s="12" t="inlineStr">
        <is>
          <t>https://huntrealty.com/team/</t>
        </is>
      </c>
      <c r="X186" s="12" t="inlineStr">
        <is>
          <t>https://www.linkedin.com/company/huntrealtyinvestments/</t>
        </is>
      </c>
      <c r="Y186" s="12" t="inlineStr">
        <is>
          <t>https://huntrealty.com/team/</t>
        </is>
      </c>
      <c r="Z186" s="12" t="inlineStr"/>
      <c r="AA186" s="12" t="inlineStr">
        <is>
          <t>(214) 978-8690</t>
        </is>
      </c>
      <c r="AB186" s="12" t="inlineStr">
        <is>
          <t>Main office, Dallas</t>
        </is>
      </c>
      <c r="AC186" s="12" t="inlineStr">
        <is>
          <t>https://huntrealty.com/contact/</t>
        </is>
      </c>
      <c r="AD186" s="12" t="inlineStr"/>
      <c r="AE186" s="12" t="inlineStr"/>
    </row>
    <row r="187">
      <c r="A187" s="6" t="inlineStr">
        <is>
          <t>Mike Wallace</t>
        </is>
      </c>
      <c r="B187" s="6" t="inlineStr">
        <is>
          <t>Hunt Realty Investments</t>
        </is>
      </c>
      <c r="C187" s="6" t="inlineStr">
        <is>
          <t>President, Investment Management and Development, Hunt Realty Investments</t>
        </is>
      </c>
      <c r="D187" s="7" t="inlineStr">
        <is>
          <t>Land owner, not the buyer</t>
        </is>
      </c>
      <c r="E187" s="8" t="n">
        <v>1</v>
      </c>
      <c r="F187" s="6" t="inlineStr">
        <is>
          <t>Land owner</t>
        </is>
      </c>
      <c r="G187" s="6" t="inlineStr">
        <is>
          <t>Land developer</t>
        </is>
      </c>
      <c r="H187" s="6" t="inlineStr">
        <is>
          <t>Dallas office, with Fields in far north Frisco</t>
        </is>
      </c>
      <c r="I187" s="6" t="inlineStr">
        <is>
          <t>Fields, Frisco: 2,544 acres, 10,000+ homes planned</t>
        </is>
      </c>
      <c r="J187" s="8" t="inlineStr">
        <is>
          <t>Yes</t>
        </is>
      </c>
      <c r="K187" s="9" t="inlineStr">
        <is>
          <t>One 2,544-acre masterplan with several single-family neighborhoods, plus multifamily.</t>
        </is>
      </c>
      <c r="L187" s="8" t="inlineStr">
        <is>
          <t>No</t>
        </is>
      </c>
      <c r="M187" s="9" t="inlineStr">
        <is>
          <t>It develops and sells land. The builders buy the wall.</t>
        </is>
      </c>
      <c r="N187" s="8" t="inlineStr">
        <is>
          <t>No</t>
        </is>
      </c>
      <c r="O187" s="9" t="inlineStr">
        <is>
          <t>Nothing published on construction method.</t>
        </is>
      </c>
      <c r="P187" s="10" t="inlineStr"/>
      <c r="Q187" s="6" t="inlineStr"/>
      <c r="R187" s="11">
        <f>IF(P187="","ADD LINKEDIN","ok")</f>
        <v/>
      </c>
      <c r="S187" s="6" t="inlineStr">
        <is>
          <t>https://huntrealty.com/</t>
        </is>
      </c>
      <c r="T187" s="9" t="inlineStr">
        <is>
          <t>Sells lots at Fields to Landon Homes and to the custom builders at the Preserve. Co-develops Fields with Karahan Companies.</t>
        </is>
      </c>
      <c r="U187" s="6" t="inlineStr"/>
      <c r="V187" s="9" t="inlineStr">
        <is>
          <t>Firm's team page.</t>
        </is>
      </c>
      <c r="W187" s="6" t="inlineStr">
        <is>
          <t>https://huntrealty.com/team/</t>
        </is>
      </c>
      <c r="X187" s="6" t="inlineStr">
        <is>
          <t>https://www.linkedin.com/company/huntrealtyinvestments/</t>
        </is>
      </c>
      <c r="Y187" s="6" t="inlineStr">
        <is>
          <t>https://huntrealty.com/team/</t>
        </is>
      </c>
      <c r="Z187" s="6" t="inlineStr"/>
      <c r="AA187" s="6" t="inlineStr">
        <is>
          <t>(214) 978-8690</t>
        </is>
      </c>
      <c r="AB187" s="6" t="inlineStr">
        <is>
          <t>Main office, Dallas</t>
        </is>
      </c>
      <c r="AC187" s="6" t="inlineStr">
        <is>
          <t>https://huntrealty.com/contact/</t>
        </is>
      </c>
      <c r="AD187" s="6" t="inlineStr"/>
      <c r="AE187" s="6" t="inlineStr"/>
    </row>
    <row r="188">
      <c r="A188" s="12" t="inlineStr">
        <is>
          <t>Todd Watson</t>
        </is>
      </c>
      <c r="B188" s="12" t="inlineStr">
        <is>
          <t>Hunt Realty Investments</t>
        </is>
      </c>
      <c r="C188" s="12" t="inlineStr">
        <is>
          <t>President, Land and Development, Hunt Realty Investments</t>
        </is>
      </c>
      <c r="D188" s="13" t="inlineStr">
        <is>
          <t>Land owner, not the buyer</t>
        </is>
      </c>
      <c r="E188" s="14" t="n">
        <v>1</v>
      </c>
      <c r="F188" s="12" t="inlineStr">
        <is>
          <t>Land owner</t>
        </is>
      </c>
      <c r="G188" s="12" t="inlineStr">
        <is>
          <t>Land developer</t>
        </is>
      </c>
      <c r="H188" s="12" t="inlineStr">
        <is>
          <t>Dallas office, with Fields in far north Frisco</t>
        </is>
      </c>
      <c r="I188" s="12" t="inlineStr">
        <is>
          <t>Fields, Frisco: 2,544 acres, 10,000+ homes planned</t>
        </is>
      </c>
      <c r="J188" s="14" t="inlineStr">
        <is>
          <t>Yes</t>
        </is>
      </c>
      <c r="K188" s="15" t="inlineStr">
        <is>
          <t>One 2,544-acre masterplan with several single-family neighborhoods, plus multifamily.</t>
        </is>
      </c>
      <c r="L188" s="14" t="inlineStr">
        <is>
          <t>No</t>
        </is>
      </c>
      <c r="M188" s="15" t="inlineStr">
        <is>
          <t>It develops and sells land. The builders buy the wall.</t>
        </is>
      </c>
      <c r="N188" s="14" t="inlineStr">
        <is>
          <t>No</t>
        </is>
      </c>
      <c r="O188" s="15" t="inlineStr">
        <is>
          <t>Nothing published on construction method.</t>
        </is>
      </c>
      <c r="P188" s="6" t="inlineStr">
        <is>
          <t>https://www.linkedin.com/in/todd-watson-94353349/</t>
        </is>
      </c>
      <c r="Q188" s="12" t="inlineStr"/>
      <c r="R188" s="16">
        <f>IF(P188="","ADD LINKEDIN","ok")</f>
        <v/>
      </c>
      <c r="S188" s="12" t="inlineStr">
        <is>
          <t>https://huntrealty.com/</t>
        </is>
      </c>
      <c r="T188" s="15" t="inlineStr">
        <is>
          <t>Sells lots at Fields to Landon Homes and to the custom builders at the Preserve. Co-develops Fields with Karahan Companies.</t>
        </is>
      </c>
      <c r="U188" s="12" t="inlineStr"/>
      <c r="V188" s="15" t="inlineStr">
        <is>
          <t>Indexed title: Hunt Realty Investments. Team page. Calls Fields his favorite Hunt asset.</t>
        </is>
      </c>
      <c r="W188" s="12" t="inlineStr">
        <is>
          <t>https://huntrealty.com/team/</t>
        </is>
      </c>
      <c r="X188" s="12" t="inlineStr">
        <is>
          <t>https://www.linkedin.com/company/huntrealtyinvestments/</t>
        </is>
      </c>
      <c r="Y188" s="12" t="inlineStr">
        <is>
          <t>https://huntrealty.com/team/</t>
        </is>
      </c>
      <c r="Z188" s="12" t="inlineStr"/>
      <c r="AA188" s="12" t="inlineStr">
        <is>
          <t>(214) 978-8690</t>
        </is>
      </c>
      <c r="AB188" s="12" t="inlineStr">
        <is>
          <t>Main office, Dallas</t>
        </is>
      </c>
      <c r="AC188" s="12" t="inlineStr">
        <is>
          <t>https://huntrealty.com/contact/</t>
        </is>
      </c>
      <c r="AD188" s="12" t="inlineStr"/>
      <c r="AE188" s="12" t="inlineStr"/>
    </row>
    <row r="189">
      <c r="A189" s="6" t="inlineStr">
        <is>
          <t>Michael J. Smith</t>
        </is>
      </c>
      <c r="B189" s="6" t="inlineStr">
        <is>
          <t>Johnson Development</t>
        </is>
      </c>
      <c r="C189" s="6" t="inlineStr">
        <is>
          <t>President and Chief Executive Officer</t>
        </is>
      </c>
      <c r="D189" s="7" t="inlineStr">
        <is>
          <t>Land owner, not the buyer</t>
        </is>
      </c>
      <c r="E189" s="8" t="n">
        <v>1</v>
      </c>
      <c r="F189" s="6" t="inlineStr">
        <is>
          <t>Land owner</t>
        </is>
      </c>
      <c r="G189" s="6" t="inlineStr">
        <is>
          <t>Masterplan developer</t>
        </is>
      </c>
      <c r="H189" s="6" t="inlineStr">
        <is>
          <t>Houston, with DFW masterplans in McKinney, Arlington and Denton</t>
        </is>
      </c>
      <c r="I189" s="6" t="inlineStr">
        <is>
          <t>22 active masterplans, its own count</t>
        </is>
      </c>
      <c r="J189" s="8" t="inlineStr">
        <is>
          <t>Yes</t>
        </is>
      </c>
      <c r="K189" s="9" t="inlineStr">
        <is>
          <t>22 active masterplans, including Trinity Falls in DFW, each with several builders.</t>
        </is>
      </c>
      <c r="L189" s="8" t="inlineStr">
        <is>
          <t>No</t>
        </is>
      </c>
      <c r="M189" s="9" t="inlineStr">
        <is>
          <t>It sells lots. The builders buy the wall.</t>
        </is>
      </c>
      <c r="N189" s="8" t="inlineStr">
        <is>
          <t>No</t>
        </is>
      </c>
      <c r="O189" s="9" t="inlineStr">
        <is>
          <t>Nothing published on construction method.</t>
        </is>
      </c>
      <c r="P189" s="10" t="inlineStr"/>
      <c r="Q189" s="6" t="inlineStr"/>
      <c r="R189" s="11">
        <f>IF(P189="","ADD LINKEDIN","ok")</f>
        <v/>
      </c>
      <c r="S189" s="6" t="inlineStr">
        <is>
          <t>https://www.johnsondevelopment.com/</t>
        </is>
      </c>
      <c r="T189" s="9" t="inlineStr">
        <is>
          <t>Sells lots at Trinity Falls, Viridian and Cole Ranch, each with several builders. Michael Smith is President and Chief Executive Officer.</t>
        </is>
      </c>
      <c r="U189" s="6" t="inlineStr"/>
      <c r="V189" s="9" t="inlineStr">
        <is>
          <t>Firm's leadership page.</t>
        </is>
      </c>
      <c r="W189" s="6" t="inlineStr">
        <is>
          <t>https://www.johnsondevelopment.com/our-leaders</t>
        </is>
      </c>
      <c r="X189" s="6" t="inlineStr">
        <is>
          <t>https://www.linkedin.com/company/the-johnson-development-corp/</t>
        </is>
      </c>
      <c r="Y189" s="6" t="inlineStr">
        <is>
          <t>https://www.johnsondevelopment.com/our-leaders</t>
        </is>
      </c>
      <c r="Z189" s="6" t="inlineStr"/>
      <c r="AA189" s="6" t="inlineStr">
        <is>
          <t>(713) 960-9977</t>
        </is>
      </c>
      <c r="AB189" s="6" t="inlineStr">
        <is>
          <t>Corporate office, Houston</t>
        </is>
      </c>
      <c r="AC189" s="6" t="inlineStr">
        <is>
          <t>https://www.johnsondevelopment.com/our-leaders</t>
        </is>
      </c>
      <c r="AD189" s="6" t="inlineStr"/>
      <c r="AE189" s="6" t="inlineStr"/>
    </row>
    <row r="190">
      <c r="A190" s="12" t="inlineStr">
        <is>
          <t>Tony Ruggeri</t>
        </is>
      </c>
      <c r="B190" s="12" t="inlineStr">
        <is>
          <t>Light Farms (Celina, Republic)</t>
        </is>
      </c>
      <c r="C190" s="12" t="inlineStr">
        <is>
          <t>Co-CEO and Partner, Republic Property Group</t>
        </is>
      </c>
      <c r="D190" s="13" t="inlineStr">
        <is>
          <t>Land owner, not the buyer</t>
        </is>
      </c>
      <c r="E190" s="14" t="n">
        <v>1</v>
      </c>
      <c r="F190" s="12" t="inlineStr">
        <is>
          <t>Land owner</t>
        </is>
      </c>
      <c r="G190" s="12" t="inlineStr">
        <is>
          <t>Masterplanned community</t>
        </is>
      </c>
      <c r="H190" s="12" t="inlineStr">
        <is>
          <t>Celina, Collin County</t>
        </is>
      </c>
      <c r="I190" s="12" t="inlineStr">
        <is>
          <t>1,070-acre Celina masterplan, Republic Property Group</t>
        </is>
      </c>
      <c r="J190" s="14" t="inlineStr">
        <is>
          <t>Yes</t>
        </is>
      </c>
      <c r="K190" s="15" t="inlineStr">
        <is>
          <t>Built out in repeated production phases.</t>
        </is>
      </c>
      <c r="L190" s="14" t="inlineStr">
        <is>
          <t>No</t>
        </is>
      </c>
      <c r="M190" s="15" t="inlineStr">
        <is>
          <t>Republic and LFC sell lots. The builders buy the wall.</t>
        </is>
      </c>
      <c r="N190" s="14" t="inlineStr">
        <is>
          <t>No</t>
        </is>
      </c>
      <c r="O190" s="15" t="inlineStr">
        <is>
          <t>Nothing published on construction method.</t>
        </is>
      </c>
      <c r="P190" s="6" t="inlineStr">
        <is>
          <t>https://www.linkedin.com/in/tony-ruggeri-8ba6308/</t>
        </is>
      </c>
      <c r="Q190" s="12" t="inlineStr"/>
      <c r="R190" s="16">
        <f>IF(P190="","ADD LINKEDIN","ok")</f>
        <v/>
      </c>
      <c r="S190" s="12" t="inlineStr">
        <is>
          <t>https://lightfarmstx.com/</t>
        </is>
      </c>
      <c r="T190" s="15" t="inlineStr">
        <is>
          <t>Shaddock is the builder remaining in its final opportunities. Republic develops it for LFC Land Company.</t>
        </is>
      </c>
      <c r="U190" s="12" t="inlineStr"/>
      <c r="V190" s="15" t="inlineStr">
        <is>
          <t>Indexed title: Republic Property Group. Republic Property Group team page.</t>
        </is>
      </c>
      <c r="W190" s="12" t="inlineStr">
        <is>
          <t>https://republicpropertygroup.com/team/</t>
        </is>
      </c>
      <c r="X190" s="12" t="inlineStr">
        <is>
          <t>https://www.linkedin.com/company/republic-property-group/</t>
        </is>
      </c>
      <c r="Y190" s="12" t="inlineStr"/>
      <c r="Z190" s="12" t="inlineStr"/>
      <c r="AA190" s="12" t="inlineStr">
        <is>
          <t>(214) 618-4542</t>
        </is>
      </c>
      <c r="AB190" s="12" t="inlineStr">
        <is>
          <t>Welcome center, Celina</t>
        </is>
      </c>
      <c r="AC190" s="12" t="inlineStr">
        <is>
          <t>https://republicpropertygroup.com/communities/light-farms/</t>
        </is>
      </c>
      <c r="AD190" s="12" t="inlineStr"/>
      <c r="AE190" s="12" t="inlineStr"/>
    </row>
    <row r="191">
      <c r="A191" s="6" t="inlineStr">
        <is>
          <t>Jake Wagner</t>
        </is>
      </c>
      <c r="B191" s="6" t="inlineStr">
        <is>
          <t>Light Farms (Celina, Republic)</t>
        </is>
      </c>
      <c r="C191" s="6" t="inlineStr">
        <is>
          <t>Co-CEO and Partner, Republic Property Group</t>
        </is>
      </c>
      <c r="D191" s="7" t="inlineStr">
        <is>
          <t>Land owner, not the buyer</t>
        </is>
      </c>
      <c r="E191" s="8" t="n">
        <v>1</v>
      </c>
      <c r="F191" s="6" t="inlineStr">
        <is>
          <t>Land owner</t>
        </is>
      </c>
      <c r="G191" s="6" t="inlineStr">
        <is>
          <t>Masterplanned community</t>
        </is>
      </c>
      <c r="H191" s="6" t="inlineStr">
        <is>
          <t>Celina, Collin County</t>
        </is>
      </c>
      <c r="I191" s="6" t="inlineStr">
        <is>
          <t>1,070-acre Celina masterplan, Republic Property Group</t>
        </is>
      </c>
      <c r="J191" s="8" t="inlineStr">
        <is>
          <t>Yes</t>
        </is>
      </c>
      <c r="K191" s="9" t="inlineStr">
        <is>
          <t>Built out in repeated production phases.</t>
        </is>
      </c>
      <c r="L191" s="8" t="inlineStr">
        <is>
          <t>No</t>
        </is>
      </c>
      <c r="M191" s="9" t="inlineStr">
        <is>
          <t>Republic and LFC sell lots. The builders buy the wall.</t>
        </is>
      </c>
      <c r="N191" s="8" t="inlineStr">
        <is>
          <t>No</t>
        </is>
      </c>
      <c r="O191" s="9" t="inlineStr">
        <is>
          <t>Nothing published on construction method.</t>
        </is>
      </c>
      <c r="P191" s="10" t="inlineStr"/>
      <c r="Q191" s="6" t="inlineStr"/>
      <c r="R191" s="11">
        <f>IF(P191="","ADD LINKEDIN","ok")</f>
        <v/>
      </c>
      <c r="S191" s="6" t="inlineStr">
        <is>
          <t>https://lightfarmstx.com/</t>
        </is>
      </c>
      <c r="T191" s="9" t="inlineStr">
        <is>
          <t>Shaddock is the builder remaining in its final opportunities. Republic develops it for LFC Land Company.</t>
        </is>
      </c>
      <c r="U191" s="6" t="inlineStr"/>
      <c r="V191" s="9" t="inlineStr">
        <is>
          <t>Republic Property Group team page.</t>
        </is>
      </c>
      <c r="W191" s="6" t="inlineStr">
        <is>
          <t>https://republicpropertygroup.com/team/</t>
        </is>
      </c>
      <c r="X191" s="6" t="inlineStr">
        <is>
          <t>https://www.linkedin.com/company/republic-property-group/</t>
        </is>
      </c>
      <c r="Y191" s="6" t="inlineStr"/>
      <c r="Z191" s="6" t="inlineStr"/>
      <c r="AA191" s="6" t="inlineStr">
        <is>
          <t>(214) 618-4542</t>
        </is>
      </c>
      <c r="AB191" s="6" t="inlineStr">
        <is>
          <t>Welcome center, Celina</t>
        </is>
      </c>
      <c r="AC191" s="6" t="inlineStr">
        <is>
          <t>https://republicpropertygroup.com/communities/light-farms/</t>
        </is>
      </c>
      <c r="AD191" s="6" t="inlineStr"/>
      <c r="AE191" s="6" t="inlineStr"/>
    </row>
    <row r="192">
      <c r="A192" s="12" t="inlineStr">
        <is>
          <t>Fred Balda</t>
        </is>
      </c>
      <c r="B192" s="12" t="inlineStr">
        <is>
          <t>Lilyana by Hillwood (Celina)</t>
        </is>
      </c>
      <c r="C192" s="12" t="inlineStr">
        <is>
          <t>President, Hillwood Communities</t>
        </is>
      </c>
      <c r="D192" s="13" t="inlineStr">
        <is>
          <t>Land owner, not the buyer</t>
        </is>
      </c>
      <c r="E192" s="14" t="n">
        <v>1</v>
      </c>
      <c r="F192" s="12" t="inlineStr">
        <is>
          <t>Land owner</t>
        </is>
      </c>
      <c r="G192" s="12" t="inlineStr">
        <is>
          <t>Masterplanned community</t>
        </is>
      </c>
      <c r="H192" s="12" t="inlineStr">
        <is>
          <t>Celina and Prosper area</t>
        </is>
      </c>
      <c r="I192" s="12" t="inlineStr">
        <is>
          <t>About 1,300 homes on 400 acres, Celina</t>
        </is>
      </c>
      <c r="J192" s="14" t="inlineStr">
        <is>
          <t>Yes</t>
        </is>
      </c>
      <c r="K192" s="15" t="inlineStr">
        <is>
          <t>About 1,300 planned homes on one 400-acre site.</t>
        </is>
      </c>
      <c r="L192" s="14" t="inlineStr">
        <is>
          <t>No</t>
        </is>
      </c>
      <c r="M192" s="15" t="inlineStr">
        <is>
          <t>Hillwood sells lots. The builders buy the wall.</t>
        </is>
      </c>
      <c r="N192" s="14" t="inlineStr">
        <is>
          <t>No</t>
        </is>
      </c>
      <c r="O192" s="15" t="inlineStr">
        <is>
          <t>Nothing published on construction method.</t>
        </is>
      </c>
      <c r="P192" s="10" t="inlineStr"/>
      <c r="Q192" s="12" t="inlineStr"/>
      <c r="R192" s="16">
        <f>IF(P192="","ADD LINKEDIN","ok")</f>
        <v/>
      </c>
      <c r="S192" s="12" t="inlineStr">
        <is>
          <t>https://www.lilyanabyhillwood.com/</t>
        </is>
      </c>
      <c r="T192" s="15" t="inlineStr">
        <is>
          <t>Its October 2025 fact sheet lists M/I Homes as the current builder. A Hillwood Communities masterplan.</t>
        </is>
      </c>
      <c r="U192" s="12" t="inlineStr"/>
      <c r="V192" s="15" t="inlineStr">
        <is>
          <t>Hillwood Communities leadership page. President since 1992.</t>
        </is>
      </c>
      <c r="W192" s="12" t="inlineStr">
        <is>
          <t>https://www.hillwoodcommunities.com/leadership/fred-balda/</t>
        </is>
      </c>
      <c r="X192" s="12" t="inlineStr">
        <is>
          <t>https://www.linkedin.com/company/hillwoodcommunities/</t>
        </is>
      </c>
      <c r="Y192" s="12" t="inlineStr"/>
      <c r="Z192" s="12" t="inlineStr"/>
      <c r="AA192" s="12" t="inlineStr">
        <is>
          <t>(214) 449-0914</t>
        </is>
      </c>
      <c r="AB192" s="12" t="inlineStr">
        <is>
          <t>Hillwood Communities main office</t>
        </is>
      </c>
      <c r="AC192" s="12" t="inlineStr">
        <is>
          <t>https://www.hillwoodcommunities.com/contact/</t>
        </is>
      </c>
      <c r="AD192" s="12" t="inlineStr"/>
      <c r="AE192" s="12" t="inlineStr"/>
    </row>
    <row r="193">
      <c r="A193" s="6" t="inlineStr">
        <is>
          <t>Huawei “Howie” Yin</t>
        </is>
      </c>
      <c r="B193" s="6" t="inlineStr">
        <is>
          <t>Lilyana by Hillwood (Celina)</t>
        </is>
      </c>
      <c r="C193" s="6" t="inlineStr">
        <is>
          <t>Vice President, DFW Project Manager for Ramble and Lilyana</t>
        </is>
      </c>
      <c r="D193" s="7" t="inlineStr">
        <is>
          <t>Land owner, not the buyer</t>
        </is>
      </c>
      <c r="E193" s="8" t="n">
        <v>1</v>
      </c>
      <c r="F193" s="6" t="inlineStr">
        <is>
          <t>Land owner</t>
        </is>
      </c>
      <c r="G193" s="6" t="inlineStr">
        <is>
          <t>Masterplanned community</t>
        </is>
      </c>
      <c r="H193" s="6" t="inlineStr">
        <is>
          <t>Celina and Prosper area</t>
        </is>
      </c>
      <c r="I193" s="6" t="inlineStr">
        <is>
          <t>About 1,300 homes on 400 acres, Celina</t>
        </is>
      </c>
      <c r="J193" s="8" t="inlineStr">
        <is>
          <t>Yes</t>
        </is>
      </c>
      <c r="K193" s="9" t="inlineStr">
        <is>
          <t>About 1,300 planned homes on one 400-acre site.</t>
        </is>
      </c>
      <c r="L193" s="8" t="inlineStr">
        <is>
          <t>No</t>
        </is>
      </c>
      <c r="M193" s="9" t="inlineStr">
        <is>
          <t>Hillwood sells lots. The builders buy the wall.</t>
        </is>
      </c>
      <c r="N193" s="8" t="inlineStr">
        <is>
          <t>No</t>
        </is>
      </c>
      <c r="O193" s="9" t="inlineStr">
        <is>
          <t>Nothing published on construction method.</t>
        </is>
      </c>
      <c r="P193" s="6" t="inlineStr">
        <is>
          <t>https://www.linkedin.com/in/huaweiyin/</t>
        </is>
      </c>
      <c r="Q193" s="6" t="inlineStr"/>
      <c r="R193" s="11">
        <f>IF(P193="","ADD LINKEDIN","ok")</f>
        <v/>
      </c>
      <c r="S193" s="6" t="inlineStr">
        <is>
          <t>https://www.lilyanabyhillwood.com/</t>
        </is>
      </c>
      <c r="T193" s="9" t="inlineStr">
        <is>
          <t>Its October 2025 fact sheet lists M/I Homes as the current builder. A Hillwood Communities masterplan.</t>
        </is>
      </c>
      <c r="U193" s="6" t="inlineStr">
        <is>
          <t>YES</t>
        </is>
      </c>
      <c r="V193" s="9" t="inlineStr">
        <is>
          <t>Indexed title: Hillwood Communities. Hillwood Communities leadership page.</t>
        </is>
      </c>
      <c r="W193" s="6" t="inlineStr">
        <is>
          <t>https://www.hillwoodcommunities.com/leadership/fred-balda/</t>
        </is>
      </c>
      <c r="X193" s="6" t="inlineStr">
        <is>
          <t>https://www.linkedin.com/company/hillwoodcommunities/</t>
        </is>
      </c>
      <c r="Y193" s="6" t="inlineStr"/>
      <c r="Z193" s="6" t="inlineStr"/>
      <c r="AA193" s="6" t="inlineStr">
        <is>
          <t>(214) 449-0914</t>
        </is>
      </c>
      <c r="AB193" s="6" t="inlineStr">
        <is>
          <t>Hillwood Communities main office</t>
        </is>
      </c>
      <c r="AC193" s="6" t="inlineStr">
        <is>
          <t>https://www.hillwoodcommunities.com/contact/</t>
        </is>
      </c>
      <c r="AD193" s="6" t="inlineStr"/>
      <c r="AE193" s="6" t="inlineStr"/>
    </row>
    <row r="194">
      <c r="A194" s="12" t="inlineStr">
        <is>
          <t>Craig Martin</t>
        </is>
      </c>
      <c r="B194" s="12" t="inlineStr">
        <is>
          <t>Mosaic (Celina, Tellus Group)</t>
        </is>
      </c>
      <c r="C194" s="12" t="inlineStr">
        <is>
          <t>Founder and Chief Executive Officer, Tellus Group</t>
        </is>
      </c>
      <c r="D194" s="13" t="inlineStr">
        <is>
          <t>Land owner, not the buyer</t>
        </is>
      </c>
      <c r="E194" s="14" t="n">
        <v>1</v>
      </c>
      <c r="F194" s="12" t="inlineStr">
        <is>
          <t>Land owner</t>
        </is>
      </c>
      <c r="G194" s="12" t="inlineStr">
        <is>
          <t>Masterplanned community</t>
        </is>
      </c>
      <c r="H194" s="12" t="inlineStr">
        <is>
          <t>Celina, on the Prosper edge</t>
        </is>
      </c>
      <c r="I194" s="12" t="inlineStr">
        <is>
          <t>760 acres, about 1,700 lots, eight builders</t>
        </is>
      </c>
      <c r="J194" s="14" t="inlineStr">
        <is>
          <t>Yes</t>
        </is>
      </c>
      <c r="K194" s="15" t="inlineStr">
        <is>
          <t>About 1,700 lots across eight builders.</t>
        </is>
      </c>
      <c r="L194" s="14" t="inlineStr">
        <is>
          <t>No</t>
        </is>
      </c>
      <c r="M194" s="15" t="inlineStr">
        <is>
          <t>Tellus develops lots. The builders buy the wall.</t>
        </is>
      </c>
      <c r="N194" s="14" t="inlineStr">
        <is>
          <t>No</t>
        </is>
      </c>
      <c r="O194" s="15" t="inlineStr">
        <is>
          <t>Nothing published on construction method.</t>
        </is>
      </c>
      <c r="P194" s="10" t="inlineStr"/>
      <c r="Q194" s="12" t="inlineStr"/>
      <c r="R194" s="16">
        <f>IF(P194="","ADD LINKEDIN","ok")</f>
        <v/>
      </c>
      <c r="S194" s="12" t="inlineStr">
        <is>
          <t>https://mosaiclivingtx.com/</t>
        </is>
      </c>
      <c r="T194" s="15" t="inlineStr">
        <is>
          <t>Its builders include Homebound. Tellus Group develops it, just north of Windsong Ranch.</t>
        </is>
      </c>
      <c r="U194" s="12" t="inlineStr"/>
      <c r="V194" s="15" t="inlineStr">
        <is>
          <t>Tellus Group team page.</t>
        </is>
      </c>
      <c r="W194" s="12" t="inlineStr">
        <is>
          <t>https://tellusgroupllc.com/team/</t>
        </is>
      </c>
      <c r="X194" s="12" t="inlineStr">
        <is>
          <t>https://www.linkedin.com/company/tellusgroupllc/</t>
        </is>
      </c>
      <c r="Y194" s="12" t="inlineStr"/>
      <c r="Z194" s="12" t="inlineStr"/>
      <c r="AA194" s="12" t="inlineStr">
        <is>
          <t>(469) 532-0689</t>
        </is>
      </c>
      <c r="AB194" s="12" t="inlineStr">
        <is>
          <t>Tellus Group, Plano</t>
        </is>
      </c>
      <c r="AC194" s="12" t="inlineStr">
        <is>
          <t>https://tellusgroupllc.com/contact/</t>
        </is>
      </c>
      <c r="AD194" s="12" t="inlineStr"/>
      <c r="AE194" s="12" t="inlineStr"/>
    </row>
    <row r="195">
      <c r="A195" s="6" t="inlineStr">
        <is>
          <t>no contact identified</t>
        </is>
      </c>
      <c r="B195" s="6" t="inlineStr">
        <is>
          <t>Painted Tree (Oxland / MPC)</t>
        </is>
      </c>
      <c r="C195" s="6" t="inlineStr"/>
      <c r="D195" s="7" t="inlineStr">
        <is>
          <t>Land owner, not the buyer</t>
        </is>
      </c>
      <c r="E195" s="8" t="n">
        <v>1</v>
      </c>
      <c r="F195" s="6" t="inlineStr">
        <is>
          <t>Land owner</t>
        </is>
      </c>
      <c r="G195" s="6" t="inlineStr">
        <is>
          <t>Masterplanned community</t>
        </is>
      </c>
      <c r="H195" s="6" t="inlineStr">
        <is>
          <t>McKinney</t>
        </is>
      </c>
      <c r="I195" s="6" t="inlineStr">
        <is>
          <t>Eleven names on its districts page, McKinney</t>
        </is>
      </c>
      <c r="J195" s="8" t="inlineStr">
        <is>
          <t>Yes</t>
        </is>
      </c>
      <c r="K195" s="9" t="inlineStr">
        <is>
          <t>Three districts, ten builders and one rental operator.</t>
        </is>
      </c>
      <c r="L195" s="8" t="inlineStr">
        <is>
          <t>No</t>
        </is>
      </c>
      <c r="M195" s="9" t="inlineStr">
        <is>
          <t>It sells lots. The builders, and Cyrene for its rentals, buy the wall.</t>
        </is>
      </c>
      <c r="N195" s="8" t="inlineStr">
        <is>
          <t>No</t>
        </is>
      </c>
      <c r="O195" s="9" t="inlineStr">
        <is>
          <t>Nothing published on construction method.</t>
        </is>
      </c>
      <c r="P195" s="10" t="inlineStr"/>
      <c r="Q195" s="6" t="inlineStr"/>
      <c r="R195" s="11">
        <f>IF(P195="","ADD LINKEDIN","ok")</f>
        <v/>
      </c>
      <c r="S195" s="6" t="inlineStr">
        <is>
          <t>https://paintedtreetx.com/</t>
        </is>
      </c>
      <c r="T195" s="9" t="inlineStr">
        <is>
          <t>Sells lots to David Weekley, Drees and Tri Pointe, among others, and to Cyrene for rentals.</t>
        </is>
      </c>
      <c r="U195" s="6" t="inlineStr"/>
      <c r="V195" s="9" t="inlineStr"/>
      <c r="W195" s="6" t="inlineStr"/>
      <c r="X195" s="6" t="inlineStr">
        <is>
          <t>https://www.linkedin.com/company/oxland-advisors-llc/</t>
        </is>
      </c>
      <c r="Y195" s="6" t="inlineStr"/>
      <c r="Z195" s="6" t="inlineStr"/>
      <c r="AA195" s="6" t="inlineStr"/>
      <c r="AB195" s="6" t="inlineStr"/>
      <c r="AC195" s="6" t="inlineStr"/>
      <c r="AD195" s="6" t="inlineStr"/>
      <c r="AE195" s="6" t="inlineStr"/>
    </row>
    <row r="196">
      <c r="A196" s="12" t="inlineStr">
        <is>
          <t>Fred Balda</t>
        </is>
      </c>
      <c r="B196" s="12" t="inlineStr">
        <is>
          <t>Ramble by Hillwood (Celina)</t>
        </is>
      </c>
      <c r="C196" s="12" t="inlineStr">
        <is>
          <t>President, Hillwood Communities</t>
        </is>
      </c>
      <c r="D196" s="13" t="inlineStr">
        <is>
          <t>Land owner, not the buyer</t>
        </is>
      </c>
      <c r="E196" s="14" t="n">
        <v>1</v>
      </c>
      <c r="F196" s="12" t="inlineStr">
        <is>
          <t>Land owner</t>
        </is>
      </c>
      <c r="G196" s="12" t="inlineStr">
        <is>
          <t>Masterplanned community</t>
        </is>
      </c>
      <c r="H196" s="12" t="inlineStr">
        <is>
          <t>Celina, Collin County</t>
        </is>
      </c>
      <c r="I196" s="12" t="inlineStr">
        <is>
          <t>4,200+ planned homes on its own site, five builders</t>
        </is>
      </c>
      <c r="J196" s="14" t="inlineStr">
        <is>
          <t>Yes</t>
        </is>
      </c>
      <c r="K196" s="15" t="inlineStr">
        <is>
          <t>A 1,380-acre Celina masterplan. Five production builders on a published roster, models open.</t>
        </is>
      </c>
      <c r="L196" s="14" t="inlineStr">
        <is>
          <t>No</t>
        </is>
      </c>
      <c r="M196" s="15" t="inlineStr">
        <is>
          <t>Hillwood develops the lots. The roster builders buy the wall.</t>
        </is>
      </c>
      <c r="N196" s="14" t="inlineStr">
        <is>
          <t>No</t>
        </is>
      </c>
      <c r="O196" s="15" t="inlineStr">
        <is>
          <t>Nothing published on construction method.</t>
        </is>
      </c>
      <c r="P196" s="10" t="inlineStr"/>
      <c r="Q196" s="12" t="inlineStr"/>
      <c r="R196" s="16">
        <f>IF(P196="","ADD LINKEDIN","ok")</f>
        <v/>
      </c>
      <c r="S196" s="12" t="inlineStr">
        <is>
          <t>https://www.ramblebyhillwood.com/</t>
        </is>
      </c>
      <c r="T196" s="15" t="inlineStr">
        <is>
          <t>Roster builders: American Legend, Coventry, Drees, Highland and Perry. Hillwood develops the lots.</t>
        </is>
      </c>
      <c r="U196" s="12" t="inlineStr"/>
      <c r="V196" s="15" t="inlineStr">
        <is>
          <t>Hillwood Communities leadership page.</t>
        </is>
      </c>
      <c r="W196" s="12" t="inlineStr">
        <is>
          <t>https://www.hillwoodcommunities.com/leadership/</t>
        </is>
      </c>
      <c r="X196" s="12" t="inlineStr">
        <is>
          <t>https://www.linkedin.com/company/hillwoodcommunities/</t>
        </is>
      </c>
      <c r="Y196" s="12" t="inlineStr"/>
      <c r="Z196" s="12" t="inlineStr"/>
      <c r="AA196" s="12" t="inlineStr">
        <is>
          <t>(469) 212-0524</t>
        </is>
      </c>
      <c r="AB196" s="12" t="inlineStr">
        <is>
          <t>Ramble contact line, Celina</t>
        </is>
      </c>
      <c r="AC196" s="12" t="inlineStr">
        <is>
          <t>https://www.ramblebyhillwood.com/</t>
        </is>
      </c>
      <c r="AD196" s="12" t="inlineStr"/>
      <c r="AE196" s="12" t="inlineStr"/>
    </row>
    <row r="197">
      <c r="A197" s="6" t="inlineStr">
        <is>
          <t>Elaine Eatman</t>
        </is>
      </c>
      <c r="B197" s="6" t="inlineStr">
        <is>
          <t>Ramble by Hillwood (Celina)</t>
        </is>
      </c>
      <c r="C197" s="6" t="inlineStr">
        <is>
          <t>Senior Vice President, DFW Project Manager for Ramble and Union Park, Hillwood</t>
        </is>
      </c>
      <c r="D197" s="7" t="inlineStr">
        <is>
          <t>Land owner, not the buyer</t>
        </is>
      </c>
      <c r="E197" s="8" t="n">
        <v>1</v>
      </c>
      <c r="F197" s="6" t="inlineStr">
        <is>
          <t>Land owner</t>
        </is>
      </c>
      <c r="G197" s="6" t="inlineStr">
        <is>
          <t>Masterplanned community</t>
        </is>
      </c>
      <c r="H197" s="6" t="inlineStr">
        <is>
          <t>Celina, Collin County</t>
        </is>
      </c>
      <c r="I197" s="6" t="inlineStr">
        <is>
          <t>4,200+ planned homes on its own site, five builders</t>
        </is>
      </c>
      <c r="J197" s="8" t="inlineStr">
        <is>
          <t>Yes</t>
        </is>
      </c>
      <c r="K197" s="9" t="inlineStr">
        <is>
          <t>A 1,380-acre Celina masterplan. Five production builders on a published roster, models open.</t>
        </is>
      </c>
      <c r="L197" s="8" t="inlineStr">
        <is>
          <t>No</t>
        </is>
      </c>
      <c r="M197" s="9" t="inlineStr">
        <is>
          <t>Hillwood develops the lots. The roster builders buy the wall.</t>
        </is>
      </c>
      <c r="N197" s="8" t="inlineStr">
        <is>
          <t>No</t>
        </is>
      </c>
      <c r="O197" s="9" t="inlineStr">
        <is>
          <t>Nothing published on construction method.</t>
        </is>
      </c>
      <c r="P197" s="6" t="inlineStr">
        <is>
          <t>https://www.linkedin.com/in/elaine-eatman-54596a10</t>
        </is>
      </c>
      <c r="Q197" s="6" t="inlineStr"/>
      <c r="R197" s="11">
        <f>IF(P197="","ADD LINKEDIN","ok")</f>
        <v/>
      </c>
      <c r="S197" s="6" t="inlineStr">
        <is>
          <t>https://www.ramblebyhillwood.com/</t>
        </is>
      </c>
      <c r="T197" s="9" t="inlineStr">
        <is>
          <t>Roster builders: American Legend, Coventry, Drees, Highland and Perry. Hillwood develops the lots.</t>
        </is>
      </c>
      <c r="U197" s="6" t="inlineStr">
        <is>
          <t>YES</t>
        </is>
      </c>
      <c r="V197" s="9" t="inlineStr">
        <is>
          <t>Indexed title: Senior Vice President at Hillwood. Hillwood leadership page.</t>
        </is>
      </c>
      <c r="W197" s="6" t="inlineStr">
        <is>
          <t>https://www.hillwoodcommunities.com/leadership/</t>
        </is>
      </c>
      <c r="X197" s="6" t="inlineStr">
        <is>
          <t>https://www.linkedin.com/company/hillwoodcommunities/</t>
        </is>
      </c>
      <c r="Y197" s="6" t="inlineStr"/>
      <c r="Z197" s="6" t="inlineStr"/>
      <c r="AA197" s="6" t="inlineStr">
        <is>
          <t>(469) 212-0524</t>
        </is>
      </c>
      <c r="AB197" s="6" t="inlineStr">
        <is>
          <t>Ramble contact line, Celina</t>
        </is>
      </c>
      <c r="AC197" s="6" t="inlineStr">
        <is>
          <t>https://www.ramblebyhillwood.com/</t>
        </is>
      </c>
      <c r="AD197" s="6" t="inlineStr"/>
      <c r="AE197" s="6" t="inlineStr"/>
    </row>
    <row r="198">
      <c r="A198" s="12" t="inlineStr">
        <is>
          <t>Tony Ruggeri</t>
        </is>
      </c>
      <c r="B198" s="12" t="inlineStr">
        <is>
          <t>Republic Property Group</t>
        </is>
      </c>
      <c r="C198" s="12" t="inlineStr">
        <is>
          <t>Co-CEO and Partner</t>
        </is>
      </c>
      <c r="D198" s="13" t="inlineStr">
        <is>
          <t>Land owner, not the buyer</t>
        </is>
      </c>
      <c r="E198" s="14" t="n">
        <v>1</v>
      </c>
      <c r="F198" s="12" t="inlineStr">
        <is>
          <t>Land owner</t>
        </is>
      </c>
      <c r="G198" s="12" t="inlineStr">
        <is>
          <t>Land developer</t>
        </is>
      </c>
      <c r="H198" s="12" t="inlineStr">
        <is>
          <t>Dallas, with masterplans in Fort Worth and Celina</t>
        </is>
      </c>
      <c r="I198" s="12" t="inlineStr">
        <is>
          <t>More than 15,000 homes planned at Walsh</t>
        </is>
      </c>
      <c r="J198" s="14" t="inlineStr">
        <is>
          <t>Yes</t>
        </is>
      </c>
      <c r="K198" s="15" t="inlineStr">
        <is>
          <t>Multi-phase masterplans with long buildouts.</t>
        </is>
      </c>
      <c r="L198" s="14" t="inlineStr">
        <is>
          <t>No</t>
        </is>
      </c>
      <c r="M198" s="15" t="inlineStr">
        <is>
          <t>It sells lots. The builders buy the wall.</t>
        </is>
      </c>
      <c r="N198" s="14" t="inlineStr">
        <is>
          <t>No</t>
        </is>
      </c>
      <c r="O198" s="15" t="inlineStr">
        <is>
          <t>Nothing published on construction method.</t>
        </is>
      </c>
      <c r="P198" s="6" t="inlineStr">
        <is>
          <t>https://www.linkedin.com/in/tony-ruggeri-8ba6308/</t>
        </is>
      </c>
      <c r="Q198" s="12" t="inlineStr"/>
      <c r="R198" s="16">
        <f>IF(P198="","ADD LINKEDIN","ok")</f>
        <v/>
      </c>
      <c r="S198" s="12" t="inlineStr">
        <is>
          <t>https://republicpropertygroup.com/</t>
        </is>
      </c>
      <c r="T198" s="15" t="inlineStr">
        <is>
          <t>Develops Walsh in Fort Worth and Light Farms in Celina, selling lots to roster builders. Co-CEOs Tony Ruggeri and Jake Wagner run it.</t>
        </is>
      </c>
      <c r="U198" s="12" t="inlineStr"/>
      <c r="V198" s="15" t="inlineStr">
        <is>
          <t>Indexed title: Republic Property Group. Firm's team page.</t>
        </is>
      </c>
      <c r="W198" s="12" t="inlineStr">
        <is>
          <t>https://republicpropertygroup.com/team/</t>
        </is>
      </c>
      <c r="X198" s="12" t="inlineStr">
        <is>
          <t>https://www.linkedin.com/company/republic-property-group/</t>
        </is>
      </c>
      <c r="Y198" s="12" t="inlineStr">
        <is>
          <t>https://republicpropertygroup.com/team/</t>
        </is>
      </c>
      <c r="Z198" s="12" t="inlineStr"/>
      <c r="AA198" s="12" t="inlineStr">
        <is>
          <t>(214) 292-3410</t>
        </is>
      </c>
      <c r="AB198" s="12" t="inlineStr">
        <is>
          <t>Corporate office, Dallas</t>
        </is>
      </c>
      <c r="AC198" s="12" t="inlineStr">
        <is>
          <t>https://republicpropertygroup.com/contact/</t>
        </is>
      </c>
      <c r="AD198" s="12" t="inlineStr"/>
      <c r="AE198" s="12" t="inlineStr"/>
    </row>
    <row r="199">
      <c r="A199" s="6" t="inlineStr">
        <is>
          <t>Jake Wagner</t>
        </is>
      </c>
      <c r="B199" s="6" t="inlineStr">
        <is>
          <t>Republic Property Group</t>
        </is>
      </c>
      <c r="C199" s="6" t="inlineStr">
        <is>
          <t>Co-CEO and Partner</t>
        </is>
      </c>
      <c r="D199" s="7" t="inlineStr">
        <is>
          <t>Land owner, not the buyer</t>
        </is>
      </c>
      <c r="E199" s="8" t="n">
        <v>1</v>
      </c>
      <c r="F199" s="6" t="inlineStr">
        <is>
          <t>Land owner</t>
        </is>
      </c>
      <c r="G199" s="6" t="inlineStr">
        <is>
          <t>Land developer</t>
        </is>
      </c>
      <c r="H199" s="6" t="inlineStr">
        <is>
          <t>Dallas, with masterplans in Fort Worth and Celina</t>
        </is>
      </c>
      <c r="I199" s="6" t="inlineStr">
        <is>
          <t>More than 15,000 homes planned at Walsh</t>
        </is>
      </c>
      <c r="J199" s="8" t="inlineStr">
        <is>
          <t>Yes</t>
        </is>
      </c>
      <c r="K199" s="9" t="inlineStr">
        <is>
          <t>Multi-phase masterplans with long buildouts.</t>
        </is>
      </c>
      <c r="L199" s="8" t="inlineStr">
        <is>
          <t>No</t>
        </is>
      </c>
      <c r="M199" s="9" t="inlineStr">
        <is>
          <t>It sells lots. The builders buy the wall.</t>
        </is>
      </c>
      <c r="N199" s="8" t="inlineStr">
        <is>
          <t>No</t>
        </is>
      </c>
      <c r="O199" s="9" t="inlineStr">
        <is>
          <t>Nothing published on construction method.</t>
        </is>
      </c>
      <c r="P199" s="10" t="inlineStr"/>
      <c r="Q199" s="6" t="inlineStr"/>
      <c r="R199" s="11">
        <f>IF(P199="","ADD LINKEDIN","ok")</f>
        <v/>
      </c>
      <c r="S199" s="6" t="inlineStr">
        <is>
          <t>https://republicpropertygroup.com/</t>
        </is>
      </c>
      <c r="T199" s="9" t="inlineStr">
        <is>
          <t>Develops Walsh in Fort Worth and Light Farms in Celina, selling lots to roster builders. Co-CEOs Tony Ruggeri and Jake Wagner run it.</t>
        </is>
      </c>
      <c r="U199" s="6" t="inlineStr"/>
      <c r="V199" s="9" t="inlineStr">
        <is>
          <t>Firm's team page.</t>
        </is>
      </c>
      <c r="W199" s="6" t="inlineStr">
        <is>
          <t>https://republicpropertygroup.com/team/</t>
        </is>
      </c>
      <c r="X199" s="6" t="inlineStr">
        <is>
          <t>https://www.linkedin.com/company/republic-property-group/</t>
        </is>
      </c>
      <c r="Y199" s="6" t="inlineStr">
        <is>
          <t>https://republicpropertygroup.com/team/</t>
        </is>
      </c>
      <c r="Z199" s="6" t="inlineStr"/>
      <c r="AA199" s="6" t="inlineStr">
        <is>
          <t>(214) 292-3410</t>
        </is>
      </c>
      <c r="AB199" s="6" t="inlineStr">
        <is>
          <t>Corporate office, Dallas</t>
        </is>
      </c>
      <c r="AC199" s="6" t="inlineStr">
        <is>
          <t>https://republicpropertygroup.com/contact/</t>
        </is>
      </c>
      <c r="AD199" s="6" t="inlineStr"/>
      <c r="AE199" s="6" t="inlineStr"/>
    </row>
    <row r="200">
      <c r="A200" s="12" t="inlineStr">
        <is>
          <t>Cheryl Turner</t>
        </is>
      </c>
      <c r="B200" s="12" t="inlineStr">
        <is>
          <t>Republic Property Group</t>
        </is>
      </c>
      <c r="C200" s="12" t="inlineStr">
        <is>
          <t>Chief Operating Officer</t>
        </is>
      </c>
      <c r="D200" s="13" t="inlineStr">
        <is>
          <t>Land owner, not the buyer</t>
        </is>
      </c>
      <c r="E200" s="14" t="n">
        <v>1</v>
      </c>
      <c r="F200" s="12" t="inlineStr">
        <is>
          <t>Land owner</t>
        </is>
      </c>
      <c r="G200" s="12" t="inlineStr">
        <is>
          <t>Land developer</t>
        </is>
      </c>
      <c r="H200" s="12" t="inlineStr">
        <is>
          <t>Dallas, with masterplans in Fort Worth and Celina</t>
        </is>
      </c>
      <c r="I200" s="12" t="inlineStr">
        <is>
          <t>More than 15,000 homes planned at Walsh</t>
        </is>
      </c>
      <c r="J200" s="14" t="inlineStr">
        <is>
          <t>Yes</t>
        </is>
      </c>
      <c r="K200" s="15" t="inlineStr">
        <is>
          <t>Multi-phase masterplans with long buildouts.</t>
        </is>
      </c>
      <c r="L200" s="14" t="inlineStr">
        <is>
          <t>No</t>
        </is>
      </c>
      <c r="M200" s="15" t="inlineStr">
        <is>
          <t>It sells lots. The builders buy the wall.</t>
        </is>
      </c>
      <c r="N200" s="14" t="inlineStr">
        <is>
          <t>No</t>
        </is>
      </c>
      <c r="O200" s="15" t="inlineStr">
        <is>
          <t>Nothing published on construction method.</t>
        </is>
      </c>
      <c r="P200" s="10" t="inlineStr"/>
      <c r="Q200" s="12" t="inlineStr"/>
      <c r="R200" s="16">
        <f>IF(P200="","ADD LINKEDIN","ok")</f>
        <v/>
      </c>
      <c r="S200" s="12" t="inlineStr">
        <is>
          <t>https://republicpropertygroup.com/</t>
        </is>
      </c>
      <c r="T200" s="15" t="inlineStr">
        <is>
          <t>Develops Walsh in Fort Worth and Light Farms in Celina, selling lots to roster builders. Co-CEOs Tony Ruggeri and Jake Wagner run it.</t>
        </is>
      </c>
      <c r="U200" s="12" t="inlineStr"/>
      <c r="V200" s="15" t="inlineStr">
        <is>
          <t>Firm's about page.</t>
        </is>
      </c>
      <c r="W200" s="12" t="inlineStr">
        <is>
          <t>https://republicpropertygroup.com/about-republic-property-group/</t>
        </is>
      </c>
      <c r="X200" s="12" t="inlineStr">
        <is>
          <t>https://www.linkedin.com/company/republic-property-group/</t>
        </is>
      </c>
      <c r="Y200" s="12" t="inlineStr">
        <is>
          <t>https://republicpropertygroup.com/team/</t>
        </is>
      </c>
      <c r="Z200" s="12" t="inlineStr"/>
      <c r="AA200" s="12" t="inlineStr">
        <is>
          <t>(214) 292-3410</t>
        </is>
      </c>
      <c r="AB200" s="12" t="inlineStr">
        <is>
          <t>Corporate office, Dallas</t>
        </is>
      </c>
      <c r="AC200" s="12" t="inlineStr">
        <is>
          <t>https://republicpropertygroup.com/contact/</t>
        </is>
      </c>
      <c r="AD200" s="12" t="inlineStr"/>
      <c r="AE200" s="12" t="inlineStr"/>
    </row>
    <row r="201">
      <c r="A201" s="6" t="inlineStr">
        <is>
          <t>Phillip Huffines</t>
        </is>
      </c>
      <c r="B201" s="6" t="inlineStr">
        <is>
          <t>Serenade (Celina, Huffines Communities)</t>
        </is>
      </c>
      <c r="C201" s="6" t="inlineStr">
        <is>
          <t>President, CEO and Co-Founder</t>
        </is>
      </c>
      <c r="D201" s="7" t="inlineStr">
        <is>
          <t>Land owner, not the buyer</t>
        </is>
      </c>
      <c r="E201" s="8" t="n">
        <v>1</v>
      </c>
      <c r="F201" s="6" t="inlineStr">
        <is>
          <t>Land owner</t>
        </is>
      </c>
      <c r="G201" s="6" t="inlineStr">
        <is>
          <t>Masterplanned community</t>
        </is>
      </c>
      <c r="H201" s="6" t="inlineStr">
        <is>
          <t>Celina, near Preston and Marilee</t>
        </is>
      </c>
      <c r="I201" s="6" t="inlineStr">
        <is>
          <t>468 acres and about 1,100 homes in Celina</t>
        </is>
      </c>
      <c r="J201" s="8" t="inlineStr">
        <is>
          <t>Yes</t>
        </is>
      </c>
      <c r="K201" s="9" t="inlineStr">
        <is>
          <t>Six-builder roster. Phase 1 lots open toward 2027.</t>
        </is>
      </c>
      <c r="L201" s="8" t="inlineStr">
        <is>
          <t>No</t>
        </is>
      </c>
      <c r="M201" s="9" t="inlineStr">
        <is>
          <t>Huffines develops lots. The builders buy the wall.</t>
        </is>
      </c>
      <c r="N201" s="8" t="inlineStr">
        <is>
          <t>No</t>
        </is>
      </c>
      <c r="O201" s="9" t="inlineStr">
        <is>
          <t>Nothing published on construction method.</t>
        </is>
      </c>
      <c r="P201" s="10" t="inlineStr"/>
      <c r="Q201" s="6" t="inlineStr"/>
      <c r="R201" s="11">
        <f>IF(P201="","ADD LINKEDIN","ok")</f>
        <v/>
      </c>
      <c r="S201" s="6" t="inlineStr">
        <is>
          <t>https://serenadetexas.com/</t>
        </is>
      </c>
      <c r="T201" s="9" t="inlineStr">
        <is>
          <t>Huffines sells lots to six builders, HistoryMaker and UnionMain among them. Broke ground on 24 March 2026.</t>
        </is>
      </c>
      <c r="U201" s="6" t="inlineStr"/>
      <c r="V201" s="9" t="inlineStr">
        <is>
          <t>Huffines Communities blog post, 4 June 2025.</t>
        </is>
      </c>
      <c r="W201" s="6" t="inlineStr">
        <is>
          <t>https://huffinescommunities.com/from-fireworks-to-foundations-phillip-huffines-on-dallas-dirt-with-candy-evans/</t>
        </is>
      </c>
      <c r="X201" s="6" t="inlineStr">
        <is>
          <t>https://www.linkedin.com/company/huffines-communities/</t>
        </is>
      </c>
      <c r="Y201" s="6" t="inlineStr">
        <is>
          <t>https://huffinescommunities.com/from-fireworks-to-foundations-phillip-huffines-on-dallas-dirt-with-candy-evans/</t>
        </is>
      </c>
      <c r="Z201" s="6" t="inlineStr"/>
      <c r="AA201" s="6" t="inlineStr">
        <is>
          <t>(214) 750-1800</t>
        </is>
      </c>
      <c r="AB201" s="6" t="inlineStr">
        <is>
          <t>Huffines Communities, Dallas</t>
        </is>
      </c>
      <c r="AC201" s="6" t="inlineStr">
        <is>
          <t>https://huffinescommunities.com/projects/serenade/</t>
        </is>
      </c>
      <c r="AD201" s="6" t="inlineStr"/>
      <c r="AE201" s="6" t="inlineStr"/>
    </row>
    <row r="202">
      <c r="A202" s="12" t="inlineStr">
        <is>
          <t>Don Huffines</t>
        </is>
      </c>
      <c r="B202" s="12" t="inlineStr">
        <is>
          <t>Serenade (Celina, Huffines Communities)</t>
        </is>
      </c>
      <c r="C202" s="12" t="inlineStr">
        <is>
          <t>Co-Founder</t>
        </is>
      </c>
      <c r="D202" s="13" t="inlineStr">
        <is>
          <t>Land owner, not the buyer</t>
        </is>
      </c>
      <c r="E202" s="14" t="n">
        <v>1</v>
      </c>
      <c r="F202" s="12" t="inlineStr">
        <is>
          <t>Land owner</t>
        </is>
      </c>
      <c r="G202" s="12" t="inlineStr">
        <is>
          <t>Masterplanned community</t>
        </is>
      </c>
      <c r="H202" s="12" t="inlineStr">
        <is>
          <t>Celina, near Preston and Marilee</t>
        </is>
      </c>
      <c r="I202" s="12" t="inlineStr">
        <is>
          <t>468 acres and about 1,100 homes in Celina</t>
        </is>
      </c>
      <c r="J202" s="14" t="inlineStr">
        <is>
          <t>Yes</t>
        </is>
      </c>
      <c r="K202" s="15" t="inlineStr">
        <is>
          <t>Six-builder roster. Phase 1 lots open toward 2027.</t>
        </is>
      </c>
      <c r="L202" s="14" t="inlineStr">
        <is>
          <t>No</t>
        </is>
      </c>
      <c r="M202" s="15" t="inlineStr">
        <is>
          <t>Huffines develops lots. The builders buy the wall.</t>
        </is>
      </c>
      <c r="N202" s="14" t="inlineStr">
        <is>
          <t>No</t>
        </is>
      </c>
      <c r="O202" s="15" t="inlineStr">
        <is>
          <t>Nothing published on construction method.</t>
        </is>
      </c>
      <c r="P202" s="10" t="inlineStr"/>
      <c r="Q202" s="12" t="inlineStr"/>
      <c r="R202" s="16">
        <f>IF(P202="","ADD LINKEDIN","ok")</f>
        <v/>
      </c>
      <c r="S202" s="12" t="inlineStr">
        <is>
          <t>https://serenadetexas.com/</t>
        </is>
      </c>
      <c r="T202" s="15" t="inlineStr">
        <is>
          <t>Huffines sells lots to six builders, HistoryMaker and UnionMain among them. Broke ground on 24 March 2026.</t>
        </is>
      </c>
      <c r="U202" s="12" t="inlineStr"/>
      <c r="V202" s="15" t="inlineStr">
        <is>
          <t>Firm's Who We Are page.</t>
        </is>
      </c>
      <c r="W202" s="12" t="inlineStr">
        <is>
          <t>https://huffinescommunities.com/who-we-are/</t>
        </is>
      </c>
      <c r="X202" s="12" t="inlineStr">
        <is>
          <t>https://www.linkedin.com/company/huffines-communities/</t>
        </is>
      </c>
      <c r="Y202" s="12" t="inlineStr">
        <is>
          <t>https://huffinescommunities.com/from-fireworks-to-foundations-phillip-huffines-on-dallas-dirt-with-candy-evans/</t>
        </is>
      </c>
      <c r="Z202" s="12" t="inlineStr"/>
      <c r="AA202" s="12" t="inlineStr">
        <is>
          <t>(214) 750-1800</t>
        </is>
      </c>
      <c r="AB202" s="12" t="inlineStr">
        <is>
          <t>Huffines Communities, Dallas</t>
        </is>
      </c>
      <c r="AC202" s="12" t="inlineStr">
        <is>
          <t>https://huffinescommunities.com/projects/serenade/</t>
        </is>
      </c>
      <c r="AD202" s="12" t="inlineStr"/>
      <c r="AE202" s="12" t="inlineStr"/>
    </row>
    <row r="203">
      <c r="A203" s="6" t="inlineStr">
        <is>
          <t>Phillip Huffines</t>
        </is>
      </c>
      <c r="B203" s="6" t="inlineStr">
        <is>
          <t>Solterra (Mesquite, Huffines Communities)</t>
        </is>
      </c>
      <c r="C203" s="6" t="inlineStr">
        <is>
          <t>President, Chief Executive Officer and Co-founder</t>
        </is>
      </c>
      <c r="D203" s="7" t="inlineStr">
        <is>
          <t>Land owner, not the buyer</t>
        </is>
      </c>
      <c r="E203" s="8" t="n">
        <v>1</v>
      </c>
      <c r="F203" s="6" t="inlineStr">
        <is>
          <t>Land owner</t>
        </is>
      </c>
      <c r="G203" s="6" t="inlineStr">
        <is>
          <t>Masterplanned community</t>
        </is>
      </c>
      <c r="H203" s="6" t="inlineStr">
        <is>
          <t>Mesquite, east of Dallas</t>
        </is>
      </c>
      <c r="I203" s="6" t="inlineStr">
        <is>
          <t>1,400 acres in Mesquite, 2025 McSAM Community of the Year</t>
        </is>
      </c>
      <c r="J203" s="8" t="inlineStr">
        <is>
          <t>Yes</t>
        </is>
      </c>
      <c r="K203" s="9" t="inlineStr">
        <is>
          <t>One 1,400-acre masterplan with several builders.</t>
        </is>
      </c>
      <c r="L203" s="8" t="inlineStr">
        <is>
          <t>No</t>
        </is>
      </c>
      <c r="M203" s="9" t="inlineStr">
        <is>
          <t>It develops lots. The builders buy the wall.</t>
        </is>
      </c>
      <c r="N203" s="8" t="inlineStr">
        <is>
          <t>No</t>
        </is>
      </c>
      <c r="O203" s="9" t="inlineStr">
        <is>
          <t>Nothing published on construction method.</t>
        </is>
      </c>
      <c r="P203" s="10" t="inlineStr"/>
      <c r="Q203" s="6" t="inlineStr"/>
      <c r="R203" s="11">
        <f>IF(P203="","ADD LINKEDIN","ok")</f>
        <v/>
      </c>
      <c r="S203" s="6" t="inlineStr">
        <is>
          <t>https://huffinescommunities.com/</t>
        </is>
      </c>
      <c r="T203" s="9" t="inlineStr">
        <is>
          <t>Huffines sells lots to several builders. Its Headquarters Club covers 8 acres.</t>
        </is>
      </c>
      <c r="U203" s="6" t="inlineStr"/>
      <c r="V203" s="9" t="inlineStr">
        <is>
          <t>Firm blog, June 4, 2025.</t>
        </is>
      </c>
      <c r="W203" s="6" t="inlineStr">
        <is>
          <t>https://huffinescommunities.com/from-fireworks-to-foundations-phillip-huffines-on-dallas-dirt-with-candy-evans/</t>
        </is>
      </c>
      <c r="X203" s="6" t="inlineStr">
        <is>
          <t>https://www.linkedin.com/company/huffines-communities/</t>
        </is>
      </c>
      <c r="Y203" s="6" t="inlineStr">
        <is>
          <t>https://huffinescommunities.com/from-fireworks-to-foundations-phillip-huffines-on-dallas-dirt-with-candy-evans/</t>
        </is>
      </c>
      <c r="Z203" s="6" t="inlineStr"/>
      <c r="AA203" s="6" t="inlineStr">
        <is>
          <t>(214) 750-1800</t>
        </is>
      </c>
      <c r="AB203" s="6" t="inlineStr">
        <is>
          <t>Huffines Communities, developer</t>
        </is>
      </c>
      <c r="AC203" s="6" t="inlineStr">
        <is>
          <t>https://huffinescommunities.com/</t>
        </is>
      </c>
      <c r="AD203" s="6" t="inlineStr"/>
      <c r="AE203" s="6" t="inlineStr"/>
    </row>
    <row r="204">
      <c r="A204" s="12" t="inlineStr">
        <is>
          <t>Don Huffines</t>
        </is>
      </c>
      <c r="B204" s="12" t="inlineStr">
        <is>
          <t>Solterra (Mesquite, Huffines Communities)</t>
        </is>
      </c>
      <c r="C204" s="12" t="inlineStr">
        <is>
          <t>Co-founder</t>
        </is>
      </c>
      <c r="D204" s="13" t="inlineStr">
        <is>
          <t>Land owner, not the buyer</t>
        </is>
      </c>
      <c r="E204" s="14" t="n">
        <v>1</v>
      </c>
      <c r="F204" s="12" t="inlineStr">
        <is>
          <t>Land owner</t>
        </is>
      </c>
      <c r="G204" s="12" t="inlineStr">
        <is>
          <t>Masterplanned community</t>
        </is>
      </c>
      <c r="H204" s="12" t="inlineStr">
        <is>
          <t>Mesquite, east of Dallas</t>
        </is>
      </c>
      <c r="I204" s="12" t="inlineStr">
        <is>
          <t>1,400 acres in Mesquite, 2025 McSAM Community of the Year</t>
        </is>
      </c>
      <c r="J204" s="14" t="inlineStr">
        <is>
          <t>Yes</t>
        </is>
      </c>
      <c r="K204" s="15" t="inlineStr">
        <is>
          <t>One 1,400-acre masterplan with several builders.</t>
        </is>
      </c>
      <c r="L204" s="14" t="inlineStr">
        <is>
          <t>No</t>
        </is>
      </c>
      <c r="M204" s="15" t="inlineStr">
        <is>
          <t>It develops lots. The builders buy the wall.</t>
        </is>
      </c>
      <c r="N204" s="14" t="inlineStr">
        <is>
          <t>No</t>
        </is>
      </c>
      <c r="O204" s="15" t="inlineStr">
        <is>
          <t>Nothing published on construction method.</t>
        </is>
      </c>
      <c r="P204" s="10" t="inlineStr"/>
      <c r="Q204" s="12" t="inlineStr"/>
      <c r="R204" s="16">
        <f>IF(P204="","ADD LINKEDIN","ok")</f>
        <v/>
      </c>
      <c r="S204" s="12" t="inlineStr">
        <is>
          <t>https://huffinescommunities.com/</t>
        </is>
      </c>
      <c r="T204" s="15" t="inlineStr">
        <is>
          <t>Huffines sells lots to several builders. Its Headquarters Club covers 8 acres.</t>
        </is>
      </c>
      <c r="U204" s="12" t="inlineStr"/>
      <c r="V204" s="15" t="inlineStr">
        <is>
          <t>Who-we-are page. Co-founded the firm with twin Phillip in 1985.</t>
        </is>
      </c>
      <c r="W204" s="12" t="inlineStr">
        <is>
          <t>https://huffinescommunities.com/who-we-are/</t>
        </is>
      </c>
      <c r="X204" s="12" t="inlineStr">
        <is>
          <t>https://www.linkedin.com/company/huffines-communities/</t>
        </is>
      </c>
      <c r="Y204" s="12" t="inlineStr">
        <is>
          <t>https://huffinescommunities.com/from-fireworks-to-foundations-phillip-huffines-on-dallas-dirt-with-candy-evans/</t>
        </is>
      </c>
      <c r="Z204" s="12" t="inlineStr"/>
      <c r="AA204" s="12" t="inlineStr">
        <is>
          <t>(214) 750-1800</t>
        </is>
      </c>
      <c r="AB204" s="12" t="inlineStr">
        <is>
          <t>Huffines Communities, developer</t>
        </is>
      </c>
      <c r="AC204" s="12" t="inlineStr">
        <is>
          <t>https://huffinescommunities.com/</t>
        </is>
      </c>
      <c r="AD204" s="12" t="inlineStr"/>
      <c r="AE204" s="12" t="inlineStr"/>
    </row>
    <row r="205">
      <c r="A205" s="6" t="inlineStr">
        <is>
          <t>Joe Hickman</t>
        </is>
      </c>
      <c r="B205" s="6" t="inlineStr">
        <is>
          <t>Star Trail (Prosper, Blue Star Land)</t>
        </is>
      </c>
      <c r="C205" s="6" t="inlineStr">
        <is>
          <t>Head, Blue Star Land</t>
        </is>
      </c>
      <c r="D205" s="7" t="inlineStr">
        <is>
          <t>Land owner, not the buyer</t>
        </is>
      </c>
      <c r="E205" s="8" t="n">
        <v>1</v>
      </c>
      <c r="F205" s="6" t="inlineStr">
        <is>
          <t>Land owner</t>
        </is>
      </c>
      <c r="G205" s="6" t="inlineStr">
        <is>
          <t>Masterplanned community</t>
        </is>
      </c>
      <c r="H205" s="6" t="inlineStr">
        <is>
          <t>Prosper</t>
        </is>
      </c>
      <c r="I205" s="6" t="inlineStr">
        <is>
          <t>About 900 acres in Prosper, 1,800+ homes planned</t>
        </is>
      </c>
      <c r="J205" s="8" t="inlineStr">
        <is>
          <t>Yes</t>
        </is>
      </c>
      <c r="K205" s="9" t="inlineStr">
        <is>
          <t>Repeated lot widths of 55, 65 and 86 feet.</t>
        </is>
      </c>
      <c r="L205" s="8" t="inlineStr">
        <is>
          <t>No</t>
        </is>
      </c>
      <c r="M205" s="9" t="inlineStr">
        <is>
          <t>It develops lots. The builders buy the wall.</t>
        </is>
      </c>
      <c r="N205" s="8" t="inlineStr">
        <is>
          <t>No</t>
        </is>
      </c>
      <c r="O205" s="9" t="inlineStr">
        <is>
          <t>Nothing published on construction method.</t>
        </is>
      </c>
      <c r="P205" s="10" t="inlineStr"/>
      <c r="Q205" s="6" t="inlineStr"/>
      <c r="R205" s="11">
        <f>IF(P205="","ADD LINKEDIN","ok")</f>
        <v/>
      </c>
      <c r="S205" s="6" t="inlineStr">
        <is>
          <t>https://startrailprosper.com/</t>
        </is>
      </c>
      <c r="T205" s="9" t="inlineStr">
        <is>
          <t>Five named builders, American Legend to Toll Brothers, on 55, 65 and 86-foot lots. Blue Star Land develops it.</t>
        </is>
      </c>
      <c r="U205" s="6" t="inlineStr"/>
      <c r="V205" s="9" t="inlineStr">
        <is>
          <t>Named by Jerry Jones in a Prosper EDC investor spotlight.</t>
        </is>
      </c>
      <c r="W205" s="6" t="inlineStr">
        <is>
          <t>https://prosperedc.com/connect/latest-news/spotlight-on-investors-jerry-jones-blue-star-land</t>
        </is>
      </c>
      <c r="X205" s="6" t="inlineStr"/>
      <c r="Y205" s="6" t="inlineStr"/>
      <c r="Z205" s="6" t="inlineStr"/>
      <c r="AA205" s="6" t="inlineStr">
        <is>
          <t>(972) 867-1886</t>
        </is>
      </c>
      <c r="AB205" s="6" t="inlineStr">
        <is>
          <t>Blue Star Land LP, developer</t>
        </is>
      </c>
      <c r="AC205" s="6" t="inlineStr">
        <is>
          <t>https://startrailprosper.com/developer/</t>
        </is>
      </c>
      <c r="AD205" s="6" t="inlineStr"/>
      <c r="AE205" s="6" t="inlineStr"/>
    </row>
    <row r="206">
      <c r="A206" s="12" t="inlineStr">
        <is>
          <t>Craig Martin</t>
        </is>
      </c>
      <c r="B206" s="12" t="inlineStr">
        <is>
          <t>Tellus Group LLC</t>
        </is>
      </c>
      <c r="C206" s="12" t="inlineStr">
        <is>
          <t>Founder and Chief Executive Officer</t>
        </is>
      </c>
      <c r="D206" s="13" t="inlineStr">
        <is>
          <t>Land owner, not the buyer</t>
        </is>
      </c>
      <c r="E206" s="14" t="n">
        <v>1</v>
      </c>
      <c r="F206" s="12" t="inlineStr">
        <is>
          <t>Land owner</t>
        </is>
      </c>
      <c r="G206" s="12" t="inlineStr">
        <is>
          <t>Masterplan developer</t>
        </is>
      </c>
      <c r="H206" s="12" t="inlineStr">
        <is>
          <t>Plano, with masterplans in Prosper, Celina, Forney and Anna</t>
        </is>
      </c>
      <c r="I206" s="12" t="inlineStr">
        <is>
          <t>Plano developer behind Windsong Ranch and Mosaic</t>
        </is>
      </c>
      <c r="J206" s="14" t="inlineStr">
        <is>
          <t>Yes</t>
        </is>
      </c>
      <c r="K206" s="15" t="inlineStr">
        <is>
          <t>Production-builder lot programs repeated across its masterplans.</t>
        </is>
      </c>
      <c r="L206" s="14" t="inlineStr">
        <is>
          <t>No</t>
        </is>
      </c>
      <c r="M206" s="15" t="inlineStr">
        <is>
          <t>It sells finished lots. The builders buy the wall.</t>
        </is>
      </c>
      <c r="N206" s="14" t="inlineStr">
        <is>
          <t>No</t>
        </is>
      </c>
      <c r="O206" s="15" t="inlineStr">
        <is>
          <t>Nothing published on construction method.</t>
        </is>
      </c>
      <c r="P206" s="10" t="inlineStr"/>
      <c r="Q206" s="12" t="inlineStr"/>
      <c r="R206" s="16">
        <f>IF(P206="","ADD LINKEDIN","ok")</f>
        <v/>
      </c>
      <c r="S206" s="12" t="inlineStr">
        <is>
          <t>https://tellusgroupllc.com/</t>
        </is>
      </c>
      <c r="T206" s="15" t="inlineStr">
        <is>
          <t>Sells finished lots to production builders such as Highland, Perry and Tradition. Develops Meraki, Sherley Farms and Mirabella.</t>
        </is>
      </c>
      <c r="U206" s="12" t="inlineStr"/>
      <c r="V206" s="15" t="inlineStr">
        <is>
          <t>Firm's team page.</t>
        </is>
      </c>
      <c r="W206" s="12" t="inlineStr">
        <is>
          <t>https://tellusgroupllc.com/team/</t>
        </is>
      </c>
      <c r="X206" s="12" t="inlineStr">
        <is>
          <t>https://www.linkedin.com/company/tellusgroupllc/</t>
        </is>
      </c>
      <c r="Y206" s="12" t="inlineStr">
        <is>
          <t>https://tellusgroupllc.com/team/</t>
        </is>
      </c>
      <c r="Z206" s="12" t="inlineStr"/>
      <c r="AA206" s="12" t="inlineStr">
        <is>
          <t>(469) 532-0689</t>
        </is>
      </c>
      <c r="AB206" s="12" t="inlineStr">
        <is>
          <t>Main office, Plano</t>
        </is>
      </c>
      <c r="AC206" s="12" t="inlineStr">
        <is>
          <t>https://tellusgroupllc.com/contact/</t>
        </is>
      </c>
      <c r="AD206" s="12" t="inlineStr"/>
      <c r="AE206" s="12" t="inlineStr"/>
    </row>
    <row r="207">
      <c r="A207" s="6" t="inlineStr">
        <is>
          <t>Andre Ferrari</t>
        </is>
      </c>
      <c r="B207" s="6" t="inlineStr">
        <is>
          <t>Tellus Group LLC</t>
        </is>
      </c>
      <c r="C207" s="6" t="inlineStr">
        <is>
          <t>Chief Operating Officer and General Counsel</t>
        </is>
      </c>
      <c r="D207" s="7" t="inlineStr">
        <is>
          <t>Land owner, not the buyer</t>
        </is>
      </c>
      <c r="E207" s="8" t="n">
        <v>1</v>
      </c>
      <c r="F207" s="6" t="inlineStr">
        <is>
          <t>Land owner</t>
        </is>
      </c>
      <c r="G207" s="6" t="inlineStr">
        <is>
          <t>Masterplan developer</t>
        </is>
      </c>
      <c r="H207" s="6" t="inlineStr">
        <is>
          <t>Plano, with masterplans in Prosper, Celina, Forney and Anna</t>
        </is>
      </c>
      <c r="I207" s="6" t="inlineStr">
        <is>
          <t>Plano developer behind Windsong Ranch and Mosaic</t>
        </is>
      </c>
      <c r="J207" s="8" t="inlineStr">
        <is>
          <t>Yes</t>
        </is>
      </c>
      <c r="K207" s="9" t="inlineStr">
        <is>
          <t>Production-builder lot programs repeated across its masterplans.</t>
        </is>
      </c>
      <c r="L207" s="8" t="inlineStr">
        <is>
          <t>No</t>
        </is>
      </c>
      <c r="M207" s="9" t="inlineStr">
        <is>
          <t>It sells finished lots. The builders buy the wall.</t>
        </is>
      </c>
      <c r="N207" s="8" t="inlineStr">
        <is>
          <t>No</t>
        </is>
      </c>
      <c r="O207" s="9" t="inlineStr">
        <is>
          <t>Nothing published on construction method.</t>
        </is>
      </c>
      <c r="P207" s="10" t="inlineStr"/>
      <c r="Q207" s="6" t="inlineStr"/>
      <c r="R207" s="11">
        <f>IF(P207="","ADD LINKEDIN","ok")</f>
        <v/>
      </c>
      <c r="S207" s="6" t="inlineStr">
        <is>
          <t>https://tellusgroupllc.com/</t>
        </is>
      </c>
      <c r="T207" s="9" t="inlineStr">
        <is>
          <t>Sells finished lots to production builders such as Highland, Perry and Tradition. Develops Meraki, Sherley Farms and Mirabella.</t>
        </is>
      </c>
      <c r="U207" s="6" t="inlineStr"/>
      <c r="V207" s="9" t="inlineStr">
        <is>
          <t>Firm's team page.</t>
        </is>
      </c>
      <c r="W207" s="6" t="inlineStr">
        <is>
          <t>https://tellusgroupllc.com/team/</t>
        </is>
      </c>
      <c r="X207" s="6" t="inlineStr">
        <is>
          <t>https://www.linkedin.com/company/tellusgroupllc/</t>
        </is>
      </c>
      <c r="Y207" s="6" t="inlineStr">
        <is>
          <t>https://tellusgroupllc.com/team/</t>
        </is>
      </c>
      <c r="Z207" s="6" t="inlineStr"/>
      <c r="AA207" s="6" t="inlineStr">
        <is>
          <t>(469) 532-0689</t>
        </is>
      </c>
      <c r="AB207" s="6" t="inlineStr">
        <is>
          <t>Main office, Plano</t>
        </is>
      </c>
      <c r="AC207" s="6" t="inlineStr">
        <is>
          <t>https://tellusgroupllc.com/contact/</t>
        </is>
      </c>
      <c r="AD207" s="6" t="inlineStr"/>
      <c r="AE207" s="6" t="inlineStr"/>
    </row>
    <row r="208">
      <c r="A208" s="12" t="inlineStr">
        <is>
          <t>Gary Berman</t>
        </is>
      </c>
      <c r="B208" s="12" t="inlineStr">
        <is>
          <t>Tricon Residential</t>
        </is>
      </c>
      <c r="C208" s="12" t="inlineStr">
        <is>
          <t>President and Chief Executive Officer</t>
        </is>
      </c>
      <c r="D208" s="13" t="inlineStr">
        <is>
          <t>Land owner, not the buyer</t>
        </is>
      </c>
      <c r="E208" s="14" t="n">
        <v>1</v>
      </c>
      <c r="F208" s="12" t="inlineStr">
        <is>
          <t>Client</t>
        </is>
      </c>
      <c r="G208" s="12" t="inlineStr">
        <is>
          <t>Single-family rental owner</t>
        </is>
      </c>
      <c r="H208" s="12" t="inlineStr">
        <is>
          <t>Arlington and Dallas, within a Texas rental portfolio</t>
        </is>
      </c>
      <c r="I208" s="12" t="inlineStr">
        <is>
          <t>Nearly 1,100 Texas build-to-rent homes, July 2025 release</t>
        </is>
      </c>
      <c r="J208" s="14" t="inlineStr">
        <is>
          <t>Yes</t>
        </is>
      </c>
      <c r="K208" s="15" t="inlineStr">
        <is>
          <t>Repeated rental plans across Texas, including DFW.</t>
        </is>
      </c>
      <c r="L208" s="14" t="inlineStr">
        <is>
          <t>No</t>
        </is>
      </c>
      <c r="M208" s="15" t="inlineStr">
        <is>
          <t>HHS Residential built the Viridian homes.</t>
        </is>
      </c>
      <c r="N208" s="14" t="inlineStr">
        <is>
          <t>No</t>
        </is>
      </c>
      <c r="O208" s="15" t="inlineStr">
        <is>
          <t>Nothing published on wall method.</t>
        </is>
      </c>
      <c r="P208" s="10" t="inlineStr"/>
      <c r="Q208" s="12" t="inlineStr"/>
      <c r="R208" s="16">
        <f>IF(P208="","ADD LINKEDIN","ok")</f>
        <v/>
      </c>
      <c r="S208" s="12" t="inlineStr">
        <is>
          <t>https://triconhomes.com/find/dallas/</t>
        </is>
      </c>
      <c r="T208" s="15" t="inlineStr">
        <is>
          <t>HHS Residential built its Viridian homes in Arlington. A Blackstone real estate portfolio company.</t>
        </is>
      </c>
      <c r="U208" s="12" t="inlineStr"/>
      <c r="V208" s="15" t="inlineStr">
        <is>
          <t>Tricon Our People page.</t>
        </is>
      </c>
      <c r="W208" s="12" t="inlineStr">
        <is>
          <t>https://triconhomes.com/about/our-people/</t>
        </is>
      </c>
      <c r="X208" s="12" t="inlineStr">
        <is>
          <t>https://www.linkedin.com/company/tricon-residential/</t>
        </is>
      </c>
      <c r="Y208" s="12" t="inlineStr">
        <is>
          <t>https://triconhomes.com/about/our-people/</t>
        </is>
      </c>
      <c r="Z208" s="12" t="inlineStr">
        <is>
          <t>2025-07-15 Tricon Residential. Tricon Residential Opens New Community in Arlington, Texas, Adds to Housing Supply  https://triconhomes.com/resources/insights/tricon-residential-opens-new-community-in-arlington-texas-add-to-housing-supply/</t>
        </is>
      </c>
      <c r="AA208" s="12" t="inlineStr">
        <is>
          <t>(844) 874-2661</t>
        </is>
      </c>
      <c r="AB208" s="12" t="inlineStr">
        <is>
          <t>Tricon Residential main line</t>
        </is>
      </c>
      <c r="AC208" s="12" t="inlineStr">
        <is>
          <t>https://triconhomes.com/resources/insights/tricon-residential-opens-new-community-in-arlington-texas-add-to-housing-supply/</t>
        </is>
      </c>
      <c r="AD208" s="12" t="inlineStr"/>
      <c r="AE208" s="12" t="inlineStr"/>
    </row>
    <row r="209">
      <c r="A209" s="6" t="inlineStr">
        <is>
          <t>Alan O'Brien</t>
        </is>
      </c>
      <c r="B209" s="6" t="inlineStr">
        <is>
          <t>Tricon Residential</t>
        </is>
      </c>
      <c r="C209" s="6" t="inlineStr">
        <is>
          <t>Executive Vice President and Chief Operating Officer</t>
        </is>
      </c>
      <c r="D209" s="7" t="inlineStr">
        <is>
          <t>Land owner, not the buyer</t>
        </is>
      </c>
      <c r="E209" s="8" t="n">
        <v>1</v>
      </c>
      <c r="F209" s="6" t="inlineStr">
        <is>
          <t>Client</t>
        </is>
      </c>
      <c r="G209" s="6" t="inlineStr">
        <is>
          <t>Single-family rental owner</t>
        </is>
      </c>
      <c r="H209" s="6" t="inlineStr">
        <is>
          <t>Arlington and Dallas, within a Texas rental portfolio</t>
        </is>
      </c>
      <c r="I209" s="6" t="inlineStr">
        <is>
          <t>Nearly 1,100 Texas build-to-rent homes, July 2025 release</t>
        </is>
      </c>
      <c r="J209" s="8" t="inlineStr">
        <is>
          <t>Yes</t>
        </is>
      </c>
      <c r="K209" s="9" t="inlineStr">
        <is>
          <t>Repeated rental plans across Texas, including DFW.</t>
        </is>
      </c>
      <c r="L209" s="8" t="inlineStr">
        <is>
          <t>No</t>
        </is>
      </c>
      <c r="M209" s="9" t="inlineStr">
        <is>
          <t>HHS Residential built the Viridian homes.</t>
        </is>
      </c>
      <c r="N209" s="8" t="inlineStr">
        <is>
          <t>No</t>
        </is>
      </c>
      <c r="O209" s="9" t="inlineStr">
        <is>
          <t>Nothing published on wall method.</t>
        </is>
      </c>
      <c r="P209" s="10" t="inlineStr"/>
      <c r="Q209" s="6" t="inlineStr"/>
      <c r="R209" s="11">
        <f>IF(P209="","ADD LINKEDIN","ok")</f>
        <v/>
      </c>
      <c r="S209" s="6" t="inlineStr">
        <is>
          <t>https://triconhomes.com/find/dallas/</t>
        </is>
      </c>
      <c r="T209" s="9" t="inlineStr">
        <is>
          <t>HHS Residential built its Viridian homes in Arlington. A Blackstone real estate portfolio company.</t>
        </is>
      </c>
      <c r="U209" s="6" t="inlineStr"/>
      <c r="V209" s="9" t="inlineStr">
        <is>
          <t>Tricon Our People page.</t>
        </is>
      </c>
      <c r="W209" s="6" t="inlineStr">
        <is>
          <t>https://triconhomes.com/about/our-people/</t>
        </is>
      </c>
      <c r="X209" s="6" t="inlineStr">
        <is>
          <t>https://www.linkedin.com/company/tricon-residential/</t>
        </is>
      </c>
      <c r="Y209" s="6" t="inlineStr">
        <is>
          <t>https://triconhomes.com/about/our-people/</t>
        </is>
      </c>
      <c r="Z209" s="6" t="inlineStr">
        <is>
          <t>2025-07-15 Tricon Residential. Tricon Residential Opens New Community in Arlington, Texas, Adds to Housing Supply  https://triconhomes.com/resources/insights/tricon-residential-opens-new-community-in-arlington-texas-add-to-housing-supply/</t>
        </is>
      </c>
      <c r="AA209" s="6" t="inlineStr">
        <is>
          <t>(844) 874-2661</t>
        </is>
      </c>
      <c r="AB209" s="6" t="inlineStr">
        <is>
          <t>Tricon Residential main line</t>
        </is>
      </c>
      <c r="AC209" s="6" t="inlineStr">
        <is>
          <t>https://triconhomes.com/resources/insights/tricon-residential-opens-new-community-in-arlington-texas-add-to-housing-supply/</t>
        </is>
      </c>
      <c r="AD209" s="6" t="inlineStr"/>
      <c r="AE209" s="6" t="inlineStr"/>
    </row>
    <row r="210">
      <c r="A210" s="12" t="inlineStr">
        <is>
          <t>Thomas Fichman</t>
        </is>
      </c>
      <c r="B210" s="12" t="inlineStr">
        <is>
          <t>Tricon Residential</t>
        </is>
      </c>
      <c r="C210" s="12" t="inlineStr">
        <is>
          <t>Senior Vice President, Investments</t>
        </is>
      </c>
      <c r="D210" s="13" t="inlineStr">
        <is>
          <t>Land owner, not the buyer</t>
        </is>
      </c>
      <c r="E210" s="14" t="n">
        <v>1</v>
      </c>
      <c r="F210" s="12" t="inlineStr">
        <is>
          <t>Client</t>
        </is>
      </c>
      <c r="G210" s="12" t="inlineStr">
        <is>
          <t>Single-family rental owner</t>
        </is>
      </c>
      <c r="H210" s="12" t="inlineStr">
        <is>
          <t>Arlington and Dallas, within a Texas rental portfolio</t>
        </is>
      </c>
      <c r="I210" s="12" t="inlineStr">
        <is>
          <t>Nearly 1,100 Texas build-to-rent homes, July 2025 release</t>
        </is>
      </c>
      <c r="J210" s="14" t="inlineStr">
        <is>
          <t>Yes</t>
        </is>
      </c>
      <c r="K210" s="15" t="inlineStr">
        <is>
          <t>Repeated rental plans across Texas, including DFW.</t>
        </is>
      </c>
      <c r="L210" s="14" t="inlineStr">
        <is>
          <t>No</t>
        </is>
      </c>
      <c r="M210" s="15" t="inlineStr">
        <is>
          <t>HHS Residential built the Viridian homes.</t>
        </is>
      </c>
      <c r="N210" s="14" t="inlineStr">
        <is>
          <t>No</t>
        </is>
      </c>
      <c r="O210" s="15" t="inlineStr">
        <is>
          <t>Nothing published on wall method.</t>
        </is>
      </c>
      <c r="P210" s="10" t="inlineStr"/>
      <c r="Q210" s="12" t="inlineStr"/>
      <c r="R210" s="16">
        <f>IF(P210="","ADD LINKEDIN","ok")</f>
        <v/>
      </c>
      <c r="S210" s="12" t="inlineStr">
        <is>
          <t>https://triconhomes.com/find/dallas/</t>
        </is>
      </c>
      <c r="T210" s="15" t="inlineStr">
        <is>
          <t>HHS Residential built its Viridian homes in Arlington. A Blackstone real estate portfolio company.</t>
        </is>
      </c>
      <c r="U210" s="12" t="inlineStr"/>
      <c r="V210" s="15" t="inlineStr">
        <is>
          <t>Our People page. Over U.S. residential development, including build-to-rent.</t>
        </is>
      </c>
      <c r="W210" s="12" t="inlineStr">
        <is>
          <t>https://triconhomes.com/about/our-people/</t>
        </is>
      </c>
      <c r="X210" s="12" t="inlineStr">
        <is>
          <t>https://www.linkedin.com/company/tricon-residential/</t>
        </is>
      </c>
      <c r="Y210" s="12" t="inlineStr">
        <is>
          <t>https://triconhomes.com/about/our-people/</t>
        </is>
      </c>
      <c r="Z210" s="12" t="inlineStr">
        <is>
          <t>2025-07-15 Tricon Residential. Tricon Residential Opens New Community in Arlington, Texas, Adds to Housing Supply  https://triconhomes.com/resources/insights/tricon-residential-opens-new-community-in-arlington-texas-add-to-housing-supply/</t>
        </is>
      </c>
      <c r="AA210" s="12" t="inlineStr">
        <is>
          <t>(844) 874-2661</t>
        </is>
      </c>
      <c r="AB210" s="12" t="inlineStr">
        <is>
          <t>Tricon Residential main line</t>
        </is>
      </c>
      <c r="AC210" s="12" t="inlineStr">
        <is>
          <t>https://triconhomes.com/resources/insights/tricon-residential-opens-new-community-in-arlington-texas-add-to-housing-supply/</t>
        </is>
      </c>
      <c r="AD210" s="12" t="inlineStr"/>
      <c r="AE210" s="12" t="inlineStr"/>
    </row>
    <row r="211">
      <c r="A211" s="6" t="inlineStr">
        <is>
          <t>Ralph DeMott</t>
        </is>
      </c>
      <c r="B211" s="6" t="inlineStr">
        <is>
          <t>Tricon Residential</t>
        </is>
      </c>
      <c r="C211" s="6" t="inlineStr">
        <is>
          <t>Vice President, Operations</t>
        </is>
      </c>
      <c r="D211" s="7" t="inlineStr">
        <is>
          <t>Land owner, not the buyer</t>
        </is>
      </c>
      <c r="E211" s="8" t="n">
        <v>1</v>
      </c>
      <c r="F211" s="6" t="inlineStr">
        <is>
          <t>Client</t>
        </is>
      </c>
      <c r="G211" s="6" t="inlineStr">
        <is>
          <t>Single-family rental owner</t>
        </is>
      </c>
      <c r="H211" s="6" t="inlineStr">
        <is>
          <t>Arlington and Dallas, within a Texas rental portfolio</t>
        </is>
      </c>
      <c r="I211" s="6" t="inlineStr">
        <is>
          <t>Nearly 1,100 Texas build-to-rent homes, July 2025 release</t>
        </is>
      </c>
      <c r="J211" s="8" t="inlineStr">
        <is>
          <t>Yes</t>
        </is>
      </c>
      <c r="K211" s="9" t="inlineStr">
        <is>
          <t>Repeated rental plans across Texas, including DFW.</t>
        </is>
      </c>
      <c r="L211" s="8" t="inlineStr">
        <is>
          <t>No</t>
        </is>
      </c>
      <c r="M211" s="9" t="inlineStr">
        <is>
          <t>HHS Residential built the Viridian homes.</t>
        </is>
      </c>
      <c r="N211" s="8" t="inlineStr">
        <is>
          <t>No</t>
        </is>
      </c>
      <c r="O211" s="9" t="inlineStr">
        <is>
          <t>Nothing published on wall method.</t>
        </is>
      </c>
      <c r="P211" s="10" t="inlineStr"/>
      <c r="Q211" s="6" t="inlineStr"/>
      <c r="R211" s="11">
        <f>IF(P211="","ADD LINKEDIN","ok")</f>
        <v/>
      </c>
      <c r="S211" s="6" t="inlineStr">
        <is>
          <t>https://triconhomes.com/find/dallas/</t>
        </is>
      </c>
      <c r="T211" s="9" t="inlineStr">
        <is>
          <t>HHS Residential built its Viridian homes in Arlington. A Blackstone real estate portfolio company.</t>
        </is>
      </c>
      <c r="U211" s="6" t="inlineStr"/>
      <c r="V211" s="9" t="inlineStr">
        <is>
          <t>Our People page. Also covers Minnesota, Illinois, Wisconsin and Iowa.</t>
        </is>
      </c>
      <c r="W211" s="6" t="inlineStr">
        <is>
          <t>https://triconhomes.com/about/our-people/</t>
        </is>
      </c>
      <c r="X211" s="6" t="inlineStr">
        <is>
          <t>https://www.linkedin.com/company/tricon-residential/</t>
        </is>
      </c>
      <c r="Y211" s="6" t="inlineStr">
        <is>
          <t>https://triconhomes.com/about/our-people/</t>
        </is>
      </c>
      <c r="Z211" s="6" t="inlineStr">
        <is>
          <t>2025-07-15 Tricon Residential. Tricon Residential Opens New Community in Arlington, Texas, Adds to Housing Supply  https://triconhomes.com/resources/insights/tricon-residential-opens-new-community-in-arlington-texas-add-to-housing-supply/</t>
        </is>
      </c>
      <c r="AA211" s="6" t="inlineStr">
        <is>
          <t>(844) 874-2661</t>
        </is>
      </c>
      <c r="AB211" s="6" t="inlineStr">
        <is>
          <t>Tricon Residential main line</t>
        </is>
      </c>
      <c r="AC211" s="6" t="inlineStr">
        <is>
          <t>https://triconhomes.com/resources/insights/tricon-residential-opens-new-community-in-arlington-texas-add-to-housing-supply/</t>
        </is>
      </c>
      <c r="AD211" s="6" t="inlineStr"/>
      <c r="AE211" s="6" t="inlineStr"/>
    </row>
    <row r="212">
      <c r="A212" s="12" t="inlineStr">
        <is>
          <t>Jerry Ulke</t>
        </is>
      </c>
      <c r="B212" s="12" t="inlineStr">
        <is>
          <t>Trinity Falls (McKinney, Johnson Development)</t>
        </is>
      </c>
      <c r="C212" s="12" t="inlineStr">
        <is>
          <t>General Manager and Vice President, Trinity Falls</t>
        </is>
      </c>
      <c r="D212" s="13" t="inlineStr">
        <is>
          <t>Land owner, not the buyer</t>
        </is>
      </c>
      <c r="E212" s="14" t="n">
        <v>1</v>
      </c>
      <c r="F212" s="12" t="inlineStr">
        <is>
          <t>Land owner</t>
        </is>
      </c>
      <c r="G212" s="12" t="inlineStr">
        <is>
          <t>Masterplanned community</t>
        </is>
      </c>
      <c r="H212" s="12" t="inlineStr">
        <is>
          <t>McKinney, Collin County</t>
        </is>
      </c>
      <c r="I212" s="12" t="inlineStr">
        <is>
          <t>2,000-acre McKinney masterplan, seven builders on its page</t>
        </is>
      </c>
      <c r="J212" s="14" t="inlineStr">
        <is>
          <t>Yes</t>
        </is>
      </c>
      <c r="K212" s="15" t="inlineStr">
        <is>
          <t>Seven builders selling at once.</t>
        </is>
      </c>
      <c r="L212" s="14" t="inlineStr">
        <is>
          <t>No</t>
        </is>
      </c>
      <c r="M212" s="15" t="inlineStr">
        <is>
          <t>Johnson Development sells lots. The builders buy the wall.</t>
        </is>
      </c>
      <c r="N212" s="14" t="inlineStr">
        <is>
          <t>No</t>
        </is>
      </c>
      <c r="O212" s="15" t="inlineStr">
        <is>
          <t>Nothing published on construction method.</t>
        </is>
      </c>
      <c r="P212" s="10" t="inlineStr"/>
      <c r="Q212" s="12" t="inlineStr"/>
      <c r="R212" s="16">
        <f>IF(P212="","ADD LINKEDIN","ok")</f>
        <v/>
      </c>
      <c r="S212" s="12" t="inlineStr">
        <is>
          <t>https://www.trinityfalls.com/</t>
        </is>
      </c>
      <c r="T212" s="15" t="inlineStr">
        <is>
          <t>Johnson Development sells lots to its builders, from Cadence townhomes to Del Webb for buyers 55 and over.</t>
        </is>
      </c>
      <c r="U212" s="12" t="inlineStr"/>
      <c r="V212" s="15" t="inlineStr">
        <is>
          <t>McKinney Today, September 15, 2026.</t>
        </is>
      </c>
      <c r="W212" s="12" t="inlineStr">
        <is>
          <t>https://mckinneytoday.com/how-trinity-falls-is-creating-community-in-a-growing-mckinney/</t>
        </is>
      </c>
      <c r="X212" s="12" t="inlineStr">
        <is>
          <t>https://www.linkedin.com/company/the-johnson-development-corp/</t>
        </is>
      </c>
      <c r="Y212" s="12" t="inlineStr"/>
      <c r="Z212" s="12" t="inlineStr"/>
      <c r="AA212" s="12" t="inlineStr">
        <is>
          <t>(713) 960-9977</t>
        </is>
      </c>
      <c r="AB212" s="12" t="inlineStr">
        <is>
          <t>Johnson Development corporate line, the developer</t>
        </is>
      </c>
      <c r="AC212" s="12" t="inlineStr">
        <is>
          <t>https://www.johnsondevelopment.com/mckinney-tx/mpc_trinity_falls</t>
        </is>
      </c>
      <c r="AD212" s="12" t="inlineStr"/>
      <c r="AE212" s="12" t="inlineStr"/>
    </row>
    <row r="213">
      <c r="A213" s="6" t="inlineStr">
        <is>
          <t>Fred Balda</t>
        </is>
      </c>
      <c r="B213" s="6" t="inlineStr">
        <is>
          <t>Union Park by Hillwood (Little Elm)</t>
        </is>
      </c>
      <c r="C213" s="6" t="inlineStr">
        <is>
          <t>President, Hillwood Communities</t>
        </is>
      </c>
      <c r="D213" s="7" t="inlineStr">
        <is>
          <t>Land owner, not the buyer</t>
        </is>
      </c>
      <c r="E213" s="8" t="n">
        <v>1</v>
      </c>
      <c r="F213" s="6" t="inlineStr">
        <is>
          <t>Land owner</t>
        </is>
      </c>
      <c r="G213" s="6" t="inlineStr">
        <is>
          <t>Masterplanned community</t>
        </is>
      </c>
      <c r="H213" s="6" t="inlineStr">
        <is>
          <t>Little Elm, on US 380</t>
        </is>
      </c>
      <c r="I213" s="6" t="inlineStr">
        <is>
          <t>About 3,400 homes on 1,100 acres, Little Elm</t>
        </is>
      </c>
      <c r="J213" s="8" t="inlineStr">
        <is>
          <t>Yes</t>
        </is>
      </c>
      <c r="K213" s="9" t="inlineStr">
        <is>
          <t>About 3,400 planned homes on one 1,100-acre site. Eight production builders named in community materials.</t>
        </is>
      </c>
      <c r="L213" s="8" t="inlineStr">
        <is>
          <t>No</t>
        </is>
      </c>
      <c r="M213" s="9" t="inlineStr">
        <is>
          <t>Hillwood sells lots. The builders buy the wall.</t>
        </is>
      </c>
      <c r="N213" s="8" t="inlineStr">
        <is>
          <t>No</t>
        </is>
      </c>
      <c r="O213" s="9" t="inlineStr">
        <is>
          <t>Nothing published on construction method.</t>
        </is>
      </c>
      <c r="P213" s="10" t="inlineStr"/>
      <c r="Q213" s="6" t="inlineStr"/>
      <c r="R213" s="11">
        <f>IF(P213="","ADD LINKEDIN","ok")</f>
        <v/>
      </c>
      <c r="S213" s="6" t="inlineStr">
        <is>
          <t>https://www.unionparkbyhillwood.com/</t>
        </is>
      </c>
      <c r="T213" s="9" t="inlineStr">
        <is>
          <t>Hillwood sells lots to eight production builders, including Bloomfield, Beazer, Highland and Tri Pointe.</t>
        </is>
      </c>
      <c r="U213" s="6" t="inlineStr"/>
      <c r="V213" s="9" t="inlineStr">
        <is>
          <t>Hillwood Communities leadership page.</t>
        </is>
      </c>
      <c r="W213" s="6" t="inlineStr">
        <is>
          <t>https://www.hillwoodcommunities.com/leadership/</t>
        </is>
      </c>
      <c r="X213" s="6" t="inlineStr">
        <is>
          <t>https://www.linkedin.com/company/hillwoodcommunities/</t>
        </is>
      </c>
      <c r="Y213" s="6" t="inlineStr"/>
      <c r="Z213" s="6" t="inlineStr"/>
      <c r="AA213" s="6" t="inlineStr">
        <is>
          <t>(972) 573-8781</t>
        </is>
      </c>
      <c r="AB213" s="6" t="inlineStr">
        <is>
          <t>Community office, Little Elm</t>
        </is>
      </c>
      <c r="AC213" s="6" t="inlineStr">
        <is>
          <t>https://www.unionparkbyhillwood.com/</t>
        </is>
      </c>
      <c r="AD213" s="6" t="inlineStr"/>
      <c r="AE213" s="6" t="inlineStr"/>
    </row>
    <row r="214">
      <c r="A214" s="12" t="inlineStr">
        <is>
          <t>Elaine Eatman</t>
        </is>
      </c>
      <c r="B214" s="12" t="inlineStr">
        <is>
          <t>Union Park by Hillwood (Little Elm)</t>
        </is>
      </c>
      <c r="C214" s="12" t="inlineStr">
        <is>
          <t>Senior Vice President, DFW Project Manager for Ramble and Union Park</t>
        </is>
      </c>
      <c r="D214" s="13" t="inlineStr">
        <is>
          <t>Land owner, not the buyer</t>
        </is>
      </c>
      <c r="E214" s="14" t="n">
        <v>1</v>
      </c>
      <c r="F214" s="12" t="inlineStr">
        <is>
          <t>Land owner</t>
        </is>
      </c>
      <c r="G214" s="12" t="inlineStr">
        <is>
          <t>Masterplanned community</t>
        </is>
      </c>
      <c r="H214" s="12" t="inlineStr">
        <is>
          <t>Little Elm, on US 380</t>
        </is>
      </c>
      <c r="I214" s="12" t="inlineStr">
        <is>
          <t>About 3,400 homes on 1,100 acres, Little Elm</t>
        </is>
      </c>
      <c r="J214" s="14" t="inlineStr">
        <is>
          <t>Yes</t>
        </is>
      </c>
      <c r="K214" s="15" t="inlineStr">
        <is>
          <t>About 3,400 planned homes on one 1,100-acre site. Eight production builders named in community materials.</t>
        </is>
      </c>
      <c r="L214" s="14" t="inlineStr">
        <is>
          <t>No</t>
        </is>
      </c>
      <c r="M214" s="15" t="inlineStr">
        <is>
          <t>Hillwood sells lots. The builders buy the wall.</t>
        </is>
      </c>
      <c r="N214" s="14" t="inlineStr">
        <is>
          <t>No</t>
        </is>
      </c>
      <c r="O214" s="15" t="inlineStr">
        <is>
          <t>Nothing published on construction method.</t>
        </is>
      </c>
      <c r="P214" s="6" t="inlineStr">
        <is>
          <t>https://www.linkedin.com/in/elaine-eatman-54596a10</t>
        </is>
      </c>
      <c r="Q214" s="12" t="inlineStr"/>
      <c r="R214" s="16">
        <f>IF(P214="","ADD LINKEDIN","ok")</f>
        <v/>
      </c>
      <c r="S214" s="12" t="inlineStr">
        <is>
          <t>https://www.unionparkbyhillwood.com/</t>
        </is>
      </c>
      <c r="T214" s="15" t="inlineStr">
        <is>
          <t>Hillwood sells lots to eight production builders, including Bloomfield, Beazer, Highland and Tri Pointe.</t>
        </is>
      </c>
      <c r="U214" s="12" t="inlineStr">
        <is>
          <t>YES</t>
        </is>
      </c>
      <c r="V214" s="15" t="inlineStr">
        <is>
          <t>Indexed title: Senior Vice President at Hillwood. Hillwood Communities leadership page.</t>
        </is>
      </c>
      <c r="W214" s="12" t="inlineStr">
        <is>
          <t>https://www.hillwoodcommunities.com/leadership/</t>
        </is>
      </c>
      <c r="X214" s="12" t="inlineStr">
        <is>
          <t>https://www.linkedin.com/company/hillwoodcommunities/</t>
        </is>
      </c>
      <c r="Y214" s="12" t="inlineStr"/>
      <c r="Z214" s="12" t="inlineStr"/>
      <c r="AA214" s="12" t="inlineStr">
        <is>
          <t>(972) 573-8781</t>
        </is>
      </c>
      <c r="AB214" s="12" t="inlineStr">
        <is>
          <t>Community office, Little Elm</t>
        </is>
      </c>
      <c r="AC214" s="12" t="inlineStr">
        <is>
          <t>https://www.unionparkbyhillwood.com/</t>
        </is>
      </c>
      <c r="AD214" s="12" t="inlineStr"/>
      <c r="AE214" s="12" t="inlineStr"/>
    </row>
    <row r="215">
      <c r="A215" s="6" t="inlineStr">
        <is>
          <t>Tony Ruggeri</t>
        </is>
      </c>
      <c r="B215" s="6" t="inlineStr">
        <is>
          <t>Walsh (Republic Property)</t>
        </is>
      </c>
      <c r="C215" s="6" t="inlineStr">
        <is>
          <t>Co-CEO and Partner, Republic Property Group</t>
        </is>
      </c>
      <c r="D215" s="7" t="inlineStr">
        <is>
          <t>Land owner, not the buyer</t>
        </is>
      </c>
      <c r="E215" s="8" t="n">
        <v>1</v>
      </c>
      <c r="F215" s="6" t="inlineStr">
        <is>
          <t>Land owner</t>
        </is>
      </c>
      <c r="G215" s="6" t="inlineStr">
        <is>
          <t>Masterplanned community</t>
        </is>
      </c>
      <c r="H215" s="6" t="inlineStr">
        <is>
          <t>West Fort Worth</t>
        </is>
      </c>
      <c r="I215" s="6" t="inlineStr">
        <is>
          <t>7,200 acres, about 15,000 single-family lots planned</t>
        </is>
      </c>
      <c r="J215" s="8" t="inlineStr">
        <is>
          <t>Yes</t>
        </is>
      </c>
      <c r="K215" s="9" t="inlineStr">
        <is>
          <t>About 15,000 production lots planned in a Fort Worth masterplan, buildout around 2050.</t>
        </is>
      </c>
      <c r="L215" s="8" t="inlineStr">
        <is>
          <t>No</t>
        </is>
      </c>
      <c r="M215" s="9" t="inlineStr">
        <is>
          <t>Republic develops and sells lots. The builders buy the wall.</t>
        </is>
      </c>
      <c r="N215" s="8" t="inlineStr">
        <is>
          <t>No</t>
        </is>
      </c>
      <c r="O215" s="9" t="inlineStr">
        <is>
          <t>Nothing published on construction method.</t>
        </is>
      </c>
      <c r="P215" s="6" t="inlineStr">
        <is>
          <t>https://www.linkedin.com/in/tony-ruggeri-8ba6308/</t>
        </is>
      </c>
      <c r="Q215" s="6" t="inlineStr"/>
      <c r="R215" s="11">
        <f>IF(P215="","ADD LINKEDIN","ok")</f>
        <v/>
      </c>
      <c r="S215" s="6" t="inlineStr">
        <is>
          <t>https://www.walshtexas.com/</t>
        </is>
      </c>
      <c r="T215" s="9" t="inlineStr">
        <is>
          <t>Republic Property Group sells lots to roster builders, David Weekley's Walsh Classic among them. Buildout around 2050.</t>
        </is>
      </c>
      <c r="U215" s="6" t="inlineStr"/>
      <c r="V215" s="9" t="inlineStr">
        <is>
          <t>Indexed title: Republic Property Group. Republic Property Group team page.</t>
        </is>
      </c>
      <c r="W215" s="6" t="inlineStr">
        <is>
          <t>https://republicpropertygroup.com/team/</t>
        </is>
      </c>
      <c r="X215" s="6" t="inlineStr">
        <is>
          <t>https://www.linkedin.com/company/republic-property-group/</t>
        </is>
      </c>
      <c r="Y215" s="6" t="inlineStr"/>
      <c r="Z215" s="6" t="inlineStr"/>
      <c r="AA215" s="6" t="inlineStr">
        <is>
          <t>(214) 292-3410</t>
        </is>
      </c>
      <c r="AB215" s="6" t="inlineStr">
        <is>
          <t>Republic Property Group corporate, the developer</t>
        </is>
      </c>
      <c r="AC215" s="6" t="inlineStr">
        <is>
          <t>https://republicpropertygroup.com/contact/</t>
        </is>
      </c>
      <c r="AD215" s="6" t="inlineStr"/>
      <c r="AE215" s="6" t="inlineStr"/>
    </row>
    <row r="216">
      <c r="A216" s="12" t="inlineStr">
        <is>
          <t>Jake Wagner</t>
        </is>
      </c>
      <c r="B216" s="12" t="inlineStr">
        <is>
          <t>Walsh (Republic Property)</t>
        </is>
      </c>
      <c r="C216" s="12" t="inlineStr">
        <is>
          <t>Co-CEO and Partner, Republic Property Group</t>
        </is>
      </c>
      <c r="D216" s="13" t="inlineStr">
        <is>
          <t>Land owner, not the buyer</t>
        </is>
      </c>
      <c r="E216" s="14" t="n">
        <v>1</v>
      </c>
      <c r="F216" s="12" t="inlineStr">
        <is>
          <t>Land owner</t>
        </is>
      </c>
      <c r="G216" s="12" t="inlineStr">
        <is>
          <t>Masterplanned community</t>
        </is>
      </c>
      <c r="H216" s="12" t="inlineStr">
        <is>
          <t>West Fort Worth</t>
        </is>
      </c>
      <c r="I216" s="12" t="inlineStr">
        <is>
          <t>7,200 acres, about 15,000 single-family lots planned</t>
        </is>
      </c>
      <c r="J216" s="14" t="inlineStr">
        <is>
          <t>Yes</t>
        </is>
      </c>
      <c r="K216" s="15" t="inlineStr">
        <is>
          <t>About 15,000 production lots planned in a Fort Worth masterplan, buildout around 2050.</t>
        </is>
      </c>
      <c r="L216" s="14" t="inlineStr">
        <is>
          <t>No</t>
        </is>
      </c>
      <c r="M216" s="15" t="inlineStr">
        <is>
          <t>Republic develops and sells lots. The builders buy the wall.</t>
        </is>
      </c>
      <c r="N216" s="14" t="inlineStr">
        <is>
          <t>No</t>
        </is>
      </c>
      <c r="O216" s="15" t="inlineStr">
        <is>
          <t>Nothing published on construction method.</t>
        </is>
      </c>
      <c r="P216" s="10" t="inlineStr"/>
      <c r="Q216" s="12" t="inlineStr"/>
      <c r="R216" s="16">
        <f>IF(P216="","ADD LINKEDIN","ok")</f>
        <v/>
      </c>
      <c r="S216" s="12" t="inlineStr">
        <is>
          <t>https://www.walshtexas.com/</t>
        </is>
      </c>
      <c r="T216" s="15" t="inlineStr">
        <is>
          <t>Republic Property Group sells lots to roster builders, David Weekley's Walsh Classic among them. Buildout around 2050.</t>
        </is>
      </c>
      <c r="U216" s="12" t="inlineStr"/>
      <c r="V216" s="15" t="inlineStr">
        <is>
          <t>Republic Property Group team page.</t>
        </is>
      </c>
      <c r="W216" s="12" t="inlineStr">
        <is>
          <t>https://republicpropertygroup.com/team/</t>
        </is>
      </c>
      <c r="X216" s="12" t="inlineStr">
        <is>
          <t>https://www.linkedin.com/company/republic-property-group/</t>
        </is>
      </c>
      <c r="Y216" s="12" t="inlineStr"/>
      <c r="Z216" s="12" t="inlineStr"/>
      <c r="AA216" s="12" t="inlineStr">
        <is>
          <t>(214) 292-3410</t>
        </is>
      </c>
      <c r="AB216" s="12" t="inlineStr">
        <is>
          <t>Republic Property Group corporate, the developer</t>
        </is>
      </c>
      <c r="AC216" s="12" t="inlineStr">
        <is>
          <t>https://republicpropertygroup.com/contact/</t>
        </is>
      </c>
      <c r="AD216" s="12" t="inlineStr"/>
      <c r="AE216" s="12" t="inlineStr"/>
    </row>
    <row r="217">
      <c r="A217" s="6" t="inlineStr">
        <is>
          <t>Craig Martin</t>
        </is>
      </c>
      <c r="B217" s="6" t="inlineStr">
        <is>
          <t>Windsong Ranch (Prosper, Tellus Group)</t>
        </is>
      </c>
      <c r="C217" s="6" t="inlineStr">
        <is>
          <t>Co-founder, Tellus Group</t>
        </is>
      </c>
      <c r="D217" s="7" t="inlineStr">
        <is>
          <t>Land owner, not the buyer</t>
        </is>
      </c>
      <c r="E217" s="8" t="n">
        <v>1</v>
      </c>
      <c r="F217" s="6" t="inlineStr">
        <is>
          <t>Land owner</t>
        </is>
      </c>
      <c r="G217" s="6" t="inlineStr">
        <is>
          <t>Masterplanned community</t>
        </is>
      </c>
      <c r="H217" s="6" t="inlineStr">
        <is>
          <t>Prosper</t>
        </is>
      </c>
      <c r="I217" s="6" t="inlineStr">
        <is>
          <t>Prosper masterplan, nine builders named on its own article</t>
        </is>
      </c>
      <c r="J217" s="8" t="inlineStr">
        <is>
          <t>Yes</t>
        </is>
      </c>
      <c r="K217" s="9" t="inlineStr">
        <is>
          <t>Nine builders on its Prosper roster, with phases still opening.</t>
        </is>
      </c>
      <c r="L217" s="8" t="inlineStr">
        <is>
          <t>No</t>
        </is>
      </c>
      <c r="M217" s="9" t="inlineStr">
        <is>
          <t>It sells lots. The builders buy the wall.</t>
        </is>
      </c>
      <c r="N217" s="8" t="inlineStr">
        <is>
          <t>No</t>
        </is>
      </c>
      <c r="O217" s="9" t="inlineStr">
        <is>
          <t>Nothing published on construction method.</t>
        </is>
      </c>
      <c r="P217" s="10" t="inlineStr"/>
      <c r="Q217" s="6" t="inlineStr"/>
      <c r="R217" s="11">
        <f>IF(P217="","ADD LINKEDIN","ok")</f>
        <v/>
      </c>
      <c r="S217" s="6" t="inlineStr">
        <is>
          <t>https://windsongranchliving.com/</t>
        </is>
      </c>
      <c r="T217" s="9" t="inlineStr">
        <is>
          <t>Sells lots to production builders, Shaddock Caldwell custom homes and Grenadier villas and townhomes. Tellus Group bought it in 2018.</t>
        </is>
      </c>
      <c r="U217" s="6" t="inlineStr"/>
      <c r="V217" s="9" t="inlineStr">
        <is>
          <t>2016 Windsong Ranch page, as founding partner, then with Terra Verde Group.</t>
        </is>
      </c>
      <c r="W217" s="6" t="inlineStr">
        <is>
          <t>https://windsongranchliving.com/craig-martin-dallas-500/</t>
        </is>
      </c>
      <c r="X217" s="6" t="inlineStr">
        <is>
          <t>https://www.linkedin.com/company/tellusgroupllc/</t>
        </is>
      </c>
      <c r="Y217" s="6" t="inlineStr">
        <is>
          <t>https://windsongranchliving.com/craig-martin-dallas-500/</t>
        </is>
      </c>
      <c r="Z217" s="6" t="inlineStr"/>
      <c r="AA217" s="6" t="inlineStr">
        <is>
          <t>(972) 347-9270</t>
        </is>
      </c>
      <c r="AB217" s="6" t="inlineStr">
        <is>
          <t>Welcome center, Prosper</t>
        </is>
      </c>
      <c r="AC217" s="6" t="inlineStr">
        <is>
          <t>https://windsongranchliving.com/</t>
        </is>
      </c>
      <c r="AD217" s="6" t="inlineStr"/>
      <c r="AE217" s="6" t="inlineStr"/>
    </row>
    <row r="218">
      <c r="A218" s="12" t="inlineStr">
        <is>
          <t>David Grove</t>
        </is>
      </c>
      <c r="B218" s="12" t="inlineStr">
        <is>
          <t>Lennar Corporation</t>
        </is>
      </c>
      <c r="C218" s="12" t="inlineStr">
        <is>
          <t>Executive Vice President, Homebuilding</t>
        </is>
      </c>
      <c r="D218" s="13" t="inlineStr">
        <is>
          <t>Lennar</t>
        </is>
      </c>
      <c r="E218" s="14" t="n">
        <v>2</v>
      </c>
      <c r="F218" s="12" t="inlineStr">
        <is>
          <t>Client</t>
        </is>
      </c>
      <c r="G218" s="12" t="inlineStr">
        <is>
          <t>National homebuilder</t>
        </is>
      </c>
      <c r="H218" s="12" t="inlineStr">
        <is>
          <t>Dallas-Fort Worth, with communities across the metro</t>
        </is>
      </c>
      <c r="I218" s="12" t="inlineStr">
        <is>
          <t>5,724 DFW closings in 2025, 14.1% share</t>
        </is>
      </c>
      <c r="J218" s="14" t="inlineStr">
        <is>
          <t>Yes</t>
        </is>
      </c>
      <c r="K218" s="15" t="inlineStr">
        <is>
          <t>One Everything's Included plan library across dozens of DFW communities.</t>
        </is>
      </c>
      <c r="L218" s="14" t="inlineStr">
        <is>
          <t>No</t>
        </is>
      </c>
      <c r="M218" s="15" t="inlineStr">
        <is>
          <t>Above 1,500 DFW closings on BUILDER's Local Leaders table.</t>
        </is>
      </c>
      <c r="N218" s="14" t="inlineStr">
        <is>
          <t>Yes</t>
        </is>
      </c>
      <c r="O218" s="15" t="inlineStr">
        <is>
          <t>Lennar built the 100-home Wolf Ranch with ICON. LEN X invested in ICON in August 2021 and again in February 2025.</t>
        </is>
      </c>
      <c r="P218" s="6" t="inlineStr">
        <is>
          <t>https://www.linkedin.com/in/david-grove-a8880511/</t>
        </is>
      </c>
      <c r="Q218" s="12" t="inlineStr"/>
      <c r="R218" s="16">
        <f>IF(P218="","ADD LINKEDIN","ok")</f>
        <v/>
      </c>
      <c r="S218" s="12" t="inlineStr">
        <is>
          <t>https://www.lennar.com/new-homes/texas/dallas-ft-worth</t>
        </is>
      </c>
      <c r="T218" s="15" t="inlineStr">
        <is>
          <t>Built the 100-home Wolf Ranch with ICON. Sells one Everything's Included plan library across DFW.</t>
        </is>
      </c>
      <c r="U218" s="12" t="inlineStr"/>
      <c r="V218" s="15" t="inlineStr">
        <is>
          <t>Indexed title: Division President, Lennar Homes. Lennar newsroom release, June 5, 2026, and company bio.</t>
        </is>
      </c>
      <c r="W218" s="12" t="inlineStr">
        <is>
          <t>https://newsroom.lennar.com/2026-06-05-Lennar-Names-Jim-Parker-Chief-Operating-Officer-and-David-Grove-EVP,-Homebuilding</t>
        </is>
      </c>
      <c r="X218" s="12" t="inlineStr">
        <is>
          <t>https://www.linkedin.com/company/lennar/</t>
        </is>
      </c>
      <c r="Y218" s="12" t="inlineStr">
        <is>
          <t>https://www.lennar.com/about/leadership/david-grove</t>
        </is>
      </c>
      <c r="Z218" s="12" t="inlineStr">
        <is>
          <t>2025-07-24 Dallas Morning News. The 10 biggest homebuilders in D-FW  https://www.dallasnews.com/business/real-estate/2025/07/24/list-who-are-the-10-biggest-homebuilders-in-d-fw/</t>
        </is>
      </c>
      <c r="AA218" s="12" t="inlineStr">
        <is>
          <t>(866) 314-4477</t>
        </is>
      </c>
      <c r="AB218" s="12" t="inlineStr">
        <is>
          <t>Sales consultant line, Dallas/Ft. Worth</t>
        </is>
      </c>
      <c r="AC218" s="12" t="inlineStr">
        <is>
          <t>https://www.lennar.com/contact?divisionNumber=DFWLEN&amp;market=DAL</t>
        </is>
      </c>
      <c r="AD218" s="12" t="inlineStr"/>
      <c r="AE218" s="12" t="inlineStr"/>
    </row>
    <row r="220">
      <c r="A220" s="17" t="inlineStr">
        <is>
          <t>NOTE. A filled LinkedIn cell means the profile was opened or the search result read and the headline named the firm; the verification column records what was read. Where that test failed the cell is left empty rather than guessed, because a fabricated slug passes visual inspection and then fails in front of the person it names. The Find column searches for the empty ones in your own session. Each of the three counts reads Yes, Partly or No, with the reason in the column beside it. Yes and Partly both count as holding a count. A No does not. Holds counts how many of the three are Yes or Partly. Rolodex, Dallas-Fort Worth, 2026-09-26.</t>
        </is>
      </c>
    </row>
  </sheetData>
  <autoFilter ref="A6:AE21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6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c r="A1" s="18" t="inlineStr">
        <is>
          <t>Single-family units authorised by building permit, Dallas-Fort Worth-Arlington, TX</t>
        </is>
      </c>
    </row>
    <row r="2">
      <c r="A2" s="17" t="inlineStr">
        <is>
          <t>Source: Census Building Permits Survey, annual county files. An authorisation is not a start, a completion or a closing. Census counts townhouses and row houses as single family. The counties sum to the metro. The jurisdictions are the largest 50 and do not sum to the counties.</t>
        </is>
      </c>
    </row>
    <row r="4">
      <c r="A4" s="19" t="inlineStr">
        <is>
          <t>County</t>
        </is>
      </c>
      <c r="B4" s="19" t="n">
        <v>2010</v>
      </c>
      <c r="C4" s="19" t="n">
        <v>2011</v>
      </c>
      <c r="D4" s="19" t="n">
        <v>2012</v>
      </c>
      <c r="E4" s="19" t="n">
        <v>2013</v>
      </c>
      <c r="F4" s="19" t="n">
        <v>2014</v>
      </c>
      <c r="G4" s="19" t="n">
        <v>2015</v>
      </c>
      <c r="H4" s="19" t="n">
        <v>2016</v>
      </c>
      <c r="I4" s="19" t="n">
        <v>2017</v>
      </c>
      <c r="J4" s="19" t="n">
        <v>2018</v>
      </c>
      <c r="K4" s="19" t="n">
        <v>2019</v>
      </c>
      <c r="L4" s="19" t="n">
        <v>2020</v>
      </c>
      <c r="M4" s="19" t="n">
        <v>2021</v>
      </c>
      <c r="N4" s="19" t="n">
        <v>2022</v>
      </c>
      <c r="O4" s="19" t="n">
        <v>2023</v>
      </c>
      <c r="P4" s="19" t="n">
        <v>2024</v>
      </c>
      <c r="Q4" s="19" t="n">
        <v>2025</v>
      </c>
    </row>
    <row r="5">
      <c r="A5" s="20" t="inlineStr">
        <is>
          <t>Collin</t>
        </is>
      </c>
      <c r="B5" s="20" t="n">
        <v>4171</v>
      </c>
      <c r="C5" s="20" t="n">
        <v>4396</v>
      </c>
      <c r="D5" s="20" t="n">
        <v>5740</v>
      </c>
      <c r="E5" s="20" t="n">
        <v>6446</v>
      </c>
      <c r="F5" s="20" t="n">
        <v>6720</v>
      </c>
      <c r="G5" s="20" t="n">
        <v>7878</v>
      </c>
      <c r="H5" s="20" t="n">
        <v>8197</v>
      </c>
      <c r="I5" s="20" t="n">
        <v>9497</v>
      </c>
      <c r="J5" s="20" t="n">
        <v>10424</v>
      </c>
      <c r="K5" s="20" t="n">
        <v>9259</v>
      </c>
      <c r="L5" s="20" t="n">
        <v>12586</v>
      </c>
      <c r="M5" s="20" t="n">
        <v>13496</v>
      </c>
      <c r="N5" s="20" t="n">
        <v>10415</v>
      </c>
      <c r="O5" s="20" t="n">
        <v>13073</v>
      </c>
      <c r="P5" s="20" t="n">
        <v>14425</v>
      </c>
      <c r="Q5" s="20" t="n">
        <v>11136</v>
      </c>
    </row>
    <row r="6">
      <c r="A6" s="20" t="inlineStr">
        <is>
          <t>Tarrant</t>
        </is>
      </c>
      <c r="B6" s="20" t="n">
        <v>4203</v>
      </c>
      <c r="C6" s="20" t="n">
        <v>3837</v>
      </c>
      <c r="D6" s="20" t="n">
        <v>4640</v>
      </c>
      <c r="E6" s="20" t="n">
        <v>5476</v>
      </c>
      <c r="F6" s="20" t="n">
        <v>5280</v>
      </c>
      <c r="G6" s="20" t="n">
        <v>5850</v>
      </c>
      <c r="H6" s="20" t="n">
        <v>5831</v>
      </c>
      <c r="I6" s="20" t="n">
        <v>7630</v>
      </c>
      <c r="J6" s="20" t="n">
        <v>8688</v>
      </c>
      <c r="K6" s="20" t="n">
        <v>8432</v>
      </c>
      <c r="L6" s="20" t="n">
        <v>10266</v>
      </c>
      <c r="M6" s="20" t="n">
        <v>11220</v>
      </c>
      <c r="N6" s="20" t="n">
        <v>10605</v>
      </c>
      <c r="O6" s="20" t="n">
        <v>9527</v>
      </c>
      <c r="P6" s="20" t="n">
        <v>9380</v>
      </c>
      <c r="Q6" s="20" t="n">
        <v>8658</v>
      </c>
    </row>
    <row r="7">
      <c r="A7" s="20" t="inlineStr">
        <is>
          <t>Denton</t>
        </is>
      </c>
      <c r="B7" s="20" t="n">
        <v>1495</v>
      </c>
      <c r="C7" s="20" t="n">
        <v>1414</v>
      </c>
      <c r="D7" s="20" t="n">
        <v>1839</v>
      </c>
      <c r="E7" s="20" t="n">
        <v>2692</v>
      </c>
      <c r="F7" s="20" t="n">
        <v>2896</v>
      </c>
      <c r="G7" s="20" t="n">
        <v>6594</v>
      </c>
      <c r="H7" s="20" t="n">
        <v>6212</v>
      </c>
      <c r="I7" s="20" t="n">
        <v>6665</v>
      </c>
      <c r="J7" s="20" t="n">
        <v>7173</v>
      </c>
      <c r="K7" s="20" t="n">
        <v>6477</v>
      </c>
      <c r="L7" s="20" t="n">
        <v>7222</v>
      </c>
      <c r="M7" s="20" t="n">
        <v>9076</v>
      </c>
      <c r="N7" s="20" t="n">
        <v>8125</v>
      </c>
      <c r="O7" s="20" t="n">
        <v>7670</v>
      </c>
      <c r="P7" s="20" t="n">
        <v>7376</v>
      </c>
      <c r="Q7" s="20" t="n">
        <v>6357</v>
      </c>
    </row>
    <row r="8">
      <c r="A8" s="20" t="inlineStr">
        <is>
          <t>Dallas</t>
        </is>
      </c>
      <c r="B8" s="20" t="n">
        <v>2742</v>
      </c>
      <c r="C8" s="20" t="n">
        <v>2569</v>
      </c>
      <c r="D8" s="20" t="n">
        <v>3531</v>
      </c>
      <c r="E8" s="20" t="n">
        <v>3608</v>
      </c>
      <c r="F8" s="20" t="n">
        <v>3974</v>
      </c>
      <c r="G8" s="20" t="n">
        <v>4806</v>
      </c>
      <c r="H8" s="20" t="n">
        <v>5152</v>
      </c>
      <c r="I8" s="20" t="n">
        <v>4946</v>
      </c>
      <c r="J8" s="20" t="n">
        <v>4696</v>
      </c>
      <c r="K8" s="20" t="n">
        <v>5547</v>
      </c>
      <c r="L8" s="20" t="n">
        <v>5577</v>
      </c>
      <c r="M8" s="20" t="n">
        <v>7728</v>
      </c>
      <c r="N8" s="20" t="n">
        <v>5820</v>
      </c>
      <c r="O8" s="20" t="n">
        <v>5175</v>
      </c>
      <c r="P8" s="20" t="n">
        <v>5655</v>
      </c>
      <c r="Q8" s="20" t="n">
        <v>4651</v>
      </c>
    </row>
    <row r="9">
      <c r="A9" s="20" t="inlineStr">
        <is>
          <t>Ellis</t>
        </is>
      </c>
      <c r="B9" s="20" t="n">
        <v>487</v>
      </c>
      <c r="C9" s="20" t="n">
        <v>503</v>
      </c>
      <c r="D9" s="20" t="n">
        <v>643</v>
      </c>
      <c r="E9" s="20" t="n">
        <v>868</v>
      </c>
      <c r="F9" s="20" t="n">
        <v>1096</v>
      </c>
      <c r="G9" s="20" t="n">
        <v>1327</v>
      </c>
      <c r="H9" s="20" t="n">
        <v>1446</v>
      </c>
      <c r="I9" s="20" t="n">
        <v>1959</v>
      </c>
      <c r="J9" s="20" t="n">
        <v>1952</v>
      </c>
      <c r="K9" s="20" t="n">
        <v>1913</v>
      </c>
      <c r="L9" s="20" t="n">
        <v>2548</v>
      </c>
      <c r="M9" s="20" t="n">
        <v>2871</v>
      </c>
      <c r="N9" s="20" t="n">
        <v>2330</v>
      </c>
      <c r="O9" s="20" t="n">
        <v>2861</v>
      </c>
      <c r="P9" s="20" t="n">
        <v>2854</v>
      </c>
      <c r="Q9" s="20" t="n">
        <v>3230</v>
      </c>
    </row>
    <row r="10">
      <c r="A10" s="20" t="inlineStr">
        <is>
          <t>Johnson</t>
        </is>
      </c>
      <c r="B10" s="20" t="n">
        <v>436</v>
      </c>
      <c r="C10" s="20" t="n">
        <v>415</v>
      </c>
      <c r="D10" s="20" t="n">
        <v>558</v>
      </c>
      <c r="E10" s="20" t="n">
        <v>691</v>
      </c>
      <c r="F10" s="20" t="n">
        <v>774</v>
      </c>
      <c r="G10" s="20" t="n">
        <v>558</v>
      </c>
      <c r="H10" s="20" t="n">
        <v>516</v>
      </c>
      <c r="I10" s="20" t="n">
        <v>604</v>
      </c>
      <c r="J10" s="20" t="n">
        <v>683</v>
      </c>
      <c r="K10" s="20" t="n">
        <v>712</v>
      </c>
      <c r="L10" s="20" t="n">
        <v>1365</v>
      </c>
      <c r="M10" s="20" t="n">
        <v>1358</v>
      </c>
      <c r="N10" s="20" t="n">
        <v>1292</v>
      </c>
      <c r="O10" s="20" t="n">
        <v>1842</v>
      </c>
      <c r="P10" s="20" t="n">
        <v>1971</v>
      </c>
      <c r="Q10" s="20" t="n">
        <v>1952</v>
      </c>
    </row>
    <row r="11">
      <c r="A11" s="20" t="inlineStr">
        <is>
          <t>Rockwall</t>
        </is>
      </c>
      <c r="B11" s="20" t="n">
        <v>489</v>
      </c>
      <c r="C11" s="20" t="n">
        <v>411</v>
      </c>
      <c r="D11" s="20" t="n">
        <v>675</v>
      </c>
      <c r="E11" s="20" t="n">
        <v>741</v>
      </c>
      <c r="F11" s="20" t="n">
        <v>965</v>
      </c>
      <c r="G11" s="20" t="n">
        <v>1046</v>
      </c>
      <c r="H11" s="20" t="n">
        <v>1116</v>
      </c>
      <c r="I11" s="20" t="n">
        <v>1468</v>
      </c>
      <c r="J11" s="20" t="n">
        <v>1517</v>
      </c>
      <c r="K11" s="20" t="n">
        <v>1283</v>
      </c>
      <c r="L11" s="20" t="n">
        <v>2306</v>
      </c>
      <c r="M11" s="20" t="n">
        <v>2830</v>
      </c>
      <c r="N11" s="20" t="n">
        <v>2497</v>
      </c>
      <c r="O11" s="20" t="n">
        <v>1602</v>
      </c>
      <c r="P11" s="20" t="n">
        <v>1810</v>
      </c>
      <c r="Q11" s="20" t="n">
        <v>1587</v>
      </c>
    </row>
    <row r="12">
      <c r="A12" s="20" t="inlineStr">
        <is>
          <t>Kaufman</t>
        </is>
      </c>
      <c r="B12" s="20" t="n">
        <v>187</v>
      </c>
      <c r="C12" s="20" t="n">
        <v>152</v>
      </c>
      <c r="D12" s="20" t="n">
        <v>216</v>
      </c>
      <c r="E12" s="20" t="n">
        <v>301</v>
      </c>
      <c r="F12" s="20" t="n">
        <v>219</v>
      </c>
      <c r="G12" s="20" t="n">
        <v>265</v>
      </c>
      <c r="H12" s="20" t="n">
        <v>446</v>
      </c>
      <c r="I12" s="20" t="n">
        <v>903</v>
      </c>
      <c r="J12" s="20" t="n">
        <v>772</v>
      </c>
      <c r="K12" s="20" t="n">
        <v>542</v>
      </c>
      <c r="L12" s="20" t="n">
        <v>860</v>
      </c>
      <c r="M12" s="20" t="n">
        <v>1563</v>
      </c>
      <c r="N12" s="20" t="n">
        <v>957</v>
      </c>
      <c r="O12" s="20" t="n">
        <v>1104</v>
      </c>
      <c r="P12" s="20" t="n">
        <v>1557</v>
      </c>
      <c r="Q12" s="20" t="n">
        <v>1057</v>
      </c>
    </row>
    <row r="13">
      <c r="A13" s="20" t="inlineStr">
        <is>
          <t>Hunt</t>
        </is>
      </c>
      <c r="B13" s="20" t="n">
        <v>37</v>
      </c>
      <c r="C13" s="20" t="n">
        <v>35</v>
      </c>
      <c r="D13" s="20" t="n">
        <v>26</v>
      </c>
      <c r="E13" s="20" t="n">
        <v>61</v>
      </c>
      <c r="F13" s="20" t="n">
        <v>63</v>
      </c>
      <c r="G13" s="20" t="n">
        <v>102</v>
      </c>
      <c r="H13" s="20" t="n">
        <v>166</v>
      </c>
      <c r="I13" s="20" t="n">
        <v>190</v>
      </c>
      <c r="J13" s="20" t="n">
        <v>173</v>
      </c>
      <c r="K13" s="20" t="n">
        <v>290</v>
      </c>
      <c r="L13" s="20" t="n">
        <v>670</v>
      </c>
      <c r="M13" s="20" t="n">
        <v>1011</v>
      </c>
      <c r="N13" s="20" t="n">
        <v>696</v>
      </c>
      <c r="O13" s="20" t="n">
        <v>860</v>
      </c>
      <c r="P13" s="20" t="n">
        <v>756</v>
      </c>
      <c r="Q13" s="20" t="n">
        <v>456</v>
      </c>
    </row>
    <row r="14">
      <c r="A14" s="20" t="inlineStr">
        <is>
          <t>Wise</t>
        </is>
      </c>
      <c r="B14" s="20" t="n">
        <v>26</v>
      </c>
      <c r="C14" s="20" t="n">
        <v>23</v>
      </c>
      <c r="D14" s="20" t="n">
        <v>29</v>
      </c>
      <c r="E14" s="20" t="n">
        <v>64</v>
      </c>
      <c r="F14" s="20" t="n">
        <v>46</v>
      </c>
      <c r="G14" s="20" t="n">
        <v>80</v>
      </c>
      <c r="H14" s="20" t="n">
        <v>70</v>
      </c>
      <c r="I14" s="20" t="n">
        <v>83</v>
      </c>
      <c r="J14" s="20" t="n">
        <v>76</v>
      </c>
      <c r="K14" s="20" t="n">
        <v>94</v>
      </c>
      <c r="L14" s="20" t="n">
        <v>88</v>
      </c>
      <c r="M14" s="20" t="n">
        <v>124</v>
      </c>
      <c r="N14" s="20" t="n">
        <v>198</v>
      </c>
      <c r="O14" s="20" t="n">
        <v>225</v>
      </c>
      <c r="P14" s="20" t="n">
        <v>217</v>
      </c>
      <c r="Q14" s="20" t="n">
        <v>394</v>
      </c>
    </row>
    <row r="15">
      <c r="A15" s="20" t="inlineStr">
        <is>
          <t>Parker</t>
        </is>
      </c>
      <c r="B15" s="20" t="n">
        <v>144</v>
      </c>
      <c r="C15" s="20" t="n">
        <v>282</v>
      </c>
      <c r="D15" s="20" t="n">
        <v>189</v>
      </c>
      <c r="E15" s="20" t="n">
        <v>274</v>
      </c>
      <c r="F15" s="20" t="n">
        <v>382</v>
      </c>
      <c r="G15" s="20" t="n">
        <v>383</v>
      </c>
      <c r="H15" s="20" t="n">
        <v>408</v>
      </c>
      <c r="I15" s="20" t="n">
        <v>465</v>
      </c>
      <c r="J15" s="20" t="n">
        <v>410</v>
      </c>
      <c r="K15" s="20" t="n">
        <v>390</v>
      </c>
      <c r="L15" s="20" t="n">
        <v>517</v>
      </c>
      <c r="M15" s="20" t="n">
        <v>719</v>
      </c>
      <c r="N15" s="20" t="n">
        <v>750</v>
      </c>
      <c r="O15" s="20" t="n">
        <v>427</v>
      </c>
      <c r="P15" s="20" t="n">
        <v>439</v>
      </c>
      <c r="Q15" s="20" t="n">
        <v>312</v>
      </c>
    </row>
    <row r="16">
      <c r="A16" s="21" t="inlineStr">
        <is>
          <t>Metro total</t>
        </is>
      </c>
      <c r="B16" s="21" t="n">
        <v>14417</v>
      </c>
      <c r="C16" s="21" t="n">
        <v>14037</v>
      </c>
      <c r="D16" s="21" t="n">
        <v>18086</v>
      </c>
      <c r="E16" s="21" t="n">
        <v>21222</v>
      </c>
      <c r="F16" s="21" t="n">
        <v>22415</v>
      </c>
      <c r="G16" s="21" t="n">
        <v>28889</v>
      </c>
      <c r="H16" s="21" t="n">
        <v>29560</v>
      </c>
      <c r="I16" s="21" t="n">
        <v>34410</v>
      </c>
      <c r="J16" s="21" t="n">
        <v>36564</v>
      </c>
      <c r="K16" s="21" t="n">
        <v>34939</v>
      </c>
      <c r="L16" s="21" t="n">
        <v>44005</v>
      </c>
      <c r="M16" s="21" t="n">
        <v>51996</v>
      </c>
      <c r="N16" s="21" t="n">
        <v>43685</v>
      </c>
      <c r="O16" s="21" t="n">
        <v>44366</v>
      </c>
      <c r="P16" s="21" t="n">
        <v>46440</v>
      </c>
      <c r="Q16" s="21" t="n">
        <v>39790</v>
      </c>
    </row>
    <row r="19">
      <c r="A19" s="19" t="inlineStr">
        <is>
          <t>Permit-issuing jurisdiction</t>
        </is>
      </c>
      <c r="B19" s="19" t="inlineStr">
        <is>
          <t>County</t>
        </is>
      </c>
      <c r="C19" s="19" t="n">
        <v>2010</v>
      </c>
      <c r="D19" s="19" t="n">
        <v>2011</v>
      </c>
      <c r="E19" s="19" t="n">
        <v>2012</v>
      </c>
      <c r="F19" s="19" t="n">
        <v>2013</v>
      </c>
      <c r="G19" s="19" t="n">
        <v>2014</v>
      </c>
      <c r="H19" s="19" t="n">
        <v>2015</v>
      </c>
      <c r="I19" s="19" t="n">
        <v>2016</v>
      </c>
      <c r="J19" s="19" t="n">
        <v>2017</v>
      </c>
      <c r="K19" s="19" t="n">
        <v>2018</v>
      </c>
      <c r="L19" s="19" t="n">
        <v>2019</v>
      </c>
      <c r="M19" s="19" t="n">
        <v>2020</v>
      </c>
      <c r="N19" s="19" t="n">
        <v>2021</v>
      </c>
      <c r="O19" s="19" t="n">
        <v>2022</v>
      </c>
      <c r="P19" s="19" t="n">
        <v>2023</v>
      </c>
      <c r="Q19" s="19" t="n">
        <v>2024</v>
      </c>
      <c r="R19" s="19" t="n">
        <v>2025</v>
      </c>
    </row>
    <row r="20">
      <c r="A20" s="20" t="inlineStr">
        <is>
          <t>Fort Worth</t>
        </is>
      </c>
      <c r="B20" s="22" t="inlineStr">
        <is>
          <t>Tarrant</t>
        </is>
      </c>
      <c r="C20" s="20" t="n">
        <v>2759</v>
      </c>
      <c r="D20" s="20" t="n">
        <v>2426</v>
      </c>
      <c r="E20" s="20" t="n">
        <v>2716</v>
      </c>
      <c r="F20" s="20" t="n">
        <v>3321</v>
      </c>
      <c r="G20" s="20" t="n">
        <v>3121</v>
      </c>
      <c r="H20" s="20" t="n">
        <v>3416</v>
      </c>
      <c r="I20" s="20" t="n">
        <v>3459</v>
      </c>
      <c r="J20" s="20" t="n">
        <v>5042</v>
      </c>
      <c r="K20" s="20" t="n">
        <v>5477</v>
      </c>
      <c r="L20" s="20" t="n">
        <v>5063</v>
      </c>
      <c r="M20" s="20" t="n">
        <v>7286</v>
      </c>
      <c r="N20" s="20" t="n">
        <v>7236</v>
      </c>
      <c r="O20" s="20" t="n">
        <v>7421</v>
      </c>
      <c r="P20" s="20" t="n">
        <v>6631</v>
      </c>
      <c r="Q20" s="20" t="n">
        <v>6257</v>
      </c>
      <c r="R20" s="20" t="n">
        <v>5887</v>
      </c>
    </row>
    <row r="21">
      <c r="A21" s="20" t="inlineStr">
        <is>
          <t>Celina</t>
        </is>
      </c>
      <c r="B21" s="22" t="inlineStr">
        <is>
          <t>Collin</t>
        </is>
      </c>
      <c r="C21" s="20" t="n">
        <v>56</v>
      </c>
      <c r="D21" s="20" t="n">
        <v>72</v>
      </c>
      <c r="E21" s="20" t="n">
        <v>81</v>
      </c>
      <c r="F21" s="20" t="n">
        <v>82</v>
      </c>
      <c r="G21" s="20" t="n">
        <v>200</v>
      </c>
      <c r="H21" s="20" t="n">
        <v>135</v>
      </c>
      <c r="I21" s="20" t="n">
        <v>608</v>
      </c>
      <c r="J21" s="20" t="n">
        <v>891</v>
      </c>
      <c r="K21" s="20" t="n">
        <v>1248</v>
      </c>
      <c r="L21" s="20" t="n">
        <v>1238</v>
      </c>
      <c r="M21" s="20" t="n">
        <v>2003</v>
      </c>
      <c r="N21" s="20" t="n">
        <v>2825</v>
      </c>
      <c r="O21" s="20" t="n">
        <v>1650</v>
      </c>
      <c r="P21" s="20" t="n">
        <v>2467</v>
      </c>
      <c r="Q21" s="20" t="n">
        <v>2905</v>
      </c>
      <c r="R21" s="20" t="n">
        <v>2489</v>
      </c>
    </row>
    <row r="22">
      <c r="A22" s="20" t="inlineStr">
        <is>
          <t>Dallas</t>
        </is>
      </c>
      <c r="B22" s="22" t="inlineStr">
        <is>
          <t>Dallas</t>
        </is>
      </c>
      <c r="C22" s="20" t="n">
        <v>865</v>
      </c>
      <c r="D22" s="20" t="n">
        <v>809</v>
      </c>
      <c r="E22" s="20" t="n">
        <v>936</v>
      </c>
      <c r="F22" s="20" t="n">
        <v>1075</v>
      </c>
      <c r="G22" s="20" t="n">
        <v>1181</v>
      </c>
      <c r="H22" s="20" t="n">
        <v>1455</v>
      </c>
      <c r="I22" s="20" t="n">
        <v>1640</v>
      </c>
      <c r="J22" s="20" t="n">
        <v>2100</v>
      </c>
      <c r="K22" s="20" t="n">
        <v>2009</v>
      </c>
      <c r="L22" s="20" t="n">
        <v>2093</v>
      </c>
      <c r="M22" s="20" t="n">
        <v>1475</v>
      </c>
      <c r="N22" s="20" t="n">
        <v>2245</v>
      </c>
      <c r="O22" s="20" t="n">
        <v>2349</v>
      </c>
      <c r="P22" s="20" t="n">
        <v>1995</v>
      </c>
      <c r="Q22" s="20" t="n">
        <v>1957</v>
      </c>
      <c r="R22" s="20" t="n">
        <v>2026</v>
      </c>
    </row>
    <row r="23">
      <c r="A23" s="20" t="inlineStr">
        <is>
          <t>Denton County Unincorporated Area</t>
        </is>
      </c>
      <c r="B23" s="22" t="inlineStr">
        <is>
          <t>Denton</t>
        </is>
      </c>
      <c r="C23" s="20" t="n">
        <v>1073</v>
      </c>
      <c r="D23" s="20" t="n">
        <v>1208</v>
      </c>
      <c r="E23" s="20" t="n">
        <v>1621</v>
      </c>
      <c r="F23" s="20" t="n">
        <v>1793</v>
      </c>
      <c r="G23" s="20" t="n">
        <v>2031</v>
      </c>
      <c r="H23" s="20" t="n">
        <v>2610</v>
      </c>
      <c r="I23" s="20" t="n">
        <v>2480</v>
      </c>
      <c r="J23" s="20" t="n">
        <v>2147</v>
      </c>
      <c r="K23" s="20" t="n">
        <v>2076</v>
      </c>
      <c r="L23" s="20" t="n">
        <v>1153</v>
      </c>
      <c r="M23" s="20" t="n">
        <v>1293</v>
      </c>
      <c r="N23" s="20" t="n">
        <v>2300</v>
      </c>
      <c r="O23" s="20" t="n">
        <v>1769</v>
      </c>
      <c r="P23" s="20" t="n">
        <v>2180</v>
      </c>
      <c r="Q23" s="20" t="n">
        <v>2148</v>
      </c>
      <c r="R23" s="20" t="n">
        <v>1950</v>
      </c>
    </row>
    <row r="24">
      <c r="A24" s="20" t="inlineStr">
        <is>
          <t>McKinney</t>
        </is>
      </c>
      <c r="B24" s="22" t="inlineStr">
        <is>
          <t>Collin</t>
        </is>
      </c>
      <c r="C24" s="20" t="n">
        <v>1051</v>
      </c>
      <c r="D24" s="20" t="n">
        <v>1172</v>
      </c>
      <c r="E24" s="20" t="n">
        <v>1490</v>
      </c>
      <c r="F24" s="20" t="n">
        <v>1863</v>
      </c>
      <c r="G24" s="20" t="n">
        <v>1708</v>
      </c>
      <c r="H24" s="20" t="n">
        <v>2090</v>
      </c>
      <c r="I24" s="20" t="n">
        <v>2208</v>
      </c>
      <c r="J24" s="20" t="n">
        <v>2526</v>
      </c>
      <c r="K24" s="20" t="n">
        <v>2282</v>
      </c>
      <c r="L24" s="20" t="n">
        <v>1491</v>
      </c>
      <c r="M24" s="20" t="n">
        <v>1563</v>
      </c>
      <c r="N24" s="20" t="n">
        <v>1727</v>
      </c>
      <c r="O24" s="20" t="n">
        <v>1633</v>
      </c>
      <c r="P24" s="20" t="n">
        <v>2250</v>
      </c>
      <c r="Q24" s="20" t="n">
        <v>2388</v>
      </c>
      <c r="R24" s="20" t="n">
        <v>1649</v>
      </c>
    </row>
    <row r="25">
      <c r="A25" s="20" t="inlineStr">
        <is>
          <t>Princeton</t>
        </is>
      </c>
      <c r="B25" s="22" t="inlineStr">
        <is>
          <t>Collin</t>
        </is>
      </c>
      <c r="C25" s="20" t="n">
        <v>84</v>
      </c>
      <c r="D25" s="20" t="n">
        <v>63</v>
      </c>
      <c r="E25" s="20" t="n">
        <v>106</v>
      </c>
      <c r="F25" s="20" t="n">
        <v>83</v>
      </c>
      <c r="G25" s="20" t="n">
        <v>252</v>
      </c>
      <c r="H25" s="20" t="n">
        <v>244</v>
      </c>
      <c r="I25" s="20" t="n">
        <v>230</v>
      </c>
      <c r="J25" s="20" t="n">
        <v>585</v>
      </c>
      <c r="K25" s="20" t="n">
        <v>891</v>
      </c>
      <c r="L25" s="20" t="n">
        <v>650</v>
      </c>
      <c r="M25" s="20" t="n">
        <v>823</v>
      </c>
      <c r="N25" s="20" t="n">
        <v>916</v>
      </c>
      <c r="O25" s="20" t="n">
        <v>1040</v>
      </c>
      <c r="P25" s="20" t="n">
        <v>2622</v>
      </c>
      <c r="Q25" s="20" t="n">
        <v>1948</v>
      </c>
      <c r="R25" s="20" t="n">
        <v>1598</v>
      </c>
    </row>
    <row r="26">
      <c r="A26" s="20" t="inlineStr">
        <is>
          <t>Frisco</t>
        </is>
      </c>
      <c r="B26" s="22" t="inlineStr">
        <is>
          <t>Collin</t>
        </is>
      </c>
      <c r="C26" s="20" t="n">
        <v>1284</v>
      </c>
      <c r="D26" s="20" t="n">
        <v>1309</v>
      </c>
      <c r="E26" s="20" t="n">
        <v>1578</v>
      </c>
      <c r="F26" s="20" t="n">
        <v>2220</v>
      </c>
      <c r="G26" s="20" t="n">
        <v>2165</v>
      </c>
      <c r="H26" s="20" t="n">
        <v>2280</v>
      </c>
      <c r="I26" s="20" t="n">
        <v>2204</v>
      </c>
      <c r="J26" s="20" t="n">
        <v>1935</v>
      </c>
      <c r="K26" s="20" t="n">
        <v>2205</v>
      </c>
      <c r="L26" s="20" t="n">
        <v>2081</v>
      </c>
      <c r="M26" s="20" t="n">
        <v>2444</v>
      </c>
      <c r="N26" s="20" t="n">
        <v>1879</v>
      </c>
      <c r="O26" s="20" t="n">
        <v>1327</v>
      </c>
      <c r="P26" s="20" t="n">
        <v>1036</v>
      </c>
      <c r="Q26" s="20" t="n">
        <v>1285</v>
      </c>
      <c r="R26" s="20" t="n">
        <v>1090</v>
      </c>
    </row>
    <row r="27">
      <c r="A27" s="20" t="inlineStr">
        <is>
          <t>Waxahachie</t>
        </is>
      </c>
      <c r="B27" s="22" t="inlineStr">
        <is>
          <t>Ellis</t>
        </is>
      </c>
      <c r="C27" s="20" t="n">
        <v>150</v>
      </c>
      <c r="D27" s="20" t="n">
        <v>131</v>
      </c>
      <c r="E27" s="20" t="n">
        <v>195</v>
      </c>
      <c r="F27" s="20" t="n">
        <v>225</v>
      </c>
      <c r="G27" s="20" t="n">
        <v>314</v>
      </c>
      <c r="H27" s="20" t="n">
        <v>347</v>
      </c>
      <c r="I27" s="20" t="n">
        <v>424</v>
      </c>
      <c r="J27" s="20" t="n">
        <v>546</v>
      </c>
      <c r="K27" s="20" t="n">
        <v>555</v>
      </c>
      <c r="L27" s="20" t="n">
        <v>576</v>
      </c>
      <c r="M27" s="20" t="n">
        <v>756</v>
      </c>
      <c r="N27" s="20" t="n">
        <v>834</v>
      </c>
      <c r="O27" s="20" t="n">
        <v>480</v>
      </c>
      <c r="P27" s="20" t="n">
        <v>512</v>
      </c>
      <c r="Q27" s="20" t="n">
        <v>592</v>
      </c>
      <c r="R27" s="20" t="n">
        <v>900</v>
      </c>
    </row>
    <row r="28">
      <c r="A28" s="20" t="inlineStr">
        <is>
          <t>Denton</t>
        </is>
      </c>
      <c r="B28" s="22" t="inlineStr">
        <is>
          <t>Denton</t>
        </is>
      </c>
      <c r="C28" s="20" t="n">
        <v>381</v>
      </c>
      <c r="D28" s="20" t="n">
        <v>259</v>
      </c>
      <c r="E28" s="20" t="n">
        <v>300</v>
      </c>
      <c r="F28" s="20" t="n">
        <v>548</v>
      </c>
      <c r="G28" s="20" t="n">
        <v>655</v>
      </c>
      <c r="H28" s="20" t="n">
        <v>761</v>
      </c>
      <c r="I28" s="20" t="n">
        <v>569</v>
      </c>
      <c r="J28" s="20" t="n">
        <v>871</v>
      </c>
      <c r="K28" s="20" t="n">
        <v>1005</v>
      </c>
      <c r="L28" s="20" t="n">
        <v>994</v>
      </c>
      <c r="M28" s="20" t="n">
        <v>985</v>
      </c>
      <c r="N28" s="20" t="n">
        <v>1203</v>
      </c>
      <c r="O28" s="20" t="n">
        <v>1832</v>
      </c>
      <c r="P28" s="20" t="n">
        <v>1311</v>
      </c>
      <c r="Q28" s="20" t="n">
        <v>856</v>
      </c>
      <c r="R28" s="20" t="n">
        <v>898</v>
      </c>
    </row>
    <row r="29">
      <c r="A29" s="20" t="inlineStr">
        <is>
          <t>Anna</t>
        </is>
      </c>
      <c r="B29" s="22" t="inlineStr">
        <is>
          <t>Collin</t>
        </is>
      </c>
      <c r="C29" s="20" t="n">
        <v>0</v>
      </c>
      <c r="D29" s="20" t="n">
        <v>0</v>
      </c>
      <c r="E29" s="20" t="n">
        <v>351</v>
      </c>
      <c r="F29" s="20" t="n">
        <v>305</v>
      </c>
      <c r="G29" s="20" t="n">
        <v>296</v>
      </c>
      <c r="H29" s="20" t="n">
        <v>242</v>
      </c>
      <c r="I29" s="20" t="n">
        <v>221</v>
      </c>
      <c r="J29" s="20" t="n">
        <v>501</v>
      </c>
      <c r="K29" s="20" t="n">
        <v>365</v>
      </c>
      <c r="L29" s="20" t="n">
        <v>637</v>
      </c>
      <c r="M29" s="20" t="n">
        <v>960</v>
      </c>
      <c r="N29" s="20" t="n">
        <v>1121</v>
      </c>
      <c r="O29" s="20" t="n">
        <v>907</v>
      </c>
      <c r="P29" s="20" t="n">
        <v>1089</v>
      </c>
      <c r="Q29" s="20" t="n">
        <v>1173</v>
      </c>
      <c r="R29" s="20" t="n">
        <v>864</v>
      </c>
    </row>
    <row r="30">
      <c r="A30" s="20" t="inlineStr">
        <is>
          <t>Midlothian</t>
        </is>
      </c>
      <c r="B30" s="22" t="inlineStr">
        <is>
          <t>Ellis</t>
        </is>
      </c>
      <c r="C30" s="20" t="n">
        <v>159</v>
      </c>
      <c r="D30" s="20" t="n">
        <v>167</v>
      </c>
      <c r="E30" s="20" t="n">
        <v>185</v>
      </c>
      <c r="F30" s="20" t="n">
        <v>226</v>
      </c>
      <c r="G30" s="20" t="n">
        <v>278</v>
      </c>
      <c r="H30" s="20" t="n">
        <v>414</v>
      </c>
      <c r="I30" s="20" t="n">
        <v>474</v>
      </c>
      <c r="J30" s="20" t="n">
        <v>676</v>
      </c>
      <c r="K30" s="20" t="n">
        <v>472</v>
      </c>
      <c r="L30" s="20" t="n">
        <v>474</v>
      </c>
      <c r="M30" s="20" t="n">
        <v>494</v>
      </c>
      <c r="N30" s="20" t="n">
        <v>693</v>
      </c>
      <c r="O30" s="20" t="n">
        <v>376</v>
      </c>
      <c r="P30" s="20" t="n">
        <v>860</v>
      </c>
      <c r="Q30" s="20" t="n">
        <v>852</v>
      </c>
      <c r="R30" s="20" t="n">
        <v>768</v>
      </c>
    </row>
    <row r="31">
      <c r="A31" s="20" t="inlineStr">
        <is>
          <t>Mansfield</t>
        </is>
      </c>
      <c r="B31" s="22" t="inlineStr">
        <is>
          <t>Tarrant</t>
        </is>
      </c>
      <c r="C31" s="20" t="n">
        <v>236</v>
      </c>
      <c r="D31" s="20" t="n">
        <v>226</v>
      </c>
      <c r="E31" s="20" t="n">
        <v>193</v>
      </c>
      <c r="F31" s="20" t="n">
        <v>208</v>
      </c>
      <c r="G31" s="20" t="n">
        <v>224</v>
      </c>
      <c r="H31" s="20" t="n">
        <v>320</v>
      </c>
      <c r="I31" s="20" t="n">
        <v>370</v>
      </c>
      <c r="J31" s="20" t="n">
        <v>505</v>
      </c>
      <c r="K31" s="20" t="n">
        <v>558</v>
      </c>
      <c r="L31" s="20" t="n">
        <v>466</v>
      </c>
      <c r="M31" s="20" t="n">
        <v>845</v>
      </c>
      <c r="N31" s="20" t="n">
        <v>1050</v>
      </c>
      <c r="O31" s="20" t="n">
        <v>842</v>
      </c>
      <c r="P31" s="20" t="n">
        <v>627</v>
      </c>
      <c r="Q31" s="20" t="n">
        <v>1035</v>
      </c>
      <c r="R31" s="20" t="n">
        <v>675</v>
      </c>
    </row>
    <row r="32">
      <c r="A32" s="20" t="inlineStr">
        <is>
          <t>Johnson County Unincorporated Area</t>
        </is>
      </c>
      <c r="B32" s="22" t="inlineStr">
        <is>
          <t>Johnson</t>
        </is>
      </c>
      <c r="C32" s="20" t="n">
        <v>163</v>
      </c>
      <c r="D32" s="20" t="n">
        <v>159</v>
      </c>
      <c r="E32" s="20" t="n">
        <v>194</v>
      </c>
      <c r="F32" s="20" t="n">
        <v>234</v>
      </c>
      <c r="G32" s="20" t="n">
        <v>243</v>
      </c>
      <c r="H32" s="20" t="n">
        <v>0</v>
      </c>
      <c r="I32" s="20" t="n">
        <v>0</v>
      </c>
      <c r="J32" s="20" t="n">
        <v>0</v>
      </c>
      <c r="K32" s="20" t="n">
        <v>0</v>
      </c>
      <c r="L32" s="20" t="n">
        <v>0</v>
      </c>
      <c r="M32" s="20" t="n">
        <v>0</v>
      </c>
      <c r="N32" s="20" t="n">
        <v>0</v>
      </c>
      <c r="O32" s="20" t="n">
        <v>0</v>
      </c>
      <c r="P32" s="20" t="n">
        <v>560</v>
      </c>
      <c r="Q32" s="20" t="n">
        <v>588</v>
      </c>
      <c r="R32" s="20" t="n">
        <v>633</v>
      </c>
    </row>
    <row r="33">
      <c r="A33" s="20" t="inlineStr">
        <is>
          <t>Pilot Point</t>
        </is>
      </c>
      <c r="B33" s="22" t="inlineStr">
        <is>
          <t>Denton</t>
        </is>
      </c>
      <c r="C33" s="20" t="n">
        <v>5</v>
      </c>
      <c r="D33" s="20" t="n">
        <v>5</v>
      </c>
      <c r="E33" s="20" t="n">
        <v>4</v>
      </c>
      <c r="F33" s="20" t="n">
        <v>9</v>
      </c>
      <c r="G33" s="20" t="n">
        <v>6</v>
      </c>
      <c r="H33" s="20" t="n">
        <v>11</v>
      </c>
      <c r="I33" s="20" t="n">
        <v>19</v>
      </c>
      <c r="J33" s="20" t="n">
        <v>34</v>
      </c>
      <c r="K33" s="20" t="n">
        <v>33</v>
      </c>
      <c r="L33" s="20" t="n">
        <v>41</v>
      </c>
      <c r="M33" s="20" t="n">
        <v>96</v>
      </c>
      <c r="N33" s="20" t="n">
        <v>106</v>
      </c>
      <c r="O33" s="20" t="n">
        <v>399</v>
      </c>
      <c r="P33" s="20" t="n">
        <v>341</v>
      </c>
      <c r="Q33" s="20" t="n">
        <v>520</v>
      </c>
      <c r="R33" s="20" t="n">
        <v>573</v>
      </c>
    </row>
    <row r="34">
      <c r="A34" s="20" t="inlineStr">
        <is>
          <t>Ellis County Unincorporated Area</t>
        </is>
      </c>
      <c r="B34" s="22" t="inlineStr">
        <is>
          <t>Ellis</t>
        </is>
      </c>
      <c r="C34" s="20" t="n">
        <v>120</v>
      </c>
      <c r="D34" s="20" t="n">
        <v>135</v>
      </c>
      <c r="E34" s="20" t="n">
        <v>192</v>
      </c>
      <c r="F34" s="20" t="n">
        <v>263</v>
      </c>
      <c r="G34" s="20" t="n">
        <v>255</v>
      </c>
      <c r="H34" s="20" t="n">
        <v>319</v>
      </c>
      <c r="I34" s="20" t="n">
        <v>320</v>
      </c>
      <c r="J34" s="20" t="n">
        <v>453</v>
      </c>
      <c r="K34" s="20" t="n">
        <v>407</v>
      </c>
      <c r="L34" s="20" t="n">
        <v>478</v>
      </c>
      <c r="M34" s="20" t="n">
        <v>668</v>
      </c>
      <c r="N34" s="20" t="n">
        <v>686</v>
      </c>
      <c r="O34" s="20" t="n">
        <v>599</v>
      </c>
      <c r="P34" s="20" t="n">
        <v>572</v>
      </c>
      <c r="Q34" s="20" t="n">
        <v>585</v>
      </c>
      <c r="R34" s="20" t="n">
        <v>571</v>
      </c>
    </row>
    <row r="35">
      <c r="A35" s="20" t="inlineStr">
        <is>
          <t>Lavon</t>
        </is>
      </c>
      <c r="B35" s="22" t="inlineStr">
        <is>
          <t>Collin</t>
        </is>
      </c>
      <c r="C35" s="20" t="n">
        <v>0</v>
      </c>
      <c r="D35" s="20" t="n">
        <v>0</v>
      </c>
      <c r="E35" s="20" t="n">
        <v>48</v>
      </c>
      <c r="F35" s="20" t="n">
        <v>53</v>
      </c>
      <c r="G35" s="20" t="n">
        <v>99</v>
      </c>
      <c r="H35" s="20" t="n">
        <v>79</v>
      </c>
      <c r="I35" s="20" t="n">
        <v>23</v>
      </c>
      <c r="J35" s="20" t="n">
        <v>143</v>
      </c>
      <c r="K35" s="20" t="n">
        <v>76</v>
      </c>
      <c r="L35" s="20" t="n">
        <v>90</v>
      </c>
      <c r="M35" s="20" t="n">
        <v>274</v>
      </c>
      <c r="N35" s="20" t="n">
        <v>405</v>
      </c>
      <c r="O35" s="20" t="n">
        <v>369</v>
      </c>
      <c r="P35" s="20" t="n">
        <v>326</v>
      </c>
      <c r="Q35" s="20" t="n">
        <v>1177</v>
      </c>
      <c r="R35" s="20" t="n">
        <v>571</v>
      </c>
    </row>
    <row r="36">
      <c r="A36" s="20" t="inlineStr">
        <is>
          <t>Melissa</t>
        </is>
      </c>
      <c r="B36" s="22" t="inlineStr">
        <is>
          <t>Collin</t>
        </is>
      </c>
      <c r="C36" s="20" t="n">
        <v>121</v>
      </c>
      <c r="D36" s="20" t="n">
        <v>109</v>
      </c>
      <c r="E36" s="20" t="n">
        <v>210</v>
      </c>
      <c r="F36" s="20" t="n">
        <v>174</v>
      </c>
      <c r="G36" s="20" t="n">
        <v>246</v>
      </c>
      <c r="H36" s="20" t="n">
        <v>375</v>
      </c>
      <c r="I36" s="20" t="n">
        <v>226</v>
      </c>
      <c r="J36" s="20" t="n">
        <v>337</v>
      </c>
      <c r="K36" s="20" t="n">
        <v>522</v>
      </c>
      <c r="L36" s="20" t="n">
        <v>560</v>
      </c>
      <c r="M36" s="20" t="n">
        <v>857</v>
      </c>
      <c r="N36" s="20" t="n">
        <v>784</v>
      </c>
      <c r="O36" s="20" t="n">
        <v>1194</v>
      </c>
      <c r="P36" s="20" t="n">
        <v>802</v>
      </c>
      <c r="Q36" s="20" t="n">
        <v>1263</v>
      </c>
      <c r="R36" s="20" t="n">
        <v>553</v>
      </c>
    </row>
    <row r="37">
      <c r="A37" s="20" t="inlineStr">
        <is>
          <t>Arlington</t>
        </is>
      </c>
      <c r="B37" s="22" t="inlineStr">
        <is>
          <t>Tarrant</t>
        </is>
      </c>
      <c r="C37" s="20" t="n">
        <v>286</v>
      </c>
      <c r="D37" s="20" t="n">
        <v>232</v>
      </c>
      <c r="E37" s="20" t="n">
        <v>456</v>
      </c>
      <c r="F37" s="20" t="n">
        <v>545</v>
      </c>
      <c r="G37" s="20" t="n">
        <v>470</v>
      </c>
      <c r="H37" s="20" t="n">
        <v>379</v>
      </c>
      <c r="I37" s="20" t="n">
        <v>283</v>
      </c>
      <c r="J37" s="20" t="n">
        <v>475</v>
      </c>
      <c r="K37" s="20" t="n">
        <v>624</v>
      </c>
      <c r="L37" s="20" t="n">
        <v>840</v>
      </c>
      <c r="M37" s="20" t="n">
        <v>725</v>
      </c>
      <c r="N37" s="20" t="n">
        <v>976</v>
      </c>
      <c r="O37" s="20" t="n">
        <v>737</v>
      </c>
      <c r="P37" s="20" t="n">
        <v>696</v>
      </c>
      <c r="Q37" s="20" t="n">
        <v>309</v>
      </c>
      <c r="R37" s="20" t="n">
        <v>532</v>
      </c>
    </row>
    <row r="38">
      <c r="A38" s="20" t="inlineStr">
        <is>
          <t>Rockwall</t>
        </is>
      </c>
      <c r="B38" s="22" t="inlineStr">
        <is>
          <t>Rockwall</t>
        </is>
      </c>
      <c r="C38" s="20" t="n">
        <v>200</v>
      </c>
      <c r="D38" s="20" t="n">
        <v>188</v>
      </c>
      <c r="E38" s="20" t="n">
        <v>239</v>
      </c>
      <c r="F38" s="20" t="n">
        <v>241</v>
      </c>
      <c r="G38" s="20" t="n">
        <v>266</v>
      </c>
      <c r="H38" s="20" t="n">
        <v>388</v>
      </c>
      <c r="I38" s="20" t="n">
        <v>326</v>
      </c>
      <c r="J38" s="20" t="n">
        <v>403</v>
      </c>
      <c r="K38" s="20" t="n">
        <v>319</v>
      </c>
      <c r="L38" s="20" t="n">
        <v>258</v>
      </c>
      <c r="M38" s="20" t="n">
        <v>388</v>
      </c>
      <c r="N38" s="20" t="n">
        <v>427</v>
      </c>
      <c r="O38" s="20" t="n">
        <v>261</v>
      </c>
      <c r="P38" s="20" t="n">
        <v>164</v>
      </c>
      <c r="Q38" s="20" t="n">
        <v>319</v>
      </c>
      <c r="R38" s="20" t="n">
        <v>507</v>
      </c>
    </row>
    <row r="39">
      <c r="A39" s="20" t="inlineStr">
        <is>
          <t>Royse City</t>
        </is>
      </c>
      <c r="B39" s="22" t="inlineStr">
        <is>
          <t>Rockwall</t>
        </is>
      </c>
      <c r="C39" s="20" t="n">
        <v>60</v>
      </c>
      <c r="D39" s="20" t="n">
        <v>67</v>
      </c>
      <c r="E39" s="20" t="n">
        <v>124</v>
      </c>
      <c r="F39" s="20" t="n">
        <v>144</v>
      </c>
      <c r="G39" s="20" t="n">
        <v>233</v>
      </c>
      <c r="H39" s="20" t="n">
        <v>227</v>
      </c>
      <c r="I39" s="20" t="n">
        <v>176</v>
      </c>
      <c r="J39" s="20" t="n">
        <v>192</v>
      </c>
      <c r="K39" s="20" t="n">
        <v>468</v>
      </c>
      <c r="L39" s="20" t="n">
        <v>243</v>
      </c>
      <c r="M39" s="20" t="n">
        <v>785</v>
      </c>
      <c r="N39" s="20" t="n">
        <v>1370</v>
      </c>
      <c r="O39" s="20" t="n">
        <v>1443</v>
      </c>
      <c r="P39" s="20" t="n">
        <v>703</v>
      </c>
      <c r="Q39" s="20" t="n">
        <v>693</v>
      </c>
      <c r="R39" s="20" t="n">
        <v>498</v>
      </c>
    </row>
    <row r="40">
      <c r="A40" s="20" t="inlineStr">
        <is>
          <t>Mesquite</t>
        </is>
      </c>
      <c r="B40" s="22" t="inlineStr">
        <is>
          <t>Dallas</t>
        </is>
      </c>
      <c r="C40" s="20" t="n">
        <v>42</v>
      </c>
      <c r="D40" s="20" t="n">
        <v>33</v>
      </c>
      <c r="E40" s="20" t="n">
        <v>33</v>
      </c>
      <c r="F40" s="20" t="n">
        <v>24</v>
      </c>
      <c r="G40" s="20" t="n">
        <v>11</v>
      </c>
      <c r="H40" s="20" t="n">
        <v>27</v>
      </c>
      <c r="I40" s="20" t="n">
        <v>34</v>
      </c>
      <c r="J40" s="20" t="n">
        <v>67</v>
      </c>
      <c r="K40" s="20" t="n">
        <v>70</v>
      </c>
      <c r="L40" s="20" t="n">
        <v>64</v>
      </c>
      <c r="M40" s="20" t="n">
        <v>257</v>
      </c>
      <c r="N40" s="20" t="n">
        <v>560</v>
      </c>
      <c r="O40" s="20" t="n">
        <v>510</v>
      </c>
      <c r="P40" s="20" t="n">
        <v>581</v>
      </c>
      <c r="Q40" s="20" t="n">
        <v>719</v>
      </c>
      <c r="R40" s="20" t="n">
        <v>491</v>
      </c>
    </row>
    <row r="41">
      <c r="A41" s="20" t="inlineStr">
        <is>
          <t>Providence Village Town</t>
        </is>
      </c>
      <c r="B41" s="22" t="inlineStr">
        <is>
          <t>Denton</t>
        </is>
      </c>
      <c r="C41" s="20" t="n">
        <v>0</v>
      </c>
      <c r="D41" s="20" t="n">
        <v>0</v>
      </c>
      <c r="E41" s="20" t="n">
        <v>0</v>
      </c>
      <c r="F41" s="20" t="n">
        <v>116</v>
      </c>
      <c r="G41" s="20" t="n">
        <v>114</v>
      </c>
      <c r="H41" s="20" t="n">
        <v>115</v>
      </c>
      <c r="I41" s="20" t="n">
        <v>57</v>
      </c>
      <c r="J41" s="20" t="n">
        <v>61</v>
      </c>
      <c r="K41" s="20" t="n">
        <v>16</v>
      </c>
      <c r="L41" s="20" t="n">
        <v>34</v>
      </c>
      <c r="M41" s="20" t="n">
        <v>43</v>
      </c>
      <c r="N41" s="20" t="n">
        <v>196</v>
      </c>
      <c r="O41" s="20" t="n">
        <v>249</v>
      </c>
      <c r="P41" s="20" t="n">
        <v>374</v>
      </c>
      <c r="Q41" s="20" t="n">
        <v>717</v>
      </c>
      <c r="R41" s="20" t="n">
        <v>467</v>
      </c>
    </row>
    <row r="42">
      <c r="A42" s="20" t="inlineStr">
        <is>
          <t>Josephine</t>
        </is>
      </c>
      <c r="B42" s="22" t="inlineStr">
        <is>
          <t>Collin</t>
        </is>
      </c>
      <c r="C42" s="20" t="n">
        <v>9</v>
      </c>
      <c r="D42" s="20" t="n">
        <v>25</v>
      </c>
      <c r="E42" s="20" t="n">
        <v>33</v>
      </c>
      <c r="F42" s="20" t="n">
        <v>40</v>
      </c>
      <c r="G42" s="20" t="n">
        <v>10</v>
      </c>
      <c r="H42" s="20" t="n">
        <v>74</v>
      </c>
      <c r="I42" s="20" t="n">
        <v>125</v>
      </c>
      <c r="J42" s="20" t="n">
        <v>20</v>
      </c>
      <c r="K42" s="20" t="n">
        <v>170</v>
      </c>
      <c r="L42" s="20" t="n">
        <v>167</v>
      </c>
      <c r="M42" s="20" t="n">
        <v>772</v>
      </c>
      <c r="N42" s="20" t="n">
        <v>797</v>
      </c>
      <c r="O42" s="20" t="n">
        <v>97</v>
      </c>
      <c r="P42" s="20" t="n">
        <v>551</v>
      </c>
      <c r="Q42" s="20" t="n">
        <v>483</v>
      </c>
      <c r="R42" s="20" t="n">
        <v>449</v>
      </c>
    </row>
    <row r="43">
      <c r="A43" s="20" t="inlineStr">
        <is>
          <t>Northlake Town</t>
        </is>
      </c>
      <c r="B43" s="22" t="inlineStr">
        <is>
          <t>Denton</t>
        </is>
      </c>
      <c r="C43" s="20" t="n">
        <v>1</v>
      </c>
      <c r="D43" s="20" t="n">
        <v>0</v>
      </c>
      <c r="E43" s="20" t="n">
        <v>6</v>
      </c>
      <c r="F43" s="20" t="n">
        <v>3</v>
      </c>
      <c r="G43" s="20" t="n">
        <v>3</v>
      </c>
      <c r="H43" s="20" t="n">
        <v>91</v>
      </c>
      <c r="I43" s="20" t="n">
        <v>163</v>
      </c>
      <c r="J43" s="20" t="n">
        <v>197</v>
      </c>
      <c r="K43" s="20" t="n">
        <v>195</v>
      </c>
      <c r="L43" s="20" t="n">
        <v>521</v>
      </c>
      <c r="M43" s="20" t="n">
        <v>639</v>
      </c>
      <c r="N43" s="20" t="n">
        <v>923</v>
      </c>
      <c r="O43" s="20" t="n">
        <v>330</v>
      </c>
      <c r="P43" s="20" t="n">
        <v>596</v>
      </c>
      <c r="Q43" s="20" t="n">
        <v>637</v>
      </c>
      <c r="R43" s="20" t="n">
        <v>438</v>
      </c>
    </row>
    <row r="44">
      <c r="A44" s="20" t="inlineStr">
        <is>
          <t>Cleburne</t>
        </is>
      </c>
      <c r="B44" s="22" t="inlineStr">
        <is>
          <t>Johnson</t>
        </is>
      </c>
      <c r="C44" s="20" t="n">
        <v>25</v>
      </c>
      <c r="D44" s="20" t="n">
        <v>19</v>
      </c>
      <c r="E44" s="20" t="n">
        <v>17</v>
      </c>
      <c r="F44" s="20" t="n">
        <v>19</v>
      </c>
      <c r="G44" s="20" t="n">
        <v>25</v>
      </c>
      <c r="H44" s="20" t="n">
        <v>52</v>
      </c>
      <c r="I44" s="20" t="n">
        <v>43</v>
      </c>
      <c r="J44" s="20" t="n">
        <v>94</v>
      </c>
      <c r="K44" s="20" t="n">
        <v>93</v>
      </c>
      <c r="L44" s="20" t="n">
        <v>238</v>
      </c>
      <c r="M44" s="20" t="n">
        <v>290</v>
      </c>
      <c r="N44" s="20" t="n">
        <v>264</v>
      </c>
      <c r="O44" s="20" t="n">
        <v>307</v>
      </c>
      <c r="P44" s="20" t="n">
        <v>222</v>
      </c>
      <c r="Q44" s="20" t="n">
        <v>582</v>
      </c>
      <c r="R44" s="20" t="n">
        <v>434</v>
      </c>
    </row>
    <row r="45">
      <c r="A45" s="20" t="inlineStr">
        <is>
          <t>Little Elm</t>
        </is>
      </c>
      <c r="B45" s="22" t="inlineStr">
        <is>
          <t>Denton</t>
        </is>
      </c>
      <c r="C45" s="20" t="n">
        <v>389</v>
      </c>
      <c r="D45" s="20" t="n">
        <v>343</v>
      </c>
      <c r="E45" s="20" t="n">
        <v>470</v>
      </c>
      <c r="F45" s="20" t="n">
        <v>771</v>
      </c>
      <c r="G45" s="20" t="n">
        <v>892</v>
      </c>
      <c r="H45" s="20" t="n">
        <v>1102</v>
      </c>
      <c r="I45" s="20" t="n">
        <v>1081</v>
      </c>
      <c r="J45" s="20" t="n">
        <v>1047</v>
      </c>
      <c r="K45" s="20" t="n">
        <v>1162</v>
      </c>
      <c r="L45" s="20" t="n">
        <v>960</v>
      </c>
      <c r="M45" s="20" t="n">
        <v>1170</v>
      </c>
      <c r="N45" s="20" t="n">
        <v>1267</v>
      </c>
      <c r="O45" s="20" t="n">
        <v>1291</v>
      </c>
      <c r="P45" s="20" t="n">
        <v>928</v>
      </c>
      <c r="Q45" s="20" t="n">
        <v>850</v>
      </c>
      <c r="R45" s="20" t="n">
        <v>414</v>
      </c>
    </row>
    <row r="46">
      <c r="A46" s="20" t="inlineStr">
        <is>
          <t>Aubrey</t>
        </is>
      </c>
      <c r="B46" s="22" t="inlineStr">
        <is>
          <t>Denton</t>
        </is>
      </c>
      <c r="C46" s="20" t="n">
        <v>9</v>
      </c>
      <c r="D46" s="20" t="n">
        <v>1</v>
      </c>
      <c r="E46" s="20" t="n">
        <v>4</v>
      </c>
      <c r="F46" s="20" t="n">
        <v>30</v>
      </c>
      <c r="G46" s="20" t="n">
        <v>47</v>
      </c>
      <c r="H46" s="20" t="n">
        <v>15</v>
      </c>
      <c r="I46" s="20" t="n">
        <v>3</v>
      </c>
      <c r="J46" s="20" t="n">
        <v>101</v>
      </c>
      <c r="K46" s="20" t="n">
        <v>498</v>
      </c>
      <c r="L46" s="20" t="n">
        <v>563</v>
      </c>
      <c r="M46" s="20" t="n">
        <v>469</v>
      </c>
      <c r="N46" s="20" t="n">
        <v>596</v>
      </c>
      <c r="O46" s="20" t="n">
        <v>149</v>
      </c>
      <c r="P46" s="20" t="n">
        <v>232</v>
      </c>
      <c r="Q46" s="20" t="n">
        <v>128</v>
      </c>
      <c r="R46" s="20" t="n">
        <v>396</v>
      </c>
    </row>
    <row r="47">
      <c r="A47" s="20" t="inlineStr">
        <is>
          <t>Ennis</t>
        </is>
      </c>
      <c r="B47" s="22" t="inlineStr">
        <is>
          <t>Ellis</t>
        </is>
      </c>
      <c r="C47" s="20" t="n">
        <v>7</v>
      </c>
      <c r="D47" s="20" t="n">
        <v>9</v>
      </c>
      <c r="E47" s="20" t="n">
        <v>8</v>
      </c>
      <c r="F47" s="20" t="n">
        <v>14</v>
      </c>
      <c r="G47" s="20" t="n">
        <v>27</v>
      </c>
      <c r="H47" s="20" t="n">
        <v>22</v>
      </c>
      <c r="I47" s="20" t="n">
        <v>57</v>
      </c>
      <c r="J47" s="20" t="n">
        <v>54</v>
      </c>
      <c r="K47" s="20" t="n">
        <v>208</v>
      </c>
      <c r="L47" s="20" t="n">
        <v>71</v>
      </c>
      <c r="M47" s="20" t="n">
        <v>219</v>
      </c>
      <c r="N47" s="20" t="n">
        <v>323</v>
      </c>
      <c r="O47" s="20" t="n">
        <v>212</v>
      </c>
      <c r="P47" s="20" t="n">
        <v>328</v>
      </c>
      <c r="Q47" s="20" t="n">
        <v>358</v>
      </c>
      <c r="R47" s="20" t="n">
        <v>380</v>
      </c>
    </row>
    <row r="48">
      <c r="A48" s="20" t="inlineStr">
        <is>
          <t>Justin</t>
        </is>
      </c>
      <c r="B48" s="22" t="inlineStr">
        <is>
          <t>Denton</t>
        </is>
      </c>
      <c r="C48" s="20" t="n">
        <v>0</v>
      </c>
      <c r="D48" s="20" t="n">
        <v>1</v>
      </c>
      <c r="E48" s="20" t="n">
        <v>2</v>
      </c>
      <c r="F48" s="20" t="n">
        <v>10</v>
      </c>
      <c r="G48" s="20" t="n">
        <v>22</v>
      </c>
      <c r="H48" s="20" t="n">
        <v>32</v>
      </c>
      <c r="I48" s="20" t="n">
        <v>57</v>
      </c>
      <c r="J48" s="20" t="n">
        <v>65</v>
      </c>
      <c r="K48" s="20" t="n">
        <v>105</v>
      </c>
      <c r="L48" s="20" t="n">
        <v>151</v>
      </c>
      <c r="M48" s="20" t="n">
        <v>206</v>
      </c>
      <c r="N48" s="20" t="n">
        <v>233</v>
      </c>
      <c r="O48" s="20" t="n">
        <v>127</v>
      </c>
      <c r="P48" s="20" t="n">
        <v>115</v>
      </c>
      <c r="Q48" s="20" t="n">
        <v>435</v>
      </c>
      <c r="R48" s="20" t="n">
        <v>363</v>
      </c>
    </row>
    <row r="49">
      <c r="A49" s="20" t="inlineStr">
        <is>
          <t>Grand Prairie</t>
        </is>
      </c>
      <c r="B49" s="22" t="inlineStr">
        <is>
          <t>Dallas</t>
        </is>
      </c>
      <c r="C49" s="20" t="n">
        <v>387</v>
      </c>
      <c r="D49" s="20" t="n">
        <v>346</v>
      </c>
      <c r="E49" s="20" t="n">
        <v>351</v>
      </c>
      <c r="F49" s="20" t="n">
        <v>400</v>
      </c>
      <c r="G49" s="20" t="n">
        <v>394</v>
      </c>
      <c r="H49" s="20" t="n">
        <v>473</v>
      </c>
      <c r="I49" s="20" t="n">
        <v>392</v>
      </c>
      <c r="J49" s="20" t="n">
        <v>257</v>
      </c>
      <c r="K49" s="20" t="n">
        <v>111</v>
      </c>
      <c r="L49" s="20" t="n">
        <v>208</v>
      </c>
      <c r="M49" s="20" t="n">
        <v>418</v>
      </c>
      <c r="N49" s="20" t="n">
        <v>1233</v>
      </c>
      <c r="O49" s="20" t="n">
        <v>335</v>
      </c>
      <c r="P49" s="20" t="n">
        <v>373</v>
      </c>
      <c r="Q49" s="20" t="n">
        <v>364</v>
      </c>
      <c r="R49" s="20" t="n">
        <v>356</v>
      </c>
    </row>
    <row r="50">
      <c r="A50" s="20" t="inlineStr">
        <is>
          <t>Red Oak</t>
        </is>
      </c>
      <c r="B50" s="22" t="inlineStr">
        <is>
          <t>Ellis</t>
        </is>
      </c>
      <c r="C50" s="20" t="n">
        <v>40</v>
      </c>
      <c r="D50" s="20" t="n">
        <v>47</v>
      </c>
      <c r="E50" s="20" t="n">
        <v>56</v>
      </c>
      <c r="F50" s="20" t="n">
        <v>97</v>
      </c>
      <c r="G50" s="20" t="n">
        <v>135</v>
      </c>
      <c r="H50" s="20" t="n">
        <v>162</v>
      </c>
      <c r="I50" s="20" t="n">
        <v>80</v>
      </c>
      <c r="J50" s="20" t="n">
        <v>130</v>
      </c>
      <c r="K50" s="20" t="n">
        <v>193</v>
      </c>
      <c r="L50" s="20" t="n">
        <v>217</v>
      </c>
      <c r="M50" s="20" t="n">
        <v>341</v>
      </c>
      <c r="N50" s="20" t="n">
        <v>195</v>
      </c>
      <c r="O50" s="20" t="n">
        <v>367</v>
      </c>
      <c r="P50" s="20" t="n">
        <v>239</v>
      </c>
      <c r="Q50" s="20" t="n">
        <v>367</v>
      </c>
      <c r="R50" s="20" t="n">
        <v>343</v>
      </c>
    </row>
    <row r="51">
      <c r="A51" s="20" t="inlineStr">
        <is>
          <t>Greenville</t>
        </is>
      </c>
      <c r="B51" s="22" t="inlineStr">
        <is>
          <t>Hunt</t>
        </is>
      </c>
      <c r="C51" s="20" t="n">
        <v>29</v>
      </c>
      <c r="D51" s="20" t="n">
        <v>21</v>
      </c>
      <c r="E51" s="20" t="n">
        <v>9</v>
      </c>
      <c r="F51" s="20" t="n">
        <v>45</v>
      </c>
      <c r="G51" s="20" t="n">
        <v>44</v>
      </c>
      <c r="H51" s="20" t="n">
        <v>58</v>
      </c>
      <c r="I51" s="20" t="n">
        <v>142</v>
      </c>
      <c r="J51" s="20" t="n">
        <v>162</v>
      </c>
      <c r="K51" s="20" t="n">
        <v>141</v>
      </c>
      <c r="L51" s="20" t="n">
        <v>242</v>
      </c>
      <c r="M51" s="20" t="n">
        <v>290</v>
      </c>
      <c r="N51" s="20" t="n">
        <v>495</v>
      </c>
      <c r="O51" s="20" t="n">
        <v>377</v>
      </c>
      <c r="P51" s="20" t="n">
        <v>402</v>
      </c>
      <c r="Q51" s="20" t="n">
        <v>491</v>
      </c>
      <c r="R51" s="20" t="n">
        <v>309</v>
      </c>
    </row>
    <row r="52">
      <c r="A52" s="20" t="inlineStr">
        <is>
          <t>Fate</t>
        </is>
      </c>
      <c r="B52" s="22" t="inlineStr">
        <is>
          <t>Rockwall</t>
        </is>
      </c>
      <c r="C52" s="20" t="n">
        <v>190</v>
      </c>
      <c r="D52" s="20" t="n">
        <v>96</v>
      </c>
      <c r="E52" s="20" t="n">
        <v>205</v>
      </c>
      <c r="F52" s="20" t="n">
        <v>213</v>
      </c>
      <c r="G52" s="20" t="n">
        <v>283</v>
      </c>
      <c r="H52" s="20" t="n">
        <v>216</v>
      </c>
      <c r="I52" s="20" t="n">
        <v>353</v>
      </c>
      <c r="J52" s="20" t="n">
        <v>651</v>
      </c>
      <c r="K52" s="20" t="n">
        <v>509</v>
      </c>
      <c r="L52" s="20" t="n">
        <v>544</v>
      </c>
      <c r="M52" s="20" t="n">
        <v>817</v>
      </c>
      <c r="N52" s="20" t="n">
        <v>705</v>
      </c>
      <c r="O52" s="20" t="n">
        <v>464</v>
      </c>
      <c r="P52" s="20" t="n">
        <v>556</v>
      </c>
      <c r="Q52" s="20" t="n">
        <v>575</v>
      </c>
      <c r="R52" s="20" t="n">
        <v>297</v>
      </c>
    </row>
    <row r="53">
      <c r="A53" s="20" t="inlineStr">
        <is>
          <t>Forney</t>
        </is>
      </c>
      <c r="B53" s="22" t="inlineStr">
        <is>
          <t>Kaufman</t>
        </is>
      </c>
      <c r="C53" s="20" t="n">
        <v>155</v>
      </c>
      <c r="D53" s="20" t="n">
        <v>130</v>
      </c>
      <c r="E53" s="20" t="n">
        <v>178</v>
      </c>
      <c r="F53" s="20" t="n">
        <v>220</v>
      </c>
      <c r="G53" s="20" t="n">
        <v>135</v>
      </c>
      <c r="H53" s="20" t="n">
        <v>96</v>
      </c>
      <c r="I53" s="20" t="n">
        <v>279</v>
      </c>
      <c r="J53" s="20" t="n">
        <v>655</v>
      </c>
      <c r="K53" s="20" t="n">
        <v>540</v>
      </c>
      <c r="L53" s="20" t="n">
        <v>308</v>
      </c>
      <c r="M53" s="20" t="n">
        <v>547</v>
      </c>
      <c r="N53" s="20" t="n">
        <v>1082</v>
      </c>
      <c r="O53" s="20" t="n">
        <v>257</v>
      </c>
      <c r="P53" s="20" t="n">
        <v>451</v>
      </c>
      <c r="Q53" s="20" t="n">
        <v>663</v>
      </c>
      <c r="R53" s="20" t="n">
        <v>273</v>
      </c>
    </row>
    <row r="54">
      <c r="A54" s="20" t="inlineStr">
        <is>
          <t>Allen</t>
        </is>
      </c>
      <c r="B54" s="22" t="inlineStr">
        <is>
          <t>Collin</t>
        </is>
      </c>
      <c r="C54" s="20" t="n">
        <v>444</v>
      </c>
      <c r="D54" s="20" t="n">
        <v>420</v>
      </c>
      <c r="E54" s="20" t="n">
        <v>480</v>
      </c>
      <c r="F54" s="20" t="n">
        <v>463</v>
      </c>
      <c r="G54" s="20" t="n">
        <v>503</v>
      </c>
      <c r="H54" s="20" t="n">
        <v>466</v>
      </c>
      <c r="I54" s="20" t="n">
        <v>447</v>
      </c>
      <c r="J54" s="20" t="n">
        <v>435</v>
      </c>
      <c r="K54" s="20" t="n">
        <v>457</v>
      </c>
      <c r="L54" s="20" t="n">
        <v>494</v>
      </c>
      <c r="M54" s="20" t="n">
        <v>538</v>
      </c>
      <c r="N54" s="20" t="n">
        <v>565</v>
      </c>
      <c r="O54" s="20" t="n">
        <v>287</v>
      </c>
      <c r="P54" s="20" t="n">
        <v>123</v>
      </c>
      <c r="Q54" s="20" t="n">
        <v>166</v>
      </c>
      <c r="R54" s="20" t="n">
        <v>269</v>
      </c>
    </row>
    <row r="55">
      <c r="A55" s="20" t="inlineStr">
        <is>
          <t>Prosper Town</t>
        </is>
      </c>
      <c r="B55" s="22" t="inlineStr">
        <is>
          <t>Collin</t>
        </is>
      </c>
      <c r="C55" s="20" t="n">
        <v>280</v>
      </c>
      <c r="D55" s="20" t="n">
        <v>369</v>
      </c>
      <c r="E55" s="20" t="n">
        <v>465</v>
      </c>
      <c r="F55" s="20" t="n">
        <v>487</v>
      </c>
      <c r="G55" s="20" t="n">
        <v>557</v>
      </c>
      <c r="H55" s="20" t="n">
        <v>659</v>
      </c>
      <c r="I55" s="20" t="n">
        <v>673</v>
      </c>
      <c r="J55" s="20" t="n">
        <v>774</v>
      </c>
      <c r="K55" s="20" t="n">
        <v>924</v>
      </c>
      <c r="L55" s="20" t="n">
        <v>847</v>
      </c>
      <c r="M55" s="20" t="n">
        <v>1115</v>
      </c>
      <c r="N55" s="20" t="n">
        <v>1220</v>
      </c>
      <c r="O55" s="20" t="n">
        <v>949</v>
      </c>
      <c r="P55" s="20" t="n">
        <v>877</v>
      </c>
      <c r="Q55" s="20" t="n">
        <v>216</v>
      </c>
      <c r="R55" s="20" t="n">
        <v>261</v>
      </c>
    </row>
    <row r="56">
      <c r="A56" s="20" t="inlineStr">
        <is>
          <t>Wylie</t>
        </is>
      </c>
      <c r="B56" s="22" t="inlineStr">
        <is>
          <t>Collin</t>
        </is>
      </c>
      <c r="C56" s="20" t="n">
        <v>267</v>
      </c>
      <c r="D56" s="20" t="n">
        <v>217</v>
      </c>
      <c r="E56" s="20" t="n">
        <v>240</v>
      </c>
      <c r="F56" s="20" t="n">
        <v>240</v>
      </c>
      <c r="G56" s="20" t="n">
        <v>251</v>
      </c>
      <c r="H56" s="20" t="n">
        <v>523</v>
      </c>
      <c r="I56" s="20" t="n">
        <v>414</v>
      </c>
      <c r="J56" s="20" t="n">
        <v>572</v>
      </c>
      <c r="K56" s="20" t="n">
        <v>550</v>
      </c>
      <c r="L56" s="20" t="n">
        <v>424</v>
      </c>
      <c r="M56" s="20" t="n">
        <v>494</v>
      </c>
      <c r="N56" s="20" t="n">
        <v>502</v>
      </c>
      <c r="O56" s="20" t="n">
        <v>254</v>
      </c>
      <c r="P56" s="20" t="n">
        <v>347</v>
      </c>
      <c r="Q56" s="20" t="n">
        <v>311</v>
      </c>
      <c r="R56" s="20" t="n">
        <v>231</v>
      </c>
    </row>
    <row r="57">
      <c r="A57" s="20" t="inlineStr">
        <is>
          <t>Lewisville</t>
        </is>
      </c>
      <c r="B57" s="22" t="inlineStr">
        <is>
          <t>Denton</t>
        </is>
      </c>
      <c r="C57" s="20" t="n">
        <v>79</v>
      </c>
      <c r="D57" s="20" t="n">
        <v>116</v>
      </c>
      <c r="E57" s="20" t="n">
        <v>168</v>
      </c>
      <c r="F57" s="20" t="n">
        <v>185</v>
      </c>
      <c r="G57" s="20" t="n">
        <v>181</v>
      </c>
      <c r="H57" s="20" t="n">
        <v>332</v>
      </c>
      <c r="I57" s="20" t="n">
        <v>390</v>
      </c>
      <c r="J57" s="20" t="n">
        <v>242</v>
      </c>
      <c r="K57" s="20" t="n">
        <v>352</v>
      </c>
      <c r="L57" s="20" t="n">
        <v>296</v>
      </c>
      <c r="M57" s="20" t="n">
        <v>358</v>
      </c>
      <c r="N57" s="20" t="n">
        <v>536</v>
      </c>
      <c r="O57" s="20" t="n">
        <v>435</v>
      </c>
      <c r="P57" s="20" t="n">
        <v>208</v>
      </c>
      <c r="Q57" s="20" t="n">
        <v>140</v>
      </c>
      <c r="R57" s="20" t="n">
        <v>228</v>
      </c>
    </row>
    <row r="58">
      <c r="A58" s="20" t="inlineStr">
        <is>
          <t>Godley</t>
        </is>
      </c>
      <c r="B58" s="22" t="inlineStr">
        <is>
          <t>Johnson</t>
        </is>
      </c>
      <c r="C58" s="20" t="n">
        <v>4</v>
      </c>
      <c r="D58" s="20" t="n">
        <v>7</v>
      </c>
      <c r="E58" s="20" t="n">
        <v>1</v>
      </c>
      <c r="F58" s="20" t="n">
        <v>7</v>
      </c>
      <c r="G58" s="20" t="n">
        <v>5</v>
      </c>
      <c r="H58" s="20" t="n">
        <v>12</v>
      </c>
      <c r="I58" s="20" t="n">
        <v>5</v>
      </c>
      <c r="J58" s="20" t="n">
        <v>30</v>
      </c>
      <c r="K58" s="20" t="n">
        <v>48</v>
      </c>
      <c r="L58" s="20" t="n">
        <v>114</v>
      </c>
      <c r="M58" s="20" t="n">
        <v>124</v>
      </c>
      <c r="N58" s="20" t="n">
        <v>308</v>
      </c>
      <c r="O58" s="20" t="n">
        <v>346</v>
      </c>
      <c r="P58" s="20" t="n">
        <v>310</v>
      </c>
      <c r="Q58" s="20" t="n">
        <v>269</v>
      </c>
      <c r="R58" s="20" t="n">
        <v>222</v>
      </c>
    </row>
    <row r="59">
      <c r="A59" s="20" t="inlineStr">
        <is>
          <t>Haslet</t>
        </is>
      </c>
      <c r="B59" s="22" t="inlineStr">
        <is>
          <t>Tarrant</t>
        </is>
      </c>
      <c r="C59" s="20" t="n">
        <v>1</v>
      </c>
      <c r="D59" s="20" t="n">
        <v>4</v>
      </c>
      <c r="E59" s="20" t="n">
        <v>23</v>
      </c>
      <c r="F59" s="20" t="n">
        <v>24</v>
      </c>
      <c r="G59" s="20" t="n">
        <v>20</v>
      </c>
      <c r="H59" s="20" t="n">
        <v>9</v>
      </c>
      <c r="I59" s="20" t="n">
        <v>5</v>
      </c>
      <c r="J59" s="20" t="n">
        <v>5</v>
      </c>
      <c r="K59" s="20" t="n">
        <v>31</v>
      </c>
      <c r="L59" s="20" t="n">
        <v>83</v>
      </c>
      <c r="M59" s="20" t="n">
        <v>148</v>
      </c>
      <c r="N59" s="20" t="n">
        <v>404</v>
      </c>
      <c r="O59" s="20" t="n">
        <v>192</v>
      </c>
      <c r="P59" s="20" t="n">
        <v>333</v>
      </c>
      <c r="Q59" s="20" t="n">
        <v>225</v>
      </c>
      <c r="R59" s="20" t="n">
        <v>182</v>
      </c>
    </row>
    <row r="60">
      <c r="A60" s="20" t="inlineStr">
        <is>
          <t>Burleson</t>
        </is>
      </c>
      <c r="B60" s="22" t="inlineStr">
        <is>
          <t>Johnson</t>
        </is>
      </c>
      <c r="C60" s="20" t="n">
        <v>197</v>
      </c>
      <c r="D60" s="20" t="n">
        <v>188</v>
      </c>
      <c r="E60" s="20" t="n">
        <v>287</v>
      </c>
      <c r="F60" s="20" t="n">
        <v>357</v>
      </c>
      <c r="G60" s="20" t="n">
        <v>413</v>
      </c>
      <c r="H60" s="20" t="n">
        <v>401</v>
      </c>
      <c r="I60" s="20" t="n">
        <v>340</v>
      </c>
      <c r="J60" s="20" t="n">
        <v>279</v>
      </c>
      <c r="K60" s="20" t="n">
        <v>250</v>
      </c>
      <c r="L60" s="20" t="n">
        <v>206</v>
      </c>
      <c r="M60" s="20" t="n">
        <v>414</v>
      </c>
      <c r="N60" s="20" t="n">
        <v>220</v>
      </c>
      <c r="O60" s="20" t="n">
        <v>332</v>
      </c>
      <c r="P60" s="20" t="n">
        <v>348</v>
      </c>
      <c r="Q60" s="20" t="n">
        <v>208</v>
      </c>
      <c r="R60" s="20" t="n">
        <v>163</v>
      </c>
    </row>
    <row r="61">
      <c r="A61" s="20" t="inlineStr">
        <is>
          <t>Kaufman County Unincorporated Area</t>
        </is>
      </c>
      <c r="B61" s="22" t="inlineStr">
        <is>
          <t>Kaufman</t>
        </is>
      </c>
      <c r="C61" s="20" t="n">
        <v>0</v>
      </c>
      <c r="D61" s="20" t="n">
        <v>0</v>
      </c>
      <c r="E61" s="20" t="n">
        <v>0</v>
      </c>
      <c r="F61" s="20" t="n">
        <v>0</v>
      </c>
      <c r="G61" s="20" t="n">
        <v>0</v>
      </c>
      <c r="H61" s="20" t="n">
        <v>0</v>
      </c>
      <c r="I61" s="20" t="n">
        <v>0</v>
      </c>
      <c r="J61" s="20" t="n">
        <v>0</v>
      </c>
      <c r="K61" s="20" t="n">
        <v>0</v>
      </c>
      <c r="L61" s="20" t="n">
        <v>0</v>
      </c>
      <c r="M61" s="20" t="n">
        <v>0</v>
      </c>
      <c r="N61" s="20" t="n">
        <v>0</v>
      </c>
      <c r="O61" s="20" t="n">
        <v>288</v>
      </c>
      <c r="P61" s="20" t="n">
        <v>91</v>
      </c>
      <c r="Q61" s="20" t="n">
        <v>154</v>
      </c>
      <c r="R61" s="20" t="n">
        <v>160</v>
      </c>
    </row>
    <row r="62">
      <c r="A62" s="20" t="inlineStr">
        <is>
          <t>Plano</t>
        </is>
      </c>
      <c r="B62" s="22" t="inlineStr">
        <is>
          <t>Collin</t>
        </is>
      </c>
      <c r="C62" s="20" t="n">
        <v>311</v>
      </c>
      <c r="D62" s="20" t="n">
        <v>349</v>
      </c>
      <c r="E62" s="20" t="n">
        <v>673</v>
      </c>
      <c r="F62" s="20" t="n">
        <v>410</v>
      </c>
      <c r="G62" s="20" t="n">
        <v>524</v>
      </c>
      <c r="H62" s="20" t="n">
        <v>460</v>
      </c>
      <c r="I62" s="20" t="n">
        <v>491</v>
      </c>
      <c r="J62" s="20" t="n">
        <v>315</v>
      </c>
      <c r="K62" s="20" t="n">
        <v>244</v>
      </c>
      <c r="L62" s="20" t="n">
        <v>197</v>
      </c>
      <c r="M62" s="20" t="n">
        <v>291</v>
      </c>
      <c r="N62" s="20" t="n">
        <v>321</v>
      </c>
      <c r="O62" s="20" t="n">
        <v>186</v>
      </c>
      <c r="P62" s="20" t="n">
        <v>170</v>
      </c>
      <c r="Q62" s="20" t="n">
        <v>241</v>
      </c>
      <c r="R62" s="20" t="n">
        <v>138</v>
      </c>
    </row>
    <row r="63">
      <c r="A63" s="20" t="inlineStr">
        <is>
          <t>Flower Mound Town</t>
        </is>
      </c>
      <c r="B63" s="22" t="inlineStr">
        <is>
          <t>Denton</t>
        </is>
      </c>
      <c r="C63" s="20" t="n">
        <v>100</v>
      </c>
      <c r="D63" s="20" t="n">
        <v>93</v>
      </c>
      <c r="E63" s="20" t="n">
        <v>145</v>
      </c>
      <c r="F63" s="20" t="n">
        <v>250</v>
      </c>
      <c r="G63" s="20" t="n">
        <v>355</v>
      </c>
      <c r="H63" s="20" t="n">
        <v>460</v>
      </c>
      <c r="I63" s="20" t="n">
        <v>397</v>
      </c>
      <c r="J63" s="20" t="n">
        <v>467</v>
      </c>
      <c r="K63" s="20" t="n">
        <v>575</v>
      </c>
      <c r="L63" s="20" t="n">
        <v>433</v>
      </c>
      <c r="M63" s="20" t="n">
        <v>429</v>
      </c>
      <c r="N63" s="20" t="n">
        <v>441</v>
      </c>
      <c r="O63" s="20" t="n">
        <v>304</v>
      </c>
      <c r="P63" s="20" t="n">
        <v>119</v>
      </c>
      <c r="Q63" s="20" t="n">
        <v>71</v>
      </c>
      <c r="R63" s="20" t="n">
        <v>115</v>
      </c>
    </row>
    <row r="64">
      <c r="A64" s="20" t="inlineStr">
        <is>
          <t>Glenn Heights</t>
        </is>
      </c>
      <c r="B64" s="22" t="inlineStr">
        <is>
          <t>Dallas</t>
        </is>
      </c>
      <c r="C64" s="20" t="n">
        <v>30</v>
      </c>
      <c r="D64" s="20" t="n">
        <v>30</v>
      </c>
      <c r="E64" s="20" t="n">
        <v>27</v>
      </c>
      <c r="F64" s="20" t="n">
        <v>24</v>
      </c>
      <c r="G64" s="20" t="n">
        <v>23</v>
      </c>
      <c r="H64" s="20" t="n">
        <v>119</v>
      </c>
      <c r="I64" s="20" t="n">
        <v>205</v>
      </c>
      <c r="J64" s="20" t="n">
        <v>69</v>
      </c>
      <c r="K64" s="20" t="n">
        <v>116</v>
      </c>
      <c r="L64" s="20" t="n">
        <v>367</v>
      </c>
      <c r="M64" s="20" t="n">
        <v>423</v>
      </c>
      <c r="N64" s="20" t="n">
        <v>444</v>
      </c>
      <c r="O64" s="20" t="n">
        <v>199</v>
      </c>
      <c r="P64" s="20" t="n">
        <v>240</v>
      </c>
      <c r="Q64" s="20" t="n">
        <v>237</v>
      </c>
      <c r="R64" s="20" t="n">
        <v>108</v>
      </c>
    </row>
    <row r="65">
      <c r="A65" s="20" t="inlineStr">
        <is>
          <t>Garland</t>
        </is>
      </c>
      <c r="B65" s="22" t="inlineStr">
        <is>
          <t>Dallas</t>
        </is>
      </c>
      <c r="C65" s="20" t="n">
        <v>147</v>
      </c>
      <c r="D65" s="20" t="n">
        <v>148</v>
      </c>
      <c r="E65" s="20" t="n">
        <v>158</v>
      </c>
      <c r="F65" s="20" t="n">
        <v>215</v>
      </c>
      <c r="G65" s="20" t="n">
        <v>180</v>
      </c>
      <c r="H65" s="20" t="n">
        <v>162</v>
      </c>
      <c r="I65" s="20" t="n">
        <v>254</v>
      </c>
      <c r="J65" s="20" t="n">
        <v>171</v>
      </c>
      <c r="K65" s="20" t="n">
        <v>92</v>
      </c>
      <c r="L65" s="20" t="n">
        <v>243</v>
      </c>
      <c r="M65" s="20" t="n">
        <v>389</v>
      </c>
      <c r="N65" s="20" t="n">
        <v>427</v>
      </c>
      <c r="O65" s="20" t="n">
        <v>279</v>
      </c>
      <c r="P65" s="20" t="n">
        <v>347</v>
      </c>
      <c r="Q65" s="20" t="n">
        <v>544</v>
      </c>
      <c r="R65" s="20" t="n">
        <v>107</v>
      </c>
    </row>
    <row r="66">
      <c r="A66" s="20" t="inlineStr">
        <is>
          <t>Caddo Mills</t>
        </is>
      </c>
      <c r="B66" s="22" t="inlineStr">
        <is>
          <t>Hunt</t>
        </is>
      </c>
      <c r="C66" s="20" t="n">
        <v>3</v>
      </c>
      <c r="D66" s="20" t="n">
        <v>6</v>
      </c>
      <c r="E66" s="20" t="n">
        <v>12</v>
      </c>
      <c r="F66" s="20" t="n">
        <v>10</v>
      </c>
      <c r="G66" s="20" t="n">
        <v>10</v>
      </c>
      <c r="H66" s="20" t="n">
        <v>9</v>
      </c>
      <c r="I66" s="20" t="n">
        <v>2</v>
      </c>
      <c r="J66" s="20" t="n">
        <v>5</v>
      </c>
      <c r="K66" s="20" t="n">
        <v>18</v>
      </c>
      <c r="L66" s="20" t="n">
        <v>9</v>
      </c>
      <c r="M66" s="20" t="n">
        <v>331</v>
      </c>
      <c r="N66" s="20" t="n">
        <v>471</v>
      </c>
      <c r="O66" s="20" t="n">
        <v>247</v>
      </c>
      <c r="P66" s="20" t="n">
        <v>388</v>
      </c>
      <c r="Q66" s="20" t="n">
        <v>182</v>
      </c>
      <c r="R66" s="20" t="n">
        <v>97</v>
      </c>
    </row>
    <row r="67">
      <c r="A67" s="20" t="inlineStr">
        <is>
          <t>Irving</t>
        </is>
      </c>
      <c r="B67" s="22" t="inlineStr">
        <is>
          <t>Dallas</t>
        </is>
      </c>
      <c r="C67" s="20" t="n">
        <v>338</v>
      </c>
      <c r="D67" s="20" t="n">
        <v>340</v>
      </c>
      <c r="E67" s="20" t="n">
        <v>455</v>
      </c>
      <c r="F67" s="20" t="n">
        <v>478</v>
      </c>
      <c r="G67" s="20" t="n">
        <v>490</v>
      </c>
      <c r="H67" s="20" t="n">
        <v>539</v>
      </c>
      <c r="I67" s="20" t="n">
        <v>625</v>
      </c>
      <c r="J67" s="20" t="n">
        <v>648</v>
      </c>
      <c r="K67" s="20" t="n">
        <v>517</v>
      </c>
      <c r="L67" s="20" t="n">
        <v>613</v>
      </c>
      <c r="M67" s="20" t="n">
        <v>627</v>
      </c>
      <c r="N67" s="20" t="n">
        <v>366</v>
      </c>
      <c r="O67" s="20" t="n">
        <v>157</v>
      </c>
      <c r="P67" s="20" t="n">
        <v>172</v>
      </c>
      <c r="Q67" s="20" t="n">
        <v>112</v>
      </c>
      <c r="R67" s="20" t="n">
        <v>69</v>
      </c>
    </row>
    <row r="68">
      <c r="A68" s="20" t="inlineStr">
        <is>
          <t>Weatherford</t>
        </is>
      </c>
      <c r="B68" s="22" t="inlineStr">
        <is>
          <t>Parker</t>
        </is>
      </c>
      <c r="C68" s="20" t="n">
        <v>88</v>
      </c>
      <c r="D68" s="20" t="n">
        <v>224</v>
      </c>
      <c r="E68" s="20" t="n">
        <v>121</v>
      </c>
      <c r="F68" s="20" t="n">
        <v>140</v>
      </c>
      <c r="G68" s="20" t="n">
        <v>195</v>
      </c>
      <c r="H68" s="20" t="n">
        <v>199</v>
      </c>
      <c r="I68" s="20" t="n">
        <v>204</v>
      </c>
      <c r="J68" s="20" t="n">
        <v>241</v>
      </c>
      <c r="K68" s="20" t="n">
        <v>209</v>
      </c>
      <c r="L68" s="20" t="n">
        <v>189</v>
      </c>
      <c r="M68" s="20" t="n">
        <v>281</v>
      </c>
      <c r="N68" s="20" t="n">
        <v>446</v>
      </c>
      <c r="O68" s="20" t="n">
        <v>394</v>
      </c>
      <c r="P68" s="20" t="n">
        <v>117</v>
      </c>
      <c r="Q68" s="20" t="n">
        <v>170</v>
      </c>
      <c r="R68" s="20" t="n">
        <v>69</v>
      </c>
    </row>
    <row r="69">
      <c r="A69" s="20" t="inlineStr">
        <is>
          <t>Dallas County Unincorporated Area</t>
        </is>
      </c>
      <c r="B69" s="22" t="inlineStr">
        <is>
          <t>Dallas</t>
        </is>
      </c>
      <c r="C69" s="20" t="n">
        <v>0</v>
      </c>
      <c r="D69" s="20" t="n">
        <v>0</v>
      </c>
      <c r="E69" s="20" t="n">
        <v>0</v>
      </c>
      <c r="F69" s="20" t="n">
        <v>0</v>
      </c>
      <c r="G69" s="20" t="n">
        <v>0</v>
      </c>
      <c r="H69" s="20" t="n">
        <v>0</v>
      </c>
      <c r="I69" s="20" t="n">
        <v>0</v>
      </c>
      <c r="J69" s="20" t="n">
        <v>0</v>
      </c>
      <c r="K69" s="20" t="n">
        <v>0</v>
      </c>
      <c r="L69" s="20" t="n">
        <v>0</v>
      </c>
      <c r="M69" s="20" t="n">
        <v>0</v>
      </c>
      <c r="N69" s="20" t="n">
        <v>0</v>
      </c>
      <c r="O69" s="20" t="n">
        <v>0</v>
      </c>
      <c r="P69" s="20" t="n">
        <v>0</v>
      </c>
      <c r="Q69" s="20" t="n">
        <v>154</v>
      </c>
      <c r="R69" s="20" t="n">
        <v>69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2026-09-26T00:00:00Z</dcterms:created>
  <dcterms:modified xmlns:dcterms="http://purl.org/dc/terms/" xmlns:xsi="http://www.w3.org/2001/XMLSchema-instance" xsi:type="dcterms:W3CDTF">2026-09-26T00:00:00Z</dcterms:modified>
</cp:coreProperties>
</file>