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acts" sheetId="1" state="visible" r:id="rId1"/>
    <sheet xmlns:r="http://schemas.openxmlformats.org/officeDocument/2006/relationships" name="Permits" sheetId="2" state="visible" r:id="rId2"/>
  </sheets>
  <definedNames>
    <definedName name="_xlnm._FilterDatabase" localSheetId="0" hidden="1">'Contacts'!$A$6:$AD$221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11111"/>
      <sz val="15"/>
    </font>
    <font>
      <name val="Arial"/>
      <color rgb="00666666"/>
      <sz val="9"/>
    </font>
    <font>
      <name val="Arial"/>
      <i val="1"/>
      <color rgb="00666666"/>
      <sz val="9"/>
    </font>
    <font>
      <name val="Arial"/>
      <b val="1"/>
      <color rgb="00111111"/>
      <sz val="12"/>
    </font>
    <font>
      <name val="Arial"/>
      <b val="1"/>
      <color rgb="00FFFFFF"/>
      <sz val="9"/>
    </font>
    <font>
      <name val="Arial"/>
      <color rgb="00111111"/>
      <sz val="10"/>
    </font>
    <font>
      <name val="Arial"/>
      <b val="1"/>
      <color rgb="00111111"/>
      <sz val="10"/>
    </font>
    <font>
      <name val="Arial"/>
      <b val="1"/>
      <color rgb="00FF4F00"/>
      <sz val="9"/>
    </font>
    <font>
      <name val="Arial"/>
      <b val="1"/>
      <color rgb="00111111"/>
      <sz val="11"/>
    </font>
    <font>
      <name val="Arial"/>
      <color rgb="00666666"/>
      <sz val="10"/>
    </font>
  </fonts>
  <fills count="5">
    <fill>
      <patternFill/>
    </fill>
    <fill>
      <patternFill patternType="gray125"/>
    </fill>
    <fill>
      <patternFill patternType="solid">
        <fgColor rgb="00111111"/>
      </patternFill>
    </fill>
    <fill>
      <patternFill patternType="solid">
        <fgColor rgb="00FFE9DF"/>
      </patternFill>
    </fill>
    <fill>
      <patternFill patternType="solid">
        <fgColor rgb="00FAFAFA"/>
      </patternFill>
    </fill>
  </fills>
  <borders count="2">
    <border>
      <left/>
      <right/>
      <top/>
      <bottom/>
      <diagonal/>
    </border>
    <border>
      <bottom style="thin">
        <color rgb="00E4E4E4"/>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applyAlignment="1" pivotButton="0" quotePrefix="0" xfId="0">
      <alignment/>
    </xf>
    <xf numFmtId="0" fontId="5" fillId="2" borderId="0" applyAlignment="1" pivotButton="0" quotePrefix="0" xfId="0">
      <alignment horizontal="left" vertical="center"/>
    </xf>
    <xf numFmtId="0" fontId="6" fillId="0" borderId="1" applyAlignment="1" pivotButton="0" quotePrefix="0" xfId="0">
      <alignment vertical="top"/>
    </xf>
    <xf numFmtId="0" fontId="7" fillId="0" borderId="1" applyAlignment="1" pivotButton="0" quotePrefix="0" xfId="0">
      <alignment horizontal="left" vertical="top"/>
    </xf>
    <xf numFmtId="0" fontId="6" fillId="0" borderId="1" applyAlignment="1" pivotButton="0" quotePrefix="0" xfId="0">
      <alignment horizontal="center" vertical="top"/>
    </xf>
    <xf numFmtId="0" fontId="6" fillId="0" borderId="1" applyAlignment="1" pivotButton="0" quotePrefix="0" xfId="0">
      <alignment vertical="top" wrapText="1"/>
    </xf>
    <xf numFmtId="0" fontId="6" fillId="3" borderId="1" applyAlignment="1" pivotButton="0" quotePrefix="0" xfId="0">
      <alignment vertical="top"/>
    </xf>
    <xf numFmtId="0" fontId="8" fillId="0" borderId="1" applyAlignment="1" pivotButton="0" quotePrefix="0" xfId="0">
      <alignment horizontal="center" vertical="top"/>
    </xf>
    <xf numFmtId="0" fontId="6" fillId="4" borderId="1" applyAlignment="1" pivotButton="0" quotePrefix="0" xfId="0">
      <alignment vertical="top"/>
    </xf>
    <xf numFmtId="0" fontId="7" fillId="4" borderId="1" applyAlignment="1" pivotButton="0" quotePrefix="0" xfId="0">
      <alignment horizontal="left" vertical="top"/>
    </xf>
    <xf numFmtId="0" fontId="6" fillId="4" borderId="1" applyAlignment="1" pivotButton="0" quotePrefix="0" xfId="0">
      <alignment horizontal="center" vertical="top"/>
    </xf>
    <xf numFmtId="0" fontId="6" fillId="4" borderId="1" applyAlignment="1" pivotButton="0" quotePrefix="0" xfId="0">
      <alignment vertical="top" wrapText="1"/>
    </xf>
    <xf numFmtId="0" fontId="8" fillId="4" borderId="1" applyAlignment="1" pivotButton="0" quotePrefix="0" xfId="0">
      <alignment horizontal="center" vertical="top"/>
    </xf>
    <xf numFmtId="0" fontId="3" fillId="0" borderId="0" pivotButton="0" quotePrefix="0" xfId="0"/>
    <xf numFmtId="0" fontId="9" fillId="0" borderId="0" pivotButton="0" quotePrefix="0" xfId="0"/>
    <xf numFmtId="0" fontId="5" fillId="2" borderId="0" pivotButton="0" quotePrefix="0" xfId="0"/>
    <xf numFmtId="0" fontId="6" fillId="0" borderId="0" pivotButton="0" quotePrefix="0" xfId="0"/>
    <xf numFmtId="0" fontId="7"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23"/>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34" customWidth="1" min="3" max="3"/>
    <col width="26" customWidth="1" min="4" max="4"/>
    <col width="7" customWidth="1" min="5" max="5"/>
    <col width="13" customWidth="1" min="6" max="6"/>
    <col width="30" customWidth="1" min="7" max="7"/>
    <col width="30" customWidth="1" min="8" max="8"/>
    <col width="12" customWidth="1" min="9" max="9"/>
    <col width="48" customWidth="1" min="10" max="10"/>
    <col width="12" customWidth="1" min="11" max="11"/>
    <col width="48" customWidth="1" min="12" max="12"/>
    <col width="13" customWidth="1" min="13" max="13"/>
    <col width="48" customWidth="1" min="14" max="14"/>
    <col width="40" customWidth="1" min="15" max="15"/>
    <col width="9" customWidth="1" min="16" max="16"/>
    <col width="14" customWidth="1" min="17" max="17"/>
    <col width="34" customWidth="1" min="18" max="18"/>
    <col width="80" customWidth="1" min="19" max="19"/>
    <col width="15" customWidth="1" min="20" max="20"/>
    <col width="70" customWidth="1" min="21" max="21"/>
    <col width="46" customWidth="1" min="22" max="22"/>
    <col width="42" customWidth="1" min="23" max="23"/>
    <col width="42" customWidth="1" min="24" max="24"/>
    <col width="70" customWidth="1" min="25" max="25"/>
    <col width="18" customWidth="1" min="26" max="26"/>
    <col width="26" customWidth="1" min="27" max="27"/>
    <col width="46" customWidth="1" min="28" max="28"/>
    <col width="32" customWidth="1" min="29" max="29"/>
    <col width="46" customWidth="1" min="30" max="30"/>
  </cols>
  <sheetData>
    <row r="1">
      <c r="A1" s="1" t="inlineStr">
        <is>
          <t>Rolodex · Dallas-Fort Worth · contacts</t>
        </is>
      </c>
    </row>
    <row r="2">
      <c r="A2" s="2" t="inlineStr">
        <is>
          <t>Héctor Ibarzábal · 2026-09-24</t>
        </is>
      </c>
    </row>
    <row r="3">
      <c r="A3" s="2" t="inlineStr">
        <is>
          <t>Rows</t>
        </is>
      </c>
      <c r="B3" s="3">
        <f>COUNTA($A$7:$A$221)</f>
        <v/>
      </c>
      <c r="C3" s="2" t="inlineStr">
        <is>
          <t>LinkedIn held</t>
        </is>
      </c>
      <c r="D3" s="3">
        <f>COUNTIF($Q$7:$Q$221,"ok")</f>
        <v/>
      </c>
      <c r="E3" s="2" t="inlineStr">
        <is>
          <t>Still to add</t>
        </is>
      </c>
      <c r="F3" s="3">
        <f>COUNTIF($Q$7:$Q$221,"ADD LINKEDIN")</f>
        <v/>
      </c>
      <c r="G3" s="2" t="inlineStr">
        <is>
          <t>Holds all three counts</t>
        </is>
      </c>
      <c r="H3" s="3">
        <f>SUMPRODUCT((COUNTIF(OFFSET($B$7,ROW($B$7:$B$221)-ROW($B$7),0,1,1),$B$7:$B$221)&gt;0)*($D$7:$D$221="Holds all three counts")/COUNTIF($B$7:$B$221,$B$7:$B$221&amp;""))</f>
        <v/>
      </c>
      <c r="I3" s="2" t="inlineStr">
        <is>
          <t>Wall deciders</t>
        </is>
      </c>
      <c r="J3" s="3">
        <f>COUNTIF($T$7:$T$221,"YES")</f>
        <v/>
      </c>
    </row>
    <row r="4">
      <c r="A4" s="4" t="inlineStr">
        <is>
          <t>Column P is a LinkedIn people search for that name at that firm. Paste a profile URL into the shaded cell in column O and column Q changes from ADD LINKEDIN to ok. Column T marks the people who can change a wall specification; filter it to YES for the call list. Column U is the evidence behind the name and column V the firm's own page that names them. Columns Z to AB carry the firm's main line, its label and the page it is published on, and columns AC and AD the firm's email and its page. Both are the firm's, not the person's.</t>
        </is>
      </c>
    </row>
    <row r="6" ht="22" customHeight="1">
      <c r="A6" s="5" t="inlineStr">
        <is>
          <t>Name</t>
        </is>
      </c>
      <c r="B6" s="5" t="inlineStr">
        <is>
          <t>Firm</t>
        </is>
      </c>
      <c r="C6" s="5" t="inlineStr">
        <is>
          <t>Title</t>
        </is>
      </c>
      <c r="D6" s="5" t="inlineStr">
        <is>
          <t>Group</t>
        </is>
      </c>
      <c r="E6" s="5" t="inlineStr">
        <is>
          <t>Holds</t>
        </is>
      </c>
      <c r="F6" s="5" t="inlineStr">
        <is>
          <t>Role</t>
        </is>
      </c>
      <c r="G6" s="5" t="inlineStr">
        <is>
          <t>Region</t>
        </is>
      </c>
      <c r="H6" s="5" t="inlineStr">
        <is>
          <t>Headline figure</t>
        </is>
      </c>
      <c r="I6" s="5" t="inlineStr">
        <is>
          <t>Repetition</t>
        </is>
      </c>
      <c r="J6" s="5" t="inlineStr">
        <is>
          <t>Repetition why</t>
        </is>
      </c>
      <c r="K6" s="5" t="inlineStr">
        <is>
          <t>Printer fit</t>
        </is>
      </c>
      <c r="L6" s="5" t="inlineStr">
        <is>
          <t>Printer fit why</t>
        </is>
      </c>
      <c r="M6" s="5" t="inlineStr">
        <is>
          <t>Track record</t>
        </is>
      </c>
      <c r="N6" s="5" t="inlineStr">
        <is>
          <t>Track record why</t>
        </is>
      </c>
      <c r="O6" s="5" t="inlineStr">
        <is>
          <t>LinkedIn URL</t>
        </is>
      </c>
      <c r="P6" s="5" t="inlineStr">
        <is>
          <t>Find</t>
        </is>
      </c>
      <c r="Q6" s="5" t="inlineStr">
        <is>
          <t>Status</t>
        </is>
      </c>
      <c r="R6" s="5" t="inlineStr">
        <is>
          <t>Company URL</t>
        </is>
      </c>
      <c r="S6" s="5" t="inlineStr">
        <is>
          <t>Screen result</t>
        </is>
      </c>
      <c r="T6" s="5" t="inlineStr">
        <is>
          <t>Decides the wall</t>
        </is>
      </c>
      <c r="U6" s="5" t="inlineStr">
        <is>
          <t>How this person was verified</t>
        </is>
      </c>
      <c r="V6" s="5" t="inlineStr">
        <is>
          <t>Firm page for this person</t>
        </is>
      </c>
      <c r="W6" s="5" t="inlineStr">
        <is>
          <t>Company LinkedIn</t>
        </is>
      </c>
      <c r="X6" s="5" t="inlineStr">
        <is>
          <t>Leadership page</t>
        </is>
      </c>
      <c r="Y6" s="5" t="inlineStr">
        <is>
          <t>Latest press</t>
        </is>
      </c>
      <c r="Z6" s="5" t="inlineStr">
        <is>
          <t>Phone</t>
        </is>
      </c>
      <c r="AA6" s="5" t="inlineStr">
        <is>
          <t>Phone label</t>
        </is>
      </c>
      <c r="AB6" s="5" t="inlineStr">
        <is>
          <t>Phone source</t>
        </is>
      </c>
      <c r="AC6" s="5" t="inlineStr">
        <is>
          <t>Email</t>
        </is>
      </c>
      <c r="AD6" s="5" t="inlineStr">
        <is>
          <t>Email source</t>
        </is>
      </c>
    </row>
    <row r="7">
      <c r="A7" s="6" t="inlineStr">
        <is>
          <t>Lance Thrailkill</t>
        </is>
      </c>
      <c r="B7" s="6" t="inlineStr">
        <is>
          <t>PRINT3D Technologies</t>
        </is>
      </c>
      <c r="C7" s="6" t="inlineStr">
        <is>
          <t>Co-founder and CEO</t>
        </is>
      </c>
      <c r="D7" s="7" t="inlineStr">
        <is>
          <t>Already buying printed walls</t>
        </is>
      </c>
      <c r="E7" s="8" t="n">
        <v>3</v>
      </c>
      <c r="F7" s="6" t="inlineStr">
        <is>
          <t>Prints today</t>
        </is>
      </c>
      <c r="G7" s="6" t="inlineStr">
        <is>
          <t>Allen, North Texas</t>
        </is>
      </c>
      <c r="H7" s="6" t="inlineStr">
        <is>
          <t>About seven printed structures by May 2026</t>
        </is>
      </c>
      <c r="I7" s="8" t="inlineStr">
        <is>
          <t>Yes</t>
        </is>
      </c>
      <c r="J7" s="9" t="inlineStr">
        <is>
          <t>Demonstration homes and printer sales repeat one printed-wall method across Texas sites.</t>
        </is>
      </c>
      <c r="K7" s="8" t="inlineStr">
        <is>
          <t>Yes</t>
        </is>
      </c>
      <c r="L7" s="9" t="inlineStr">
        <is>
          <t>About seven structures built by May 2026, per Community Impact, is within what one printer covers, and it runs its own.</t>
        </is>
      </c>
      <c r="M7" s="8" t="inlineStr">
        <is>
          <t>Yes</t>
        </is>
      </c>
      <c r="N7" s="9" t="inlineStr">
        <is>
          <t>Its core business is developing, selling and running concrete 3D wall printing.</t>
        </is>
      </c>
      <c r="O7" s="10" t="inlineStr"/>
      <c r="P7" s="6" t="inlineStr"/>
      <c r="Q7" s="11">
        <f>IF(O7="","ADD LINKEDIN","ok")</f>
        <v/>
      </c>
      <c r="R7" s="6" t="inlineStr">
        <is>
          <t>https://www.print3dtechnologies.com/</t>
        </is>
      </c>
      <c r="S7" s="9" t="inlineStr">
        <is>
          <t>Already prints concrete walls and sells its own printers, and is seeking DFW city and builder partners.</t>
        </is>
      </c>
      <c r="T7" s="6" t="inlineStr">
        <is>
          <t>YES</t>
        </is>
      </c>
      <c r="U7" s="9" t="inlineStr">
        <is>
          <t>Named in Community Impact's May 2026 feature as co-founder, and on related company pages as CEO.</t>
        </is>
      </c>
      <c r="V7" s="6" t="inlineStr">
        <is>
          <t>https://communityimpact.com/allen/real-estate/allen-based-print3d-technologies-brings-3d-printing-innovation-to-homebuilding/</t>
        </is>
      </c>
      <c r="W7" s="6" t="inlineStr">
        <is>
          <t>https://www.linkedin.com/company/print3d-technologies/</t>
        </is>
      </c>
      <c r="X7" s="6" t="inlineStr">
        <is>
          <t>https://www.print3dtechnologies.com/about</t>
        </is>
      </c>
      <c r="Y7" s="6" t="inlineStr">
        <is>
          <t>2026-05 Community Impact (Allen). Allen-based Print3D Technologies brings 3D printing innovation to homebuilding  https://communityimpact.com/allen/real-estate/allen-based-print3d-technologies-brings-3d-printing-innovation-to-homebuilding/</t>
        </is>
      </c>
      <c r="Z7" s="6" t="inlineStr">
        <is>
          <t>(972) 342-7605</t>
        </is>
      </c>
      <c r="AA7" s="6" t="inlineStr">
        <is>
          <t>Main office, Allen</t>
        </is>
      </c>
      <c r="AB7" s="6" t="inlineStr">
        <is>
          <t>https://www.print3dtechnologies.com/</t>
        </is>
      </c>
      <c r="AC7" s="6" t="inlineStr"/>
      <c r="AD7" s="6" t="inlineStr"/>
    </row>
    <row r="8">
      <c r="A8" s="12" t="inlineStr">
        <is>
          <t>Craig Pettit</t>
        </is>
      </c>
      <c r="B8" s="12" t="inlineStr">
        <is>
          <t>PRINT3D Technologies</t>
        </is>
      </c>
      <c r="C8" s="12" t="inlineStr">
        <is>
          <t>Founder and President</t>
        </is>
      </c>
      <c r="D8" s="13" t="inlineStr">
        <is>
          <t>Already buying printed walls</t>
        </is>
      </c>
      <c r="E8" s="14" t="n">
        <v>3</v>
      </c>
      <c r="F8" s="12" t="inlineStr">
        <is>
          <t>Prints today</t>
        </is>
      </c>
      <c r="G8" s="12" t="inlineStr">
        <is>
          <t>Allen, North Texas</t>
        </is>
      </c>
      <c r="H8" s="12" t="inlineStr">
        <is>
          <t>About seven printed structures by May 2026</t>
        </is>
      </c>
      <c r="I8" s="14" t="inlineStr">
        <is>
          <t>Yes</t>
        </is>
      </c>
      <c r="J8" s="15" t="inlineStr">
        <is>
          <t>Demonstration homes and printer sales repeat one printed-wall method across Texas sites.</t>
        </is>
      </c>
      <c r="K8" s="14" t="inlineStr">
        <is>
          <t>Yes</t>
        </is>
      </c>
      <c r="L8" s="15" t="inlineStr">
        <is>
          <t>About seven structures built by May 2026, per Community Impact, is within what one printer covers, and it runs its own.</t>
        </is>
      </c>
      <c r="M8" s="14" t="inlineStr">
        <is>
          <t>Yes</t>
        </is>
      </c>
      <c r="N8" s="15" t="inlineStr">
        <is>
          <t>Its core business is developing, selling and running concrete 3D wall printing.</t>
        </is>
      </c>
      <c r="O8" s="6" t="inlineStr">
        <is>
          <t>https://www.linkedin.com/in/craig-pettit-a1a875320</t>
        </is>
      </c>
      <c r="P8" s="12" t="inlineStr"/>
      <c r="Q8" s="16">
        <f>IF(O8="","ADD LINKEDIN","ok")</f>
        <v/>
      </c>
      <c r="R8" s="12" t="inlineStr">
        <is>
          <t>https://www.print3dtechnologies.com/</t>
        </is>
      </c>
      <c r="S8" s="15" t="inlineStr">
        <is>
          <t>Already prints concrete walls and sells its own printers, and is seeking DFW city and builder partners.</t>
        </is>
      </c>
      <c r="T8" s="12" t="inlineStr">
        <is>
          <t>YES</t>
        </is>
      </c>
      <c r="U8" s="15" t="inlineStr">
        <is>
          <t>Indexed title reads Craig Pettit - President at PRINT3D Technologies Corp. Named on the company's about page as founder and president.</t>
        </is>
      </c>
      <c r="V8" s="12" t="inlineStr">
        <is>
          <t>https://www.print3dtechnologies.com/about</t>
        </is>
      </c>
      <c r="W8" s="12" t="inlineStr">
        <is>
          <t>https://www.linkedin.com/company/print3d-technologies/</t>
        </is>
      </c>
      <c r="X8" s="12" t="inlineStr">
        <is>
          <t>https://www.print3dtechnologies.com/about</t>
        </is>
      </c>
      <c r="Y8" s="12" t="inlineStr">
        <is>
          <t>2026-05 Community Impact (Allen). Allen-based Print3D Technologies brings 3D printing innovation to homebuilding  https://communityimpact.com/allen/real-estate/allen-based-print3d-technologies-brings-3d-printing-innovation-to-homebuilding/</t>
        </is>
      </c>
      <c r="Z8" s="12" t="inlineStr">
        <is>
          <t>(972) 342-7605</t>
        </is>
      </c>
      <c r="AA8" s="12" t="inlineStr">
        <is>
          <t>Main office, Allen</t>
        </is>
      </c>
      <c r="AB8" s="12" t="inlineStr">
        <is>
          <t>https://www.print3dtechnologies.com/</t>
        </is>
      </c>
      <c r="AC8" s="12" t="inlineStr"/>
      <c r="AD8" s="12" t="inlineStr"/>
    </row>
    <row r="9">
      <c r="A9" s="6" t="inlineStr">
        <is>
          <t>Danting Li</t>
        </is>
      </c>
      <c r="B9" s="6" t="inlineStr">
        <is>
          <t>Wan Bridge Group</t>
        </is>
      </c>
      <c r="C9" s="6" t="inlineStr">
        <is>
          <t>Chief Operating Officer and Co-Founder</t>
        </is>
      </c>
      <c r="D9" s="7" t="inlineStr">
        <is>
          <t>Holds all three counts</t>
        </is>
      </c>
      <c r="E9" s="8" t="n">
        <v>3</v>
      </c>
      <c r="F9" s="6" t="inlineStr">
        <is>
          <t>Sells lots</t>
        </is>
      </c>
      <c r="G9" s="6" t="inlineStr">
        <is>
          <t>Dallas office, with communities in Forney, Denton, Crowley and Lewisville</t>
        </is>
      </c>
      <c r="H9" s="6" t="inlineStr">
        <is>
          <t>201 townhomes at Frontera Shores, Lewisville, 2025</t>
        </is>
      </c>
      <c r="I9" s="8" t="inlineStr">
        <is>
          <t>Yes</t>
        </is>
      </c>
      <c r="J9" s="9" t="inlineStr">
        <is>
          <t>Build-to-rent townhome and single-family communities repeated across DFW, in Forney, Denton, Crowley and Lewisville.</t>
        </is>
      </c>
      <c r="K9" s="8" t="inlineStr">
        <is>
          <t>Partly</t>
        </is>
      </c>
      <c r="L9" s="9" t="inlineStr">
        <is>
          <t>More than ten more communities are planned with Centurion, potentially over 1,000 homes. No annual figure is published.</t>
        </is>
      </c>
      <c r="M9" s="8" t="inlineStr">
        <is>
          <t>Yes</t>
        </is>
      </c>
      <c r="N9" s="9" t="inlineStr">
        <is>
          <t>Six years building its own construction software, plus robotic site inspection.</t>
        </is>
      </c>
      <c r="O9" s="10" t="inlineStr"/>
      <c r="P9" s="6" t="inlineStr"/>
      <c r="Q9" s="11">
        <f>IF(O9="","ADD LINKEDIN","ok")</f>
        <v/>
      </c>
      <c r="R9" s="6" t="inlineStr">
        <is>
          <t>https://wanbridge.com/</t>
        </is>
      </c>
      <c r="S9" s="9" t="inlineStr">
        <is>
          <t>Develops and operates its own build-to-rent townhome and single-family communities across DFW.</t>
        </is>
      </c>
      <c r="T9" s="6" t="inlineStr">
        <is>
          <t>YES</t>
        </is>
      </c>
      <c r="U9" s="9" t="inlineStr">
        <is>
          <t>Listed on the firm's leadership page as COO and Co-Founder.</t>
        </is>
      </c>
      <c r="V9" s="6" t="inlineStr">
        <is>
          <t>https://wanbridge.com/leadership/</t>
        </is>
      </c>
      <c r="W9" s="6" t="inlineStr">
        <is>
          <t>https://www.linkedin.com/company/wan-bridge-group/</t>
        </is>
      </c>
      <c r="X9" s="6" t="inlineStr"/>
      <c r="Y9" s="6" t="inlineStr"/>
      <c r="Z9" s="6" t="inlineStr">
        <is>
          <t>(713) 219-9400</t>
        </is>
      </c>
      <c r="AA9" s="6" t="inlineStr">
        <is>
          <t>Corporate line</t>
        </is>
      </c>
      <c r="AB9" s="6" t="inlineStr">
        <is>
          <t>https://wanbridge.com/contact/</t>
        </is>
      </c>
      <c r="AC9" s="6" t="inlineStr"/>
      <c r="AD9" s="6" t="inlineStr"/>
    </row>
    <row r="10">
      <c r="A10" s="12" t="inlineStr">
        <is>
          <t>Keith Clipp</t>
        </is>
      </c>
      <c r="B10" s="12" t="inlineStr">
        <is>
          <t>Wan Bridge Group</t>
        </is>
      </c>
      <c r="C10" s="12" t="inlineStr">
        <is>
          <t>Executive Vice President, Development and Operations</t>
        </is>
      </c>
      <c r="D10" s="13" t="inlineStr">
        <is>
          <t>Holds all three counts</t>
        </is>
      </c>
      <c r="E10" s="14" t="n">
        <v>3</v>
      </c>
      <c r="F10" s="12" t="inlineStr">
        <is>
          <t>Sells lots</t>
        </is>
      </c>
      <c r="G10" s="12" t="inlineStr">
        <is>
          <t>Dallas office, with communities in Forney, Denton, Crowley and Lewisville</t>
        </is>
      </c>
      <c r="H10" s="12" t="inlineStr">
        <is>
          <t>201 townhomes at Frontera Shores, Lewisville, 2025</t>
        </is>
      </c>
      <c r="I10" s="14" t="inlineStr">
        <is>
          <t>Yes</t>
        </is>
      </c>
      <c r="J10" s="15" t="inlineStr">
        <is>
          <t>Build-to-rent townhome and single-family communities repeated across DFW, in Forney, Denton, Crowley and Lewisville.</t>
        </is>
      </c>
      <c r="K10" s="14" t="inlineStr">
        <is>
          <t>Partly</t>
        </is>
      </c>
      <c r="L10" s="15" t="inlineStr">
        <is>
          <t>More than ten more communities are planned with Centurion, potentially over 1,000 homes. No annual figure is published.</t>
        </is>
      </c>
      <c r="M10" s="14" t="inlineStr">
        <is>
          <t>Yes</t>
        </is>
      </c>
      <c r="N10" s="15" t="inlineStr">
        <is>
          <t>Six years building its own construction software, plus robotic site inspection.</t>
        </is>
      </c>
      <c r="O10" s="10" t="inlineStr"/>
      <c r="P10" s="12" t="inlineStr"/>
      <c r="Q10" s="16">
        <f>IF(O10="","ADD LINKEDIN","ok")</f>
        <v/>
      </c>
      <c r="R10" s="12" t="inlineStr">
        <is>
          <t>https://wanbridge.com/</t>
        </is>
      </c>
      <c r="S10" s="15" t="inlineStr">
        <is>
          <t>Develops and operates its own build-to-rent townhome and single-family communities across DFW.</t>
        </is>
      </c>
      <c r="T10" s="12" t="inlineStr">
        <is>
          <t>YES</t>
        </is>
      </c>
      <c r="U10" s="15" t="inlineStr">
        <is>
          <t>Listed on the firm's leadership page as EVP Development and Operations.</t>
        </is>
      </c>
      <c r="V10" s="12" t="inlineStr">
        <is>
          <t>https://wanbridge.com/leadership/</t>
        </is>
      </c>
      <c r="W10" s="12" t="inlineStr">
        <is>
          <t>https://www.linkedin.com/company/wan-bridge-group/</t>
        </is>
      </c>
      <c r="X10" s="12" t="inlineStr"/>
      <c r="Y10" s="12" t="inlineStr"/>
      <c r="Z10" s="12" t="inlineStr">
        <is>
          <t>(713) 219-9400</t>
        </is>
      </c>
      <c r="AA10" s="12" t="inlineStr">
        <is>
          <t>Corporate line</t>
        </is>
      </c>
      <c r="AB10" s="12" t="inlineStr">
        <is>
          <t>https://wanbridge.com/contact/</t>
        </is>
      </c>
      <c r="AC10" s="12" t="inlineStr"/>
      <c r="AD10" s="12" t="inlineStr"/>
    </row>
    <row r="11">
      <c r="A11" s="6" t="inlineStr">
        <is>
          <t>Ting Qiao</t>
        </is>
      </c>
      <c r="B11" s="6" t="inlineStr">
        <is>
          <t>Wan Bridge Group</t>
        </is>
      </c>
      <c r="C11" s="6" t="inlineStr">
        <is>
          <t>Co-Founder</t>
        </is>
      </c>
      <c r="D11" s="7" t="inlineStr">
        <is>
          <t>Holds all three counts</t>
        </is>
      </c>
      <c r="E11" s="8" t="n">
        <v>3</v>
      </c>
      <c r="F11" s="6" t="inlineStr">
        <is>
          <t>Sells lots</t>
        </is>
      </c>
      <c r="G11" s="6" t="inlineStr">
        <is>
          <t>Dallas office, with communities in Forney, Denton, Crowley and Lewisville</t>
        </is>
      </c>
      <c r="H11" s="6" t="inlineStr">
        <is>
          <t>201 townhomes at Frontera Shores, Lewisville, 2025</t>
        </is>
      </c>
      <c r="I11" s="8" t="inlineStr">
        <is>
          <t>Yes</t>
        </is>
      </c>
      <c r="J11" s="9" t="inlineStr">
        <is>
          <t>Build-to-rent townhome and single-family communities repeated across DFW, in Forney, Denton, Crowley and Lewisville.</t>
        </is>
      </c>
      <c r="K11" s="8" t="inlineStr">
        <is>
          <t>Partly</t>
        </is>
      </c>
      <c r="L11" s="9" t="inlineStr">
        <is>
          <t>More than ten more communities are planned with Centurion, potentially over 1,000 homes. No annual figure is published.</t>
        </is>
      </c>
      <c r="M11" s="8" t="inlineStr">
        <is>
          <t>Yes</t>
        </is>
      </c>
      <c r="N11" s="9" t="inlineStr">
        <is>
          <t>Six years building its own construction software, plus robotic site inspection.</t>
        </is>
      </c>
      <c r="O11" s="10" t="inlineStr"/>
      <c r="P11" s="6" t="inlineStr"/>
      <c r="Q11" s="11">
        <f>IF(O11="","ADD LINKEDIN","ok")</f>
        <v/>
      </c>
      <c r="R11" s="6" t="inlineStr">
        <is>
          <t>https://wanbridge.com/</t>
        </is>
      </c>
      <c r="S11" s="9" t="inlineStr">
        <is>
          <t>Develops and operates its own build-to-rent townhome and single-family communities across DFW.</t>
        </is>
      </c>
      <c r="T11" s="6" t="inlineStr"/>
      <c r="U11" s="9" t="inlineStr">
        <is>
          <t>Listed on the firm's leadership page as Co-Founder.</t>
        </is>
      </c>
      <c r="V11" s="6" t="inlineStr">
        <is>
          <t>https://wanbridge.com/leadership/</t>
        </is>
      </c>
      <c r="W11" s="6" t="inlineStr">
        <is>
          <t>https://www.linkedin.com/company/wan-bridge-group/</t>
        </is>
      </c>
      <c r="X11" s="6" t="inlineStr"/>
      <c r="Y11" s="6" t="inlineStr"/>
      <c r="Z11" s="6" t="inlineStr">
        <is>
          <t>(713) 219-9400</t>
        </is>
      </c>
      <c r="AA11" s="6" t="inlineStr">
        <is>
          <t>Corporate line</t>
        </is>
      </c>
      <c r="AB11" s="6" t="inlineStr">
        <is>
          <t>https://wanbridge.com/contact/</t>
        </is>
      </c>
      <c r="AC11" s="6" t="inlineStr"/>
      <c r="AD11" s="6" t="inlineStr"/>
    </row>
    <row r="12">
      <c r="A12" s="12" t="inlineStr">
        <is>
          <t>Chris Wicker</t>
        </is>
      </c>
      <c r="B12" s="12" t="inlineStr">
        <is>
          <t>Trophy Signature Homes</t>
        </is>
      </c>
      <c r="C12" s="12" t="inlineStr">
        <is>
          <t>President, Trophy Signature Homes Dallas</t>
        </is>
      </c>
      <c r="D12" s="13" t="inlineStr">
        <is>
          <t>Holds all three counts</t>
        </is>
      </c>
      <c r="E12" s="14" t="n">
        <v>3</v>
      </c>
      <c r="F12" s="12" t="inlineStr">
        <is>
          <t>Buys walls</t>
        </is>
      </c>
      <c r="G12" s="12" t="inlineStr">
        <is>
          <t>Dallas-Fort Worth, with Austin and Houston added</t>
        </is>
      </c>
      <c r="H12" s="12" t="inlineStr">
        <is>
          <t>Parent Green Brick: 2,899 DFW closings in 2024</t>
        </is>
      </c>
      <c r="I12" s="14" t="inlineStr">
        <is>
          <t>Yes</t>
        </is>
      </c>
      <c r="J12" s="15" t="inlineStr">
        <is>
          <t>Entry-level and move-up single-family plans sold under one brand across Dallas-Fort Worth, with Austin and Houston added.</t>
        </is>
      </c>
      <c r="K12" s="14" t="inlineStr">
        <is>
          <t>Partly</t>
        </is>
      </c>
      <c r="L12" s="15" t="inlineStr">
        <is>
          <t>No closing figure is published for the brand alone, and land and purchasing sit at the parent, Green Brick.</t>
        </is>
      </c>
      <c r="M12" s="14" t="inlineStr">
        <is>
          <t>Partly</t>
        </is>
      </c>
      <c r="N12" s="15" t="inlineStr">
        <is>
          <t>Green Brick's Q1 2026 earnings call put Trophy's average Dallas-Fort Worth cycle time under 90 days, the lowest in the brand's history. That is published cycle-time discipline, not a new wall method.</t>
        </is>
      </c>
      <c r="O12" s="6" t="inlineStr">
        <is>
          <t>https://www.linkedin.com/in/chris-wicker-08776a66/</t>
        </is>
      </c>
      <c r="P12" s="12" t="inlineStr"/>
      <c r="Q12" s="16">
        <f>IF(O12="","ADD LINKEDIN","ok")</f>
        <v/>
      </c>
      <c r="R12" s="12" t="inlineStr">
        <is>
          <t>https://trophysignaturehomes.com/</t>
        </is>
      </c>
      <c r="S12" s="15" t="inlineStr">
        <is>
          <t>Green Brick's Q1 2026 earnings call put Trophy's Dallas-Fort Worth cycle time under 90 days. Land and purchasing sit at the parent.</t>
        </is>
      </c>
      <c r="T12" s="12" t="inlineStr">
        <is>
          <t>YES</t>
        </is>
      </c>
      <c r="U12" s="15" t="inlineStr">
        <is>
          <t>Indexed title reads Chris Wicker - Trophy Signature Homes. Named on Green Brick's own leadership page as a division president, and on his team page as promoted in December 2024.</t>
        </is>
      </c>
      <c r="V12" s="12" t="inlineStr">
        <is>
          <t>https://greenbrickpartners.com/leadership/</t>
        </is>
      </c>
      <c r="W12" s="12" t="inlineStr">
        <is>
          <t>https://www.linkedin.com/company/trophysignaturehomes/</t>
        </is>
      </c>
      <c r="X12" s="12" t="inlineStr">
        <is>
          <t>https://greenbrickpartners.com/team-member/chris-wicker/</t>
        </is>
      </c>
      <c r="Y12" s="12" t="inlineStr"/>
      <c r="Z12" s="12" t="inlineStr">
        <is>
          <t>(469) 573-6721</t>
        </is>
      </c>
      <c r="AA12" s="12" t="inlineStr">
        <is>
          <t>Green Brick Partners corporate office, Plano</t>
        </is>
      </c>
      <c r="AB12" s="12" t="inlineStr">
        <is>
          <t>https://greenbrickpartners.com/about/</t>
        </is>
      </c>
      <c r="AC12" s="12" t="inlineStr"/>
      <c r="AD12" s="12" t="inlineStr"/>
    </row>
    <row r="13">
      <c r="A13" s="6" t="inlineStr">
        <is>
          <t>Jed Dolson</t>
        </is>
      </c>
      <c r="B13" s="6" t="inlineStr">
        <is>
          <t>Trophy Signature Homes</t>
        </is>
      </c>
      <c r="C13" s="6" t="inlineStr">
        <is>
          <t>President and Chief Operating Officer, Green Brick Partners</t>
        </is>
      </c>
      <c r="D13" s="7" t="inlineStr">
        <is>
          <t>Holds all three counts</t>
        </is>
      </c>
      <c r="E13" s="8" t="n">
        <v>3</v>
      </c>
      <c r="F13" s="6" t="inlineStr">
        <is>
          <t>Buys walls</t>
        </is>
      </c>
      <c r="G13" s="6" t="inlineStr">
        <is>
          <t>Dallas-Fort Worth, with Austin and Houston added</t>
        </is>
      </c>
      <c r="H13" s="6" t="inlineStr">
        <is>
          <t>Parent Green Brick: 2,899 DFW closings in 2024</t>
        </is>
      </c>
      <c r="I13" s="8" t="inlineStr">
        <is>
          <t>Yes</t>
        </is>
      </c>
      <c r="J13" s="9" t="inlineStr">
        <is>
          <t>Entry-level and move-up single-family plans sold under one brand across Dallas-Fort Worth, with Austin and Houston added.</t>
        </is>
      </c>
      <c r="K13" s="8" t="inlineStr">
        <is>
          <t>Partly</t>
        </is>
      </c>
      <c r="L13" s="9" t="inlineStr">
        <is>
          <t>No closing figure is published for the brand alone, and land and purchasing sit at the parent, Green Brick.</t>
        </is>
      </c>
      <c r="M13" s="8" t="inlineStr">
        <is>
          <t>Partly</t>
        </is>
      </c>
      <c r="N13" s="9" t="inlineStr">
        <is>
          <t>Green Brick's Q1 2026 earnings call put Trophy's average Dallas-Fort Worth cycle time under 90 days, the lowest in the brand's history. That is published cycle-time discipline, not a new wall method.</t>
        </is>
      </c>
      <c r="O13" s="6" t="inlineStr">
        <is>
          <t>https://www.linkedin.com/in/jed-dolson/</t>
        </is>
      </c>
      <c r="P13" s="6" t="inlineStr"/>
      <c r="Q13" s="11">
        <f>IF(O13="","ADD LINKEDIN","ok")</f>
        <v/>
      </c>
      <c r="R13" s="6" t="inlineStr">
        <is>
          <t>https://trophysignaturehomes.com/</t>
        </is>
      </c>
      <c r="S13" s="9" t="inlineStr">
        <is>
          <t>Green Brick's Q1 2026 earnings call put Trophy's Dallas-Fort Worth cycle time under 90 days. Land and purchasing sit at the parent.</t>
        </is>
      </c>
      <c r="T13" s="6" t="inlineStr"/>
      <c r="U13" s="9" t="inlineStr">
        <is>
          <t>Indexed title reads Jed Dolson - Chief Operating Officer and Executive Vice President - Green Brick Partners, Inc. Named on Green Brick's leadership page as President and Chief Operating Officer, previously President of the Texas region over the DFW brands.</t>
        </is>
      </c>
      <c r="V13" s="6" t="inlineStr">
        <is>
          <t>https://greenbrickpartners.com/leadership/</t>
        </is>
      </c>
      <c r="W13" s="6" t="inlineStr">
        <is>
          <t>https://www.linkedin.com/company/trophysignaturehomes/</t>
        </is>
      </c>
      <c r="X13" s="6" t="inlineStr">
        <is>
          <t>https://greenbrickpartners.com/team-member/chris-wicker/</t>
        </is>
      </c>
      <c r="Y13" s="6" t="inlineStr"/>
      <c r="Z13" s="6" t="inlineStr">
        <is>
          <t>(469) 573-6721</t>
        </is>
      </c>
      <c r="AA13" s="6" t="inlineStr">
        <is>
          <t>Green Brick Partners corporate office, Plano</t>
        </is>
      </c>
      <c r="AB13" s="6" t="inlineStr">
        <is>
          <t>https://greenbrickpartners.com/about/</t>
        </is>
      </c>
      <c r="AC13" s="6" t="inlineStr"/>
      <c r="AD13" s="6" t="inlineStr"/>
    </row>
    <row r="14">
      <c r="A14" s="12" t="inlineStr">
        <is>
          <t>Kevin Egan</t>
        </is>
      </c>
      <c r="B14" s="12" t="inlineStr">
        <is>
          <t>American Legend Homes</t>
        </is>
      </c>
      <c r="C14" s="12" t="inlineStr">
        <is>
          <t>Chief Executive Officer</t>
        </is>
      </c>
      <c r="D14" s="13" t="inlineStr">
        <is>
          <t>Holds all three counts</t>
        </is>
      </c>
      <c r="E14" s="14" t="n">
        <v>3</v>
      </c>
      <c r="F14" s="12" t="inlineStr">
        <is>
          <t>Buys walls</t>
        </is>
      </c>
      <c r="G14" s="12" t="inlineStr">
        <is>
          <t>Lewisville, with communities across DFW and in Colorado</t>
        </is>
      </c>
      <c r="H14" s="12" t="inlineStr">
        <is>
          <t>636 company-wide closings in 2025, 87th on Builder 100</t>
        </is>
      </c>
      <c r="I14" s="14" t="inlineStr">
        <is>
          <t>Yes</t>
        </is>
      </c>
      <c r="J14" s="15" t="inlineStr">
        <is>
          <t>Production plans across DFW and Colorado communities, with places on published masterplan builder rosters such as Ramble.</t>
        </is>
      </c>
      <c r="K14" s="14" t="inlineStr">
        <is>
          <t>Partly</t>
        </is>
      </c>
      <c r="L14" s="15" t="inlineStr">
        <is>
          <t>636 closings company-wide in 2025, across Texas and Colorado, sits in the 400 to 1,500 band. No DFW-only figure is published.</t>
        </is>
      </c>
      <c r="M14" s="14" t="inlineStr">
        <is>
          <t>Partly</t>
        </is>
      </c>
      <c r="N14" s="15" t="inlineStr">
        <is>
          <t>Its Texas energy-efficiency page says every home is third-party HERS-rated, with Low-E argon windows, TechShield radiant barrier, 16 SEER systems and tankless water heaters. That is paid above-code performance, not a new wall method.</t>
        </is>
      </c>
      <c r="O14" s="10" t="inlineStr"/>
      <c r="P14" s="12" t="inlineStr"/>
      <c r="Q14" s="16">
        <f>IF(O14="","ADD LINKEDIN","ok")</f>
        <v/>
      </c>
      <c r="R14" s="12" t="inlineStr">
        <is>
          <t>https://www.amlegendhomes.com/</t>
        </is>
      </c>
      <c r="S14" s="15" t="inlineStr">
        <is>
          <t>Every home is HERS-rated by an independent energy rater, with a published high-performance envelope package.</t>
        </is>
      </c>
      <c r="T14" s="12" t="inlineStr">
        <is>
          <t>YES</t>
        </is>
      </c>
      <c r="U14" s="15" t="inlineStr">
        <is>
          <t>Named Chief Executive Officer in a December 14, 2022 post on the firm's blog, after serving as President and Chief Operating Officer since 2010.</t>
        </is>
      </c>
      <c r="V14" s="12" t="inlineStr">
        <is>
          <t>https://www.amlegendhomes.com/blog/american-legend-homes-announces-new-ceo-and-leadership-team</t>
        </is>
      </c>
      <c r="W14" s="12" t="inlineStr">
        <is>
          <t>https://www.linkedin.com/company/american-legend-homes/</t>
        </is>
      </c>
      <c r="X14" s="12" t="inlineStr">
        <is>
          <t>https://www.amlegendhomes.com/blog/american-legend-homes-announces-new-ceo-and-leadership-team</t>
        </is>
      </c>
      <c r="Y14" s="12" t="inlineStr"/>
      <c r="Z14" s="12" t="inlineStr">
        <is>
          <t>(972) 410-5701</t>
        </is>
      </c>
      <c r="AA14" s="12" t="inlineStr">
        <is>
          <t>Texas corporate office</t>
        </is>
      </c>
      <c r="AB14" s="12" t="inlineStr">
        <is>
          <t>https://www.amlegendhomes.com/</t>
        </is>
      </c>
      <c r="AC14" s="12" t="inlineStr"/>
      <c r="AD14" s="12" t="inlineStr"/>
    </row>
    <row r="15">
      <c r="A15" s="6" t="inlineStr">
        <is>
          <t>Paul Miller</t>
        </is>
      </c>
      <c r="B15" s="6" t="inlineStr">
        <is>
          <t>American Legend Homes</t>
        </is>
      </c>
      <c r="C15" s="6" t="inlineStr">
        <is>
          <t>President and Chief Operating Officer</t>
        </is>
      </c>
      <c r="D15" s="7" t="inlineStr">
        <is>
          <t>Holds all three counts</t>
        </is>
      </c>
      <c r="E15" s="8" t="n">
        <v>3</v>
      </c>
      <c r="F15" s="6" t="inlineStr">
        <is>
          <t>Buys walls</t>
        </is>
      </c>
      <c r="G15" s="6" t="inlineStr">
        <is>
          <t>Lewisville, with communities across DFW and in Colorado</t>
        </is>
      </c>
      <c r="H15" s="6" t="inlineStr">
        <is>
          <t>636 company-wide closings in 2025, 87th on Builder 100</t>
        </is>
      </c>
      <c r="I15" s="8" t="inlineStr">
        <is>
          <t>Yes</t>
        </is>
      </c>
      <c r="J15" s="9" t="inlineStr">
        <is>
          <t>Production plans across DFW and Colorado communities, with places on published masterplan builder rosters such as Ramble.</t>
        </is>
      </c>
      <c r="K15" s="8" t="inlineStr">
        <is>
          <t>Partly</t>
        </is>
      </c>
      <c r="L15" s="9" t="inlineStr">
        <is>
          <t>636 closings company-wide in 2025, across Texas and Colorado, sits in the 400 to 1,500 band. No DFW-only figure is published.</t>
        </is>
      </c>
      <c r="M15" s="8" t="inlineStr">
        <is>
          <t>Partly</t>
        </is>
      </c>
      <c r="N15" s="9" t="inlineStr">
        <is>
          <t>Its Texas energy-efficiency page says every home is third-party HERS-rated, with Low-E argon windows, TechShield radiant barrier, 16 SEER systems and tankless water heaters. That is paid above-code performance, not a new wall method.</t>
        </is>
      </c>
      <c r="O15" s="10" t="inlineStr"/>
      <c r="P15" s="6" t="inlineStr"/>
      <c r="Q15" s="11">
        <f>IF(O15="","ADD LINKEDIN","ok")</f>
        <v/>
      </c>
      <c r="R15" s="6" t="inlineStr">
        <is>
          <t>https://www.amlegendhomes.com/</t>
        </is>
      </c>
      <c r="S15" s="9" t="inlineStr">
        <is>
          <t>Every home is HERS-rated by an independent energy rater, with a published high-performance envelope package.</t>
        </is>
      </c>
      <c r="T15" s="6" t="inlineStr">
        <is>
          <t>YES</t>
        </is>
      </c>
      <c r="U15" s="9" t="inlineStr">
        <is>
          <t>Named President and Chief Operating Officer in the same December 14, 2022 post on the firm's blog.</t>
        </is>
      </c>
      <c r="V15" s="6" t="inlineStr">
        <is>
          <t>https://www.amlegendhomes.com/blog/american-legend-homes-announces-new-ceo-and-leadership-team</t>
        </is>
      </c>
      <c r="W15" s="6" t="inlineStr">
        <is>
          <t>https://www.linkedin.com/company/american-legend-homes/</t>
        </is>
      </c>
      <c r="X15" s="6" t="inlineStr">
        <is>
          <t>https://www.amlegendhomes.com/blog/american-legend-homes-announces-new-ceo-and-leadership-team</t>
        </is>
      </c>
      <c r="Y15" s="6" t="inlineStr"/>
      <c r="Z15" s="6" t="inlineStr">
        <is>
          <t>(972) 410-5701</t>
        </is>
      </c>
      <c r="AA15" s="6" t="inlineStr">
        <is>
          <t>Texas corporate office</t>
        </is>
      </c>
      <c r="AB15" s="6" t="inlineStr">
        <is>
          <t>https://www.amlegendhomes.com/</t>
        </is>
      </c>
      <c r="AC15" s="6" t="inlineStr"/>
      <c r="AD15" s="6" t="inlineStr"/>
    </row>
    <row r="16">
      <c r="A16" s="12" t="inlineStr">
        <is>
          <t>Stephen H. Brooks</t>
        </is>
      </c>
      <c r="B16" s="12" t="inlineStr">
        <is>
          <t>Grand Homes</t>
        </is>
      </c>
      <c r="C16" s="12" t="inlineStr">
        <is>
          <t>Founder</t>
        </is>
      </c>
      <c r="D16" s="13" t="inlineStr">
        <is>
          <t>Holds all three counts</t>
        </is>
      </c>
      <c r="E16" s="14" t="n">
        <v>3</v>
      </c>
      <c r="F16" s="12" t="inlineStr">
        <is>
          <t>Buys walls</t>
        </is>
      </c>
      <c r="G16" s="12" t="inlineStr">
        <is>
          <t>Addison, building only in the Dallas/Fort Worth Metroplex</t>
        </is>
      </c>
      <c r="H16" s="12" t="inlineStr">
        <is>
          <t>Over 400 homes a year, DFW only, own count</t>
        </is>
      </c>
      <c r="I16" s="14" t="inlineStr">
        <is>
          <t>Yes</t>
        </is>
      </c>
      <c r="J16" s="15" t="inlineStr">
        <is>
          <t>Semi-custom production plans built only inside the DFW Metroplex, in 30 to 35 communities by its own about page.</t>
        </is>
      </c>
      <c r="K16" s="14" t="inlineStr">
        <is>
          <t>Partly</t>
        </is>
      </c>
      <c r="L16" s="15" t="inlineStr">
        <is>
          <t>Over 400 homes a year by its own count is at the top edge of the 25 to 400 band, not inside it. The homes spread across 30 to 35 communities.</t>
        </is>
      </c>
      <c r="M16" s="14" t="inlineStr">
        <is>
          <t>Partly</t>
        </is>
      </c>
      <c r="N16" s="15" t="inlineStr">
        <is>
          <t>Every home is certified ENERGY STAR with 2x6 exterior walls, per its energy page. That is paid above-code performance, with nothing structural.</t>
        </is>
      </c>
      <c r="O16" s="6" t="inlineStr">
        <is>
          <t>https://www.linkedin.com/in/stephen-brooks-6a058412/</t>
        </is>
      </c>
      <c r="P16" s="12" t="inlineStr"/>
      <c r="Q16" s="16">
        <f>IF(O16="","ADD LINKEDIN","ok")</f>
        <v/>
      </c>
      <c r="R16" s="12" t="inlineStr">
        <is>
          <t>https://www.grandhomes.com/</t>
        </is>
      </c>
      <c r="S16" s="15" t="inlineStr">
        <is>
          <t>Builds only in the Dallas/Fort Worth Metroplex, and certifies every home ENERGY STAR with 2x6 exterior walls.</t>
        </is>
      </c>
      <c r="T16" s="12" t="inlineStr">
        <is>
          <t>YES</t>
        </is>
      </c>
      <c r="U16" s="15" t="inlineStr">
        <is>
          <t>Indexed title reads Stephen Brooks - Grand Homes. Named on the firm's about page as the founder who established Grand Homes in 1986.</t>
        </is>
      </c>
      <c r="V16" s="12" t="inlineStr">
        <is>
          <t>https://www.grandhomes.com/index.cfm?p=about_us</t>
        </is>
      </c>
      <c r="W16" s="12" t="inlineStr">
        <is>
          <t>https://www.linkedin.com/company/grand-homes/</t>
        </is>
      </c>
      <c r="X16" s="12" t="inlineStr">
        <is>
          <t>https://www.grandhomes.com/index.cfm?p=about_us</t>
        </is>
      </c>
      <c r="Y16" s="12" t="inlineStr"/>
      <c r="Z16" s="12" t="inlineStr">
        <is>
          <t>(972) 387-6087</t>
        </is>
      </c>
      <c r="AA16" s="12" t="inlineStr">
        <is>
          <t>General Questions line, Addison office</t>
        </is>
      </c>
      <c r="AB16" s="12" t="inlineStr">
        <is>
          <t>https://www.grandhomes.com/blog/</t>
        </is>
      </c>
      <c r="AC16" s="12" t="inlineStr"/>
      <c r="AD16" s="12" t="inlineStr"/>
    </row>
    <row r="17">
      <c r="A17" s="6" t="inlineStr">
        <is>
          <t>Zac Thompson</t>
        </is>
      </c>
      <c r="B17" s="6" t="inlineStr">
        <is>
          <t>HistoryMaker Homes</t>
        </is>
      </c>
      <c r="C17" s="6" t="inlineStr">
        <is>
          <t>President</t>
        </is>
      </c>
      <c r="D17" s="7" t="inlineStr">
        <is>
          <t>Holds all three counts</t>
        </is>
      </c>
      <c r="E17" s="8" t="n">
        <v>3</v>
      </c>
      <c r="F17" s="6" t="inlineStr">
        <is>
          <t>Buys walls</t>
        </is>
      </c>
      <c r="G17" s="6" t="inlineStr">
        <is>
          <t>Grapevine roots, with communities across DFW</t>
        </is>
      </c>
      <c r="H17" s="6" t="inlineStr">
        <is>
          <t>728 company-wide closings in 2025, 77th on Builder 100</t>
        </is>
      </c>
      <c r="I17" s="8" t="inlineStr">
        <is>
          <t>Yes</t>
        </is>
      </c>
      <c r="J17" s="9" t="inlineStr">
        <is>
          <t>A production plan library sold across 24 DFW communities, by its own homepage count.</t>
        </is>
      </c>
      <c r="K17" s="8" t="inlineStr">
        <is>
          <t>Partly</t>
        </is>
      </c>
      <c r="L17" s="9" t="inlineStr">
        <is>
          <t>728 closings company-wide in 2025 sits in the 400 to 1,500 band. No DFW-only figure is published.</t>
        </is>
      </c>
      <c r="M17" s="8" t="inlineStr">
        <is>
          <t>Partly</t>
        </is>
      </c>
      <c r="N17" s="9" t="inlineStr">
        <is>
          <t>A 2024 Construction In Focus profile says some structural elements are built off-site, alongside Energy Star appliances. That is an off-site habit, not a new wall system.</t>
        </is>
      </c>
      <c r="O17" s="6" t="inlineStr">
        <is>
          <t>https://www.linkedin.com/in/zac-thompson-09260044/</t>
        </is>
      </c>
      <c r="P17" s="6" t="inlineStr"/>
      <c r="Q17" s="11">
        <f>IF(O17="","ADD LINKEDIN","ok")</f>
        <v/>
      </c>
      <c r="R17" s="6" t="inlineStr">
        <is>
          <t>https://www.historymaker.com/</t>
        </is>
      </c>
      <c r="S17" s="9" t="inlineStr">
        <is>
          <t>A family builder since 1949 that already builds some structural elements off-site, per a 2024 trade profile.</t>
        </is>
      </c>
      <c r="T17" s="6" t="inlineStr">
        <is>
          <t>YES</t>
        </is>
      </c>
      <c r="U17" s="9" t="inlineStr">
        <is>
          <t>Indexed title reads Zac Thompson - President, HistoryMaker Homes. Named on the firm's Our Legacy page as President from January 1, 2024.</t>
        </is>
      </c>
      <c r="V17" s="6" t="inlineStr">
        <is>
          <t>https://www.historymaker.com/our-legacy</t>
        </is>
      </c>
      <c r="W17" s="6" t="inlineStr">
        <is>
          <t>https://www.linkedin.com/company/history-maker-homes/</t>
        </is>
      </c>
      <c r="X17" s="6" t="inlineStr">
        <is>
          <t>https://www.historymaker.com/our-legacy</t>
        </is>
      </c>
      <c r="Y17" s="6" t="inlineStr">
        <is>
          <t>2023-07-31 HistoryMaker Homes. HistoryMaker Homes Announces Retirement of Company President And Successor  https://www.historymaker.com/blog/historymaker-homes-announces-retirement-of-company-president-and-successor/</t>
        </is>
      </c>
      <c r="Z17" s="6" t="inlineStr">
        <is>
          <t>(833) 711-1949</t>
        </is>
      </c>
      <c r="AA17" s="6" t="inlineStr">
        <is>
          <t>Main line</t>
        </is>
      </c>
      <c r="AB17" s="6" t="inlineStr">
        <is>
          <t>https://www.historymaker.com/contact-us</t>
        </is>
      </c>
      <c r="AC17" s="6" t="inlineStr"/>
      <c r="AD17" s="6" t="inlineStr"/>
    </row>
    <row r="18">
      <c r="A18" s="12" t="inlineStr">
        <is>
          <t>Nelson Mitchell</t>
        </is>
      </c>
      <c r="B18" s="12" t="inlineStr">
        <is>
          <t>HistoryMaker Homes</t>
        </is>
      </c>
      <c r="C18" s="12" t="inlineStr">
        <is>
          <t>Chief Executive Officer</t>
        </is>
      </c>
      <c r="D18" s="13" t="inlineStr">
        <is>
          <t>Holds all three counts</t>
        </is>
      </c>
      <c r="E18" s="14" t="n">
        <v>3</v>
      </c>
      <c r="F18" s="12" t="inlineStr">
        <is>
          <t>Buys walls</t>
        </is>
      </c>
      <c r="G18" s="12" t="inlineStr">
        <is>
          <t>Grapevine roots, with communities across DFW</t>
        </is>
      </c>
      <c r="H18" s="12" t="inlineStr">
        <is>
          <t>728 company-wide closings in 2025, 77th on Builder 100</t>
        </is>
      </c>
      <c r="I18" s="14" t="inlineStr">
        <is>
          <t>Yes</t>
        </is>
      </c>
      <c r="J18" s="15" t="inlineStr">
        <is>
          <t>A production plan library sold across 24 DFW communities, by its own homepage count.</t>
        </is>
      </c>
      <c r="K18" s="14" t="inlineStr">
        <is>
          <t>Partly</t>
        </is>
      </c>
      <c r="L18" s="15" t="inlineStr">
        <is>
          <t>728 closings company-wide in 2025 sits in the 400 to 1,500 band. No DFW-only figure is published.</t>
        </is>
      </c>
      <c r="M18" s="14" t="inlineStr">
        <is>
          <t>Partly</t>
        </is>
      </c>
      <c r="N18" s="15" t="inlineStr">
        <is>
          <t>A 2024 Construction In Focus profile says some structural elements are built off-site, alongside Energy Star appliances. That is an off-site habit, not a new wall system.</t>
        </is>
      </c>
      <c r="O18" s="10" t="inlineStr"/>
      <c r="P18" s="12" t="inlineStr"/>
      <c r="Q18" s="16">
        <f>IF(O18="","ADD LINKEDIN","ok")</f>
        <v/>
      </c>
      <c r="R18" s="12" t="inlineStr">
        <is>
          <t>https://www.historymaker.com/</t>
        </is>
      </c>
      <c r="S18" s="15" t="inlineStr">
        <is>
          <t>A family builder since 1949 that already builds some structural elements off-site, per a 2024 trade profile.</t>
        </is>
      </c>
      <c r="T18" s="12" t="inlineStr">
        <is>
          <t>YES</t>
        </is>
      </c>
      <c r="U18" s="15" t="inlineStr">
        <is>
          <t>Quoted as CEO in a company blog post of July 31, 2023.</t>
        </is>
      </c>
      <c r="V18" s="12" t="inlineStr">
        <is>
          <t>https://www.historymaker.com/blog/historymaker-homes-announces-retirement-of-company-president-and-successor/</t>
        </is>
      </c>
      <c r="W18" s="12" t="inlineStr">
        <is>
          <t>https://www.linkedin.com/company/history-maker-homes/</t>
        </is>
      </c>
      <c r="X18" s="12" t="inlineStr">
        <is>
          <t>https://www.historymaker.com/our-legacy</t>
        </is>
      </c>
      <c r="Y18" s="12" t="inlineStr">
        <is>
          <t>2023-07-31 HistoryMaker Homes. HistoryMaker Homes Announces Retirement of Company President And Successor  https://www.historymaker.com/blog/historymaker-homes-announces-retirement-of-company-president-and-successor/</t>
        </is>
      </c>
      <c r="Z18" s="12" t="inlineStr">
        <is>
          <t>(833) 711-1949</t>
        </is>
      </c>
      <c r="AA18" s="12" t="inlineStr">
        <is>
          <t>Main line</t>
        </is>
      </c>
      <c r="AB18" s="12" t="inlineStr">
        <is>
          <t>https://www.historymaker.com/contact-us</t>
        </is>
      </c>
      <c r="AC18" s="12" t="inlineStr"/>
      <c r="AD18" s="12" t="inlineStr"/>
    </row>
    <row r="19">
      <c r="A19" s="6" t="inlineStr">
        <is>
          <t>Nikki Pechet</t>
        </is>
      </c>
      <c r="B19" s="6" t="inlineStr">
        <is>
          <t>Homebound</t>
        </is>
      </c>
      <c r="C19" s="6" t="inlineStr">
        <is>
          <t>Co-Founder and Chief Executive Officer</t>
        </is>
      </c>
      <c r="D19" s="7" t="inlineStr">
        <is>
          <t>Holds all three counts</t>
        </is>
      </c>
      <c r="E19" s="8" t="n">
        <v>3</v>
      </c>
      <c r="F19" s="6" t="inlineStr">
        <is>
          <t>Buys walls</t>
        </is>
      </c>
      <c r="G19" s="6" t="inlineStr">
        <is>
          <t>Dallas, Flower Mound, Prosper and Celina, plus Houston, Denver and Tampa</t>
        </is>
      </c>
      <c r="H19" s="6" t="inlineStr">
        <is>
          <t>More than 1,000 DFW lots lined up, 2026</t>
        </is>
      </c>
      <c r="I19" s="8" t="inlineStr">
        <is>
          <t>Yes</t>
        </is>
      </c>
      <c r="J19" s="9" t="inlineStr">
        <is>
          <t>One plan catalog, including Addison, Bandera, Collin, Grayson and Magnolia, repeated across in-town Dallas lots, Flower Mound, Prosper and Celina.</t>
        </is>
      </c>
      <c r="K19" s="8" t="inlineStr">
        <is>
          <t>Partly</t>
        </is>
      </c>
      <c r="L19" s="9" t="inlineStr">
        <is>
          <t>Semi-custom homes at about $800,000 to more than $1.5 million, across Dallas, Houston, Denver and Tampa. DFW closings are not published.</t>
        </is>
      </c>
      <c r="M19" s="8" t="inlineStr">
        <is>
          <t>Partly</t>
        </is>
      </c>
      <c r="N19" s="9" t="inlineStr">
        <is>
          <t>It built and runs its own Digital Design Studio and build-tracking software, per its about and product pages. That is process investment, with no new wall method.</t>
        </is>
      </c>
      <c r="O19" s="6" t="inlineStr">
        <is>
          <t>https://www.linkedin.com/in/nikki-pechet-4b949210/</t>
        </is>
      </c>
      <c r="P19" s="6" t="inlineStr"/>
      <c r="Q19" s="11">
        <f>IF(O19="","ADD LINKEDIN","ok")</f>
        <v/>
      </c>
      <c r="R19" s="6" t="inlineStr">
        <is>
          <t>https://www.homebound.com/</t>
        </is>
      </c>
      <c r="S19" s="9" t="inlineStr">
        <is>
          <t>Its own Digital Design Studio and build-tracking software are the product, and its about page names a Texas Regional President.</t>
        </is>
      </c>
      <c r="T19" s="6" t="inlineStr"/>
      <c r="U19" s="9" t="inlineStr">
        <is>
          <t>Indexed title reads Nikki Pechet - Homebound. Named on Homebound's own about page as Co-Founder and CEO.</t>
        </is>
      </c>
      <c r="V19" s="6" t="inlineStr">
        <is>
          <t>https://www.homebound.com/about</t>
        </is>
      </c>
      <c r="W19" s="6" t="inlineStr">
        <is>
          <t>https://www.linkedin.com/company/homebound-construction/</t>
        </is>
      </c>
      <c r="X19" s="6" t="inlineStr">
        <is>
          <t>https://www.homebound.com/about</t>
        </is>
      </c>
      <c r="Y19" s="6" t="inlineStr"/>
      <c r="Z19" s="6" t="inlineStr">
        <is>
          <t>(214) 851-1912</t>
        </is>
      </c>
      <c r="AA19" s="6" t="inlineStr">
        <is>
          <t>Mosaic sales office, Celina</t>
        </is>
      </c>
      <c r="AB19" s="6" t="inlineStr">
        <is>
          <t>https://www.homebound.com/upcoming-communities/mosaic</t>
        </is>
      </c>
      <c r="AC19" s="6" t="inlineStr"/>
      <c r="AD19" s="6" t="inlineStr"/>
    </row>
    <row r="20">
      <c r="A20" s="12" t="inlineStr">
        <is>
          <t>Charlie Coleman</t>
        </is>
      </c>
      <c r="B20" s="12" t="inlineStr">
        <is>
          <t>Homebound</t>
        </is>
      </c>
      <c r="C20" s="12" t="inlineStr">
        <is>
          <t>Texas Regional President</t>
        </is>
      </c>
      <c r="D20" s="13" t="inlineStr">
        <is>
          <t>Holds all three counts</t>
        </is>
      </c>
      <c r="E20" s="14" t="n">
        <v>3</v>
      </c>
      <c r="F20" s="12" t="inlineStr">
        <is>
          <t>Buys walls</t>
        </is>
      </c>
      <c r="G20" s="12" t="inlineStr">
        <is>
          <t>Dallas, Flower Mound, Prosper and Celina, plus Houston, Denver and Tampa</t>
        </is>
      </c>
      <c r="H20" s="12" t="inlineStr">
        <is>
          <t>More than 1,000 DFW lots lined up, 2026</t>
        </is>
      </c>
      <c r="I20" s="14" t="inlineStr">
        <is>
          <t>Yes</t>
        </is>
      </c>
      <c r="J20" s="15" t="inlineStr">
        <is>
          <t>One plan catalog, including Addison, Bandera, Collin, Grayson and Magnolia, repeated across in-town Dallas lots, Flower Mound, Prosper and Celina.</t>
        </is>
      </c>
      <c r="K20" s="14" t="inlineStr">
        <is>
          <t>Partly</t>
        </is>
      </c>
      <c r="L20" s="15" t="inlineStr">
        <is>
          <t>Semi-custom homes at about $800,000 to more than $1.5 million, across Dallas, Houston, Denver and Tampa. DFW closings are not published.</t>
        </is>
      </c>
      <c r="M20" s="14" t="inlineStr">
        <is>
          <t>Partly</t>
        </is>
      </c>
      <c r="N20" s="15" t="inlineStr">
        <is>
          <t>It built and runs its own Digital Design Studio and build-tracking software, per its about and product pages. That is process investment, with no new wall method.</t>
        </is>
      </c>
      <c r="O20" s="10" t="inlineStr"/>
      <c r="P20" s="12" t="inlineStr"/>
      <c r="Q20" s="16">
        <f>IF(O20="","ADD LINKEDIN","ok")</f>
        <v/>
      </c>
      <c r="R20" s="12" t="inlineStr">
        <is>
          <t>https://www.homebound.com/</t>
        </is>
      </c>
      <c r="S20" s="15" t="inlineStr">
        <is>
          <t>Its own Digital Design Studio and build-tracking software are the product, and its about page names a Texas Regional President.</t>
        </is>
      </c>
      <c r="T20" s="12" t="inlineStr">
        <is>
          <t>YES</t>
        </is>
      </c>
      <c r="U20" s="15" t="inlineStr">
        <is>
          <t>Named on Homebound's own about page as Texas Regional President, with prior credits including Pulte's DFW Division President.</t>
        </is>
      </c>
      <c r="V20" s="12" t="inlineStr">
        <is>
          <t>https://www.homebound.com/about</t>
        </is>
      </c>
      <c r="W20" s="12" t="inlineStr">
        <is>
          <t>https://www.linkedin.com/company/homebound-construction/</t>
        </is>
      </c>
      <c r="X20" s="12" t="inlineStr">
        <is>
          <t>https://www.homebound.com/about</t>
        </is>
      </c>
      <c r="Y20" s="12" t="inlineStr"/>
      <c r="Z20" s="12" t="inlineStr">
        <is>
          <t>(214) 851-1912</t>
        </is>
      </c>
      <c r="AA20" s="12" t="inlineStr">
        <is>
          <t>Mosaic sales office, Celina</t>
        </is>
      </c>
      <c r="AB20" s="12" t="inlineStr">
        <is>
          <t>https://www.homebound.com/upcoming-communities/mosaic</t>
        </is>
      </c>
      <c r="AC20" s="12" t="inlineStr"/>
      <c r="AD20" s="12" t="inlineStr"/>
    </row>
    <row r="21">
      <c r="A21" s="6" t="inlineStr">
        <is>
          <t>Al Tuten</t>
        </is>
      </c>
      <c r="B21" s="6" t="inlineStr">
        <is>
          <t>Homebound</t>
        </is>
      </c>
      <c r="C21" s="6" t="inlineStr">
        <is>
          <t>Vice President, Homebuilding Operations</t>
        </is>
      </c>
      <c r="D21" s="7" t="inlineStr">
        <is>
          <t>Holds all three counts</t>
        </is>
      </c>
      <c r="E21" s="8" t="n">
        <v>3</v>
      </c>
      <c r="F21" s="6" t="inlineStr">
        <is>
          <t>Buys walls</t>
        </is>
      </c>
      <c r="G21" s="6" t="inlineStr">
        <is>
          <t>Dallas, Flower Mound, Prosper and Celina, plus Houston, Denver and Tampa</t>
        </is>
      </c>
      <c r="H21" s="6" t="inlineStr">
        <is>
          <t>More than 1,000 DFW lots lined up, 2026</t>
        </is>
      </c>
      <c r="I21" s="8" t="inlineStr">
        <is>
          <t>Yes</t>
        </is>
      </c>
      <c r="J21" s="9" t="inlineStr">
        <is>
          <t>One plan catalog, including Addison, Bandera, Collin, Grayson and Magnolia, repeated across in-town Dallas lots, Flower Mound, Prosper and Celina.</t>
        </is>
      </c>
      <c r="K21" s="8" t="inlineStr">
        <is>
          <t>Partly</t>
        </is>
      </c>
      <c r="L21" s="9" t="inlineStr">
        <is>
          <t>Semi-custom homes at about $800,000 to more than $1.5 million, across Dallas, Houston, Denver and Tampa. DFW closings are not published.</t>
        </is>
      </c>
      <c r="M21" s="8" t="inlineStr">
        <is>
          <t>Partly</t>
        </is>
      </c>
      <c r="N21" s="9" t="inlineStr">
        <is>
          <t>It built and runs its own Digital Design Studio and build-tracking software, per its about and product pages. That is process investment, with no new wall method.</t>
        </is>
      </c>
      <c r="O21" s="10" t="inlineStr"/>
      <c r="P21" s="6" t="inlineStr"/>
      <c r="Q21" s="11">
        <f>IF(O21="","ADD LINKEDIN","ok")</f>
        <v/>
      </c>
      <c r="R21" s="6" t="inlineStr">
        <is>
          <t>https://www.homebound.com/</t>
        </is>
      </c>
      <c r="S21" s="9" t="inlineStr">
        <is>
          <t>Its own Digital Design Studio and build-tracking software are the product, and its about page names a Texas Regional President.</t>
        </is>
      </c>
      <c r="T21" s="6" t="inlineStr"/>
      <c r="U21" s="9" t="inlineStr">
        <is>
          <t>Named on Homebound's own about page as VP, Homebuilding Operations.</t>
        </is>
      </c>
      <c r="V21" s="6" t="inlineStr">
        <is>
          <t>https://www.homebound.com/about</t>
        </is>
      </c>
      <c r="W21" s="6" t="inlineStr">
        <is>
          <t>https://www.linkedin.com/company/homebound-construction/</t>
        </is>
      </c>
      <c r="X21" s="6" t="inlineStr">
        <is>
          <t>https://www.homebound.com/about</t>
        </is>
      </c>
      <c r="Y21" s="6" t="inlineStr"/>
      <c r="Z21" s="6" t="inlineStr">
        <is>
          <t>(214) 851-1912</t>
        </is>
      </c>
      <c r="AA21" s="6" t="inlineStr">
        <is>
          <t>Mosaic sales office, Celina</t>
        </is>
      </c>
      <c r="AB21" s="6" t="inlineStr">
        <is>
          <t>https://www.homebound.com/upcoming-communities/mosaic</t>
        </is>
      </c>
      <c r="AC21" s="6" t="inlineStr"/>
      <c r="AD21" s="6" t="inlineStr"/>
    </row>
    <row r="22">
      <c r="A22" s="12" t="inlineStr">
        <is>
          <t>Chris Terhune</t>
        </is>
      </c>
      <c r="B22" s="12" t="inlineStr">
        <is>
          <t>Coventry Homes</t>
        </is>
      </c>
      <c r="C22" s="12" t="inlineStr">
        <is>
          <t>Division President, Dallas-Fort Worth</t>
        </is>
      </c>
      <c r="D22" s="13" t="inlineStr">
        <is>
          <t>Holds all three counts</t>
        </is>
      </c>
      <c r="E22" s="14" t="n">
        <v>3</v>
      </c>
      <c r="F22" s="12" t="inlineStr">
        <is>
          <t>Buys walls</t>
        </is>
      </c>
      <c r="G22" s="12" t="inlineStr">
        <is>
          <t>Dallas-Fort Worth, with communities in McKinney, Celina and Anna</t>
        </is>
      </c>
      <c r="H22" s="12" t="inlineStr">
        <is>
          <t>More than 55,000 Texas homes closed, its own count</t>
        </is>
      </c>
      <c r="I22" s="14" t="inlineStr">
        <is>
          <t>Partly</t>
        </is>
      </c>
      <c r="J22" s="15" t="inlineStr">
        <is>
          <t>Production plans across close to 100 communities in four Texas metros, with no DFW count published.</t>
        </is>
      </c>
      <c r="K22" s="14" t="inlineStr">
        <is>
          <t>Partly</t>
        </is>
      </c>
      <c r="L22" s="15" t="inlineStr">
        <is>
          <t>No DFW closings figure, and a public parent, Dream Finders Homes.</t>
        </is>
      </c>
      <c r="M22" s="14" t="inlineStr">
        <is>
          <t>Partly</t>
        </is>
      </c>
      <c r="N22" s="15" t="inlineStr">
        <is>
          <t>EcoSmart pays for Environments for Living standards with third-party verification, and current listings carry Energy Star certification. That is above-code performance, not a new wall method.</t>
        </is>
      </c>
      <c r="O22" s="10" t="inlineStr"/>
      <c r="P22" s="12" t="inlineStr"/>
      <c r="Q22" s="16">
        <f>IF(O22="","ADD LINKEDIN","ok")</f>
        <v/>
      </c>
      <c r="R22" s="12" t="inlineStr">
        <is>
          <t>https://www.coventryhomes.com/</t>
        </is>
      </c>
      <c r="S22" s="15" t="inlineStr">
        <is>
          <t>Its current listings identify the homes as Environments for Living and Energy Star Certified, under its EcoSmart program.</t>
        </is>
      </c>
      <c r="T22" s="12" t="inlineStr">
        <is>
          <t>YES</t>
        </is>
      </c>
      <c r="U22" s="15" t="inlineStr">
        <is>
          <t>Quoted on Coventry's own blog as Division President, on the Meadow Vista expansion in Anna.</t>
        </is>
      </c>
      <c r="V22" s="12" t="inlineStr">
        <is>
          <t>https://www.coventryhomes.com/blog/coventry-homes-expands-to-meadow-vista-with-award-winning-home-designs/</t>
        </is>
      </c>
      <c r="W22" s="12" t="inlineStr">
        <is>
          <t>https://www.linkedin.com/company/coventryhomes/</t>
        </is>
      </c>
      <c r="X22" s="12" t="inlineStr">
        <is>
          <t>https://www.coventryhomes.com/about-us/</t>
        </is>
      </c>
      <c r="Y22" s="12" t="inlineStr"/>
      <c r="Z22" s="12" t="inlineStr">
        <is>
          <t>(972) 366-8789</t>
        </is>
      </c>
      <c r="AA22" s="12" t="inlineStr">
        <is>
          <t>Dallas and Fort Worth line</t>
        </is>
      </c>
      <c r="AB22" s="12" t="inlineStr">
        <is>
          <t>https://www.coventryhomes.com/connect/</t>
        </is>
      </c>
      <c r="AC22" s="12" t="inlineStr"/>
      <c r="AD22" s="12" t="inlineStr"/>
    </row>
    <row r="23">
      <c r="A23" s="6" t="inlineStr">
        <is>
          <t>Mark Wolf</t>
        </is>
      </c>
      <c r="B23" s="6" t="inlineStr">
        <is>
          <t>AHV Communities</t>
        </is>
      </c>
      <c r="C23" s="6" t="inlineStr">
        <is>
          <t>Co-founder and CEO</t>
        </is>
      </c>
      <c r="D23" s="7" t="inlineStr">
        <is>
          <t>One gap</t>
        </is>
      </c>
      <c r="E23" s="8" t="n">
        <v>2</v>
      </c>
      <c r="F23" s="6" t="inlineStr">
        <is>
          <t>Sells lots</t>
        </is>
      </c>
      <c r="G23" s="6" t="inlineStr">
        <is>
          <t>San Antonio headquarters, first DFW project in McKinney</t>
        </is>
      </c>
      <c r="H23" s="6" t="inlineStr">
        <is>
          <t>157-home first DFW project on 38 acres, McKinney</t>
        </is>
      </c>
      <c r="I23" s="8" t="inlineStr">
        <is>
          <t>Yes</t>
        </is>
      </c>
      <c r="J23" s="9" t="inlineStr">
        <is>
          <t>Rental plans repeated on one 38-acre McKinney site.</t>
        </is>
      </c>
      <c r="K23" s="8" t="inlineStr">
        <is>
          <t>Yes</t>
        </is>
      </c>
      <c r="L23" s="9" t="inlineStr">
        <is>
          <t>157 homes in its first North Texas project sits in the 25 to 400 band, if it builds its own walls.</t>
        </is>
      </c>
      <c r="M23" s="8" t="inlineStr">
        <is>
          <t>No</t>
        </is>
      </c>
      <c r="N23" s="9" t="inlineStr">
        <is>
          <t>Nothing on record about construction method. Its product change is rental tenure and operations, not structure.</t>
        </is>
      </c>
      <c r="O23" s="10" t="inlineStr"/>
      <c r="P23" s="6" t="inlineStr"/>
      <c r="Q23" s="11">
        <f>IF(O23="","ADD LINKEDIN","ok")</f>
        <v/>
      </c>
      <c r="R23" s="6" t="inlineStr">
        <is>
          <t>https://ahvcommunities.com/</t>
        </is>
      </c>
      <c r="S23" s="9" t="inlineStr">
        <is>
          <t>Develops, builds and operates its own rental communities. It does not publish whether it builds its own walls in DFW.</t>
        </is>
      </c>
      <c r="T23" s="6" t="inlineStr">
        <is>
          <t>YES</t>
        </is>
      </c>
      <c r="U23" s="9" t="inlineStr">
        <is>
          <t>Quoted in a July 2022 CandysDirt article as co-founder and CEO of AHV Communities.</t>
        </is>
      </c>
      <c r="V23" s="6" t="inlineStr">
        <is>
          <t>https://candysdirt.com/2022/07/10/san-antonio-company-finds-a-sweet-spot-with-first-north-texas-project/</t>
        </is>
      </c>
      <c r="W23" s="6" t="inlineStr">
        <is>
          <t>https://www.linkedin.com/company/ahv-communities/</t>
        </is>
      </c>
      <c r="X23" s="6" t="inlineStr"/>
      <c r="Y23" s="6" t="inlineStr">
        <is>
          <t>2024 DALTX Real Estate. San Antonio company finds a sweet spot with first North Texas project  https://daltxrealestate.com/san-antonio-company-finds-a-sweet-spot-with-first-north-texas-project/</t>
        </is>
      </c>
      <c r="Z23" s="6" t="inlineStr">
        <is>
          <t>(949) 508-2099</t>
        </is>
      </c>
      <c r="AA23" s="6" t="inlineStr">
        <is>
          <t>Main line, on the firm's homepage</t>
        </is>
      </c>
      <c r="AB23" s="6" t="inlineStr">
        <is>
          <t>https://ahvcommunities.com/</t>
        </is>
      </c>
      <c r="AC23" s="6" t="inlineStr"/>
      <c r="AD23" s="6" t="inlineStr"/>
    </row>
    <row r="24">
      <c r="A24" s="12" t="inlineStr">
        <is>
          <t>John Landon</t>
        </is>
      </c>
      <c r="B24" s="12" t="inlineStr">
        <is>
          <t>Landon Homes</t>
        </is>
      </c>
      <c r="C24" s="12" t="inlineStr">
        <is>
          <t>Owner and Chief Executive Officer</t>
        </is>
      </c>
      <c r="D24" s="13" t="inlineStr">
        <is>
          <t>One gap</t>
        </is>
      </c>
      <c r="E24" s="14" t="n">
        <v>2</v>
      </c>
      <c r="F24" s="12" t="inlineStr">
        <is>
          <t>Buys walls</t>
        </is>
      </c>
      <c r="G24" s="12" t="inlineStr">
        <is>
          <t>Plano, with communities in Frisco and Prosper</t>
        </is>
      </c>
      <c r="H24" s="12" t="inlineStr">
        <is>
          <t>259 company-wide closings in 2025, 320 in 2024</t>
        </is>
      </c>
      <c r="I24" s="14" t="inlineStr">
        <is>
          <t>Yes</t>
        </is>
      </c>
      <c r="J24" s="15" t="inlineStr">
        <is>
          <t>Production plans across 9 master-planned communities in Frisco and Prosper.</t>
        </is>
      </c>
      <c r="K24" s="14" t="inlineStr">
        <is>
          <t>Yes</t>
        </is>
      </c>
      <c r="L24" s="15" t="inlineStr">
        <is>
          <t>259 company-wide closings in 2025 sits in the 25 to 400 band, concentrated in Frisco and Prosper.</t>
        </is>
      </c>
      <c r="M24" s="14" t="inlineStr">
        <is>
          <t>No</t>
        </is>
      </c>
      <c r="N24" s="15" t="inlineStr">
        <is>
          <t>Nothing on record. Its Better Built by Design slogan describes no new wall method.</t>
        </is>
      </c>
      <c r="O24" s="10" t="inlineStr"/>
      <c r="P24" s="12" t="inlineStr"/>
      <c r="Q24" s="16">
        <f>IF(O24="","ADD LINKEDIN","ok")</f>
        <v/>
      </c>
      <c r="R24" s="12" t="inlineStr">
        <is>
          <t>https://landonhomes.com/</t>
        </is>
      </c>
      <c r="S24" s="15" t="inlineStr">
        <is>
          <t>Nine master-planned communities, concentrated in Frisco and Prosper, with 18 model homes listed on its own homepage.</t>
        </is>
      </c>
      <c r="T24" s="12" t="inlineStr">
        <is>
          <t>YES</t>
        </is>
      </c>
      <c r="U24" s="15" t="inlineStr">
        <is>
          <t>Named on the firm's own Our Story page as Owner and CEO.</t>
        </is>
      </c>
      <c r="V24" s="12" t="inlineStr">
        <is>
          <t>https://landonhomes.com/our-story/</t>
        </is>
      </c>
      <c r="W24" s="12" t="inlineStr">
        <is>
          <t>https://www.linkedin.com/company/landon-homes/</t>
        </is>
      </c>
      <c r="X24" s="12" t="inlineStr">
        <is>
          <t>https://landonhomes.com/our-story/</t>
        </is>
      </c>
      <c r="Y24" s="12" t="inlineStr"/>
      <c r="Z24" s="12" t="inlineStr">
        <is>
          <t>(469) 567-9303</t>
        </is>
      </c>
      <c r="AA24" s="12" t="inlineStr">
        <is>
          <t>Office, Plano</t>
        </is>
      </c>
      <c r="AB24" s="12" t="inlineStr">
        <is>
          <t>https://landonhomes.com/</t>
        </is>
      </c>
      <c r="AC24" s="12" t="inlineStr"/>
      <c r="AD24" s="12" t="inlineStr"/>
    </row>
    <row r="25">
      <c r="A25" s="6" t="inlineStr">
        <is>
          <t>Carly Landon Huffman</t>
        </is>
      </c>
      <c r="B25" s="6" t="inlineStr">
        <is>
          <t>Landon Homes</t>
        </is>
      </c>
      <c r="C25" s="6" t="inlineStr">
        <is>
          <t>President</t>
        </is>
      </c>
      <c r="D25" s="7" t="inlineStr">
        <is>
          <t>One gap</t>
        </is>
      </c>
      <c r="E25" s="8" t="n">
        <v>2</v>
      </c>
      <c r="F25" s="6" t="inlineStr">
        <is>
          <t>Buys walls</t>
        </is>
      </c>
      <c r="G25" s="6" t="inlineStr">
        <is>
          <t>Plano, with communities in Frisco and Prosper</t>
        </is>
      </c>
      <c r="H25" s="6" t="inlineStr">
        <is>
          <t>259 company-wide closings in 2025, 320 in 2024</t>
        </is>
      </c>
      <c r="I25" s="8" t="inlineStr">
        <is>
          <t>Yes</t>
        </is>
      </c>
      <c r="J25" s="9" t="inlineStr">
        <is>
          <t>Production plans across 9 master-planned communities in Frisco and Prosper.</t>
        </is>
      </c>
      <c r="K25" s="8" t="inlineStr">
        <is>
          <t>Yes</t>
        </is>
      </c>
      <c r="L25" s="9" t="inlineStr">
        <is>
          <t>259 company-wide closings in 2025 sits in the 25 to 400 band, concentrated in Frisco and Prosper.</t>
        </is>
      </c>
      <c r="M25" s="8" t="inlineStr">
        <is>
          <t>No</t>
        </is>
      </c>
      <c r="N25" s="9" t="inlineStr">
        <is>
          <t>Nothing on record. Its Better Built by Design slogan describes no new wall method.</t>
        </is>
      </c>
      <c r="O25" s="10" t="inlineStr"/>
      <c r="P25" s="6" t="inlineStr"/>
      <c r="Q25" s="11">
        <f>IF(O25="","ADD LINKEDIN","ok")</f>
        <v/>
      </c>
      <c r="R25" s="6" t="inlineStr">
        <is>
          <t>https://landonhomes.com/</t>
        </is>
      </c>
      <c r="S25" s="9" t="inlineStr">
        <is>
          <t>Nine master-planned communities, concentrated in Frisco and Prosper, with 18 model homes listed on its own homepage.</t>
        </is>
      </c>
      <c r="T25" s="6" t="inlineStr">
        <is>
          <t>YES</t>
        </is>
      </c>
      <c r="U25" s="9" t="inlineStr">
        <is>
          <t>Named on the firm's own Our Story page as President.</t>
        </is>
      </c>
      <c r="V25" s="6" t="inlineStr">
        <is>
          <t>https://landonhomes.com/our-story/</t>
        </is>
      </c>
      <c r="W25" s="6" t="inlineStr">
        <is>
          <t>https://www.linkedin.com/company/landon-homes/</t>
        </is>
      </c>
      <c r="X25" s="6" t="inlineStr">
        <is>
          <t>https://landonhomes.com/our-story/</t>
        </is>
      </c>
      <c r="Y25" s="6" t="inlineStr"/>
      <c r="Z25" s="6" t="inlineStr">
        <is>
          <t>(469) 567-9303</t>
        </is>
      </c>
      <c r="AA25" s="6" t="inlineStr">
        <is>
          <t>Office, Plano</t>
        </is>
      </c>
      <c r="AB25" s="6" t="inlineStr">
        <is>
          <t>https://landonhomes.com/</t>
        </is>
      </c>
      <c r="AC25" s="6" t="inlineStr"/>
      <c r="AD25" s="6" t="inlineStr"/>
    </row>
    <row r="26">
      <c r="A26" s="12" t="inlineStr">
        <is>
          <t>Rusty Landon</t>
        </is>
      </c>
      <c r="B26" s="12" t="inlineStr">
        <is>
          <t>Landon Homes</t>
        </is>
      </c>
      <c r="C26" s="12" t="inlineStr">
        <is>
          <t>Vice President of Development</t>
        </is>
      </c>
      <c r="D26" s="13" t="inlineStr">
        <is>
          <t>One gap</t>
        </is>
      </c>
      <c r="E26" s="14" t="n">
        <v>2</v>
      </c>
      <c r="F26" s="12" t="inlineStr">
        <is>
          <t>Buys walls</t>
        </is>
      </c>
      <c r="G26" s="12" t="inlineStr">
        <is>
          <t>Plano, with communities in Frisco and Prosper</t>
        </is>
      </c>
      <c r="H26" s="12" t="inlineStr">
        <is>
          <t>259 company-wide closings in 2025, 320 in 2024</t>
        </is>
      </c>
      <c r="I26" s="14" t="inlineStr">
        <is>
          <t>Yes</t>
        </is>
      </c>
      <c r="J26" s="15" t="inlineStr">
        <is>
          <t>Production plans across 9 master-planned communities in Frisco and Prosper.</t>
        </is>
      </c>
      <c r="K26" s="14" t="inlineStr">
        <is>
          <t>Yes</t>
        </is>
      </c>
      <c r="L26" s="15" t="inlineStr">
        <is>
          <t>259 company-wide closings in 2025 sits in the 25 to 400 band, concentrated in Frisco and Prosper.</t>
        </is>
      </c>
      <c r="M26" s="14" t="inlineStr">
        <is>
          <t>No</t>
        </is>
      </c>
      <c r="N26" s="15" t="inlineStr">
        <is>
          <t>Nothing on record. Its Better Built by Design slogan describes no new wall method.</t>
        </is>
      </c>
      <c r="O26" s="10" t="inlineStr"/>
      <c r="P26" s="12" t="inlineStr"/>
      <c r="Q26" s="16">
        <f>IF(O26="","ADD LINKEDIN","ok")</f>
        <v/>
      </c>
      <c r="R26" s="12" t="inlineStr">
        <is>
          <t>https://landonhomes.com/</t>
        </is>
      </c>
      <c r="S26" s="15" t="inlineStr">
        <is>
          <t>Nine master-planned communities, concentrated in Frisco and Prosper, with 18 model homes listed on its own homepage.</t>
        </is>
      </c>
      <c r="T26" s="12" t="inlineStr"/>
      <c r="U26" s="15" t="inlineStr">
        <is>
          <t>Named on the firm's own Our Story page as Vice President of Development.</t>
        </is>
      </c>
      <c r="V26" s="12" t="inlineStr">
        <is>
          <t>https://landonhomes.com/our-story/</t>
        </is>
      </c>
      <c r="W26" s="12" t="inlineStr">
        <is>
          <t>https://www.linkedin.com/company/landon-homes/</t>
        </is>
      </c>
      <c r="X26" s="12" t="inlineStr">
        <is>
          <t>https://landonhomes.com/our-story/</t>
        </is>
      </c>
      <c r="Y26" s="12" t="inlineStr"/>
      <c r="Z26" s="12" t="inlineStr">
        <is>
          <t>(469) 567-9303</t>
        </is>
      </c>
      <c r="AA26" s="12" t="inlineStr">
        <is>
          <t>Office, Plano</t>
        </is>
      </c>
      <c r="AB26" s="12" t="inlineStr">
        <is>
          <t>https://landonhomes.com/</t>
        </is>
      </c>
      <c r="AC26" s="12" t="inlineStr"/>
      <c r="AD26" s="12" t="inlineStr"/>
    </row>
    <row r="27">
      <c r="A27" s="6" t="inlineStr">
        <is>
          <t>Dustin Austin</t>
        </is>
      </c>
      <c r="B27" s="6" t="inlineStr">
        <is>
          <t>Our Country Homes</t>
        </is>
      </c>
      <c r="C27" s="6" t="inlineStr">
        <is>
          <t>Owner</t>
        </is>
      </c>
      <c r="D27" s="7" t="inlineStr">
        <is>
          <t>One gap</t>
        </is>
      </c>
      <c r="E27" s="8" t="n">
        <v>2</v>
      </c>
      <c r="F27" s="6" t="inlineStr">
        <is>
          <t>Buys walls</t>
        </is>
      </c>
      <c r="G27" s="6" t="inlineStr">
        <is>
          <t>Hurst, building from Aledo to Celina</t>
        </is>
      </c>
      <c r="H27" s="6" t="inlineStr">
        <is>
          <t>259 company-wide closings in 2023, BUILDER's list rank 162</t>
        </is>
      </c>
      <c r="I27" s="8" t="inlineStr">
        <is>
          <t>Yes</t>
        </is>
      </c>
      <c r="J27" s="9" t="inlineStr">
        <is>
          <t>Production plans across the western and northern DFW suburbs, from Aledo to Celina.</t>
        </is>
      </c>
      <c r="K27" s="8" t="inlineStr">
        <is>
          <t>Yes</t>
        </is>
      </c>
      <c r="L27" s="9" t="inlineStr">
        <is>
          <t>259 closings in 2023, company-wide per BUILDER, sits in the 25 to 400 band.</t>
        </is>
      </c>
      <c r="M27" s="8" t="inlineStr">
        <is>
          <t>No</t>
        </is>
      </c>
      <c r="N27" s="9" t="inlineStr">
        <is>
          <t>Nothing on record about construction method.</t>
        </is>
      </c>
      <c r="O27" s="10" t="inlineStr"/>
      <c r="P27" s="6" t="inlineStr"/>
      <c r="Q27" s="11">
        <f>IF(O27="","ADD LINKEDIN","ok")</f>
        <v/>
      </c>
      <c r="R27" s="6" t="inlineStr">
        <is>
          <t>https://www.ourcountryhomes.com/</t>
        </is>
      </c>
      <c r="S27" s="9" t="inlineStr">
        <is>
          <t>Family-owned across three generations and based in Hurst, building from Aledo to Celina.</t>
        </is>
      </c>
      <c r="T27" s="6" t="inlineStr">
        <is>
          <t>YES</t>
        </is>
      </c>
      <c r="U27" s="9" t="inlineStr">
        <is>
          <t>Named in the Fort Worth Report, May 1, 2024, as owner of Hurst-based Our Country Homes.</t>
        </is>
      </c>
      <c r="V27" s="6" t="inlineStr">
        <is>
          <t>https://fortworthreport.org/2024/05/01/fort-worth-business-owner-dustin-austin-to-join-jps-board-of-managers/</t>
        </is>
      </c>
      <c r="W27" s="6" t="inlineStr">
        <is>
          <t>https://www.linkedin.com/company/ourcountryhomes/</t>
        </is>
      </c>
      <c r="X27" s="6" t="inlineStr">
        <is>
          <t>https://www.ourcountryhomes.com/about-us</t>
        </is>
      </c>
      <c r="Y27" s="6" t="inlineStr"/>
      <c r="Z27" s="6" t="inlineStr">
        <is>
          <t>(817) 229-0344</t>
        </is>
      </c>
      <c r="AA27" s="6" t="inlineStr">
        <is>
          <t>Office, Hurst</t>
        </is>
      </c>
      <c r="AB27" s="6" t="inlineStr">
        <is>
          <t>https://www.ourcountryhomes.com/</t>
        </is>
      </c>
      <c r="AC27" s="6" t="inlineStr"/>
      <c r="AD27" s="6" t="inlineStr"/>
    </row>
    <row r="28">
      <c r="A28" s="12" t="inlineStr">
        <is>
          <t>Mey-Ling Pauri</t>
        </is>
      </c>
      <c r="B28" s="12" t="inlineStr">
        <is>
          <t>Our Country Homes</t>
        </is>
      </c>
      <c r="C28" s="12" t="inlineStr">
        <is>
          <t>Chief Executive Officer</t>
        </is>
      </c>
      <c r="D28" s="13" t="inlineStr">
        <is>
          <t>One gap</t>
        </is>
      </c>
      <c r="E28" s="14" t="n">
        <v>2</v>
      </c>
      <c r="F28" s="12" t="inlineStr">
        <is>
          <t>Buys walls</t>
        </is>
      </c>
      <c r="G28" s="12" t="inlineStr">
        <is>
          <t>Hurst, building from Aledo to Celina</t>
        </is>
      </c>
      <c r="H28" s="12" t="inlineStr">
        <is>
          <t>259 company-wide closings in 2023, BUILDER's list rank 162</t>
        </is>
      </c>
      <c r="I28" s="14" t="inlineStr">
        <is>
          <t>Yes</t>
        </is>
      </c>
      <c r="J28" s="15" t="inlineStr">
        <is>
          <t>Production plans across the western and northern DFW suburbs, from Aledo to Celina.</t>
        </is>
      </c>
      <c r="K28" s="14" t="inlineStr">
        <is>
          <t>Yes</t>
        </is>
      </c>
      <c r="L28" s="15" t="inlineStr">
        <is>
          <t>259 closings in 2023, company-wide per BUILDER, sits in the 25 to 400 band.</t>
        </is>
      </c>
      <c r="M28" s="14" t="inlineStr">
        <is>
          <t>No</t>
        </is>
      </c>
      <c r="N28" s="15" t="inlineStr">
        <is>
          <t>Nothing on record about construction method.</t>
        </is>
      </c>
      <c r="O28" s="10" t="inlineStr"/>
      <c r="P28" s="12" t="inlineStr"/>
      <c r="Q28" s="16">
        <f>IF(O28="","ADD LINKEDIN","ok")</f>
        <v/>
      </c>
      <c r="R28" s="12" t="inlineStr">
        <is>
          <t>https://www.ourcountryhomes.com/</t>
        </is>
      </c>
      <c r="S28" s="15" t="inlineStr">
        <is>
          <t>Family-owned across three generations and based in Hurst, building from Aledo to Celina.</t>
        </is>
      </c>
      <c r="T28" s="12" t="inlineStr"/>
      <c r="U28" s="15" t="inlineStr">
        <is>
          <t>Named on BUILDER's firm page for Our Country Homes as CEO.</t>
        </is>
      </c>
      <c r="V28" s="12" t="inlineStr">
        <is>
          <t>https://www.builderonline.com/firms/our-country-homes_o/</t>
        </is>
      </c>
      <c r="W28" s="12" t="inlineStr">
        <is>
          <t>https://www.linkedin.com/company/ourcountryhomes/</t>
        </is>
      </c>
      <c r="X28" s="12" t="inlineStr">
        <is>
          <t>https://www.ourcountryhomes.com/about-us</t>
        </is>
      </c>
      <c r="Y28" s="12" t="inlineStr"/>
      <c r="Z28" s="12" t="inlineStr">
        <is>
          <t>(817) 229-0344</t>
        </is>
      </c>
      <c r="AA28" s="12" t="inlineStr">
        <is>
          <t>Office, Hurst</t>
        </is>
      </c>
      <c r="AB28" s="12" t="inlineStr">
        <is>
          <t>https://www.ourcountryhomes.com/</t>
        </is>
      </c>
      <c r="AC28" s="12" t="inlineStr"/>
      <c r="AD28" s="12" t="inlineStr"/>
    </row>
    <row r="29">
      <c r="A29" s="6" t="inlineStr">
        <is>
          <t>Scott Sandlin</t>
        </is>
      </c>
      <c r="B29" s="6" t="inlineStr">
        <is>
          <t>Sandlin Homes</t>
        </is>
      </c>
      <c r="C29" s="6" t="inlineStr">
        <is>
          <t>Owner and Chief Executive Officer</t>
        </is>
      </c>
      <c r="D29" s="7" t="inlineStr">
        <is>
          <t>One gap</t>
        </is>
      </c>
      <c r="E29" s="8" t="n">
        <v>2</v>
      </c>
      <c r="F29" s="6" t="inlineStr">
        <is>
          <t>Buys walls</t>
        </is>
      </c>
      <c r="G29" s="6" t="inlineStr">
        <is>
          <t>North Richland Hills, building across North Texas</t>
        </is>
      </c>
      <c r="H29" s="6" t="inlineStr">
        <is>
          <t>177 company-wide closings in 2023, BUILDER rank 194</t>
        </is>
      </c>
      <c r="I29" s="8" t="inlineStr">
        <is>
          <t>Yes</t>
        </is>
      </c>
      <c r="J29" s="9" t="inlineStr">
        <is>
          <t>Production homes concentrated in North Texas under one family firm.</t>
        </is>
      </c>
      <c r="K29" s="8" t="inlineStr">
        <is>
          <t>Yes</t>
        </is>
      </c>
      <c r="L29" s="9" t="inlineStr">
        <is>
          <t>177 company-wide closings in 2023 sits in the 25 to 400 band, concentrated in North Texas.</t>
        </is>
      </c>
      <c r="M29" s="8" t="inlineStr">
        <is>
          <t>No</t>
        </is>
      </c>
      <c r="N29" s="9" t="inlineStr">
        <is>
          <t>Nothing on record.</t>
        </is>
      </c>
      <c r="O29" s="10" t="inlineStr"/>
      <c r="P29" s="6" t="inlineStr"/>
      <c r="Q29" s="11">
        <f>IF(O29="","ADD LINKEDIN","ok")</f>
        <v/>
      </c>
      <c r="R29" s="6" t="inlineStr">
        <is>
          <t>https://www.sandlinhomes.com/</t>
        </is>
      </c>
      <c r="S29" s="9" t="inlineStr">
        <is>
          <t>Family-owned and based in North Richland Hills, with Scott Sandlin as Owner and CEO. No construction officer is named on its own pages.</t>
        </is>
      </c>
      <c r="T29" s="6" t="inlineStr">
        <is>
          <t>YES</t>
        </is>
      </c>
      <c r="U29" s="9" t="inlineStr">
        <is>
          <t>Named on the firm's own Meet the Team page as Owner and CEO.</t>
        </is>
      </c>
      <c r="V29" s="6" t="inlineStr">
        <is>
          <t>https://www.sandlinhomes.com/meet-the-team</t>
        </is>
      </c>
      <c r="W29" s="6" t="inlineStr">
        <is>
          <t>https://www.linkedin.com/company/sandlin-custom-homes/</t>
        </is>
      </c>
      <c r="X29" s="6" t="inlineStr">
        <is>
          <t>https://www.sandlinhomes.com/meet-the-team</t>
        </is>
      </c>
      <c r="Y29" s="6" t="inlineStr"/>
      <c r="Z29" s="6" t="inlineStr">
        <is>
          <t>(800) 821-4663</t>
        </is>
      </c>
      <c r="AA29" s="6" t="inlineStr">
        <is>
          <t>Main line</t>
        </is>
      </c>
      <c r="AB29" s="6" t="inlineStr">
        <is>
          <t>https://www.sandlinhomes.com/</t>
        </is>
      </c>
      <c r="AC29" s="6" t="inlineStr"/>
      <c r="AD29" s="6" t="inlineStr"/>
    </row>
    <row r="30">
      <c r="A30" s="12" t="inlineStr">
        <is>
          <t>Mike Sandlin</t>
        </is>
      </c>
      <c r="B30" s="12" t="inlineStr">
        <is>
          <t>Sandlin Homes</t>
        </is>
      </c>
      <c r="C30" s="12" t="inlineStr">
        <is>
          <t>Owner</t>
        </is>
      </c>
      <c r="D30" s="13" t="inlineStr">
        <is>
          <t>One gap</t>
        </is>
      </c>
      <c r="E30" s="14" t="n">
        <v>2</v>
      </c>
      <c r="F30" s="12" t="inlineStr">
        <is>
          <t>Buys walls</t>
        </is>
      </c>
      <c r="G30" s="12" t="inlineStr">
        <is>
          <t>North Richland Hills, building across North Texas</t>
        </is>
      </c>
      <c r="H30" s="12" t="inlineStr">
        <is>
          <t>177 company-wide closings in 2023, BUILDER rank 194</t>
        </is>
      </c>
      <c r="I30" s="14" t="inlineStr">
        <is>
          <t>Yes</t>
        </is>
      </c>
      <c r="J30" s="15" t="inlineStr">
        <is>
          <t>Production homes concentrated in North Texas under one family firm.</t>
        </is>
      </c>
      <c r="K30" s="14" t="inlineStr">
        <is>
          <t>Yes</t>
        </is>
      </c>
      <c r="L30" s="15" t="inlineStr">
        <is>
          <t>177 company-wide closings in 2023 sits in the 25 to 400 band, concentrated in North Texas.</t>
        </is>
      </c>
      <c r="M30" s="14" t="inlineStr">
        <is>
          <t>No</t>
        </is>
      </c>
      <c r="N30" s="15" t="inlineStr">
        <is>
          <t>Nothing on record.</t>
        </is>
      </c>
      <c r="O30" s="10" t="inlineStr"/>
      <c r="P30" s="12" t="inlineStr"/>
      <c r="Q30" s="16">
        <f>IF(O30="","ADD LINKEDIN","ok")</f>
        <v/>
      </c>
      <c r="R30" s="12" t="inlineStr">
        <is>
          <t>https://www.sandlinhomes.com/</t>
        </is>
      </c>
      <c r="S30" s="15" t="inlineStr">
        <is>
          <t>Family-owned and based in North Richland Hills, with Scott Sandlin as Owner and CEO. No construction officer is named on its own pages.</t>
        </is>
      </c>
      <c r="T30" s="12" t="inlineStr"/>
      <c r="U30" s="15" t="inlineStr">
        <is>
          <t>Named on the firm's own Meet the Team page as an owner.</t>
        </is>
      </c>
      <c r="V30" s="12" t="inlineStr">
        <is>
          <t>https://www.sandlinhomes.com/meet-the-team</t>
        </is>
      </c>
      <c r="W30" s="12" t="inlineStr">
        <is>
          <t>https://www.linkedin.com/company/sandlin-custom-homes/</t>
        </is>
      </c>
      <c r="X30" s="12" t="inlineStr">
        <is>
          <t>https://www.sandlinhomes.com/meet-the-team</t>
        </is>
      </c>
      <c r="Y30" s="12" t="inlineStr"/>
      <c r="Z30" s="12" t="inlineStr">
        <is>
          <t>(800) 821-4663</t>
        </is>
      </c>
      <c r="AA30" s="12" t="inlineStr">
        <is>
          <t>Main line</t>
        </is>
      </c>
      <c r="AB30" s="12" t="inlineStr">
        <is>
          <t>https://www.sandlinhomes.com/</t>
        </is>
      </c>
      <c r="AC30" s="12" t="inlineStr"/>
      <c r="AD30" s="12" t="inlineStr"/>
    </row>
    <row r="31">
      <c r="A31" s="6" t="inlineStr">
        <is>
          <t>Terry Sandlin</t>
        </is>
      </c>
      <c r="B31" s="6" t="inlineStr">
        <is>
          <t>Sandlin Homes</t>
        </is>
      </c>
      <c r="C31" s="6" t="inlineStr">
        <is>
          <t>Owner</t>
        </is>
      </c>
      <c r="D31" s="7" t="inlineStr">
        <is>
          <t>One gap</t>
        </is>
      </c>
      <c r="E31" s="8" t="n">
        <v>2</v>
      </c>
      <c r="F31" s="6" t="inlineStr">
        <is>
          <t>Buys walls</t>
        </is>
      </c>
      <c r="G31" s="6" t="inlineStr">
        <is>
          <t>North Richland Hills, building across North Texas</t>
        </is>
      </c>
      <c r="H31" s="6" t="inlineStr">
        <is>
          <t>177 company-wide closings in 2023, BUILDER rank 194</t>
        </is>
      </c>
      <c r="I31" s="8" t="inlineStr">
        <is>
          <t>Yes</t>
        </is>
      </c>
      <c r="J31" s="9" t="inlineStr">
        <is>
          <t>Production homes concentrated in North Texas under one family firm.</t>
        </is>
      </c>
      <c r="K31" s="8" t="inlineStr">
        <is>
          <t>Yes</t>
        </is>
      </c>
      <c r="L31" s="9" t="inlineStr">
        <is>
          <t>177 company-wide closings in 2023 sits in the 25 to 400 band, concentrated in North Texas.</t>
        </is>
      </c>
      <c r="M31" s="8" t="inlineStr">
        <is>
          <t>No</t>
        </is>
      </c>
      <c r="N31" s="9" t="inlineStr">
        <is>
          <t>Nothing on record.</t>
        </is>
      </c>
      <c r="O31" s="6" t="inlineStr">
        <is>
          <t>https://www.linkedin.com/in/terry-sandlin-69a496b5/</t>
        </is>
      </c>
      <c r="P31" s="6" t="inlineStr"/>
      <c r="Q31" s="11">
        <f>IF(O31="","ADD LINKEDIN","ok")</f>
        <v/>
      </c>
      <c r="R31" s="6" t="inlineStr">
        <is>
          <t>https://www.sandlinhomes.com/</t>
        </is>
      </c>
      <c r="S31" s="9" t="inlineStr">
        <is>
          <t>Family-owned and based in North Richland Hills, with Scott Sandlin as Owner and CEO. No construction officer is named on its own pages.</t>
        </is>
      </c>
      <c r="T31" s="6" t="inlineStr"/>
      <c r="U31" s="9" t="inlineStr">
        <is>
          <t>Indexed title reads Terry Sandlin - Sandlin Custom Homes. Named on the firm's own Meet the Team page as an owner.</t>
        </is>
      </c>
      <c r="V31" s="6" t="inlineStr">
        <is>
          <t>https://www.sandlinhomes.com/meet-the-team</t>
        </is>
      </c>
      <c r="W31" s="6" t="inlineStr">
        <is>
          <t>https://www.linkedin.com/company/sandlin-custom-homes/</t>
        </is>
      </c>
      <c r="X31" s="6" t="inlineStr">
        <is>
          <t>https://www.sandlinhomes.com/meet-the-team</t>
        </is>
      </c>
      <c r="Y31" s="6" t="inlineStr"/>
      <c r="Z31" s="6" t="inlineStr">
        <is>
          <t>(800) 821-4663</t>
        </is>
      </c>
      <c r="AA31" s="6" t="inlineStr">
        <is>
          <t>Main line</t>
        </is>
      </c>
      <c r="AB31" s="6" t="inlineStr">
        <is>
          <t>https://www.sandlinhomes.com/</t>
        </is>
      </c>
      <c r="AC31" s="6" t="inlineStr"/>
      <c r="AD31" s="6" t="inlineStr"/>
    </row>
    <row r="32">
      <c r="A32" s="12" t="inlineStr">
        <is>
          <t>Matt Speight</t>
        </is>
      </c>
      <c r="B32" s="12" t="inlineStr">
        <is>
          <t>Sandlin Homes</t>
        </is>
      </c>
      <c r="C32" s="12" t="inlineStr">
        <is>
          <t>Owner</t>
        </is>
      </c>
      <c r="D32" s="13" t="inlineStr">
        <is>
          <t>One gap</t>
        </is>
      </c>
      <c r="E32" s="14" t="n">
        <v>2</v>
      </c>
      <c r="F32" s="12" t="inlineStr">
        <is>
          <t>Buys walls</t>
        </is>
      </c>
      <c r="G32" s="12" t="inlineStr">
        <is>
          <t>North Richland Hills, building across North Texas</t>
        </is>
      </c>
      <c r="H32" s="12" t="inlineStr">
        <is>
          <t>177 company-wide closings in 2023, BUILDER rank 194</t>
        </is>
      </c>
      <c r="I32" s="14" t="inlineStr">
        <is>
          <t>Yes</t>
        </is>
      </c>
      <c r="J32" s="15" t="inlineStr">
        <is>
          <t>Production homes concentrated in North Texas under one family firm.</t>
        </is>
      </c>
      <c r="K32" s="14" t="inlineStr">
        <is>
          <t>Yes</t>
        </is>
      </c>
      <c r="L32" s="15" t="inlineStr">
        <is>
          <t>177 company-wide closings in 2023 sits in the 25 to 400 band, concentrated in North Texas.</t>
        </is>
      </c>
      <c r="M32" s="14" t="inlineStr">
        <is>
          <t>No</t>
        </is>
      </c>
      <c r="N32" s="15" t="inlineStr">
        <is>
          <t>Nothing on record.</t>
        </is>
      </c>
      <c r="O32" s="10" t="inlineStr"/>
      <c r="P32" s="12" t="inlineStr"/>
      <c r="Q32" s="16">
        <f>IF(O32="","ADD LINKEDIN","ok")</f>
        <v/>
      </c>
      <c r="R32" s="12" t="inlineStr">
        <is>
          <t>https://www.sandlinhomes.com/</t>
        </is>
      </c>
      <c r="S32" s="15" t="inlineStr">
        <is>
          <t>Family-owned and based in North Richland Hills, with Scott Sandlin as Owner and CEO. No construction officer is named on its own pages.</t>
        </is>
      </c>
      <c r="T32" s="12" t="inlineStr"/>
      <c r="U32" s="15" t="inlineStr">
        <is>
          <t>Named on the firm's own Meet the Team page as an owner.</t>
        </is>
      </c>
      <c r="V32" s="12" t="inlineStr">
        <is>
          <t>https://www.sandlinhomes.com/meet-the-team</t>
        </is>
      </c>
      <c r="W32" s="12" t="inlineStr">
        <is>
          <t>https://www.linkedin.com/company/sandlin-custom-homes/</t>
        </is>
      </c>
      <c r="X32" s="12" t="inlineStr">
        <is>
          <t>https://www.sandlinhomes.com/meet-the-team</t>
        </is>
      </c>
      <c r="Y32" s="12" t="inlineStr"/>
      <c r="Z32" s="12" t="inlineStr">
        <is>
          <t>(800) 821-4663</t>
        </is>
      </c>
      <c r="AA32" s="12" t="inlineStr">
        <is>
          <t>Main line</t>
        </is>
      </c>
      <c r="AB32" s="12" t="inlineStr">
        <is>
          <t>https://www.sandlinhomes.com/</t>
        </is>
      </c>
      <c r="AC32" s="12" t="inlineStr"/>
      <c r="AD32" s="12" t="inlineStr"/>
    </row>
    <row r="33">
      <c r="A33" s="6" t="inlineStr">
        <is>
          <t>Brent Landry</t>
        </is>
      </c>
      <c r="B33" s="6" t="inlineStr">
        <is>
          <t>American Homes 4 Rent (AMH)</t>
        </is>
      </c>
      <c r="C33" s="6" t="inlineStr">
        <is>
          <t>Executive Vice President of Development</t>
        </is>
      </c>
      <c r="D33" s="7" t="inlineStr">
        <is>
          <t>One gap</t>
        </is>
      </c>
      <c r="E33" s="8" t="n">
        <v>2</v>
      </c>
      <c r="F33" s="6" t="inlineStr">
        <is>
          <t>Sells lots</t>
        </is>
      </c>
      <c r="G33" s="6" t="inlineStr">
        <is>
          <t>Irving office, with rentals across Dallas-Fort Worth</t>
        </is>
      </c>
      <c r="H33" s="6" t="inlineStr">
        <is>
          <t>3,787 wholly owned DFW homes, June 30, 2025</t>
        </is>
      </c>
      <c r="I33" s="8" t="inlineStr">
        <is>
          <t>Yes</t>
        </is>
      </c>
      <c r="J33" s="9" t="inlineStr">
        <is>
          <t>The Development Program delivers repeated single-family rental homes, and it held 3,787 wholly owned DFW homes on June 30, 2025.</t>
        </is>
      </c>
      <c r="K33" s="8" t="inlineStr">
        <is>
          <t>Partly</t>
        </is>
      </c>
      <c r="L33" s="9" t="inlineStr">
        <is>
          <t>A national REIT development program, with no DFW share of new builds published.</t>
        </is>
      </c>
      <c r="M33" s="8" t="inlineStr">
        <is>
          <t>No</t>
        </is>
      </c>
      <c r="N33" s="9" t="inlineStr">
        <is>
          <t>Nothing on record about wall or structural method.</t>
        </is>
      </c>
      <c r="O33" s="10" t="inlineStr"/>
      <c r="P33" s="6" t="inlineStr"/>
      <c r="Q33" s="11">
        <f>IF(O33="","ADD LINKEDIN","ok")</f>
        <v/>
      </c>
      <c r="R33" s="6" t="inlineStr">
        <is>
          <t>https://www.amh.com/homes-for-rent/texas/dallas</t>
        </is>
      </c>
      <c r="S33" s="9" t="inlineStr">
        <is>
          <t>Builds its own rental homes through the AMH Development Program, run by an Executive Vice President of Development.</t>
        </is>
      </c>
      <c r="T33" s="6" t="inlineStr">
        <is>
          <t>YES</t>
        </is>
      </c>
      <c r="U33" s="9" t="inlineStr">
        <is>
          <t>Quoted in an American Homes 4 Rent release on PR Newswire as Executive Vice President of Development, on Development Program deliveries.</t>
        </is>
      </c>
      <c r="V33" s="6" t="inlineStr">
        <is>
          <t>https://www.prnewswire.com/news-releases/american-homes-4-rent-ranks-41-on-2022-builder-100-list-301565032.html</t>
        </is>
      </c>
      <c r="W33" s="6" t="inlineStr">
        <is>
          <t>https://www.linkedin.com/company/amhliving/</t>
        </is>
      </c>
      <c r="X33" s="6" t="inlineStr"/>
      <c r="Y33" s="6" t="inlineStr"/>
      <c r="Z33" s="6" t="inlineStr">
        <is>
          <t>(833) 736-8264</t>
        </is>
      </c>
      <c r="AA33" s="6" t="inlineStr">
        <is>
          <t>National line, listed for the Irving office</t>
        </is>
      </c>
      <c r="AB33" s="6" t="inlineStr">
        <is>
          <t>https://www.amh.com/offices</t>
        </is>
      </c>
      <c r="AC33" s="6" t="inlineStr"/>
      <c r="AD33" s="6" t="inlineStr"/>
    </row>
    <row r="34">
      <c r="A34" s="12" t="inlineStr">
        <is>
          <t>Steve Schermerhorn</t>
        </is>
      </c>
      <c r="B34" s="12" t="inlineStr">
        <is>
          <t>CB JENI Homes</t>
        </is>
      </c>
      <c r="C34" s="12" t="inlineStr">
        <is>
          <t>President, CB JENI Lifestyle, Normandy and Southgate Homes</t>
        </is>
      </c>
      <c r="D34" s="13" t="inlineStr">
        <is>
          <t>One gap</t>
        </is>
      </c>
      <c r="E34" s="14" t="n">
        <v>2</v>
      </c>
      <c r="F34" s="12" t="inlineStr">
        <is>
          <t>Buys walls</t>
        </is>
      </c>
      <c r="G34" s="12" t="inlineStr">
        <is>
          <t>Plano, with townhome communities across DFW</t>
        </is>
      </c>
      <c r="H34" s="12" t="inlineStr">
        <is>
          <t>Green Brick's DFW townhome brand, closings not published</t>
        </is>
      </c>
      <c r="I34" s="14" t="inlineStr">
        <is>
          <t>Yes</t>
        </is>
      </c>
      <c r="J34" s="15" t="inlineStr">
        <is>
          <t>A townhome plan library sold across DFW communities, including Twin Creeks, City Point and Painted Tree.</t>
        </is>
      </c>
      <c r="K34" s="14" t="inlineStr">
        <is>
          <t>Partly</t>
        </is>
      </c>
      <c r="L34" s="15" t="inlineStr">
        <is>
          <t>No brand closings figure is published. The brand shares its president with two other Green Brick brands, so purchasing may sit with the parent.</t>
        </is>
      </c>
      <c r="M34" s="14" t="inlineStr">
        <is>
          <t>No</t>
        </is>
      </c>
      <c r="N34" s="15" t="inlineStr">
        <is>
          <t>The awards on the parent's brands page are for design and sales. Nothing on record for a new building method.</t>
        </is>
      </c>
      <c r="O34" s="6" t="inlineStr">
        <is>
          <t>https://www.linkedin.com/in/steve-schermerhorn-0b39605/</t>
        </is>
      </c>
      <c r="P34" s="12" t="inlineStr"/>
      <c r="Q34" s="16">
        <f>IF(O34="","ADD LINKEDIN","ok")</f>
        <v/>
      </c>
      <c r="R34" s="12" t="inlineStr">
        <is>
          <t>https://cbjenihomes.com/</t>
        </is>
      </c>
      <c r="S34" s="15" t="inlineStr">
        <is>
          <t>One president, Steve Schermerhorn, runs three Green Brick brands: CB JENI, Normandy and Southgate. The wall decision may sit with him or with the parent.</t>
        </is>
      </c>
      <c r="T34" s="12" t="inlineStr">
        <is>
          <t>YES</t>
        </is>
      </c>
      <c r="U34" s="15" t="inlineStr">
        <is>
          <t>Indexed title reads Steve Schermerhorn - President at CB JENI, Normandy. Named in the Division Presidents section of Green Brick's leadership page.</t>
        </is>
      </c>
      <c r="V34" s="12" t="inlineStr">
        <is>
          <t>https://greenbrickpartners.com/leadership/</t>
        </is>
      </c>
      <c r="W34" s="12" t="inlineStr">
        <is>
          <t>https://www.linkedin.com/company/cb-jeni-homes/</t>
        </is>
      </c>
      <c r="X34" s="12" t="inlineStr">
        <is>
          <t>https://greenbrickpartners.com/leadership/</t>
        </is>
      </c>
      <c r="Y34" s="12" t="inlineStr"/>
      <c r="Z34" s="12" t="inlineStr">
        <is>
          <t>(469) 573-6721</t>
        </is>
      </c>
      <c r="AA34" s="12" t="inlineStr">
        <is>
          <t>Green Brick Partners corporate, the parent</t>
        </is>
      </c>
      <c r="AB34" s="12" t="inlineStr">
        <is>
          <t>https://greenbrickpartners.com/about/</t>
        </is>
      </c>
      <c r="AC34" s="12" t="inlineStr"/>
      <c r="AD34" s="12" t="inlineStr"/>
    </row>
    <row r="35">
      <c r="A35" s="6" t="inlineStr">
        <is>
          <t>Trevor Brickman</t>
        </is>
      </c>
      <c r="B35" s="6" t="inlineStr">
        <is>
          <t>Centre Living Homes</t>
        </is>
      </c>
      <c r="C35" s="6" t="inlineStr">
        <is>
          <t>President</t>
        </is>
      </c>
      <c r="D35" s="7" t="inlineStr">
        <is>
          <t>One gap</t>
        </is>
      </c>
      <c r="E35" s="8" t="n">
        <v>2</v>
      </c>
      <c r="F35" s="6" t="inlineStr">
        <is>
          <t>Buys walls</t>
        </is>
      </c>
      <c r="G35" s="6" t="inlineStr">
        <is>
          <t>Dallas, with communities across DFW including Ellis County</t>
        </is>
      </c>
      <c r="H35" s="6" t="inlineStr">
        <is>
          <t>Green Brick DFW brand, closings not published</t>
        </is>
      </c>
      <c r="I35" s="8" t="inlineStr">
        <is>
          <t>Yes</t>
        </is>
      </c>
      <c r="J35" s="9" t="inlineStr">
        <is>
          <t>Single-family and townhome plans sold across several DFW communities, including Rainwater Crossing, Painted Tree and Newman Village.</t>
        </is>
      </c>
      <c r="K35" s="8" t="inlineStr">
        <is>
          <t>Partly</t>
        </is>
      </c>
      <c r="L35" s="9" t="inlineStr">
        <is>
          <t>No published closing figure. Green Brick supplies centralized purchasing.</t>
        </is>
      </c>
      <c r="M35" s="8" t="inlineStr">
        <is>
          <t>No</t>
        </is>
      </c>
      <c r="N35" s="9" t="inlineStr">
        <is>
          <t>Nothing on record. Its about page describes Green Brick's operational support and design, not a building method.</t>
        </is>
      </c>
      <c r="O35" s="6" t="inlineStr">
        <is>
          <t>https://www.linkedin.com/in/trevor-brickman-3a52b582/</t>
        </is>
      </c>
      <c r="P35" s="6" t="inlineStr"/>
      <c r="Q35" s="11">
        <f>IF(O35="","ADD LINKEDIN","ok")</f>
        <v/>
      </c>
      <c r="R35" s="6" t="inlineStr">
        <is>
          <t>https://centrelivinghomes.com/</t>
        </is>
      </c>
      <c r="S35" s="9" t="inlineStr">
        <is>
          <t>Day-to-day decisions are made locally, but Green Brick supplies centralized purchasing.</t>
        </is>
      </c>
      <c r="T35" s="6" t="inlineStr">
        <is>
          <t>YES</t>
        </is>
      </c>
      <c r="U35" s="9" t="inlineStr">
        <is>
          <t>Indexed title reads Trevor Brickman - Centre Living Homes LLC. Named under Division Presidents on Green Brick's leadership page as founder and President of Centre Living Homes since 2012.</t>
        </is>
      </c>
      <c r="V35" s="6" t="inlineStr">
        <is>
          <t>https://greenbrickpartners.com/leadership/</t>
        </is>
      </c>
      <c r="W35" s="6" t="inlineStr">
        <is>
          <t>https://www.linkedin.com/company/centre-living-homes/</t>
        </is>
      </c>
      <c r="X35" s="6" t="inlineStr">
        <is>
          <t>https://greenbrickpartners.com/leadership/</t>
        </is>
      </c>
      <c r="Y35" s="6" t="inlineStr"/>
      <c r="Z35" s="6" t="inlineStr">
        <is>
          <t>(469) 567-3518</t>
        </is>
      </c>
      <c r="AA35" s="6" t="inlineStr">
        <is>
          <t>Main office, Dallas</t>
        </is>
      </c>
      <c r="AB35" s="6" t="inlineStr">
        <is>
          <t>https://centrelivinghomes.com/contact/</t>
        </is>
      </c>
      <c r="AC35" s="6" t="inlineStr"/>
      <c r="AD35" s="6" t="inlineStr"/>
    </row>
    <row r="36">
      <c r="A36" s="12" t="inlineStr">
        <is>
          <t>Josh E. Hartmann</t>
        </is>
      </c>
      <c r="B36" s="12" t="inlineStr">
        <is>
          <t>NexMetro Communities / Avilla</t>
        </is>
      </c>
      <c r="C36" s="12" t="inlineStr">
        <is>
          <t>Chief Executive Officer</t>
        </is>
      </c>
      <c r="D36" s="13" t="inlineStr">
        <is>
          <t>One gap</t>
        </is>
      </c>
      <c r="E36" s="14" t="n">
        <v>2</v>
      </c>
      <c r="F36" s="12" t="inlineStr">
        <is>
          <t>Sells lots</t>
        </is>
      </c>
      <c r="G36" s="12" t="inlineStr">
        <is>
          <t>Dallas office, with neighborhoods from Plano to Cleburne</t>
        </is>
      </c>
      <c r="H36" s="12" t="inlineStr">
        <is>
          <t>Over 2,750 DFW homes built since 2017</t>
        </is>
      </c>
      <c r="I36" s="14" t="inlineStr">
        <is>
          <t>Yes</t>
        </is>
      </c>
      <c r="J36" s="15" t="inlineStr">
        <is>
          <t>Repeated detached single-level Avilla plans across 16 DFW neighborhoods and the wider Sunbelt.</t>
        </is>
      </c>
      <c r="K36" s="14" t="inlineStr">
        <is>
          <t>Partly</t>
        </is>
      </c>
      <c r="L36" s="15" t="inlineStr">
        <is>
          <t>Its directory names purchasing and construction staff, but whether it builds in-house or through a general contractor is not published. Single sites run from 151 to 315 homes.</t>
        </is>
      </c>
      <c r="M36" s="14" t="inlineStr">
        <is>
          <t>No</t>
        </is>
      </c>
      <c r="N36" s="15" t="inlineStr">
        <is>
          <t>Nothing on record.</t>
        </is>
      </c>
      <c r="O36" s="10" t="inlineStr"/>
      <c r="P36" s="12" t="inlineStr"/>
      <c r="Q36" s="16">
        <f>IF(O36="","ADD LINKEDIN","ok")</f>
        <v/>
      </c>
      <c r="R36" s="12" t="inlineStr">
        <is>
          <t>https://www.nexmetro.com/</t>
        </is>
      </c>
      <c r="S36" s="15" t="inlineStr">
        <is>
          <t>Develops its own Avilla build-to-rent neighborhoods of detached single-level homes. Its directory names a National Purchasing Manager and a Director of Construction.</t>
        </is>
      </c>
      <c r="T36" s="12" t="inlineStr"/>
      <c r="U36" s="15" t="inlineStr">
        <is>
          <t>Listed in NexMetro's own directory as Chief Executive Officer.</t>
        </is>
      </c>
      <c r="V36" s="12" t="inlineStr">
        <is>
          <t>https://www.nexmetro.com/directory.php</t>
        </is>
      </c>
      <c r="W36" s="12" t="inlineStr">
        <is>
          <t>https://www.linkedin.com/company/nexmetro-communities/</t>
        </is>
      </c>
      <c r="X36" s="12" t="inlineStr">
        <is>
          <t>https://www.nexmetro.com/directory.php</t>
        </is>
      </c>
      <c r="Y36" s="12" t="inlineStr">
        <is>
          <t>2025-07-28 MultifamilyBiz / NexMetro. NexMetro Opens 16th Avilla Community in Dallas-Fort Worth Market (Avilla Railhead)  https://daltxrealestate.com/national-build-to-rent-developer-nexmetro-opens-16th-community-in-dallas-fort-worth-market/</t>
        </is>
      </c>
      <c r="Z36" s="12" t="inlineStr">
        <is>
          <t>(469) 249-1819</t>
        </is>
      </c>
      <c r="AA36" s="12" t="inlineStr">
        <is>
          <t>Dallas office</t>
        </is>
      </c>
      <c r="AB36" s="12" t="inlineStr">
        <is>
          <t>https://www.nexmetro.com/contact.php</t>
        </is>
      </c>
      <c r="AC36" s="12" t="inlineStr"/>
      <c r="AD36" s="12" t="inlineStr"/>
    </row>
    <row r="37">
      <c r="A37" s="6" t="inlineStr">
        <is>
          <t>Drew Klasing</t>
        </is>
      </c>
      <c r="B37" s="6" t="inlineStr">
        <is>
          <t>NexMetro Communities / Avilla</t>
        </is>
      </c>
      <c r="C37" s="6" t="inlineStr">
        <is>
          <t>Regional Managing Director, Dallas and Tampa</t>
        </is>
      </c>
      <c r="D37" s="7" t="inlineStr">
        <is>
          <t>One gap</t>
        </is>
      </c>
      <c r="E37" s="8" t="n">
        <v>2</v>
      </c>
      <c r="F37" s="6" t="inlineStr">
        <is>
          <t>Sells lots</t>
        </is>
      </c>
      <c r="G37" s="6" t="inlineStr">
        <is>
          <t>Dallas office, with neighborhoods from Plano to Cleburne</t>
        </is>
      </c>
      <c r="H37" s="6" t="inlineStr">
        <is>
          <t>Over 2,750 DFW homes built since 2017</t>
        </is>
      </c>
      <c r="I37" s="8" t="inlineStr">
        <is>
          <t>Yes</t>
        </is>
      </c>
      <c r="J37" s="9" t="inlineStr">
        <is>
          <t>Repeated detached single-level Avilla plans across 16 DFW neighborhoods and the wider Sunbelt.</t>
        </is>
      </c>
      <c r="K37" s="8" t="inlineStr">
        <is>
          <t>Partly</t>
        </is>
      </c>
      <c r="L37" s="9" t="inlineStr">
        <is>
          <t>Its directory names purchasing and construction staff, but whether it builds in-house or through a general contractor is not published. Single sites run from 151 to 315 homes.</t>
        </is>
      </c>
      <c r="M37" s="8" t="inlineStr">
        <is>
          <t>No</t>
        </is>
      </c>
      <c r="N37" s="9" t="inlineStr">
        <is>
          <t>Nothing on record.</t>
        </is>
      </c>
      <c r="O37" s="10" t="inlineStr"/>
      <c r="P37" s="6" t="inlineStr"/>
      <c r="Q37" s="11">
        <f>IF(O37="","ADD LINKEDIN","ok")</f>
        <v/>
      </c>
      <c r="R37" s="6" t="inlineStr">
        <is>
          <t>https://www.nexmetro.com/</t>
        </is>
      </c>
      <c r="S37" s="9" t="inlineStr">
        <is>
          <t>Develops its own Avilla build-to-rent neighborhoods of detached single-level homes. Its directory names a National Purchasing Manager and a Director of Construction.</t>
        </is>
      </c>
      <c r="T37" s="6" t="inlineStr"/>
      <c r="U37" s="9" t="inlineStr">
        <is>
          <t>Listed in NexMetro's own directory as Regional Managing Director, Dallas and Tampa.</t>
        </is>
      </c>
      <c r="V37" s="6" t="inlineStr">
        <is>
          <t>https://www.nexmetro.com/directory.php</t>
        </is>
      </c>
      <c r="W37" s="6" t="inlineStr">
        <is>
          <t>https://www.linkedin.com/company/nexmetro-communities/</t>
        </is>
      </c>
      <c r="X37" s="6" t="inlineStr">
        <is>
          <t>https://www.nexmetro.com/directory.php</t>
        </is>
      </c>
      <c r="Y37" s="6" t="inlineStr">
        <is>
          <t>2025-07-28 MultifamilyBiz / NexMetro. NexMetro Opens 16th Avilla Community in Dallas-Fort Worth Market (Avilla Railhead)  https://daltxrealestate.com/national-build-to-rent-developer-nexmetro-opens-16th-community-in-dallas-fort-worth-market/</t>
        </is>
      </c>
      <c r="Z37" s="6" t="inlineStr">
        <is>
          <t>(469) 249-1819</t>
        </is>
      </c>
      <c r="AA37" s="6" t="inlineStr">
        <is>
          <t>Dallas office</t>
        </is>
      </c>
      <c r="AB37" s="6" t="inlineStr">
        <is>
          <t>https://www.nexmetro.com/contact.php</t>
        </is>
      </c>
      <c r="AC37" s="6" t="inlineStr"/>
      <c r="AD37" s="6" t="inlineStr"/>
    </row>
    <row r="38">
      <c r="A38" s="12" t="inlineStr">
        <is>
          <t>Bernadette Bendit</t>
        </is>
      </c>
      <c r="B38" s="12" t="inlineStr">
        <is>
          <t>NexMetro Communities / Avilla</t>
        </is>
      </c>
      <c r="C38" s="12" t="inlineStr">
        <is>
          <t>National Purchasing Manager</t>
        </is>
      </c>
      <c r="D38" s="13" t="inlineStr">
        <is>
          <t>One gap</t>
        </is>
      </c>
      <c r="E38" s="14" t="n">
        <v>2</v>
      </c>
      <c r="F38" s="12" t="inlineStr">
        <is>
          <t>Sells lots</t>
        </is>
      </c>
      <c r="G38" s="12" t="inlineStr">
        <is>
          <t>Dallas office, with neighborhoods from Plano to Cleburne</t>
        </is>
      </c>
      <c r="H38" s="12" t="inlineStr">
        <is>
          <t>Over 2,750 DFW homes built since 2017</t>
        </is>
      </c>
      <c r="I38" s="14" t="inlineStr">
        <is>
          <t>Yes</t>
        </is>
      </c>
      <c r="J38" s="15" t="inlineStr">
        <is>
          <t>Repeated detached single-level Avilla plans across 16 DFW neighborhoods and the wider Sunbelt.</t>
        </is>
      </c>
      <c r="K38" s="14" t="inlineStr">
        <is>
          <t>Partly</t>
        </is>
      </c>
      <c r="L38" s="15" t="inlineStr">
        <is>
          <t>Its directory names purchasing and construction staff, but whether it builds in-house or through a general contractor is not published. Single sites run from 151 to 315 homes.</t>
        </is>
      </c>
      <c r="M38" s="14" t="inlineStr">
        <is>
          <t>No</t>
        </is>
      </c>
      <c r="N38" s="15" t="inlineStr">
        <is>
          <t>Nothing on record.</t>
        </is>
      </c>
      <c r="O38" s="10" t="inlineStr"/>
      <c r="P38" s="12" t="inlineStr"/>
      <c r="Q38" s="16">
        <f>IF(O38="","ADD LINKEDIN","ok")</f>
        <v/>
      </c>
      <c r="R38" s="12" t="inlineStr">
        <is>
          <t>https://www.nexmetro.com/</t>
        </is>
      </c>
      <c r="S38" s="15" t="inlineStr">
        <is>
          <t>Develops its own Avilla build-to-rent neighborhoods of detached single-level homes. Its directory names a National Purchasing Manager and a Director of Construction.</t>
        </is>
      </c>
      <c r="T38" s="12" t="inlineStr">
        <is>
          <t>YES</t>
        </is>
      </c>
      <c r="U38" s="15" t="inlineStr">
        <is>
          <t>Listed in NexMetro's own directory as National Purchasing Manager.</t>
        </is>
      </c>
      <c r="V38" s="12" t="inlineStr">
        <is>
          <t>https://www.nexmetro.com/directory.php</t>
        </is>
      </c>
      <c r="W38" s="12" t="inlineStr">
        <is>
          <t>https://www.linkedin.com/company/nexmetro-communities/</t>
        </is>
      </c>
      <c r="X38" s="12" t="inlineStr">
        <is>
          <t>https://www.nexmetro.com/directory.php</t>
        </is>
      </c>
      <c r="Y38" s="12" t="inlineStr">
        <is>
          <t>2025-07-28 MultifamilyBiz / NexMetro. NexMetro Opens 16th Avilla Community in Dallas-Fort Worth Market (Avilla Railhead)  https://daltxrealestate.com/national-build-to-rent-developer-nexmetro-opens-16th-community-in-dallas-fort-worth-market/</t>
        </is>
      </c>
      <c r="Z38" s="12" t="inlineStr">
        <is>
          <t>(469) 249-1819</t>
        </is>
      </c>
      <c r="AA38" s="12" t="inlineStr">
        <is>
          <t>Dallas office</t>
        </is>
      </c>
      <c r="AB38" s="12" t="inlineStr">
        <is>
          <t>https://www.nexmetro.com/contact.php</t>
        </is>
      </c>
      <c r="AC38" s="12" t="inlineStr"/>
      <c r="AD38" s="12" t="inlineStr"/>
    </row>
    <row r="39">
      <c r="A39" s="6" t="inlineStr">
        <is>
          <t>Mark Barton</t>
        </is>
      </c>
      <c r="B39" s="6" t="inlineStr">
        <is>
          <t>NexMetro Communities / Avilla</t>
        </is>
      </c>
      <c r="C39" s="6" t="inlineStr">
        <is>
          <t>Director of Construction</t>
        </is>
      </c>
      <c r="D39" s="7" t="inlineStr">
        <is>
          <t>One gap</t>
        </is>
      </c>
      <c r="E39" s="8" t="n">
        <v>2</v>
      </c>
      <c r="F39" s="6" t="inlineStr">
        <is>
          <t>Sells lots</t>
        </is>
      </c>
      <c r="G39" s="6" t="inlineStr">
        <is>
          <t>Dallas office, with neighborhoods from Plano to Cleburne</t>
        </is>
      </c>
      <c r="H39" s="6" t="inlineStr">
        <is>
          <t>Over 2,750 DFW homes built since 2017</t>
        </is>
      </c>
      <c r="I39" s="8" t="inlineStr">
        <is>
          <t>Yes</t>
        </is>
      </c>
      <c r="J39" s="9" t="inlineStr">
        <is>
          <t>Repeated detached single-level Avilla plans across 16 DFW neighborhoods and the wider Sunbelt.</t>
        </is>
      </c>
      <c r="K39" s="8" t="inlineStr">
        <is>
          <t>Partly</t>
        </is>
      </c>
      <c r="L39" s="9" t="inlineStr">
        <is>
          <t>Its directory names purchasing and construction staff, but whether it builds in-house or through a general contractor is not published. Single sites run from 151 to 315 homes.</t>
        </is>
      </c>
      <c r="M39" s="8" t="inlineStr">
        <is>
          <t>No</t>
        </is>
      </c>
      <c r="N39" s="9" t="inlineStr">
        <is>
          <t>Nothing on record.</t>
        </is>
      </c>
      <c r="O39" s="10" t="inlineStr"/>
      <c r="P39" s="6" t="inlineStr"/>
      <c r="Q39" s="11">
        <f>IF(O39="","ADD LINKEDIN","ok")</f>
        <v/>
      </c>
      <c r="R39" s="6" t="inlineStr">
        <is>
          <t>https://www.nexmetro.com/</t>
        </is>
      </c>
      <c r="S39" s="9" t="inlineStr">
        <is>
          <t>Develops its own Avilla build-to-rent neighborhoods of detached single-level homes. Its directory names a National Purchasing Manager and a Director of Construction.</t>
        </is>
      </c>
      <c r="T39" s="6" t="inlineStr">
        <is>
          <t>YES</t>
        </is>
      </c>
      <c r="U39" s="9" t="inlineStr">
        <is>
          <t>Listed in NexMetro's own directory as Director, Construction.</t>
        </is>
      </c>
      <c r="V39" s="6" t="inlineStr">
        <is>
          <t>https://www.nexmetro.com/directory.php</t>
        </is>
      </c>
      <c r="W39" s="6" t="inlineStr">
        <is>
          <t>https://www.linkedin.com/company/nexmetro-communities/</t>
        </is>
      </c>
      <c r="X39" s="6" t="inlineStr">
        <is>
          <t>https://www.nexmetro.com/directory.php</t>
        </is>
      </c>
      <c r="Y39" s="6" t="inlineStr">
        <is>
          <t>2025-07-28 MultifamilyBiz / NexMetro. NexMetro Opens 16th Avilla Community in Dallas-Fort Worth Market (Avilla Railhead)  https://daltxrealestate.com/national-build-to-rent-developer-nexmetro-opens-16th-community-in-dallas-fort-worth-market/</t>
        </is>
      </c>
      <c r="Z39" s="6" t="inlineStr">
        <is>
          <t>(469) 249-1819</t>
        </is>
      </c>
      <c r="AA39" s="6" t="inlineStr">
        <is>
          <t>Dallas office</t>
        </is>
      </c>
      <c r="AB39" s="6" t="inlineStr">
        <is>
          <t>https://www.nexmetro.com/contact.php</t>
        </is>
      </c>
      <c r="AC39" s="6" t="inlineStr"/>
      <c r="AD39" s="6" t="inlineStr"/>
    </row>
    <row r="40">
      <c r="A40" s="12" t="inlineStr">
        <is>
          <t>Steve Schermerhorn</t>
        </is>
      </c>
      <c r="B40" s="12" t="inlineStr">
        <is>
          <t>Normandy Homes</t>
        </is>
      </c>
      <c r="C40" s="12" t="inlineStr">
        <is>
          <t>President, CB JENI Lifestyle, Normandy and Southgate Homes</t>
        </is>
      </c>
      <c r="D40" s="13" t="inlineStr">
        <is>
          <t>One gap</t>
        </is>
      </c>
      <c r="E40" s="14" t="n">
        <v>2</v>
      </c>
      <c r="F40" s="12" t="inlineStr">
        <is>
          <t>Buys walls</t>
        </is>
      </c>
      <c r="G40" s="12" t="inlineStr">
        <is>
          <t>Dallas-Fort Worth, a Green Brick Partners brand</t>
        </is>
      </c>
      <c r="H40" s="12" t="inlineStr">
        <is>
          <t>Green Brick move-up brand in DFW since 2012</t>
        </is>
      </c>
      <c r="I40" s="14" t="inlineStr">
        <is>
          <t>Yes</t>
        </is>
      </c>
      <c r="J40" s="15" t="inlineStr">
        <is>
          <t>A move-up single-family plan library in DFW locations under the Normandy brand.</t>
        </is>
      </c>
      <c r="K40" s="14" t="inlineStr">
        <is>
          <t>Partly</t>
        </is>
      </c>
      <c r="L40" s="15" t="inlineStr">
        <is>
          <t>No brand closing figure is published, and it shares a president with CB JENI and Southgate under Green Brick.</t>
        </is>
      </c>
      <c r="M40" s="14" t="inlineStr">
        <is>
          <t>No</t>
        </is>
      </c>
      <c r="N40" s="15" t="inlineStr">
        <is>
          <t>The awards on the parent and brand pages are design and sales awards, not payment for a new building method.</t>
        </is>
      </c>
      <c r="O40" s="6" t="inlineStr">
        <is>
          <t>https://www.linkedin.com/in/steve-schermerhorn-0b39605/</t>
        </is>
      </c>
      <c r="P40" s="12" t="inlineStr"/>
      <c r="Q40" s="16">
        <f>IF(O40="","ADD LINKEDIN","ok")</f>
        <v/>
      </c>
      <c r="R40" s="12" t="inlineStr">
        <is>
          <t>https://normandyhomes.com/</t>
        </is>
      </c>
      <c r="S40" s="15" t="inlineStr">
        <is>
          <t>A move-up brand that shares its president with CB JENI and Southgate. The wall decision may sit with him or with the parent.</t>
        </is>
      </c>
      <c r="T40" s="12" t="inlineStr">
        <is>
          <t>YES</t>
        </is>
      </c>
      <c r="U40" s="15" t="inlineStr">
        <is>
          <t>Indexed title reads Steve Schermerhorn - President at CB JENI, Normandy. Named in the Division Presidents section of Green Brick's leadership page.</t>
        </is>
      </c>
      <c r="V40" s="12" t="inlineStr">
        <is>
          <t>https://greenbrickpartners.com/leadership/</t>
        </is>
      </c>
      <c r="W40" s="12" t="inlineStr">
        <is>
          <t>https://www.linkedin.com/company/normandy-homes/</t>
        </is>
      </c>
      <c r="X40" s="12" t="inlineStr">
        <is>
          <t>https://greenbrickpartners.com/leadership/</t>
        </is>
      </c>
      <c r="Y40" s="12" t="inlineStr"/>
      <c r="Z40" s="12" t="inlineStr">
        <is>
          <t>(469) 573-6721</t>
        </is>
      </c>
      <c r="AA40" s="12" t="inlineStr">
        <is>
          <t>Green Brick Partners corporate, parent company</t>
        </is>
      </c>
      <c r="AB40" s="12" t="inlineStr">
        <is>
          <t>https://greenbrickpartners.com/about/</t>
        </is>
      </c>
      <c r="AC40" s="12" t="inlineStr"/>
      <c r="AD40" s="12" t="inlineStr"/>
    </row>
    <row r="41">
      <c r="A41" s="6" t="inlineStr">
        <is>
          <t>Blake Friesenhahn</t>
        </is>
      </c>
      <c r="B41" s="6" t="inlineStr">
        <is>
          <t>Pacesetter Homes Texas</t>
        </is>
      </c>
      <c r="C41" s="6" t="inlineStr">
        <is>
          <t>Vice President, Pacesetter Homes Dallas-Fort Worth</t>
        </is>
      </c>
      <c r="D41" s="7" t="inlineStr">
        <is>
          <t>One gap</t>
        </is>
      </c>
      <c r="E41" s="8" t="n">
        <v>2</v>
      </c>
      <c r="F41" s="6" t="inlineStr">
        <is>
          <t>Buys walls</t>
        </is>
      </c>
      <c r="G41" s="6" t="inlineStr">
        <is>
          <t>McKinney office, with communities in Celina, Little Elm, Forney, Rockwall and Justin</t>
        </is>
      </c>
      <c r="H41" s="6" t="inlineStr">
        <is>
          <t>482 closings company-wide in 2025, Austin and DFW</t>
        </is>
      </c>
      <c r="I41" s="8" t="inlineStr">
        <is>
          <t>Yes</t>
        </is>
      </c>
      <c r="J41" s="9" t="inlineStr">
        <is>
          <t>Qualico production plans repeated across DFW communities in Celina, Little Elm, Forney, Rockwall and the Justin corridor.</t>
        </is>
      </c>
      <c r="K41" s="8" t="inlineStr">
        <is>
          <t>Partly</t>
        </is>
      </c>
      <c r="L41" s="9" t="inlineStr">
        <is>
          <t>482 closings company-wide in 2025, across Austin and DFW, sits in the 400 to 1,500 band. No DFW share is published.</t>
        </is>
      </c>
      <c r="M41" s="8" t="inlineStr">
        <is>
          <t>No</t>
        </is>
      </c>
      <c r="N41" s="9" t="inlineStr">
        <is>
          <t>Nothing on record about construction method.</t>
        </is>
      </c>
      <c r="O41" s="10" t="inlineStr"/>
      <c r="P41" s="6" t="inlineStr"/>
      <c r="Q41" s="11">
        <f>IF(O41="","ADD LINKEDIN","ok")</f>
        <v/>
      </c>
      <c r="R41" s="6" t="inlineStr">
        <is>
          <t>https://pacesetterhomestexas.com/</t>
        </is>
      </c>
      <c r="S41" s="9" t="inlineStr">
        <is>
          <t>A Qualico production builder with a named DFW vice president, Blake Friesenhahn.</t>
        </is>
      </c>
      <c r="T41" s="6" t="inlineStr">
        <is>
          <t>YES</t>
        </is>
      </c>
      <c r="U41" s="9" t="inlineStr">
        <is>
          <t>Quoted in Qualico's May 29, 2025 news release as Vice-President of Pacesetter Homes Dallas-Fort Worth.</t>
        </is>
      </c>
      <c r="V41" s="6" t="inlineStr">
        <is>
          <t>https://www.qualico.com/news/pacesetter-homes-texas-earns-spot-on-builder-100-list-for-the-ninth-consecutive-year</t>
        </is>
      </c>
      <c r="W41" s="6" t="inlineStr">
        <is>
          <t>https://www.linkedin.com/company/pacesetter-homes-texas/</t>
        </is>
      </c>
      <c r="X41" s="6" t="inlineStr"/>
      <c r="Y41" s="6" t="inlineStr">
        <is>
          <t>2025-05-29 Qualico. Pacesetter Homes Texas earns spot on Builder 100 list for the ninth consecutive year  https://www.qualico.com/news/pacesetter-homes-texas-earns-spot-on-builder-100-list-for-the-ninth-consecutive-year</t>
        </is>
      </c>
      <c r="Z41" s="6" t="inlineStr">
        <is>
          <t>(469) 712-7401</t>
        </is>
      </c>
      <c r="AA41" s="6" t="inlineStr">
        <is>
          <t>Dallas corporate office, McKinney</t>
        </is>
      </c>
      <c r="AB41" s="6" t="inlineStr">
        <is>
          <t>https://pacesetterhomestexas.com/about-pacesetter/</t>
        </is>
      </c>
      <c r="AC41" s="6" t="inlineStr"/>
      <c r="AD41" s="6" t="inlineStr"/>
    </row>
    <row r="42">
      <c r="A42" s="12" t="inlineStr">
        <is>
          <t>Steve Schermerhorn</t>
        </is>
      </c>
      <c r="B42" s="12" t="inlineStr">
        <is>
          <t>Southgate Homes</t>
        </is>
      </c>
      <c r="C42" s="12" t="inlineStr">
        <is>
          <t>President, CB JENI Lifestyle, Normandy and Southgate Homes</t>
        </is>
      </c>
      <c r="D42" s="13" t="inlineStr">
        <is>
          <t>One gap</t>
        </is>
      </c>
      <c r="E42" s="14" t="n">
        <v>2</v>
      </c>
      <c r="F42" s="12" t="inlineStr">
        <is>
          <t>Buys walls</t>
        </is>
      </c>
      <c r="G42" s="12" t="inlineStr">
        <is>
          <t>Dallas-Fort Worth, a Green Brick Partners brand</t>
        </is>
      </c>
      <c r="H42" s="12" t="inlineStr">
        <is>
          <t>Green Brick luxury brand in DFW, no brand closings published</t>
        </is>
      </c>
      <c r="I42" s="14" t="inlineStr">
        <is>
          <t>Yes</t>
        </is>
      </c>
      <c r="J42" s="15" t="inlineStr">
        <is>
          <t>Luxury production plans in a limited set of DFW communities, including The Reserve at Watters, Painted Tree and Windsong Ranch.</t>
        </is>
      </c>
      <c r="K42" s="14" t="inlineStr">
        <is>
          <t>Partly</t>
        </is>
      </c>
      <c r="L42" s="15" t="inlineStr">
        <is>
          <t>No brand closing figure is published, and it shares a president with two other Green Brick brands.</t>
        </is>
      </c>
      <c r="M42" s="14" t="inlineStr">
        <is>
          <t>No</t>
        </is>
      </c>
      <c r="N42" s="15" t="inlineStr">
        <is>
          <t>The parent's brands page cites design and sales awards, not payment for a new building method.</t>
        </is>
      </c>
      <c r="O42" s="6" t="inlineStr">
        <is>
          <t>https://www.linkedin.com/in/steve-schermerhorn-0b39605/</t>
        </is>
      </c>
      <c r="P42" s="12" t="inlineStr"/>
      <c r="Q42" s="16">
        <f>IF(O42="","ADD LINKEDIN","ok")</f>
        <v/>
      </c>
      <c r="R42" s="12" t="inlineStr">
        <is>
          <t>https://southgatehomes.com/</t>
        </is>
      </c>
      <c r="S42" s="15" t="inlineStr">
        <is>
          <t>A luxury brand priced from the mid $700s to over $1.5M. Its president also runs CB JENI and Normandy for Green Brick.</t>
        </is>
      </c>
      <c r="T42" s="12" t="inlineStr">
        <is>
          <t>YES</t>
        </is>
      </c>
      <c r="U42" s="15" t="inlineStr">
        <is>
          <t>Indexed title reads Steve Schermerhorn - President at CB JENI, Normandy. Named on Green Brick's leadership page as President of CB JENI Lifestyle, Normandy and Southgate Homes.</t>
        </is>
      </c>
      <c r="V42" s="12" t="inlineStr">
        <is>
          <t>https://greenbrickpartners.com/leadership/</t>
        </is>
      </c>
      <c r="W42" s="12" t="inlineStr">
        <is>
          <t>https://www.linkedin.com/company/southgate-homes/</t>
        </is>
      </c>
      <c r="X42" s="12" t="inlineStr">
        <is>
          <t>https://greenbrickpartners.com/leadership/</t>
        </is>
      </c>
      <c r="Y42" s="12" t="inlineStr"/>
      <c r="Z42" s="12" t="inlineStr">
        <is>
          <t>(469) 573-6721</t>
        </is>
      </c>
      <c r="AA42" s="12" t="inlineStr">
        <is>
          <t>Green Brick Partners corporate, parent company</t>
        </is>
      </c>
      <c r="AB42" s="12" t="inlineStr">
        <is>
          <t>https://greenbrickpartners.com/about/</t>
        </is>
      </c>
      <c r="AC42" s="12" t="inlineStr"/>
      <c r="AD42" s="12" t="inlineStr"/>
    </row>
    <row r="43">
      <c r="A43" s="6" t="inlineStr">
        <is>
          <t>no contact identified</t>
        </is>
      </c>
      <c r="B43" s="6" t="inlineStr">
        <is>
          <t>William Ryan Homes</t>
        </is>
      </c>
      <c r="C43" s="6" t="inlineStr"/>
      <c r="D43" s="7" t="inlineStr">
        <is>
          <t>One gap</t>
        </is>
      </c>
      <c r="E43" s="8" t="n">
        <v>2</v>
      </c>
      <c r="F43" s="6" t="inlineStr">
        <is>
          <t>Buys walls</t>
        </is>
      </c>
      <c r="G43" s="6" t="inlineStr">
        <is>
          <t>Farmers Branch design center, with communities across North Texas</t>
        </is>
      </c>
      <c r="H43" s="6" t="inlineStr">
        <is>
          <t>436 company-wide closings in 2025, BUILDER rank 117</t>
        </is>
      </c>
      <c r="I43" s="8" t="inlineStr">
        <is>
          <t>Yes</t>
        </is>
      </c>
      <c r="J43" s="9" t="inlineStr">
        <is>
          <t>A repeated floor-plan catalog across DFW communities in Forney, Midlothian, Justin, Celina, McKinney, Anna and Royse City.</t>
        </is>
      </c>
      <c r="K43" s="8" t="inlineStr">
        <is>
          <t>Partly</t>
        </is>
      </c>
      <c r="L43" s="9" t="inlineStr">
        <is>
          <t>436 company-wide closings in 2025 sits in the 400 to 1,500 band, and no DFW share is published. The 2023 goal was about 500 a year in North Texas.</t>
        </is>
      </c>
      <c r="M43" s="8" t="inlineStr">
        <is>
          <t>No</t>
        </is>
      </c>
      <c r="N43" s="9" t="inlineStr">
        <is>
          <t>Nothing on record.</t>
        </is>
      </c>
      <c r="O43" s="10" t="inlineStr"/>
      <c r="P43" s="6" t="inlineStr"/>
      <c r="Q43" s="11">
        <f>IF(O43="","ADD LINKEDIN","ok")</f>
        <v/>
      </c>
      <c r="R43" s="6" t="inlineStr">
        <is>
          <t>https://www.williamryanhomes.com/dfw</t>
        </is>
      </c>
      <c r="S43" s="9" t="inlineStr">
        <is>
          <t>Returned to DFW in 2023 with lots under contract across North Texas, and sells a repeated plan catalog from Forney to Justin. No sitting DFW division head is named.</t>
        </is>
      </c>
      <c r="T43" s="6" t="inlineStr"/>
      <c r="U43" s="9" t="inlineStr"/>
      <c r="V43" s="6" t="inlineStr"/>
      <c r="W43" s="6" t="inlineStr">
        <is>
          <t>https://www.linkedin.com/company/william-ryan-homes/</t>
        </is>
      </c>
      <c r="X43" s="6" t="inlineStr"/>
      <c r="Y43" s="6" t="inlineStr">
        <is>
          <t>2023-07-07 Dallas Morning News. Chicago builder that left D-FW returns to area, takes 1,500 home sites  https://www.dallasnews.com/business/real-estate/2023/07/07/chicago-builder-that-left-d-fw-returns-to-area-takes-1500-home-sites/</t>
        </is>
      </c>
      <c r="Z43" s="6" t="inlineStr"/>
      <c r="AA43" s="6" t="inlineStr"/>
      <c r="AB43" s="6" t="inlineStr"/>
      <c r="AC43" s="6" t="inlineStr"/>
      <c r="AD43" s="6" t="inlineStr"/>
    </row>
    <row r="44">
      <c r="A44" s="12" t="inlineStr">
        <is>
          <t>Bruno Pasquinelli</t>
        </is>
      </c>
      <c r="B44" s="12" t="inlineStr">
        <is>
          <t>Cadence Homes</t>
        </is>
      </c>
      <c r="C44" s="12" t="inlineStr">
        <is>
          <t>Founder</t>
        </is>
      </c>
      <c r="D44" s="13" t="inlineStr">
        <is>
          <t>One gap</t>
        </is>
      </c>
      <c r="E44" s="14" t="n">
        <v>2</v>
      </c>
      <c r="F44" s="12" t="inlineStr">
        <is>
          <t>Buys walls</t>
        </is>
      </c>
      <c r="G44" s="12" t="inlineStr">
        <is>
          <t>Plano, with communities from McKinney to Crowley</t>
        </is>
      </c>
      <c r="H44" s="12" t="inlineStr">
        <is>
          <t>Townhome builder, eight DFW communities on its site</t>
        </is>
      </c>
      <c r="I44" s="14" t="inlineStr">
        <is>
          <t>Yes</t>
        </is>
      </c>
      <c r="J44" s="15" t="inlineStr">
        <is>
          <t>A townhome plan library repeated across at least eight DFW communities on its own site.</t>
        </is>
      </c>
      <c r="K44" s="14" t="inlineStr">
        <is>
          <t>Partly</t>
        </is>
      </c>
      <c r="L44" s="15" t="inlineStr">
        <is>
          <t>Townhomes in at least eight DFW communities, with annual closings not published.</t>
        </is>
      </c>
      <c r="M44" s="14" t="inlineStr">
        <is>
          <t>No</t>
        </is>
      </c>
      <c r="N44" s="15" t="inlineStr">
        <is>
          <t>Nothing on record.</t>
        </is>
      </c>
      <c r="O44" s="10" t="inlineStr"/>
      <c r="P44" s="12" t="inlineStr"/>
      <c r="Q44" s="16">
        <f>IF(O44="","ADD LINKEDIN","ok")</f>
        <v/>
      </c>
      <c r="R44" s="12" t="inlineStr">
        <is>
          <t>https://cadencehomestx.com/</t>
        </is>
      </c>
      <c r="S44" s="15" t="inlineStr">
        <is>
          <t>Builds attached townhomes on one plan library repeated across the Metroplex. Annual closings are not published.</t>
        </is>
      </c>
      <c r="T44" s="12" t="inlineStr">
        <is>
          <t>YES</t>
        </is>
      </c>
      <c r="U44" s="15" t="inlineStr">
        <is>
          <t>Named as founder, with more than 30 years of experience, on the Trinity Falls builder page, and quoted on Cadence's homepage.</t>
        </is>
      </c>
      <c r="V44" s="12" t="inlineStr">
        <is>
          <t>https://cadencehomestx.com/</t>
        </is>
      </c>
      <c r="W44" s="12" t="inlineStr">
        <is>
          <t>https://www.linkedin.com/company/cadence-homes/</t>
        </is>
      </c>
      <c r="X44" s="12" t="inlineStr"/>
      <c r="Y44" s="12" t="inlineStr"/>
      <c r="Z44" s="12" t="inlineStr">
        <is>
          <t>(469) 294-0196</t>
        </is>
      </c>
      <c r="AA44" s="12" t="inlineStr">
        <is>
          <t>Corporate office, Plano</t>
        </is>
      </c>
      <c r="AB44" s="12" t="inlineStr">
        <is>
          <t>https://cadencehomestx.com/</t>
        </is>
      </c>
      <c r="AC44" s="12" t="inlineStr"/>
      <c r="AD44" s="12" t="inlineStr"/>
    </row>
    <row r="45">
      <c r="A45" s="6" t="inlineStr">
        <is>
          <t>Dan Miller</t>
        </is>
      </c>
      <c r="B45" s="6" t="inlineStr">
        <is>
          <t>Camillo Companies / SimplyHome</t>
        </is>
      </c>
      <c r="C45" s="6" t="inlineStr">
        <is>
          <t>Chief Executive Officer, Camillo Companies</t>
        </is>
      </c>
      <c r="D45" s="7" t="inlineStr">
        <is>
          <t>One gap</t>
        </is>
      </c>
      <c r="E45" s="8" t="n">
        <v>2</v>
      </c>
      <c r="F45" s="6" t="inlineStr">
        <is>
          <t>Sells lots</t>
        </is>
      </c>
      <c r="G45" s="6" t="inlineStr">
        <is>
          <t>Houston-based, with SimplyHome rentals in Dallas-Fort Worth</t>
        </is>
      </c>
      <c r="H45" s="6" t="inlineStr">
        <is>
          <t>65,000+ SimplyHome residents since 2012, its own count</t>
        </is>
      </c>
      <c r="I45" s="8" t="inlineStr">
        <is>
          <t>Yes</t>
        </is>
      </c>
      <c r="J45" s="9" t="inlineStr">
        <is>
          <t>Attainable rental plans repeated across Texas SimplyHome communities, including DFW.</t>
        </is>
      </c>
      <c r="K45" s="8" t="inlineStr">
        <is>
          <t>Partly</t>
        </is>
      </c>
      <c r="L45" s="9" t="inlineStr">
        <is>
          <t>No DFW build volume is published, nor which DFW communities it built and which it bought.</t>
        </is>
      </c>
      <c r="M45" s="8" t="inlineStr">
        <is>
          <t>No</t>
        </is>
      </c>
      <c r="N45" s="9" t="inlineStr">
        <is>
          <t>Nothing on record about wall method.</t>
        </is>
      </c>
      <c r="O45" s="6" t="inlineStr">
        <is>
          <t>https://www.linkedin.com/in/dan-miller/</t>
        </is>
      </c>
      <c r="P45" s="6" t="inlineStr"/>
      <c r="Q45" s="11">
        <f>IF(O45="","ADD LINKEDIN","ok")</f>
        <v/>
      </c>
      <c r="R45" s="6" t="inlineStr">
        <is>
          <t>https://www.camillocompanies.com/</t>
        </is>
      </c>
      <c r="S45" s="9" t="inlineStr">
        <is>
          <t>Develops and rents attainable homes in Texas through SimplyHome, with a live DFW rental page. Which DFW communities it built, and which it bought, is not published.</t>
        </is>
      </c>
      <c r="T45" s="6" t="inlineStr">
        <is>
          <t>YES</t>
        </is>
      </c>
      <c r="U45" s="9" t="inlineStr">
        <is>
          <t>Indexed title reads Dan Miller - Chief Executive Officer at Camillo Companies. Named Chief Executive Officer in Camillo's own release of August 4, 2025.</t>
        </is>
      </c>
      <c r="V45" s="6" t="inlineStr">
        <is>
          <t>https://www.camillocompanies.com/camillo-companies-names-dan-miller-as-ceo</t>
        </is>
      </c>
      <c r="W45" s="6" t="inlineStr">
        <is>
          <t>https://www.linkedin.com/company/camillo-companies/</t>
        </is>
      </c>
      <c r="X45" s="6" t="inlineStr">
        <is>
          <t>https://www.camillocompanies.com/camillo-companies-names-dan-miller-as-ceo</t>
        </is>
      </c>
      <c r="Y45" s="6" t="inlineStr"/>
      <c r="Z45" s="6" t="inlineStr">
        <is>
          <t>(888) 234-9451</t>
        </is>
      </c>
      <c r="AA45" s="6" t="inlineStr">
        <is>
          <t>Camillo Companies main line</t>
        </is>
      </c>
      <c r="AB45" s="6" t="inlineStr">
        <is>
          <t>https://www.camillocompanies.com/</t>
        </is>
      </c>
      <c r="AC45" s="6" t="inlineStr"/>
      <c r="AD45" s="6" t="inlineStr"/>
    </row>
    <row r="46">
      <c r="A46" s="12" t="inlineStr">
        <is>
          <t>Matt Hansen</t>
        </is>
      </c>
      <c r="B46" s="12" t="inlineStr">
        <is>
          <t>Camillo Companies / SimplyHome</t>
        </is>
      </c>
      <c r="C46" s="12" t="inlineStr">
        <is>
          <t>President, SimplyHome</t>
        </is>
      </c>
      <c r="D46" s="13" t="inlineStr">
        <is>
          <t>One gap</t>
        </is>
      </c>
      <c r="E46" s="14" t="n">
        <v>2</v>
      </c>
      <c r="F46" s="12" t="inlineStr">
        <is>
          <t>Sells lots</t>
        </is>
      </c>
      <c r="G46" s="12" t="inlineStr">
        <is>
          <t>Houston-based, with SimplyHome rentals in Dallas-Fort Worth</t>
        </is>
      </c>
      <c r="H46" s="12" t="inlineStr">
        <is>
          <t>65,000+ SimplyHome residents since 2012, its own count</t>
        </is>
      </c>
      <c r="I46" s="14" t="inlineStr">
        <is>
          <t>Yes</t>
        </is>
      </c>
      <c r="J46" s="15" t="inlineStr">
        <is>
          <t>Attainable rental plans repeated across Texas SimplyHome communities, including DFW.</t>
        </is>
      </c>
      <c r="K46" s="14" t="inlineStr">
        <is>
          <t>Partly</t>
        </is>
      </c>
      <c r="L46" s="15" t="inlineStr">
        <is>
          <t>No DFW build volume is published, nor which DFW communities it built and which it bought.</t>
        </is>
      </c>
      <c r="M46" s="14" t="inlineStr">
        <is>
          <t>No</t>
        </is>
      </c>
      <c r="N46" s="15" t="inlineStr">
        <is>
          <t>Nothing on record about wall method.</t>
        </is>
      </c>
      <c r="O46" s="10" t="inlineStr"/>
      <c r="P46" s="12" t="inlineStr"/>
      <c r="Q46" s="16">
        <f>IF(O46="","ADD LINKEDIN","ok")</f>
        <v/>
      </c>
      <c r="R46" s="12" t="inlineStr">
        <is>
          <t>https://www.camillocompanies.com/</t>
        </is>
      </c>
      <c r="S46" s="15" t="inlineStr">
        <is>
          <t>Develops and rents attainable homes in Texas through SimplyHome, with a live DFW rental page. Which DFW communities it built, and which it bought, is not published.</t>
        </is>
      </c>
      <c r="T46" s="12" t="inlineStr">
        <is>
          <t>YES</t>
        </is>
      </c>
      <c r="U46" s="15" t="inlineStr">
        <is>
          <t>Named President of SimplyHome on Camillo's own blog, May 22, 2023.</t>
        </is>
      </c>
      <c r="V46" s="12" t="inlineStr">
        <is>
          <t>https://www.camillocompanies.com/blog/camillo-companies-names-tanya-rizzo-president-legend-homes-matt-hansen-president-simplyhome</t>
        </is>
      </c>
      <c r="W46" s="12" t="inlineStr">
        <is>
          <t>https://www.linkedin.com/company/camillo-companies/</t>
        </is>
      </c>
      <c r="X46" s="12" t="inlineStr">
        <is>
          <t>https://www.camillocompanies.com/camillo-companies-names-dan-miller-as-ceo</t>
        </is>
      </c>
      <c r="Y46" s="12" t="inlineStr"/>
      <c r="Z46" s="12" t="inlineStr">
        <is>
          <t>(888) 234-9451</t>
        </is>
      </c>
      <c r="AA46" s="12" t="inlineStr">
        <is>
          <t>Camillo Companies main line</t>
        </is>
      </c>
      <c r="AB46" s="12" t="inlineStr">
        <is>
          <t>https://www.camillocompanies.com/</t>
        </is>
      </c>
      <c r="AC46" s="12" t="inlineStr"/>
      <c r="AD46" s="12" t="inlineStr"/>
    </row>
    <row r="47">
      <c r="A47" s="6" t="inlineStr">
        <is>
          <t>Joey Goss</t>
        </is>
      </c>
      <c r="B47" s="6" t="inlineStr">
        <is>
          <t>Cheldan Homes</t>
        </is>
      </c>
      <c r="C47" s="6" t="inlineStr">
        <is>
          <t>Chief Executive Officer and Founder</t>
        </is>
      </c>
      <c r="D47" s="7" t="inlineStr">
        <is>
          <t>One gap</t>
        </is>
      </c>
      <c r="E47" s="8" t="n">
        <v>2</v>
      </c>
      <c r="F47" s="6" t="inlineStr">
        <is>
          <t>Buys walls</t>
        </is>
      </c>
      <c r="G47" s="6" t="inlineStr">
        <is>
          <t>Fort Worth, with communities in Boyd, Cleburne, Venus, Graham, Keene and Springtown</t>
        </is>
      </c>
      <c r="H47" s="6" t="inlineStr">
        <is>
          <t>Seven communities around Fort Worth, per its own site</t>
        </is>
      </c>
      <c r="I47" s="8" t="inlineStr">
        <is>
          <t>Yes</t>
        </is>
      </c>
      <c r="J47" s="9" t="inlineStr">
        <is>
          <t>One plan library, including the Essex, repeated across seven Fort Worth-area communities on its own site.</t>
        </is>
      </c>
      <c r="K47" s="8" t="inlineStr">
        <is>
          <t>Partly</t>
        </is>
      </c>
      <c r="L47" s="9" t="inlineStr">
        <is>
          <t>Seven communities west and south of Fort Worth, in Boyd, Cleburne, Venus, Graham, Keene and Springtown. Annual closings are not published.</t>
        </is>
      </c>
      <c r="M47" s="8" t="inlineStr">
        <is>
          <t>No</t>
        </is>
      </c>
      <c r="N47" s="9" t="inlineStr">
        <is>
          <t>Nothing on record about wall method. The Trail Creek page claims a 2025 JCBA Most Energy Efficient award, which covers one community.</t>
        </is>
      </c>
      <c r="O47" s="10" t="inlineStr"/>
      <c r="P47" s="6" t="inlineStr"/>
      <c r="Q47" s="11">
        <f>IF(O47="","ADD LINKEDIN","ok")</f>
        <v/>
      </c>
      <c r="R47" s="6" t="inlineStr">
        <is>
          <t>https://www.cheldanhomes.com/</t>
        </is>
      </c>
      <c r="S47" s="9" t="inlineStr">
        <is>
          <t>Family-owned, with its CEO and its heads of operations and sales named on its own team page.</t>
        </is>
      </c>
      <c r="T47" s="6" t="inlineStr">
        <is>
          <t>YES</t>
        </is>
      </c>
      <c r="U47" s="9" t="inlineStr">
        <is>
          <t>Named on the firm's own Meet the Team page as CEO and Founder.</t>
        </is>
      </c>
      <c r="V47" s="6" t="inlineStr">
        <is>
          <t>https://www.cheldanhomes.com/meet-the-team</t>
        </is>
      </c>
      <c r="W47" s="6" t="inlineStr">
        <is>
          <t>https://www.linkedin.com/company/cheldan-homes/</t>
        </is>
      </c>
      <c r="X47" s="6" t="inlineStr">
        <is>
          <t>https://www.cheldanhomes.com/meet-the-team</t>
        </is>
      </c>
      <c r="Y47" s="6" t="inlineStr"/>
      <c r="Z47" s="6" t="inlineStr">
        <is>
          <t>(817) 244-3450</t>
        </is>
      </c>
      <c r="AA47" s="6" t="inlineStr">
        <is>
          <t>Main office, Fort Worth</t>
        </is>
      </c>
      <c r="AB47" s="6" t="inlineStr">
        <is>
          <t>https://www.cheldanhomes.com/contact-us</t>
        </is>
      </c>
      <c r="AC47" s="6" t="inlineStr"/>
      <c r="AD47" s="6" t="inlineStr"/>
    </row>
    <row r="48">
      <c r="A48" s="12" t="inlineStr">
        <is>
          <t>Trey Hart</t>
        </is>
      </c>
      <c r="B48" s="12" t="inlineStr">
        <is>
          <t>Cheldan Homes</t>
        </is>
      </c>
      <c r="C48" s="12" t="inlineStr">
        <is>
          <t>Vice President of Operations</t>
        </is>
      </c>
      <c r="D48" s="13" t="inlineStr">
        <is>
          <t>One gap</t>
        </is>
      </c>
      <c r="E48" s="14" t="n">
        <v>2</v>
      </c>
      <c r="F48" s="12" t="inlineStr">
        <is>
          <t>Buys walls</t>
        </is>
      </c>
      <c r="G48" s="12" t="inlineStr">
        <is>
          <t>Fort Worth, with communities in Boyd, Cleburne, Venus, Graham, Keene and Springtown</t>
        </is>
      </c>
      <c r="H48" s="12" t="inlineStr">
        <is>
          <t>Seven communities around Fort Worth, per its own site</t>
        </is>
      </c>
      <c r="I48" s="14" t="inlineStr">
        <is>
          <t>Yes</t>
        </is>
      </c>
      <c r="J48" s="15" t="inlineStr">
        <is>
          <t>One plan library, including the Essex, repeated across seven Fort Worth-area communities on its own site.</t>
        </is>
      </c>
      <c r="K48" s="14" t="inlineStr">
        <is>
          <t>Partly</t>
        </is>
      </c>
      <c r="L48" s="15" t="inlineStr">
        <is>
          <t>Seven communities west and south of Fort Worth, in Boyd, Cleburne, Venus, Graham, Keene and Springtown. Annual closings are not published.</t>
        </is>
      </c>
      <c r="M48" s="14" t="inlineStr">
        <is>
          <t>No</t>
        </is>
      </c>
      <c r="N48" s="15" t="inlineStr">
        <is>
          <t>Nothing on record about wall method. The Trail Creek page claims a 2025 JCBA Most Energy Efficient award, which covers one community.</t>
        </is>
      </c>
      <c r="O48" s="10" t="inlineStr"/>
      <c r="P48" s="12" t="inlineStr"/>
      <c r="Q48" s="16">
        <f>IF(O48="","ADD LINKEDIN","ok")</f>
        <v/>
      </c>
      <c r="R48" s="12" t="inlineStr">
        <is>
          <t>https://www.cheldanhomes.com/</t>
        </is>
      </c>
      <c r="S48" s="15" t="inlineStr">
        <is>
          <t>Family-owned, with its CEO and its heads of operations and sales named on its own team page.</t>
        </is>
      </c>
      <c r="T48" s="12" t="inlineStr"/>
      <c r="U48" s="15" t="inlineStr">
        <is>
          <t>Named on the firm's own Meet the Team page as Vice President of Operations.</t>
        </is>
      </c>
      <c r="V48" s="12" t="inlineStr">
        <is>
          <t>https://www.cheldanhomes.com/meet-the-team</t>
        </is>
      </c>
      <c r="W48" s="12" t="inlineStr">
        <is>
          <t>https://www.linkedin.com/company/cheldan-homes/</t>
        </is>
      </c>
      <c r="X48" s="12" t="inlineStr">
        <is>
          <t>https://www.cheldanhomes.com/meet-the-team</t>
        </is>
      </c>
      <c r="Y48" s="12" t="inlineStr"/>
      <c r="Z48" s="12" t="inlineStr">
        <is>
          <t>(817) 244-3450</t>
        </is>
      </c>
      <c r="AA48" s="12" t="inlineStr">
        <is>
          <t>Main office, Fort Worth</t>
        </is>
      </c>
      <c r="AB48" s="12" t="inlineStr">
        <is>
          <t>https://www.cheldanhomes.com/contact-us</t>
        </is>
      </c>
      <c r="AC48" s="12" t="inlineStr"/>
      <c r="AD48" s="12" t="inlineStr"/>
    </row>
    <row r="49">
      <c r="A49" s="6" t="inlineStr">
        <is>
          <t>Chelsea Brown</t>
        </is>
      </c>
      <c r="B49" s="6" t="inlineStr">
        <is>
          <t>Cheldan Homes</t>
        </is>
      </c>
      <c r="C49" s="6" t="inlineStr">
        <is>
          <t>Vice President of Sales and Marketing</t>
        </is>
      </c>
      <c r="D49" s="7" t="inlineStr">
        <is>
          <t>One gap</t>
        </is>
      </c>
      <c r="E49" s="8" t="n">
        <v>2</v>
      </c>
      <c r="F49" s="6" t="inlineStr">
        <is>
          <t>Buys walls</t>
        </is>
      </c>
      <c r="G49" s="6" t="inlineStr">
        <is>
          <t>Fort Worth, with communities in Boyd, Cleburne, Venus, Graham, Keene and Springtown</t>
        </is>
      </c>
      <c r="H49" s="6" t="inlineStr">
        <is>
          <t>Seven communities around Fort Worth, per its own site</t>
        </is>
      </c>
      <c r="I49" s="8" t="inlineStr">
        <is>
          <t>Yes</t>
        </is>
      </c>
      <c r="J49" s="9" t="inlineStr">
        <is>
          <t>One plan library, including the Essex, repeated across seven Fort Worth-area communities on its own site.</t>
        </is>
      </c>
      <c r="K49" s="8" t="inlineStr">
        <is>
          <t>Partly</t>
        </is>
      </c>
      <c r="L49" s="9" t="inlineStr">
        <is>
          <t>Seven communities west and south of Fort Worth, in Boyd, Cleburne, Venus, Graham, Keene and Springtown. Annual closings are not published.</t>
        </is>
      </c>
      <c r="M49" s="8" t="inlineStr">
        <is>
          <t>No</t>
        </is>
      </c>
      <c r="N49" s="9" t="inlineStr">
        <is>
          <t>Nothing on record about wall method. The Trail Creek page claims a 2025 JCBA Most Energy Efficient award, which covers one community.</t>
        </is>
      </c>
      <c r="O49" s="10" t="inlineStr"/>
      <c r="P49" s="6" t="inlineStr"/>
      <c r="Q49" s="11">
        <f>IF(O49="","ADD LINKEDIN","ok")</f>
        <v/>
      </c>
      <c r="R49" s="6" t="inlineStr">
        <is>
          <t>https://www.cheldanhomes.com/</t>
        </is>
      </c>
      <c r="S49" s="9" t="inlineStr">
        <is>
          <t>Family-owned, with its CEO and its heads of operations and sales named on its own team page.</t>
        </is>
      </c>
      <c r="T49" s="6" t="inlineStr"/>
      <c r="U49" s="9" t="inlineStr">
        <is>
          <t>Named on the firm's own Meet the Team page as Vice President of Sales and Marketing.</t>
        </is>
      </c>
      <c r="V49" s="6" t="inlineStr">
        <is>
          <t>https://www.cheldanhomes.com/meet-the-team</t>
        </is>
      </c>
      <c r="W49" s="6" t="inlineStr">
        <is>
          <t>https://www.linkedin.com/company/cheldan-homes/</t>
        </is>
      </c>
      <c r="X49" s="6" t="inlineStr">
        <is>
          <t>https://www.cheldanhomes.com/meet-the-team</t>
        </is>
      </c>
      <c r="Y49" s="6" t="inlineStr"/>
      <c r="Z49" s="6" t="inlineStr">
        <is>
          <t>(817) 244-3450</t>
        </is>
      </c>
      <c r="AA49" s="6" t="inlineStr">
        <is>
          <t>Main office, Fort Worth</t>
        </is>
      </c>
      <c r="AB49" s="6" t="inlineStr">
        <is>
          <t>https://www.cheldanhomes.com/contact-us</t>
        </is>
      </c>
      <c r="AC49" s="6" t="inlineStr"/>
      <c r="AD49" s="6" t="inlineStr"/>
    </row>
    <row r="50">
      <c r="A50" s="12" t="inlineStr">
        <is>
          <t>Nathan Pile</t>
        </is>
      </c>
      <c r="B50" s="12" t="inlineStr">
        <is>
          <t>Cyrene at Painted Tree (Curve Development)</t>
        </is>
      </c>
      <c r="C50" s="12" t="inlineStr">
        <is>
          <t>President, Curve Development</t>
        </is>
      </c>
      <c r="D50" s="13" t="inlineStr">
        <is>
          <t>One gap</t>
        </is>
      </c>
      <c r="E50" s="14" t="n">
        <v>2</v>
      </c>
      <c r="F50" s="12" t="inlineStr">
        <is>
          <t>Sells lots</t>
        </is>
      </c>
      <c r="G50" s="12" t="inlineStr">
        <is>
          <t>Painted Tree, McKinney</t>
        </is>
      </c>
      <c r="H50" s="12" t="inlineStr">
        <is>
          <t>243 build-to-rent homes on 46 acres, McKinney</t>
        </is>
      </c>
      <c r="I50" s="14" t="inlineStr">
        <is>
          <t>Yes</t>
        </is>
      </c>
      <c r="J50" s="15" t="inlineStr">
        <is>
          <t>243 detached rental homes at one McKinney site, on repeated three- and four-bedroom plans.</t>
        </is>
      </c>
      <c r="K50" s="14" t="inlineStr">
        <is>
          <t>Partly</t>
        </is>
      </c>
      <c r="L50" s="15" t="inlineStr">
        <is>
          <t>243 homes on one site sits in the 25 to 400 band. The wall is bought by the developer or its contractor, not by a for-sale builder.</t>
        </is>
      </c>
      <c r="M50" s="14" t="inlineStr">
        <is>
          <t>No</t>
        </is>
      </c>
      <c r="N50" s="15" t="inlineStr">
        <is>
          <t>Nothing on record. The homes are conventional detached rentals.</t>
        </is>
      </c>
      <c r="O50" s="10" t="inlineStr"/>
      <c r="P50" s="12" t="inlineStr"/>
      <c r="Q50" s="16">
        <f>IF(O50="","ADD LINKEDIN","ok")</f>
        <v/>
      </c>
      <c r="R50" s="12" t="inlineStr">
        <is>
          <t>https://www.cyreneatpaintedtree.com/</t>
        </is>
      </c>
      <c r="S50" s="15" t="inlineStr">
        <is>
          <t>One rental site, already stabilized. The construction contractor is not named.</t>
        </is>
      </c>
      <c r="T50" s="12" t="inlineStr">
        <is>
          <t>YES</t>
        </is>
      </c>
      <c r="U50" s="15" t="inlineStr">
        <is>
          <t>Quoted as President of Curve Development in its January 9, 2024 release on Cyrene at Painted Tree.</t>
        </is>
      </c>
      <c r="V50" s="12" t="inlineStr">
        <is>
          <t>https://www.prweb.com/releases/construction-commences-for-new-build-for-rent-community-within-master-planned-community-of-painted-tree-in-dallas-area-302029396.html</t>
        </is>
      </c>
      <c r="W50" s="12" t="inlineStr">
        <is>
          <t>https://www.linkedin.com/company/curvedevelopment/</t>
        </is>
      </c>
      <c r="X50" s="12" t="inlineStr"/>
      <c r="Y50" s="12" t="inlineStr"/>
      <c r="Z50" s="12" t="inlineStr">
        <is>
          <t>(877) 853-3717</t>
        </is>
      </c>
      <c r="AA50" s="12" t="inlineStr">
        <is>
          <t>Leasing office, Cyrene at Painted Tree</t>
        </is>
      </c>
      <c r="AB50" s="12" t="inlineStr">
        <is>
          <t>https://www.cyreneatpaintedtree.com/</t>
        </is>
      </c>
      <c r="AC50" s="12" t="inlineStr"/>
      <c r="AD50" s="12" t="inlineStr"/>
    </row>
    <row r="51">
      <c r="A51" s="6" t="inlineStr">
        <is>
          <t>Randall Van Wolfswinkel</t>
        </is>
      </c>
      <c r="B51" s="6" t="inlineStr">
        <is>
          <t>First Texas Homes</t>
        </is>
      </c>
      <c r="C51" s="6" t="inlineStr">
        <is>
          <t>Chief Executive Officer (as of 2010)</t>
        </is>
      </c>
      <c r="D51" s="7" t="inlineStr">
        <is>
          <t>One gap</t>
        </is>
      </c>
      <c r="E51" s="8" t="n">
        <v>2</v>
      </c>
      <c r="F51" s="6" t="inlineStr">
        <is>
          <t>Buys walls</t>
        </is>
      </c>
      <c r="G51" s="6" t="inlineStr">
        <is>
          <t>Dallas, with communities across DFW</t>
        </is>
      </c>
      <c r="H51" s="6" t="inlineStr">
        <is>
          <t>1,170 DFW closings in 2024, 2.7% share</t>
        </is>
      </c>
      <c r="I51" s="8" t="inlineStr">
        <is>
          <t>Yes</t>
        </is>
      </c>
      <c r="J51" s="9" t="inlineStr">
        <is>
          <t>Production plans sold across DFW communities, with sister brands Gallery Custom Homes and Harwood Homes named on its about page.</t>
        </is>
      </c>
      <c r="K51" s="8" t="inlineStr">
        <is>
          <t>Partly</t>
        </is>
      </c>
      <c r="L51" s="9" t="inlineStr">
        <is>
          <t>1,170 DFW closings in 2024 on BUILDER's Local Leaders table sits in the 400 to 1,500 band.</t>
        </is>
      </c>
      <c r="M51" s="8" t="inlineStr">
        <is>
          <t>No</t>
        </is>
      </c>
      <c r="N51" s="9" t="inlineStr">
        <is>
          <t>Nothing on record. Its about page lists customization, energy efficiency and smart-home features.</t>
        </is>
      </c>
      <c r="O51" s="10" t="inlineStr"/>
      <c r="P51" s="6" t="inlineStr"/>
      <c r="Q51" s="11">
        <f>IF(O51="","ADD LINKEDIN","ok")</f>
        <v/>
      </c>
      <c r="R51" s="6" t="inlineStr">
        <is>
          <t>https://www.firsttexashomes.com/</t>
        </is>
      </c>
      <c r="S51" s="9" t="inlineStr">
        <is>
          <t>Locally owned and independently operated from a Dallas corporate office, with no parent company above it.</t>
        </is>
      </c>
      <c r="T51" s="6" t="inlineStr"/>
      <c r="U51" s="9" t="inlineStr">
        <is>
          <t>Named in a 2010 Dallas News article as CEO of First Texas.</t>
        </is>
      </c>
      <c r="V51" s="6" t="inlineStr">
        <is>
          <t>https://www.dallasnews.com/news/2010/02/08/first-texas-homes-moves-from-arlington-to-uptown-dallas/</t>
        </is>
      </c>
      <c r="W51" s="6" t="inlineStr">
        <is>
          <t>https://www.linkedin.com/company/first-texas-homes/</t>
        </is>
      </c>
      <c r="X51" s="6" t="inlineStr">
        <is>
          <t>https://www.firsttexashomes.com/about/</t>
        </is>
      </c>
      <c r="Y51" s="6" t="inlineStr">
        <is>
          <t>2025-07-24 Dallas Morning News. The 10 biggest homebuilders in D-FW  https://www.dallasnews.com/business/real-estate/2025/07/24/list-who-are-the-10-biggest-homebuilders-in-d-fw/</t>
        </is>
      </c>
      <c r="Z51" s="6" t="inlineStr">
        <is>
          <t>(214) 613-3400</t>
        </is>
      </c>
      <c r="AA51" s="6" t="inlineStr">
        <is>
          <t>Corporate office, Dallas</t>
        </is>
      </c>
      <c r="AB51" s="6" t="inlineStr">
        <is>
          <t>https://www.firsttexashomes.com/about/</t>
        </is>
      </c>
      <c r="AC51" s="6" t="inlineStr"/>
      <c r="AD51" s="6" t="inlineStr"/>
    </row>
    <row r="52">
      <c r="A52" s="12" t="inlineStr">
        <is>
          <t>Anthony Natale</t>
        </is>
      </c>
      <c r="B52" s="12" t="inlineStr">
        <is>
          <t>Grenadier Homes</t>
        </is>
      </c>
      <c r="C52" s="12" t="inlineStr">
        <is>
          <t>Co-founder</t>
        </is>
      </c>
      <c r="D52" s="13" t="inlineStr">
        <is>
          <t>One gap</t>
        </is>
      </c>
      <c r="E52" s="14" t="n">
        <v>2</v>
      </c>
      <c r="F52" s="12" t="inlineStr">
        <is>
          <t>Buys walls</t>
        </is>
      </c>
      <c r="G52" s="12" t="inlineStr">
        <is>
          <t>Dallas, with villas and townhomes at Windsong Ranch, Prosper</t>
        </is>
      </c>
      <c r="H52" s="12" t="inlineStr">
        <is>
          <t>Dallas villa and townhome builder, founded 1991</t>
        </is>
      </c>
      <c r="I52" s="14" t="inlineStr">
        <is>
          <t>Yes</t>
        </is>
      </c>
      <c r="J52" s="15" t="inlineStr">
        <is>
          <t>Villa and townhome plans repeated inside Windsong Ranch, a Prosper masterplan.</t>
        </is>
      </c>
      <c r="K52" s="14" t="inlineStr">
        <is>
          <t>Partly</t>
        </is>
      </c>
      <c r="L52" s="15" t="inlineStr">
        <is>
          <t>No published closing figure.</t>
        </is>
      </c>
      <c r="M52" s="14" t="inlineStr">
        <is>
          <t>No</t>
        </is>
      </c>
      <c r="N52" s="15" t="inlineStr">
        <is>
          <t>Nothing on record.</t>
        </is>
      </c>
      <c r="O52" s="10" t="inlineStr"/>
      <c r="P52" s="12" t="inlineStr"/>
      <c r="Q52" s="16">
        <f>IF(O52="","ADD LINKEDIN","ok")</f>
        <v/>
      </c>
      <c r="R52" s="12" t="inlineStr">
        <is>
          <t>https://grenadierhomes.com/</t>
        </is>
      </c>
      <c r="S52" s="15" t="inlineStr">
        <is>
          <t>Attached product, villas and townhomes, and the two founders direct the business.</t>
        </is>
      </c>
      <c r="T52" s="12" t="inlineStr">
        <is>
          <t>YES</t>
        </is>
      </c>
      <c r="U52" s="15" t="inlineStr">
        <is>
          <t>Named in the Windsong Ranch builders article as a founder who directs the business with John Egnatis.</t>
        </is>
      </c>
      <c r="V52" s="12" t="inlineStr">
        <is>
          <t>https://windsongranchliving.com/explore-windsong-ranchs-exceptional-builders/</t>
        </is>
      </c>
      <c r="W52" s="12" t="inlineStr">
        <is>
          <t>https://www.linkedin.com/company/grenadier-homes/</t>
        </is>
      </c>
      <c r="X52" s="12" t="inlineStr"/>
      <c r="Y52" s="12" t="inlineStr"/>
      <c r="Z52" s="12" t="inlineStr">
        <is>
          <t>(214) 224-0095</t>
        </is>
      </c>
      <c r="AA52" s="12" t="inlineStr">
        <is>
          <t>Corporate office, Dallas</t>
        </is>
      </c>
      <c r="AB52" s="12" t="inlineStr">
        <is>
          <t>https://grenadierhomes.com/contact-us/</t>
        </is>
      </c>
      <c r="AC52" s="12" t="inlineStr"/>
      <c r="AD52" s="12" t="inlineStr"/>
    </row>
    <row r="53">
      <c r="A53" s="6" t="inlineStr">
        <is>
          <t>John Egnatis</t>
        </is>
      </c>
      <c r="B53" s="6" t="inlineStr">
        <is>
          <t>Grenadier Homes</t>
        </is>
      </c>
      <c r="C53" s="6" t="inlineStr">
        <is>
          <t>Co-founder</t>
        </is>
      </c>
      <c r="D53" s="7" t="inlineStr">
        <is>
          <t>One gap</t>
        </is>
      </c>
      <c r="E53" s="8" t="n">
        <v>2</v>
      </c>
      <c r="F53" s="6" t="inlineStr">
        <is>
          <t>Buys walls</t>
        </is>
      </c>
      <c r="G53" s="6" t="inlineStr">
        <is>
          <t>Dallas, with villas and townhomes at Windsong Ranch, Prosper</t>
        </is>
      </c>
      <c r="H53" s="6" t="inlineStr">
        <is>
          <t>Dallas villa and townhome builder, founded 1991</t>
        </is>
      </c>
      <c r="I53" s="8" t="inlineStr">
        <is>
          <t>Yes</t>
        </is>
      </c>
      <c r="J53" s="9" t="inlineStr">
        <is>
          <t>Villa and townhome plans repeated inside Windsong Ranch, a Prosper masterplan.</t>
        </is>
      </c>
      <c r="K53" s="8" t="inlineStr">
        <is>
          <t>Partly</t>
        </is>
      </c>
      <c r="L53" s="9" t="inlineStr">
        <is>
          <t>No published closing figure.</t>
        </is>
      </c>
      <c r="M53" s="8" t="inlineStr">
        <is>
          <t>No</t>
        </is>
      </c>
      <c r="N53" s="9" t="inlineStr">
        <is>
          <t>Nothing on record.</t>
        </is>
      </c>
      <c r="O53" s="10" t="inlineStr"/>
      <c r="P53" s="6" t="inlineStr"/>
      <c r="Q53" s="11">
        <f>IF(O53="","ADD LINKEDIN","ok")</f>
        <v/>
      </c>
      <c r="R53" s="6" t="inlineStr">
        <is>
          <t>https://grenadierhomes.com/</t>
        </is>
      </c>
      <c r="S53" s="9" t="inlineStr">
        <is>
          <t>Attached product, villas and townhomes, and the two founders direct the business.</t>
        </is>
      </c>
      <c r="T53" s="6" t="inlineStr">
        <is>
          <t>YES</t>
        </is>
      </c>
      <c r="U53" s="9" t="inlineStr">
        <is>
          <t>Named in the same Windsong Ranch builders article as a founder, with Anthony Natale.</t>
        </is>
      </c>
      <c r="V53" s="6" t="inlineStr">
        <is>
          <t>https://windsongranchliving.com/explore-windsong-ranchs-exceptional-builders/</t>
        </is>
      </c>
      <c r="W53" s="6" t="inlineStr">
        <is>
          <t>https://www.linkedin.com/company/grenadier-homes/</t>
        </is>
      </c>
      <c r="X53" s="6" t="inlineStr"/>
      <c r="Y53" s="6" t="inlineStr"/>
      <c r="Z53" s="6" t="inlineStr">
        <is>
          <t>(214) 224-0095</t>
        </is>
      </c>
      <c r="AA53" s="6" t="inlineStr">
        <is>
          <t>Corporate office, Dallas</t>
        </is>
      </c>
      <c r="AB53" s="6" t="inlineStr">
        <is>
          <t>https://grenadierhomes.com/contact-us/</t>
        </is>
      </c>
      <c r="AC53" s="6" t="inlineStr"/>
      <c r="AD53" s="6" t="inlineStr"/>
    </row>
    <row r="54">
      <c r="A54" s="12" t="inlineStr">
        <is>
          <t>Matthew McGhee</t>
        </is>
      </c>
      <c r="B54" s="12" t="inlineStr">
        <is>
          <t>HHS Residential</t>
        </is>
      </c>
      <c r="C54" s="12" t="inlineStr">
        <is>
          <t>Vice President</t>
        </is>
      </c>
      <c r="D54" s="13" t="inlineStr">
        <is>
          <t>One gap</t>
        </is>
      </c>
      <c r="E54" s="14" t="n">
        <v>2</v>
      </c>
      <c r="F54" s="12" t="inlineStr">
        <is>
          <t>Sells lots</t>
        </is>
      </c>
      <c r="G54" s="12" t="inlineStr">
        <is>
          <t>Plano, with build-to-rent work across Texas</t>
        </is>
      </c>
      <c r="H54" s="12" t="inlineStr">
        <is>
          <t>More than 2,900 homes company-wide, its own count</t>
        </is>
      </c>
      <c r="I54" s="14" t="inlineStr">
        <is>
          <t>Yes</t>
        </is>
      </c>
      <c r="J54" s="15" t="inlineStr">
        <is>
          <t>Rental home plans repeated across Texas build-to-rent communities.</t>
        </is>
      </c>
      <c r="K54" s="14" t="inlineStr">
        <is>
          <t>Partly</t>
        </is>
      </c>
      <c r="L54" s="15" t="inlineStr">
        <is>
          <t>The more than 2,900 homes it claims is a company-wide Texas total, with no year and no DFW figure.</t>
        </is>
      </c>
      <c r="M54" s="14" t="inlineStr">
        <is>
          <t>No</t>
        </is>
      </c>
      <c r="N54" s="15" t="inlineStr">
        <is>
          <t>Nothing on record.</t>
        </is>
      </c>
      <c r="O54" s="10" t="inlineStr"/>
      <c r="P54" s="12" t="inlineStr"/>
      <c r="Q54" s="16">
        <f>IF(O54="","ADD LINKEDIN","ok")</f>
        <v/>
      </c>
      <c r="R54" s="12" t="inlineStr">
        <is>
          <t>https://hhsresidential.com/</t>
        </is>
      </c>
      <c r="S54" s="15" t="inlineStr">
        <is>
          <t>Builds single-family rental homes for clients under what it calls its BUILD model, as part of the Highland Homes family.</t>
        </is>
      </c>
      <c r="T54" s="12" t="inlineStr"/>
      <c r="U54" s="15" t="inlineStr">
        <is>
          <t>Quoted in a Tricon Residential release as Vice President at HHS Residential.</t>
        </is>
      </c>
      <c r="V54" s="12" t="inlineStr">
        <is>
          <t>https://triconhomes.com/resources/insights/tricon-residential-opens-new-community-in-arlington-texas-add-to-housing-supply/</t>
        </is>
      </c>
      <c r="W54" s="12" t="inlineStr">
        <is>
          <t>https://www.linkedin.com/company/hhs-residential-llc/</t>
        </is>
      </c>
      <c r="X54" s="12" t="inlineStr"/>
      <c r="Y54" s="12" t="inlineStr">
        <is>
          <t>2025-07-15 Tricon Residential. Tricon Residential Opens New Community in Arlington, Texas  https://triconhomes.com/resources/insights/tricon-residential-opens-new-community-in-arlington-texas-add-to-housing-supply/</t>
        </is>
      </c>
      <c r="Z54" s="12" t="inlineStr">
        <is>
          <t>(972) 789-3535</t>
        </is>
      </c>
      <c r="AA54" s="12" t="inlineStr">
        <is>
          <t>Main office</t>
        </is>
      </c>
      <c r="AB54" s="12" t="inlineStr">
        <is>
          <t>https://hhsresidential.com/</t>
        </is>
      </c>
      <c r="AC54" s="12" t="inlineStr"/>
      <c r="AD54" s="12" t="inlineStr"/>
    </row>
    <row r="55">
      <c r="A55" s="6" t="inlineStr">
        <is>
          <t>Steve Garza</t>
        </is>
      </c>
      <c r="B55" s="6" t="inlineStr">
        <is>
          <t>Impression Homes</t>
        </is>
      </c>
      <c r="C55" s="6" t="inlineStr">
        <is>
          <t>President and Chairman</t>
        </is>
      </c>
      <c r="D55" s="7" t="inlineStr">
        <is>
          <t>One gap</t>
        </is>
      </c>
      <c r="E55" s="8" t="n">
        <v>2</v>
      </c>
      <c r="F55" s="6" t="inlineStr">
        <is>
          <t>Buys walls</t>
        </is>
      </c>
      <c r="G55" s="6" t="inlineStr">
        <is>
          <t>Southlake, with communities in Tarrant, Denton, Kaufman, Rockwall and Johnson counties</t>
        </is>
      </c>
      <c r="H55" s="6" t="inlineStr">
        <is>
          <t>406 company-wide closings in 2025, 601 in 2024</t>
        </is>
      </c>
      <c r="I55" s="8" t="inlineStr">
        <is>
          <t>Yes</t>
        </is>
      </c>
      <c r="J55" s="9" t="inlineStr">
        <is>
          <t>Production plans repeated across five DFW suburban counties from a Southlake base.</t>
        </is>
      </c>
      <c r="K55" s="8" t="inlineStr">
        <is>
          <t>Partly</t>
        </is>
      </c>
      <c r="L55" s="9" t="inlineStr">
        <is>
          <t>406 closings in 2025 and 601 in 2024, company-wide per BUILDER, sit in the 400 to 1,500 band.</t>
        </is>
      </c>
      <c r="M55" s="8" t="inlineStr">
        <is>
          <t>No</t>
        </is>
      </c>
      <c r="N55" s="9" t="inlineStr">
        <is>
          <t>Nothing on record. Its about and team pages stress craftsmanship and a people-first process.</t>
        </is>
      </c>
      <c r="O55" s="10" t="inlineStr"/>
      <c r="P55" s="6" t="inlineStr"/>
      <c r="Q55" s="11">
        <f>IF(O55="","ADD LINKEDIN","ok")</f>
        <v/>
      </c>
      <c r="R55" s="6" t="inlineStr">
        <is>
          <t>https://www.impressionhomes.net/</t>
        </is>
      </c>
      <c r="S55" s="9" t="inlineStr">
        <is>
          <t>Locally owned builder in Southlake, with its President and Chairman and its founder both named on its own team page.</t>
        </is>
      </c>
      <c r="T55" s="6" t="inlineStr">
        <is>
          <t>YES</t>
        </is>
      </c>
      <c r="U55" s="9" t="inlineStr">
        <is>
          <t>Named on the firm's own team page as President and Chairman, named President in 2024.</t>
        </is>
      </c>
      <c r="V55" s="6" t="inlineStr">
        <is>
          <t>https://www.impressionhomes.net/about-us/meet-the-team/</t>
        </is>
      </c>
      <c r="W55" s="6" t="inlineStr">
        <is>
          <t>https://www.linkedin.com/company/impression-homes/</t>
        </is>
      </c>
      <c r="X55" s="6" t="inlineStr">
        <is>
          <t>https://www.impressionhomes.net/about-us/meet-the-team/</t>
        </is>
      </c>
      <c r="Y55" s="6" t="inlineStr"/>
      <c r="Z55" s="6" t="inlineStr">
        <is>
          <t>(817) 719-3111</t>
        </is>
      </c>
      <c r="AA55" s="6" t="inlineStr">
        <is>
          <t>Corporate office, Southlake</t>
        </is>
      </c>
      <c r="AB55" s="6" t="inlineStr">
        <is>
          <t>https://www.impressionhomes.net/about-us/meet-the-team/</t>
        </is>
      </c>
      <c r="AC55" s="6" t="inlineStr"/>
      <c r="AD55" s="6" t="inlineStr"/>
    </row>
    <row r="56">
      <c r="A56" s="12" t="inlineStr">
        <is>
          <t>Bruce Heikkinen</t>
        </is>
      </c>
      <c r="B56" s="12" t="inlineStr">
        <is>
          <t>Impression Homes</t>
        </is>
      </c>
      <c r="C56" s="12" t="inlineStr">
        <is>
          <t>Founder and Board Member</t>
        </is>
      </c>
      <c r="D56" s="13" t="inlineStr">
        <is>
          <t>One gap</t>
        </is>
      </c>
      <c r="E56" s="14" t="n">
        <v>2</v>
      </c>
      <c r="F56" s="12" t="inlineStr">
        <is>
          <t>Buys walls</t>
        </is>
      </c>
      <c r="G56" s="12" t="inlineStr">
        <is>
          <t>Southlake, with communities in Tarrant, Denton, Kaufman, Rockwall and Johnson counties</t>
        </is>
      </c>
      <c r="H56" s="12" t="inlineStr">
        <is>
          <t>406 company-wide closings in 2025, 601 in 2024</t>
        </is>
      </c>
      <c r="I56" s="14" t="inlineStr">
        <is>
          <t>Yes</t>
        </is>
      </c>
      <c r="J56" s="15" t="inlineStr">
        <is>
          <t>Production plans repeated across five DFW suburban counties from a Southlake base.</t>
        </is>
      </c>
      <c r="K56" s="14" t="inlineStr">
        <is>
          <t>Partly</t>
        </is>
      </c>
      <c r="L56" s="15" t="inlineStr">
        <is>
          <t>406 closings in 2025 and 601 in 2024, company-wide per BUILDER, sit in the 400 to 1,500 band.</t>
        </is>
      </c>
      <c r="M56" s="14" t="inlineStr">
        <is>
          <t>No</t>
        </is>
      </c>
      <c r="N56" s="15" t="inlineStr">
        <is>
          <t>Nothing on record. Its about and team pages stress craftsmanship and a people-first process.</t>
        </is>
      </c>
      <c r="O56" s="10" t="inlineStr"/>
      <c r="P56" s="12" t="inlineStr"/>
      <c r="Q56" s="16">
        <f>IF(O56="","ADD LINKEDIN","ok")</f>
        <v/>
      </c>
      <c r="R56" s="12" t="inlineStr">
        <is>
          <t>https://www.impressionhomes.net/</t>
        </is>
      </c>
      <c r="S56" s="15" t="inlineStr">
        <is>
          <t>Locally owned builder in Southlake, with its President and Chairman and its founder both named on its own team page.</t>
        </is>
      </c>
      <c r="T56" s="12" t="inlineStr"/>
      <c r="U56" s="15" t="inlineStr">
        <is>
          <t>Named on the firm's own team page as founder, in 2009, and board member.</t>
        </is>
      </c>
      <c r="V56" s="12" t="inlineStr">
        <is>
          <t>https://www.impressionhomes.net/about-us/meet-the-team/</t>
        </is>
      </c>
      <c r="W56" s="12" t="inlineStr">
        <is>
          <t>https://www.linkedin.com/company/impression-homes/</t>
        </is>
      </c>
      <c r="X56" s="12" t="inlineStr">
        <is>
          <t>https://www.impressionhomes.net/about-us/meet-the-team/</t>
        </is>
      </c>
      <c r="Y56" s="12" t="inlineStr"/>
      <c r="Z56" s="12" t="inlineStr">
        <is>
          <t>(817) 719-3111</t>
        </is>
      </c>
      <c r="AA56" s="12" t="inlineStr">
        <is>
          <t>Corporate office, Southlake</t>
        </is>
      </c>
      <c r="AB56" s="12" t="inlineStr">
        <is>
          <t>https://www.impressionhomes.net/about-us/meet-the-team/</t>
        </is>
      </c>
      <c r="AC56" s="12" t="inlineStr"/>
      <c r="AD56" s="12" t="inlineStr"/>
    </row>
    <row r="57">
      <c r="A57" s="6" t="inlineStr">
        <is>
          <t>John Houston</t>
        </is>
      </c>
      <c r="B57" s="6" t="inlineStr">
        <is>
          <t>John Houston Homes</t>
        </is>
      </c>
      <c r="C57" s="6" t="inlineStr">
        <is>
          <t>Co-founder</t>
        </is>
      </c>
      <c r="D57" s="7" t="inlineStr">
        <is>
          <t>One gap</t>
        </is>
      </c>
      <c r="E57" s="8" t="n">
        <v>2</v>
      </c>
      <c r="F57" s="6" t="inlineStr">
        <is>
          <t>Buys walls</t>
        </is>
      </c>
      <c r="G57" s="6" t="inlineStr">
        <is>
          <t>Red Oak, with communities across DFW, Waco and Temple</t>
        </is>
      </c>
      <c r="H57" s="6" t="inlineStr">
        <is>
          <t>Hundreds of homes a year company-wide, 40+ communities</t>
        </is>
      </c>
      <c r="I57" s="8" t="inlineStr">
        <is>
          <t>Yes</t>
        </is>
      </c>
      <c r="J57" s="9" t="inlineStr">
        <is>
          <t>A named plan library, including Madrid, Athens, Atlanta and Concord, repeated across 40+ communities in DFW, Waco and Temple.</t>
        </is>
      </c>
      <c r="K57" s="8" t="inlineStr">
        <is>
          <t>Partly</t>
        </is>
      </c>
      <c r="L57" s="9" t="inlineStr">
        <is>
          <t>Its purpose page says it builds hundreds of homes a year in four market areas. No DFW share is published.</t>
        </is>
      </c>
      <c r="M57" s="8" t="inlineStr">
        <is>
          <t>No</t>
        </is>
      </c>
      <c r="N57" s="9" t="inlineStr">
        <is>
          <t>Nothing on record about construction method.</t>
        </is>
      </c>
      <c r="O57" s="10" t="inlineStr"/>
      <c r="P57" s="6" t="inlineStr"/>
      <c r="Q57" s="11">
        <f>IF(O57="","ADD LINKEDIN","ok")</f>
        <v/>
      </c>
      <c r="R57" s="6" t="inlineStr">
        <is>
          <t>https://jhoustonhomes.com/</t>
        </is>
      </c>
      <c r="S57" s="9" t="inlineStr">
        <is>
          <t>Employee-owned since 2020, with a named plan library, including Madrid, Athens, Atlanta and Concord, across four market areas.</t>
        </is>
      </c>
      <c r="T57" s="6" t="inlineStr">
        <is>
          <t>YES</t>
        </is>
      </c>
      <c r="U57" s="9" t="inlineStr">
        <is>
          <t>Named on the firm's purpose page as co-founder, starting the business with Tracy Houston in 2005.</t>
        </is>
      </c>
      <c r="V57" s="6" t="inlineStr">
        <is>
          <t>https://jhoustonhomes.com/our-purpose/</t>
        </is>
      </c>
      <c r="W57" s="6" t="inlineStr">
        <is>
          <t>https://www.linkedin.com/company/john-houston-homes/</t>
        </is>
      </c>
      <c r="X57" s="6" t="inlineStr"/>
      <c r="Y57" s="6" t="inlineStr"/>
      <c r="Z57" s="6" t="inlineStr">
        <is>
          <t>(972) 937-4085</t>
        </is>
      </c>
      <c r="AA57" s="6" t="inlineStr">
        <is>
          <t>Main office, Red Oak</t>
        </is>
      </c>
      <c r="AB57" s="6" t="inlineStr">
        <is>
          <t>https://jhoustonhomes.com/contact/</t>
        </is>
      </c>
      <c r="AC57" s="6" t="inlineStr"/>
      <c r="AD57" s="6" t="inlineStr"/>
    </row>
    <row r="58">
      <c r="A58" s="12" t="inlineStr">
        <is>
          <t>Tracy Houston</t>
        </is>
      </c>
      <c r="B58" s="12" t="inlineStr">
        <is>
          <t>John Houston Homes</t>
        </is>
      </c>
      <c r="C58" s="12" t="inlineStr">
        <is>
          <t>Co-founder</t>
        </is>
      </c>
      <c r="D58" s="13" t="inlineStr">
        <is>
          <t>One gap</t>
        </is>
      </c>
      <c r="E58" s="14" t="n">
        <v>2</v>
      </c>
      <c r="F58" s="12" t="inlineStr">
        <is>
          <t>Buys walls</t>
        </is>
      </c>
      <c r="G58" s="12" t="inlineStr">
        <is>
          <t>Red Oak, with communities across DFW, Waco and Temple</t>
        </is>
      </c>
      <c r="H58" s="12" t="inlineStr">
        <is>
          <t>Hundreds of homes a year company-wide, 40+ communities</t>
        </is>
      </c>
      <c r="I58" s="14" t="inlineStr">
        <is>
          <t>Yes</t>
        </is>
      </c>
      <c r="J58" s="15" t="inlineStr">
        <is>
          <t>A named plan library, including Madrid, Athens, Atlanta and Concord, repeated across 40+ communities in DFW, Waco and Temple.</t>
        </is>
      </c>
      <c r="K58" s="14" t="inlineStr">
        <is>
          <t>Partly</t>
        </is>
      </c>
      <c r="L58" s="15" t="inlineStr">
        <is>
          <t>Its purpose page says it builds hundreds of homes a year in four market areas. No DFW share is published.</t>
        </is>
      </c>
      <c r="M58" s="14" t="inlineStr">
        <is>
          <t>No</t>
        </is>
      </c>
      <c r="N58" s="15" t="inlineStr">
        <is>
          <t>Nothing on record about construction method.</t>
        </is>
      </c>
      <c r="O58" s="10" t="inlineStr"/>
      <c r="P58" s="12" t="inlineStr"/>
      <c r="Q58" s="16">
        <f>IF(O58="","ADD LINKEDIN","ok")</f>
        <v/>
      </c>
      <c r="R58" s="12" t="inlineStr">
        <is>
          <t>https://jhoustonhomes.com/</t>
        </is>
      </c>
      <c r="S58" s="15" t="inlineStr">
        <is>
          <t>Employee-owned since 2020, with a named plan library, including Madrid, Athens, Atlanta and Concord, across four market areas.</t>
        </is>
      </c>
      <c r="T58" s="12" t="inlineStr"/>
      <c r="U58" s="15" t="inlineStr">
        <is>
          <t>Named on the firm's purpose page as co-founder with John Houston.</t>
        </is>
      </c>
      <c r="V58" s="12" t="inlineStr">
        <is>
          <t>https://jhoustonhomes.com/our-purpose/</t>
        </is>
      </c>
      <c r="W58" s="12" t="inlineStr">
        <is>
          <t>https://www.linkedin.com/company/john-houston-homes/</t>
        </is>
      </c>
      <c r="X58" s="12" t="inlineStr"/>
      <c r="Y58" s="12" t="inlineStr"/>
      <c r="Z58" s="12" t="inlineStr">
        <is>
          <t>(972) 937-4085</t>
        </is>
      </c>
      <c r="AA58" s="12" t="inlineStr">
        <is>
          <t>Main office, Red Oak</t>
        </is>
      </c>
      <c r="AB58" s="12" t="inlineStr">
        <is>
          <t>https://jhoustonhomes.com/contact/</t>
        </is>
      </c>
      <c r="AC58" s="12" t="inlineStr"/>
      <c r="AD58" s="12" t="inlineStr"/>
    </row>
    <row r="59">
      <c r="A59" s="6" t="inlineStr">
        <is>
          <t>Aaron Ipour</t>
        </is>
      </c>
      <c r="B59" s="6" t="inlineStr">
        <is>
          <t>Megatel Homes</t>
        </is>
      </c>
      <c r="C59" s="6" t="inlineStr">
        <is>
          <t>Co-Founder, Megatel Group</t>
        </is>
      </c>
      <c r="D59" s="7" t="inlineStr">
        <is>
          <t>One gap</t>
        </is>
      </c>
      <c r="E59" s="8" t="n">
        <v>2</v>
      </c>
      <c r="F59" s="6" t="inlineStr">
        <is>
          <t>Buys walls</t>
        </is>
      </c>
      <c r="G59" s="6" t="inlineStr">
        <is>
          <t>North Texas, Dallas-Fort Worth</t>
        </is>
      </c>
      <c r="H59" s="6" t="inlineStr">
        <is>
          <t>696 company-wide closings in 2023, Builder 100 rank 81</t>
        </is>
      </c>
      <c r="I59" s="8" t="inlineStr">
        <is>
          <t>Yes</t>
        </is>
      </c>
      <c r="J59" s="9" t="inlineStr">
        <is>
          <t>Repeated single-family and townhome plans inside lagoon masterplans the company controls in North Texas.</t>
        </is>
      </c>
      <c r="K59" s="8" t="inlineStr">
        <is>
          <t>Partly</t>
        </is>
      </c>
      <c r="L59" s="9" t="inlineStr">
        <is>
          <t>696 company-wide closings in 2023 sits in the 400 to 1,500 band, inside masterplans it controls.</t>
        </is>
      </c>
      <c r="M59" s="8" t="inlineStr">
        <is>
          <t>No</t>
        </is>
      </c>
      <c r="N59" s="9" t="inlineStr">
        <is>
          <t>Nothing on record. The lagoon amenity sets apart the land and the product, not the wall.</t>
        </is>
      </c>
      <c r="O59" s="10" t="inlineStr"/>
      <c r="P59" s="6" t="inlineStr"/>
      <c r="Q59" s="11">
        <f>IF(O59="","ADD LINKEDIN","ok")</f>
        <v/>
      </c>
      <c r="R59" s="6" t="inlineStr">
        <is>
          <t>https://www.megatelhomes.com/</t>
        </is>
      </c>
      <c r="S59" s="9" t="inlineStr">
        <is>
          <t>Builds its own homes inside lagoon-amenity masterplans it controls. Its own site names the two co-founders and no construction officer.</t>
        </is>
      </c>
      <c r="T59" s="6" t="inlineStr">
        <is>
          <t>YES</t>
        </is>
      </c>
      <c r="U59" s="9" t="inlineStr">
        <is>
          <t>Named on Megatel's own about page, with Zach Ipour, as co-founder of Megatel Group.</t>
        </is>
      </c>
      <c r="V59" s="6" t="inlineStr">
        <is>
          <t>https://www.megatelhomes.com/about-us</t>
        </is>
      </c>
      <c r="W59" s="6" t="inlineStr">
        <is>
          <t>https://www.linkedin.com/company/megatelhomes/</t>
        </is>
      </c>
      <c r="X59" s="6" t="inlineStr">
        <is>
          <t>https://www.megatelhomes.com/about-us</t>
        </is>
      </c>
      <c r="Y59" s="6" t="inlineStr"/>
      <c r="Z59" s="6" t="inlineStr">
        <is>
          <t>(972) 339-0159</t>
        </is>
      </c>
      <c r="AA59" s="6" t="inlineStr">
        <is>
          <t>Corporate office</t>
        </is>
      </c>
      <c r="AB59" s="6" t="inlineStr">
        <is>
          <t>https://www.megatelhomes.com/</t>
        </is>
      </c>
      <c r="AC59" s="6" t="inlineStr"/>
      <c r="AD59" s="6" t="inlineStr"/>
    </row>
    <row r="60">
      <c r="A60" s="12" t="inlineStr">
        <is>
          <t>Zach Ipour</t>
        </is>
      </c>
      <c r="B60" s="12" t="inlineStr">
        <is>
          <t>Megatel Homes</t>
        </is>
      </c>
      <c r="C60" s="12" t="inlineStr">
        <is>
          <t>Co-Founder, Megatel Group</t>
        </is>
      </c>
      <c r="D60" s="13" t="inlineStr">
        <is>
          <t>One gap</t>
        </is>
      </c>
      <c r="E60" s="14" t="n">
        <v>2</v>
      </c>
      <c r="F60" s="12" t="inlineStr">
        <is>
          <t>Buys walls</t>
        </is>
      </c>
      <c r="G60" s="12" t="inlineStr">
        <is>
          <t>North Texas, Dallas-Fort Worth</t>
        </is>
      </c>
      <c r="H60" s="12" t="inlineStr">
        <is>
          <t>696 company-wide closings in 2023, Builder 100 rank 81</t>
        </is>
      </c>
      <c r="I60" s="14" t="inlineStr">
        <is>
          <t>Yes</t>
        </is>
      </c>
      <c r="J60" s="15" t="inlineStr">
        <is>
          <t>Repeated single-family and townhome plans inside lagoon masterplans the company controls in North Texas.</t>
        </is>
      </c>
      <c r="K60" s="14" t="inlineStr">
        <is>
          <t>Partly</t>
        </is>
      </c>
      <c r="L60" s="15" t="inlineStr">
        <is>
          <t>696 company-wide closings in 2023 sits in the 400 to 1,500 band, inside masterplans it controls.</t>
        </is>
      </c>
      <c r="M60" s="14" t="inlineStr">
        <is>
          <t>No</t>
        </is>
      </c>
      <c r="N60" s="15" t="inlineStr">
        <is>
          <t>Nothing on record. The lagoon amenity sets apart the land and the product, not the wall.</t>
        </is>
      </c>
      <c r="O60" s="10" t="inlineStr"/>
      <c r="P60" s="12" t="inlineStr"/>
      <c r="Q60" s="16">
        <f>IF(O60="","ADD LINKEDIN","ok")</f>
        <v/>
      </c>
      <c r="R60" s="12" t="inlineStr">
        <is>
          <t>https://www.megatelhomes.com/</t>
        </is>
      </c>
      <c r="S60" s="15" t="inlineStr">
        <is>
          <t>Builds its own homes inside lagoon-amenity masterplans it controls. Its own site names the two co-founders and no construction officer.</t>
        </is>
      </c>
      <c r="T60" s="12" t="inlineStr">
        <is>
          <t>YES</t>
        </is>
      </c>
      <c r="U60" s="15" t="inlineStr">
        <is>
          <t>Named on Megatel's own about page, with Aaron Ipour, as co-founder of Megatel Group.</t>
        </is>
      </c>
      <c r="V60" s="12" t="inlineStr">
        <is>
          <t>https://www.megatelhomes.com/about-us</t>
        </is>
      </c>
      <c r="W60" s="12" t="inlineStr">
        <is>
          <t>https://www.linkedin.com/company/megatelhomes/</t>
        </is>
      </c>
      <c r="X60" s="12" t="inlineStr">
        <is>
          <t>https://www.megatelhomes.com/about-us</t>
        </is>
      </c>
      <c r="Y60" s="12" t="inlineStr"/>
      <c r="Z60" s="12" t="inlineStr">
        <is>
          <t>(972) 339-0159</t>
        </is>
      </c>
      <c r="AA60" s="12" t="inlineStr">
        <is>
          <t>Corporate office</t>
        </is>
      </c>
      <c r="AB60" s="12" t="inlineStr">
        <is>
          <t>https://www.megatelhomes.com/</t>
        </is>
      </c>
      <c r="AC60" s="12" t="inlineStr"/>
      <c r="AD60" s="12" t="inlineStr"/>
    </row>
    <row r="61">
      <c r="A61" s="6" t="inlineStr">
        <is>
          <t>Chris Lemming</t>
        </is>
      </c>
      <c r="B61" s="6" t="inlineStr">
        <is>
          <t>Paul Taylor Homes</t>
        </is>
      </c>
      <c r="C61" s="6" t="inlineStr">
        <is>
          <t>President, Partners In Building, since June 2026. Previously Division President, Dallas-Fort Worth</t>
        </is>
      </c>
      <c r="D61" s="7" t="inlineStr">
        <is>
          <t>One gap</t>
        </is>
      </c>
      <c r="E61" s="8" t="n">
        <v>2</v>
      </c>
      <c r="F61" s="6" t="inlineStr">
        <is>
          <t>Buys walls</t>
        </is>
      </c>
      <c r="G61" s="6" t="inlineStr">
        <is>
          <t>Carrollton office, with its last community in Garland</t>
        </is>
      </c>
      <c r="H61" s="6" t="inlineStr">
        <is>
          <t>More than 3,000 homes sold company-wide, its own count</t>
        </is>
      </c>
      <c r="I61" s="8" t="inlineStr">
        <is>
          <t>Yes</t>
        </is>
      </c>
      <c r="J61" s="9" t="inlineStr">
        <is>
          <t>Four named plans, Maple, Cedar, Magnolia and Cypress, repeated at Lyons Crest Estates in Garland.</t>
        </is>
      </c>
      <c r="K61" s="8" t="inlineStr">
        <is>
          <t>Partly</t>
        </is>
      </c>
      <c r="L61" s="9" t="inlineStr">
        <is>
          <t>No current closings figure. Its last listed community is closed out, and it sits under a custom-builder parent.</t>
        </is>
      </c>
      <c r="M61" s="8" t="inlineStr">
        <is>
          <t>No</t>
        </is>
      </c>
      <c r="N61" s="9" t="inlineStr">
        <is>
          <t>Nothing on record. The parent, Partners In Building, builds custom luxury homes.</t>
        </is>
      </c>
      <c r="O61" s="10" t="inlineStr"/>
      <c r="P61" s="6" t="inlineStr"/>
      <c r="Q61" s="11">
        <f>IF(O61="","ADD LINKEDIN","ok")</f>
        <v/>
      </c>
      <c r="R61" s="6" t="inlineStr">
        <is>
          <t>https://paultaylorhomes.com/</t>
        </is>
      </c>
      <c r="S61" s="9" t="inlineStr">
        <is>
          <t>Bought in February 2022 by Partners In Building, a Houston custom builder. Its last listed community, Lyons Crest Estates in Garland, is marked Closed Out.</t>
        </is>
      </c>
      <c r="T61" s="6" t="inlineStr">
        <is>
          <t>YES</t>
        </is>
      </c>
      <c r="U61" s="9" t="inlineStr">
        <is>
          <t>Named President in Realty News Report, June 11, 2026, after serving as Division President for DFW.</t>
        </is>
      </c>
      <c r="V61" s="6" t="inlineStr">
        <is>
          <t>https://realtynewsreport.com/houston-home-builder-names-new-leader/</t>
        </is>
      </c>
      <c r="W61" s="6" t="inlineStr">
        <is>
          <t>https://www.linkedin.com/company/paul-taylor-homes-dallas/</t>
        </is>
      </c>
      <c r="X61" s="6" t="inlineStr"/>
      <c r="Y61" s="6" t="inlineStr"/>
      <c r="Z61" s="6" t="inlineStr">
        <is>
          <t>(469) 902-3200</t>
        </is>
      </c>
      <c r="AA61" s="6" t="inlineStr">
        <is>
          <t>DFW office, Carrollton</t>
        </is>
      </c>
      <c r="AB61" s="6" t="inlineStr">
        <is>
          <t>https://paultaylorhomes.com/about-us</t>
        </is>
      </c>
      <c r="AC61" s="6" t="inlineStr"/>
      <c r="AD61" s="6" t="inlineStr"/>
    </row>
    <row r="62">
      <c r="A62" s="12" t="inlineStr">
        <is>
          <t>Jim Lemming</t>
        </is>
      </c>
      <c r="B62" s="12" t="inlineStr">
        <is>
          <t>Paul Taylor Homes</t>
        </is>
      </c>
      <c r="C62" s="12" t="inlineStr">
        <is>
          <t>Chairman, Partners In Building, since June 2026</t>
        </is>
      </c>
      <c r="D62" s="13" t="inlineStr">
        <is>
          <t>One gap</t>
        </is>
      </c>
      <c r="E62" s="14" t="n">
        <v>2</v>
      </c>
      <c r="F62" s="12" t="inlineStr">
        <is>
          <t>Buys walls</t>
        </is>
      </c>
      <c r="G62" s="12" t="inlineStr">
        <is>
          <t>Carrollton office, with its last community in Garland</t>
        </is>
      </c>
      <c r="H62" s="12" t="inlineStr">
        <is>
          <t>More than 3,000 homes sold company-wide, its own count</t>
        </is>
      </c>
      <c r="I62" s="14" t="inlineStr">
        <is>
          <t>Yes</t>
        </is>
      </c>
      <c r="J62" s="15" t="inlineStr">
        <is>
          <t>Four named plans, Maple, Cedar, Magnolia and Cypress, repeated at Lyons Crest Estates in Garland.</t>
        </is>
      </c>
      <c r="K62" s="14" t="inlineStr">
        <is>
          <t>Partly</t>
        </is>
      </c>
      <c r="L62" s="15" t="inlineStr">
        <is>
          <t>No current closings figure. Its last listed community is closed out, and it sits under a custom-builder parent.</t>
        </is>
      </c>
      <c r="M62" s="14" t="inlineStr">
        <is>
          <t>No</t>
        </is>
      </c>
      <c r="N62" s="15" t="inlineStr">
        <is>
          <t>Nothing on record. The parent, Partners In Building, builds custom luxury homes.</t>
        </is>
      </c>
      <c r="O62" s="10" t="inlineStr"/>
      <c r="P62" s="12" t="inlineStr"/>
      <c r="Q62" s="16">
        <f>IF(O62="","ADD LINKEDIN","ok")</f>
        <v/>
      </c>
      <c r="R62" s="12" t="inlineStr">
        <is>
          <t>https://paultaylorhomes.com/</t>
        </is>
      </c>
      <c r="S62" s="15" t="inlineStr">
        <is>
          <t>Bought in February 2022 by Partners In Building, a Houston custom builder. Its last listed community, Lyons Crest Estates in Garland, is marked Closed Out.</t>
        </is>
      </c>
      <c r="T62" s="12" t="inlineStr"/>
      <c r="U62" s="15" t="inlineStr">
        <is>
          <t>Named in Realty News Report, June 2026, as moving from Chief Executive Officer to Chairman.</t>
        </is>
      </c>
      <c r="V62" s="12" t="inlineStr">
        <is>
          <t>https://realtynewsreport.com/houston-home-builder-names-new-leader/</t>
        </is>
      </c>
      <c r="W62" s="12" t="inlineStr">
        <is>
          <t>https://www.linkedin.com/company/paul-taylor-homes-dallas/</t>
        </is>
      </c>
      <c r="X62" s="12" t="inlineStr"/>
      <c r="Y62" s="12" t="inlineStr"/>
      <c r="Z62" s="12" t="inlineStr">
        <is>
          <t>(469) 902-3200</t>
        </is>
      </c>
      <c r="AA62" s="12" t="inlineStr">
        <is>
          <t>DFW office, Carrollton</t>
        </is>
      </c>
      <c r="AB62" s="12" t="inlineStr">
        <is>
          <t>https://paultaylorhomes.com/about-us</t>
        </is>
      </c>
      <c r="AC62" s="12" t="inlineStr"/>
      <c r="AD62" s="12" t="inlineStr"/>
    </row>
    <row r="63">
      <c r="A63" s="6" t="inlineStr">
        <is>
          <t>Matthew R. Zaist</t>
        </is>
      </c>
      <c r="B63" s="6" t="inlineStr">
        <is>
          <t>Risewell Homes</t>
        </is>
      </c>
      <c r="C63" s="6" t="inlineStr">
        <is>
          <t>President and Chief Executive Officer</t>
        </is>
      </c>
      <c r="D63" s="7" t="inlineStr">
        <is>
          <t>One gap</t>
        </is>
      </c>
      <c r="E63" s="8" t="n">
        <v>2</v>
      </c>
      <c r="F63" s="6" t="inlineStr">
        <is>
          <t>Buys walls</t>
        </is>
      </c>
      <c r="G63" s="6" t="inlineStr">
        <is>
          <t>Irving office, with communities in DFW</t>
        </is>
      </c>
      <c r="H63" s="6" t="inlineStr">
        <is>
          <t>Dallas office in Irving, Serenade builder in Celina</t>
        </is>
      </c>
      <c r="I63" s="8" t="inlineStr">
        <is>
          <t>Yes</t>
        </is>
      </c>
      <c r="J63" s="9" t="inlineStr">
        <is>
          <t>A production builder with DFW market pages and a signed place on the Serenade roster in Celina.</t>
        </is>
      </c>
      <c r="K63" s="8" t="inlineStr">
        <is>
          <t>Partly</t>
        </is>
      </c>
      <c r="L63" s="9" t="inlineStr">
        <is>
          <t>An Irving office is published and annual closings are not.</t>
        </is>
      </c>
      <c r="M63" s="8" t="inlineStr">
        <is>
          <t>No</t>
        </is>
      </c>
      <c r="N63" s="9" t="inlineStr">
        <is>
          <t>Nothing on record.</t>
        </is>
      </c>
      <c r="O63" s="10" t="inlineStr"/>
      <c r="P63" s="6" t="inlineStr"/>
      <c r="Q63" s="11">
        <f>IF(O63="","ADD LINKEDIN","ok")</f>
        <v/>
      </c>
      <c r="R63" s="6" t="inlineStr">
        <is>
          <t>https://risewellhomes.com/texas/dallas-fort-worth-new-homes</t>
        </is>
      </c>
      <c r="S63" s="9" t="inlineStr">
        <is>
          <t>Signed as one of six Phase 1 builders at Serenade in Celina, with models targeting 2027. No closings figure is published.</t>
        </is>
      </c>
      <c r="T63" s="6" t="inlineStr">
        <is>
          <t>YES</t>
        </is>
      </c>
      <c r="U63" s="9" t="inlineStr">
        <is>
          <t>Named President and CEO of Risewell Homes in a Builder 100 speaker bio, which says he joined predecessor New Home Co. in that role in September 2021.</t>
        </is>
      </c>
      <c r="V63" s="6" t="inlineStr">
        <is>
          <t>https://www.builder100.com/speaker/matthew-r-zaist/</t>
        </is>
      </c>
      <c r="W63" s="6" t="inlineStr">
        <is>
          <t>https://www.linkedin.com/company/risewell-homes/</t>
        </is>
      </c>
      <c r="X63" s="6" t="inlineStr"/>
      <c r="Y63" s="6" t="inlineStr"/>
      <c r="Z63" s="6" t="inlineStr">
        <is>
          <t>(888) 827-4421</t>
        </is>
      </c>
      <c r="AA63" s="6" t="inlineStr">
        <is>
          <t>Dallas office</t>
        </is>
      </c>
      <c r="AB63" s="6" t="inlineStr">
        <is>
          <t>https://risewellhomes.com/contact</t>
        </is>
      </c>
      <c r="AC63" s="6" t="inlineStr"/>
      <c r="AD63" s="6" t="inlineStr"/>
    </row>
    <row r="64">
      <c r="A64" s="12" t="inlineStr">
        <is>
          <t>Tim Fleet</t>
        </is>
      </c>
      <c r="B64" s="12" t="inlineStr">
        <is>
          <t>Riverside Homebuilders</t>
        </is>
      </c>
      <c r="C64" s="12" t="inlineStr">
        <is>
          <t>President and Founder</t>
        </is>
      </c>
      <c r="D64" s="13" t="inlineStr">
        <is>
          <t>One gap</t>
        </is>
      </c>
      <c r="E64" s="14" t="n">
        <v>2</v>
      </c>
      <c r="F64" s="12" t="inlineStr">
        <is>
          <t>Buys walls</t>
        </is>
      </c>
      <c r="G64" s="12" t="inlineStr">
        <is>
          <t>Fort Worth, with communities across North Texas counties from Grayson to Ellis</t>
        </is>
      </c>
      <c r="H64" s="12" t="inlineStr">
        <is>
          <t>649 company-wide closings in 2025, Builder 100 rank 84</t>
        </is>
      </c>
      <c r="I64" s="14" t="inlineStr">
        <is>
          <t>Yes</t>
        </is>
      </c>
      <c r="J64" s="15" t="inlineStr">
        <is>
          <t>More than 25 active and coming communities on a repeated floor-plan library, all in North Texas.</t>
        </is>
      </c>
      <c r="K64" s="14" t="inlineStr">
        <is>
          <t>Partly</t>
        </is>
      </c>
      <c r="L64" s="15" t="inlineStr">
        <is>
          <t>649 closings in 2025 on the 2026 Builder 100 sits in the 400 to 1,500 band.</t>
        </is>
      </c>
      <c r="M64" s="14" t="inlineStr">
        <is>
          <t>No</t>
        </is>
      </c>
      <c r="N64" s="15" t="inlineStr">
        <is>
          <t>Nothing on record.</t>
        </is>
      </c>
      <c r="O64" s="10" t="inlineStr"/>
      <c r="P64" s="12" t="inlineStr"/>
      <c r="Q64" s="16">
        <f>IF(O64="","ADD LINKEDIN","ok")</f>
        <v/>
      </c>
      <c r="R64" s="12" t="inlineStr">
        <is>
          <t>https://www.riversidehomebuilders.com/</t>
        </is>
      </c>
      <c r="S64" s="15" t="inlineStr">
        <is>
          <t>Third-generation builder working only in North Texas, with more than 25 active and coming communities on its own site. Founder Tim Fleet is president.</t>
        </is>
      </c>
      <c r="T64" s="12" t="inlineStr">
        <is>
          <t>YES</t>
        </is>
      </c>
      <c r="U64" s="15" t="inlineStr">
        <is>
          <t>Names himself president and founder on the firm's about page.</t>
        </is>
      </c>
      <c r="V64" s="12" t="inlineStr">
        <is>
          <t>https://www.riversidehomebuilders.com/about/</t>
        </is>
      </c>
      <c r="W64" s="12" t="inlineStr">
        <is>
          <t>https://www.linkedin.com/company/riversidehomebuilders/</t>
        </is>
      </c>
      <c r="X64" s="12" t="inlineStr"/>
      <c r="Y64" s="12" t="inlineStr"/>
      <c r="Z64" s="12" t="inlineStr">
        <is>
          <t>(817) 734-8528</t>
        </is>
      </c>
      <c r="AA64" s="12" t="inlineStr">
        <is>
          <t>Sales line, Fort Worth</t>
        </is>
      </c>
      <c r="AB64" s="12" t="inlineStr">
        <is>
          <t>https://www.riversidehomebuilders.com/contact-us/</t>
        </is>
      </c>
      <c r="AC64" s="12" t="inlineStr"/>
      <c r="AD64" s="12" t="inlineStr"/>
    </row>
    <row r="65">
      <c r="A65" s="6" t="inlineStr">
        <is>
          <t>Lindsay Motley</t>
        </is>
      </c>
      <c r="B65" s="6" t="inlineStr">
        <is>
          <t>Starlight Homes (Ashton Woods brand)</t>
        </is>
      </c>
      <c r="C65" s="6" t="inlineStr">
        <is>
          <t>Regional President, Texas, Ashton Woods</t>
        </is>
      </c>
      <c r="D65" s="7" t="inlineStr">
        <is>
          <t>One gap</t>
        </is>
      </c>
      <c r="E65" s="8" t="n">
        <v>2</v>
      </c>
      <c r="F65" s="6" t="inlineStr">
        <is>
          <t>Buys walls</t>
        </is>
      </c>
      <c r="G65" s="6" t="inlineStr">
        <is>
          <t>Dallas-Fort Worth, from Howe to Cedar Hill</t>
        </is>
      </c>
      <c r="H65" s="6" t="inlineStr">
        <is>
          <t>Ashton Woods brand, parent had 1,155 DFW closings in 2024</t>
        </is>
      </c>
      <c r="I65" s="8" t="inlineStr">
        <is>
          <t>Yes</t>
        </is>
      </c>
      <c r="J65" s="9" t="inlineStr">
        <is>
          <t>Named plans such as Rayne, Orbit, Crescent and Luna repeat across DFW neighborhoods, and its FAQ says streamlined floor plans reduce costs.</t>
        </is>
      </c>
      <c r="K65" s="8" t="inlineStr">
        <is>
          <t>Partly</t>
        </is>
      </c>
      <c r="L65" s="9" t="inlineStr">
        <is>
          <t>No brand closings figure is published. Purchasing sits with the parent, Ashton Woods, whose SVP of Purchasing is named on its corporate page.</t>
        </is>
      </c>
      <c r="M65" s="8" t="inlineStr">
        <is>
          <t>No</t>
        </is>
      </c>
      <c r="N65" s="9" t="inlineStr">
        <is>
          <t>Nothing on record.</t>
        </is>
      </c>
      <c r="O65" s="6" t="inlineStr">
        <is>
          <t>https://www.linkedin.com/in/lindsay-motley-3553b614</t>
        </is>
      </c>
      <c r="P65" s="6" t="inlineStr"/>
      <c r="Q65" s="11">
        <f>IF(O65="","ADD LINKEDIN","ok")</f>
        <v/>
      </c>
      <c r="R65" s="6" t="inlineStr">
        <is>
          <t>https://www.starlighthomes.com/dallas</t>
        </is>
      </c>
      <c r="S65" s="9" t="inlineStr">
        <is>
          <t>Streamlined plans repeated across DFW neighborhoods, and its FAQ ties lower costs to them. Purchasing sits with the parent, Ashton Woods.</t>
        </is>
      </c>
      <c r="T65" s="6" t="inlineStr">
        <is>
          <t>YES</t>
        </is>
      </c>
      <c r="U65" s="9" t="inlineStr">
        <is>
          <t>Indexed title reads Lindsay Motley - Regional President at Ashton Woods. Named on Ashton Woods' corporate information page as Regional President over the Texas markets since 2022.</t>
        </is>
      </c>
      <c r="V65" s="6" t="inlineStr">
        <is>
          <t>https://www.ashtonwoods.com/corporate-info</t>
        </is>
      </c>
      <c r="W65" s="6" t="inlineStr">
        <is>
          <t>https://www.linkedin.com/company/starlight-homes/</t>
        </is>
      </c>
      <c r="X65" s="6" t="inlineStr"/>
      <c r="Y65" s="6" t="inlineStr"/>
      <c r="Z65" s="6" t="inlineStr">
        <is>
          <t>(972) 449-1907</t>
        </is>
      </c>
      <c r="AA65" s="6" t="inlineStr">
        <is>
          <t>Dallas rates page line</t>
        </is>
      </c>
      <c r="AB65" s="6" t="inlineStr">
        <is>
          <t>https://www2.starlighthomes.com/lower-rates-lower-payments-dallas</t>
        </is>
      </c>
      <c r="AC65" s="6" t="inlineStr"/>
      <c r="AD65" s="6" t="inlineStr"/>
    </row>
    <row r="66">
      <c r="A66" s="12" t="inlineStr">
        <is>
          <t>Adam Weaver</t>
        </is>
      </c>
      <c r="B66" s="12" t="inlineStr">
        <is>
          <t>Starlight Homes (Ashton Woods brand)</t>
        </is>
      </c>
      <c r="C66" s="12" t="inlineStr">
        <is>
          <t>Senior Vice President of Purchasing, Ashton Woods</t>
        </is>
      </c>
      <c r="D66" s="13" t="inlineStr">
        <is>
          <t>One gap</t>
        </is>
      </c>
      <c r="E66" s="14" t="n">
        <v>2</v>
      </c>
      <c r="F66" s="12" t="inlineStr">
        <is>
          <t>Buys walls</t>
        </is>
      </c>
      <c r="G66" s="12" t="inlineStr">
        <is>
          <t>Dallas-Fort Worth, from Howe to Cedar Hill</t>
        </is>
      </c>
      <c r="H66" s="12" t="inlineStr">
        <is>
          <t>Ashton Woods brand, parent had 1,155 DFW closings in 2024</t>
        </is>
      </c>
      <c r="I66" s="14" t="inlineStr">
        <is>
          <t>Yes</t>
        </is>
      </c>
      <c r="J66" s="15" t="inlineStr">
        <is>
          <t>Named plans such as Rayne, Orbit, Crescent and Luna repeat across DFW neighborhoods, and its FAQ says streamlined floor plans reduce costs.</t>
        </is>
      </c>
      <c r="K66" s="14" t="inlineStr">
        <is>
          <t>Partly</t>
        </is>
      </c>
      <c r="L66" s="15" t="inlineStr">
        <is>
          <t>No brand closings figure is published. Purchasing sits with the parent, Ashton Woods, whose SVP of Purchasing is named on its corporate page.</t>
        </is>
      </c>
      <c r="M66" s="14" t="inlineStr">
        <is>
          <t>No</t>
        </is>
      </c>
      <c r="N66" s="15" t="inlineStr">
        <is>
          <t>Nothing on record.</t>
        </is>
      </c>
      <c r="O66" s="6" t="inlineStr">
        <is>
          <t>https://www.linkedin.com/in/adamweaver/</t>
        </is>
      </c>
      <c r="P66" s="12" t="inlineStr"/>
      <c r="Q66" s="16">
        <f>IF(O66="","ADD LINKEDIN","ok")</f>
        <v/>
      </c>
      <c r="R66" s="12" t="inlineStr">
        <is>
          <t>https://www.starlighthomes.com/dallas</t>
        </is>
      </c>
      <c r="S66" s="15" t="inlineStr">
        <is>
          <t>Streamlined plans repeated across DFW neighborhoods, and its FAQ ties lower costs to them. Purchasing sits with the parent, Ashton Woods.</t>
        </is>
      </c>
      <c r="T66" s="12" t="inlineStr">
        <is>
          <t>YES</t>
        </is>
      </c>
      <c r="U66" s="15" t="inlineStr">
        <is>
          <t>Indexed title reads Adam Weaver - Ashton Woods Homes. Named on Ashton Woods' corporate information page as Senior Vice President of Purchasing.</t>
        </is>
      </c>
      <c r="V66" s="12" t="inlineStr">
        <is>
          <t>https://www.ashtonwoods.com/corporate-info</t>
        </is>
      </c>
      <c r="W66" s="12" t="inlineStr">
        <is>
          <t>https://www.linkedin.com/company/starlight-homes/</t>
        </is>
      </c>
      <c r="X66" s="12" t="inlineStr"/>
      <c r="Y66" s="12" t="inlineStr"/>
      <c r="Z66" s="12" t="inlineStr">
        <is>
          <t>(972) 449-1907</t>
        </is>
      </c>
      <c r="AA66" s="12" t="inlineStr">
        <is>
          <t>Dallas rates page line</t>
        </is>
      </c>
      <c r="AB66" s="12" t="inlineStr">
        <is>
          <t>https://www2.starlighthomes.com/lower-rates-lower-payments-dallas</t>
        </is>
      </c>
      <c r="AC66" s="12" t="inlineStr"/>
      <c r="AD66" s="12" t="inlineStr"/>
    </row>
    <row r="67">
      <c r="A67" s="6" t="inlineStr">
        <is>
          <t>Ryan Hayes</t>
        </is>
      </c>
      <c r="B67" s="6" t="inlineStr">
        <is>
          <t>Stonehollow Homes</t>
        </is>
      </c>
      <c r="C67" s="6" t="inlineStr">
        <is>
          <t>Title not published</t>
        </is>
      </c>
      <c r="D67" s="7" t="inlineStr">
        <is>
          <t>One gap</t>
        </is>
      </c>
      <c r="E67" s="8" t="n">
        <v>2</v>
      </c>
      <c r="F67" s="6" t="inlineStr">
        <is>
          <t>Buys walls</t>
        </is>
      </c>
      <c r="G67" s="6" t="inlineStr">
        <is>
          <t>McKinney, with communities from Sherman to Fort Worth</t>
        </is>
      </c>
      <c r="H67" s="6" t="inlineStr">
        <is>
          <t>176 company-wide closings in 2022, BUILDER records</t>
        </is>
      </c>
      <c r="I67" s="8" t="inlineStr">
        <is>
          <t>Yes</t>
        </is>
      </c>
      <c r="J67" s="9" t="inlineStr">
        <is>
          <t>One plan library repeated across the communities on its own site, in Sherman, Pilot Point, Lavon, Fort Worth, Anna and other North Texas towns.</t>
        </is>
      </c>
      <c r="K67" s="8" t="inlineStr">
        <is>
          <t>Partly</t>
        </is>
      </c>
      <c r="L67" s="9" t="inlineStr">
        <is>
          <t>176 closings in 2022 sits in the 25 to 400 band, but it is spread across many community entries, and the latest figure is from 2022.</t>
        </is>
      </c>
      <c r="M67" s="8" t="inlineStr">
        <is>
          <t>No</t>
        </is>
      </c>
      <c r="N67" s="9" t="inlineStr">
        <is>
          <t>Nothing on record.</t>
        </is>
      </c>
      <c r="O67" s="10" t="inlineStr"/>
      <c r="P67" s="6" t="inlineStr"/>
      <c r="Q67" s="11">
        <f>IF(O67="","ADD LINKEDIN","ok")</f>
        <v/>
      </c>
      <c r="R67" s="6" t="inlineStr">
        <is>
          <t>https://www.stonehollowhomes.com/</t>
        </is>
      </c>
      <c r="S67" s="9" t="inlineStr">
        <is>
          <t>Family-owned, with communities on its own site from Sherman to Fort Worth.</t>
        </is>
      </c>
      <c r="T67" s="6" t="inlineStr"/>
      <c r="U67" s="9" t="inlineStr">
        <is>
          <t>Named with Tami Hayes in the firm's own LinkedIn post of December 2025, telling the story behind its homes on ADTV, with no title given.</t>
        </is>
      </c>
      <c r="V67" s="6" t="inlineStr">
        <is>
          <t>https://www.linkedin.com/posts/stonehollow-homes_stonehollow-homes-is-hitting-the-screen-activity-7405267233117159424-txNB</t>
        </is>
      </c>
      <c r="W67" s="6" t="inlineStr">
        <is>
          <t>https://www.linkedin.com/company/stonehollow-homes/</t>
        </is>
      </c>
      <c r="X67" s="6" t="inlineStr"/>
      <c r="Y67" s="6" t="inlineStr"/>
      <c r="Z67" s="6" t="inlineStr">
        <is>
          <t>(469) 237-6320</t>
        </is>
      </c>
      <c r="AA67" s="6" t="inlineStr">
        <is>
          <t>Main office, McKinney</t>
        </is>
      </c>
      <c r="AB67" s="6" t="inlineStr">
        <is>
          <t>https://www.stonehollowhomes.com/about-us</t>
        </is>
      </c>
      <c r="AC67" s="6" t="inlineStr"/>
      <c r="AD67" s="6" t="inlineStr"/>
    </row>
    <row r="68">
      <c r="A68" s="12" t="inlineStr">
        <is>
          <t>Tami Hayes</t>
        </is>
      </c>
      <c r="B68" s="12" t="inlineStr">
        <is>
          <t>Stonehollow Homes</t>
        </is>
      </c>
      <c r="C68" s="12" t="inlineStr">
        <is>
          <t>Title not published</t>
        </is>
      </c>
      <c r="D68" s="13" t="inlineStr">
        <is>
          <t>One gap</t>
        </is>
      </c>
      <c r="E68" s="14" t="n">
        <v>2</v>
      </c>
      <c r="F68" s="12" t="inlineStr">
        <is>
          <t>Buys walls</t>
        </is>
      </c>
      <c r="G68" s="12" t="inlineStr">
        <is>
          <t>McKinney, with communities from Sherman to Fort Worth</t>
        </is>
      </c>
      <c r="H68" s="12" t="inlineStr">
        <is>
          <t>176 company-wide closings in 2022, BUILDER records</t>
        </is>
      </c>
      <c r="I68" s="14" t="inlineStr">
        <is>
          <t>Yes</t>
        </is>
      </c>
      <c r="J68" s="15" t="inlineStr">
        <is>
          <t>One plan library repeated across the communities on its own site, in Sherman, Pilot Point, Lavon, Fort Worth, Anna and other North Texas towns.</t>
        </is>
      </c>
      <c r="K68" s="14" t="inlineStr">
        <is>
          <t>Partly</t>
        </is>
      </c>
      <c r="L68" s="15" t="inlineStr">
        <is>
          <t>176 closings in 2022 sits in the 25 to 400 band, but it is spread across many community entries, and the latest figure is from 2022.</t>
        </is>
      </c>
      <c r="M68" s="14" t="inlineStr">
        <is>
          <t>No</t>
        </is>
      </c>
      <c r="N68" s="15" t="inlineStr">
        <is>
          <t>Nothing on record.</t>
        </is>
      </c>
      <c r="O68" s="10" t="inlineStr"/>
      <c r="P68" s="12" t="inlineStr"/>
      <c r="Q68" s="16">
        <f>IF(O68="","ADD LINKEDIN","ok")</f>
        <v/>
      </c>
      <c r="R68" s="12" t="inlineStr">
        <is>
          <t>https://www.stonehollowhomes.com/</t>
        </is>
      </c>
      <c r="S68" s="15" t="inlineStr">
        <is>
          <t>Family-owned, with communities on its own site from Sherman to Fort Worth.</t>
        </is>
      </c>
      <c r="T68" s="12" t="inlineStr"/>
      <c r="U68" s="15" t="inlineStr">
        <is>
          <t>Named with Ryan Hayes in the same December 2025 company post, with no title given.</t>
        </is>
      </c>
      <c r="V68" s="12" t="inlineStr">
        <is>
          <t>https://www.linkedin.com/posts/stonehollow-homes_stonehollow-homes-is-hitting-the-screen-activity-7405267233117159424-txNB</t>
        </is>
      </c>
      <c r="W68" s="12" t="inlineStr">
        <is>
          <t>https://www.linkedin.com/company/stonehollow-homes/</t>
        </is>
      </c>
      <c r="X68" s="12" t="inlineStr"/>
      <c r="Y68" s="12" t="inlineStr"/>
      <c r="Z68" s="12" t="inlineStr">
        <is>
          <t>(469) 237-6320</t>
        </is>
      </c>
      <c r="AA68" s="12" t="inlineStr">
        <is>
          <t>Main office, McKinney</t>
        </is>
      </c>
      <c r="AB68" s="12" t="inlineStr">
        <is>
          <t>https://www.stonehollowhomes.com/about-us</t>
        </is>
      </c>
      <c r="AC68" s="12" t="inlineStr"/>
      <c r="AD68" s="12" t="inlineStr"/>
    </row>
    <row r="69">
      <c r="A69" s="6" t="inlineStr">
        <is>
          <t>Zach Schneider</t>
        </is>
      </c>
      <c r="B69" s="6" t="inlineStr">
        <is>
          <t>Tradition Homes</t>
        </is>
      </c>
      <c r="C69" s="6" t="inlineStr">
        <is>
          <t>President and CEO, co-founder</t>
        </is>
      </c>
      <c r="D69" s="7" t="inlineStr">
        <is>
          <t>One gap</t>
        </is>
      </c>
      <c r="E69" s="8" t="n">
        <v>2</v>
      </c>
      <c r="F69" s="6" t="inlineStr">
        <is>
          <t>Buys walls</t>
        </is>
      </c>
      <c r="G69" s="6" t="inlineStr">
        <is>
          <t>McKinney, with communities in Prosper and Celina</t>
        </is>
      </c>
      <c r="H69" s="6" t="inlineStr">
        <is>
          <t>DFW move-up builder founded 2019 by Darling and Schneider</t>
        </is>
      </c>
      <c r="I69" s="8" t="inlineStr">
        <is>
          <t>Yes</t>
        </is>
      </c>
      <c r="J69" s="9" t="inlineStr">
        <is>
          <t>Production and semi-custom plans across several North Texas masterplans, including Light Farms, Windsong Ranch and Brookhollow.</t>
        </is>
      </c>
      <c r="K69" s="8" t="inlineStr">
        <is>
          <t>Partly</t>
        </is>
      </c>
      <c r="L69" s="9" t="inlineStr">
        <is>
          <t>Concentrated in DFW, but no annual closing figure is published.</t>
        </is>
      </c>
      <c r="M69" s="8" t="inlineStr">
        <is>
          <t>No</t>
        </is>
      </c>
      <c r="N69" s="9" t="inlineStr">
        <is>
          <t>Nothing on record about construction method.</t>
        </is>
      </c>
      <c r="O69" s="10" t="inlineStr"/>
      <c r="P69" s="6" t="inlineStr"/>
      <c r="Q69" s="11">
        <f>IF(O69="","ADD LINKEDIN","ok")</f>
        <v/>
      </c>
      <c r="R69" s="6" t="inlineStr">
        <is>
          <t>https://www.traditionhomes.com/</t>
        </is>
      </c>
      <c r="S69" s="9" t="inlineStr">
        <is>
          <t>Builds across several North Texas masterplans. No annual closings are published.</t>
        </is>
      </c>
      <c r="T69" s="6" t="inlineStr">
        <is>
          <t>YES</t>
        </is>
      </c>
      <c r="U69" s="9" t="inlineStr">
        <is>
          <t>Named on the firm's homepage alongside Bill Darling, and titled President and CEO on his LinkedIn profile.</t>
        </is>
      </c>
      <c r="V69" s="6" t="inlineStr">
        <is>
          <t>https://www.traditionhomes.com/</t>
        </is>
      </c>
      <c r="W69" s="6" t="inlineStr">
        <is>
          <t>https://www.linkedin.com/company/traditonhomes/</t>
        </is>
      </c>
      <c r="X69" s="6" t="inlineStr"/>
      <c r="Y69" s="6" t="inlineStr">
        <is>
          <t>2019-07-24 Dallas Business Journal (hosted on Tradition site). Longtime DFW builder Bill Darling leaps back into high-end homes in Celina’s Light Farms  https://www.traditionhomes.com/longtime-dfw-builder-bill-darling-leaps-back-into-high-end-homes-in-celinas-light-farms/</t>
        </is>
      </c>
      <c r="Z69" s="6" t="inlineStr">
        <is>
          <t>(469) 202-4663</t>
        </is>
      </c>
      <c r="AA69" s="6" t="inlineStr">
        <is>
          <t>Office, McKinney</t>
        </is>
      </c>
      <c r="AB69" s="6" t="inlineStr">
        <is>
          <t>https://www.traditionhomes.com/</t>
        </is>
      </c>
      <c r="AC69" s="6" t="inlineStr"/>
      <c r="AD69" s="6" t="inlineStr"/>
    </row>
    <row r="70">
      <c r="A70" s="12" t="inlineStr">
        <is>
          <t>Bill Darling</t>
        </is>
      </c>
      <c r="B70" s="12" t="inlineStr">
        <is>
          <t>Tradition Homes</t>
        </is>
      </c>
      <c r="C70" s="12" t="inlineStr">
        <is>
          <t>Co-founder</t>
        </is>
      </c>
      <c r="D70" s="13" t="inlineStr">
        <is>
          <t>One gap</t>
        </is>
      </c>
      <c r="E70" s="14" t="n">
        <v>2</v>
      </c>
      <c r="F70" s="12" t="inlineStr">
        <is>
          <t>Buys walls</t>
        </is>
      </c>
      <c r="G70" s="12" t="inlineStr">
        <is>
          <t>McKinney, with communities in Prosper and Celina</t>
        </is>
      </c>
      <c r="H70" s="12" t="inlineStr">
        <is>
          <t>DFW move-up builder founded 2019 by Darling and Schneider</t>
        </is>
      </c>
      <c r="I70" s="14" t="inlineStr">
        <is>
          <t>Yes</t>
        </is>
      </c>
      <c r="J70" s="15" t="inlineStr">
        <is>
          <t>Production and semi-custom plans across several North Texas masterplans, including Light Farms, Windsong Ranch and Brookhollow.</t>
        </is>
      </c>
      <c r="K70" s="14" t="inlineStr">
        <is>
          <t>Partly</t>
        </is>
      </c>
      <c r="L70" s="15" t="inlineStr">
        <is>
          <t>Concentrated in DFW, but no annual closing figure is published.</t>
        </is>
      </c>
      <c r="M70" s="14" t="inlineStr">
        <is>
          <t>No</t>
        </is>
      </c>
      <c r="N70" s="15" t="inlineStr">
        <is>
          <t>Nothing on record about construction method.</t>
        </is>
      </c>
      <c r="O70" s="10" t="inlineStr"/>
      <c r="P70" s="12" t="inlineStr"/>
      <c r="Q70" s="16">
        <f>IF(O70="","ADD LINKEDIN","ok")</f>
        <v/>
      </c>
      <c r="R70" s="12" t="inlineStr">
        <is>
          <t>https://www.traditionhomes.com/</t>
        </is>
      </c>
      <c r="S70" s="15" t="inlineStr">
        <is>
          <t>Builds across several North Texas masterplans. No annual closings are published.</t>
        </is>
      </c>
      <c r="T70" s="12" t="inlineStr">
        <is>
          <t>YES</t>
        </is>
      </c>
      <c r="U70" s="15" t="inlineStr">
        <is>
          <t>A Dallas Business Journal article hosted on the firm's site says Darling and Schneider started Tradition Homes.</t>
        </is>
      </c>
      <c r="V70" s="12" t="inlineStr">
        <is>
          <t>https://www.traditionhomes.com/longtime-dfw-builder-bill-darling-leaps-back-into-high-end-homes-in-celinas-light-farms/</t>
        </is>
      </c>
      <c r="W70" s="12" t="inlineStr">
        <is>
          <t>https://www.linkedin.com/company/traditonhomes/</t>
        </is>
      </c>
      <c r="X70" s="12" t="inlineStr"/>
      <c r="Y70" s="12" t="inlineStr">
        <is>
          <t>2019-07-24 Dallas Business Journal (hosted on Tradition site). Longtime DFW builder Bill Darling leaps back into high-end homes in Celina’s Light Farms  https://www.traditionhomes.com/longtime-dfw-builder-bill-darling-leaps-back-into-high-end-homes-in-celinas-light-farms/</t>
        </is>
      </c>
      <c r="Z70" s="12" t="inlineStr">
        <is>
          <t>(469) 202-4663</t>
        </is>
      </c>
      <c r="AA70" s="12" t="inlineStr">
        <is>
          <t>Office, McKinney</t>
        </is>
      </c>
      <c r="AB70" s="12" t="inlineStr">
        <is>
          <t>https://www.traditionhomes.com/</t>
        </is>
      </c>
      <c r="AC70" s="12" t="inlineStr"/>
      <c r="AD70" s="12" t="inlineStr"/>
    </row>
    <row r="71">
      <c r="A71" s="6" t="inlineStr">
        <is>
          <t>Tim Gehan</t>
        </is>
      </c>
      <c r="B71" s="6" t="inlineStr">
        <is>
          <t>UnionMain Homes</t>
        </is>
      </c>
      <c r="C71" s="6" t="inlineStr">
        <is>
          <t>Chief Executive Officer</t>
        </is>
      </c>
      <c r="D71" s="7" t="inlineStr">
        <is>
          <t>One gap</t>
        </is>
      </c>
      <c r="E71" s="8" t="n">
        <v>2</v>
      </c>
      <c r="F71" s="6" t="inlineStr">
        <is>
          <t>Buys walls</t>
        </is>
      </c>
      <c r="G71" s="6" t="inlineStr">
        <is>
          <t>North Texas, from Celina to Waxahachie, and Atlanta</t>
        </is>
      </c>
      <c r="H71" s="6" t="inlineStr">
        <is>
          <t>12 Texas communities in 9 cities, own count</t>
        </is>
      </c>
      <c r="I71" s="8" t="inlineStr">
        <is>
          <t>Yes</t>
        </is>
      </c>
      <c r="J71" s="9" t="inlineStr">
        <is>
          <t>Entry and move-up floor plans, 40 in all by its Texas page, repeated across 12 North Texas communities.</t>
        </is>
      </c>
      <c r="K71" s="8" t="inlineStr">
        <is>
          <t>Partly</t>
        </is>
      </c>
      <c r="L71" s="9" t="inlineStr">
        <is>
          <t>Community counts are published and annual closings are not.</t>
        </is>
      </c>
      <c r="M71" s="8" t="inlineStr">
        <is>
          <t>No</t>
        </is>
      </c>
      <c r="N71" s="9" t="inlineStr">
        <is>
          <t>Nothing on record.</t>
        </is>
      </c>
      <c r="O71" s="10" t="inlineStr"/>
      <c r="P71" s="6" t="inlineStr"/>
      <c r="Q71" s="11">
        <f>IF(O71="","ADD LINKEDIN","ok")</f>
        <v/>
      </c>
      <c r="R71" s="6" t="inlineStr">
        <is>
          <t>https://www.unionmainhomes.com/</t>
        </is>
      </c>
      <c r="S71" s="9" t="inlineStr">
        <is>
          <t>Entry and move-up plans repeated across North Texas communities. Its chief executive is named in trade press, and no construction or purchasing officer is published.</t>
        </is>
      </c>
      <c r="T71" s="6" t="inlineStr">
        <is>
          <t>YES</t>
        </is>
      </c>
      <c r="U71" s="9" t="inlineStr">
        <is>
          <t>Quoted as chief executive in a Dallas Builders Association Home of the Week feature on Walden Pond, Forney.</t>
        </is>
      </c>
      <c r="V71" s="6" t="inlineStr">
        <is>
          <t>https://dallasbuilders.com/home-of-the-week-unionmain-homes-7/</t>
        </is>
      </c>
      <c r="W71" s="6" t="inlineStr">
        <is>
          <t>https://www.linkedin.com/company/unionmainhomes/</t>
        </is>
      </c>
      <c r="X71" s="6" t="inlineStr">
        <is>
          <t>https://www.unionmainhomes.com/about</t>
        </is>
      </c>
      <c r="Y71" s="6" t="inlineStr"/>
      <c r="Z71" s="6" t="inlineStr">
        <is>
          <t>(469) 813-8700</t>
        </is>
      </c>
      <c r="AA71" s="6" t="inlineStr">
        <is>
          <t>Online sales consultant</t>
        </is>
      </c>
      <c r="AB71" s="6" t="inlineStr">
        <is>
          <t>https://www.unionmainhomes.com/contact</t>
        </is>
      </c>
      <c r="AC71" s="6" t="inlineStr"/>
      <c r="AD71" s="6" t="inlineStr"/>
    </row>
    <row r="72">
      <c r="A72" s="12" t="inlineStr">
        <is>
          <t>Kathy Britton</t>
        </is>
      </c>
      <c r="B72" s="12" t="inlineStr">
        <is>
          <t>Britton Homes</t>
        </is>
      </c>
      <c r="C72" s="12" t="inlineStr">
        <is>
          <t>Owner and Executive Chair, Perry Homes</t>
        </is>
      </c>
      <c r="D72" s="13" t="inlineStr">
        <is>
          <t>One gap</t>
        </is>
      </c>
      <c r="E72" s="14" t="n">
        <v>2</v>
      </c>
      <c r="F72" s="12" t="inlineStr">
        <is>
          <t>Buys walls</t>
        </is>
      </c>
      <c r="G72" s="12" t="inlineStr">
        <is>
          <t>North Texas: Plano, Frisco, Celina, Highland Village and Prosper</t>
        </is>
      </c>
      <c r="H72" s="12" t="inlineStr">
        <is>
          <t>Perry Homes luxury brand building in North Texas</t>
        </is>
      </c>
      <c r="I72" s="14" t="inlineStr">
        <is>
          <t>Partly</t>
        </is>
      </c>
      <c r="J72" s="15" t="inlineStr">
        <is>
          <t>A brand plan library in named North Texas cities, but upscale product is less standardized than entry production.</t>
        </is>
      </c>
      <c r="K72" s="14" t="inlineStr">
        <is>
          <t>Partly</t>
        </is>
      </c>
      <c r="L72" s="15" t="inlineStr">
        <is>
          <t>No Britton-only closing figure is published, and purchasing likely runs through the Perry Homes parent.</t>
        </is>
      </c>
      <c r="M72" s="14" t="inlineStr">
        <is>
          <t>No</t>
        </is>
      </c>
      <c r="N72" s="15" t="inlineStr">
        <is>
          <t>Nothing on record about construction method.</t>
        </is>
      </c>
      <c r="O72" s="10" t="inlineStr"/>
      <c r="P72" s="12" t="inlineStr"/>
      <c r="Q72" s="16">
        <f>IF(O72="","ADD LINKEDIN","ok")</f>
        <v/>
      </c>
      <c r="R72" s="12" t="inlineStr">
        <is>
          <t>https://www.brittonhomestexas.com/</t>
        </is>
      </c>
      <c r="S72" s="15" t="inlineStr">
        <is>
          <t>An upscale Perry Homes brand. Purchasing likely runs through the Perry Homes desk.</t>
        </is>
      </c>
      <c r="T72" s="12" t="inlineStr">
        <is>
          <t>YES</t>
        </is>
      </c>
      <c r="U72" s="15" t="inlineStr">
        <is>
          <t>Named on the Perry Homes about page as Owner and Executive Chair of the parent company.</t>
        </is>
      </c>
      <c r="V72" s="12" t="inlineStr">
        <is>
          <t>https://www.perryhomes.com/about-perry-homes</t>
        </is>
      </c>
      <c r="W72" s="12" t="inlineStr">
        <is>
          <t>https://www.linkedin.com/company/britton-homes-texas/</t>
        </is>
      </c>
      <c r="X72" s="12" t="inlineStr"/>
      <c r="Y72" s="12" t="inlineStr"/>
      <c r="Z72" s="12" t="inlineStr">
        <is>
          <t>(800) 247-3779</t>
        </is>
      </c>
      <c r="AA72" s="12" t="inlineStr">
        <is>
          <t>Perry Homes line, on the Britton contact page</t>
        </is>
      </c>
      <c r="AB72" s="12" t="inlineStr">
        <is>
          <t>https://www.brittonhomestexas.com/contact-us/</t>
        </is>
      </c>
      <c r="AC72" s="12" t="inlineStr"/>
      <c r="AD72" s="12" t="inlineStr"/>
    </row>
    <row r="73">
      <c r="A73" s="6" t="inlineStr">
        <is>
          <t>Randy McGillem</t>
        </is>
      </c>
      <c r="B73" s="6" t="inlineStr">
        <is>
          <t>Chesmar Homes</t>
        </is>
      </c>
      <c r="C73" s="6" t="inlineStr">
        <is>
          <t>President and CEO, Chesmar Homes DFW</t>
        </is>
      </c>
      <c r="D73" s="7" t="inlineStr">
        <is>
          <t>One gap</t>
        </is>
      </c>
      <c r="E73" s="8" t="n">
        <v>2</v>
      </c>
      <c r="F73" s="6" t="inlineStr">
        <is>
          <t>Buys walls</t>
        </is>
      </c>
      <c r="G73" s="6" t="inlineStr">
        <is>
          <t>Richardson area, part of a Texas multi-market builder</t>
        </is>
      </c>
      <c r="H73" s="6" t="inlineStr">
        <is>
          <t>1,779 company-wide closings in 2022, Sekisui House-owned</t>
        </is>
      </c>
      <c r="I73" s="8" t="inlineStr">
        <is>
          <t>Partly</t>
        </is>
      </c>
      <c r="J73" s="9" t="inlineStr">
        <is>
          <t>Production plans across several Texas metros, with DFW one market among them.</t>
        </is>
      </c>
      <c r="K73" s="8" t="inlineStr">
        <is>
          <t>No</t>
        </is>
      </c>
      <c r="L73" s="9" t="inlineStr">
        <is>
          <t>1,779 closings company-wide in 2022, above 1,500. Sekisui House ownership also puts purchasing at risk of sitting with the parent.</t>
        </is>
      </c>
      <c r="M73" s="8" t="inlineStr">
        <is>
          <t>Partly</t>
        </is>
      </c>
      <c r="N73" s="9" t="inlineStr">
        <is>
          <t>Sekisui House states that from 2026 it will transfer its construction technology, including New 2x4 and SHAWOOD, into its U.S. brands. That is the parent's stated aim, with no changed wall on Chesmar's own pages.</t>
        </is>
      </c>
      <c r="O73" s="6" t="inlineStr">
        <is>
          <t>https://www.linkedin.com/in/randy-mcgillem-39a37869</t>
        </is>
      </c>
      <c r="P73" s="6" t="inlineStr"/>
      <c r="Q73" s="11">
        <f>IF(O73="","ADD LINKEDIN","ok")</f>
        <v/>
      </c>
      <c r="R73" s="6" t="inlineStr">
        <is>
          <t>https://www.chesmar.com/</t>
        </is>
      </c>
      <c r="S73" s="9" t="inlineStr">
        <is>
          <t>Owned by Sekisui House, which states it will transfer its construction technology into its U.S. brands beginning in 2026.</t>
        </is>
      </c>
      <c r="T73" s="6" t="inlineStr"/>
      <c r="U73" s="9" t="inlineStr">
        <is>
          <t>Indexed title reads Randy McGillem - Chesmar Homes. Listed in the Texas Association of Builders directory as President/CEO of Chesmar Homes DFW.</t>
        </is>
      </c>
      <c r="V73" s="6" t="inlineStr">
        <is>
          <t>https://members.texasbuilders.org/builder-directory/Details/chesmar-homes-dfw-ltd-732033</t>
        </is>
      </c>
      <c r="W73" s="6" t="inlineStr">
        <is>
          <t>https://www.linkedin.com/company/chesmar-homes/</t>
        </is>
      </c>
      <c r="X73" s="6" t="inlineStr"/>
      <c r="Y73" s="6" t="inlineStr"/>
      <c r="Z73" s="6" t="inlineStr"/>
      <c r="AA73" s="6" t="inlineStr"/>
      <c r="AB73" s="6" t="inlineStr"/>
      <c r="AC73" s="6" t="inlineStr"/>
      <c r="AD73" s="6" t="inlineStr"/>
    </row>
    <row r="74">
      <c r="A74" s="12" t="inlineStr">
        <is>
          <t>Chris Bright</t>
        </is>
      </c>
      <c r="B74" s="12" t="inlineStr">
        <is>
          <t>Belclaire Homes</t>
        </is>
      </c>
      <c r="C74" s="12" t="inlineStr">
        <is>
          <t>Chief Executive Officer</t>
        </is>
      </c>
      <c r="D74" s="13" t="inlineStr">
        <is>
          <t>One gap</t>
        </is>
      </c>
      <c r="E74" s="14" t="n">
        <v>2</v>
      </c>
      <c r="F74" s="12" t="inlineStr">
        <is>
          <t>Buys walls</t>
        </is>
      </c>
      <c r="G74" s="12" t="inlineStr">
        <is>
          <t>Dallas-Fort Worth, including Windsong Ranch in Prosper</t>
        </is>
      </c>
      <c r="H74" s="12" t="inlineStr">
        <is>
          <t>Sister brand of American Legend Homes, under Bright Industries</t>
        </is>
      </c>
      <c r="I74" s="14" t="inlineStr">
        <is>
          <t>Partly</t>
        </is>
      </c>
      <c r="J74" s="15" t="inlineStr">
        <is>
          <t>Semi-custom luxury plans with heavy options, in a few DFW master-planned communities.</t>
        </is>
      </c>
      <c r="K74" s="14" t="inlineStr">
        <is>
          <t>Partly</t>
        </is>
      </c>
      <c r="L74" s="15" t="inlineStr">
        <is>
          <t>No published closings figure, and a luxury product.</t>
        </is>
      </c>
      <c r="M74" s="14" t="inlineStr">
        <is>
          <t>No</t>
        </is>
      </c>
      <c r="N74" s="15" t="inlineStr">
        <is>
          <t>Nothing on record about construction method.</t>
        </is>
      </c>
      <c r="O74" s="10" t="inlineStr"/>
      <c r="P74" s="12" t="inlineStr"/>
      <c r="Q74" s="16">
        <f>IF(O74="","ADD LINKEDIN","ok")</f>
        <v/>
      </c>
      <c r="R74" s="12" t="inlineStr">
        <is>
          <t>https://www.belclairehomes.com/</t>
        </is>
      </c>
      <c r="S74" s="15" t="inlineStr">
        <is>
          <t>Semi-custom luxury plans with heavy options, sold in master-planned communities such as Windsong Ranch in Prosper.</t>
        </is>
      </c>
      <c r="T74" s="12" t="inlineStr">
        <is>
          <t>YES</t>
        </is>
      </c>
      <c r="U74" s="15" t="inlineStr">
        <is>
          <t>Quoted on Belclaire's own about page as CEO, on custom options and customer experience.</t>
        </is>
      </c>
      <c r="V74" s="12" t="inlineStr">
        <is>
          <t>https://www.belclairehomes.com/about-us</t>
        </is>
      </c>
      <c r="W74" s="12" t="inlineStr">
        <is>
          <t>https://www.linkedin.com/company/the-bright-companies/</t>
        </is>
      </c>
      <c r="X74" s="12" t="inlineStr">
        <is>
          <t>https://www.belclairehomes.com/about-us</t>
        </is>
      </c>
      <c r="Y74" s="12" t="inlineStr"/>
      <c r="Z74" s="12" t="inlineStr">
        <is>
          <t>(972) 410-5701</t>
        </is>
      </c>
      <c r="AA74" s="12" t="inlineStr">
        <is>
          <t>Corporate office</t>
        </is>
      </c>
      <c r="AB74" s="12" t="inlineStr">
        <is>
          <t>https://www.belclairehomes.com/</t>
        </is>
      </c>
      <c r="AC74" s="12" t="inlineStr"/>
      <c r="AD74" s="12" t="inlineStr"/>
    </row>
    <row r="75">
      <c r="A75" s="6" t="inlineStr">
        <is>
          <t>Tim Terrell</t>
        </is>
      </c>
      <c r="B75" s="6" t="inlineStr">
        <is>
          <t>Drees Homes</t>
        </is>
      </c>
      <c r="C75" s="6" t="inlineStr">
        <is>
          <t>President</t>
        </is>
      </c>
      <c r="D75" s="7" t="inlineStr">
        <is>
          <t>One gap</t>
        </is>
      </c>
      <c r="E75" s="8" t="n">
        <v>2</v>
      </c>
      <c r="F75" s="6" t="inlineStr">
        <is>
          <t>Buys walls</t>
        </is>
      </c>
      <c r="G75" s="6" t="inlineStr">
        <is>
          <t>Irving office, with communities in DFW masterplans</t>
        </is>
      </c>
      <c r="H75" s="6" t="inlineStr">
        <is>
          <t>2,286 company-wide closings in 2025, BUILDER records</t>
        </is>
      </c>
      <c r="I75" s="8" t="inlineStr">
        <is>
          <t>Partly</t>
        </is>
      </c>
      <c r="J75" s="9" t="inlineStr">
        <is>
          <t>Plans sold inside DFW masterplans, with a custom and luxury lean that limits repetition.</t>
        </is>
      </c>
      <c r="K75" s="8" t="inlineStr">
        <is>
          <t>Partly</t>
        </is>
      </c>
      <c r="L75" s="9" t="inlineStr">
        <is>
          <t>2,286 closings in 2025 are company-wide, across several states, and no DFW figure is published.</t>
        </is>
      </c>
      <c r="M75" s="8" t="inlineStr">
        <is>
          <t>No</t>
        </is>
      </c>
      <c r="N75" s="9" t="inlineStr">
        <is>
          <t>Its roster copy cites four generations of Drees family craft. Nothing on record for a new building method.</t>
        </is>
      </c>
      <c r="O75" s="10" t="inlineStr"/>
      <c r="P75" s="6" t="inlineStr"/>
      <c r="Q75" s="11">
        <f>IF(O75="","ADD LINKEDIN","ok")</f>
        <v/>
      </c>
      <c r="R75" s="6" t="inlineStr">
        <is>
          <t>https://www.dreeshomes.com/</t>
        </is>
      </c>
      <c r="S75" s="9" t="inlineStr">
        <is>
          <t>Sells in DFW as Drees Custom Homes, on the builder lists at Hillwood's Ramble and at Painted Tree. Its product leans to luxury and custom.</t>
        </is>
      </c>
      <c r="T75" s="6" t="inlineStr"/>
      <c r="U75" s="9" t="inlineStr">
        <is>
          <t>Named President in a Drees Homes press release of 23 September 2024.</t>
        </is>
      </c>
      <c r="V75" s="6" t="inlineStr">
        <is>
          <t>https://www.dreeshomes.com/press-news/drees-homes-announces-strategic-changes-to-its-leadership-lineup/</t>
        </is>
      </c>
      <c r="W75" s="6" t="inlineStr">
        <is>
          <t>https://www.linkedin.com/company/drees-homes/</t>
        </is>
      </c>
      <c r="X75" s="6" t="inlineStr"/>
      <c r="Y75" s="6" t="inlineStr"/>
      <c r="Z75" s="6" t="inlineStr">
        <is>
          <t>(972) 953-4500</t>
        </is>
      </c>
      <c r="AA75" s="6" t="inlineStr">
        <is>
          <t>DFW office and design center, Irving</t>
        </is>
      </c>
      <c r="AB75" s="6" t="inlineStr">
        <is>
          <t>https://www.dreeshomes.com/new-homes-dallas-ft-worth/</t>
        </is>
      </c>
      <c r="AC75" s="6" t="inlineStr"/>
      <c r="AD75" s="6" t="inlineStr"/>
    </row>
    <row r="76">
      <c r="A76" s="12" t="inlineStr">
        <is>
          <t>David Drees</t>
        </is>
      </c>
      <c r="B76" s="12" t="inlineStr">
        <is>
          <t>Drees Homes</t>
        </is>
      </c>
      <c r="C76" s="12" t="inlineStr">
        <is>
          <t>Chief Executive Officer</t>
        </is>
      </c>
      <c r="D76" s="13" t="inlineStr">
        <is>
          <t>One gap</t>
        </is>
      </c>
      <c r="E76" s="14" t="n">
        <v>2</v>
      </c>
      <c r="F76" s="12" t="inlineStr">
        <is>
          <t>Buys walls</t>
        </is>
      </c>
      <c r="G76" s="12" t="inlineStr">
        <is>
          <t>Irving office, with communities in DFW masterplans</t>
        </is>
      </c>
      <c r="H76" s="12" t="inlineStr">
        <is>
          <t>2,286 company-wide closings in 2025, BUILDER records</t>
        </is>
      </c>
      <c r="I76" s="14" t="inlineStr">
        <is>
          <t>Partly</t>
        </is>
      </c>
      <c r="J76" s="15" t="inlineStr">
        <is>
          <t>Plans sold inside DFW masterplans, with a custom and luxury lean that limits repetition.</t>
        </is>
      </c>
      <c r="K76" s="14" t="inlineStr">
        <is>
          <t>Partly</t>
        </is>
      </c>
      <c r="L76" s="15" t="inlineStr">
        <is>
          <t>2,286 closings in 2025 are company-wide, across several states, and no DFW figure is published.</t>
        </is>
      </c>
      <c r="M76" s="14" t="inlineStr">
        <is>
          <t>No</t>
        </is>
      </c>
      <c r="N76" s="15" t="inlineStr">
        <is>
          <t>Its roster copy cites four generations of Drees family craft. Nothing on record for a new building method.</t>
        </is>
      </c>
      <c r="O76" s="10" t="inlineStr"/>
      <c r="P76" s="12" t="inlineStr"/>
      <c r="Q76" s="16">
        <f>IF(O76="","ADD LINKEDIN","ok")</f>
        <v/>
      </c>
      <c r="R76" s="12" t="inlineStr">
        <is>
          <t>https://www.dreeshomes.com/</t>
        </is>
      </c>
      <c r="S76" s="15" t="inlineStr">
        <is>
          <t>Sells in DFW as Drees Custom Homes, on the builder lists at Hillwood's Ramble and at Painted Tree. Its product leans to luxury and custom.</t>
        </is>
      </c>
      <c r="T76" s="12" t="inlineStr"/>
      <c r="U76" s="15" t="inlineStr">
        <is>
          <t>Named as continuing CEO in the same Drees press release of 23 September 2024.</t>
        </is>
      </c>
      <c r="V76" s="12" t="inlineStr">
        <is>
          <t>https://www.dreeshomes.com/press-news/drees-homes-announces-strategic-changes-to-its-leadership-lineup/</t>
        </is>
      </c>
      <c r="W76" s="12" t="inlineStr">
        <is>
          <t>https://www.linkedin.com/company/drees-homes/</t>
        </is>
      </c>
      <c r="X76" s="12" t="inlineStr"/>
      <c r="Y76" s="12" t="inlineStr"/>
      <c r="Z76" s="12" t="inlineStr">
        <is>
          <t>(972) 953-4500</t>
        </is>
      </c>
      <c r="AA76" s="12" t="inlineStr">
        <is>
          <t>DFW office and design center, Irving</t>
        </is>
      </c>
      <c r="AB76" s="12" t="inlineStr">
        <is>
          <t>https://www.dreeshomes.com/new-homes-dallas-ft-worth/</t>
        </is>
      </c>
      <c r="AC76" s="12" t="inlineStr"/>
      <c r="AD76" s="12" t="inlineStr"/>
    </row>
    <row r="77">
      <c r="A77" s="6" t="inlineStr">
        <is>
          <t>Aaron Graham</t>
        </is>
      </c>
      <c r="B77" s="6" t="inlineStr">
        <is>
          <t>Huntington Homes</t>
        </is>
      </c>
      <c r="C77" s="6" t="inlineStr">
        <is>
          <t>Chairman and Chief Executive Officer, Highland Homes</t>
        </is>
      </c>
      <c r="D77" s="7" t="inlineStr">
        <is>
          <t>One gap</t>
        </is>
      </c>
      <c r="E77" s="8" t="n">
        <v>2</v>
      </c>
      <c r="F77" s="6" t="inlineStr">
        <is>
          <t>Buys walls</t>
        </is>
      </c>
      <c r="G77" s="6" t="inlineStr">
        <is>
          <t>Plano office, with communities in Parker, Prosper and Celina</t>
        </is>
      </c>
      <c r="H77" s="6" t="inlineStr">
        <is>
          <t>Highland Homes' luxury brand, three DFW communities</t>
        </is>
      </c>
      <c r="I77" s="8" t="inlineStr">
        <is>
          <t>Partly</t>
        </is>
      </c>
      <c r="J77" s="9" t="inlineStr">
        <is>
          <t>A plan library with custom selections, in three active DFW communities.</t>
        </is>
      </c>
      <c r="K77" s="8" t="inlineStr">
        <is>
          <t>Partly</t>
        </is>
      </c>
      <c r="L77" s="9" t="inlineStr">
        <is>
          <t>No published closings figure.</t>
        </is>
      </c>
      <c r="M77" s="8" t="inlineStr">
        <is>
          <t>No</t>
        </is>
      </c>
      <c r="N77" s="9" t="inlineStr">
        <is>
          <t>Nothing on record about wall method.</t>
        </is>
      </c>
      <c r="O77" s="6" t="inlineStr">
        <is>
          <t>https://www.linkedin.com/in/aaron-graham-38728878/</t>
        </is>
      </c>
      <c r="P77" s="6" t="inlineStr"/>
      <c r="Q77" s="11">
        <f>IF(O77="","ADD LINKEDIN","ok")</f>
        <v/>
      </c>
      <c r="R77" s="6" t="inlineStr">
        <is>
          <t>https://www.huntingtonhomestx.com/</t>
        </is>
      </c>
      <c r="S77" s="9" t="inlineStr">
        <is>
          <t>Luxury homes with custom selections in three DFW communities, under Highland Homes as parent brand. No closings figure is published.</t>
        </is>
      </c>
      <c r="T77" s="6" t="inlineStr">
        <is>
          <t>YES</t>
        </is>
      </c>
      <c r="U77" s="9" t="inlineStr">
        <is>
          <t>Indexed title reads Aaron Graham - Highland Homes. Named in Builder and Developer, August 6, 2026, as Chairman and CEO of Highland Homes, Huntington's parent brand.</t>
        </is>
      </c>
      <c r="V77" s="6" t="inlineStr">
        <is>
          <t>https://www.bdmag.com/highland-homes-announces-restructuring/</t>
        </is>
      </c>
      <c r="W77" s="6" t="inlineStr">
        <is>
          <t>https://www.linkedin.com/company/huntington-custom-homes/</t>
        </is>
      </c>
      <c r="X77" s="6" t="inlineStr"/>
      <c r="Y77" s="6" t="inlineStr"/>
      <c r="Z77" s="6" t="inlineStr">
        <is>
          <t>(972) 789-3500</t>
        </is>
      </c>
      <c r="AA77" s="6" t="inlineStr">
        <is>
          <t>Plano office</t>
        </is>
      </c>
      <c r="AB77" s="6" t="inlineStr">
        <is>
          <t>https://www.huntingtonhomestx.com/</t>
        </is>
      </c>
      <c r="AC77" s="6" t="inlineStr"/>
      <c r="AD77" s="6" t="inlineStr"/>
    </row>
    <row r="78">
      <c r="A78" s="12" t="inlineStr">
        <is>
          <t>Peter H. Shaddock</t>
        </is>
      </c>
      <c r="B78" s="12" t="inlineStr">
        <is>
          <t>Shaddock Homes</t>
        </is>
      </c>
      <c r="C78" s="12" t="inlineStr">
        <is>
          <t>President</t>
        </is>
      </c>
      <c r="D78" s="13" t="inlineStr">
        <is>
          <t>One gap</t>
        </is>
      </c>
      <c r="E78" s="14" t="n">
        <v>2</v>
      </c>
      <c r="F78" s="12" t="inlineStr">
        <is>
          <t>Buys walls</t>
        </is>
      </c>
      <c r="G78" s="12" t="inlineStr">
        <is>
          <t>Plano, with communities in Celina, Prosper, Frisco, McKinney and Rockwall</t>
        </is>
      </c>
      <c r="H78" s="12" t="inlineStr">
        <is>
          <t>374 company-wide closings in 2025, BUILDER's list rank 132</t>
        </is>
      </c>
      <c r="I78" s="14" t="inlineStr">
        <is>
          <t>Partly</t>
        </is>
      </c>
      <c r="J78" s="15" t="inlineStr">
        <is>
          <t>Plans repeat across many North Dallas communities, but the product is premium and semi-custom.</t>
        </is>
      </c>
      <c r="K78" s="14" t="inlineStr">
        <is>
          <t>Partly</t>
        </is>
      </c>
      <c r="L78" s="15" t="inlineStr">
        <is>
          <t>374 closings company-wide in 2025 sits in the 25 to 400 band, but spread across many North Dallas communities rather than a few.</t>
        </is>
      </c>
      <c r="M78" s="14" t="inlineStr">
        <is>
          <t>No</t>
        </is>
      </c>
      <c r="N78" s="15" t="inlineStr">
        <is>
          <t>Nothing on record.</t>
        </is>
      </c>
      <c r="O78" s="10" t="inlineStr"/>
      <c r="P78" s="12" t="inlineStr"/>
      <c r="Q78" s="16">
        <f>IF(O78="","ADD LINKEDIN","ok")</f>
        <v/>
      </c>
      <c r="R78" s="12" t="inlineStr">
        <is>
          <t>https://www.shaddockhomes.com/</t>
        </is>
      </c>
      <c r="S78" s="15" t="inlineStr">
        <is>
          <t>A Plano builder whose contact page lists communities in Celina, Prosper, Frisco, McKinney, Rockwall and Argyle.</t>
        </is>
      </c>
      <c r="T78" s="12" t="inlineStr">
        <is>
          <t>YES</t>
        </is>
      </c>
      <c r="U78" s="15" t="inlineStr">
        <is>
          <t>Named in a company press release as Peter H. Shaddock of Shaddock Homes.</t>
        </is>
      </c>
      <c r="V78" s="12" t="inlineStr">
        <is>
          <t>https://www.natlawreview.com/press-releases/peter-h-shaddock-shaddock-homes-celebrates-60-years-excellence-luxury</t>
        </is>
      </c>
      <c r="W78" s="12" t="inlineStr">
        <is>
          <t>https://www.linkedin.com/company/shaddock-homes/</t>
        </is>
      </c>
      <c r="X78" s="12" t="inlineStr">
        <is>
          <t>https://www.shaddockhomes.com/contact-us</t>
        </is>
      </c>
      <c r="Y78" s="12" t="inlineStr">
        <is>
          <t>2024 National Law Review (company release). Peter H. Shaddock of Shaddock Homes Celebrates 60 Years of Excellence  https://www.natlawreview.com/press-releases/peter-h-shaddock-shaddock-homes-celebrates-60-years-excellence-luxury</t>
        </is>
      </c>
      <c r="Z78" s="12" t="inlineStr">
        <is>
          <t>(214) 225-9360</t>
        </is>
      </c>
      <c r="AA78" s="12" t="inlineStr">
        <is>
          <t>Corporate office, Plano</t>
        </is>
      </c>
      <c r="AB78" s="12" t="inlineStr">
        <is>
          <t>https://www.shaddockhomes.com/contact-us</t>
        </is>
      </c>
      <c r="AC78" s="12" t="inlineStr"/>
      <c r="AD78" s="12" t="inlineStr"/>
    </row>
    <row r="79">
      <c r="A79" s="6" t="inlineStr">
        <is>
          <t>no contact identified</t>
        </is>
      </c>
      <c r="B79" s="6" t="inlineStr">
        <is>
          <t>D and R Concrete Construction LLC</t>
        </is>
      </c>
      <c r="C79" s="6" t="inlineStr"/>
      <c r="D79" s="7" t="inlineStr">
        <is>
          <t>Builds the wall, not the house</t>
        </is>
      </c>
      <c r="E79" s="8" t="n">
        <v>3</v>
      </c>
      <c r="F79" s="6" t="inlineStr">
        <is>
          <t>Builds the wall</t>
        </is>
      </c>
      <c r="G79" s="6" t="inlineStr">
        <is>
          <t>Bells, serving North Texas</t>
        </is>
      </c>
      <c r="H79" s="6" t="inlineStr">
        <is>
          <t>ICF and concrete contractor in Bells, Texas</t>
        </is>
      </c>
      <c r="I79" s="8" t="inlineStr">
        <is>
          <t>Yes</t>
        </is>
      </c>
      <c r="J79" s="9" t="inlineStr">
        <is>
          <t>ICF and concrete walls installed repeatedly across North Texas projects.</t>
        </is>
      </c>
      <c r="K79" s="8" t="inlineStr">
        <is>
          <t>Partly</t>
        </is>
      </c>
      <c r="L79" s="9" t="inlineStr">
        <is>
          <t>No annual count is published.</t>
        </is>
      </c>
      <c r="M79" s="8" t="inlineStr">
        <is>
          <t>Yes</t>
        </is>
      </c>
      <c r="N79" s="9" t="inlineStr">
        <is>
          <t>ICF installation is its product, a paid move away from wood-framed walls.</t>
        </is>
      </c>
      <c r="O79" s="10" t="inlineStr"/>
      <c r="P79" s="6" t="inlineStr"/>
      <c r="Q79" s="11">
        <f>IF(O79="","ADD LINKEDIN","ok")</f>
        <v/>
      </c>
      <c r="R79" s="6" t="inlineStr">
        <is>
          <t>https://dnrconcrete.com/</t>
        </is>
      </c>
      <c r="S79" s="9" t="inlineStr">
        <is>
          <t>Installs ICF walls as its product. It publishes no annual count and no named owner.</t>
        </is>
      </c>
      <c r="T79" s="6" t="inlineStr"/>
      <c r="U79" s="9" t="inlineStr"/>
      <c r="V79" s="6" t="inlineStr"/>
      <c r="W79" s="6" t="inlineStr"/>
      <c r="X79" s="6" t="inlineStr"/>
      <c r="Y79" s="6" t="inlineStr"/>
      <c r="Z79" s="6" t="inlineStr">
        <is>
          <t>(970) 275-2366</t>
        </is>
      </c>
      <c r="AA79" s="6" t="inlineStr">
        <is>
          <t>Call or text line, Bells</t>
        </is>
      </c>
      <c r="AB79" s="6" t="inlineStr">
        <is>
          <t>https://dnrconcrete.com/</t>
        </is>
      </c>
      <c r="AC79" s="6" t="inlineStr"/>
      <c r="AD79" s="6" t="inlineStr"/>
    </row>
    <row r="80">
      <c r="A80" s="12" t="inlineStr">
        <is>
          <t>Joe Mazzenga</t>
        </is>
      </c>
      <c r="B80" s="12" t="inlineStr">
        <is>
          <t>Future Frame USA</t>
        </is>
      </c>
      <c r="C80" s="12" t="inlineStr">
        <is>
          <t>General Manager in 2022</t>
        </is>
      </c>
      <c r="D80" s="13" t="inlineStr">
        <is>
          <t>Builds the wall, not the house</t>
        </is>
      </c>
      <c r="E80" s="14" t="n">
        <v>3</v>
      </c>
      <c r="F80" s="12" t="inlineStr">
        <is>
          <t>Builds the wall</t>
        </is>
      </c>
      <c r="G80" s="12" t="inlineStr">
        <is>
          <t>New Caney and Conroe plant, Houston area, with a shipping radius of about 200 miles</t>
        </is>
      </c>
      <c r="H80" s="12" t="inlineStr">
        <is>
          <t>Panelized wall plant in New Caney, Texas</t>
        </is>
      </c>
      <c r="I80" s="14" t="inlineStr">
        <is>
          <t>Yes</t>
        </is>
      </c>
      <c r="J80" s="15" t="inlineStr">
        <is>
          <t>The same engineered wall, floor and roof kits made repeatedly for residential projects at the Texas plant.</t>
        </is>
      </c>
      <c r="K80" s="14" t="inlineStr">
        <is>
          <t>Partly</t>
        </is>
      </c>
      <c r="L80" s="15" t="inlineStr">
        <is>
          <t>No DFW homes-a-year figure is published, and the plant serves several Texas metros.</t>
        </is>
      </c>
      <c r="M80" s="14" t="inlineStr">
        <is>
          <t>Yes</t>
        </is>
      </c>
      <c r="N80" s="15" t="inlineStr">
        <is>
          <t>Its whole product is factory panelized framing sold as a replacement for stick-built walls.</t>
        </is>
      </c>
      <c r="O80" s="10" t="inlineStr"/>
      <c r="P80" s="12" t="inlineStr"/>
      <c r="Q80" s="16">
        <f>IF(O80="","ADD LINKEDIN","ok")</f>
        <v/>
      </c>
      <c r="R80" s="12" t="inlineStr">
        <is>
          <t>https://futureframeusa.com/</t>
        </is>
      </c>
      <c r="S80" s="15" t="inlineStr">
        <is>
          <t>Makes factory-built wall panels, floor cassettes and roof components as a replacement for stick framing. The plant is in the Houston area, and DFW is inside its shipping radius.</t>
        </is>
      </c>
      <c r="T80" s="12" t="inlineStr"/>
      <c r="U80" s="15" t="inlineStr">
        <is>
          <t>Named General Manager in a February 24, 2022 Community Impact article on the plant opening.</t>
        </is>
      </c>
      <c r="V80" s="12" t="inlineStr">
        <is>
          <t>https://communityimpact.com/houston/lake-houston-humble-kingwood/impacts/2022/02/24/future-frame-usa-now-open-in-east-montgomery-county-industrial-park/</t>
        </is>
      </c>
      <c r="W80" s="12" t="inlineStr">
        <is>
          <t>https://www.linkedin.com/company/future-frame-usa/</t>
        </is>
      </c>
      <c r="X80" s="12" t="inlineStr">
        <is>
          <t>https://futureframeusa.com/</t>
        </is>
      </c>
      <c r="Y80" s="12" t="inlineStr"/>
      <c r="Z80" s="12" t="inlineStr">
        <is>
          <t>(281) 231-9200</t>
        </is>
      </c>
      <c r="AA80" s="12" t="inlineStr">
        <is>
          <t>Texas plant and sales</t>
        </is>
      </c>
      <c r="AB80" s="12" t="inlineStr">
        <is>
          <t>https://futureframeusa.com/</t>
        </is>
      </c>
      <c r="AC80" s="12" t="inlineStr"/>
      <c r="AD80" s="12" t="inlineStr"/>
    </row>
    <row r="81">
      <c r="A81" s="6" t="inlineStr">
        <is>
          <t>Mark Womack</t>
        </is>
      </c>
      <c r="B81" s="6" t="inlineStr">
        <is>
          <t>Monster Constructors</t>
        </is>
      </c>
      <c r="C81" s="6" t="inlineStr">
        <is>
          <t>Owner</t>
        </is>
      </c>
      <c r="D81" s="7" t="inlineStr">
        <is>
          <t>Builds the wall, not the house</t>
        </is>
      </c>
      <c r="E81" s="8" t="n">
        <v>3</v>
      </c>
      <c r="F81" s="6" t="inlineStr">
        <is>
          <t>Builds the wall</t>
        </is>
      </c>
      <c r="G81" s="6" t="inlineStr">
        <is>
          <t>Fort Worth, working across the DFW Metroplex</t>
        </is>
      </c>
      <c r="H81" s="6" t="inlineStr">
        <is>
          <t>Installs ICF wall shells across DFW</t>
        </is>
      </c>
      <c r="I81" s="8" t="inlineStr">
        <is>
          <t>Yes</t>
        </is>
      </c>
      <c r="J81" s="9" t="inlineStr">
        <is>
          <t>The same ICF wall system installed repeatedly on DFW custom and light commercial jobs.</t>
        </is>
      </c>
      <c r="K81" s="8" t="inlineStr">
        <is>
          <t>Partly</t>
        </is>
      </c>
      <c r="L81" s="9" t="inlineStr">
        <is>
          <t>No annual home or wall count is published.</t>
        </is>
      </c>
      <c r="M81" s="8" t="inlineStr">
        <is>
          <t>Yes</t>
        </is>
      </c>
      <c r="N81" s="9" t="inlineStr">
        <is>
          <t>ICF is its core offer. Its crews place concrete walls as the product.</t>
        </is>
      </c>
      <c r="O81" s="10" t="inlineStr"/>
      <c r="P81" s="6" t="inlineStr"/>
      <c r="Q81" s="11">
        <f>IF(O81="","ADD LINKEDIN","ok")</f>
        <v/>
      </c>
      <c r="R81" s="6" t="inlineStr">
        <is>
          <t>https://monsterconstructors.com/</t>
        </is>
      </c>
      <c r="S81" s="9" t="inlineStr">
        <is>
          <t>Its crews place insulated concrete form walls in place of wood framing. No annual volume is published.</t>
        </is>
      </c>
      <c r="T81" s="6" t="inlineStr">
        <is>
          <t>YES</t>
        </is>
      </c>
      <c r="U81" s="9" t="inlineStr">
        <is>
          <t>Named on the firm's about page as the owner who acquired Monster Constructors in 2010.</t>
        </is>
      </c>
      <c r="V81" s="6" t="inlineStr">
        <is>
          <t>https://monsterconstructors.com/about-us/</t>
        </is>
      </c>
      <c r="W81" s="6" t="inlineStr">
        <is>
          <t>https://www.linkedin.com/company/monster-constructors/</t>
        </is>
      </c>
      <c r="X81" s="6" t="inlineStr">
        <is>
          <t>https://monsterconstructors.com/about-us/</t>
        </is>
      </c>
      <c r="Y81" s="6" t="inlineStr"/>
      <c r="Z81" s="6" t="inlineStr">
        <is>
          <t>(972) 533-8678</t>
        </is>
      </c>
      <c r="AA81" s="6" t="inlineStr">
        <is>
          <t>DFW office</t>
        </is>
      </c>
      <c r="AB81" s="6" t="inlineStr">
        <is>
          <t>https://monsterconstructors.com/contact-us/</t>
        </is>
      </c>
      <c r="AC81" s="6" t="inlineStr"/>
      <c r="AD81" s="6" t="inlineStr"/>
    </row>
    <row r="82">
      <c r="A82" s="12" t="inlineStr">
        <is>
          <t>Keith Giddens</t>
        </is>
      </c>
      <c r="B82" s="12" t="inlineStr">
        <is>
          <t>BakerTriangle Prefab</t>
        </is>
      </c>
      <c r="C82" s="12" t="inlineStr">
        <is>
          <t>President, BakerTriangle Prefab</t>
        </is>
      </c>
      <c r="D82" s="13" t="inlineStr">
        <is>
          <t>Builds the wall, not the house</t>
        </is>
      </c>
      <c r="E82" s="14" t="n">
        <v>3</v>
      </c>
      <c r="F82" s="12" t="inlineStr">
        <is>
          <t>Builds the wall</t>
        </is>
      </c>
      <c r="G82" s="12" t="inlineStr">
        <is>
          <t>Richardson plant, Mesquite headquarters</t>
        </is>
      </c>
      <c r="H82" s="12" t="inlineStr">
        <is>
          <t>Prefab wall panel plant in Richardson</t>
        </is>
      </c>
      <c r="I82" s="14" t="inlineStr">
        <is>
          <t>Yes</t>
        </is>
      </c>
      <c r="J82" s="15" t="inlineStr">
        <is>
          <t>Factory-built exterior wall panels repeated for DFW and Texas commercial envelopes.</t>
        </is>
      </c>
      <c r="K82" s="14" t="inlineStr">
        <is>
          <t>Partly</t>
        </is>
      </c>
      <c r="L82" s="15" t="inlineStr">
        <is>
          <t>One panel plant in Richardson, building for commercial and multifamily jobs rather than single-family production.</t>
        </is>
      </c>
      <c r="M82" s="14" t="inlineStr">
        <is>
          <t>Partly</t>
        </is>
      </c>
      <c r="N82" s="15" t="inlineStr">
        <is>
          <t>Its core product is offsite wall panels, including StoPanel systems. That changes where the wall is made, not what the wall is.</t>
        </is>
      </c>
      <c r="O82" s="10" t="inlineStr"/>
      <c r="P82" s="12" t="inlineStr"/>
      <c r="Q82" s="16">
        <f>IF(O82="","ADD LINKEDIN","ok")</f>
        <v/>
      </c>
      <c r="R82" s="12" t="inlineStr">
        <is>
          <t>https://bakerprefab.com/</t>
        </is>
      </c>
      <c r="S82" s="15" t="inlineStr">
        <is>
          <t>Builds exterior wall panels in a factory, as a division of a Mesquite drywall and plaster contractor.</t>
        </is>
      </c>
      <c r="T82" s="12" t="inlineStr">
        <is>
          <t>YES</t>
        </is>
      </c>
      <c r="U82" s="15" t="inlineStr">
        <is>
          <t>Named on BakerTriangle's own leadership page as President of BakerTriangle Prefab.</t>
        </is>
      </c>
      <c r="V82" s="12" t="inlineStr">
        <is>
          <t>https://bakertriangle.com/who-we-are/leadership</t>
        </is>
      </c>
      <c r="W82" s="12" t="inlineStr">
        <is>
          <t>https://www.linkedin.com/company/baker-triangle/</t>
        </is>
      </c>
      <c r="X82" s="12" t="inlineStr">
        <is>
          <t>https://bakertriangle.com/who-we-are/leadership</t>
        </is>
      </c>
      <c r="Y82" s="12" t="inlineStr"/>
      <c r="Z82" s="12" t="inlineStr">
        <is>
          <t>(214) 217-3280</t>
        </is>
      </c>
      <c r="AA82" s="12" t="inlineStr">
        <is>
          <t>Prefab plant, Richardson</t>
        </is>
      </c>
      <c r="AB82" s="12" t="inlineStr">
        <is>
          <t>https://bakerprefab.com/contact</t>
        </is>
      </c>
      <c r="AC82" s="12" t="inlineStr"/>
      <c r="AD82" s="12" t="inlineStr"/>
    </row>
    <row r="83">
      <c r="A83" s="6" t="inlineStr">
        <is>
          <t>Barry Corey</t>
        </is>
      </c>
      <c r="B83" s="6" t="inlineStr">
        <is>
          <t>GMi (Greater Metroplex Interiors)</t>
        </is>
      </c>
      <c r="C83" s="6" t="inlineStr">
        <is>
          <t>Vice President</t>
        </is>
      </c>
      <c r="D83" s="7" t="inlineStr">
        <is>
          <t>Builds the wall, not the house</t>
        </is>
      </c>
      <c r="E83" s="8" t="n">
        <v>3</v>
      </c>
      <c r="F83" s="6" t="inlineStr">
        <is>
          <t>Builds the wall</t>
        </is>
      </c>
      <c r="G83" s="6" t="inlineStr">
        <is>
          <t>Southlake, working across Dallas-Fort Worth</t>
        </is>
      </c>
      <c r="H83" s="6" t="inlineStr">
        <is>
          <t>Southlake framing contractor with offsite wall panelization</t>
        </is>
      </c>
      <c r="I83" s="8" t="inlineStr">
        <is>
          <t>Yes</t>
        </is>
      </c>
      <c r="J83" s="9" t="inlineStr">
        <is>
          <t>Exterior and light-gauge panels made offsite in Southlake, repeated for DFW commercial and institutional envelopes.</t>
        </is>
      </c>
      <c r="K83" s="8" t="inlineStr">
        <is>
          <t>Partly</t>
        </is>
      </c>
      <c r="L83" s="9" t="inlineStr">
        <is>
          <t>Commercial panel scope, with no published volume and no residential share.</t>
        </is>
      </c>
      <c r="M83" s="8" t="inlineStr">
        <is>
          <t>Partly</t>
        </is>
      </c>
      <c r="N83" s="9" t="inlineStr">
        <is>
          <t>Its prefabrication page documents offsite exterior wall panels, with a 60 percent schedule cut at Lynn McKinney Elementary. The panels are light-gauge framing made offsite, not a new wall material.</t>
        </is>
      </c>
      <c r="O83" s="10" t="inlineStr"/>
      <c r="P83" s="6" t="inlineStr"/>
      <c r="Q83" s="11">
        <f>IF(O83="","ADD LINKEDIN","ok")</f>
        <v/>
      </c>
      <c r="R83" s="6" t="inlineStr">
        <is>
          <t>https://gmitexas.com/</t>
        </is>
      </c>
      <c r="S83" s="9" t="inlineStr">
        <is>
          <t>Builds exterior and light-gauge wall panels offsite in Southlake, designed in BIM.</t>
        </is>
      </c>
      <c r="T83" s="6" t="inlineStr">
        <is>
          <t>YES</t>
        </is>
      </c>
      <c r="U83" s="9" t="inlineStr">
        <is>
          <t>Quoted on the firm's own prefabrication page as Vice President.</t>
        </is>
      </c>
      <c r="V83" s="6" t="inlineStr">
        <is>
          <t>https://gmitexas.com/prefabrication/</t>
        </is>
      </c>
      <c r="W83" s="6" t="inlineStr">
        <is>
          <t>https://www.linkedin.com/company/greatermetroplexinteriors/</t>
        </is>
      </c>
      <c r="X83" s="6" t="inlineStr"/>
      <c r="Y83" s="6" t="inlineStr"/>
      <c r="Z83" s="6" t="inlineStr">
        <is>
          <t>(817) 481-0029</t>
        </is>
      </c>
      <c r="AA83" s="6" t="inlineStr">
        <is>
          <t>Corporate office, Southlake</t>
        </is>
      </c>
      <c r="AB83" s="6" t="inlineStr">
        <is>
          <t>https://gmitexas.com/contact/</t>
        </is>
      </c>
      <c r="AC83" s="6" t="inlineStr"/>
      <c r="AD83" s="6" t="inlineStr"/>
    </row>
    <row r="84">
      <c r="A84" s="12" t="inlineStr">
        <is>
          <t>Robert V. "Rob" Barnes III</t>
        </is>
      </c>
      <c r="B84" s="12" t="inlineStr">
        <is>
          <t>Dee Brown, Inc.</t>
        </is>
      </c>
      <c r="C84" s="12" t="inlineStr">
        <is>
          <t>President and CEO</t>
        </is>
      </c>
      <c r="D84" s="13" t="inlineStr">
        <is>
          <t>Builds the wall, not the house</t>
        </is>
      </c>
      <c r="E84" s="14" t="n">
        <v>3</v>
      </c>
      <c r="F84" s="12" t="inlineStr">
        <is>
          <t>Builds the wall</t>
        </is>
      </c>
      <c r="G84" s="12" t="inlineStr">
        <is>
          <t>Richardson, with a Garland shop and a Tomball office</t>
        </is>
      </c>
      <c r="H84" s="12" t="inlineStr">
        <is>
          <t>Richardson masonry contractor with prefabricated wall systems</t>
        </is>
      </c>
      <c r="I84" s="14" t="inlineStr">
        <is>
          <t>Yes</t>
        </is>
      </c>
      <c r="J84" s="15" t="inlineStr">
        <is>
          <t>Masonry and stone walls built repeatedly on North Texas commercial and institutional jobs from its Richardson base.</t>
        </is>
      </c>
      <c r="K84" s="14" t="inlineStr">
        <is>
          <t>Partly</t>
        </is>
      </c>
      <c r="L84" s="15" t="inlineStr">
        <is>
          <t>No published volume figure, and its work is mostly commercial and institutional.</t>
        </is>
      </c>
      <c r="M84" s="14" t="inlineStr">
        <is>
          <t>Partly</t>
        </is>
      </c>
      <c r="N84" s="15" t="inlineStr">
        <is>
          <t>It runs a 7,700 square foot fabrication facility producing prefabricated stone and masonry wall systems, which is capital spent to move wall production off the scaffold. It states an interest in prefabricated materials on its own site.</t>
        </is>
      </c>
      <c r="O84" s="10" t="inlineStr"/>
      <c r="P84" s="12" t="inlineStr"/>
      <c r="Q84" s="16">
        <f>IF(O84="","ADD LINKEDIN","ok")</f>
        <v/>
      </c>
      <c r="R84" s="12" t="inlineStr">
        <is>
          <t>https://www.deebrowncompanies.com/</t>
        </is>
      </c>
      <c r="S84" s="15" t="inlineStr">
        <is>
          <t>Already sells prefabricated masonry and stone wall systems, mostly on commercial and institutional work.</t>
        </is>
      </c>
      <c r="T84" s="12" t="inlineStr">
        <is>
          <t>YES</t>
        </is>
      </c>
      <c r="U84" s="15" t="inlineStr">
        <is>
          <t>Named on the firm's about page as President and CEO since 2015.</t>
        </is>
      </c>
      <c r="V84" s="12" t="inlineStr">
        <is>
          <t>https://www.deebrowncompanies.com/about</t>
        </is>
      </c>
      <c r="W84" s="12" t="inlineStr">
        <is>
          <t>https://www.linkedin.com/company/dee-brown-companies/</t>
        </is>
      </c>
      <c r="X84" s="12" t="inlineStr">
        <is>
          <t>https://www.deebrowncompanies.com/about</t>
        </is>
      </c>
      <c r="Y84" s="12" t="inlineStr">
        <is>
          <t>2023-08 D Magazine / D CEO. Third-generation Dee Brown Inc. on iconic North Texas buildings  https://www.dmagazine.com/publications/d-ceo/2023/august/third-generation-family-run-company-dee-brown-inc-has-had-a-hand-in-some-of-north-texas-most-iconic-buildings/</t>
        </is>
      </c>
      <c r="Z84" s="12" t="inlineStr">
        <is>
          <t>(214) 321-6443</t>
        </is>
      </c>
      <c r="AA84" s="12" t="inlineStr">
        <is>
          <t>Main office, Dallas</t>
        </is>
      </c>
      <c r="AB84" s="12" t="inlineStr">
        <is>
          <t>https://www.deebrowncompanies.com/contact</t>
        </is>
      </c>
      <c r="AC84" s="12" t="inlineStr"/>
      <c r="AD84" s="12" t="inlineStr"/>
    </row>
    <row r="85">
      <c r="A85" s="6" t="inlineStr">
        <is>
          <t>Tim Hughes</t>
        </is>
      </c>
      <c r="B85" s="6" t="inlineStr">
        <is>
          <t>Dee Brown, Inc.</t>
        </is>
      </c>
      <c r="C85" s="6" t="inlineStr">
        <is>
          <t>Vice President, Construction Management</t>
        </is>
      </c>
      <c r="D85" s="7" t="inlineStr">
        <is>
          <t>Builds the wall, not the house</t>
        </is>
      </c>
      <c r="E85" s="8" t="n">
        <v>3</v>
      </c>
      <c r="F85" s="6" t="inlineStr">
        <is>
          <t>Builds the wall</t>
        </is>
      </c>
      <c r="G85" s="6" t="inlineStr">
        <is>
          <t>Richardson, with a Garland shop and a Tomball office</t>
        </is>
      </c>
      <c r="H85" s="6" t="inlineStr">
        <is>
          <t>Richardson masonry contractor with prefabricated wall systems</t>
        </is>
      </c>
      <c r="I85" s="8" t="inlineStr">
        <is>
          <t>Yes</t>
        </is>
      </c>
      <c r="J85" s="9" t="inlineStr">
        <is>
          <t>Masonry and stone walls built repeatedly on North Texas commercial and institutional jobs from its Richardson base.</t>
        </is>
      </c>
      <c r="K85" s="8" t="inlineStr">
        <is>
          <t>Partly</t>
        </is>
      </c>
      <c r="L85" s="9" t="inlineStr">
        <is>
          <t>No published volume figure, and its work is mostly commercial and institutional.</t>
        </is>
      </c>
      <c r="M85" s="8" t="inlineStr">
        <is>
          <t>Partly</t>
        </is>
      </c>
      <c r="N85" s="9" t="inlineStr">
        <is>
          <t>It runs a 7,700 square foot fabrication facility producing prefabricated stone and masonry wall systems, which is capital spent to move wall production off the scaffold. It states an interest in prefabricated materials on its own site.</t>
        </is>
      </c>
      <c r="O85" s="10" t="inlineStr"/>
      <c r="P85" s="6" t="inlineStr"/>
      <c r="Q85" s="11">
        <f>IF(O85="","ADD LINKEDIN","ok")</f>
        <v/>
      </c>
      <c r="R85" s="6" t="inlineStr">
        <is>
          <t>https://www.deebrowncompanies.com/</t>
        </is>
      </c>
      <c r="S85" s="9" t="inlineStr">
        <is>
          <t>Already sells prefabricated masonry and stone wall systems, mostly on commercial and institutional work.</t>
        </is>
      </c>
      <c r="T85" s="6" t="inlineStr">
        <is>
          <t>YES</t>
        </is>
      </c>
      <c r="U85" s="9" t="inlineStr">
        <is>
          <t>Named on the firm's about page as Vice President, Construction Management.</t>
        </is>
      </c>
      <c r="V85" s="6" t="inlineStr">
        <is>
          <t>https://www.deebrowncompanies.com/about</t>
        </is>
      </c>
      <c r="W85" s="6" t="inlineStr">
        <is>
          <t>https://www.linkedin.com/company/dee-brown-companies/</t>
        </is>
      </c>
      <c r="X85" s="6" t="inlineStr">
        <is>
          <t>https://www.deebrowncompanies.com/about</t>
        </is>
      </c>
      <c r="Y85" s="6" t="inlineStr">
        <is>
          <t>2023-08 D Magazine / D CEO. Third-generation Dee Brown Inc. on iconic North Texas buildings  https://www.dmagazine.com/publications/d-ceo/2023/august/third-generation-family-run-company-dee-brown-inc-has-had-a-hand-in-some-of-north-texas-most-iconic-buildings/</t>
        </is>
      </c>
      <c r="Z85" s="6" t="inlineStr">
        <is>
          <t>(214) 321-6443</t>
        </is>
      </c>
      <c r="AA85" s="6" t="inlineStr">
        <is>
          <t>Main office, Dallas</t>
        </is>
      </c>
      <c r="AB85" s="6" t="inlineStr">
        <is>
          <t>https://www.deebrowncompanies.com/contact</t>
        </is>
      </c>
      <c r="AC85" s="6" t="inlineStr"/>
      <c r="AD85" s="6" t="inlineStr"/>
    </row>
    <row r="86">
      <c r="A86" s="12" t="inlineStr">
        <is>
          <t>Michael "Paladin" Hasty</t>
        </is>
      </c>
      <c r="B86" s="12" t="inlineStr">
        <is>
          <t>Paladin (CallPaladin)</t>
        </is>
      </c>
      <c r="C86" s="12" t="inlineStr">
        <is>
          <t>Founder and Owner</t>
        </is>
      </c>
      <c r="D86" s="13" t="inlineStr">
        <is>
          <t>Builds the wall, not the house</t>
        </is>
      </c>
      <c r="E86" s="14" t="n">
        <v>3</v>
      </c>
      <c r="F86" s="12" t="inlineStr">
        <is>
          <t>Builds the wall</t>
        </is>
      </c>
      <c r="G86" s="12" t="inlineStr">
        <is>
          <t>Grand Prairie, working across DFW</t>
        </is>
      </c>
      <c r="H86" s="12" t="inlineStr">
        <is>
          <t>MgO SIP envelopes, Grand Prairie, founded 1990</t>
        </is>
      </c>
      <c r="I86" s="14" t="inlineStr">
        <is>
          <t>Partly</t>
        </is>
      </c>
      <c r="J86" s="15" t="inlineStr">
        <is>
          <t>Luxury DFW residential specialty work across geothermal, coatings and MgO SIP, not production volume.</t>
        </is>
      </c>
      <c r="K86" s="14" t="inlineStr">
        <is>
          <t>Partly</t>
        </is>
      </c>
      <c r="L86" s="15" t="inlineStr">
        <is>
          <t>Boutique scale, with no published volume.</t>
        </is>
      </c>
      <c r="M86" s="14" t="inlineStr">
        <is>
          <t>Yes</t>
        </is>
      </c>
      <c r="N86" s="15" t="inlineStr">
        <is>
          <t>SIPs are one of its systems. Its own site markets MgO SIP panels with cold-formed steel framing for new construction.</t>
        </is>
      </c>
      <c r="O86" s="10" t="inlineStr"/>
      <c r="P86" s="12" t="inlineStr"/>
      <c r="Q86" s="16">
        <f>IF(O86="","ADD LINKEDIN","ok")</f>
        <v/>
      </c>
      <c r="R86" s="12" t="inlineStr">
        <is>
          <t>https://www.callpaladin.com/</t>
        </is>
      </c>
      <c r="S86" s="15" t="inlineStr">
        <is>
          <t>Sells MgO SIP panels with cold-formed steel framing as a new-construction envelope.</t>
        </is>
      </c>
      <c r="T86" s="12" t="inlineStr">
        <is>
          <t>YES</t>
        </is>
      </c>
      <c r="U86" s="15" t="inlineStr">
        <is>
          <t>Named on the firm's about page as Founder and Owner, Grand Prairie, established 1990.</t>
        </is>
      </c>
      <c r="V86" s="12" t="inlineStr">
        <is>
          <t>https://www.callpaladin.com/about.html</t>
        </is>
      </c>
      <c r="W86" s="12" t="inlineStr">
        <is>
          <t>https://www.linkedin.com/company/paladin-general-construction/</t>
        </is>
      </c>
      <c r="X86" s="12" t="inlineStr"/>
      <c r="Y86" s="12" t="inlineStr"/>
      <c r="Z86" s="12" t="inlineStr">
        <is>
          <t>(214) 507-7681</t>
        </is>
      </c>
      <c r="AA86" s="12" t="inlineStr">
        <is>
          <t>Main line, Grand Prairie</t>
        </is>
      </c>
      <c r="AB86" s="12" t="inlineStr">
        <is>
          <t>https://www.callpaladin.com/</t>
        </is>
      </c>
      <c r="AC86" s="12" t="inlineStr"/>
      <c r="AD86" s="12" t="inlineStr"/>
    </row>
    <row r="87">
      <c r="A87" s="6" t="inlineStr">
        <is>
          <t>no contact identified</t>
        </is>
      </c>
      <c r="B87" s="6" t="inlineStr">
        <is>
          <t>84 Lumber, DFW</t>
        </is>
      </c>
      <c r="C87" s="6" t="inlineStr"/>
      <c r="D87" s="7" t="inlineStr">
        <is>
          <t>Builds the wall, not the house</t>
        </is>
      </c>
      <c r="E87" s="8" t="n">
        <v>2</v>
      </c>
      <c r="F87" s="6" t="inlineStr">
        <is>
          <t>Builds the wall</t>
        </is>
      </c>
      <c r="G87" s="6" t="inlineStr">
        <is>
          <t>Dallas door shop and Denton store, serving DFW</t>
        </is>
      </c>
      <c r="H87" s="6" t="inlineStr">
        <is>
          <t>Dallas door shop, no DFW wall-panel plant published</t>
        </is>
      </c>
      <c r="I87" s="8" t="inlineStr">
        <is>
          <t>Yes</t>
        </is>
      </c>
      <c r="J87" s="9" t="inlineStr">
        <is>
          <t>Manufactured components supplied repeatedly into DFW home building.</t>
        </is>
      </c>
      <c r="K87" s="8" t="inlineStr">
        <is>
          <t>No</t>
        </is>
      </c>
      <c r="L87" s="9" t="inlineStr">
        <is>
          <t>A national dealer and manufacturer network with corporate purchasing.</t>
        </is>
      </c>
      <c r="M87" s="8" t="inlineStr">
        <is>
          <t>Partly</t>
        </is>
      </c>
      <c r="N87" s="9" t="inlineStr">
        <is>
          <t>Its own manufacturing page describes an offsite components line. That changes where framing is made, not what the wall is.</t>
        </is>
      </c>
      <c r="O87" s="10" t="inlineStr"/>
      <c r="P87" s="6" t="inlineStr"/>
      <c r="Q87" s="11">
        <f>IF(O87="","ADD LINKEDIN","ok")</f>
        <v/>
      </c>
      <c r="R87" s="6" t="inlineStr">
        <is>
          <t>https://www.84lumber.com/manufacturing</t>
        </is>
      </c>
      <c r="S87" s="9" t="inlineStr">
        <is>
          <t>Supplies components to DFW builders from a national manufacturing line. No wall-panel plant inside the Metroplex is published.</t>
        </is>
      </c>
      <c r="T87" s="6" t="inlineStr"/>
      <c r="U87" s="9" t="inlineStr"/>
      <c r="V87" s="6" t="inlineStr"/>
      <c r="W87" s="6" t="inlineStr">
        <is>
          <t>https://www.linkedin.com/company/84-lumber/</t>
        </is>
      </c>
      <c r="X87" s="6" t="inlineStr"/>
      <c r="Y87" s="6" t="inlineStr"/>
      <c r="Z87" s="6" t="inlineStr">
        <is>
          <t>(940) 243-8484</t>
        </is>
      </c>
      <c r="AA87" s="6" t="inlineStr">
        <is>
          <t>Denton store 1941</t>
        </is>
      </c>
      <c r="AB87" s="6" t="inlineStr">
        <is>
          <t>https://84lumber.com/store-locator/store-detail?storeId=1941</t>
        </is>
      </c>
      <c r="AC87" s="6" t="inlineStr"/>
      <c r="AD87" s="6" t="inlineStr"/>
    </row>
    <row r="88">
      <c r="A88" s="12" t="inlineStr">
        <is>
          <t>no contact identified</t>
        </is>
      </c>
      <c r="B88" s="12" t="inlineStr">
        <is>
          <t>Builders FirstSource, Fort Worth Truss (formerly Trussway)</t>
        </is>
      </c>
      <c r="C88" s="12" t="inlineStr"/>
      <c r="D88" s="13" t="inlineStr">
        <is>
          <t>Builds the wall, not the house</t>
        </is>
      </c>
      <c r="E88" s="14" t="n">
        <v>2</v>
      </c>
      <c r="F88" s="12" t="inlineStr">
        <is>
          <t>Builds the wall</t>
        </is>
      </c>
      <c r="G88" s="12" t="inlineStr">
        <is>
          <t>Fort Worth plant, corporate office in Irving</t>
        </is>
      </c>
      <c r="H88" s="12" t="inlineStr">
        <is>
          <t>Fort Worth truss and wall-panel plant, formerly Trussway</t>
        </is>
      </c>
      <c r="I88" s="14" t="inlineStr">
        <is>
          <t>Yes</t>
        </is>
      </c>
      <c r="J88" s="15" t="inlineStr">
        <is>
          <t>Wall panels and trusses made repeatedly for DFW production builders at one Fort Worth plant.</t>
        </is>
      </c>
      <c r="K88" s="14" t="inlineStr">
        <is>
          <t>No</t>
        </is>
      </c>
      <c r="L88" s="15" t="inlineStr">
        <is>
          <t>One plant inside a national network, with purchasing at a national desk.</t>
        </is>
      </c>
      <c r="M88" s="14" t="inlineStr">
        <is>
          <t>Partly</t>
        </is>
      </c>
      <c r="N88" s="15" t="inlineStr">
        <is>
          <t>Automated component manufacturing and the Trussway purchase are stated strategy. Offsite, automated production improves framing rather than replacing it.</t>
        </is>
      </c>
      <c r="O88" s="10" t="inlineStr"/>
      <c r="P88" s="12" t="inlineStr"/>
      <c r="Q88" s="16">
        <f>IF(O88="","ADD LINKEDIN","ok")</f>
        <v/>
      </c>
      <c r="R88" s="12" t="inlineStr">
        <is>
          <t>https://www.bldr.com/location/ft-worth-tx-truss-trussway/FORTTXMF</t>
        </is>
      </c>
      <c r="S88" s="15" t="inlineStr">
        <is>
          <t>Already makes wall panels in Fort Worth, and its parent states automated component manufacturing as strategy.</t>
        </is>
      </c>
      <c r="T88" s="12" t="inlineStr"/>
      <c r="U88" s="15" t="inlineStr"/>
      <c r="V88" s="12" t="inlineStr"/>
      <c r="W88" s="12" t="inlineStr">
        <is>
          <t>https://www.linkedin.com/company/builders-firstsource/</t>
        </is>
      </c>
      <c r="X88" s="12" t="inlineStr"/>
      <c r="Y88" s="12" t="inlineStr"/>
      <c r="Z88" s="12" t="inlineStr">
        <is>
          <t>(817) 589-1467</t>
        </is>
      </c>
      <c r="AA88" s="12" t="inlineStr">
        <is>
          <t>Fort Worth truss plant</t>
        </is>
      </c>
      <c r="AB88" s="12" t="inlineStr">
        <is>
          <t>https://www.bldr.com/location/ft-worth-tx-truss-trussway/FORTTXMF</t>
        </is>
      </c>
      <c r="AC88" s="12" t="inlineStr"/>
      <c r="AD88" s="12" t="inlineStr"/>
    </row>
    <row r="89">
      <c r="A89" s="6" t="inlineStr">
        <is>
          <t>Robb Harrington</t>
        </is>
      </c>
      <c r="B89" s="6" t="inlineStr">
        <is>
          <t>Coreslab Structures (Texas)</t>
        </is>
      </c>
      <c r="C89" s="6" t="inlineStr">
        <is>
          <t>Project Consultant, Dallas/Ft. Worth and North Texas</t>
        </is>
      </c>
      <c r="D89" s="7" t="inlineStr">
        <is>
          <t>Builds the wall, not the house</t>
        </is>
      </c>
      <c r="E89" s="8" t="n">
        <v>2</v>
      </c>
      <c r="F89" s="6" t="inlineStr">
        <is>
          <t>Builds the wall</t>
        </is>
      </c>
      <c r="G89" s="6" t="inlineStr">
        <is>
          <t>Cedar Park plant, selling into DFW and North Texas</t>
        </is>
      </c>
      <c r="H89" s="6" t="inlineStr">
        <is>
          <t>Cedar Park precast plant, named North Texas consultant</t>
        </is>
      </c>
      <c r="I89" s="8" t="inlineStr">
        <is>
          <t>Yes</t>
        </is>
      </c>
      <c r="J89" s="9" t="inlineStr">
        <is>
          <t>Architectural and structural precast cast repeatedly from one Texas plant since 1988.</t>
        </is>
      </c>
      <c r="K89" s="8" t="inlineStr">
        <is>
          <t>Partly</t>
        </is>
      </c>
      <c r="L89" s="9" t="inlineStr">
        <is>
          <t>A statewide plant in Cedar Park, larger than one or two printers would cover. DFW is a sales territory, not a production site.</t>
        </is>
      </c>
      <c r="M89" s="8" t="inlineStr">
        <is>
          <t>No</t>
        </is>
      </c>
      <c r="N89" s="9" t="inlineStr">
        <is>
          <t>No record of paying for an unproven method.</t>
        </is>
      </c>
      <c r="O89" s="10" t="inlineStr"/>
      <c r="P89" s="6" t="inlineStr"/>
      <c r="Q89" s="11">
        <f>IF(O89="","ADD LINKEDIN","ok")</f>
        <v/>
      </c>
      <c r="R89" s="6" t="inlineStr">
        <is>
          <t>https://www.coreslab.com/locations/austin-texas-precast-concrete/</t>
        </is>
      </c>
      <c r="S89" s="9" t="inlineStr">
        <is>
          <t>Sells architectural and structural precast into DFW through a named project consultant for North Texas. The plant is in Cedar Park, in Central Texas.</t>
        </is>
      </c>
      <c r="T89" s="6" t="inlineStr">
        <is>
          <t>YES</t>
        </is>
      </c>
      <c r="U89" s="9" t="inlineStr">
        <is>
          <t>Named on the Cedar Park plant page as Project Consultant for Dallas/Ft. Worth and North Texas, with a direct line.</t>
        </is>
      </c>
      <c r="V89" s="6" t="inlineStr">
        <is>
          <t>https://www.coreslab.com/locations/austin-texas-precast-concrete/</t>
        </is>
      </c>
      <c r="W89" s="6" t="inlineStr">
        <is>
          <t>https://www.linkedin.com/company/coreslab-structures/</t>
        </is>
      </c>
      <c r="X89" s="6" t="inlineStr"/>
      <c r="Y89" s="6" t="inlineStr"/>
      <c r="Z89" s="6" t="inlineStr">
        <is>
          <t>(512) 250-0755</t>
        </is>
      </c>
      <c r="AA89" s="6" t="inlineStr">
        <is>
          <t>Cedar Park plant, main line</t>
        </is>
      </c>
      <c r="AB89" s="6" t="inlineStr">
        <is>
          <t>https://www.coreslab.com/locations/austin-texas-precast-concrete/</t>
        </is>
      </c>
      <c r="AC89" s="6" t="inlineStr"/>
      <c r="AD89" s="6" t="inlineStr"/>
    </row>
    <row r="90">
      <c r="A90" s="12" t="inlineStr">
        <is>
          <t>Garrett Weidman</t>
        </is>
      </c>
      <c r="B90" s="12" t="inlineStr">
        <is>
          <t>Coreslab Structures (Texas)</t>
        </is>
      </c>
      <c r="C90" s="12" t="inlineStr">
        <is>
          <t>Sales Manager</t>
        </is>
      </c>
      <c r="D90" s="13" t="inlineStr">
        <is>
          <t>Builds the wall, not the house</t>
        </is>
      </c>
      <c r="E90" s="14" t="n">
        <v>2</v>
      </c>
      <c r="F90" s="12" t="inlineStr">
        <is>
          <t>Builds the wall</t>
        </is>
      </c>
      <c r="G90" s="12" t="inlineStr">
        <is>
          <t>Cedar Park plant, selling into DFW and North Texas</t>
        </is>
      </c>
      <c r="H90" s="12" t="inlineStr">
        <is>
          <t>Cedar Park precast plant, named North Texas consultant</t>
        </is>
      </c>
      <c r="I90" s="14" t="inlineStr">
        <is>
          <t>Yes</t>
        </is>
      </c>
      <c r="J90" s="15" t="inlineStr">
        <is>
          <t>Architectural and structural precast cast repeatedly from one Texas plant since 1988.</t>
        </is>
      </c>
      <c r="K90" s="14" t="inlineStr">
        <is>
          <t>Partly</t>
        </is>
      </c>
      <c r="L90" s="15" t="inlineStr">
        <is>
          <t>A statewide plant in Cedar Park, larger than one or two printers would cover. DFW is a sales territory, not a production site.</t>
        </is>
      </c>
      <c r="M90" s="14" t="inlineStr">
        <is>
          <t>No</t>
        </is>
      </c>
      <c r="N90" s="15" t="inlineStr">
        <is>
          <t>No record of paying for an unproven method.</t>
        </is>
      </c>
      <c r="O90" s="10" t="inlineStr"/>
      <c r="P90" s="12" t="inlineStr"/>
      <c r="Q90" s="16">
        <f>IF(O90="","ADD LINKEDIN","ok")</f>
        <v/>
      </c>
      <c r="R90" s="12" t="inlineStr">
        <is>
          <t>https://www.coreslab.com/locations/austin-texas-precast-concrete/</t>
        </is>
      </c>
      <c r="S90" s="15" t="inlineStr">
        <is>
          <t>Sells architectural and structural precast into DFW through a named project consultant for North Texas. The plant is in Cedar Park, in Central Texas.</t>
        </is>
      </c>
      <c r="T90" s="12" t="inlineStr"/>
      <c r="U90" s="15" t="inlineStr">
        <is>
          <t>Named on the plant page as Garrett Weidman, P.E., Sales Manager.</t>
        </is>
      </c>
      <c r="V90" s="12" t="inlineStr">
        <is>
          <t>https://www.coreslab.com/locations/austin-texas-precast-concrete/</t>
        </is>
      </c>
      <c r="W90" s="12" t="inlineStr">
        <is>
          <t>https://www.linkedin.com/company/coreslab-structures/</t>
        </is>
      </c>
      <c r="X90" s="12" t="inlineStr"/>
      <c r="Y90" s="12" t="inlineStr"/>
      <c r="Z90" s="12" t="inlineStr">
        <is>
          <t>(512) 250-0755</t>
        </is>
      </c>
      <c r="AA90" s="12" t="inlineStr">
        <is>
          <t>Cedar Park plant, main line</t>
        </is>
      </c>
      <c r="AB90" s="12" t="inlineStr">
        <is>
          <t>https://www.coreslab.com/locations/austin-texas-precast-concrete/</t>
        </is>
      </c>
      <c r="AC90" s="12" t="inlineStr"/>
      <c r="AD90" s="12" t="inlineStr"/>
    </row>
    <row r="91">
      <c r="A91" s="6" t="inlineStr">
        <is>
          <t>Larry Miller</t>
        </is>
      </c>
      <c r="B91" s="6" t="inlineStr">
        <is>
          <t>Heldenfels Enterprises (a Metromont company)</t>
        </is>
      </c>
      <c r="C91" s="6" t="inlineStr">
        <is>
          <t>VP of Preconstruction and Business Development</t>
        </is>
      </c>
      <c r="D91" s="7" t="inlineStr">
        <is>
          <t>Builds the wall, not the house</t>
        </is>
      </c>
      <c r="E91" s="8" t="n">
        <v>2</v>
      </c>
      <c r="F91" s="6" t="inlineStr">
        <is>
          <t>Builds the wall</t>
        </is>
      </c>
      <c r="G91" s="6" t="inlineStr">
        <is>
          <t>San Marcos plant, delivering across Texas including North Texas</t>
        </is>
      </c>
      <c r="H91" s="6" t="inlineStr">
        <is>
          <t>85-acre precast plant in San Marcos</t>
        </is>
      </c>
      <c r="I91" s="8" t="inlineStr">
        <is>
          <t>Yes</t>
        </is>
      </c>
      <c r="J91" s="9" t="inlineStr">
        <is>
          <t>Precast products cast repeatedly in San Marcos for Texas projects.</t>
        </is>
      </c>
      <c r="K91" s="8" t="inlineStr">
        <is>
          <t>Partly</t>
        </is>
      </c>
      <c r="L91" s="9" t="inlineStr">
        <is>
          <t>One statewide plant, with DFW as a delivery market. No DFW figure is published.</t>
        </is>
      </c>
      <c r="M91" s="8" t="inlineStr">
        <is>
          <t>No</t>
        </is>
      </c>
      <c r="N91" s="9" t="inlineStr">
        <is>
          <t>Nothing on record about a new wall method. Its precast line is described as architectural and structural, and walls are not named.</t>
        </is>
      </c>
      <c r="O91" s="10" t="inlineStr"/>
      <c r="P91" s="6" t="inlineStr"/>
      <c r="Q91" s="11">
        <f>IF(O91="","ADD LINKEDIN","ok")</f>
        <v/>
      </c>
      <c r="R91" s="6" t="inlineStr">
        <is>
          <t>https://heldenfels.com/</t>
        </is>
      </c>
      <c r="S91" s="9" t="inlineStr">
        <is>
          <t>Casts precast and prestressed concrete in San Marcos and trucks it to Texas markets, North Texas among them. Metromont acquired it effective December 15, 2025.</t>
        </is>
      </c>
      <c r="T91" s="6" t="inlineStr">
        <is>
          <t>YES</t>
        </is>
      </c>
      <c r="U91" s="9" t="inlineStr">
        <is>
          <t>Named on the firm's contact page as VP of Preconstruction and Business Development.</t>
        </is>
      </c>
      <c r="V91" s="6" t="inlineStr">
        <is>
          <t>https://heldenfels.com/contact/</t>
        </is>
      </c>
      <c r="W91" s="6" t="inlineStr">
        <is>
          <t>https://www.linkedin.com/company/heldenfels-enterprises/</t>
        </is>
      </c>
      <c r="X91" s="6" t="inlineStr">
        <is>
          <t>https://heldenfels.com/contact/</t>
        </is>
      </c>
      <c r="Y91" s="6" t="inlineStr"/>
      <c r="Z91" s="6" t="inlineStr">
        <is>
          <t>(512) 396-2376</t>
        </is>
      </c>
      <c r="AA91" s="6" t="inlineStr">
        <is>
          <t>Headquarters, San Marcos</t>
        </is>
      </c>
      <c r="AB91" s="6" t="inlineStr">
        <is>
          <t>https://heldenfels.com/contact/</t>
        </is>
      </c>
      <c r="AC91" s="6" t="inlineStr"/>
      <c r="AD91" s="6" t="inlineStr"/>
    </row>
    <row r="92">
      <c r="A92" s="12" t="inlineStr">
        <is>
          <t>Eric Dyess</t>
        </is>
      </c>
      <c r="B92" s="12" t="inlineStr">
        <is>
          <t>Kaufman Concrete (ERW Companies)</t>
        </is>
      </c>
      <c r="C92" s="12" t="inlineStr">
        <is>
          <t>President and COO</t>
        </is>
      </c>
      <c r="D92" s="13" t="inlineStr">
        <is>
          <t>Builds the wall, not the house</t>
        </is>
      </c>
      <c r="E92" s="14" t="n">
        <v>2</v>
      </c>
      <c r="F92" s="12" t="inlineStr">
        <is>
          <t>Builds the wall</t>
        </is>
      </c>
      <c r="G92" s="12" t="inlineStr">
        <is>
          <t>Prosper and Carrollton, serving DFW and Austin</t>
        </is>
      </c>
      <c r="H92" s="12" t="inlineStr">
        <is>
          <t>Production-builder foundations, ERW Companies, DFW and Austin</t>
        </is>
      </c>
      <c r="I92" s="14" t="inlineStr">
        <is>
          <t>Yes</t>
        </is>
      </c>
      <c r="J92" s="15" t="inlineStr">
        <is>
          <t>Post-tensioned residential foundations poured repeatedly for production builders across DFW and Austin communities.</t>
        </is>
      </c>
      <c r="K92" s="14" t="inlineStr">
        <is>
          <t>Partly</t>
        </is>
      </c>
      <c r="L92" s="15" t="inlineStr">
        <is>
          <t>The First Texas testimonial cites fifteen to twenty slabs a week in one community, but no firm-wide yearly figure is published.</t>
        </is>
      </c>
      <c r="M92" s="14" t="inlineStr">
        <is>
          <t>No</t>
        </is>
      </c>
      <c r="N92" s="15" t="inlineStr">
        <is>
          <t>Nothing on record. Its work is conventional production slabs.</t>
        </is>
      </c>
      <c r="O92" s="10" t="inlineStr"/>
      <c r="P92" s="12" t="inlineStr"/>
      <c r="Q92" s="16">
        <f>IF(O92="","ADD LINKEDIN","ok")</f>
        <v/>
      </c>
      <c r="R92" s="12" t="inlineStr">
        <is>
          <t>https://erw-sitesolutions.com/construction-company-texas/kaufman-concrete-foundations-texas/</t>
        </is>
      </c>
      <c r="S92" s="15" t="inlineStr">
        <is>
          <t>A First Texas Homes superintendent cites fifteen to twenty slabs a week in one community.</t>
        </is>
      </c>
      <c r="T92" s="12" t="inlineStr">
        <is>
          <t>YES</t>
        </is>
      </c>
      <c r="U92" s="15" t="inlineStr">
        <is>
          <t>Named on the Kaufman Concrete page as President and COO.</t>
        </is>
      </c>
      <c r="V92" s="12" t="inlineStr">
        <is>
          <t>https://erw-sitesolutions.com/construction-company-texas/kaufman-concrete-foundations-texas/</t>
        </is>
      </c>
      <c r="W92" s="12" t="inlineStr">
        <is>
          <t>https://www.linkedin.com/company/kaufman-concrete-erwss/</t>
        </is>
      </c>
      <c r="X92" s="12" t="inlineStr">
        <is>
          <t>https://erw-sitesolutions.com/construction-company-texas/kaufman-concrete-foundations-texas/</t>
        </is>
      </c>
      <c r="Y92" s="12" t="inlineStr"/>
      <c r="Z92" s="12" t="inlineStr"/>
      <c r="AA92" s="12" t="inlineStr"/>
      <c r="AB92" s="12" t="inlineStr"/>
      <c r="AC92" s="12" t="inlineStr"/>
      <c r="AD92" s="12" t="inlineStr"/>
    </row>
    <row r="93">
      <c r="A93" s="6" t="inlineStr">
        <is>
          <t>Robert Miller</t>
        </is>
      </c>
      <c r="B93" s="6" t="inlineStr">
        <is>
          <t>Miller Sierra</t>
        </is>
      </c>
      <c r="C93" s="6" t="inlineStr">
        <is>
          <t>Chief Executive Officer</t>
        </is>
      </c>
      <c r="D93" s="7" t="inlineStr">
        <is>
          <t>Builds the wall, not the house</t>
        </is>
      </c>
      <c r="E93" s="8" t="n">
        <v>2</v>
      </c>
      <c r="F93" s="6" t="inlineStr">
        <is>
          <t>Builds the wall</t>
        </is>
      </c>
      <c r="G93" s="6" t="inlineStr">
        <is>
          <t>Euless and Arlington</t>
        </is>
      </c>
      <c r="H93" s="6" t="inlineStr">
        <is>
          <t>More than 1,500 concrete staff, per its own site</t>
        </is>
      </c>
      <c r="I93" s="8" t="inlineStr">
        <is>
          <t>Yes</t>
        </is>
      </c>
      <c r="J93" s="9" t="inlineStr">
        <is>
          <t>Tilt-wall and structural concrete walls repeated across North Texas commercial and institutional jobs.</t>
        </is>
      </c>
      <c r="K93" s="8" t="inlineStr">
        <is>
          <t>No</t>
        </is>
      </c>
      <c r="L93" s="9" t="inlineStr">
        <is>
          <t>More than 1,500 staff and millions of square feet a year, per its own site.</t>
        </is>
      </c>
      <c r="M93" s="8" t="inlineStr">
        <is>
          <t>Partly</t>
        </is>
      </c>
      <c r="N93" s="9" t="inlineStr">
        <is>
          <t>Its site describes investment in LiDAR, robotics and new equipment. None of it replaces the wall with print.</t>
        </is>
      </c>
      <c r="O93" s="10" t="inlineStr"/>
      <c r="P93" s="6" t="inlineStr"/>
      <c r="Q93" s="11">
        <f>IF(O93="","ADD LINKEDIN","ok")</f>
        <v/>
      </c>
      <c r="R93" s="6" t="inlineStr">
        <is>
          <t>https://www.millersierra.com/</t>
        </is>
      </c>
      <c r="S93" s="9" t="inlineStr">
        <is>
          <t>Tilt-wall and structural concrete contractor, with its CEO and President named on its own site.</t>
        </is>
      </c>
      <c r="T93" s="6" t="inlineStr">
        <is>
          <t>YES</t>
        </is>
      </c>
      <c r="U93" s="9" t="inlineStr">
        <is>
          <t>Named on the firm's own leadership team page as Chief Executive Officer.</t>
        </is>
      </c>
      <c r="V93" s="6" t="inlineStr">
        <is>
          <t>https://www.millersierra.com/who-we-are/</t>
        </is>
      </c>
      <c r="W93" s="6" t="inlineStr">
        <is>
          <t>https://www.linkedin.com/company/miller-sierra-contractors-inc./</t>
        </is>
      </c>
      <c r="X93" s="6" t="inlineStr">
        <is>
          <t>https://www.millersierra.com/who-we-are/</t>
        </is>
      </c>
      <c r="Y93" s="6" t="inlineStr"/>
      <c r="Z93" s="6" t="inlineStr">
        <is>
          <t>(817) 461-8802</t>
        </is>
      </c>
      <c r="AA93" s="6" t="inlineStr">
        <is>
          <t>Main office</t>
        </is>
      </c>
      <c r="AB93" s="6" t="inlineStr">
        <is>
          <t>https://www.millersierra.com/contact-us/</t>
        </is>
      </c>
      <c r="AC93" s="6" t="inlineStr"/>
      <c r="AD93" s="6" t="inlineStr"/>
    </row>
    <row r="94">
      <c r="A94" s="12" t="inlineStr">
        <is>
          <t>Terry Fowler</t>
        </is>
      </c>
      <c r="B94" s="12" t="inlineStr">
        <is>
          <t>Miller Sierra</t>
        </is>
      </c>
      <c r="C94" s="12" t="inlineStr">
        <is>
          <t>President</t>
        </is>
      </c>
      <c r="D94" s="13" t="inlineStr">
        <is>
          <t>Builds the wall, not the house</t>
        </is>
      </c>
      <c r="E94" s="14" t="n">
        <v>2</v>
      </c>
      <c r="F94" s="12" t="inlineStr">
        <is>
          <t>Builds the wall</t>
        </is>
      </c>
      <c r="G94" s="12" t="inlineStr">
        <is>
          <t>Euless and Arlington</t>
        </is>
      </c>
      <c r="H94" s="12" t="inlineStr">
        <is>
          <t>More than 1,500 concrete staff, per its own site</t>
        </is>
      </c>
      <c r="I94" s="14" t="inlineStr">
        <is>
          <t>Yes</t>
        </is>
      </c>
      <c r="J94" s="15" t="inlineStr">
        <is>
          <t>Tilt-wall and structural concrete walls repeated across North Texas commercial and institutional jobs.</t>
        </is>
      </c>
      <c r="K94" s="14" t="inlineStr">
        <is>
          <t>No</t>
        </is>
      </c>
      <c r="L94" s="15" t="inlineStr">
        <is>
          <t>More than 1,500 staff and millions of square feet a year, per its own site.</t>
        </is>
      </c>
      <c r="M94" s="14" t="inlineStr">
        <is>
          <t>Partly</t>
        </is>
      </c>
      <c r="N94" s="15" t="inlineStr">
        <is>
          <t>Its site describes investment in LiDAR, robotics and new equipment. None of it replaces the wall with print.</t>
        </is>
      </c>
      <c r="O94" s="10" t="inlineStr"/>
      <c r="P94" s="12" t="inlineStr"/>
      <c r="Q94" s="16">
        <f>IF(O94="","ADD LINKEDIN","ok")</f>
        <v/>
      </c>
      <c r="R94" s="12" t="inlineStr">
        <is>
          <t>https://www.millersierra.com/</t>
        </is>
      </c>
      <c r="S94" s="15" t="inlineStr">
        <is>
          <t>Tilt-wall and structural concrete contractor, with its CEO and President named on its own site.</t>
        </is>
      </c>
      <c r="T94" s="12" t="inlineStr">
        <is>
          <t>YES</t>
        </is>
      </c>
      <c r="U94" s="15" t="inlineStr">
        <is>
          <t>Named on Miller Sierra's own Who We Are page as President.</t>
        </is>
      </c>
      <c r="V94" s="12" t="inlineStr">
        <is>
          <t>https://www.millersierra.com/who-we-are/</t>
        </is>
      </c>
      <c r="W94" s="12" t="inlineStr">
        <is>
          <t>https://www.linkedin.com/company/miller-sierra-contractors-inc./</t>
        </is>
      </c>
      <c r="X94" s="12" t="inlineStr">
        <is>
          <t>https://www.millersierra.com/who-we-are/</t>
        </is>
      </c>
      <c r="Y94" s="12" t="inlineStr"/>
      <c r="Z94" s="12" t="inlineStr">
        <is>
          <t>(817) 461-8802</t>
        </is>
      </c>
      <c r="AA94" s="12" t="inlineStr">
        <is>
          <t>Main office</t>
        </is>
      </c>
      <c r="AB94" s="12" t="inlineStr">
        <is>
          <t>https://www.millersierra.com/contact-us/</t>
        </is>
      </c>
      <c r="AC94" s="12" t="inlineStr"/>
      <c r="AD94" s="12" t="inlineStr"/>
    </row>
    <row r="95">
      <c r="A95" s="6" t="inlineStr">
        <is>
          <t>Dwain Hutton</t>
        </is>
      </c>
      <c r="B95" s="6" t="inlineStr">
        <is>
          <t>UFP Site Built, Hillsboro</t>
        </is>
      </c>
      <c r="C95" s="6" t="inlineStr">
        <is>
          <t>Executive Vice President, UFP Site Built</t>
        </is>
      </c>
      <c r="D95" s="7" t="inlineStr">
        <is>
          <t>Builds the wall, not the house</t>
        </is>
      </c>
      <c r="E95" s="8" t="n">
        <v>2</v>
      </c>
      <c r="F95" s="6" t="inlineStr">
        <is>
          <t>Builds the wall</t>
        </is>
      </c>
      <c r="G95" s="6" t="inlineStr">
        <is>
          <t>Hillsboro, serving DFW</t>
        </is>
      </c>
      <c r="H95" s="6" t="inlineStr">
        <is>
          <t>Truss and component plant in Hillsboro</t>
        </is>
      </c>
      <c r="I95" s="8" t="inlineStr">
        <is>
          <t>Yes</t>
        </is>
      </c>
      <c r="J95" s="9" t="inlineStr">
        <is>
          <t>Trusses and components made repeatedly at the Hillsboro plant for Texas production builders.</t>
        </is>
      </c>
      <c r="K95" s="8" t="inlineStr">
        <is>
          <t>No</t>
        </is>
      </c>
      <c r="L95" s="9" t="inlineStr">
        <is>
          <t>The plant sits inside UFP Industries' national network, and purchasing is corporate.</t>
        </is>
      </c>
      <c r="M95" s="8" t="inlineStr">
        <is>
          <t>Partly</t>
        </is>
      </c>
      <c r="N95" s="9" t="inlineStr">
        <is>
          <t>Offsite component manufacturing is its stated business. That improves framing rather than replacing the wall.</t>
        </is>
      </c>
      <c r="O95" s="10" t="inlineStr"/>
      <c r="P95" s="6" t="inlineStr"/>
      <c r="Q95" s="11">
        <f>IF(O95="","ADD LINKEDIN","ok")</f>
        <v/>
      </c>
      <c r="R95" s="6" t="inlineStr">
        <is>
          <t>https://ufpsitebuilt.com/our-locations/hillsboro-tx</t>
        </is>
      </c>
      <c r="S95" s="9" t="inlineStr">
        <is>
          <t>One plant inside UFP Industries' national network, which supplies trusses and wall panels to production builders.</t>
        </is>
      </c>
      <c r="T95" s="6" t="inlineStr">
        <is>
          <t>YES</t>
        </is>
      </c>
      <c r="U95" s="9" t="inlineStr">
        <is>
          <t>Named on UFP Site Built's own leadership team page as Executive Vice President.</t>
        </is>
      </c>
      <c r="V95" s="6" t="inlineStr">
        <is>
          <t>https://ufpsitebuilt.com/leadershipteam/</t>
        </is>
      </c>
      <c r="W95" s="6" t="inlineStr">
        <is>
          <t>https://www.linkedin.com/company/ufpconstruction-sitebuilt/</t>
        </is>
      </c>
      <c r="X95" s="6" t="inlineStr"/>
      <c r="Y95" s="6" t="inlineStr"/>
      <c r="Z95" s="6" t="inlineStr">
        <is>
          <t>(254) 580-2846</t>
        </is>
      </c>
      <c r="AA95" s="6" t="inlineStr">
        <is>
          <t>Hillsboro plant</t>
        </is>
      </c>
      <c r="AB95" s="6" t="inlineStr">
        <is>
          <t>https://ufpsitebuilt.com/our-locations/hillsboro-tx</t>
        </is>
      </c>
      <c r="AC95" s="6" t="inlineStr"/>
      <c r="AD95" s="6" t="inlineStr"/>
    </row>
    <row r="96">
      <c r="A96" s="12" t="inlineStr">
        <is>
          <t>Mike Mizell</t>
        </is>
      </c>
      <c r="B96" s="12" t="inlineStr">
        <is>
          <t>UFP Site Built, Hillsboro</t>
        </is>
      </c>
      <c r="C96" s="12" t="inlineStr">
        <is>
          <t>Vice President Operations West, UFP Site Built</t>
        </is>
      </c>
      <c r="D96" s="13" t="inlineStr">
        <is>
          <t>Builds the wall, not the house</t>
        </is>
      </c>
      <c r="E96" s="14" t="n">
        <v>2</v>
      </c>
      <c r="F96" s="12" t="inlineStr">
        <is>
          <t>Builds the wall</t>
        </is>
      </c>
      <c r="G96" s="12" t="inlineStr">
        <is>
          <t>Hillsboro, serving DFW</t>
        </is>
      </c>
      <c r="H96" s="12" t="inlineStr">
        <is>
          <t>Truss and component plant in Hillsboro</t>
        </is>
      </c>
      <c r="I96" s="14" t="inlineStr">
        <is>
          <t>Yes</t>
        </is>
      </c>
      <c r="J96" s="15" t="inlineStr">
        <is>
          <t>Trusses and components made repeatedly at the Hillsboro plant for Texas production builders.</t>
        </is>
      </c>
      <c r="K96" s="14" t="inlineStr">
        <is>
          <t>No</t>
        </is>
      </c>
      <c r="L96" s="15" t="inlineStr">
        <is>
          <t>The plant sits inside UFP Industries' national network, and purchasing is corporate.</t>
        </is>
      </c>
      <c r="M96" s="14" t="inlineStr">
        <is>
          <t>Partly</t>
        </is>
      </c>
      <c r="N96" s="15" t="inlineStr">
        <is>
          <t>Offsite component manufacturing is its stated business. That improves framing rather than replacing the wall.</t>
        </is>
      </c>
      <c r="O96" s="10" t="inlineStr"/>
      <c r="P96" s="12" t="inlineStr"/>
      <c r="Q96" s="16">
        <f>IF(O96="","ADD LINKEDIN","ok")</f>
        <v/>
      </c>
      <c r="R96" s="12" t="inlineStr">
        <is>
          <t>https://ufpsitebuilt.com/our-locations/hillsboro-tx</t>
        </is>
      </c>
      <c r="S96" s="15" t="inlineStr">
        <is>
          <t>One plant inside UFP Industries' national network, which supplies trusses and wall panels to production builders.</t>
        </is>
      </c>
      <c r="T96" s="12" t="inlineStr">
        <is>
          <t>YES</t>
        </is>
      </c>
      <c r="U96" s="15" t="inlineStr">
        <is>
          <t>Named on UFP Site Built's own leadership team page as Vice President Operations West.</t>
        </is>
      </c>
      <c r="V96" s="12" t="inlineStr">
        <is>
          <t>https://ufpsitebuilt.com/leadershipteam/</t>
        </is>
      </c>
      <c r="W96" s="12" t="inlineStr">
        <is>
          <t>https://www.linkedin.com/company/ufpconstruction-sitebuilt/</t>
        </is>
      </c>
      <c r="X96" s="12" t="inlineStr"/>
      <c r="Y96" s="12" t="inlineStr"/>
      <c r="Z96" s="12" t="inlineStr">
        <is>
          <t>(254) 580-2846</t>
        </is>
      </c>
      <c r="AA96" s="12" t="inlineStr">
        <is>
          <t>Hillsboro plant</t>
        </is>
      </c>
      <c r="AB96" s="12" t="inlineStr">
        <is>
          <t>https://ufpsitebuilt.com/our-locations/hillsboro-tx</t>
        </is>
      </c>
      <c r="AC96" s="12" t="inlineStr"/>
      <c r="AD96" s="12" t="inlineStr"/>
    </row>
    <row r="97">
      <c r="A97" s="6" t="inlineStr">
        <is>
          <t>Dan Juntunen</t>
        </is>
      </c>
      <c r="B97" s="6" t="inlineStr">
        <is>
          <t>Wells, Hillsboro plants</t>
        </is>
      </c>
      <c r="C97" s="6" t="inlineStr">
        <is>
          <t>President and Chief Executive Officer, The Wells Companies</t>
        </is>
      </c>
      <c r="D97" s="7" t="inlineStr">
        <is>
          <t>Builds the wall, not the house</t>
        </is>
      </c>
      <c r="E97" s="8" t="n">
        <v>2</v>
      </c>
      <c r="F97" s="6" t="inlineStr">
        <is>
          <t>Builds the wall</t>
        </is>
      </c>
      <c r="G97" s="6" t="inlineStr">
        <is>
          <t>Hillsboro, 1220 and 1700 N Waco St, between DFW and Austin</t>
        </is>
      </c>
      <c r="H97" s="6" t="inlineStr">
        <is>
          <t>Two Hillsboro precast plants, more than 320 staff</t>
        </is>
      </c>
      <c r="I97" s="8" t="inlineStr">
        <is>
          <t>Yes</t>
        </is>
      </c>
      <c r="J97" s="9" t="inlineStr">
        <is>
          <t>Architectural and structural precast cast repeatedly at the two Hillsboro plants for Texas and Oklahoma projects, including Dallas.</t>
        </is>
      </c>
      <c r="K97" s="8" t="inlineStr">
        <is>
          <t>Partly</t>
        </is>
      </c>
      <c r="L97" s="9" t="inlineStr">
        <is>
          <t>The plants serve several states, and DFW is one delivery market among them.</t>
        </is>
      </c>
      <c r="M97" s="8" t="inlineStr">
        <is>
          <t>No</t>
        </is>
      </c>
      <c r="N97" s="9" t="inlineStr">
        <is>
          <t>No record of paying for an unproven method.</t>
        </is>
      </c>
      <c r="O97" s="6" t="inlineStr">
        <is>
          <t>https://www.linkedin.com/in/dan-juntunen-b2765a14/</t>
        </is>
      </c>
      <c r="P97" s="6" t="inlineStr"/>
      <c r="Q97" s="11">
        <f>IF(O97="","ADD LINKEDIN","ok")</f>
        <v/>
      </c>
      <c r="R97" s="6" t="inlineStr">
        <is>
          <t>https://wells.build/contact/locations/hillsboro-texas/</t>
        </is>
      </c>
      <c r="S97" s="9" t="inlineStr">
        <is>
          <t>Architectural and structural precast panels from Hillsboro already go to Dallas residential and civic jobs.</t>
        </is>
      </c>
      <c r="T97" s="6" t="inlineStr">
        <is>
          <t>YES</t>
        </is>
      </c>
      <c r="U97" s="9" t="inlineStr">
        <is>
          <t>Indexed title reads Dan Juntunen - Wells Concrete. Named in Wells' own July 15, 2024 release on the GATE Precast acquisition as president and CEO.</t>
        </is>
      </c>
      <c r="V97" s="6" t="inlineStr">
        <is>
          <t>https://wells.build/company/news/wells-announces-acquisition-of-gate-precast/</t>
        </is>
      </c>
      <c r="W97" s="6" t="inlineStr">
        <is>
          <t>https://www.linkedin.com/company/wellsbuilds/</t>
        </is>
      </c>
      <c r="X97" s="6" t="inlineStr"/>
      <c r="Y97" s="6" t="inlineStr">
        <is>
          <t>2024-07-15 Wells. Wells Announces Acquisition of GATE Precast  https://wells.build/company/news/wells-announces-acquisition-of-gate-precast/</t>
        </is>
      </c>
      <c r="Z97" s="6" t="inlineStr">
        <is>
          <t>(254) 582-7200</t>
        </is>
      </c>
      <c r="AA97" s="6" t="inlineStr">
        <is>
          <t>Hillsboro plants, chamber listing</t>
        </is>
      </c>
      <c r="AB97" s="6" t="inlineStr">
        <is>
          <t>https://business.hillsborochamber.org/members/member/wells-build-177</t>
        </is>
      </c>
      <c r="AC97" s="6" t="inlineStr"/>
      <c r="AD97" s="6" t="inlineStr"/>
    </row>
    <row r="98">
      <c r="A98" s="12" t="inlineStr">
        <is>
          <t>Dean Gwin</t>
        </is>
      </c>
      <c r="B98" s="12" t="inlineStr">
        <is>
          <t>Wells, Hillsboro plants</t>
        </is>
      </c>
      <c r="C98" s="12" t="inlineStr">
        <is>
          <t>President and Chief Operating Officer, GATE Precast</t>
        </is>
      </c>
      <c r="D98" s="13" t="inlineStr">
        <is>
          <t>Builds the wall, not the house</t>
        </is>
      </c>
      <c r="E98" s="14" t="n">
        <v>2</v>
      </c>
      <c r="F98" s="12" t="inlineStr">
        <is>
          <t>Builds the wall</t>
        </is>
      </c>
      <c r="G98" s="12" t="inlineStr">
        <is>
          <t>Hillsboro, 1220 and 1700 N Waco St, between DFW and Austin</t>
        </is>
      </c>
      <c r="H98" s="12" t="inlineStr">
        <is>
          <t>Two Hillsboro precast plants, more than 320 staff</t>
        </is>
      </c>
      <c r="I98" s="14" t="inlineStr">
        <is>
          <t>Yes</t>
        </is>
      </c>
      <c r="J98" s="15" t="inlineStr">
        <is>
          <t>Architectural and structural precast cast repeatedly at the two Hillsboro plants for Texas and Oklahoma projects, including Dallas.</t>
        </is>
      </c>
      <c r="K98" s="14" t="inlineStr">
        <is>
          <t>Partly</t>
        </is>
      </c>
      <c r="L98" s="15" t="inlineStr">
        <is>
          <t>The plants serve several states, and DFW is one delivery market among them.</t>
        </is>
      </c>
      <c r="M98" s="14" t="inlineStr">
        <is>
          <t>No</t>
        </is>
      </c>
      <c r="N98" s="15" t="inlineStr">
        <is>
          <t>No record of paying for an unproven method.</t>
        </is>
      </c>
      <c r="O98" s="6" t="inlineStr">
        <is>
          <t>https://www.linkedin.com/in/dean-gwin-102a1991/</t>
        </is>
      </c>
      <c r="P98" s="12" t="inlineStr"/>
      <c r="Q98" s="16">
        <f>IF(O98="","ADD LINKEDIN","ok")</f>
        <v/>
      </c>
      <c r="R98" s="12" t="inlineStr">
        <is>
          <t>https://wells.build/contact/locations/hillsboro-texas/</t>
        </is>
      </c>
      <c r="S98" s="15" t="inlineStr">
        <is>
          <t>Architectural and structural precast panels from Hillsboro already go to Dallas residential and civic jobs.</t>
        </is>
      </c>
      <c r="T98" s="12" t="inlineStr">
        <is>
          <t>YES</t>
        </is>
      </c>
      <c r="U98" s="15" t="inlineStr">
        <is>
          <t>Indexed title reads Dean Gwin - Wells. Named in the same July 15, 2024 Wells release as president and COO of GATE Precast at the time of the acquisition.</t>
        </is>
      </c>
      <c r="V98" s="12" t="inlineStr">
        <is>
          <t>https://wells.build/company/news/wells-announces-acquisition-of-gate-precast/</t>
        </is>
      </c>
      <c r="W98" s="12" t="inlineStr">
        <is>
          <t>https://www.linkedin.com/company/wellsbuilds/</t>
        </is>
      </c>
      <c r="X98" s="12" t="inlineStr"/>
      <c r="Y98" s="12" t="inlineStr">
        <is>
          <t>2024-07-15 Wells. Wells Announces Acquisition of GATE Precast  https://wells.build/company/news/wells-announces-acquisition-of-gate-precast/</t>
        </is>
      </c>
      <c r="Z98" s="12" t="inlineStr">
        <is>
          <t>(254) 582-7200</t>
        </is>
      </c>
      <c r="AA98" s="12" t="inlineStr">
        <is>
          <t>Hillsboro plants, chamber listing</t>
        </is>
      </c>
      <c r="AB98" s="12" t="inlineStr">
        <is>
          <t>https://business.hillsborochamber.org/members/member/wells-build-177</t>
        </is>
      </c>
      <c r="AC98" s="12" t="inlineStr"/>
      <c r="AD98" s="12" t="inlineStr"/>
    </row>
    <row r="99">
      <c r="A99" s="6" t="inlineStr">
        <is>
          <t>Nathan Frazier</t>
        </is>
      </c>
      <c r="B99" s="6" t="inlineStr">
        <is>
          <t>All About Concrete LLC</t>
        </is>
      </c>
      <c r="C99" s="6" t="inlineStr">
        <is>
          <t>CEO and Founder</t>
        </is>
      </c>
      <c r="D99" s="7" t="inlineStr">
        <is>
          <t>Builds the wall, not the house</t>
        </is>
      </c>
      <c r="E99" s="8" t="n">
        <v>2</v>
      </c>
      <c r="F99" s="6" t="inlineStr">
        <is>
          <t>Builds the wall</t>
        </is>
      </c>
      <c r="G99" s="6" t="inlineStr">
        <is>
          <t>Tomball, serving Dallas-Fort Worth, Houston, Austin and San Antonio</t>
        </is>
      </c>
      <c r="H99" s="6" t="inlineStr">
        <is>
          <t>Production-builder foundations, DFW served from Tomball</t>
        </is>
      </c>
      <c r="I99" s="8" t="inlineStr">
        <is>
          <t>Yes</t>
        </is>
      </c>
      <c r="J99" s="9" t="inlineStr">
        <is>
          <t>The same foundation and flatwork product poured for production builders across Texas metros, including DFW.</t>
        </is>
      </c>
      <c r="K99" s="8" t="inlineStr">
        <is>
          <t>Partly</t>
        </is>
      </c>
      <c r="L99" s="9" t="inlineStr">
        <is>
          <t>No published slab count.</t>
        </is>
      </c>
      <c r="M99" s="8" t="inlineStr">
        <is>
          <t>No</t>
        </is>
      </c>
      <c r="N99" s="9" t="inlineStr">
        <is>
          <t>Nothing on record. Its work is conventional foundations and flatwork.</t>
        </is>
      </c>
      <c r="O99" s="10" t="inlineStr"/>
      <c r="P99" s="6" t="inlineStr"/>
      <c r="Q99" s="11">
        <f>IF(O99="","ADD LINKEDIN","ok")</f>
        <v/>
      </c>
      <c r="R99" s="6" t="inlineStr">
        <is>
          <t>https://allaboutconcretellc.net/</t>
        </is>
      </c>
      <c r="S99" s="9" t="inlineStr">
        <is>
          <t>Pours foundations for residential production builders, and names Dallas-Fort Worth among its markets.</t>
        </is>
      </c>
      <c r="T99" s="6" t="inlineStr">
        <is>
          <t>YES</t>
        </is>
      </c>
      <c r="U99" s="9" t="inlineStr">
        <is>
          <t>Named in High Street Capital's August 2026 investment announcement as founder and CEO.</t>
        </is>
      </c>
      <c r="V99" s="6" t="inlineStr">
        <is>
          <t>https://www.highstreetcapital.com/news/high-street-capital-invests-in-all-about-concrete/</t>
        </is>
      </c>
      <c r="W99" s="6" t="inlineStr">
        <is>
          <t>https://www.linkedin.com/company/all-about-concrete-llc/</t>
        </is>
      </c>
      <c r="X99" s="6" t="inlineStr">
        <is>
          <t>https://allaboutconcretellc.net/</t>
        </is>
      </c>
      <c r="Y99" s="6" t="inlineStr"/>
      <c r="Z99" s="6" t="inlineStr">
        <is>
          <t>(281) 370-4470</t>
        </is>
      </c>
      <c r="AA99" s="6" t="inlineStr">
        <is>
          <t>Main office, Tomball</t>
        </is>
      </c>
      <c r="AB99" s="6" t="inlineStr">
        <is>
          <t>https://allaboutconcretellc.net/partner-with-us/</t>
        </is>
      </c>
      <c r="AC99" s="6" t="inlineStr"/>
      <c r="AD99" s="6" t="inlineStr"/>
    </row>
    <row r="100">
      <c r="A100" s="12" t="inlineStr">
        <is>
          <t>Don Edwards</t>
        </is>
      </c>
      <c r="B100" s="12" t="inlineStr">
        <is>
          <t>All About Concrete LLC</t>
        </is>
      </c>
      <c r="C100" s="12" t="inlineStr">
        <is>
          <t>Chief Operating Officer</t>
        </is>
      </c>
      <c r="D100" s="13" t="inlineStr">
        <is>
          <t>Builds the wall, not the house</t>
        </is>
      </c>
      <c r="E100" s="14" t="n">
        <v>2</v>
      </c>
      <c r="F100" s="12" t="inlineStr">
        <is>
          <t>Builds the wall</t>
        </is>
      </c>
      <c r="G100" s="12" t="inlineStr">
        <is>
          <t>Tomball, serving Dallas-Fort Worth, Houston, Austin and San Antonio</t>
        </is>
      </c>
      <c r="H100" s="12" t="inlineStr">
        <is>
          <t>Production-builder foundations, DFW served from Tomball</t>
        </is>
      </c>
      <c r="I100" s="14" t="inlineStr">
        <is>
          <t>Yes</t>
        </is>
      </c>
      <c r="J100" s="15" t="inlineStr">
        <is>
          <t>The same foundation and flatwork product poured for production builders across Texas metros, including DFW.</t>
        </is>
      </c>
      <c r="K100" s="14" t="inlineStr">
        <is>
          <t>Partly</t>
        </is>
      </c>
      <c r="L100" s="15" t="inlineStr">
        <is>
          <t>No published slab count.</t>
        </is>
      </c>
      <c r="M100" s="14" t="inlineStr">
        <is>
          <t>No</t>
        </is>
      </c>
      <c r="N100" s="15" t="inlineStr">
        <is>
          <t>Nothing on record. Its work is conventional foundations and flatwork.</t>
        </is>
      </c>
      <c r="O100" s="10" t="inlineStr"/>
      <c r="P100" s="12" t="inlineStr"/>
      <c r="Q100" s="16">
        <f>IF(O100="","ADD LINKEDIN","ok")</f>
        <v/>
      </c>
      <c r="R100" s="12" t="inlineStr">
        <is>
          <t>https://allaboutconcretellc.net/</t>
        </is>
      </c>
      <c r="S100" s="15" t="inlineStr">
        <is>
          <t>Pours foundations for residential production builders, and names Dallas-Fort Worth among its markets.</t>
        </is>
      </c>
      <c r="T100" s="12" t="inlineStr"/>
      <c r="U100" s="15" t="inlineStr">
        <is>
          <t>Named in the same High Street Capital announcement as COO.</t>
        </is>
      </c>
      <c r="V100" s="12" t="inlineStr">
        <is>
          <t>https://www.highstreetcapital.com/news/high-street-capital-invests-in-all-about-concrete/</t>
        </is>
      </c>
      <c r="W100" s="12" t="inlineStr">
        <is>
          <t>https://www.linkedin.com/company/all-about-concrete-llc/</t>
        </is>
      </c>
      <c r="X100" s="12" t="inlineStr">
        <is>
          <t>https://allaboutconcretellc.net/</t>
        </is>
      </c>
      <c r="Y100" s="12" t="inlineStr"/>
      <c r="Z100" s="12" t="inlineStr">
        <is>
          <t>(281) 370-4470</t>
        </is>
      </c>
      <c r="AA100" s="12" t="inlineStr">
        <is>
          <t>Main office, Tomball</t>
        </is>
      </c>
      <c r="AB100" s="12" t="inlineStr">
        <is>
          <t>https://allaboutconcretellc.net/partner-with-us/</t>
        </is>
      </c>
      <c r="AC100" s="12" t="inlineStr"/>
      <c r="AD100" s="12" t="inlineStr"/>
    </row>
    <row r="101">
      <c r="A101" s="6" t="inlineStr">
        <is>
          <t>Sergio</t>
        </is>
      </c>
      <c r="B101" s="6" t="inlineStr">
        <is>
          <t>Black Knight Construction</t>
        </is>
      </c>
      <c r="C101" s="6" t="inlineStr">
        <is>
          <t>Primary contact</t>
        </is>
      </c>
      <c r="D101" s="7" t="inlineStr">
        <is>
          <t>Builds the wall, not the house</t>
        </is>
      </c>
      <c r="E101" s="8" t="n">
        <v>2</v>
      </c>
      <c r="F101" s="6" t="inlineStr">
        <is>
          <t>Builds the wall</t>
        </is>
      </c>
      <c r="G101" s="6" t="inlineStr">
        <is>
          <t>Dallas-Fort Worth Metroplex</t>
        </is>
      </c>
      <c r="H101" s="6" t="inlineStr">
        <is>
          <t>DFW commercial masonry and stucco contractor since 2006</t>
        </is>
      </c>
      <c r="I101" s="8" t="inlineStr">
        <is>
          <t>Yes</t>
        </is>
      </c>
      <c r="J101" s="9" t="inlineStr">
        <is>
          <t>Brick, block, stone, stucco and EIFS walls repeated across DFW commercial jobs.</t>
        </is>
      </c>
      <c r="K101" s="8" t="inlineStr">
        <is>
          <t>Partly</t>
        </is>
      </c>
      <c r="L101" s="9" t="inlineStr">
        <is>
          <t>No published volume, and a local commercial specialty firm.</t>
        </is>
      </c>
      <c r="M101" s="8" t="inlineStr">
        <is>
          <t>No</t>
        </is>
      </c>
      <c r="N101" s="9" t="inlineStr">
        <is>
          <t>Nothing on record about a new wall method.</t>
        </is>
      </c>
      <c r="O101" s="10" t="inlineStr"/>
      <c r="P101" s="6" t="inlineStr"/>
      <c r="Q101" s="11">
        <f>IF(O101="","ADD LINKEDIN","ok")</f>
        <v/>
      </c>
      <c r="R101" s="6" t="inlineStr">
        <is>
          <t>https://www.blackknightconstruction.com/</t>
        </is>
      </c>
      <c r="S101" s="9" t="inlineStr">
        <is>
          <t>Brick, block, stone and stucco walls on DFW commercial and retail jobs, not production homes.</t>
        </is>
      </c>
      <c r="T101" s="6" t="inlineStr">
        <is>
          <t>YES</t>
        </is>
      </c>
      <c r="U101" s="9" t="inlineStr">
        <is>
          <t>Named on the firm's homepage through its contact email and a client testimonial. No surname is published.</t>
        </is>
      </c>
      <c r="V101" s="6" t="inlineStr">
        <is>
          <t>https://www.blackknightconstruction.com/</t>
        </is>
      </c>
      <c r="W101" s="6" t="inlineStr"/>
      <c r="X101" s="6" t="inlineStr">
        <is>
          <t>https://www.blackknightconstruction.com/</t>
        </is>
      </c>
      <c r="Y101" s="6" t="inlineStr"/>
      <c r="Z101" s="6" t="inlineStr">
        <is>
          <t>(214) 566-2009</t>
        </is>
      </c>
      <c r="AA101" s="6" t="inlineStr">
        <is>
          <t>Main office</t>
        </is>
      </c>
      <c r="AB101" s="6" t="inlineStr">
        <is>
          <t>https://www.blackknightconstruction.com/</t>
        </is>
      </c>
      <c r="AC101" s="6" t="inlineStr"/>
      <c r="AD101" s="6" t="inlineStr"/>
    </row>
    <row r="102">
      <c r="A102" s="12" t="inlineStr">
        <is>
          <t>Bill Schultheis</t>
        </is>
      </c>
      <c r="B102" s="12" t="inlineStr">
        <is>
          <t>Brick &amp; Stone Master</t>
        </is>
      </c>
      <c r="C102" s="12" t="inlineStr">
        <is>
          <t>Owner</t>
        </is>
      </c>
      <c r="D102" s="13" t="inlineStr">
        <is>
          <t>Builds the wall, not the house</t>
        </is>
      </c>
      <c r="E102" s="14" t="n">
        <v>2</v>
      </c>
      <c r="F102" s="12" t="inlineStr">
        <is>
          <t>Builds the wall</t>
        </is>
      </c>
      <c r="G102" s="12" t="inlineStr">
        <is>
          <t>Roanoke, working across DFW</t>
        </is>
      </c>
      <c r="H102" s="12" t="inlineStr">
        <is>
          <t>Roanoke residential masonry since 1997</t>
        </is>
      </c>
      <c r="I102" s="14" t="inlineStr">
        <is>
          <t>Yes</t>
        </is>
      </c>
      <c r="J102" s="15" t="inlineStr">
        <is>
          <t>Brick and stone masonry repeated across DFW residential jobs from Roanoke.</t>
        </is>
      </c>
      <c r="K102" s="14" t="inlineStr">
        <is>
          <t>Partly</t>
        </is>
      </c>
      <c r="L102" s="15" t="inlineStr">
        <is>
          <t>No count of production-builder elevations is published.</t>
        </is>
      </c>
      <c r="M102" s="14" t="inlineStr">
        <is>
          <t>No</t>
        </is>
      </c>
      <c r="N102" s="15" t="inlineStr">
        <is>
          <t>Nothing on record.</t>
        </is>
      </c>
      <c r="O102" s="10" t="inlineStr"/>
      <c r="P102" s="12" t="inlineStr"/>
      <c r="Q102" s="16">
        <f>IF(O102="","ADD LINKEDIN","ok")</f>
        <v/>
      </c>
      <c r="R102" s="12" t="inlineStr">
        <is>
          <t>https://www.brickandstonemaster.com/</t>
        </is>
      </c>
      <c r="S102" s="15" t="inlineStr">
        <is>
          <t>Serves DFW homeowners with repairs, new brick and stone, stucco and thin veneer. Its work leans to repair and outdoor living more than builder elevations.</t>
        </is>
      </c>
      <c r="T102" s="12" t="inlineStr">
        <is>
          <t>YES</t>
        </is>
      </c>
      <c r="U102" s="15" t="inlineStr">
        <is>
          <t>Named on the firm's blog as owner, working in masonry since 1983.</t>
        </is>
      </c>
      <c r="V102" s="12" t="inlineStr">
        <is>
          <t>https://www.brickandstonemaster.com/blog/crack-repair-vs-full-brick-restoration-entrance-sign</t>
        </is>
      </c>
      <c r="W102" s="12" t="inlineStr">
        <is>
          <t>https://www.linkedin.com/company/brick-and-stone-master/</t>
        </is>
      </c>
      <c r="X102" s="12" t="inlineStr">
        <is>
          <t>https://www.brickandstonemaster.com/aboutus</t>
        </is>
      </c>
      <c r="Y102" s="12" t="inlineStr"/>
      <c r="Z102" s="12" t="inlineStr">
        <is>
          <t>(817) 485-7200</t>
        </is>
      </c>
      <c r="AA102" s="12" t="inlineStr">
        <is>
          <t>Main office, Roanoke</t>
        </is>
      </c>
      <c r="AB102" s="12" t="inlineStr">
        <is>
          <t>https://www.brickandstonemaster.com/home/about</t>
        </is>
      </c>
      <c r="AC102" s="12" t="inlineStr"/>
      <c r="AD102" s="12" t="inlineStr"/>
    </row>
    <row r="103">
      <c r="A103" s="6" t="inlineStr">
        <is>
          <t>Jacob Andrews</t>
        </is>
      </c>
      <c r="B103" s="6" t="inlineStr">
        <is>
          <t>Brick Experts</t>
        </is>
      </c>
      <c r="C103" s="6" t="inlineStr">
        <is>
          <t>Owner &amp; CEO</t>
        </is>
      </c>
      <c r="D103" s="7" t="inlineStr">
        <is>
          <t>Builds the wall, not the house</t>
        </is>
      </c>
      <c r="E103" s="8" t="n">
        <v>2</v>
      </c>
      <c r="F103" s="6" t="inlineStr">
        <is>
          <t>Builds the wall</t>
        </is>
      </c>
      <c r="G103" s="6" t="inlineStr">
        <is>
          <t>Grapevine, working across Dallas-Fort Worth</t>
        </is>
      </c>
      <c r="H103" s="6" t="inlineStr">
        <is>
          <t>Grapevine masonry contractor, founded 2015 by father and son</t>
        </is>
      </c>
      <c r="I103" s="8" t="inlineStr">
        <is>
          <t>Yes</t>
        </is>
      </c>
      <c r="J103" s="9" t="inlineStr">
        <is>
          <t>Brick, concrete and stone walls and repairs, repeated across DFW residential and commercial jobs.</t>
        </is>
      </c>
      <c r="K103" s="8" t="inlineStr">
        <is>
          <t>Partly</t>
        </is>
      </c>
      <c r="L103" s="9" t="inlineStr">
        <is>
          <t>No published volume, and a local family firm.</t>
        </is>
      </c>
      <c r="M103" s="8" t="inlineStr">
        <is>
          <t>No</t>
        </is>
      </c>
      <c r="N103" s="9" t="inlineStr">
        <is>
          <t>Nothing on record about a new wall method.</t>
        </is>
      </c>
      <c r="O103" s="10" t="inlineStr"/>
      <c r="P103" s="6" t="inlineStr"/>
      <c r="Q103" s="11">
        <f>IF(O103="","ADD LINKEDIN","ok")</f>
        <v/>
      </c>
      <c r="R103" s="6" t="inlineStr">
        <is>
          <t>https://brickexpertsdfw.net/</t>
        </is>
      </c>
      <c r="S103" s="9" t="inlineStr">
        <is>
          <t>Family-owned masonry firm in Grapevine, building new walls and repairing old ones for homes and commercial clients.</t>
        </is>
      </c>
      <c r="T103" s="6" t="inlineStr">
        <is>
          <t>YES</t>
        </is>
      </c>
      <c r="U103" s="9" t="inlineStr">
        <is>
          <t>Owner &amp; CEO section: Jacob started Brick Experts in 2015 with his Dad David after attending Ouachita Baptist University.</t>
        </is>
      </c>
      <c r="V103" s="6" t="inlineStr">
        <is>
          <t>https://brickexpertsdfw.net/</t>
        </is>
      </c>
      <c r="W103" s="6" t="inlineStr">
        <is>
          <t>https://www.linkedin.com/company/brick-experts-dfw/</t>
        </is>
      </c>
      <c r="X103" s="6" t="inlineStr">
        <is>
          <t>https://brickexpertsdfw.net/</t>
        </is>
      </c>
      <c r="Y103" s="6" t="inlineStr"/>
      <c r="Z103" s="6" t="inlineStr">
        <is>
          <t>(817) 901-0236</t>
        </is>
      </c>
      <c r="AA103" s="6" t="inlineStr">
        <is>
          <t>Main office, Grapevine</t>
        </is>
      </c>
      <c r="AB103" s="6" t="inlineStr">
        <is>
          <t>https://brickexpertsdfw.net/</t>
        </is>
      </c>
      <c r="AC103" s="6" t="inlineStr"/>
      <c r="AD103" s="6" t="inlineStr"/>
    </row>
    <row r="104">
      <c r="A104" s="12" t="inlineStr">
        <is>
          <t>David Andrews</t>
        </is>
      </c>
      <c r="B104" s="12" t="inlineStr">
        <is>
          <t>Brick Experts</t>
        </is>
      </c>
      <c r="C104" s="12" t="inlineStr">
        <is>
          <t>Co-Founder</t>
        </is>
      </c>
      <c r="D104" s="13" t="inlineStr">
        <is>
          <t>Builds the wall, not the house</t>
        </is>
      </c>
      <c r="E104" s="14" t="n">
        <v>2</v>
      </c>
      <c r="F104" s="12" t="inlineStr">
        <is>
          <t>Builds the wall</t>
        </is>
      </c>
      <c r="G104" s="12" t="inlineStr">
        <is>
          <t>Grapevine, working across Dallas-Fort Worth</t>
        </is>
      </c>
      <c r="H104" s="12" t="inlineStr">
        <is>
          <t>Grapevine masonry contractor, founded 2015 by father and son</t>
        </is>
      </c>
      <c r="I104" s="14" t="inlineStr">
        <is>
          <t>Yes</t>
        </is>
      </c>
      <c r="J104" s="15" t="inlineStr">
        <is>
          <t>Brick, concrete and stone walls and repairs, repeated across DFW residential and commercial jobs.</t>
        </is>
      </c>
      <c r="K104" s="14" t="inlineStr">
        <is>
          <t>Partly</t>
        </is>
      </c>
      <c r="L104" s="15" t="inlineStr">
        <is>
          <t>No published volume, and a local family firm.</t>
        </is>
      </c>
      <c r="M104" s="14" t="inlineStr">
        <is>
          <t>No</t>
        </is>
      </c>
      <c r="N104" s="15" t="inlineStr">
        <is>
          <t>Nothing on record about a new wall method.</t>
        </is>
      </c>
      <c r="O104" s="10" t="inlineStr"/>
      <c r="P104" s="12" t="inlineStr"/>
      <c r="Q104" s="16">
        <f>IF(O104="","ADD LINKEDIN","ok")</f>
        <v/>
      </c>
      <c r="R104" s="12" t="inlineStr">
        <is>
          <t>https://brickexpertsdfw.net/</t>
        </is>
      </c>
      <c r="S104" s="15" t="inlineStr">
        <is>
          <t>Family-owned masonry firm in Grapevine, building new walls and repairing old ones for homes and commercial clients.</t>
        </is>
      </c>
      <c r="T104" s="12" t="inlineStr"/>
      <c r="U104" s="15" t="inlineStr">
        <is>
          <t>Co-Founder section: David helped start Brick Experts in 2015, after 30 years as a master brick mason.</t>
        </is>
      </c>
      <c r="V104" s="12" t="inlineStr">
        <is>
          <t>https://brickexpertsdfw.net/</t>
        </is>
      </c>
      <c r="W104" s="12" t="inlineStr">
        <is>
          <t>https://www.linkedin.com/company/brick-experts-dfw/</t>
        </is>
      </c>
      <c r="X104" s="12" t="inlineStr">
        <is>
          <t>https://brickexpertsdfw.net/</t>
        </is>
      </c>
      <c r="Y104" s="12" t="inlineStr"/>
      <c r="Z104" s="12" t="inlineStr">
        <is>
          <t>(817) 901-0236</t>
        </is>
      </c>
      <c r="AA104" s="12" t="inlineStr">
        <is>
          <t>Main office, Grapevine</t>
        </is>
      </c>
      <c r="AB104" s="12" t="inlineStr">
        <is>
          <t>https://brickexpertsdfw.net/</t>
        </is>
      </c>
      <c r="AC104" s="12" t="inlineStr"/>
      <c r="AD104" s="12" t="inlineStr"/>
    </row>
    <row r="105">
      <c r="A105" s="6" t="inlineStr">
        <is>
          <t>Josh Lavelle</t>
        </is>
      </c>
      <c r="B105" s="6" t="inlineStr">
        <is>
          <t>Cardinal Foundation Services</t>
        </is>
      </c>
      <c r="C105" s="6" t="inlineStr">
        <is>
          <t>Owner</t>
        </is>
      </c>
      <c r="D105" s="7" t="inlineStr">
        <is>
          <t>Builds the wall, not the house</t>
        </is>
      </c>
      <c r="E105" s="8" t="n">
        <v>2</v>
      </c>
      <c r="F105" s="6" t="inlineStr">
        <is>
          <t>Builds the wall</t>
        </is>
      </c>
      <c r="G105" s="6" t="inlineStr">
        <is>
          <t>Fort Worth, serving DFW builders, with Houston also listed</t>
        </is>
      </c>
      <c r="H105" s="6" t="inlineStr">
        <is>
          <t>DFW slab and flatwork contractor for builders</t>
        </is>
      </c>
      <c r="I105" s="8" t="inlineStr">
        <is>
          <t>Yes</t>
        </is>
      </c>
      <c r="J105" s="9" t="inlineStr">
        <is>
          <t>The same slab and flatwork product repeated for DFW builders and homeowners.</t>
        </is>
      </c>
      <c r="K105" s="8" t="inlineStr">
        <is>
          <t>Partly</t>
        </is>
      </c>
      <c r="L105" s="9" t="inlineStr">
        <is>
          <t>No annual slab count is published.</t>
        </is>
      </c>
      <c r="M105" s="8" t="inlineStr">
        <is>
          <t>No</t>
        </is>
      </c>
      <c r="N105" s="9" t="inlineStr">
        <is>
          <t>Nothing on record about paying for a new wall method.</t>
        </is>
      </c>
      <c r="O105" s="10" t="inlineStr"/>
      <c r="P105" s="6" t="inlineStr"/>
      <c r="Q105" s="11">
        <f>IF(O105="","ADD LINKEDIN","ok")</f>
        <v/>
      </c>
      <c r="R105" s="6" t="inlineStr">
        <is>
          <t>https://cardinalfoundationservices.com/</t>
        </is>
      </c>
      <c r="S105" s="9" t="inlineStr">
        <is>
          <t>Pours slabs and flatwork for DFW builders and homeowners. One co-owner is a licensed professional engineer.</t>
        </is>
      </c>
      <c r="T105" s="6" t="inlineStr">
        <is>
          <t>YES</t>
        </is>
      </c>
      <c r="U105" s="9" t="inlineStr">
        <is>
          <t>Named on the firm's site as Owner.</t>
        </is>
      </c>
      <c r="V105" s="6" t="inlineStr">
        <is>
          <t>https://cardinalfoundationservices.com/</t>
        </is>
      </c>
      <c r="W105" s="6" t="inlineStr">
        <is>
          <t>https://www.linkedin.com/company/cardinal-foundation-services/</t>
        </is>
      </c>
      <c r="X105" s="6" t="inlineStr">
        <is>
          <t>https://cardinalfoundationservices.com/</t>
        </is>
      </c>
      <c r="Y105" s="6" t="inlineStr"/>
      <c r="Z105" s="6" t="inlineStr">
        <is>
          <t>(972) 656-8251</t>
        </is>
      </c>
      <c r="AA105" s="6" t="inlineStr">
        <is>
          <t>Main line</t>
        </is>
      </c>
      <c r="AB105" s="6" t="inlineStr">
        <is>
          <t>https://cardinalfoundationservices.com/new-construction/concrete-flatwork/</t>
        </is>
      </c>
      <c r="AC105" s="6" t="inlineStr"/>
      <c r="AD105" s="6" t="inlineStr"/>
    </row>
    <row r="106">
      <c r="A106" s="12" t="inlineStr">
        <is>
          <t>Daneel Nortier</t>
        </is>
      </c>
      <c r="B106" s="12" t="inlineStr">
        <is>
          <t>Cardinal Foundation Services</t>
        </is>
      </c>
      <c r="C106" s="12" t="inlineStr">
        <is>
          <t>Owner and Principal Engineer</t>
        </is>
      </c>
      <c r="D106" s="13" t="inlineStr">
        <is>
          <t>Builds the wall, not the house</t>
        </is>
      </c>
      <c r="E106" s="14" t="n">
        <v>2</v>
      </c>
      <c r="F106" s="12" t="inlineStr">
        <is>
          <t>Builds the wall</t>
        </is>
      </c>
      <c r="G106" s="12" t="inlineStr">
        <is>
          <t>Fort Worth, serving DFW builders, with Houston also listed</t>
        </is>
      </c>
      <c r="H106" s="12" t="inlineStr">
        <is>
          <t>DFW slab and flatwork contractor for builders</t>
        </is>
      </c>
      <c r="I106" s="14" t="inlineStr">
        <is>
          <t>Yes</t>
        </is>
      </c>
      <c r="J106" s="15" t="inlineStr">
        <is>
          <t>The same slab and flatwork product repeated for DFW builders and homeowners.</t>
        </is>
      </c>
      <c r="K106" s="14" t="inlineStr">
        <is>
          <t>Partly</t>
        </is>
      </c>
      <c r="L106" s="15" t="inlineStr">
        <is>
          <t>No annual slab count is published.</t>
        </is>
      </c>
      <c r="M106" s="14" t="inlineStr">
        <is>
          <t>No</t>
        </is>
      </c>
      <c r="N106" s="15" t="inlineStr">
        <is>
          <t>Nothing on record about paying for a new wall method.</t>
        </is>
      </c>
      <c r="O106" s="10" t="inlineStr"/>
      <c r="P106" s="12" t="inlineStr"/>
      <c r="Q106" s="16">
        <f>IF(O106="","ADD LINKEDIN","ok")</f>
        <v/>
      </c>
      <c r="R106" s="12" t="inlineStr">
        <is>
          <t>https://cardinalfoundationservices.com/</t>
        </is>
      </c>
      <c r="S106" s="15" t="inlineStr">
        <is>
          <t>Pours slabs and flatwork for DFW builders and homeowners. One co-owner is a licensed professional engineer.</t>
        </is>
      </c>
      <c r="T106" s="12" t="inlineStr">
        <is>
          <t>YES</t>
        </is>
      </c>
      <c r="U106" s="15" t="inlineStr">
        <is>
          <t>Named on the firm's site as Owner and Principal Engineer, a PE since 2012.</t>
        </is>
      </c>
      <c r="V106" s="12" t="inlineStr">
        <is>
          <t>https://cardinalfoundationservices.com/</t>
        </is>
      </c>
      <c r="W106" s="12" t="inlineStr">
        <is>
          <t>https://www.linkedin.com/company/cardinal-foundation-services/</t>
        </is>
      </c>
      <c r="X106" s="12" t="inlineStr">
        <is>
          <t>https://cardinalfoundationservices.com/</t>
        </is>
      </c>
      <c r="Y106" s="12" t="inlineStr"/>
      <c r="Z106" s="12" t="inlineStr">
        <is>
          <t>(972) 656-8251</t>
        </is>
      </c>
      <c r="AA106" s="12" t="inlineStr">
        <is>
          <t>Main line</t>
        </is>
      </c>
      <c r="AB106" s="12" t="inlineStr">
        <is>
          <t>https://cardinalfoundationservices.com/new-construction/concrete-flatwork/</t>
        </is>
      </c>
      <c r="AC106" s="12" t="inlineStr"/>
      <c r="AD106" s="12" t="inlineStr"/>
    </row>
    <row r="107">
      <c r="A107" s="6" t="inlineStr">
        <is>
          <t>no contact identified</t>
        </is>
      </c>
      <c r="B107" s="6" t="inlineStr">
        <is>
          <t>Correa Masonry &amp; Stucco LLC</t>
        </is>
      </c>
      <c r="C107" s="6" t="inlineStr"/>
      <c r="D107" s="7" t="inlineStr">
        <is>
          <t>Builds the wall, not the house</t>
        </is>
      </c>
      <c r="E107" s="8" t="n">
        <v>2</v>
      </c>
      <c r="F107" s="6" t="inlineStr">
        <is>
          <t>Builds the wall</t>
        </is>
      </c>
      <c r="G107" s="6" t="inlineStr">
        <is>
          <t>Dallas, with residential, multifamily and commercial work across DFW</t>
        </is>
      </c>
      <c r="H107" s="6" t="inlineStr">
        <is>
          <t>Dallas masonry and stucco contractor since 2010</t>
        </is>
      </c>
      <c r="I107" s="8" t="inlineStr">
        <is>
          <t>Yes</t>
        </is>
      </c>
      <c r="J107" s="9" t="inlineStr">
        <is>
          <t>Brick, stone, CMU and stucco work repeated across DFW residential and multifamily jobs.</t>
        </is>
      </c>
      <c r="K107" s="8" t="inlineStr">
        <is>
          <t>Partly</t>
        </is>
      </c>
      <c r="L107" s="9" t="inlineStr">
        <is>
          <t>A local specialty contractor with a multifamily mix. No annual square footage is published.</t>
        </is>
      </c>
      <c r="M107" s="8" t="inlineStr">
        <is>
          <t>No</t>
        </is>
      </c>
      <c r="N107" s="9" t="inlineStr">
        <is>
          <t>Nothing on record about paying for a new wall method.</t>
        </is>
      </c>
      <c r="O107" s="10" t="inlineStr"/>
      <c r="P107" s="6" t="inlineStr"/>
      <c r="Q107" s="11">
        <f>IF(O107="","ADD LINKEDIN","ok")</f>
        <v/>
      </c>
      <c r="R107" s="6" t="inlineStr">
        <is>
          <t>https://correamasonryllc.com/</t>
        </is>
      </c>
      <c r="S107" s="9" t="inlineStr">
        <is>
          <t>Lays brick, stone and CMU and applies stucco for residential, multifamily and commercial builders.</t>
        </is>
      </c>
      <c r="T107" s="6" t="inlineStr"/>
      <c r="U107" s="9" t="inlineStr"/>
      <c r="V107" s="6" t="inlineStr"/>
      <c r="W107" s="6" t="inlineStr">
        <is>
          <t>https://www.linkedin.com/company/correamasonry/</t>
        </is>
      </c>
      <c r="X107" s="6" t="inlineStr"/>
      <c r="Y107" s="6" t="inlineStr"/>
      <c r="Z107" s="6" t="inlineStr">
        <is>
          <t>(469) 854-3445</t>
        </is>
      </c>
      <c r="AA107" s="6" t="inlineStr">
        <is>
          <t>Main office, Dallas</t>
        </is>
      </c>
      <c r="AB107" s="6" t="inlineStr">
        <is>
          <t>https://correamasonryllc.com/</t>
        </is>
      </c>
      <c r="AC107" s="6" t="inlineStr"/>
      <c r="AD107" s="6" t="inlineStr"/>
    </row>
    <row r="108">
      <c r="A108" s="12" t="inlineStr">
        <is>
          <t>no contact identified</t>
        </is>
      </c>
      <c r="B108" s="12" t="inlineStr">
        <is>
          <t>Dayd Masonry</t>
        </is>
      </c>
      <c r="C108" s="12" t="inlineStr"/>
      <c r="D108" s="13" t="inlineStr">
        <is>
          <t>Builds the wall, not the house</t>
        </is>
      </c>
      <c r="E108" s="14" t="n">
        <v>2</v>
      </c>
      <c r="F108" s="12" t="inlineStr">
        <is>
          <t>Builds the wall</t>
        </is>
      </c>
      <c r="G108" s="12" t="inlineStr">
        <is>
          <t>Dallas-Fort Worth and North Texas</t>
        </is>
      </c>
      <c r="H108" s="12" t="inlineStr">
        <is>
          <t>Masonry and stucco subcontractor to DFW builders</t>
        </is>
      </c>
      <c r="I108" s="14" t="inlineStr">
        <is>
          <t>Yes</t>
        </is>
      </c>
      <c r="J108" s="15" t="inlineStr">
        <is>
          <t>Brick, stone, block, stucco and EIFS walls repeated for builders and homeowners across DFW.</t>
        </is>
      </c>
      <c r="K108" s="14" t="inlineStr">
        <is>
          <t>Partly</t>
        </is>
      </c>
      <c r="L108" s="15" t="inlineStr">
        <is>
          <t>A local specialty trade with no published job count.</t>
        </is>
      </c>
      <c r="M108" s="14" t="inlineStr">
        <is>
          <t>No</t>
        </is>
      </c>
      <c r="N108" s="15" t="inlineStr">
        <is>
          <t>Nothing on record. Its work is conventional masonry, stucco and EIFS.</t>
        </is>
      </c>
      <c r="O108" s="10" t="inlineStr"/>
      <c r="P108" s="12" t="inlineStr"/>
      <c r="Q108" s="16">
        <f>IF(O108="","ADD LINKEDIN","ok")</f>
        <v/>
      </c>
      <c r="R108" s="12" t="inlineStr">
        <is>
          <t>https://daydmasonry.com/</t>
        </is>
      </c>
      <c r="S108" s="15" t="inlineStr">
        <is>
          <t>Works as a subcontractor for builders on residential brick, stone and stucco walls.</t>
        </is>
      </c>
      <c r="T108" s="12" t="inlineStr"/>
      <c r="U108" s="15" t="inlineStr"/>
      <c r="V108" s="12" t="inlineStr"/>
      <c r="W108" s="12" t="inlineStr"/>
      <c r="X108" s="12" t="inlineStr">
        <is>
          <t>https://daydmasonry.com/</t>
        </is>
      </c>
      <c r="Y108" s="12" t="inlineStr"/>
      <c r="Z108" s="12" t="inlineStr">
        <is>
          <t>(817) 713-0046</t>
        </is>
      </c>
      <c r="AA108" s="12" t="inlineStr">
        <is>
          <t>North Texas office</t>
        </is>
      </c>
      <c r="AB108" s="12" t="inlineStr">
        <is>
          <t>https://daydmasonry.com/</t>
        </is>
      </c>
      <c r="AC108" s="12" t="inlineStr"/>
      <c r="AD108" s="12" t="inlineStr"/>
    </row>
    <row r="109">
      <c r="A109" s="6" t="inlineStr">
        <is>
          <t>Efren De Hoyos</t>
        </is>
      </c>
      <c r="B109" s="6" t="inlineStr">
        <is>
          <t>Efren Masonry</t>
        </is>
      </c>
      <c r="C109" s="6" t="inlineStr">
        <is>
          <t>Owner</t>
        </is>
      </c>
      <c r="D109" s="7" t="inlineStr">
        <is>
          <t>Builds the wall, not the house</t>
        </is>
      </c>
      <c r="E109" s="8" t="n">
        <v>2</v>
      </c>
      <c r="F109" s="6" t="inlineStr">
        <is>
          <t>Builds the wall</t>
        </is>
      </c>
      <c r="G109" s="6" t="inlineStr">
        <is>
          <t>Dallas County and nearby cities</t>
        </is>
      </c>
      <c r="H109" s="6" t="inlineStr">
        <is>
          <t>Dallas family masonry firm, new-home construction</t>
        </is>
      </c>
      <c r="I109" s="8" t="inlineStr">
        <is>
          <t>Yes</t>
        </is>
      </c>
      <c r="J109" s="9" t="inlineStr">
        <is>
          <t>Brick and stone work on new homes and repairs, repeated across Dallas County residential jobs.</t>
        </is>
      </c>
      <c r="K109" s="8" t="inlineStr">
        <is>
          <t>Partly</t>
        </is>
      </c>
      <c r="L109" s="9" t="inlineStr">
        <is>
          <t>A local family firm with no published annual volume.</t>
        </is>
      </c>
      <c r="M109" s="8" t="inlineStr">
        <is>
          <t>No</t>
        </is>
      </c>
      <c r="N109" s="9" t="inlineStr">
        <is>
          <t>Nothing on record.</t>
        </is>
      </c>
      <c r="O109" s="6" t="inlineStr">
        <is>
          <t>https://www.linkedin.com/in/efren-de-hoyos-a26434234/</t>
        </is>
      </c>
      <c r="P109" s="6" t="inlineStr"/>
      <c r="Q109" s="11">
        <f>IF(O109="","ADD LINKEDIN","ok")</f>
        <v/>
      </c>
      <c r="R109" s="6" t="inlineStr">
        <is>
          <t>https://www.efrenmasonry.com/</t>
        </is>
      </c>
      <c r="S109" s="9" t="inlineStr">
        <is>
          <t>Lists new home construction among its core masonry services, with a phone on its own site.</t>
        </is>
      </c>
      <c r="T109" s="6" t="inlineStr">
        <is>
          <t>YES</t>
        </is>
      </c>
      <c r="U109" s="9" t="inlineStr">
        <is>
          <t>Indexed title reads Efren De Hoyos - Efren Masonry. Named on the firm's Google Sites page, which gives the same phone and email as efrenmasonry.com.</t>
        </is>
      </c>
      <c r="V109" s="6" t="inlineStr">
        <is>
          <t>https://sites.google.com/view/efrendehoyos/</t>
        </is>
      </c>
      <c r="W109" s="6" t="inlineStr"/>
      <c r="X109" s="6" t="inlineStr">
        <is>
          <t>https://sites.google.com/view/efrendehoyos/</t>
        </is>
      </c>
      <c r="Y109" s="6" t="inlineStr"/>
      <c r="Z109" s="6" t="inlineStr">
        <is>
          <t>(214) 278-4005</t>
        </is>
      </c>
      <c r="AA109" s="6" t="inlineStr">
        <is>
          <t>Main line</t>
        </is>
      </c>
      <c r="AB109" s="6" t="inlineStr">
        <is>
          <t>https://www.efrenmasonry.com/</t>
        </is>
      </c>
      <c r="AC109" s="6" t="inlineStr"/>
      <c r="AD109" s="6" t="inlineStr"/>
    </row>
    <row r="110">
      <c r="A110" s="12" t="inlineStr">
        <is>
          <t>David Grzesiak</t>
        </is>
      </c>
      <c r="B110" s="12" t="inlineStr">
        <is>
          <t>Fenimore-Blythe Commercial Masonry</t>
        </is>
      </c>
      <c r="C110" s="12" t="inlineStr">
        <is>
          <t>President and Preconstruction Manager</t>
        </is>
      </c>
      <c r="D110" s="13" t="inlineStr">
        <is>
          <t>Builds the wall, not the house</t>
        </is>
      </c>
      <c r="E110" s="14" t="n">
        <v>2</v>
      </c>
      <c r="F110" s="12" t="inlineStr">
        <is>
          <t>Builds the wall</t>
        </is>
      </c>
      <c r="G110" s="12" t="inlineStr">
        <is>
          <t>Fort Worth</t>
        </is>
      </c>
      <c r="H110" s="12" t="inlineStr">
        <is>
          <t>Fort Worth commercial masonry since 1945</t>
        </is>
      </c>
      <c r="I110" s="14" t="inlineStr">
        <is>
          <t>Yes</t>
        </is>
      </c>
      <c r="J110" s="15" t="inlineStr">
        <is>
          <t>CMU, brick veneer, stone and structural masonry repeated across DFW jobs since 1945.</t>
        </is>
      </c>
      <c r="K110" s="14" t="inlineStr">
        <is>
          <t>Partly</t>
        </is>
      </c>
      <c r="L110" s="15" t="inlineStr">
        <is>
          <t>Its work leans commercial and institutional rather than production housing.</t>
        </is>
      </c>
      <c r="M110" s="14" t="inlineStr">
        <is>
          <t>No</t>
        </is>
      </c>
      <c r="N110" s="15" t="inlineStr">
        <is>
          <t>Nothing on record about a new wall method.</t>
        </is>
      </c>
      <c r="O110" s="10" t="inlineStr"/>
      <c r="P110" s="12" t="inlineStr"/>
      <c r="Q110" s="16">
        <f>IF(O110="","ADD LINKEDIN","ok")</f>
        <v/>
      </c>
      <c r="R110" s="12" t="inlineStr">
        <is>
          <t>https://www.fenimoreblythe.com/</t>
        </is>
      </c>
      <c r="S110" s="15" t="inlineStr">
        <is>
          <t>Commercial and institutional masonry contractor whose president also runs preconstruction.</t>
        </is>
      </c>
      <c r="T110" s="12" t="inlineStr">
        <is>
          <t>YES</t>
        </is>
      </c>
      <c r="U110" s="15" t="inlineStr">
        <is>
          <t>Named on the firm's own team page as President and Preconstruction Manager, over operations, business development and preconstruction.</t>
        </is>
      </c>
      <c r="V110" s="12" t="inlineStr">
        <is>
          <t>https://www.fenimoreblythe.com/team/</t>
        </is>
      </c>
      <c r="W110" s="12" t="inlineStr">
        <is>
          <t>https://www.linkedin.com/company/fenimore-blythe-commercial-masonry/</t>
        </is>
      </c>
      <c r="X110" s="12" t="inlineStr">
        <is>
          <t>https://www.fenimoreblythe.com/team/</t>
        </is>
      </c>
      <c r="Y110" s="12" t="inlineStr"/>
      <c r="Z110" s="12" t="inlineStr">
        <is>
          <t>(817) 834-6301</t>
        </is>
      </c>
      <c r="AA110" s="12" t="inlineStr">
        <is>
          <t>Main office, Fort Worth</t>
        </is>
      </c>
      <c r="AB110" s="12" t="inlineStr">
        <is>
          <t>https://www.fenimoreblythe.com/contact/</t>
        </is>
      </c>
      <c r="AC110" s="12" t="inlineStr"/>
      <c r="AD110" s="12" t="inlineStr"/>
    </row>
    <row r="111">
      <c r="A111" s="6" t="inlineStr">
        <is>
          <t>Mark Grzesiak</t>
        </is>
      </c>
      <c r="B111" s="6" t="inlineStr">
        <is>
          <t>Fenimore-Blythe Commercial Masonry</t>
        </is>
      </c>
      <c r="C111" s="6" t="inlineStr">
        <is>
          <t>Chief Financial Officer</t>
        </is>
      </c>
      <c r="D111" s="7" t="inlineStr">
        <is>
          <t>Builds the wall, not the house</t>
        </is>
      </c>
      <c r="E111" s="8" t="n">
        <v>2</v>
      </c>
      <c r="F111" s="6" t="inlineStr">
        <is>
          <t>Builds the wall</t>
        </is>
      </c>
      <c r="G111" s="6" t="inlineStr">
        <is>
          <t>Fort Worth</t>
        </is>
      </c>
      <c r="H111" s="6" t="inlineStr">
        <is>
          <t>Fort Worth commercial masonry since 1945</t>
        </is>
      </c>
      <c r="I111" s="8" t="inlineStr">
        <is>
          <t>Yes</t>
        </is>
      </c>
      <c r="J111" s="9" t="inlineStr">
        <is>
          <t>CMU, brick veneer, stone and structural masonry repeated across DFW jobs since 1945.</t>
        </is>
      </c>
      <c r="K111" s="8" t="inlineStr">
        <is>
          <t>Partly</t>
        </is>
      </c>
      <c r="L111" s="9" t="inlineStr">
        <is>
          <t>Its work leans commercial and institutional rather than production housing.</t>
        </is>
      </c>
      <c r="M111" s="8" t="inlineStr">
        <is>
          <t>No</t>
        </is>
      </c>
      <c r="N111" s="9" t="inlineStr">
        <is>
          <t>Nothing on record about a new wall method.</t>
        </is>
      </c>
      <c r="O111" s="10" t="inlineStr"/>
      <c r="P111" s="6" t="inlineStr"/>
      <c r="Q111" s="11">
        <f>IF(O111="","ADD LINKEDIN","ok")</f>
        <v/>
      </c>
      <c r="R111" s="6" t="inlineStr">
        <is>
          <t>https://www.fenimoreblythe.com/</t>
        </is>
      </c>
      <c r="S111" s="9" t="inlineStr">
        <is>
          <t>Commercial and institutional masonry contractor whose president also runs preconstruction.</t>
        </is>
      </c>
      <c r="T111" s="6" t="inlineStr">
        <is>
          <t>YES</t>
        </is>
      </c>
      <c r="U111" s="9" t="inlineStr">
        <is>
          <t>Named on the firm's own team page as CFO, who bought the firm in 1999.</t>
        </is>
      </c>
      <c r="V111" s="6" t="inlineStr">
        <is>
          <t>https://www.fenimoreblythe.com/team/</t>
        </is>
      </c>
      <c r="W111" s="6" t="inlineStr">
        <is>
          <t>https://www.linkedin.com/company/fenimore-blythe-commercial-masonry/</t>
        </is>
      </c>
      <c r="X111" s="6" t="inlineStr">
        <is>
          <t>https://www.fenimoreblythe.com/team/</t>
        </is>
      </c>
      <c r="Y111" s="6" t="inlineStr"/>
      <c r="Z111" s="6" t="inlineStr">
        <is>
          <t>(817) 834-6301</t>
        </is>
      </c>
      <c r="AA111" s="6" t="inlineStr">
        <is>
          <t>Main office, Fort Worth</t>
        </is>
      </c>
      <c r="AB111" s="6" t="inlineStr">
        <is>
          <t>https://www.fenimoreblythe.com/contact/</t>
        </is>
      </c>
      <c r="AC111" s="6" t="inlineStr"/>
      <c r="AD111" s="6" t="inlineStr"/>
    </row>
    <row r="112">
      <c r="A112" s="12" t="inlineStr">
        <is>
          <t>no contact identified</t>
        </is>
      </c>
      <c r="B112" s="12" t="inlineStr">
        <is>
          <t>General Contractors of DFW</t>
        </is>
      </c>
      <c r="C112" s="12" t="inlineStr"/>
      <c r="D112" s="13" t="inlineStr">
        <is>
          <t>Builds the wall, not the house</t>
        </is>
      </c>
      <c r="E112" s="14" t="n">
        <v>2</v>
      </c>
      <c r="F112" s="12" t="inlineStr">
        <is>
          <t>Builds the wall</t>
        </is>
      </c>
      <c r="G112" s="12" t="inlineStr">
        <is>
          <t>Dallas-Fort Worth</t>
        </is>
      </c>
      <c r="H112" s="12" t="inlineStr">
        <is>
          <t>DFW tilt-wall general contractor</t>
        </is>
      </c>
      <c r="I112" s="14" t="inlineStr">
        <is>
          <t>Yes</t>
        </is>
      </c>
      <c r="J112" s="15" t="inlineStr">
        <is>
          <t>Tilt-wall panels cast and erected as a repeated DFW service, per its services page.</t>
        </is>
      </c>
      <c r="K112" s="14" t="inlineStr">
        <is>
          <t>Partly</t>
        </is>
      </c>
      <c r="L112" s="15" t="inlineStr">
        <is>
          <t>No published volume figure.</t>
        </is>
      </c>
      <c r="M112" s="14" t="inlineStr">
        <is>
          <t>No</t>
        </is>
      </c>
      <c r="N112" s="15" t="inlineStr">
        <is>
          <t>Nothing on record beyond conventional tilt-wall.</t>
        </is>
      </c>
      <c r="O112" s="10" t="inlineStr"/>
      <c r="P112" s="12" t="inlineStr"/>
      <c r="Q112" s="16">
        <f>IF(O112="","ADD LINKEDIN","ok")</f>
        <v/>
      </c>
      <c r="R112" s="12" t="inlineStr">
        <is>
          <t>https://generalcontractorsofdfw.com/</t>
        </is>
      </c>
      <c r="S112" s="15" t="inlineStr">
        <is>
          <t>Markets tilt-wall panel layout, casting, crane work and envelope turnover as one scope.</t>
        </is>
      </c>
      <c r="T112" s="12" t="inlineStr"/>
      <c r="U112" s="15" t="inlineStr"/>
      <c r="V112" s="12" t="inlineStr"/>
      <c r="W112" s="12" t="inlineStr"/>
      <c r="X112" s="12" t="inlineStr"/>
      <c r="Y112" s="12" t="inlineStr"/>
      <c r="Z112" s="12" t="inlineStr">
        <is>
          <t>(214) 307-9841</t>
        </is>
      </c>
      <c r="AA112" s="12" t="inlineStr">
        <is>
          <t>Main line</t>
        </is>
      </c>
      <c r="AB112" s="12" t="inlineStr">
        <is>
          <t>https://generalcontractorsofdfw.com/services/tilt-wall-construction</t>
        </is>
      </c>
      <c r="AC112" s="12" t="inlineStr"/>
      <c r="AD112" s="12" t="inlineStr"/>
    </row>
    <row r="113">
      <c r="A113" s="6" t="inlineStr">
        <is>
          <t>no contact identified</t>
        </is>
      </c>
      <c r="B113" s="6" t="inlineStr">
        <is>
          <t>Grapevine Masonry (HNS Masonry)</t>
        </is>
      </c>
      <c r="C113" s="6" t="inlineStr"/>
      <c r="D113" s="7" t="inlineStr">
        <is>
          <t>Builds the wall, not the house</t>
        </is>
      </c>
      <c r="E113" s="8" t="n">
        <v>2</v>
      </c>
      <c r="F113" s="6" t="inlineStr">
        <is>
          <t>Builds the wall</t>
        </is>
      </c>
      <c r="G113" s="6" t="inlineStr">
        <is>
          <t>Southlake, serving Grapevine and the mid-cities</t>
        </is>
      </c>
      <c r="H113" s="6" t="inlineStr">
        <is>
          <t>Mid-cities residential brick and stone, HNS division</t>
        </is>
      </c>
      <c r="I113" s="8" t="inlineStr">
        <is>
          <t>Yes</t>
        </is>
      </c>
      <c r="J113" s="9" t="inlineStr">
        <is>
          <t>Brick and stone veneer and repair repeated across mid-cities residential jobs.</t>
        </is>
      </c>
      <c r="K113" s="8" t="inlineStr">
        <is>
          <t>Partly</t>
        </is>
      </c>
      <c r="L113" s="9" t="inlineStr">
        <is>
          <t>No published volume figure, and its work mixes repair with new veneer.</t>
        </is>
      </c>
      <c r="M113" s="8" t="inlineStr">
        <is>
          <t>No</t>
        </is>
      </c>
      <c r="N113" s="9" t="inlineStr">
        <is>
          <t>Nothing on record.</t>
        </is>
      </c>
      <c r="O113" s="10" t="inlineStr"/>
      <c r="P113" s="6" t="inlineStr"/>
      <c r="Q113" s="11">
        <f>IF(O113="","ADD LINKEDIN","ok")</f>
        <v/>
      </c>
      <c r="R113" s="6" t="inlineStr">
        <is>
          <t>https://grapevine-masonry.com/</t>
        </is>
      </c>
      <c r="S113" s="9" t="inlineStr">
        <is>
          <t>Installs brick and stone veneer on new custom homes, alongside repair work.</t>
        </is>
      </c>
      <c r="T113" s="6" t="inlineStr"/>
      <c r="U113" s="9" t="inlineStr"/>
      <c r="V113" s="6" t="inlineStr"/>
      <c r="W113" s="6" t="inlineStr"/>
      <c r="X113" s="6" t="inlineStr"/>
      <c r="Y113" s="6" t="inlineStr"/>
      <c r="Z113" s="6" t="inlineStr">
        <is>
          <t>(682) 688-8436</t>
        </is>
      </c>
      <c r="AA113" s="6" t="inlineStr">
        <is>
          <t>Main office, Southlake</t>
        </is>
      </c>
      <c r="AB113" s="6" t="inlineStr">
        <is>
          <t>https://grapevine-masonry.com/</t>
        </is>
      </c>
      <c r="AC113" s="6" t="inlineStr"/>
      <c r="AD113" s="6" t="inlineStr"/>
    </row>
    <row r="114">
      <c r="A114" s="12" t="inlineStr">
        <is>
          <t>no contact identified</t>
        </is>
      </c>
      <c r="B114" s="12" t="inlineStr">
        <is>
          <t>Originally Masonry</t>
        </is>
      </c>
      <c r="C114" s="12" t="inlineStr"/>
      <c r="D114" s="13" t="inlineStr">
        <is>
          <t>Builds the wall, not the house</t>
        </is>
      </c>
      <c r="E114" s="14" t="n">
        <v>2</v>
      </c>
      <c r="F114" s="12" t="inlineStr">
        <is>
          <t>Builds the wall</t>
        </is>
      </c>
      <c r="G114" s="12" t="inlineStr">
        <is>
          <t>Grand Prairie, working across DFW</t>
        </is>
      </c>
      <c r="H114" s="12" t="inlineStr">
        <is>
          <t>Grand Prairie masonry, new-construction brick and stone exteriors</t>
        </is>
      </c>
      <c r="I114" s="14" t="inlineStr">
        <is>
          <t>Yes</t>
        </is>
      </c>
      <c r="J114" s="15" t="inlineStr">
        <is>
          <t>Brick, stone and block walls built repeatedly on DFW residential and light commercial jobs from Grand Prairie.</t>
        </is>
      </c>
      <c r="K114" s="14" t="inlineStr">
        <is>
          <t>Partly</t>
        </is>
      </c>
      <c r="L114" s="15" t="inlineStr">
        <is>
          <t>No annual count is published.</t>
        </is>
      </c>
      <c r="M114" s="14" t="inlineStr">
        <is>
          <t>No</t>
        </is>
      </c>
      <c r="N114" s="15" t="inlineStr">
        <is>
          <t>Conventional masonry. Nothing on record for a new wall method.</t>
        </is>
      </c>
      <c r="O114" s="10" t="inlineStr"/>
      <c r="P114" s="12" t="inlineStr"/>
      <c r="Q114" s="16">
        <f>IF(O114="","ADD LINKEDIN","ok")</f>
        <v/>
      </c>
      <c r="R114" s="12" t="inlineStr">
        <is>
          <t>https://originallymasonry.com/</t>
        </is>
      </c>
      <c r="S114" s="15" t="inlineStr">
        <is>
          <t>Builds brick and stone exteriors on new homes across DFW, and also takes commercial work. No owner or officer is named on its site.</t>
        </is>
      </c>
      <c r="T114" s="12" t="inlineStr"/>
      <c r="U114" s="15" t="inlineStr"/>
      <c r="V114" s="12" t="inlineStr"/>
      <c r="W114" s="12" t="inlineStr"/>
      <c r="X114" s="12" t="inlineStr">
        <is>
          <t>https://originallymasonry.com/</t>
        </is>
      </c>
      <c r="Y114" s="12" t="inlineStr"/>
      <c r="Z114" s="12" t="inlineStr">
        <is>
          <t>(214) 609-6292</t>
        </is>
      </c>
      <c r="AA114" s="12" t="inlineStr">
        <is>
          <t>Grand Prairie office</t>
        </is>
      </c>
      <c r="AB114" s="12" t="inlineStr">
        <is>
          <t>https://originallymasonry.com/</t>
        </is>
      </c>
      <c r="AC114" s="12" t="inlineStr"/>
      <c r="AD114" s="12" t="inlineStr"/>
    </row>
    <row r="115">
      <c r="A115" s="6" t="inlineStr">
        <is>
          <t>Derek Tuttle</t>
        </is>
      </c>
      <c r="B115" s="6" t="inlineStr">
        <is>
          <t>Post-Tension Services</t>
        </is>
      </c>
      <c r="C115" s="6" t="inlineStr">
        <is>
          <t>President</t>
        </is>
      </c>
      <c r="D115" s="7" t="inlineStr">
        <is>
          <t>Builds the wall, not the house</t>
        </is>
      </c>
      <c r="E115" s="8" t="n">
        <v>2</v>
      </c>
      <c r="F115" s="6" t="inlineStr">
        <is>
          <t>Builds the wall</t>
        </is>
      </c>
      <c r="G115" s="6" t="inlineStr">
        <is>
          <t>Dallas headquarters, working across DFW and Texas</t>
        </is>
      </c>
      <c r="H115" s="6" t="inlineStr">
        <is>
          <t>Dallas post-tension headquarters, residential slabs</t>
        </is>
      </c>
      <c r="I115" s="8" t="inlineStr">
        <is>
          <t>Yes</t>
        </is>
      </c>
      <c r="J115" s="9" t="inlineStr">
        <is>
          <t>Post-tension slab packages repeated for production and custom builders across DFW.</t>
        </is>
      </c>
      <c r="K115" s="8" t="inlineStr">
        <is>
          <t>Partly</t>
        </is>
      </c>
      <c r="L115" s="9" t="inlineStr">
        <is>
          <t>No published home count, and it works across several states.</t>
        </is>
      </c>
      <c r="M115" s="8" t="inlineStr">
        <is>
          <t>No</t>
        </is>
      </c>
      <c r="N115" s="9" t="inlineStr">
        <is>
          <t>Nothing on record about a new wall method.</t>
        </is>
      </c>
      <c r="O115" s="10" t="inlineStr"/>
      <c r="P115" s="6" t="inlineStr"/>
      <c r="Q115" s="11">
        <f>IF(O115="","ADD LINKEDIN","ok")</f>
        <v/>
      </c>
      <c r="R115" s="6" t="inlineStr">
        <is>
          <t>https://post-tension.com/</t>
        </is>
      </c>
      <c r="S115" s="9" t="inlineStr">
        <is>
          <t>Supplies and installs post-tension slab foundations for production and custom builders. The work is under the wall, not in it.</t>
        </is>
      </c>
      <c r="T115" s="6" t="inlineStr">
        <is>
          <t>YES</t>
        </is>
      </c>
      <c r="U115" s="9" t="inlineStr">
        <is>
          <t>Named on the firm's own Meet Our Team page as President.</t>
        </is>
      </c>
      <c r="V115" s="6" t="inlineStr">
        <is>
          <t>https://post-tension.com/about/</t>
        </is>
      </c>
      <c r="W115" s="6" t="inlineStr">
        <is>
          <t>https://www.linkedin.com/company/post-tension-services-of-texas/</t>
        </is>
      </c>
      <c r="X115" s="6" t="inlineStr"/>
      <c r="Y115" s="6" t="inlineStr"/>
      <c r="Z115" s="6" t="inlineStr">
        <is>
          <t>(972) 845-5500</t>
        </is>
      </c>
      <c r="AA115" s="6" t="inlineStr">
        <is>
          <t>Headquarters, Dallas</t>
        </is>
      </c>
      <c r="AB115" s="6" t="inlineStr">
        <is>
          <t>https://post-tension.com/post-tension-concrete-slab-construction/</t>
        </is>
      </c>
      <c r="AC115" s="6" t="inlineStr"/>
      <c r="AD115" s="6" t="inlineStr"/>
    </row>
    <row r="116">
      <c r="A116" s="12" t="inlineStr">
        <is>
          <t>Justin Zuckerbrow</t>
        </is>
      </c>
      <c r="B116" s="12" t="inlineStr">
        <is>
          <t>Post-Tension Services</t>
        </is>
      </c>
      <c r="C116" s="12" t="inlineStr">
        <is>
          <t>Vice President</t>
        </is>
      </c>
      <c r="D116" s="13" t="inlineStr">
        <is>
          <t>Builds the wall, not the house</t>
        </is>
      </c>
      <c r="E116" s="14" t="n">
        <v>2</v>
      </c>
      <c r="F116" s="12" t="inlineStr">
        <is>
          <t>Builds the wall</t>
        </is>
      </c>
      <c r="G116" s="12" t="inlineStr">
        <is>
          <t>Dallas headquarters, working across DFW and Texas</t>
        </is>
      </c>
      <c r="H116" s="12" t="inlineStr">
        <is>
          <t>Dallas post-tension headquarters, residential slabs</t>
        </is>
      </c>
      <c r="I116" s="14" t="inlineStr">
        <is>
          <t>Yes</t>
        </is>
      </c>
      <c r="J116" s="15" t="inlineStr">
        <is>
          <t>Post-tension slab packages repeated for production and custom builders across DFW.</t>
        </is>
      </c>
      <c r="K116" s="14" t="inlineStr">
        <is>
          <t>Partly</t>
        </is>
      </c>
      <c r="L116" s="15" t="inlineStr">
        <is>
          <t>No published home count, and it works across several states.</t>
        </is>
      </c>
      <c r="M116" s="14" t="inlineStr">
        <is>
          <t>No</t>
        </is>
      </c>
      <c r="N116" s="15" t="inlineStr">
        <is>
          <t>Nothing on record about a new wall method.</t>
        </is>
      </c>
      <c r="O116" s="6" t="inlineStr">
        <is>
          <t>https://www.linkedin.com/in/justin-zuckerbrow-033a429/</t>
        </is>
      </c>
      <c r="P116" s="12" t="inlineStr"/>
      <c r="Q116" s="16">
        <f>IF(O116="","ADD LINKEDIN","ok")</f>
        <v/>
      </c>
      <c r="R116" s="12" t="inlineStr">
        <is>
          <t>https://post-tension.com/</t>
        </is>
      </c>
      <c r="S116" s="15" t="inlineStr">
        <is>
          <t>Supplies and installs post-tension slab foundations for production and custom builders. The work is under the wall, not in it.</t>
        </is>
      </c>
      <c r="T116" s="12" t="inlineStr"/>
      <c r="U116" s="15" t="inlineStr">
        <is>
          <t>Indexed title reads Justin Zuckerbrow - Vice President and Owner at Post-Tension Services. Named on the firm's own Meet Our Team page as Vice President.</t>
        </is>
      </c>
      <c r="V116" s="12" t="inlineStr">
        <is>
          <t>https://post-tension.com/about/</t>
        </is>
      </c>
      <c r="W116" s="12" t="inlineStr">
        <is>
          <t>https://www.linkedin.com/company/post-tension-services-of-texas/</t>
        </is>
      </c>
      <c r="X116" s="12" t="inlineStr"/>
      <c r="Y116" s="12" t="inlineStr"/>
      <c r="Z116" s="12" t="inlineStr">
        <is>
          <t>(972) 845-5500</t>
        </is>
      </c>
      <c r="AA116" s="12" t="inlineStr">
        <is>
          <t>Headquarters, Dallas</t>
        </is>
      </c>
      <c r="AB116" s="12" t="inlineStr">
        <is>
          <t>https://post-tension.com/post-tension-concrete-slab-construction/</t>
        </is>
      </c>
      <c r="AC116" s="12" t="inlineStr"/>
      <c r="AD116" s="12" t="inlineStr"/>
    </row>
    <row r="117">
      <c r="A117" s="6" t="inlineStr">
        <is>
          <t>Mike Freeman</t>
        </is>
      </c>
      <c r="B117" s="6" t="inlineStr">
        <is>
          <t>Steele &amp; Freeman, Inc.</t>
        </is>
      </c>
      <c r="C117" s="6" t="inlineStr">
        <is>
          <t>Chief Executive Officer</t>
        </is>
      </c>
      <c r="D117" s="7" t="inlineStr">
        <is>
          <t>Builds the wall, not the house</t>
        </is>
      </c>
      <c r="E117" s="8" t="n">
        <v>2</v>
      </c>
      <c r="F117" s="6" t="inlineStr">
        <is>
          <t>Builds the wall</t>
        </is>
      </c>
      <c r="G117" s="6" t="inlineStr">
        <is>
          <t>Fort Worth, working across North Texas and southern Oklahoma</t>
        </is>
      </c>
      <c r="H117" s="6" t="inlineStr">
        <is>
          <t>$175.3 million in 2020 volume, its own figure</t>
        </is>
      </c>
      <c r="I117" s="8" t="inlineStr">
        <is>
          <t>Yes</t>
        </is>
      </c>
      <c r="J117" s="9" t="inlineStr">
        <is>
          <t>Commercial and institutional shells repeated across North Texas from a Fort Worth base.</t>
        </is>
      </c>
      <c r="K117" s="8" t="inlineStr">
        <is>
          <t>Partly</t>
        </is>
      </c>
      <c r="L117" s="9" t="inlineStr">
        <is>
          <t>$175.3 million in 2020 is commercial volume, not homes, and purchasing sits with named local owners rather than a national desk.</t>
        </is>
      </c>
      <c r="M117" s="8" t="inlineStr">
        <is>
          <t>No</t>
        </is>
      </c>
      <c r="N117" s="9" t="inlineStr">
        <is>
          <t>Nothing on record about wall method.</t>
        </is>
      </c>
      <c r="O117" s="10" t="inlineStr"/>
      <c r="P117" s="6" t="inlineStr"/>
      <c r="Q117" s="11">
        <f>IF(O117="","ADD LINKEDIN","ok")</f>
        <v/>
      </c>
      <c r="R117" s="6" t="inlineStr">
        <is>
          <t>https://steelefreeman.com/</t>
        </is>
      </c>
      <c r="S117" s="9" t="inlineStr">
        <is>
          <t>Owner-run Fort Worth general contractor, with purchasing held by the Freeman family rather than a national desk.</t>
        </is>
      </c>
      <c r="T117" s="6" t="inlineStr">
        <is>
          <t>YES</t>
        </is>
      </c>
      <c r="U117" s="9" t="inlineStr">
        <is>
          <t>Named on the firm's own about page as CEO, second generation, who bought the company in 2005.</t>
        </is>
      </c>
      <c r="V117" s="6" t="inlineStr">
        <is>
          <t>https://steelefreeman.com/about-us/</t>
        </is>
      </c>
      <c r="W117" s="6" t="inlineStr">
        <is>
          <t>https://www.linkedin.com/company/steele-freeman-inc/</t>
        </is>
      </c>
      <c r="X117" s="6" t="inlineStr">
        <is>
          <t>https://steelefreeman.com/about-us/</t>
        </is>
      </c>
      <c r="Y117" s="6" t="inlineStr"/>
      <c r="Z117" s="6" t="inlineStr">
        <is>
          <t>(817) 232-4742</t>
        </is>
      </c>
      <c r="AA117" s="6" t="inlineStr">
        <is>
          <t>Main office, Fort Worth</t>
        </is>
      </c>
      <c r="AB117" s="6" t="inlineStr">
        <is>
          <t>https://steelefreeman.com/about-us/</t>
        </is>
      </c>
      <c r="AC117" s="6" t="inlineStr"/>
      <c r="AD117" s="6" t="inlineStr"/>
    </row>
    <row r="118">
      <c r="A118" s="12" t="inlineStr">
        <is>
          <t>Reilly Freeman</t>
        </is>
      </c>
      <c r="B118" s="12" t="inlineStr">
        <is>
          <t>Steele &amp; Freeman, Inc.</t>
        </is>
      </c>
      <c r="C118" s="12" t="inlineStr">
        <is>
          <t>President</t>
        </is>
      </c>
      <c r="D118" s="13" t="inlineStr">
        <is>
          <t>Builds the wall, not the house</t>
        </is>
      </c>
      <c r="E118" s="14" t="n">
        <v>2</v>
      </c>
      <c r="F118" s="12" t="inlineStr">
        <is>
          <t>Builds the wall</t>
        </is>
      </c>
      <c r="G118" s="12" t="inlineStr">
        <is>
          <t>Fort Worth, working across North Texas and southern Oklahoma</t>
        </is>
      </c>
      <c r="H118" s="12" t="inlineStr">
        <is>
          <t>$175.3 million in 2020 volume, its own figure</t>
        </is>
      </c>
      <c r="I118" s="14" t="inlineStr">
        <is>
          <t>Yes</t>
        </is>
      </c>
      <c r="J118" s="15" t="inlineStr">
        <is>
          <t>Commercial and institutional shells repeated across North Texas from a Fort Worth base.</t>
        </is>
      </c>
      <c r="K118" s="14" t="inlineStr">
        <is>
          <t>Partly</t>
        </is>
      </c>
      <c r="L118" s="15" t="inlineStr">
        <is>
          <t>$175.3 million in 2020 is commercial volume, not homes, and purchasing sits with named local owners rather than a national desk.</t>
        </is>
      </c>
      <c r="M118" s="14" t="inlineStr">
        <is>
          <t>No</t>
        </is>
      </c>
      <c r="N118" s="15" t="inlineStr">
        <is>
          <t>Nothing on record about wall method.</t>
        </is>
      </c>
      <c r="O118" s="10" t="inlineStr"/>
      <c r="P118" s="12" t="inlineStr"/>
      <c r="Q118" s="16">
        <f>IF(O118="","ADD LINKEDIN","ok")</f>
        <v/>
      </c>
      <c r="R118" s="12" t="inlineStr">
        <is>
          <t>https://steelefreeman.com/</t>
        </is>
      </c>
      <c r="S118" s="15" t="inlineStr">
        <is>
          <t>Owner-run Fort Worth general contractor, with purchasing held by the Freeman family rather than a national desk.</t>
        </is>
      </c>
      <c r="T118" s="12" t="inlineStr">
        <is>
          <t>YES</t>
        </is>
      </c>
      <c r="U118" s="15" t="inlineStr">
        <is>
          <t>Named on the about page as President, over day-to-day operations and client relationships.</t>
        </is>
      </c>
      <c r="V118" s="12" t="inlineStr">
        <is>
          <t>https://steelefreeman.com/about-us/</t>
        </is>
      </c>
      <c r="W118" s="12" t="inlineStr">
        <is>
          <t>https://www.linkedin.com/company/steele-freeman-inc/</t>
        </is>
      </c>
      <c r="X118" s="12" t="inlineStr">
        <is>
          <t>https://steelefreeman.com/about-us/</t>
        </is>
      </c>
      <c r="Y118" s="12" t="inlineStr"/>
      <c r="Z118" s="12" t="inlineStr">
        <is>
          <t>(817) 232-4742</t>
        </is>
      </c>
      <c r="AA118" s="12" t="inlineStr">
        <is>
          <t>Main office, Fort Worth</t>
        </is>
      </c>
      <c r="AB118" s="12" t="inlineStr">
        <is>
          <t>https://steelefreeman.com/about-us/</t>
        </is>
      </c>
      <c r="AC118" s="12" t="inlineStr"/>
      <c r="AD118" s="12" t="inlineStr"/>
    </row>
    <row r="119">
      <c r="A119" s="6" t="inlineStr">
        <is>
          <t>Warren Nugent</t>
        </is>
      </c>
      <c r="B119" s="6" t="inlineStr">
        <is>
          <t>Texcon, LLC</t>
        </is>
      </c>
      <c r="C119" s="6" t="inlineStr">
        <is>
          <t>Owner, Founder and CEO</t>
        </is>
      </c>
      <c r="D119" s="7" t="inlineStr">
        <is>
          <t>Builds the wall, not the house</t>
        </is>
      </c>
      <c r="E119" s="8" t="n">
        <v>2</v>
      </c>
      <c r="F119" s="6" t="inlineStr">
        <is>
          <t>Builds the wall</t>
        </is>
      </c>
      <c r="G119" s="6" t="inlineStr">
        <is>
          <t>Dallas, tilt-wall and site paving across DFW</t>
        </is>
      </c>
      <c r="H119" s="6" t="inlineStr">
        <is>
          <t>Dallas tilt-wall and site-paving contractor</t>
        </is>
      </c>
      <c r="I119" s="8" t="inlineStr">
        <is>
          <t>Yes</t>
        </is>
      </c>
      <c r="J119" s="9" t="inlineStr">
        <is>
          <t>Tilt-wall panels cast and erected repeatedly for DFW commercial and industrial shells.</t>
        </is>
      </c>
      <c r="K119" s="8" t="inlineStr">
        <is>
          <t>Partly</t>
        </is>
      </c>
      <c r="L119" s="9" t="inlineStr">
        <is>
          <t>No annual panel or square-footage figure is published.</t>
        </is>
      </c>
      <c r="M119" s="8" t="inlineStr">
        <is>
          <t>No</t>
        </is>
      </c>
      <c r="N119" s="9" t="inlineStr">
        <is>
          <t>Nothing on record beyond conventional tilt-up.</t>
        </is>
      </c>
      <c r="O119" s="10" t="inlineStr"/>
      <c r="P119" s="6" t="inlineStr"/>
      <c r="Q119" s="11">
        <f>IF(O119="","ADD LINKEDIN","ok")</f>
        <v/>
      </c>
      <c r="R119" s="6" t="inlineStr">
        <is>
          <t>https://texconllc.com/</t>
        </is>
      </c>
      <c r="S119" s="9" t="inlineStr">
        <is>
          <t>Casts and erects tilt-wall panels on site for commercial and industrial shells in DFW.</t>
        </is>
      </c>
      <c r="T119" s="6" t="inlineStr">
        <is>
          <t>YES</t>
        </is>
      </c>
      <c r="U119" s="9" t="inlineStr">
        <is>
          <t>Named on the firm's about page as owner, founder and CEO of Texas Excavation &amp; Concrete.</t>
        </is>
      </c>
      <c r="V119" s="6" t="inlineStr">
        <is>
          <t>https://texconllc.com/about/</t>
        </is>
      </c>
      <c r="W119" s="6" t="inlineStr">
        <is>
          <t>https://www.linkedin.com/company/texcon-llc/</t>
        </is>
      </c>
      <c r="X119" s="6" t="inlineStr">
        <is>
          <t>https://texconllc.com/about/</t>
        </is>
      </c>
      <c r="Y119" s="6" t="inlineStr"/>
      <c r="Z119" s="6" t="inlineStr">
        <is>
          <t>(972) 483-9266</t>
        </is>
      </c>
      <c r="AA119" s="6" t="inlineStr">
        <is>
          <t>Office, Dallas</t>
        </is>
      </c>
      <c r="AB119" s="6" t="inlineStr">
        <is>
          <t>https://texconllc.com/contact-us/</t>
        </is>
      </c>
      <c r="AC119" s="6" t="inlineStr"/>
      <c r="AD119" s="6" t="inlineStr"/>
    </row>
    <row r="120">
      <c r="A120" s="12" t="inlineStr">
        <is>
          <t>Farris Wilks</t>
        </is>
      </c>
      <c r="B120" s="12" t="inlineStr">
        <is>
          <t>Wilks Masonry</t>
        </is>
      </c>
      <c r="C120" s="12" t="inlineStr">
        <is>
          <t>Co-founder</t>
        </is>
      </c>
      <c r="D120" s="13" t="inlineStr">
        <is>
          <t>Builds the wall, not the house</t>
        </is>
      </c>
      <c r="E120" s="14" t="n">
        <v>2</v>
      </c>
      <c r="F120" s="12" t="inlineStr">
        <is>
          <t>Builds the wall</t>
        </is>
      </c>
      <c r="G120" s="12" t="inlineStr">
        <is>
          <t>Fort Worth, working across DFW</t>
        </is>
      </c>
      <c r="H120" s="12" t="inlineStr">
        <is>
          <t>Fort Worth commercial masonry and precast installer, founded 1995</t>
        </is>
      </c>
      <c r="I120" s="14" t="inlineStr">
        <is>
          <t>Yes</t>
        </is>
      </c>
      <c r="J120" s="15" t="inlineStr">
        <is>
          <t>Commercial masonry walls repeated across Fort Worth and DFW jobs.</t>
        </is>
      </c>
      <c r="K120" s="14" t="inlineStr">
        <is>
          <t>Partly</t>
        </is>
      </c>
      <c r="L120" s="15" t="inlineStr">
        <is>
          <t>No published volume, and a local commercial specialty firm.</t>
        </is>
      </c>
      <c r="M120" s="14" t="inlineStr">
        <is>
          <t>No</t>
        </is>
      </c>
      <c r="N120" s="15" t="inlineStr">
        <is>
          <t>Nothing on record about a new wall method.</t>
        </is>
      </c>
      <c r="O120" s="10" t="inlineStr"/>
      <c r="P120" s="12" t="inlineStr"/>
      <c r="Q120" s="16">
        <f>IF(O120="","ADD LINKEDIN","ok")</f>
        <v/>
      </c>
      <c r="R120" s="12" t="inlineStr">
        <is>
          <t>https://www.wilksmasonry.com/</t>
        </is>
      </c>
      <c r="S120" s="15" t="inlineStr">
        <is>
          <t>Puts up masonry and precast walls on Metroplex commercial projects.</t>
        </is>
      </c>
      <c r="T120" s="12" t="inlineStr">
        <is>
          <t>YES</t>
        </is>
      </c>
      <c r="U120" s="15" t="inlineStr">
        <is>
          <t>Named on the firm's own history page as co-founder, with his brother Dan, in 1995.</t>
        </is>
      </c>
      <c r="V120" s="12" t="inlineStr">
        <is>
          <t>https://www.wilksmasonry.com/history</t>
        </is>
      </c>
      <c r="W120" s="12" t="inlineStr">
        <is>
          <t>https://www.linkedin.com/company/wilks-masonry-corp/</t>
        </is>
      </c>
      <c r="X120" s="12" t="inlineStr"/>
      <c r="Y120" s="12" t="inlineStr"/>
      <c r="Z120" s="12" t="inlineStr">
        <is>
          <t>(682) 587-8150</t>
        </is>
      </c>
      <c r="AA120" s="12" t="inlineStr">
        <is>
          <t>Front desk, Fort Worth</t>
        </is>
      </c>
      <c r="AB120" s="12" t="inlineStr">
        <is>
          <t>https://www.wilksmasonry.com/contact</t>
        </is>
      </c>
      <c r="AC120" s="12" t="inlineStr"/>
      <c r="AD120" s="12" t="inlineStr"/>
    </row>
    <row r="121">
      <c r="A121" s="6" t="inlineStr">
        <is>
          <t>Dan Wilks</t>
        </is>
      </c>
      <c r="B121" s="6" t="inlineStr">
        <is>
          <t>Wilks Masonry</t>
        </is>
      </c>
      <c r="C121" s="6" t="inlineStr">
        <is>
          <t>Co-founder</t>
        </is>
      </c>
      <c r="D121" s="7" t="inlineStr">
        <is>
          <t>Builds the wall, not the house</t>
        </is>
      </c>
      <c r="E121" s="8" t="n">
        <v>2</v>
      </c>
      <c r="F121" s="6" t="inlineStr">
        <is>
          <t>Builds the wall</t>
        </is>
      </c>
      <c r="G121" s="6" t="inlineStr">
        <is>
          <t>Fort Worth, working across DFW</t>
        </is>
      </c>
      <c r="H121" s="6" t="inlineStr">
        <is>
          <t>Fort Worth commercial masonry and precast installer, founded 1995</t>
        </is>
      </c>
      <c r="I121" s="8" t="inlineStr">
        <is>
          <t>Yes</t>
        </is>
      </c>
      <c r="J121" s="9" t="inlineStr">
        <is>
          <t>Commercial masonry walls repeated across Fort Worth and DFW jobs.</t>
        </is>
      </c>
      <c r="K121" s="8" t="inlineStr">
        <is>
          <t>Partly</t>
        </is>
      </c>
      <c r="L121" s="9" t="inlineStr">
        <is>
          <t>No published volume, and a local commercial specialty firm.</t>
        </is>
      </c>
      <c r="M121" s="8" t="inlineStr">
        <is>
          <t>No</t>
        </is>
      </c>
      <c r="N121" s="9" t="inlineStr">
        <is>
          <t>Nothing on record about a new wall method.</t>
        </is>
      </c>
      <c r="O121" s="10" t="inlineStr"/>
      <c r="P121" s="6" t="inlineStr"/>
      <c r="Q121" s="11">
        <f>IF(O121="","ADD LINKEDIN","ok")</f>
        <v/>
      </c>
      <c r="R121" s="6" t="inlineStr">
        <is>
          <t>https://www.wilksmasonry.com/</t>
        </is>
      </c>
      <c r="S121" s="9" t="inlineStr">
        <is>
          <t>Puts up masonry and precast walls on Metroplex commercial projects.</t>
        </is>
      </c>
      <c r="T121" s="6" t="inlineStr">
        <is>
          <t>YES</t>
        </is>
      </c>
      <c r="U121" s="9" t="inlineStr">
        <is>
          <t>Named on the same history page as co-founder, with his brother Farris.</t>
        </is>
      </c>
      <c r="V121" s="6" t="inlineStr">
        <is>
          <t>https://www.wilksmasonry.com/history</t>
        </is>
      </c>
      <c r="W121" s="6" t="inlineStr">
        <is>
          <t>https://www.linkedin.com/company/wilks-masonry-corp/</t>
        </is>
      </c>
      <c r="X121" s="6" t="inlineStr"/>
      <c r="Y121" s="6" t="inlineStr"/>
      <c r="Z121" s="6" t="inlineStr">
        <is>
          <t>(682) 587-8150</t>
        </is>
      </c>
      <c r="AA121" s="6" t="inlineStr">
        <is>
          <t>Front desk, Fort Worth</t>
        </is>
      </c>
      <c r="AB121" s="6" t="inlineStr">
        <is>
          <t>https://www.wilksmasonry.com/contact</t>
        </is>
      </c>
      <c r="AC121" s="6" t="inlineStr"/>
      <c r="AD121" s="6" t="inlineStr"/>
    </row>
    <row r="122">
      <c r="A122" s="12" t="inlineStr">
        <is>
          <t>Dani V. Nicholas</t>
        </is>
      </c>
      <c r="B122" s="12" t="inlineStr">
        <is>
          <t>Austin Commercial (Austin Industries)</t>
        </is>
      </c>
      <c r="C122" s="12" t="inlineStr">
        <is>
          <t>Business Development Director</t>
        </is>
      </c>
      <c r="D122" s="13" t="inlineStr">
        <is>
          <t>Builds the wall, not the house</t>
        </is>
      </c>
      <c r="E122" s="14" t="n">
        <v>1</v>
      </c>
      <c r="F122" s="12" t="inlineStr">
        <is>
          <t>Builds the wall</t>
        </is>
      </c>
      <c r="G122" s="12" t="inlineStr">
        <is>
          <t>Dallas headquarters, working across North Texas</t>
        </is>
      </c>
      <c r="H122" s="12" t="inlineStr">
        <is>
          <t>Dallas construction manager, headquartered there since 1975</t>
        </is>
      </c>
      <c r="I122" s="14" t="inlineStr">
        <is>
          <t>Yes</t>
        </is>
      </c>
      <c r="J122" s="15" t="inlineStr">
        <is>
          <t>A commercial construction pipeline recurring in North Texas from the Dallas headquarters.</t>
        </is>
      </c>
      <c r="K122" s="14" t="inlineStr">
        <is>
          <t>No</t>
        </is>
      </c>
      <c r="L122" s="15" t="inlineStr">
        <is>
          <t>One or two printers would not cover a construction-management portfolio of this size, and purchasing is institutional.</t>
        </is>
      </c>
      <c r="M122" s="14" t="inlineStr">
        <is>
          <t>No</t>
        </is>
      </c>
      <c r="N122" s="15" t="inlineStr">
        <is>
          <t>Nothing on record about paying for printed residential walls.</t>
        </is>
      </c>
      <c r="O122" s="10" t="inlineStr"/>
      <c r="P122" s="12" t="inlineStr"/>
      <c r="Q122" s="16">
        <f>IF(O122="","ADD LINKEDIN","ok")</f>
        <v/>
      </c>
      <c r="R122" s="12" t="inlineStr">
        <is>
          <t>https://www.austin-ind.com/locations/dallas</t>
        </is>
      </c>
      <c r="S122" s="15" t="inlineStr">
        <is>
          <t>Commercial construction management, not residential production walls.</t>
        </is>
      </c>
      <c r="T122" s="12" t="inlineStr"/>
      <c r="U122" s="15" t="inlineStr">
        <is>
          <t>Named on the Austin Industries Dallas location page as a Business Development Director.</t>
        </is>
      </c>
      <c r="V122" s="12" t="inlineStr">
        <is>
          <t>https://www.austin-ind.com/locations/dallas</t>
        </is>
      </c>
      <c r="W122" s="12" t="inlineStr">
        <is>
          <t>https://www.linkedin.com/company/austin-commercial/</t>
        </is>
      </c>
      <c r="X122" s="12" t="inlineStr"/>
      <c r="Y122" s="12" t="inlineStr"/>
      <c r="Z122" s="12" t="inlineStr">
        <is>
          <t>(214) 443-5700</t>
        </is>
      </c>
      <c r="AA122" s="12" t="inlineStr">
        <is>
          <t>Headquarters, Dallas</t>
        </is>
      </c>
      <c r="AB122" s="12" t="inlineStr">
        <is>
          <t>https://www.austin-ind.com/locations/dallas</t>
        </is>
      </c>
      <c r="AC122" s="12" t="inlineStr"/>
      <c r="AD122" s="12" t="inlineStr"/>
    </row>
    <row r="123">
      <c r="A123" s="6" t="inlineStr">
        <is>
          <t>Andrew Henry</t>
        </is>
      </c>
      <c r="B123" s="6" t="inlineStr">
        <is>
          <t>Austin Commercial (Austin Industries)</t>
        </is>
      </c>
      <c r="C123" s="6" t="inlineStr">
        <is>
          <t>Business Development Director</t>
        </is>
      </c>
      <c r="D123" s="7" t="inlineStr">
        <is>
          <t>Builds the wall, not the house</t>
        </is>
      </c>
      <c r="E123" s="8" t="n">
        <v>1</v>
      </c>
      <c r="F123" s="6" t="inlineStr">
        <is>
          <t>Builds the wall</t>
        </is>
      </c>
      <c r="G123" s="6" t="inlineStr">
        <is>
          <t>Dallas headquarters, working across North Texas</t>
        </is>
      </c>
      <c r="H123" s="6" t="inlineStr">
        <is>
          <t>Dallas construction manager, headquartered there since 1975</t>
        </is>
      </c>
      <c r="I123" s="8" t="inlineStr">
        <is>
          <t>Yes</t>
        </is>
      </c>
      <c r="J123" s="9" t="inlineStr">
        <is>
          <t>A commercial construction pipeline recurring in North Texas from the Dallas headquarters.</t>
        </is>
      </c>
      <c r="K123" s="8" t="inlineStr">
        <is>
          <t>No</t>
        </is>
      </c>
      <c r="L123" s="9" t="inlineStr">
        <is>
          <t>One or two printers would not cover a construction-management portfolio of this size, and purchasing is institutional.</t>
        </is>
      </c>
      <c r="M123" s="8" t="inlineStr">
        <is>
          <t>No</t>
        </is>
      </c>
      <c r="N123" s="9" t="inlineStr">
        <is>
          <t>Nothing on record about paying for printed residential walls.</t>
        </is>
      </c>
      <c r="O123" s="10" t="inlineStr"/>
      <c r="P123" s="6" t="inlineStr"/>
      <c r="Q123" s="11">
        <f>IF(O123="","ADD LINKEDIN","ok")</f>
        <v/>
      </c>
      <c r="R123" s="6" t="inlineStr">
        <is>
          <t>https://www.austin-ind.com/locations/dallas</t>
        </is>
      </c>
      <c r="S123" s="9" t="inlineStr">
        <is>
          <t>Commercial construction management, not residential production walls.</t>
        </is>
      </c>
      <c r="T123" s="6" t="inlineStr"/>
      <c r="U123" s="9" t="inlineStr">
        <is>
          <t>Named on the Austin Industries Dallas location page as a Business Development Director.</t>
        </is>
      </c>
      <c r="V123" s="6" t="inlineStr">
        <is>
          <t>https://www.austin-ind.com/locations/dallas</t>
        </is>
      </c>
      <c r="W123" s="6" t="inlineStr">
        <is>
          <t>https://www.linkedin.com/company/austin-commercial/</t>
        </is>
      </c>
      <c r="X123" s="6" t="inlineStr"/>
      <c r="Y123" s="6" t="inlineStr"/>
      <c r="Z123" s="6" t="inlineStr">
        <is>
          <t>(214) 443-5700</t>
        </is>
      </c>
      <c r="AA123" s="6" t="inlineStr">
        <is>
          <t>Headquarters, Dallas</t>
        </is>
      </c>
      <c r="AB123" s="6" t="inlineStr">
        <is>
          <t>https://www.austin-ind.com/locations/dallas</t>
        </is>
      </c>
      <c r="AC123" s="6" t="inlineStr"/>
      <c r="AD123" s="6" t="inlineStr"/>
    </row>
    <row r="124">
      <c r="A124" s="12" t="inlineStr">
        <is>
          <t>David Yeagy</t>
        </is>
      </c>
      <c r="B124" s="12" t="inlineStr">
        <is>
          <t>Austin Commercial (Austin Industries)</t>
        </is>
      </c>
      <c r="C124" s="12" t="inlineStr">
        <is>
          <t>President, Austin Commercial</t>
        </is>
      </c>
      <c r="D124" s="13" t="inlineStr">
        <is>
          <t>Builds the wall, not the house</t>
        </is>
      </c>
      <c r="E124" s="14" t="n">
        <v>1</v>
      </c>
      <c r="F124" s="12" t="inlineStr">
        <is>
          <t>Builds the wall</t>
        </is>
      </c>
      <c r="G124" s="12" t="inlineStr">
        <is>
          <t>Dallas headquarters, working across North Texas</t>
        </is>
      </c>
      <c r="H124" s="12" t="inlineStr">
        <is>
          <t>Dallas construction manager, headquartered there since 1975</t>
        </is>
      </c>
      <c r="I124" s="14" t="inlineStr">
        <is>
          <t>Yes</t>
        </is>
      </c>
      <c r="J124" s="15" t="inlineStr">
        <is>
          <t>A commercial construction pipeline recurring in North Texas from the Dallas headquarters.</t>
        </is>
      </c>
      <c r="K124" s="14" t="inlineStr">
        <is>
          <t>No</t>
        </is>
      </c>
      <c r="L124" s="15" t="inlineStr">
        <is>
          <t>One or two printers would not cover a construction-management portfolio of this size, and purchasing is institutional.</t>
        </is>
      </c>
      <c r="M124" s="14" t="inlineStr">
        <is>
          <t>No</t>
        </is>
      </c>
      <c r="N124" s="15" t="inlineStr">
        <is>
          <t>Nothing on record about paying for printed residential walls.</t>
        </is>
      </c>
      <c r="O124" s="10" t="inlineStr"/>
      <c r="P124" s="12" t="inlineStr"/>
      <c r="Q124" s="16">
        <f>IF(O124="","ADD LINKEDIN","ok")</f>
        <v/>
      </c>
      <c r="R124" s="12" t="inlineStr">
        <is>
          <t>https://www.austin-ind.com/locations/dallas</t>
        </is>
      </c>
      <c r="S124" s="15" t="inlineStr">
        <is>
          <t>Commercial construction management, not residential production walls.</t>
        </is>
      </c>
      <c r="T124" s="12" t="inlineStr">
        <is>
          <t>YES</t>
        </is>
      </c>
      <c r="U124" s="15" t="inlineStr">
        <is>
          <t>Named in an Austin Industries news post of July 28, 2025 as promoted to President of Austin Commercial.</t>
        </is>
      </c>
      <c r="V124" s="12" t="inlineStr">
        <is>
          <t>https://www.austin-ind.com/news/david-yeagy-named-president-of-austin-commercial-2</t>
        </is>
      </c>
      <c r="W124" s="12" t="inlineStr">
        <is>
          <t>https://www.linkedin.com/company/austin-commercial/</t>
        </is>
      </c>
      <c r="X124" s="12" t="inlineStr"/>
      <c r="Y124" s="12" t="inlineStr"/>
      <c r="Z124" s="12" t="inlineStr">
        <is>
          <t>(214) 443-5700</t>
        </is>
      </c>
      <c r="AA124" s="12" t="inlineStr">
        <is>
          <t>Headquarters, Dallas</t>
        </is>
      </c>
      <c r="AB124" s="12" t="inlineStr">
        <is>
          <t>https://www.austin-ind.com/locations/dallas</t>
        </is>
      </c>
      <c r="AC124" s="12" t="inlineStr"/>
      <c r="AD124" s="12" t="inlineStr"/>
    </row>
    <row r="125">
      <c r="A125" s="6" t="inlineStr">
        <is>
          <t>Elliott Goodman</t>
        </is>
      </c>
      <c r="B125" s="6" t="inlineStr">
        <is>
          <t>Austin Commercial (Austin Industries)</t>
        </is>
      </c>
      <c r="C125" s="6" t="inlineStr">
        <is>
          <t>Senior Vice President, Dallas-Fort Worth</t>
        </is>
      </c>
      <c r="D125" s="7" t="inlineStr">
        <is>
          <t>Builds the wall, not the house</t>
        </is>
      </c>
      <c r="E125" s="8" t="n">
        <v>1</v>
      </c>
      <c r="F125" s="6" t="inlineStr">
        <is>
          <t>Builds the wall</t>
        </is>
      </c>
      <c r="G125" s="6" t="inlineStr">
        <is>
          <t>Dallas headquarters, working across North Texas</t>
        </is>
      </c>
      <c r="H125" s="6" t="inlineStr">
        <is>
          <t>Dallas construction manager, headquartered there since 1975</t>
        </is>
      </c>
      <c r="I125" s="8" t="inlineStr">
        <is>
          <t>Yes</t>
        </is>
      </c>
      <c r="J125" s="9" t="inlineStr">
        <is>
          <t>A commercial construction pipeline recurring in North Texas from the Dallas headquarters.</t>
        </is>
      </c>
      <c r="K125" s="8" t="inlineStr">
        <is>
          <t>No</t>
        </is>
      </c>
      <c r="L125" s="9" t="inlineStr">
        <is>
          <t>One or two printers would not cover a construction-management portfolio of this size, and purchasing is institutional.</t>
        </is>
      </c>
      <c r="M125" s="8" t="inlineStr">
        <is>
          <t>No</t>
        </is>
      </c>
      <c r="N125" s="9" t="inlineStr">
        <is>
          <t>Nothing on record about paying for printed residential walls.</t>
        </is>
      </c>
      <c r="O125" s="10" t="inlineStr"/>
      <c r="P125" s="6" t="inlineStr"/>
      <c r="Q125" s="11">
        <f>IF(O125="","ADD LINKEDIN","ok")</f>
        <v/>
      </c>
      <c r="R125" s="6" t="inlineStr">
        <is>
          <t>https://www.austin-ind.com/locations/dallas</t>
        </is>
      </c>
      <c r="S125" s="9" t="inlineStr">
        <is>
          <t>Commercial construction management, not residential production walls.</t>
        </is>
      </c>
      <c r="T125" s="6" t="inlineStr">
        <is>
          <t>YES</t>
        </is>
      </c>
      <c r="U125" s="9" t="inlineStr">
        <is>
          <t>Named on the Austin Industries leadership page as Senior Vice President, overseeing large programs in North Texas.</t>
        </is>
      </c>
      <c r="V125" s="6" t="inlineStr">
        <is>
          <t>https://www.austin-ind.com/our-company/leadership</t>
        </is>
      </c>
      <c r="W125" s="6" t="inlineStr">
        <is>
          <t>https://www.linkedin.com/company/austin-commercial/</t>
        </is>
      </c>
      <c r="X125" s="6" t="inlineStr"/>
      <c r="Y125" s="6" t="inlineStr"/>
      <c r="Z125" s="6" t="inlineStr">
        <is>
          <t>(214) 443-5700</t>
        </is>
      </c>
      <c r="AA125" s="6" t="inlineStr">
        <is>
          <t>Headquarters, Dallas</t>
        </is>
      </c>
      <c r="AB125" s="6" t="inlineStr">
        <is>
          <t>https://www.austin-ind.com/locations/dallas</t>
        </is>
      </c>
      <c r="AC125" s="6" t="inlineStr"/>
      <c r="AD125" s="6" t="inlineStr"/>
    </row>
    <row r="126">
      <c r="A126" s="12" t="inlineStr">
        <is>
          <t>Karl Watson</t>
        </is>
      </c>
      <c r="B126" s="12" t="inlineStr">
        <is>
          <t>Baker Construction</t>
        </is>
      </c>
      <c r="C126" s="12" t="inlineStr">
        <is>
          <t>Chief Executive Officer, Baker Construction Enterprises</t>
        </is>
      </c>
      <c r="D126" s="13" t="inlineStr">
        <is>
          <t>Builds the wall, not the house</t>
        </is>
      </c>
      <c r="E126" s="14" t="n">
        <v>1</v>
      </c>
      <c r="F126" s="12" t="inlineStr">
        <is>
          <t>Builds the wall</t>
        </is>
      </c>
      <c r="G126" s="12" t="inlineStr">
        <is>
          <t>National, with published Texas work mostly in Houston</t>
        </is>
      </c>
      <c r="H126" s="12" t="inlineStr">
        <is>
          <t>More than 12,500 craftworkers, its own count</t>
        </is>
      </c>
      <c r="I126" s="14" t="inlineStr">
        <is>
          <t>Yes</t>
        </is>
      </c>
      <c r="J126" s="15" t="inlineStr">
        <is>
          <t>Tilt panels and structural concrete repeated across US markets, including Texas.</t>
        </is>
      </c>
      <c r="K126" s="14" t="inlineStr">
        <is>
          <t>No</t>
        </is>
      </c>
      <c r="L126" s="15" t="inlineStr">
        <is>
          <t>A national firm, with machine purchases run through a national desk.</t>
        </is>
      </c>
      <c r="M126" s="14" t="inlineStr">
        <is>
          <t>No</t>
        </is>
      </c>
      <c r="N126" s="15" t="inlineStr">
        <is>
          <t>Tilt panels, such as the 75-foot panels at Harris Health, use an existing method, not a new one.</t>
        </is>
      </c>
      <c r="O126" s="10" t="inlineStr"/>
      <c r="P126" s="12" t="inlineStr"/>
      <c r="Q126" s="16">
        <f>IF(O126="","ADD LINKEDIN","ok")</f>
        <v/>
      </c>
      <c r="R126" s="12" t="inlineStr">
        <is>
          <t>https://bakerconstruction.com/</t>
        </is>
      </c>
      <c r="S126" s="15" t="inlineStr">
        <is>
          <t>Tilt-wall and structural concrete contractor whose published Texas jobs are mostly in Houston. Its site shows no DFW office.</t>
        </is>
      </c>
      <c r="T126" s="12" t="inlineStr">
        <is>
          <t>YES</t>
        </is>
      </c>
      <c r="U126" s="15" t="inlineStr">
        <is>
          <t>Named on the firm's own leadership page as CEO since June 2023.</t>
        </is>
      </c>
      <c r="V126" s="12" t="inlineStr">
        <is>
          <t>https://bakerconstruction.com/about-us/leadership/</t>
        </is>
      </c>
      <c r="W126" s="12" t="inlineStr">
        <is>
          <t>https://www.linkedin.com/company/bakerconstruction/</t>
        </is>
      </c>
      <c r="X126" s="12" t="inlineStr">
        <is>
          <t>https://bakerconstruction.com/about-us/leadership/</t>
        </is>
      </c>
      <c r="Y126" s="12" t="inlineStr"/>
      <c r="Z126" s="12" t="inlineStr">
        <is>
          <t>(800) 539-2224</t>
        </is>
      </c>
      <c r="AA126" s="12" t="inlineStr">
        <is>
          <t>Headquarters</t>
        </is>
      </c>
      <c r="AB126" s="12" t="inlineStr">
        <is>
          <t>https://bakerconstruction.com/</t>
        </is>
      </c>
      <c r="AC126" s="12" t="inlineStr"/>
      <c r="AD126" s="12" t="inlineStr"/>
    </row>
    <row r="127">
      <c r="A127" s="6" t="inlineStr">
        <is>
          <t>Dan T. Baker</t>
        </is>
      </c>
      <c r="B127" s="6" t="inlineStr">
        <is>
          <t>Baker Construction</t>
        </is>
      </c>
      <c r="C127" s="6" t="inlineStr">
        <is>
          <t>Executive Vice Chair of the Board and President, Baker Construction Enterprises</t>
        </is>
      </c>
      <c r="D127" s="7" t="inlineStr">
        <is>
          <t>Builds the wall, not the house</t>
        </is>
      </c>
      <c r="E127" s="8" t="n">
        <v>1</v>
      </c>
      <c r="F127" s="6" t="inlineStr">
        <is>
          <t>Builds the wall</t>
        </is>
      </c>
      <c r="G127" s="6" t="inlineStr">
        <is>
          <t>National, with published Texas work mostly in Houston</t>
        </is>
      </c>
      <c r="H127" s="6" t="inlineStr">
        <is>
          <t>More than 12,500 craftworkers, its own count</t>
        </is>
      </c>
      <c r="I127" s="8" t="inlineStr">
        <is>
          <t>Yes</t>
        </is>
      </c>
      <c r="J127" s="9" t="inlineStr">
        <is>
          <t>Tilt panels and structural concrete repeated across US markets, including Texas.</t>
        </is>
      </c>
      <c r="K127" s="8" t="inlineStr">
        <is>
          <t>No</t>
        </is>
      </c>
      <c r="L127" s="9" t="inlineStr">
        <is>
          <t>A national firm, with machine purchases run through a national desk.</t>
        </is>
      </c>
      <c r="M127" s="8" t="inlineStr">
        <is>
          <t>No</t>
        </is>
      </c>
      <c r="N127" s="9" t="inlineStr">
        <is>
          <t>Tilt panels, such as the 75-foot panels at Harris Health, use an existing method, not a new one.</t>
        </is>
      </c>
      <c r="O127" s="10" t="inlineStr"/>
      <c r="P127" s="6" t="inlineStr"/>
      <c r="Q127" s="11">
        <f>IF(O127="","ADD LINKEDIN","ok")</f>
        <v/>
      </c>
      <c r="R127" s="6" t="inlineStr">
        <is>
          <t>https://bakerconstruction.com/</t>
        </is>
      </c>
      <c r="S127" s="9" t="inlineStr">
        <is>
          <t>Tilt-wall and structural concrete contractor whose published Texas jobs are mostly in Houston. Its site shows no DFW office.</t>
        </is>
      </c>
      <c r="T127" s="6" t="inlineStr">
        <is>
          <t>YES</t>
        </is>
      </c>
      <c r="U127" s="9" t="inlineStr">
        <is>
          <t>Named on the leadership page as Executive Vice Chair of the Board and President, from June 2023.</t>
        </is>
      </c>
      <c r="V127" s="6" t="inlineStr">
        <is>
          <t>https://bakerconstruction.com/about-us/leadership/</t>
        </is>
      </c>
      <c r="W127" s="6" t="inlineStr">
        <is>
          <t>https://www.linkedin.com/company/bakerconstruction/</t>
        </is>
      </c>
      <c r="X127" s="6" t="inlineStr">
        <is>
          <t>https://bakerconstruction.com/about-us/leadership/</t>
        </is>
      </c>
      <c r="Y127" s="6" t="inlineStr"/>
      <c r="Z127" s="6" t="inlineStr">
        <is>
          <t>(800) 539-2224</t>
        </is>
      </c>
      <c r="AA127" s="6" t="inlineStr">
        <is>
          <t>Headquarters</t>
        </is>
      </c>
      <c r="AB127" s="6" t="inlineStr">
        <is>
          <t>https://bakerconstruction.com/</t>
        </is>
      </c>
      <c r="AC127" s="6" t="inlineStr"/>
      <c r="AD127" s="6" t="inlineStr"/>
    </row>
    <row r="128">
      <c r="A128" s="12" t="inlineStr">
        <is>
          <t>Gary Benson</t>
        </is>
      </c>
      <c r="B128" s="12" t="inlineStr">
        <is>
          <t>Baker Construction</t>
        </is>
      </c>
      <c r="C128" s="12" t="inlineStr">
        <is>
          <t>Chief Operating Officer, Baker Construction Enterprises</t>
        </is>
      </c>
      <c r="D128" s="13" t="inlineStr">
        <is>
          <t>Builds the wall, not the house</t>
        </is>
      </c>
      <c r="E128" s="14" t="n">
        <v>1</v>
      </c>
      <c r="F128" s="12" t="inlineStr">
        <is>
          <t>Builds the wall</t>
        </is>
      </c>
      <c r="G128" s="12" t="inlineStr">
        <is>
          <t>National, with published Texas work mostly in Houston</t>
        </is>
      </c>
      <c r="H128" s="12" t="inlineStr">
        <is>
          <t>More than 12,500 craftworkers, its own count</t>
        </is>
      </c>
      <c r="I128" s="14" t="inlineStr">
        <is>
          <t>Yes</t>
        </is>
      </c>
      <c r="J128" s="15" t="inlineStr">
        <is>
          <t>Tilt panels and structural concrete repeated across US markets, including Texas.</t>
        </is>
      </c>
      <c r="K128" s="14" t="inlineStr">
        <is>
          <t>No</t>
        </is>
      </c>
      <c r="L128" s="15" t="inlineStr">
        <is>
          <t>A national firm, with machine purchases run through a national desk.</t>
        </is>
      </c>
      <c r="M128" s="14" t="inlineStr">
        <is>
          <t>No</t>
        </is>
      </c>
      <c r="N128" s="15" t="inlineStr">
        <is>
          <t>Tilt panels, such as the 75-foot panels at Harris Health, use an existing method, not a new one.</t>
        </is>
      </c>
      <c r="O128" s="10" t="inlineStr"/>
      <c r="P128" s="12" t="inlineStr"/>
      <c r="Q128" s="16">
        <f>IF(O128="","ADD LINKEDIN","ok")</f>
        <v/>
      </c>
      <c r="R128" s="12" t="inlineStr">
        <is>
          <t>https://bakerconstruction.com/</t>
        </is>
      </c>
      <c r="S128" s="15" t="inlineStr">
        <is>
          <t>Tilt-wall and structural concrete contractor whose published Texas jobs are mostly in Houston. Its site shows no DFW office.</t>
        </is>
      </c>
      <c r="T128" s="12" t="inlineStr">
        <is>
          <t>YES</t>
        </is>
      </c>
      <c r="U128" s="15" t="inlineStr">
        <is>
          <t>Named on the leadership page as Chief Operating Officer.</t>
        </is>
      </c>
      <c r="V128" s="12" t="inlineStr">
        <is>
          <t>https://bakerconstruction.com/about-us/leadership/</t>
        </is>
      </c>
      <c r="W128" s="12" t="inlineStr">
        <is>
          <t>https://www.linkedin.com/company/bakerconstruction/</t>
        </is>
      </c>
      <c r="X128" s="12" t="inlineStr">
        <is>
          <t>https://bakerconstruction.com/about-us/leadership/</t>
        </is>
      </c>
      <c r="Y128" s="12" t="inlineStr"/>
      <c r="Z128" s="12" t="inlineStr">
        <is>
          <t>(800) 539-2224</t>
        </is>
      </c>
      <c r="AA128" s="12" t="inlineStr">
        <is>
          <t>Headquarters</t>
        </is>
      </c>
      <c r="AB128" s="12" t="inlineStr">
        <is>
          <t>https://bakerconstruction.com/</t>
        </is>
      </c>
      <c r="AC128" s="12" t="inlineStr"/>
      <c r="AD128" s="12" t="inlineStr"/>
    </row>
    <row r="129">
      <c r="A129" s="6" t="inlineStr">
        <is>
          <t>Martin Jordana</t>
        </is>
      </c>
      <c r="B129" s="6" t="inlineStr">
        <is>
          <t>Baker Construction</t>
        </is>
      </c>
      <c r="C129" s="6" t="inlineStr">
        <is>
          <t>President, Central and Great West Region</t>
        </is>
      </c>
      <c r="D129" s="7" t="inlineStr">
        <is>
          <t>Builds the wall, not the house</t>
        </is>
      </c>
      <c r="E129" s="8" t="n">
        <v>1</v>
      </c>
      <c r="F129" s="6" t="inlineStr">
        <is>
          <t>Builds the wall</t>
        </is>
      </c>
      <c r="G129" s="6" t="inlineStr">
        <is>
          <t>National, with published Texas work mostly in Houston</t>
        </is>
      </c>
      <c r="H129" s="6" t="inlineStr">
        <is>
          <t>More than 12,500 craftworkers, its own count</t>
        </is>
      </c>
      <c r="I129" s="8" t="inlineStr">
        <is>
          <t>Yes</t>
        </is>
      </c>
      <c r="J129" s="9" t="inlineStr">
        <is>
          <t>Tilt panels and structural concrete repeated across US markets, including Texas.</t>
        </is>
      </c>
      <c r="K129" s="8" t="inlineStr">
        <is>
          <t>No</t>
        </is>
      </c>
      <c r="L129" s="9" t="inlineStr">
        <is>
          <t>A national firm, with machine purchases run through a national desk.</t>
        </is>
      </c>
      <c r="M129" s="8" t="inlineStr">
        <is>
          <t>No</t>
        </is>
      </c>
      <c r="N129" s="9" t="inlineStr">
        <is>
          <t>Tilt panels, such as the 75-foot panels at Harris Health, use an existing method, not a new one.</t>
        </is>
      </c>
      <c r="O129" s="10" t="inlineStr"/>
      <c r="P129" s="6" t="inlineStr"/>
      <c r="Q129" s="11">
        <f>IF(O129="","ADD LINKEDIN","ok")</f>
        <v/>
      </c>
      <c r="R129" s="6" t="inlineStr">
        <is>
          <t>https://bakerconstruction.com/</t>
        </is>
      </c>
      <c r="S129" s="9" t="inlineStr">
        <is>
          <t>Tilt-wall and structural concrete contractor whose published Texas jobs are mostly in Houston. Its site shows no DFW office.</t>
        </is>
      </c>
      <c r="T129" s="6" t="inlineStr">
        <is>
          <t>YES</t>
        </is>
      </c>
      <c r="U129" s="9" t="inlineStr">
        <is>
          <t>Named on the leadership page as over the Central and Great West Region, which includes Texas.</t>
        </is>
      </c>
      <c r="V129" s="6" t="inlineStr">
        <is>
          <t>https://bakerconstruction.com/about-us/leadership/</t>
        </is>
      </c>
      <c r="W129" s="6" t="inlineStr">
        <is>
          <t>https://www.linkedin.com/company/bakerconstruction/</t>
        </is>
      </c>
      <c r="X129" s="6" t="inlineStr">
        <is>
          <t>https://bakerconstruction.com/about-us/leadership/</t>
        </is>
      </c>
      <c r="Y129" s="6" t="inlineStr"/>
      <c r="Z129" s="6" t="inlineStr">
        <is>
          <t>(800) 539-2224</t>
        </is>
      </c>
      <c r="AA129" s="6" t="inlineStr">
        <is>
          <t>Headquarters</t>
        </is>
      </c>
      <c r="AB129" s="6" t="inlineStr">
        <is>
          <t>https://bakerconstruction.com/</t>
        </is>
      </c>
      <c r="AC129" s="6" t="inlineStr"/>
      <c r="AD129" s="6" t="inlineStr"/>
    </row>
    <row r="130">
      <c r="A130" s="12" t="inlineStr">
        <is>
          <t>Mark Young</t>
        </is>
      </c>
      <c r="B130" s="12" t="inlineStr">
        <is>
          <t>Brundage-Bone Concrete Pumping</t>
        </is>
      </c>
      <c r="C130" s="12" t="inlineStr">
        <is>
          <t>President, U.S. Concrete Pumping (Brundage-Bone)</t>
        </is>
      </c>
      <c r="D130" s="13" t="inlineStr">
        <is>
          <t>Builds the wall, not the house</t>
        </is>
      </c>
      <c r="E130" s="14" t="n">
        <v>1</v>
      </c>
      <c r="F130" s="12" t="inlineStr">
        <is>
          <t>Builds the wall</t>
        </is>
      </c>
      <c r="G130" s="12" t="inlineStr">
        <is>
          <t>National, with a Dallas branch</t>
        </is>
      </c>
      <c r="H130" s="12" t="inlineStr">
        <is>
          <t>National concrete pumping contractor with a Dallas branch</t>
        </is>
      </c>
      <c r="I130" s="14" t="inlineStr">
        <is>
          <t>Yes</t>
        </is>
      </c>
      <c r="J130" s="15" t="inlineStr">
        <is>
          <t>Pumping and placement repeated across Texas metros.</t>
        </is>
      </c>
      <c r="K130" s="14" t="inlineStr">
        <is>
          <t>No</t>
        </is>
      </c>
      <c r="L130" s="15" t="inlineStr">
        <is>
          <t>A national pump fleet, bought at a scale beyond one or two printers.</t>
        </is>
      </c>
      <c r="M130" s="14" t="inlineStr">
        <is>
          <t>No</t>
        </is>
      </c>
      <c r="N130" s="15" t="inlineStr">
        <is>
          <t>It owns concrete pumps and placing booms, the standard equipment of its trade. Nothing on record about a new wall method.</t>
        </is>
      </c>
      <c r="O130" s="10" t="inlineStr"/>
      <c r="P130" s="12" t="inlineStr"/>
      <c r="Q130" s="16">
        <f>IF(O130="","ADD LINKEDIN","ok")</f>
        <v/>
      </c>
      <c r="R130" s="12" t="inlineStr">
        <is>
          <t>https://www.brundagebone.com/</t>
        </is>
      </c>
      <c r="S130" s="15" t="inlineStr">
        <is>
          <t>Places concrete with boom pumps and placing booms. It does not own walls.</t>
        </is>
      </c>
      <c r="T130" s="12" t="inlineStr">
        <is>
          <t>YES</t>
        </is>
      </c>
      <c r="U130" s="15" t="inlineStr">
        <is>
          <t>Named on the Concrete Pumping Holdings management team page as President of U.S. Concrete Pumping, trading as Brundage-Bone, and its general manager since 2018.</t>
        </is>
      </c>
      <c r="V130" s="12" t="inlineStr">
        <is>
          <t>https://www.concretepumpingholdings.com/team/management-team</t>
        </is>
      </c>
      <c r="W130" s="12" t="inlineStr">
        <is>
          <t>https://www.linkedin.com/company/brundage-bone-/</t>
        </is>
      </c>
      <c r="X130" s="12" t="inlineStr"/>
      <c r="Y130" s="12" t="inlineStr"/>
      <c r="Z130" s="12" t="inlineStr">
        <is>
          <t>(972) 579-4444</t>
        </is>
      </c>
      <c r="AA130" s="12" t="inlineStr">
        <is>
          <t>Dallas branch</t>
        </is>
      </c>
      <c r="AB130" s="12" t="inlineStr">
        <is>
          <t>https://brundagebone.com/locations/dallas/</t>
        </is>
      </c>
      <c r="AC130" s="12" t="inlineStr"/>
      <c r="AD130" s="12" t="inlineStr"/>
    </row>
    <row r="131">
      <c r="A131" s="6" t="inlineStr">
        <is>
          <t>Bruce Young</t>
        </is>
      </c>
      <c r="B131" s="6" t="inlineStr">
        <is>
          <t>Brundage-Bone Concrete Pumping</t>
        </is>
      </c>
      <c r="C131" s="6" t="inlineStr">
        <is>
          <t>Chief Executive Officer, Concrete Pumping Holdings</t>
        </is>
      </c>
      <c r="D131" s="7" t="inlineStr">
        <is>
          <t>Builds the wall, not the house</t>
        </is>
      </c>
      <c r="E131" s="8" t="n">
        <v>1</v>
      </c>
      <c r="F131" s="6" t="inlineStr">
        <is>
          <t>Builds the wall</t>
        </is>
      </c>
      <c r="G131" s="6" t="inlineStr">
        <is>
          <t>National, with a Dallas branch</t>
        </is>
      </c>
      <c r="H131" s="6" t="inlineStr">
        <is>
          <t>National concrete pumping contractor with a Dallas branch</t>
        </is>
      </c>
      <c r="I131" s="8" t="inlineStr">
        <is>
          <t>Yes</t>
        </is>
      </c>
      <c r="J131" s="9" t="inlineStr">
        <is>
          <t>Pumping and placement repeated across Texas metros.</t>
        </is>
      </c>
      <c r="K131" s="8" t="inlineStr">
        <is>
          <t>No</t>
        </is>
      </c>
      <c r="L131" s="9" t="inlineStr">
        <is>
          <t>A national pump fleet, bought at a scale beyond one or two printers.</t>
        </is>
      </c>
      <c r="M131" s="8" t="inlineStr">
        <is>
          <t>No</t>
        </is>
      </c>
      <c r="N131" s="9" t="inlineStr">
        <is>
          <t>It owns concrete pumps and placing booms, the standard equipment of its trade. Nothing on record about a new wall method.</t>
        </is>
      </c>
      <c r="O131" s="10" t="inlineStr"/>
      <c r="P131" s="6" t="inlineStr"/>
      <c r="Q131" s="11">
        <f>IF(O131="","ADD LINKEDIN","ok")</f>
        <v/>
      </c>
      <c r="R131" s="6" t="inlineStr">
        <is>
          <t>https://www.brundagebone.com/</t>
        </is>
      </c>
      <c r="S131" s="9" t="inlineStr">
        <is>
          <t>Places concrete with boom pumps and placing booms. It does not own walls.</t>
        </is>
      </c>
      <c r="T131" s="6" t="inlineStr">
        <is>
          <t>YES</t>
        </is>
      </c>
      <c r="U131" s="9" t="inlineStr">
        <is>
          <t>Named on the same page as Chief Executive Officer, with Brundage-Bone since 1985 and CEO since 2008.</t>
        </is>
      </c>
      <c r="V131" s="6" t="inlineStr">
        <is>
          <t>https://www.concretepumpingholdings.com/team/management-team</t>
        </is>
      </c>
      <c r="W131" s="6" t="inlineStr">
        <is>
          <t>https://www.linkedin.com/company/brundage-bone-/</t>
        </is>
      </c>
      <c r="X131" s="6" t="inlineStr"/>
      <c r="Y131" s="6" t="inlineStr"/>
      <c r="Z131" s="6" t="inlineStr">
        <is>
          <t>(972) 579-4444</t>
        </is>
      </c>
      <c r="AA131" s="6" t="inlineStr">
        <is>
          <t>Dallas branch</t>
        </is>
      </c>
      <c r="AB131" s="6" t="inlineStr">
        <is>
          <t>https://brundagebone.com/locations/dallas/</t>
        </is>
      </c>
      <c r="AC131" s="6" t="inlineStr"/>
      <c r="AD131" s="6" t="inlineStr"/>
    </row>
    <row r="132">
      <c r="A132" s="12" t="inlineStr">
        <is>
          <t>David Dozzo</t>
        </is>
      </c>
      <c r="B132" s="12" t="inlineStr">
        <is>
          <t>Capform Inc.</t>
        </is>
      </c>
      <c r="C132" s="12" t="inlineStr">
        <is>
          <t>President and Owner</t>
        </is>
      </c>
      <c r="D132" s="13" t="inlineStr">
        <is>
          <t>Builds the wall, not the house</t>
        </is>
      </c>
      <c r="E132" s="14" t="n">
        <v>1</v>
      </c>
      <c r="F132" s="12" t="inlineStr">
        <is>
          <t>Builds the wall</t>
        </is>
      </c>
      <c r="G132" s="12" t="inlineStr">
        <is>
          <t>Carrollton, with offices in Austin, Tampa and Miami</t>
        </is>
      </c>
      <c r="H132" s="12" t="inlineStr">
        <is>
          <t>More than $300 million a year, per its own site</t>
        </is>
      </c>
      <c r="I132" s="14" t="inlineStr">
        <is>
          <t>Yes</t>
        </is>
      </c>
      <c r="J132" s="15" t="inlineStr">
        <is>
          <t>Structural concrete and formwork repeated across DFW high-rise and specialty jobs from a Carrollton base.</t>
        </is>
      </c>
      <c r="K132" s="14" t="inlineStr">
        <is>
          <t>No</t>
        </is>
      </c>
      <c r="L132" s="15" t="inlineStr">
        <is>
          <t>About 1,800 hourly staff and more than $300 million a year across several states, bought through a commercial purchasing desk.</t>
        </is>
      </c>
      <c r="M132" s="14" t="inlineStr">
        <is>
          <t>No</t>
        </is>
      </c>
      <c r="N132" s="15" t="inlineStr">
        <is>
          <t>It designs its own formwork systems, which is equipment, not a new wall method.</t>
        </is>
      </c>
      <c r="O132" s="10" t="inlineStr"/>
      <c r="P132" s="12" t="inlineStr"/>
      <c r="Q132" s="16">
        <f>IF(O132="","ADD LINKEDIN","ok")</f>
        <v/>
      </c>
      <c r="R132" s="12" t="inlineStr">
        <is>
          <t>https://capforminc.com/CFI2019/</t>
        </is>
      </c>
      <c r="S132" s="15" t="inlineStr">
        <is>
          <t>Self-performs structural concrete and formwork for high-rises, hotels and stadiums, and fabricates its own forms at a 25-acre Dallas yard.</t>
        </is>
      </c>
      <c r="T132" s="12" t="inlineStr">
        <is>
          <t>YES</t>
        </is>
      </c>
      <c r="U132" s="15" t="inlineStr">
        <is>
          <t>Named on Capform's own contact page as President and Owner.</t>
        </is>
      </c>
      <c r="V132" s="12" t="inlineStr">
        <is>
          <t>https://capforminc.com/CFI2019/contact/</t>
        </is>
      </c>
      <c r="W132" s="12" t="inlineStr">
        <is>
          <t>https://www.linkedin.com/company/capform-inc/</t>
        </is>
      </c>
      <c r="X132" s="12" t="inlineStr">
        <is>
          <t>https://capforminc.com/CFI2019/contact/</t>
        </is>
      </c>
      <c r="Y132" s="12" t="inlineStr"/>
      <c r="Z132" s="12" t="inlineStr">
        <is>
          <t>(972) 245-7292</t>
        </is>
      </c>
      <c r="AA132" s="12" t="inlineStr">
        <is>
          <t>Corporate office, Carrollton</t>
        </is>
      </c>
      <c r="AB132" s="12" t="inlineStr">
        <is>
          <t>https://capforminc.com/CFI2019/</t>
        </is>
      </c>
      <c r="AC132" s="12" t="inlineStr"/>
      <c r="AD132" s="12" t="inlineStr"/>
    </row>
    <row r="133">
      <c r="A133" s="6" t="inlineStr">
        <is>
          <t>Luc Lafleur</t>
        </is>
      </c>
      <c r="B133" s="6" t="inlineStr">
        <is>
          <t>Capform Inc.</t>
        </is>
      </c>
      <c r="C133" s="6" t="inlineStr">
        <is>
          <t>Chief Executive Officer</t>
        </is>
      </c>
      <c r="D133" s="7" t="inlineStr">
        <is>
          <t>Builds the wall, not the house</t>
        </is>
      </c>
      <c r="E133" s="8" t="n">
        <v>1</v>
      </c>
      <c r="F133" s="6" t="inlineStr">
        <is>
          <t>Builds the wall</t>
        </is>
      </c>
      <c r="G133" s="6" t="inlineStr">
        <is>
          <t>Carrollton, with offices in Austin, Tampa and Miami</t>
        </is>
      </c>
      <c r="H133" s="6" t="inlineStr">
        <is>
          <t>More than $300 million a year, per its own site</t>
        </is>
      </c>
      <c r="I133" s="8" t="inlineStr">
        <is>
          <t>Yes</t>
        </is>
      </c>
      <c r="J133" s="9" t="inlineStr">
        <is>
          <t>Structural concrete and formwork repeated across DFW high-rise and specialty jobs from a Carrollton base.</t>
        </is>
      </c>
      <c r="K133" s="8" t="inlineStr">
        <is>
          <t>No</t>
        </is>
      </c>
      <c r="L133" s="9" t="inlineStr">
        <is>
          <t>About 1,800 hourly staff and more than $300 million a year across several states, bought through a commercial purchasing desk.</t>
        </is>
      </c>
      <c r="M133" s="8" t="inlineStr">
        <is>
          <t>No</t>
        </is>
      </c>
      <c r="N133" s="9" t="inlineStr">
        <is>
          <t>It designs its own formwork systems, which is equipment, not a new wall method.</t>
        </is>
      </c>
      <c r="O133" s="10" t="inlineStr"/>
      <c r="P133" s="6" t="inlineStr"/>
      <c r="Q133" s="11">
        <f>IF(O133="","ADD LINKEDIN","ok")</f>
        <v/>
      </c>
      <c r="R133" s="6" t="inlineStr">
        <is>
          <t>https://capforminc.com/CFI2019/</t>
        </is>
      </c>
      <c r="S133" s="9" t="inlineStr">
        <is>
          <t>Self-performs structural concrete and formwork for high-rises, hotels and stadiums, and fabricates its own forms at a 25-acre Dallas yard.</t>
        </is>
      </c>
      <c r="T133" s="6" t="inlineStr">
        <is>
          <t>YES</t>
        </is>
      </c>
      <c r="U133" s="9" t="inlineStr">
        <is>
          <t>Named on Capform's own officers page as Chief Executive Officer.</t>
        </is>
      </c>
      <c r="V133" s="6" t="inlineStr">
        <is>
          <t>https://capforminc.com/CFI2019/contact/</t>
        </is>
      </c>
      <c r="W133" s="6" t="inlineStr">
        <is>
          <t>https://www.linkedin.com/company/capform-inc/</t>
        </is>
      </c>
      <c r="X133" s="6" t="inlineStr">
        <is>
          <t>https://capforminc.com/CFI2019/contact/</t>
        </is>
      </c>
      <c r="Y133" s="6" t="inlineStr"/>
      <c r="Z133" s="6" t="inlineStr">
        <is>
          <t>(972) 245-7292</t>
        </is>
      </c>
      <c r="AA133" s="6" t="inlineStr">
        <is>
          <t>Corporate office, Carrollton</t>
        </is>
      </c>
      <c r="AB133" s="6" t="inlineStr">
        <is>
          <t>https://capforminc.com/CFI2019/</t>
        </is>
      </c>
      <c r="AC133" s="6" t="inlineStr"/>
      <c r="AD133" s="6" t="inlineStr"/>
    </row>
    <row r="134">
      <c r="A134" s="12" t="inlineStr">
        <is>
          <t>Tuan Pho</t>
        </is>
      </c>
      <c r="B134" s="12" t="inlineStr">
        <is>
          <t>Capform Inc.</t>
        </is>
      </c>
      <c r="C134" s="12" t="inlineStr">
        <is>
          <t>Vice President of Pre-Construction Services</t>
        </is>
      </c>
      <c r="D134" s="13" t="inlineStr">
        <is>
          <t>Builds the wall, not the house</t>
        </is>
      </c>
      <c r="E134" s="14" t="n">
        <v>1</v>
      </c>
      <c r="F134" s="12" t="inlineStr">
        <is>
          <t>Builds the wall</t>
        </is>
      </c>
      <c r="G134" s="12" t="inlineStr">
        <is>
          <t>Carrollton, with offices in Austin, Tampa and Miami</t>
        </is>
      </c>
      <c r="H134" s="12" t="inlineStr">
        <is>
          <t>More than $300 million a year, per its own site</t>
        </is>
      </c>
      <c r="I134" s="14" t="inlineStr">
        <is>
          <t>Yes</t>
        </is>
      </c>
      <c r="J134" s="15" t="inlineStr">
        <is>
          <t>Structural concrete and formwork repeated across DFW high-rise and specialty jobs from a Carrollton base.</t>
        </is>
      </c>
      <c r="K134" s="14" t="inlineStr">
        <is>
          <t>No</t>
        </is>
      </c>
      <c r="L134" s="15" t="inlineStr">
        <is>
          <t>About 1,800 hourly staff and more than $300 million a year across several states, bought through a commercial purchasing desk.</t>
        </is>
      </c>
      <c r="M134" s="14" t="inlineStr">
        <is>
          <t>No</t>
        </is>
      </c>
      <c r="N134" s="15" t="inlineStr">
        <is>
          <t>It designs its own formwork systems, which is equipment, not a new wall method.</t>
        </is>
      </c>
      <c r="O134" s="10" t="inlineStr"/>
      <c r="P134" s="12" t="inlineStr"/>
      <c r="Q134" s="16">
        <f>IF(O134="","ADD LINKEDIN","ok")</f>
        <v/>
      </c>
      <c r="R134" s="12" t="inlineStr">
        <is>
          <t>https://capforminc.com/CFI2019/</t>
        </is>
      </c>
      <c r="S134" s="15" t="inlineStr">
        <is>
          <t>Self-performs structural concrete and formwork for high-rises, hotels and stadiums, and fabricates its own forms at a 25-acre Dallas yard.</t>
        </is>
      </c>
      <c r="T134" s="12" t="inlineStr">
        <is>
          <t>YES</t>
        </is>
      </c>
      <c r="U134" s="15" t="inlineStr">
        <is>
          <t>Named on Capform's own officers page as Vice President of Pre-Construction Services.</t>
        </is>
      </c>
      <c r="V134" s="12" t="inlineStr">
        <is>
          <t>https://capforminc.com/CFI2019/contact/</t>
        </is>
      </c>
      <c r="W134" s="12" t="inlineStr">
        <is>
          <t>https://www.linkedin.com/company/capform-inc/</t>
        </is>
      </c>
      <c r="X134" s="12" t="inlineStr">
        <is>
          <t>https://capforminc.com/CFI2019/contact/</t>
        </is>
      </c>
      <c r="Y134" s="12" t="inlineStr"/>
      <c r="Z134" s="12" t="inlineStr">
        <is>
          <t>(972) 245-7292</t>
        </is>
      </c>
      <c r="AA134" s="12" t="inlineStr">
        <is>
          <t>Corporate office, Carrollton</t>
        </is>
      </c>
      <c r="AB134" s="12" t="inlineStr">
        <is>
          <t>https://capforminc.com/CFI2019/</t>
        </is>
      </c>
      <c r="AC134" s="12" t="inlineStr"/>
      <c r="AD134" s="12" t="inlineStr"/>
    </row>
    <row r="135">
      <c r="A135" s="6" t="inlineStr">
        <is>
          <t>Scott Clarke</t>
        </is>
      </c>
      <c r="B135" s="6" t="inlineStr">
        <is>
          <t>Harvey Cleary</t>
        </is>
      </c>
      <c r="C135" s="6" t="inlineStr">
        <is>
          <t>Chief Operating Officer and Managing Partner</t>
        </is>
      </c>
      <c r="D135" s="7" t="inlineStr">
        <is>
          <t>Builds the wall, not the house</t>
        </is>
      </c>
      <c r="E135" s="8" t="n">
        <v>1</v>
      </c>
      <c r="F135" s="6" t="inlineStr">
        <is>
          <t>Builds the wall</t>
        </is>
      </c>
      <c r="G135" s="6" t="inlineStr">
        <is>
          <t>Austin, with Texas offices in Houston and San Antonio</t>
        </is>
      </c>
      <c r="H135" s="6" t="inlineStr">
        <is>
          <t>Texas tilt-wall general contractor, no DFW office listed</t>
        </is>
      </c>
      <c r="I135" s="8" t="inlineStr">
        <is>
          <t>Yes</t>
        </is>
      </c>
      <c r="J135" s="9" t="inlineStr">
        <is>
          <t>Tilt-wall and commercial shells built repeatedly across Texas markets.</t>
        </is>
      </c>
      <c r="K135" s="8" t="inlineStr">
        <is>
          <t>No</t>
        </is>
      </c>
      <c r="L135" s="9" t="inlineStr">
        <is>
          <t>A multi-market general contractor, where a printer purchase is a corporate decision.</t>
        </is>
      </c>
      <c r="M135" s="8" t="inlineStr">
        <is>
          <t>No</t>
        </is>
      </c>
      <c r="N135" s="9" t="inlineStr">
        <is>
          <t>Nothing on record.</t>
        </is>
      </c>
      <c r="O135" s="6" t="inlineStr">
        <is>
          <t>https://www.linkedin.com/in/scott-clarke-a2a1a521/</t>
        </is>
      </c>
      <c r="P135" s="6" t="inlineStr"/>
      <c r="Q135" s="11">
        <f>IF(O135="","ADD LINKEDIN","ok")</f>
        <v/>
      </c>
      <c r="R135" s="6" t="inlineStr">
        <is>
          <t>https://www.harveycleary.com/</t>
        </is>
      </c>
      <c r="S135" s="9" t="inlineStr">
        <is>
          <t>Its locations pages list Austin, Houston, San Antonio, Denver and Washington, DC, and no office in Dallas-Fort Worth.</t>
        </is>
      </c>
      <c r="T135" s="6" t="inlineStr">
        <is>
          <t>YES</t>
        </is>
      </c>
      <c r="U135" s="9" t="inlineStr">
        <is>
          <t>Indexed title reads Scott Clarke - Harvey-Cleary Builders. Named on the firm's Austin location page as Chief Operating Officer and Managing Partner.</t>
        </is>
      </c>
      <c r="V135" s="6" t="inlineStr">
        <is>
          <t>https://www.harveycleary.com/about-us/locations/austin-tx/</t>
        </is>
      </c>
      <c r="W135" s="6" t="inlineStr">
        <is>
          <t>https://www.linkedin.com/company/harvey-cleary/</t>
        </is>
      </c>
      <c r="X135" s="6" t="inlineStr">
        <is>
          <t>https://www.harveycleary.com/about-us/locations/austin-tx/</t>
        </is>
      </c>
      <c r="Y135" s="6" t="inlineStr"/>
      <c r="Z135" s="6" t="inlineStr">
        <is>
          <t>(512) 928-9300</t>
        </is>
      </c>
      <c r="AA135" s="6" t="inlineStr">
        <is>
          <t>Austin office</t>
        </is>
      </c>
      <c r="AB135" s="6" t="inlineStr">
        <is>
          <t>https://www.harveycleary.com/about-us/locations/austin-tx/</t>
        </is>
      </c>
      <c r="AC135" s="6" t="inlineStr"/>
      <c r="AD135" s="6" t="inlineStr"/>
    </row>
    <row r="136">
      <c r="A136" s="12" t="inlineStr">
        <is>
          <t>Travis Porter</t>
        </is>
      </c>
      <c r="B136" s="12" t="inlineStr">
        <is>
          <t>Manhattan Construction Company, Dallas</t>
        </is>
      </c>
      <c r="C136" s="12" t="inlineStr">
        <is>
          <t>Regional Leader</t>
        </is>
      </c>
      <c r="D136" s="13" t="inlineStr">
        <is>
          <t>Builds the wall, not the house</t>
        </is>
      </c>
      <c r="E136" s="14" t="n">
        <v>1</v>
      </c>
      <c r="F136" s="12" t="inlineStr">
        <is>
          <t>Builds the wall</t>
        </is>
      </c>
      <c r="G136" s="12" t="inlineStr">
        <is>
          <t>Farmers Branch, serving North Texas</t>
        </is>
      </c>
      <c r="H136" s="12" t="inlineStr">
        <is>
          <t>Farmers Branch office, named preconstruction director</t>
        </is>
      </c>
      <c r="I136" s="14" t="inlineStr">
        <is>
          <t>Yes</t>
        </is>
      </c>
      <c r="J136" s="15" t="inlineStr">
        <is>
          <t>Commercial and institutional shells built repeatedly in North Texas from a standing Farmers Branch office.</t>
        </is>
      </c>
      <c r="K136" s="14" t="inlineStr">
        <is>
          <t>No</t>
        </is>
      </c>
      <c r="L136" s="15" t="inlineStr">
        <is>
          <t>The regional arm of a national construction group, so a machine purchase runs through the group.</t>
        </is>
      </c>
      <c r="M136" s="14" t="inlineStr">
        <is>
          <t>No</t>
        </is>
      </c>
      <c r="N136" s="15" t="inlineStr">
        <is>
          <t>Nothing on record.</t>
        </is>
      </c>
      <c r="O136" s="10" t="inlineStr"/>
      <c r="P136" s="12" t="inlineStr"/>
      <c r="Q136" s="16">
        <f>IF(O136="","ADD LINKEDIN","ok")</f>
        <v/>
      </c>
      <c r="R136" s="12" t="inlineStr">
        <is>
          <t>https://manhattanconstructiongroup.com/manhattan-construction-company/locations/dallas/</t>
        </is>
      </c>
      <c r="S136" s="15" t="inlineStr">
        <is>
          <t>A standing DFW office with a named regional leader and director of preconstruction. Its work is commercial, institutional and sports.</t>
        </is>
      </c>
      <c r="T136" s="12" t="inlineStr">
        <is>
          <t>YES</t>
        </is>
      </c>
      <c r="U136" s="15" t="inlineStr">
        <is>
          <t>Named on the Dallas location page as Regional Leader.</t>
        </is>
      </c>
      <c r="V136" s="12" t="inlineStr">
        <is>
          <t>https://manhattanconstructiongroup.com/manhattan-construction-company/locations/dallas/</t>
        </is>
      </c>
      <c r="W136" s="12" t="inlineStr">
        <is>
          <t>https://www.linkedin.com/company/manhattan-construction-group/</t>
        </is>
      </c>
      <c r="X136" s="12" t="inlineStr"/>
      <c r="Y136" s="12" t="inlineStr"/>
      <c r="Z136" s="12" t="inlineStr">
        <is>
          <t>(214) 357-7400</t>
        </is>
      </c>
      <c r="AA136" s="12" t="inlineStr">
        <is>
          <t>Dallas office, Farmers Branch</t>
        </is>
      </c>
      <c r="AB136" s="12" t="inlineStr">
        <is>
          <t>https://manhattanconstructiongroup.com/manhattan-construction-company/locations/dallas/</t>
        </is>
      </c>
      <c r="AC136" s="12" t="inlineStr"/>
      <c r="AD136" s="12" t="inlineStr"/>
    </row>
    <row r="137">
      <c r="A137" s="6" t="inlineStr">
        <is>
          <t>Tim Willson</t>
        </is>
      </c>
      <c r="B137" s="6" t="inlineStr">
        <is>
          <t>Manhattan Construction Company, Dallas</t>
        </is>
      </c>
      <c r="C137" s="6" t="inlineStr">
        <is>
          <t>Director of Preconstruction Services</t>
        </is>
      </c>
      <c r="D137" s="7" t="inlineStr">
        <is>
          <t>Builds the wall, not the house</t>
        </is>
      </c>
      <c r="E137" s="8" t="n">
        <v>1</v>
      </c>
      <c r="F137" s="6" t="inlineStr">
        <is>
          <t>Builds the wall</t>
        </is>
      </c>
      <c r="G137" s="6" t="inlineStr">
        <is>
          <t>Farmers Branch, serving North Texas</t>
        </is>
      </c>
      <c r="H137" s="6" t="inlineStr">
        <is>
          <t>Farmers Branch office, named preconstruction director</t>
        </is>
      </c>
      <c r="I137" s="8" t="inlineStr">
        <is>
          <t>Yes</t>
        </is>
      </c>
      <c r="J137" s="9" t="inlineStr">
        <is>
          <t>Commercial and institutional shells built repeatedly in North Texas from a standing Farmers Branch office.</t>
        </is>
      </c>
      <c r="K137" s="8" t="inlineStr">
        <is>
          <t>No</t>
        </is>
      </c>
      <c r="L137" s="9" t="inlineStr">
        <is>
          <t>The regional arm of a national construction group, so a machine purchase runs through the group.</t>
        </is>
      </c>
      <c r="M137" s="8" t="inlineStr">
        <is>
          <t>No</t>
        </is>
      </c>
      <c r="N137" s="9" t="inlineStr">
        <is>
          <t>Nothing on record.</t>
        </is>
      </c>
      <c r="O137" s="10" t="inlineStr"/>
      <c r="P137" s="6" t="inlineStr"/>
      <c r="Q137" s="11">
        <f>IF(O137="","ADD LINKEDIN","ok")</f>
        <v/>
      </c>
      <c r="R137" s="6" t="inlineStr">
        <is>
          <t>https://manhattanconstructiongroup.com/manhattan-construction-company/locations/dallas/</t>
        </is>
      </c>
      <c r="S137" s="9" t="inlineStr">
        <is>
          <t>A standing DFW office with a named regional leader and director of preconstruction. Its work is commercial, institutional and sports.</t>
        </is>
      </c>
      <c r="T137" s="6" t="inlineStr">
        <is>
          <t>YES</t>
        </is>
      </c>
      <c r="U137" s="9" t="inlineStr">
        <is>
          <t>Named on the Dallas location page as Director of Preconstruction Services.</t>
        </is>
      </c>
      <c r="V137" s="6" t="inlineStr">
        <is>
          <t>https://manhattanconstructiongroup.com/manhattan-construction-company/locations/dallas/</t>
        </is>
      </c>
      <c r="W137" s="6" t="inlineStr">
        <is>
          <t>https://www.linkedin.com/company/manhattan-construction-group/</t>
        </is>
      </c>
      <c r="X137" s="6" t="inlineStr"/>
      <c r="Y137" s="6" t="inlineStr"/>
      <c r="Z137" s="6" t="inlineStr">
        <is>
          <t>(214) 357-7400</t>
        </is>
      </c>
      <c r="AA137" s="6" t="inlineStr">
        <is>
          <t>Dallas office, Farmers Branch</t>
        </is>
      </c>
      <c r="AB137" s="6" t="inlineStr">
        <is>
          <t>https://manhattanconstructiongroup.com/manhattan-construction-company/locations/dallas/</t>
        </is>
      </c>
      <c r="AC137" s="6" t="inlineStr"/>
      <c r="AD137" s="6" t="inlineStr"/>
    </row>
    <row r="138">
      <c r="A138" s="12" t="inlineStr">
        <is>
          <t>Justin McAfee</t>
        </is>
      </c>
      <c r="B138" s="12" t="inlineStr">
        <is>
          <t>Rogers-O'Brien Construction</t>
        </is>
      </c>
      <c r="C138" s="12" t="inlineStr">
        <is>
          <t>Chief Executive Officer</t>
        </is>
      </c>
      <c r="D138" s="13" t="inlineStr">
        <is>
          <t>Builds the wall, not the house</t>
        </is>
      </c>
      <c r="E138" s="14" t="n">
        <v>1</v>
      </c>
      <c r="F138" s="12" t="inlineStr">
        <is>
          <t>Builds the wall</t>
        </is>
      </c>
      <c r="G138" s="12" t="inlineStr">
        <is>
          <t>Dallas, with offices in Austin, Houston, San Antonio and Waco</t>
        </is>
      </c>
      <c r="H138" s="12" t="inlineStr">
        <is>
          <t>Dallas general contractor, Tilt-Up Concrete Association member</t>
        </is>
      </c>
      <c r="I138" s="14" t="inlineStr">
        <is>
          <t>Yes</t>
        </is>
      </c>
      <c r="J138" s="15" t="inlineStr">
        <is>
          <t>Tilt-wall and industrial shells built repeatedly across Texas markets from its Dallas headquarters.</t>
        </is>
      </c>
      <c r="K138" s="14" t="inlineStr">
        <is>
          <t>No</t>
        </is>
      </c>
      <c r="L138" s="15" t="inlineStr">
        <is>
          <t>A multi-city Texas general contractor whose volume is above what one or two printers cover, with purchasing at the corporate level.</t>
        </is>
      </c>
      <c r="M138" s="14" t="inlineStr">
        <is>
          <t>No</t>
        </is>
      </c>
      <c r="N138" s="15" t="inlineStr">
        <is>
          <t>Nothing on record. Its advanced-manufacturing work is a project type it builds for clients, and tilt-up is a conventional method.</t>
        </is>
      </c>
      <c r="O138" s="10" t="inlineStr"/>
      <c r="P138" s="12" t="inlineStr"/>
      <c r="Q138" s="16">
        <f>IF(O138="","ADD LINKEDIN","ok")</f>
        <v/>
      </c>
      <c r="R138" s="12" t="inlineStr">
        <is>
          <t>https://r-o.com/</t>
        </is>
      </c>
      <c r="S138" s="15" t="inlineStr">
        <is>
          <t>Builds industrial and advanced-manufacturing facilities from offices in Dallas, Austin, Houston, San Antonio and Waco.</t>
        </is>
      </c>
      <c r="T138" s="12" t="inlineStr">
        <is>
          <t>YES</t>
        </is>
      </c>
      <c r="U138" s="15" t="inlineStr">
        <is>
          <t>Named on the firm's corporate people page as Chief Executive Officer.</t>
        </is>
      </c>
      <c r="V138" s="12" t="inlineStr">
        <is>
          <t>https://r-o.com/people/corporate/</t>
        </is>
      </c>
      <c r="W138" s="12" t="inlineStr">
        <is>
          <t>https://www.linkedin.com/company/rogersobrien/</t>
        </is>
      </c>
      <c r="X138" s="12" t="inlineStr">
        <is>
          <t>https://r-o.com/people/corporate/</t>
        </is>
      </c>
      <c r="Y138" s="12" t="inlineStr"/>
      <c r="Z138" s="12" t="inlineStr">
        <is>
          <t>(214) 962-3000</t>
        </is>
      </c>
      <c r="AA138" s="12" t="inlineStr">
        <is>
          <t>Headquarters, Dallas</t>
        </is>
      </c>
      <c r="AB138" s="12" t="inlineStr">
        <is>
          <t>https://r-o.com/contact-us/</t>
        </is>
      </c>
      <c r="AC138" s="12" t="inlineStr"/>
      <c r="AD138" s="12" t="inlineStr"/>
    </row>
    <row r="139">
      <c r="A139" s="6" t="inlineStr">
        <is>
          <t>Mike Dempsey</t>
        </is>
      </c>
      <c r="B139" s="6" t="inlineStr">
        <is>
          <t>Rogers-O'Brien Construction</t>
        </is>
      </c>
      <c r="C139" s="6" t="inlineStr">
        <is>
          <t>President and Chief Operating Officer</t>
        </is>
      </c>
      <c r="D139" s="7" t="inlineStr">
        <is>
          <t>Builds the wall, not the house</t>
        </is>
      </c>
      <c r="E139" s="8" t="n">
        <v>1</v>
      </c>
      <c r="F139" s="6" t="inlineStr">
        <is>
          <t>Builds the wall</t>
        </is>
      </c>
      <c r="G139" s="6" t="inlineStr">
        <is>
          <t>Dallas, with offices in Austin, Houston, San Antonio and Waco</t>
        </is>
      </c>
      <c r="H139" s="6" t="inlineStr">
        <is>
          <t>Dallas general contractor, Tilt-Up Concrete Association member</t>
        </is>
      </c>
      <c r="I139" s="8" t="inlineStr">
        <is>
          <t>Yes</t>
        </is>
      </c>
      <c r="J139" s="9" t="inlineStr">
        <is>
          <t>Tilt-wall and industrial shells built repeatedly across Texas markets from its Dallas headquarters.</t>
        </is>
      </c>
      <c r="K139" s="8" t="inlineStr">
        <is>
          <t>No</t>
        </is>
      </c>
      <c r="L139" s="9" t="inlineStr">
        <is>
          <t>A multi-city Texas general contractor whose volume is above what one or two printers cover, with purchasing at the corporate level.</t>
        </is>
      </c>
      <c r="M139" s="8" t="inlineStr">
        <is>
          <t>No</t>
        </is>
      </c>
      <c r="N139" s="9" t="inlineStr">
        <is>
          <t>Nothing on record. Its advanced-manufacturing work is a project type it builds for clients, and tilt-up is a conventional method.</t>
        </is>
      </c>
      <c r="O139" s="10" t="inlineStr"/>
      <c r="P139" s="6" t="inlineStr"/>
      <c r="Q139" s="11">
        <f>IF(O139="","ADD LINKEDIN","ok")</f>
        <v/>
      </c>
      <c r="R139" s="6" t="inlineStr">
        <is>
          <t>https://r-o.com/</t>
        </is>
      </c>
      <c r="S139" s="9" t="inlineStr">
        <is>
          <t>Builds industrial and advanced-manufacturing facilities from offices in Dallas, Austin, Houston, San Antonio and Waco.</t>
        </is>
      </c>
      <c r="T139" s="6" t="inlineStr">
        <is>
          <t>YES</t>
        </is>
      </c>
      <c r="U139" s="9" t="inlineStr">
        <is>
          <t>Named on the firm's corporate people page as President and Chief Operating Officer.</t>
        </is>
      </c>
      <c r="V139" s="6" t="inlineStr">
        <is>
          <t>https://r-o.com/people/corporate/</t>
        </is>
      </c>
      <c r="W139" s="6" t="inlineStr">
        <is>
          <t>https://www.linkedin.com/company/rogersobrien/</t>
        </is>
      </c>
      <c r="X139" s="6" t="inlineStr">
        <is>
          <t>https://r-o.com/people/corporate/</t>
        </is>
      </c>
      <c r="Y139" s="6" t="inlineStr"/>
      <c r="Z139" s="6" t="inlineStr">
        <is>
          <t>(214) 962-3000</t>
        </is>
      </c>
      <c r="AA139" s="6" t="inlineStr">
        <is>
          <t>Headquarters, Dallas</t>
        </is>
      </c>
      <c r="AB139" s="6" t="inlineStr">
        <is>
          <t>https://r-o.com/contact-us/</t>
        </is>
      </c>
      <c r="AC139" s="6" t="inlineStr"/>
      <c r="AD139" s="6" t="inlineStr"/>
    </row>
    <row r="140">
      <c r="A140" s="12" t="inlineStr">
        <is>
          <t>no contact identified</t>
        </is>
      </c>
      <c r="B140" s="12" t="inlineStr">
        <is>
          <t>Tealstone Residential Concrete</t>
        </is>
      </c>
      <c r="C140" s="12" t="inlineStr"/>
      <c r="D140" s="13" t="inlineStr">
        <is>
          <t>Builds the wall, not the house</t>
        </is>
      </c>
      <c r="E140" s="14" t="n">
        <v>1</v>
      </c>
      <c r="F140" s="12" t="inlineStr">
        <is>
          <t>Builds the wall</t>
        </is>
      </c>
      <c r="G140" s="12" t="inlineStr">
        <is>
          <t>Denton, serving DFW, with work in Houston, Austin, San Antonio, Oklahoma and Arizona</t>
        </is>
      </c>
      <c r="H140" s="12" t="inlineStr">
        <is>
          <t>10,000+ slabs a year, on its own site</t>
        </is>
      </c>
      <c r="I140" s="14" t="inlineStr">
        <is>
          <t>Yes</t>
        </is>
      </c>
      <c r="J140" s="15" t="inlineStr">
        <is>
          <t>Foundations for production builders, repeated across the same DFW communities.</t>
        </is>
      </c>
      <c r="K140" s="14" t="inlineStr">
        <is>
          <t>No</t>
        </is>
      </c>
      <c r="L140" s="15" t="inlineStr">
        <is>
          <t>10,000+ slabs a year on its own site is far beyond what one or two printers would cover.</t>
        </is>
      </c>
      <c r="M140" s="14" t="inlineStr">
        <is>
          <t>No</t>
        </is>
      </c>
      <c r="N140" s="15" t="inlineStr">
        <is>
          <t>Nothing on record about paying for a new wall method.</t>
        </is>
      </c>
      <c r="O140" s="10" t="inlineStr"/>
      <c r="P140" s="12" t="inlineStr"/>
      <c r="Q140" s="16">
        <f>IF(O140="","ADD LINKEDIN","ok")</f>
        <v/>
      </c>
      <c r="R140" s="12" t="inlineStr">
        <is>
          <t>https://tealstonelp.com/</t>
        </is>
      </c>
      <c r="S140" s="15" t="inlineStr">
        <is>
          <t>Pours foundations for production builders across DFW and names D.R. Horton as a partner. It is a subsidiary of Sterling Infrastructure.</t>
        </is>
      </c>
      <c r="T140" s="12" t="inlineStr"/>
      <c r="U140" s="15" t="inlineStr"/>
      <c r="V140" s="12" t="inlineStr"/>
      <c r="W140" s="12" t="inlineStr">
        <is>
          <t>https://www.linkedin.com/company/tealstone-residential-concrete-inc./</t>
        </is>
      </c>
      <c r="X140" s="12" t="inlineStr">
        <is>
          <t>https://tealstonelp.com/what-we-do/</t>
        </is>
      </c>
      <c r="Y140" s="12" t="inlineStr"/>
      <c r="Z140" s="12" t="inlineStr">
        <is>
          <t>(940) 383-2887</t>
        </is>
      </c>
      <c r="AA140" s="12" t="inlineStr">
        <is>
          <t>Office, Denton</t>
        </is>
      </c>
      <c r="AB140" s="12" t="inlineStr">
        <is>
          <t>https://tealstonelp.com/contact-us/</t>
        </is>
      </c>
      <c r="AC140" s="12" t="inlineStr"/>
      <c r="AD140" s="12" t="inlineStr"/>
    </row>
    <row r="141">
      <c r="A141" s="6" t="inlineStr">
        <is>
          <t>Steve Brown</t>
        </is>
      </c>
      <c r="B141" s="6" t="inlineStr">
        <is>
          <t>Carl Franklin Homes, L.C.</t>
        </is>
      </c>
      <c r="C141" s="6" t="inlineStr">
        <is>
          <t>Owner and President</t>
        </is>
      </c>
      <c r="D141" s="7" t="inlineStr">
        <is>
          <t>Custom and hybrid job</t>
        </is>
      </c>
      <c r="E141" s="8" t="n">
        <v>3</v>
      </c>
      <c r="F141" s="6" t="inlineStr">
        <is>
          <t>Buys walls</t>
        </is>
      </c>
      <c r="G141" s="6" t="inlineStr">
        <is>
          <t>Lewisville and Plano area, with a DOE project in Garland</t>
        </is>
      </c>
      <c r="H141" s="6" t="inlineStr">
        <is>
          <t>Structural insulated panels on new homes since 1993</t>
        </is>
      </c>
      <c r="I141" s="8" t="inlineStr">
        <is>
          <t>Partly</t>
        </is>
      </c>
      <c r="J141" s="9" t="inlineStr">
        <is>
          <t>Custom homes, built in panels or conventionally, rather than a production plan set.</t>
        </is>
      </c>
      <c r="K141" s="8" t="inlineStr">
        <is>
          <t>Partly</t>
        </is>
      </c>
      <c r="L141" s="9" t="inlineStr">
        <is>
          <t>No published figure. A low-volume custom builder, with no count of homes a year.</t>
        </is>
      </c>
      <c r="M141" s="8" t="inlineStr">
        <is>
          <t>Yes</t>
        </is>
      </c>
      <c r="N141" s="9" t="inlineStr">
        <is>
          <t>It has paid for structural insulated panels as its wall system on new homes since 1993, per the 2014 DOE case study.</t>
        </is>
      </c>
      <c r="O141" s="10" t="inlineStr"/>
      <c r="P141" s="6" t="inlineStr"/>
      <c r="Q141" s="11">
        <f>IF(O141="","ADD LINKEDIN","ok")</f>
        <v/>
      </c>
      <c r="R141" s="6" t="inlineStr"/>
      <c r="S141" s="9" t="inlineStr">
        <is>
          <t>A custom builder, run by owner Steve Brown, that already builds its new homes in panels.</t>
        </is>
      </c>
      <c r="T141" s="6" t="inlineStr">
        <is>
          <t>YES</t>
        </is>
      </c>
      <c r="U141" s="9" t="inlineStr">
        <is>
          <t>Named in a 2014 DOE Zero Energy Ready Home case study as head of the firm, and as president in a Mitsubishi Comfort case study.</t>
        </is>
      </c>
      <c r="V141" s="6" t="inlineStr">
        <is>
          <t>https://www.energy.gov/sites/prod/files/2015/06/f22/DOE_ZEH_CarlFranklin_09-20-14.pdf</t>
        </is>
      </c>
      <c r="W141" s="6" t="inlineStr"/>
      <c r="X141" s="6" t="inlineStr"/>
      <c r="Y141" s="6" t="inlineStr"/>
      <c r="Z141" s="6" t="inlineStr"/>
      <c r="AA141" s="6" t="inlineStr"/>
      <c r="AB141" s="6" t="inlineStr"/>
      <c r="AC141" s="6" t="inlineStr"/>
      <c r="AD141" s="6" t="inlineStr"/>
    </row>
    <row r="142">
      <c r="A142" s="12" t="inlineStr">
        <is>
          <t>Chris Lemming</t>
        </is>
      </c>
      <c r="B142" s="12" t="inlineStr">
        <is>
          <t>Partners in Building</t>
        </is>
      </c>
      <c r="C142" s="12" t="inlineStr">
        <is>
          <t>President</t>
        </is>
      </c>
      <c r="D142" s="13" t="inlineStr">
        <is>
          <t>Custom and hybrid job</t>
        </is>
      </c>
      <c r="E142" s="14" t="n">
        <v>2</v>
      </c>
      <c r="F142" s="12" t="inlineStr">
        <is>
          <t>Buys walls</t>
        </is>
      </c>
      <c r="G142" s="12" t="inlineStr">
        <is>
          <t>Carrollton office, building across Texas and Tennessee</t>
        </is>
      </c>
      <c r="H142" s="12" t="inlineStr">
        <is>
          <t>286 company-wide closings in 2025, BUILDER's list rank 153</t>
        </is>
      </c>
      <c r="I142" s="14" t="inlineStr">
        <is>
          <t>Partly</t>
        </is>
      </c>
      <c r="J142" s="15" t="inlineStr">
        <is>
          <t>Custom and build-on-your-lot homes, drawn from plan libraries.</t>
        </is>
      </c>
      <c r="K142" s="14" t="inlineStr">
        <is>
          <t>Partly</t>
        </is>
      </c>
      <c r="L142" s="15" t="inlineStr">
        <is>
          <t>286 closings in 2025 per BUILDER, company-wide across Texas and Tennessee. Its own story page gives about 300 a year. No DFW share is published.</t>
        </is>
      </c>
      <c r="M142" s="14" t="inlineStr">
        <is>
          <t>No</t>
        </is>
      </c>
      <c r="N142" s="15" t="inlineStr">
        <is>
          <t>Nothing on record about wall method.</t>
        </is>
      </c>
      <c r="O142" s="10" t="inlineStr"/>
      <c r="P142" s="12" t="inlineStr"/>
      <c r="Q142" s="16">
        <f>IF(O142="","ADD LINKEDIN","ok")</f>
        <v/>
      </c>
      <c r="R142" s="12" t="inlineStr">
        <is>
          <t>https://partnersinbuilding.com/</t>
        </is>
      </c>
      <c r="S142" s="15" t="inlineStr">
        <is>
          <t>Luxury custom and build-on-your-lot homes. It entered Dallas in 2022 by buying Paul Taylor Homes.</t>
        </is>
      </c>
      <c r="T142" s="12" t="inlineStr">
        <is>
          <t>YES</t>
        </is>
      </c>
      <c r="U142" s="15" t="inlineStr">
        <is>
          <t>Named President in Realty News Report, June 11, 2026, after serving as Division President for DFW.</t>
        </is>
      </c>
      <c r="V142" s="12" t="inlineStr">
        <is>
          <t>https://realtynewsreport.com/houston-home-builder-names-new-leader/</t>
        </is>
      </c>
      <c r="W142" s="12" t="inlineStr">
        <is>
          <t>https://www.linkedin.com/company/partners-in-building/</t>
        </is>
      </c>
      <c r="X142" s="12" t="inlineStr"/>
      <c r="Y142" s="12" t="inlineStr">
        <is>
          <t>2026-06-11 Realty News Report. Houston Home Builder Names New Leader  https://realtynewsreport.com/houston-home-builder-names-new-leader/</t>
        </is>
      </c>
      <c r="Z142" s="12" t="inlineStr">
        <is>
          <t>(469) 902-3200</t>
        </is>
      </c>
      <c r="AA142" s="12" t="inlineStr">
        <is>
          <t>DFW office, Carrollton</t>
        </is>
      </c>
      <c r="AB142" s="12" t="inlineStr">
        <is>
          <t>https://partnersinbuilding.com/contact</t>
        </is>
      </c>
      <c r="AC142" s="12" t="inlineStr"/>
      <c r="AD142" s="12" t="inlineStr"/>
    </row>
    <row r="143">
      <c r="A143" s="6" t="inlineStr">
        <is>
          <t>Jim Lemming</t>
        </is>
      </c>
      <c r="B143" s="6" t="inlineStr">
        <is>
          <t>Partners in Building</t>
        </is>
      </c>
      <c r="C143" s="6" t="inlineStr">
        <is>
          <t>Chairman</t>
        </is>
      </c>
      <c r="D143" s="7" t="inlineStr">
        <is>
          <t>Custom and hybrid job</t>
        </is>
      </c>
      <c r="E143" s="8" t="n">
        <v>2</v>
      </c>
      <c r="F143" s="6" t="inlineStr">
        <is>
          <t>Buys walls</t>
        </is>
      </c>
      <c r="G143" s="6" t="inlineStr">
        <is>
          <t>Carrollton office, building across Texas and Tennessee</t>
        </is>
      </c>
      <c r="H143" s="6" t="inlineStr">
        <is>
          <t>286 company-wide closings in 2025, BUILDER's list rank 153</t>
        </is>
      </c>
      <c r="I143" s="8" t="inlineStr">
        <is>
          <t>Partly</t>
        </is>
      </c>
      <c r="J143" s="9" t="inlineStr">
        <is>
          <t>Custom and build-on-your-lot homes, drawn from plan libraries.</t>
        </is>
      </c>
      <c r="K143" s="8" t="inlineStr">
        <is>
          <t>Partly</t>
        </is>
      </c>
      <c r="L143" s="9" t="inlineStr">
        <is>
          <t>286 closings in 2025 per BUILDER, company-wide across Texas and Tennessee. Its own story page gives about 300 a year. No DFW share is published.</t>
        </is>
      </c>
      <c r="M143" s="8" t="inlineStr">
        <is>
          <t>No</t>
        </is>
      </c>
      <c r="N143" s="9" t="inlineStr">
        <is>
          <t>Nothing on record about wall method.</t>
        </is>
      </c>
      <c r="O143" s="10" t="inlineStr"/>
      <c r="P143" s="6" t="inlineStr"/>
      <c r="Q143" s="11">
        <f>IF(O143="","ADD LINKEDIN","ok")</f>
        <v/>
      </c>
      <c r="R143" s="6" t="inlineStr">
        <is>
          <t>https://partnersinbuilding.com/</t>
        </is>
      </c>
      <c r="S143" s="9" t="inlineStr">
        <is>
          <t>Luxury custom and build-on-your-lot homes. It entered Dallas in 2022 by buying Paul Taylor Homes.</t>
        </is>
      </c>
      <c r="T143" s="6" t="inlineStr">
        <is>
          <t>YES</t>
        </is>
      </c>
      <c r="U143" s="9" t="inlineStr">
        <is>
          <t>Named on the firm's story page as Chief Executive Officer from 2010, and in Realty News Report, June 2026, as moving to Chairman.</t>
        </is>
      </c>
      <c r="V143" s="6" t="inlineStr">
        <is>
          <t>https://partnersinbuilding.com/our-story</t>
        </is>
      </c>
      <c r="W143" s="6" t="inlineStr">
        <is>
          <t>https://www.linkedin.com/company/partners-in-building/</t>
        </is>
      </c>
      <c r="X143" s="6" t="inlineStr"/>
      <c r="Y143" s="6" t="inlineStr">
        <is>
          <t>2026-06-11 Realty News Report. Houston Home Builder Names New Leader  https://realtynewsreport.com/houston-home-builder-names-new-leader/</t>
        </is>
      </c>
      <c r="Z143" s="6" t="inlineStr">
        <is>
          <t>(469) 902-3200</t>
        </is>
      </c>
      <c r="AA143" s="6" t="inlineStr">
        <is>
          <t>DFW office, Carrollton</t>
        </is>
      </c>
      <c r="AB143" s="6" t="inlineStr">
        <is>
          <t>https://partnersinbuilding.com/contact</t>
        </is>
      </c>
      <c r="AC143" s="6" t="inlineStr"/>
      <c r="AD143" s="6" t="inlineStr"/>
    </row>
    <row r="144">
      <c r="A144" s="12" t="inlineStr">
        <is>
          <t>Paul J. Romanowski</t>
        </is>
      </c>
      <c r="B144" s="12" t="inlineStr">
        <is>
          <t>D.R. Horton, Inc.</t>
        </is>
      </c>
      <c r="C144" s="12" t="inlineStr">
        <is>
          <t>President and Chief Executive Officer</t>
        </is>
      </c>
      <c r="D144" s="13" t="inlineStr">
        <is>
          <t>National builder</t>
        </is>
      </c>
      <c r="E144" s="14" t="n">
        <v>2</v>
      </c>
      <c r="F144" s="12" t="inlineStr">
        <is>
          <t>Buys walls</t>
        </is>
      </c>
      <c r="G144" s="12" t="inlineStr">
        <is>
          <t>Arlington headquarters, with DFW Central, East and West divisions</t>
        </is>
      </c>
      <c r="H144" s="12" t="inlineStr">
        <is>
          <t>8,191 DFW closings in 2024, first on BUILDER's Local Leaders</t>
        </is>
      </c>
      <c r="I144" s="14" t="inlineStr">
        <is>
          <t>Yes</t>
        </is>
      </c>
      <c r="J144" s="15" t="inlineStr">
        <is>
          <t>A production plan library across three DFW divisions, Central, East and West, sold under the D.R. Horton, Emerald and Express brands.</t>
        </is>
      </c>
      <c r="K144" s="14" t="inlineStr">
        <is>
          <t>No</t>
        </is>
      </c>
      <c r="L144" s="15" t="inlineStr">
        <is>
          <t>8,191 DFW closings in 2024 on BUILDER's Local Leaders table is above 1,500, and purchasing sits above the metro.</t>
        </is>
      </c>
      <c r="M144" s="14" t="inlineStr">
        <is>
          <t>Yes</t>
        </is>
      </c>
      <c r="N144" s="15" t="inlineStr">
        <is>
          <t>Apis Cor announced a strategic investment by D.R. Horton in construction 3D printing robots on March 11, 2024. Brad Conlon spoke for the builder.</t>
        </is>
      </c>
      <c r="O144" s="10" t="inlineStr"/>
      <c r="P144" s="12" t="inlineStr"/>
      <c r="Q144" s="16">
        <f>IF(O144="","ADD LINKEDIN","ok")</f>
        <v/>
      </c>
      <c r="R144" s="12" t="inlineStr">
        <is>
          <t>https://www.drhorton.com/</t>
        </is>
      </c>
      <c r="S144" s="15" t="inlineStr">
        <is>
          <t>Invested in Apis Cor, a maker of construction 3D printing robots, in March 2024. Purchasing and printer decisions sit above the metro.</t>
        </is>
      </c>
      <c r="T144" s="12" t="inlineStr"/>
      <c r="U144" s="15" t="inlineStr">
        <is>
          <t>Named on the company's investor executive officers page as President and Chief Executive Officer.</t>
        </is>
      </c>
      <c r="V144" s="12" t="inlineStr">
        <is>
          <t>https://investor.drhorton.com/corporate-governance/executive-officers</t>
        </is>
      </c>
      <c r="W144" s="12" t="inlineStr">
        <is>
          <t>https://www.linkedin.com/company/dr-horton/</t>
        </is>
      </c>
      <c r="X144" s="12" t="inlineStr">
        <is>
          <t>https://investor.drhorton.com/corporate-governance/executive-officers</t>
        </is>
      </c>
      <c r="Y144" s="12" t="inlineStr">
        <is>
          <t>2025-07-24 Dallas Morning News. The 10 biggest homebuilders in D-FW  https://www.dallasnews.com/business/real-estate/2025/07/24/list-who-are-the-10-biggest-homebuilders-in-d-fw/</t>
        </is>
      </c>
      <c r="Z144" s="12" t="inlineStr">
        <is>
          <t>(817) 390-8200</t>
        </is>
      </c>
      <c r="AA144" s="12" t="inlineStr">
        <is>
          <t>Headquarters, Arlington</t>
        </is>
      </c>
      <c r="AB144" s="12" t="inlineStr">
        <is>
          <t>https://www.drhorton.com/contact-us-page</t>
        </is>
      </c>
      <c r="AC144" s="12" t="inlineStr"/>
      <c r="AD144" s="12" t="inlineStr"/>
    </row>
    <row r="145">
      <c r="A145" s="6" t="inlineStr">
        <is>
          <t>Michael J. Murray</t>
        </is>
      </c>
      <c r="B145" s="6" t="inlineStr">
        <is>
          <t>D.R. Horton, Inc.</t>
        </is>
      </c>
      <c r="C145" s="6" t="inlineStr">
        <is>
          <t>Executive Vice President and Chief Operating Officer</t>
        </is>
      </c>
      <c r="D145" s="7" t="inlineStr">
        <is>
          <t>National builder</t>
        </is>
      </c>
      <c r="E145" s="8" t="n">
        <v>2</v>
      </c>
      <c r="F145" s="6" t="inlineStr">
        <is>
          <t>Buys walls</t>
        </is>
      </c>
      <c r="G145" s="6" t="inlineStr">
        <is>
          <t>Arlington headquarters, with DFW Central, East and West divisions</t>
        </is>
      </c>
      <c r="H145" s="6" t="inlineStr">
        <is>
          <t>8,191 DFW closings in 2024, first on BUILDER's Local Leaders</t>
        </is>
      </c>
      <c r="I145" s="8" t="inlineStr">
        <is>
          <t>Yes</t>
        </is>
      </c>
      <c r="J145" s="9" t="inlineStr">
        <is>
          <t>A production plan library across three DFW divisions, Central, East and West, sold under the D.R. Horton, Emerald and Express brands.</t>
        </is>
      </c>
      <c r="K145" s="8" t="inlineStr">
        <is>
          <t>No</t>
        </is>
      </c>
      <c r="L145" s="9" t="inlineStr">
        <is>
          <t>8,191 DFW closings in 2024 on BUILDER's Local Leaders table is above 1,500, and purchasing sits above the metro.</t>
        </is>
      </c>
      <c r="M145" s="8" t="inlineStr">
        <is>
          <t>Yes</t>
        </is>
      </c>
      <c r="N145" s="9" t="inlineStr">
        <is>
          <t>Apis Cor announced a strategic investment by D.R. Horton in construction 3D printing robots on March 11, 2024. Brad Conlon spoke for the builder.</t>
        </is>
      </c>
      <c r="O145" s="10" t="inlineStr"/>
      <c r="P145" s="6" t="inlineStr"/>
      <c r="Q145" s="11">
        <f>IF(O145="","ADD LINKEDIN","ok")</f>
        <v/>
      </c>
      <c r="R145" s="6" t="inlineStr">
        <is>
          <t>https://www.drhorton.com/</t>
        </is>
      </c>
      <c r="S145" s="9" t="inlineStr">
        <is>
          <t>Invested in Apis Cor, a maker of construction 3D printing robots, in March 2024. Purchasing and printer decisions sit above the metro.</t>
        </is>
      </c>
      <c r="T145" s="6" t="inlineStr"/>
      <c r="U145" s="9" t="inlineStr">
        <is>
          <t>Named on the company's investor executive officers page as Executive Vice President and Chief Operating Officer.</t>
        </is>
      </c>
      <c r="V145" s="6" t="inlineStr">
        <is>
          <t>https://investor.drhorton.com/corporate-governance/executive-officers</t>
        </is>
      </c>
      <c r="W145" s="6" t="inlineStr">
        <is>
          <t>https://www.linkedin.com/company/dr-horton/</t>
        </is>
      </c>
      <c r="X145" s="6" t="inlineStr">
        <is>
          <t>https://investor.drhorton.com/corporate-governance/executive-officers</t>
        </is>
      </c>
      <c r="Y145" s="6" t="inlineStr">
        <is>
          <t>2025-07-24 Dallas Morning News. The 10 biggest homebuilders in D-FW  https://www.dallasnews.com/business/real-estate/2025/07/24/list-who-are-the-10-biggest-homebuilders-in-d-fw/</t>
        </is>
      </c>
      <c r="Z145" s="6" t="inlineStr">
        <is>
          <t>(817) 390-8200</t>
        </is>
      </c>
      <c r="AA145" s="6" t="inlineStr">
        <is>
          <t>Headquarters, Arlington</t>
        </is>
      </c>
      <c r="AB145" s="6" t="inlineStr">
        <is>
          <t>https://www.drhorton.com/contact-us-page</t>
        </is>
      </c>
      <c r="AC145" s="6" t="inlineStr"/>
      <c r="AD145" s="6" t="inlineStr"/>
    </row>
    <row r="146">
      <c r="A146" s="12" t="inlineStr">
        <is>
          <t>David V. Auld</t>
        </is>
      </c>
      <c r="B146" s="12" t="inlineStr">
        <is>
          <t>D.R. Horton, Inc.</t>
        </is>
      </c>
      <c r="C146" s="12" t="inlineStr">
        <is>
          <t>Executive Chairman</t>
        </is>
      </c>
      <c r="D146" s="13" t="inlineStr">
        <is>
          <t>National builder</t>
        </is>
      </c>
      <c r="E146" s="14" t="n">
        <v>2</v>
      </c>
      <c r="F146" s="12" t="inlineStr">
        <is>
          <t>Buys walls</t>
        </is>
      </c>
      <c r="G146" s="12" t="inlineStr">
        <is>
          <t>Arlington headquarters, with DFW Central, East and West divisions</t>
        </is>
      </c>
      <c r="H146" s="12" t="inlineStr">
        <is>
          <t>8,191 DFW closings in 2024, first on BUILDER's Local Leaders</t>
        </is>
      </c>
      <c r="I146" s="14" t="inlineStr">
        <is>
          <t>Yes</t>
        </is>
      </c>
      <c r="J146" s="15" t="inlineStr">
        <is>
          <t>A production plan library across three DFW divisions, Central, East and West, sold under the D.R. Horton, Emerald and Express brands.</t>
        </is>
      </c>
      <c r="K146" s="14" t="inlineStr">
        <is>
          <t>No</t>
        </is>
      </c>
      <c r="L146" s="15" t="inlineStr">
        <is>
          <t>8,191 DFW closings in 2024 on BUILDER's Local Leaders table is above 1,500, and purchasing sits above the metro.</t>
        </is>
      </c>
      <c r="M146" s="14" t="inlineStr">
        <is>
          <t>Yes</t>
        </is>
      </c>
      <c r="N146" s="15" t="inlineStr">
        <is>
          <t>Apis Cor announced a strategic investment by D.R. Horton in construction 3D printing robots on March 11, 2024. Brad Conlon spoke for the builder.</t>
        </is>
      </c>
      <c r="O146" s="10" t="inlineStr"/>
      <c r="P146" s="12" t="inlineStr"/>
      <c r="Q146" s="16">
        <f>IF(O146="","ADD LINKEDIN","ok")</f>
        <v/>
      </c>
      <c r="R146" s="12" t="inlineStr">
        <is>
          <t>https://www.drhorton.com/</t>
        </is>
      </c>
      <c r="S146" s="15" t="inlineStr">
        <is>
          <t>Invested in Apis Cor, a maker of construction 3D printing robots, in March 2024. Purchasing and printer decisions sit above the metro.</t>
        </is>
      </c>
      <c r="T146" s="12" t="inlineStr"/>
      <c r="U146" s="15" t="inlineStr">
        <is>
          <t>Named on the company's investor executive officers page as Executive Chairman.</t>
        </is>
      </c>
      <c r="V146" s="12" t="inlineStr">
        <is>
          <t>https://investor.drhorton.com/corporate-governance/executive-officers</t>
        </is>
      </c>
      <c r="W146" s="12" t="inlineStr">
        <is>
          <t>https://www.linkedin.com/company/dr-horton/</t>
        </is>
      </c>
      <c r="X146" s="12" t="inlineStr">
        <is>
          <t>https://investor.drhorton.com/corporate-governance/executive-officers</t>
        </is>
      </c>
      <c r="Y146" s="12" t="inlineStr">
        <is>
          <t>2025-07-24 Dallas Morning News. The 10 biggest homebuilders in D-FW  https://www.dallasnews.com/business/real-estate/2025/07/24/list-who-are-the-10-biggest-homebuilders-in-d-fw/</t>
        </is>
      </c>
      <c r="Z146" s="12" t="inlineStr">
        <is>
          <t>(817) 390-8200</t>
        </is>
      </c>
      <c r="AA146" s="12" t="inlineStr">
        <is>
          <t>Headquarters, Arlington</t>
        </is>
      </c>
      <c r="AB146" s="12" t="inlineStr">
        <is>
          <t>https://www.drhorton.com/contact-us-page</t>
        </is>
      </c>
      <c r="AC146" s="12" t="inlineStr"/>
      <c r="AD146" s="12" t="inlineStr"/>
    </row>
    <row r="147">
      <c r="A147" s="6" t="inlineStr">
        <is>
          <t>Brad Conlon</t>
        </is>
      </c>
      <c r="B147" s="6" t="inlineStr">
        <is>
          <t>D.R. Horton, Inc.</t>
        </is>
      </c>
      <c r="C147" s="6" t="inlineStr">
        <is>
          <t>Senior Vice President of Business Development</t>
        </is>
      </c>
      <c r="D147" s="7" t="inlineStr">
        <is>
          <t>National builder</t>
        </is>
      </c>
      <c r="E147" s="8" t="n">
        <v>2</v>
      </c>
      <c r="F147" s="6" t="inlineStr">
        <is>
          <t>Buys walls</t>
        </is>
      </c>
      <c r="G147" s="6" t="inlineStr">
        <is>
          <t>Arlington headquarters, with DFW Central, East and West divisions</t>
        </is>
      </c>
      <c r="H147" s="6" t="inlineStr">
        <is>
          <t>8,191 DFW closings in 2024, first on BUILDER's Local Leaders</t>
        </is>
      </c>
      <c r="I147" s="8" t="inlineStr">
        <is>
          <t>Yes</t>
        </is>
      </c>
      <c r="J147" s="9" t="inlineStr">
        <is>
          <t>A production plan library across three DFW divisions, Central, East and West, sold under the D.R. Horton, Emerald and Express brands.</t>
        </is>
      </c>
      <c r="K147" s="8" t="inlineStr">
        <is>
          <t>No</t>
        </is>
      </c>
      <c r="L147" s="9" t="inlineStr">
        <is>
          <t>8,191 DFW closings in 2024 on BUILDER's Local Leaders table is above 1,500, and purchasing sits above the metro.</t>
        </is>
      </c>
      <c r="M147" s="8" t="inlineStr">
        <is>
          <t>Yes</t>
        </is>
      </c>
      <c r="N147" s="9" t="inlineStr">
        <is>
          <t>Apis Cor announced a strategic investment by D.R. Horton in construction 3D printing robots on March 11, 2024. Brad Conlon spoke for the builder.</t>
        </is>
      </c>
      <c r="O147" s="10" t="inlineStr"/>
      <c r="P147" s="6" t="inlineStr"/>
      <c r="Q147" s="11">
        <f>IF(O147="","ADD LINKEDIN","ok")</f>
        <v/>
      </c>
      <c r="R147" s="6" t="inlineStr">
        <is>
          <t>https://www.drhorton.com/</t>
        </is>
      </c>
      <c r="S147" s="9" t="inlineStr">
        <is>
          <t>Invested in Apis Cor, a maker of construction 3D printing robots, in March 2024. Purchasing and printer decisions sit above the metro.</t>
        </is>
      </c>
      <c r="T147" s="6" t="inlineStr"/>
      <c r="U147" s="9" t="inlineStr">
        <is>
          <t>Quoted on the Apis Cor investment release as D.R. Horton's Senior Vice President of Business Development.</t>
        </is>
      </c>
      <c r="V147" s="6" t="inlineStr">
        <is>
          <t>https://www.prnewswire.com/news-releases/apis-cor-a-manufacturer-of-construction-3d-printing-robots-announces-strategic-investment-by-dr-horton-302084850.html</t>
        </is>
      </c>
      <c r="W147" s="6" t="inlineStr">
        <is>
          <t>https://www.linkedin.com/company/dr-horton/</t>
        </is>
      </c>
      <c r="X147" s="6" t="inlineStr">
        <is>
          <t>https://investor.drhorton.com/corporate-governance/executive-officers</t>
        </is>
      </c>
      <c r="Y147" s="6" t="inlineStr">
        <is>
          <t>2025-07-24 Dallas Morning News. The 10 biggest homebuilders in D-FW  https://www.dallasnews.com/business/real-estate/2025/07/24/list-who-are-the-10-biggest-homebuilders-in-d-fw/</t>
        </is>
      </c>
      <c r="Z147" s="6" t="inlineStr">
        <is>
          <t>(817) 390-8200</t>
        </is>
      </c>
      <c r="AA147" s="6" t="inlineStr">
        <is>
          <t>Headquarters, Arlington</t>
        </is>
      </c>
      <c r="AB147" s="6" t="inlineStr">
        <is>
          <t>https://www.drhorton.com/contact-us-page</t>
        </is>
      </c>
      <c r="AC147" s="6" t="inlineStr"/>
      <c r="AD147" s="6" t="inlineStr"/>
    </row>
    <row r="148">
      <c r="A148" s="12" t="inlineStr">
        <is>
          <t>Scott Bryson</t>
        </is>
      </c>
      <c r="B148" s="12" t="inlineStr">
        <is>
          <t>PulteGroup, Inc.</t>
        </is>
      </c>
      <c r="C148" s="12" t="inlineStr">
        <is>
          <t>Dallas Division President</t>
        </is>
      </c>
      <c r="D148" s="13" t="inlineStr">
        <is>
          <t>National builder</t>
        </is>
      </c>
      <c r="E148" s="14" t="n">
        <v>2</v>
      </c>
      <c r="F148" s="12" t="inlineStr">
        <is>
          <t>Buys walls</t>
        </is>
      </c>
      <c r="G148" s="12" t="inlineStr">
        <is>
          <t>Dallas division, with communities in Forney and Fort Worth</t>
        </is>
      </c>
      <c r="H148" s="12" t="inlineStr">
        <is>
          <t>1,564 DFW closings in 2024, 3.6% share</t>
        </is>
      </c>
      <c r="I148" s="14" t="inlineStr">
        <is>
          <t>Yes</t>
        </is>
      </c>
      <c r="J148" s="15" t="inlineStr">
        <is>
          <t>Pulte, Centex and Del Webb plan libraries sold across its Dallas market page.</t>
        </is>
      </c>
      <c r="K148" s="14" t="inlineStr">
        <is>
          <t>No</t>
        </is>
      </c>
      <c r="L148" s="15" t="inlineStr">
        <is>
          <t>1,564 DFW closings in 2024 on BUILDER's Local Leaders table is above 1,500.</t>
        </is>
      </c>
      <c r="M148" s="14" t="inlineStr">
        <is>
          <t>Yes</t>
        </is>
      </c>
      <c r="N148" s="15" t="inlineStr">
        <is>
          <t>Owned an off-site framing producer from 2020 until 2026, and piloted FBR's Hadrian X robotic wall system in Florida in February 2025.</t>
        </is>
      </c>
      <c r="O148" s="6" t="inlineStr">
        <is>
          <t>https://www.linkedin.com/in/scott-bryson-2909939/</t>
        </is>
      </c>
      <c r="P148" s="12" t="inlineStr"/>
      <c r="Q148" s="16">
        <f>IF(O148="","ADD LINKEDIN","ok")</f>
        <v/>
      </c>
      <c r="R148" s="12" t="inlineStr">
        <is>
          <t>https://www.pulte.com/homes/texas/dallas</t>
        </is>
      </c>
      <c r="S148" s="15" t="inlineStr">
        <is>
          <t>Scott Bryson became Dallas Division President in August 2025 and leads all of the division's homebuilding. No construction or purchasing officer is named.</t>
        </is>
      </c>
      <c r="T148" s="12" t="inlineStr">
        <is>
          <t>YES</t>
        </is>
      </c>
      <c r="U148" s="15" t="inlineStr">
        <is>
          <t>Indexed title reads Scott Bryson - PulteGroup. Named in PulteGroup's August 21, 2025 release as president of its Dallas division, to lead all aspects of its homebuilding operations.</t>
        </is>
      </c>
      <c r="V148" s="12" t="inlineStr">
        <is>
          <t>https://www.businesswire.com/news/home/20250821913928/en/PulteGroup-Promotes-Scott-Bryson-to-Dallas-Division-President</t>
        </is>
      </c>
      <c r="W148" s="12" t="inlineStr">
        <is>
          <t>https://www.linkedin.com/company/pultegroup/</t>
        </is>
      </c>
      <c r="X148" s="12" t="inlineStr">
        <is>
          <t>https://www.businesswire.com/news/home/20250821913928/en/PulteGroup-Promotes-Scott-Bryson-to-Dallas-Division-President</t>
        </is>
      </c>
      <c r="Y148" s="12" t="inlineStr">
        <is>
          <t>2025-07-24 Dallas Morning News. The 10 biggest homebuilders in D-FW  https://www.dallasnews.com/business/real-estate/2025/07/24/list-who-are-the-10-biggest-homebuilders-in-d-fw/</t>
        </is>
      </c>
      <c r="Z148" s="12" t="inlineStr">
        <is>
          <t>(972) 200-3727</t>
        </is>
      </c>
      <c r="AA148" s="12" t="inlineStr">
        <is>
          <t>Dallas market line, Pulte Dallas homes page</t>
        </is>
      </c>
      <c r="AB148" s="12" t="inlineStr">
        <is>
          <t>https://www.pulte.com/homes/texas/dallas</t>
        </is>
      </c>
      <c r="AC148" s="12" t="inlineStr"/>
      <c r="AD148" s="12" t="inlineStr"/>
    </row>
    <row r="149">
      <c r="A149" s="6" t="inlineStr">
        <is>
          <t>Jay Brown</t>
        </is>
      </c>
      <c r="B149" s="6" t="inlineStr">
        <is>
          <t>David Weekley Homes</t>
        </is>
      </c>
      <c r="C149" s="6" t="inlineStr">
        <is>
          <t>Chief Executive Officer</t>
        </is>
      </c>
      <c r="D149" s="7" t="inlineStr">
        <is>
          <t>National builder</t>
        </is>
      </c>
      <c r="E149" s="8" t="n">
        <v>3</v>
      </c>
      <c r="F149" s="6" t="inlineStr">
        <is>
          <t>Buys walls</t>
        </is>
      </c>
      <c r="G149" s="6" t="inlineStr">
        <is>
          <t>Carrollton division office, with communities across DFW</t>
        </is>
      </c>
      <c r="H149" s="6" t="inlineStr">
        <is>
          <t>943 Dallas-division closings in 2025, its own press kit</t>
        </is>
      </c>
      <c r="I149" s="8" t="inlineStr">
        <is>
          <t>Yes</t>
        </is>
      </c>
      <c r="J149" s="9" t="inlineStr">
        <is>
          <t>The 2025 press kit names 67 DFW communities on a national plan library, including Central Living and Encore products.</t>
        </is>
      </c>
      <c r="K149" s="8" t="inlineStr">
        <is>
          <t>Partly</t>
        </is>
      </c>
      <c r="L149" s="9" t="inlineStr">
        <is>
          <t>943 Dallas closings in 2025 by its own press kit, and 987 DFW starts for April 2024 to March 2025 on the Zonda list. Both sit in the 400 to 1,500 band.</t>
        </is>
      </c>
      <c r="M149" s="8" t="inlineStr">
        <is>
          <t>Partly</t>
        </is>
      </c>
      <c r="N149" s="9" t="inlineStr">
        <is>
          <t>Its press kit cites ENERGY STAR recognition. Nothing structural on record.</t>
        </is>
      </c>
      <c r="O149" s="6" t="inlineStr">
        <is>
          <t>https://www.linkedin.com/in/jay-brown-14305a12/</t>
        </is>
      </c>
      <c r="P149" s="6" t="inlineStr"/>
      <c r="Q149" s="11">
        <f>IF(O149="","ADD LINKEDIN","ok")</f>
        <v/>
      </c>
      <c r="R149" s="6" t="inlineStr">
        <is>
          <t>https://www.davidweekleyhomes.com/new-homes/tx/dallas-ft-worth</t>
        </is>
      </c>
      <c r="S149" s="9" t="inlineStr">
        <is>
          <t>A private national builder whose Carrollton division builds in 67 DFW communities. Its chief operating officer was previously Area President in Dallas.</t>
        </is>
      </c>
      <c r="T149" s="6" t="inlineStr"/>
      <c r="U149" s="9" t="inlineStr">
        <is>
          <t>Indexed title reads Jay Brown - David Weekley Homes. Named Chief Executive Officer in the leadership section of the firm's about page.</t>
        </is>
      </c>
      <c r="V149" s="6" t="inlineStr">
        <is>
          <t>https://www.davidweekleyhomes.com/about-us</t>
        </is>
      </c>
      <c r="W149" s="6" t="inlineStr">
        <is>
          <t>https://www.linkedin.com/company/david-weekley-homes/</t>
        </is>
      </c>
      <c r="X149" s="6" t="inlineStr">
        <is>
          <t>https://www.davidweekleyhomes.com/about-us</t>
        </is>
      </c>
      <c r="Y149" s="6" t="inlineStr">
        <is>
          <t>2025-07-24 Dallas Morning News. The 10 biggest homebuilders in D-FW  https://www.dallasnews.com/business/real-estate/2025/07/24/list-who-are-the-10-biggest-homebuilders-in-d-fw/</t>
        </is>
      </c>
      <c r="Z149" s="6" t="inlineStr">
        <is>
          <t>(877) 933-5539</t>
        </is>
      </c>
      <c r="AA149" s="6" t="inlineStr">
        <is>
          <t>Dallas/Ft. Worth homes page line</t>
        </is>
      </c>
      <c r="AB149" s="6" t="inlineStr">
        <is>
          <t>https://www.davidweekleyhomes.com/new-homes/tx/dallas-ft-worth</t>
        </is>
      </c>
      <c r="AC149" s="6" t="inlineStr"/>
      <c r="AD149" s="6" t="inlineStr"/>
    </row>
    <row r="150">
      <c r="A150" s="12" t="inlineStr">
        <is>
          <t>Chris Weekley</t>
        </is>
      </c>
      <c r="B150" s="12" t="inlineStr">
        <is>
          <t>David Weekley Homes</t>
        </is>
      </c>
      <c r="C150" s="12" t="inlineStr">
        <is>
          <t>President and Vice Chairman</t>
        </is>
      </c>
      <c r="D150" s="13" t="inlineStr">
        <is>
          <t>National builder</t>
        </is>
      </c>
      <c r="E150" s="14" t="n">
        <v>3</v>
      </c>
      <c r="F150" s="12" t="inlineStr">
        <is>
          <t>Buys walls</t>
        </is>
      </c>
      <c r="G150" s="12" t="inlineStr">
        <is>
          <t>Carrollton division office, with communities across DFW</t>
        </is>
      </c>
      <c r="H150" s="12" t="inlineStr">
        <is>
          <t>943 Dallas-division closings in 2025, its own press kit</t>
        </is>
      </c>
      <c r="I150" s="14" t="inlineStr">
        <is>
          <t>Yes</t>
        </is>
      </c>
      <c r="J150" s="15" t="inlineStr">
        <is>
          <t>The 2025 press kit names 67 DFW communities on a national plan library, including Central Living and Encore products.</t>
        </is>
      </c>
      <c r="K150" s="14" t="inlineStr">
        <is>
          <t>Partly</t>
        </is>
      </c>
      <c r="L150" s="15" t="inlineStr">
        <is>
          <t>943 Dallas closings in 2025 by its own press kit, and 987 DFW starts for April 2024 to March 2025 on the Zonda list. Both sit in the 400 to 1,500 band.</t>
        </is>
      </c>
      <c r="M150" s="14" t="inlineStr">
        <is>
          <t>Partly</t>
        </is>
      </c>
      <c r="N150" s="15" t="inlineStr">
        <is>
          <t>Its press kit cites ENERGY STAR recognition. Nothing structural on record.</t>
        </is>
      </c>
      <c r="O150" s="10" t="inlineStr"/>
      <c r="P150" s="12" t="inlineStr"/>
      <c r="Q150" s="16">
        <f>IF(O150="","ADD LINKEDIN","ok")</f>
        <v/>
      </c>
      <c r="R150" s="12" t="inlineStr">
        <is>
          <t>https://www.davidweekleyhomes.com/new-homes/tx/dallas-ft-worth</t>
        </is>
      </c>
      <c r="S150" s="15" t="inlineStr">
        <is>
          <t>A private national builder whose Carrollton division builds in 67 DFW communities. Its chief operating officer was previously Area President in Dallas.</t>
        </is>
      </c>
      <c r="T150" s="12" t="inlineStr"/>
      <c r="U150" s="15" t="inlineStr">
        <is>
          <t>Named President and Vice Chairman on the firm's about page.</t>
        </is>
      </c>
      <c r="V150" s="12" t="inlineStr">
        <is>
          <t>https://www.davidweekleyhomes.com/about-us</t>
        </is>
      </c>
      <c r="W150" s="12" t="inlineStr">
        <is>
          <t>https://www.linkedin.com/company/david-weekley-homes/</t>
        </is>
      </c>
      <c r="X150" s="12" t="inlineStr">
        <is>
          <t>https://www.davidweekleyhomes.com/about-us</t>
        </is>
      </c>
      <c r="Y150" s="12" t="inlineStr">
        <is>
          <t>2025-07-24 Dallas Morning News. The 10 biggest homebuilders in D-FW  https://www.dallasnews.com/business/real-estate/2025/07/24/list-who-are-the-10-biggest-homebuilders-in-d-fw/</t>
        </is>
      </c>
      <c r="Z150" s="12" t="inlineStr">
        <is>
          <t>(877) 933-5539</t>
        </is>
      </c>
      <c r="AA150" s="12" t="inlineStr">
        <is>
          <t>Dallas/Ft. Worth homes page line</t>
        </is>
      </c>
      <c r="AB150" s="12" t="inlineStr">
        <is>
          <t>https://www.davidweekleyhomes.com/new-homes/tx/dallas-ft-worth</t>
        </is>
      </c>
      <c r="AC150" s="12" t="inlineStr"/>
      <c r="AD150" s="12" t="inlineStr"/>
    </row>
    <row r="151">
      <c r="A151" s="6" t="inlineStr">
        <is>
          <t>David Weekley</t>
        </is>
      </c>
      <c r="B151" s="6" t="inlineStr">
        <is>
          <t>David Weekley Homes</t>
        </is>
      </c>
      <c r="C151" s="6" t="inlineStr">
        <is>
          <t>Chairman</t>
        </is>
      </c>
      <c r="D151" s="7" t="inlineStr">
        <is>
          <t>National builder</t>
        </is>
      </c>
      <c r="E151" s="8" t="n">
        <v>3</v>
      </c>
      <c r="F151" s="6" t="inlineStr">
        <is>
          <t>Buys walls</t>
        </is>
      </c>
      <c r="G151" s="6" t="inlineStr">
        <is>
          <t>Carrollton division office, with communities across DFW</t>
        </is>
      </c>
      <c r="H151" s="6" t="inlineStr">
        <is>
          <t>943 Dallas-division closings in 2025, its own press kit</t>
        </is>
      </c>
      <c r="I151" s="8" t="inlineStr">
        <is>
          <t>Yes</t>
        </is>
      </c>
      <c r="J151" s="9" t="inlineStr">
        <is>
          <t>The 2025 press kit names 67 DFW communities on a national plan library, including Central Living and Encore products.</t>
        </is>
      </c>
      <c r="K151" s="8" t="inlineStr">
        <is>
          <t>Partly</t>
        </is>
      </c>
      <c r="L151" s="9" t="inlineStr">
        <is>
          <t>943 Dallas closings in 2025 by its own press kit, and 987 DFW starts for April 2024 to March 2025 on the Zonda list. Both sit in the 400 to 1,500 band.</t>
        </is>
      </c>
      <c r="M151" s="8" t="inlineStr">
        <is>
          <t>Partly</t>
        </is>
      </c>
      <c r="N151" s="9" t="inlineStr">
        <is>
          <t>Its press kit cites ENERGY STAR recognition. Nothing structural on record.</t>
        </is>
      </c>
      <c r="O151" s="6" t="inlineStr">
        <is>
          <t>https://www.linkedin.com/in/david-weekley-507212149</t>
        </is>
      </c>
      <c r="P151" s="6" t="inlineStr"/>
      <c r="Q151" s="11">
        <f>IF(O151="","ADD LINKEDIN","ok")</f>
        <v/>
      </c>
      <c r="R151" s="6" t="inlineStr">
        <is>
          <t>https://www.davidweekleyhomes.com/new-homes/tx/dallas-ft-worth</t>
        </is>
      </c>
      <c r="S151" s="9" t="inlineStr">
        <is>
          <t>A private national builder whose Carrollton division builds in 67 DFW communities. Its chief operating officer was previously Area President in Dallas.</t>
        </is>
      </c>
      <c r="T151" s="6" t="inlineStr"/>
      <c r="U151" s="9" t="inlineStr">
        <is>
          <t>Indexed title reads Chairman at David Weekley Homes. Named Chairman on the firm's about page.</t>
        </is>
      </c>
      <c r="V151" s="6" t="inlineStr">
        <is>
          <t>https://www.davidweekleyhomes.com/about-us</t>
        </is>
      </c>
      <c r="W151" s="6" t="inlineStr">
        <is>
          <t>https://www.linkedin.com/company/david-weekley-homes/</t>
        </is>
      </c>
      <c r="X151" s="6" t="inlineStr">
        <is>
          <t>https://www.davidweekleyhomes.com/about-us</t>
        </is>
      </c>
      <c r="Y151" s="6" t="inlineStr">
        <is>
          <t>2025-07-24 Dallas Morning News. The 10 biggest homebuilders in D-FW  https://www.dallasnews.com/business/real-estate/2025/07/24/list-who-are-the-10-biggest-homebuilders-in-d-fw/</t>
        </is>
      </c>
      <c r="Z151" s="6" t="inlineStr">
        <is>
          <t>(877) 933-5539</t>
        </is>
      </c>
      <c r="AA151" s="6" t="inlineStr">
        <is>
          <t>Dallas/Ft. Worth homes page line</t>
        </is>
      </c>
      <c r="AB151" s="6" t="inlineStr">
        <is>
          <t>https://www.davidweekleyhomes.com/new-homes/tx/dallas-ft-worth</t>
        </is>
      </c>
      <c r="AC151" s="6" t="inlineStr"/>
      <c r="AD151" s="6" t="inlineStr"/>
    </row>
    <row r="152">
      <c r="A152" s="12" t="inlineStr">
        <is>
          <t>Ladd Fargo</t>
        </is>
      </c>
      <c r="B152" s="12" t="inlineStr">
        <is>
          <t>David Weekley Homes</t>
        </is>
      </c>
      <c r="C152" s="12" t="inlineStr">
        <is>
          <t>Chief Operating Officer</t>
        </is>
      </c>
      <c r="D152" s="13" t="inlineStr">
        <is>
          <t>National builder</t>
        </is>
      </c>
      <c r="E152" s="14" t="n">
        <v>3</v>
      </c>
      <c r="F152" s="12" t="inlineStr">
        <is>
          <t>Buys walls</t>
        </is>
      </c>
      <c r="G152" s="12" t="inlineStr">
        <is>
          <t>Carrollton division office, with communities across DFW</t>
        </is>
      </c>
      <c r="H152" s="12" t="inlineStr">
        <is>
          <t>943 Dallas-division closings in 2025, its own press kit</t>
        </is>
      </c>
      <c r="I152" s="14" t="inlineStr">
        <is>
          <t>Yes</t>
        </is>
      </c>
      <c r="J152" s="15" t="inlineStr">
        <is>
          <t>The 2025 press kit names 67 DFW communities on a national plan library, including Central Living and Encore products.</t>
        </is>
      </c>
      <c r="K152" s="14" t="inlineStr">
        <is>
          <t>Partly</t>
        </is>
      </c>
      <c r="L152" s="15" t="inlineStr">
        <is>
          <t>943 Dallas closings in 2025 by its own press kit, and 987 DFW starts for April 2024 to March 2025 on the Zonda list. Both sit in the 400 to 1,500 band.</t>
        </is>
      </c>
      <c r="M152" s="14" t="inlineStr">
        <is>
          <t>Partly</t>
        </is>
      </c>
      <c r="N152" s="15" t="inlineStr">
        <is>
          <t>Its press kit cites ENERGY STAR recognition. Nothing structural on record.</t>
        </is>
      </c>
      <c r="O152" s="10" t="inlineStr"/>
      <c r="P152" s="12" t="inlineStr"/>
      <c r="Q152" s="16">
        <f>IF(O152="","ADD LINKEDIN","ok")</f>
        <v/>
      </c>
      <c r="R152" s="12" t="inlineStr">
        <is>
          <t>https://www.davidweekleyhomes.com/new-homes/tx/dallas-ft-worth</t>
        </is>
      </c>
      <c r="S152" s="15" t="inlineStr">
        <is>
          <t>A private national builder whose Carrollton division builds in 67 DFW communities. Its chief operating officer was previously Area President in Dallas.</t>
        </is>
      </c>
      <c r="T152" s="12" t="inlineStr"/>
      <c r="U152" s="15" t="inlineStr">
        <is>
          <t>Named on the firm's about page as Chief Operating Officer over all division operations, and previously Area President in Dallas.</t>
        </is>
      </c>
      <c r="V152" s="12" t="inlineStr">
        <is>
          <t>https://www.davidweekleyhomes.com/about-us</t>
        </is>
      </c>
      <c r="W152" s="12" t="inlineStr">
        <is>
          <t>https://www.linkedin.com/company/david-weekley-homes/</t>
        </is>
      </c>
      <c r="X152" s="12" t="inlineStr">
        <is>
          <t>https://www.davidweekleyhomes.com/about-us</t>
        </is>
      </c>
      <c r="Y152" s="12" t="inlineStr">
        <is>
          <t>2025-07-24 Dallas Morning News. The 10 biggest homebuilders in D-FW  https://www.dallasnews.com/business/real-estate/2025/07/24/list-who-are-the-10-biggest-homebuilders-in-d-fw/</t>
        </is>
      </c>
      <c r="Z152" s="12" t="inlineStr">
        <is>
          <t>(877) 933-5539</t>
        </is>
      </c>
      <c r="AA152" s="12" t="inlineStr">
        <is>
          <t>Dallas/Ft. Worth homes page line</t>
        </is>
      </c>
      <c r="AB152" s="12" t="inlineStr">
        <is>
          <t>https://www.davidweekleyhomes.com/new-homes/tx/dallas-ft-worth</t>
        </is>
      </c>
      <c r="AC152" s="12" t="inlineStr"/>
      <c r="AD152" s="12" t="inlineStr"/>
    </row>
    <row r="153">
      <c r="A153" s="6" t="inlineStr">
        <is>
          <t>Lance Wright</t>
        </is>
      </c>
      <c r="B153" s="6" t="inlineStr">
        <is>
          <t>CastleRock Communities</t>
        </is>
      </c>
      <c r="C153" s="6" t="inlineStr">
        <is>
          <t>Chief Executive Officer</t>
        </is>
      </c>
      <c r="D153" s="7" t="inlineStr">
        <is>
          <t>National builder</t>
        </is>
      </c>
      <c r="E153" s="8" t="n">
        <v>2</v>
      </c>
      <c r="F153" s="6" t="inlineStr">
        <is>
          <t>Buys walls</t>
        </is>
      </c>
      <c r="G153" s="6" t="inlineStr">
        <is>
          <t>Houston headquarters, with DFW communities in Mesquite and Keller</t>
        </is>
      </c>
      <c r="H153" s="6" t="inlineStr">
        <is>
          <t>1,465 company-wide closings in 2025, Texas and Tennessee</t>
        </is>
      </c>
      <c r="I153" s="8" t="inlineStr">
        <is>
          <t>Yes</t>
        </is>
      </c>
      <c r="J153" s="9" t="inlineStr">
        <is>
          <t>Cobalt, Silver and Gold plan collections repeated across Texas markets, including DFW.</t>
        </is>
      </c>
      <c r="K153" s="8" t="inlineStr">
        <is>
          <t>Partly</t>
        </is>
      </c>
      <c r="L153" s="9" t="inlineStr">
        <is>
          <t>1,465 company-wide closings in 2025 sits in the 400 to 1,500 band, and purchasing sits at the Houston headquarters, owned by Daiwa House.</t>
        </is>
      </c>
      <c r="M153" s="8" t="inlineStr">
        <is>
          <t>No</t>
        </is>
      </c>
      <c r="N153" s="9" t="inlineStr">
        <is>
          <t>Nothing on record about wall method. Daiwa House ownership is capital, not a wall method.</t>
        </is>
      </c>
      <c r="O153" s="10" t="inlineStr"/>
      <c r="P153" s="6" t="inlineStr"/>
      <c r="Q153" s="11">
        <f>IF(O153="","ADD LINKEDIN","ok")</f>
        <v/>
      </c>
      <c r="R153" s="6" t="inlineStr">
        <is>
          <t>https://www.c-rock.com/</t>
        </is>
      </c>
      <c r="S153" s="9" t="inlineStr">
        <is>
          <t>Owned by Daiwa House since 2021 and run from Houston, so DFW purchasing sits at the parent.</t>
        </is>
      </c>
      <c r="T153" s="6" t="inlineStr"/>
      <c r="U153" s="9" t="inlineStr">
        <is>
          <t>Named on CastleRock's own about page as founding partner and CEO, over sales, construction, purchasing and marketing.</t>
        </is>
      </c>
      <c r="V153" s="6" t="inlineStr">
        <is>
          <t>https://www.c-rock.com/about/</t>
        </is>
      </c>
      <c r="W153" s="6" t="inlineStr">
        <is>
          <t>https://www.linkedin.com/company/castlerock-communities/</t>
        </is>
      </c>
      <c r="X153" s="6" t="inlineStr">
        <is>
          <t>https://www.c-rock.com/about/</t>
        </is>
      </c>
      <c r="Y153" s="6" t="inlineStr"/>
      <c r="Z153" s="6" t="inlineStr">
        <is>
          <t>(713) 600-7000</t>
        </is>
      </c>
      <c r="AA153" s="6" t="inlineStr">
        <is>
          <t>Main office, Houston</t>
        </is>
      </c>
      <c r="AB153" s="6" t="inlineStr">
        <is>
          <t>https://www.c-rock.com/</t>
        </is>
      </c>
      <c r="AC153" s="6" t="inlineStr"/>
      <c r="AD153" s="6" t="inlineStr"/>
    </row>
    <row r="154">
      <c r="A154" s="12" t="inlineStr">
        <is>
          <t>Kirk Breitenwischer</t>
        </is>
      </c>
      <c r="B154" s="12" t="inlineStr">
        <is>
          <t>CastleRock Communities</t>
        </is>
      </c>
      <c r="C154" s="12" t="inlineStr">
        <is>
          <t>Senior Executive Vice President</t>
        </is>
      </c>
      <c r="D154" s="13" t="inlineStr">
        <is>
          <t>National builder</t>
        </is>
      </c>
      <c r="E154" s="14" t="n">
        <v>2</v>
      </c>
      <c r="F154" s="12" t="inlineStr">
        <is>
          <t>Buys walls</t>
        </is>
      </c>
      <c r="G154" s="12" t="inlineStr">
        <is>
          <t>Houston headquarters, with DFW communities in Mesquite and Keller</t>
        </is>
      </c>
      <c r="H154" s="12" t="inlineStr">
        <is>
          <t>1,465 company-wide closings in 2025, Texas and Tennessee</t>
        </is>
      </c>
      <c r="I154" s="14" t="inlineStr">
        <is>
          <t>Yes</t>
        </is>
      </c>
      <c r="J154" s="15" t="inlineStr">
        <is>
          <t>Cobalt, Silver and Gold plan collections repeated across Texas markets, including DFW.</t>
        </is>
      </c>
      <c r="K154" s="14" t="inlineStr">
        <is>
          <t>Partly</t>
        </is>
      </c>
      <c r="L154" s="15" t="inlineStr">
        <is>
          <t>1,465 company-wide closings in 2025 sits in the 400 to 1,500 band, and purchasing sits at the Houston headquarters, owned by Daiwa House.</t>
        </is>
      </c>
      <c r="M154" s="14" t="inlineStr">
        <is>
          <t>No</t>
        </is>
      </c>
      <c r="N154" s="15" t="inlineStr">
        <is>
          <t>Nothing on record about wall method. Daiwa House ownership is capital, not a wall method.</t>
        </is>
      </c>
      <c r="O154" s="10" t="inlineStr"/>
      <c r="P154" s="12" t="inlineStr"/>
      <c r="Q154" s="16">
        <f>IF(O154="","ADD LINKEDIN","ok")</f>
        <v/>
      </c>
      <c r="R154" s="12" t="inlineStr">
        <is>
          <t>https://www.c-rock.com/</t>
        </is>
      </c>
      <c r="S154" s="15" t="inlineStr">
        <is>
          <t>Owned by Daiwa House since 2021 and run from Houston, so DFW purchasing sits at the parent.</t>
        </is>
      </c>
      <c r="T154" s="12" t="inlineStr"/>
      <c r="U154" s="15" t="inlineStr">
        <is>
          <t>Named on CastleRock's own about page as partner and Senior Executive Vice President, over land.</t>
        </is>
      </c>
      <c r="V154" s="12" t="inlineStr">
        <is>
          <t>https://www.c-rock.com/about/</t>
        </is>
      </c>
      <c r="W154" s="12" t="inlineStr">
        <is>
          <t>https://www.linkedin.com/company/castlerock-communities/</t>
        </is>
      </c>
      <c r="X154" s="12" t="inlineStr">
        <is>
          <t>https://www.c-rock.com/about/</t>
        </is>
      </c>
      <c r="Y154" s="12" t="inlineStr"/>
      <c r="Z154" s="12" t="inlineStr">
        <is>
          <t>(713) 600-7000</t>
        </is>
      </c>
      <c r="AA154" s="12" t="inlineStr">
        <is>
          <t>Main office, Houston</t>
        </is>
      </c>
      <c r="AB154" s="12" t="inlineStr">
        <is>
          <t>https://www.c-rock.com/</t>
        </is>
      </c>
      <c r="AC154" s="12" t="inlineStr"/>
      <c r="AD154" s="12" t="inlineStr"/>
    </row>
    <row r="155">
      <c r="A155" s="6" t="inlineStr">
        <is>
          <t>John Kuntz</t>
        </is>
      </c>
      <c r="B155" s="6" t="inlineStr">
        <is>
          <t>Mattamy Homes</t>
        </is>
      </c>
      <c r="C155" s="6" t="inlineStr">
        <is>
          <t>President, Dallas Division</t>
        </is>
      </c>
      <c r="D155" s="7" t="inlineStr">
        <is>
          <t>National builder</t>
        </is>
      </c>
      <c r="E155" s="8" t="n">
        <v>2</v>
      </c>
      <c r="F155" s="6" t="inlineStr">
        <is>
          <t>Buys walls</t>
        </is>
      </c>
      <c r="G155" s="6" t="inlineStr">
        <is>
          <t>Dallas-Fort Worth, from Justin to Forney</t>
        </is>
      </c>
      <c r="H155" s="6" t="inlineStr">
        <is>
          <t>Dallas Division launched 2020, President John Kuntz</t>
        </is>
      </c>
      <c r="I155" s="8" t="inlineStr">
        <is>
          <t>Yes</t>
        </is>
      </c>
      <c r="J155" s="9" t="inlineStr">
        <is>
          <t>Single-family and townhome plan sets repeated across DFW masterplans in Justin, Celina, Forney, Anna, Little Elm and Frisco.</t>
        </is>
      </c>
      <c r="K155" s="8" t="inlineStr">
        <is>
          <t>No</t>
        </is>
      </c>
      <c r="L155" s="9" t="inlineStr">
        <is>
          <t>Builds across several US metros, and purchasing sits above the Dallas Division at a national desk.</t>
        </is>
      </c>
      <c r="M155" s="8" t="inlineStr">
        <is>
          <t>Partly</t>
        </is>
      </c>
      <c r="N155" s="9" t="inlineStr">
        <is>
          <t>Its DFW community pages market HERS Index scores, with an average of 51 at Wildflower Ranch. Nothing structural on record.</t>
        </is>
      </c>
      <c r="O155" s="10" t="inlineStr"/>
      <c r="P155" s="6" t="inlineStr"/>
      <c r="Q155" s="11">
        <f>IF(O155="","ADD LINKEDIN","ok")</f>
        <v/>
      </c>
      <c r="R155" s="6" t="inlineStr">
        <is>
          <t>https://mattamyhomes.com/texas/dallas-fort-worth</t>
        </is>
      </c>
      <c r="S155" s="9" t="inlineStr">
        <is>
          <t>A multi-metro builder with a named Dallas Division president. Its DFW community pages publish HERS scores, with an average of 51 at Wildflower Ranch.</t>
        </is>
      </c>
      <c r="T155" s="6" t="inlineStr">
        <is>
          <t>YES</t>
        </is>
      </c>
      <c r="U155" s="9" t="inlineStr">
        <is>
          <t>Quoted as President of Mattamy's Dallas Division in a PR Newswire release of 15 November 2023.</t>
        </is>
      </c>
      <c r="V155" s="6" t="inlineStr">
        <is>
          <t>https://www.prnewswire.com/news-releases/four-up-and-coming-mattamy-communities-unveil-new-model-homes-in-dallas-fort-worth-301988953.html</t>
        </is>
      </c>
      <c r="W155" s="6" t="inlineStr">
        <is>
          <t>https://www.linkedin.com/company/mattamy-homes/</t>
        </is>
      </c>
      <c r="X155" s="6" t="inlineStr">
        <is>
          <t>https://www.prnewswire.com/news-releases/four-up-and-coming-mattamy-communities-unveil-new-model-homes-in-dallas-fort-worth-301988953.html</t>
        </is>
      </c>
      <c r="Y155" s="6" t="inlineStr">
        <is>
          <t>2023-11-15 PR Newswire. Four up-and-coming Mattamy communities unveil new model homes in Dallas-Fort Worth  https://www.prnewswire.com/news-releases/four-up-and-coming-mattamy-communities-unveil-new-model-homes-in-dallas-fort-worth-301988953.html</t>
        </is>
      </c>
      <c r="Z155" s="6" t="inlineStr">
        <is>
          <t>(469) 551-6812</t>
        </is>
      </c>
      <c r="AA155" s="6" t="inlineStr">
        <is>
          <t>Wildflower Ranch sales gallery, Justin</t>
        </is>
      </c>
      <c r="AB155" s="6" t="inlineStr">
        <is>
          <t>https://mattamyhomes.com/texas/dallas-fort-worth/justin/wildflower-ranch</t>
        </is>
      </c>
      <c r="AC155" s="6" t="inlineStr"/>
      <c r="AD155" s="6" t="inlineStr"/>
    </row>
    <row r="156">
      <c r="A156" s="12" t="inlineStr">
        <is>
          <t>Phillippe Lord</t>
        </is>
      </c>
      <c r="B156" s="12" t="inlineStr">
        <is>
          <t>Meritage Homes Corporation</t>
        </is>
      </c>
      <c r="C156" s="12" t="inlineStr">
        <is>
          <t>Chief Executive Officer</t>
        </is>
      </c>
      <c r="D156" s="13" t="inlineStr">
        <is>
          <t>National builder</t>
        </is>
      </c>
      <c r="E156" s="14" t="n">
        <v>2</v>
      </c>
      <c r="F156" s="12" t="inlineStr">
        <is>
          <t>Buys walls</t>
        </is>
      </c>
      <c r="G156" s="12" t="inlineStr">
        <is>
          <t>Dallas-Fort Worth, part of a national builder</t>
        </is>
      </c>
      <c r="H156" s="12" t="inlineStr">
        <is>
          <t>1,589 DFW closings in 2024, 3.6% share</t>
        </is>
      </c>
      <c r="I156" s="14" t="inlineStr">
        <is>
          <t>Yes</t>
        </is>
      </c>
      <c r="J156" s="15" t="inlineStr">
        <is>
          <t>A national energy-efficient plan library sold across the communities on its Dallas/Ft. Worth market page.</t>
        </is>
      </c>
      <c r="K156" s="14" t="inlineStr">
        <is>
          <t>No</t>
        </is>
      </c>
      <c r="L156" s="15" t="inlineStr">
        <is>
          <t>1,589 DFW closings in 2024 on BUILDER's Local Leaders 2025 is above 1,500.</t>
        </is>
      </c>
      <c r="M156" s="14" t="inlineStr">
        <is>
          <t>Partly</t>
        </is>
      </c>
      <c r="N156" s="15" t="inlineStr">
        <is>
          <t>Its public materials stress energy efficiency and cycle time. Nothing structural on record.</t>
        </is>
      </c>
      <c r="O156" s="6" t="inlineStr">
        <is>
          <t>https://www.linkedin.com/in/phillippe-lord-72924012/</t>
        </is>
      </c>
      <c r="P156" s="12" t="inlineStr"/>
      <c r="Q156" s="16">
        <f>IF(O156="","ADD LINKEDIN","ok")</f>
        <v/>
      </c>
      <c r="R156" s="12" t="inlineStr">
        <is>
          <t>https://www.meritagehomes.com/state/tx/dallasft-worth</t>
        </is>
      </c>
      <c r="S156" s="15" t="inlineStr">
        <is>
          <t>Sells a national energy-efficient plan library. Its DFW division president of 2018 to 2025 moved to corporate operations in January 2026.</t>
        </is>
      </c>
      <c r="T156" s="12" t="inlineStr"/>
      <c r="U156" s="15" t="inlineStr">
        <is>
          <t>Indexed title reads Phillippe Lord - Meritage Homes. Named on the Meritage investor management team page as Chief Executive Officer.</t>
        </is>
      </c>
      <c r="V156" s="12" t="inlineStr">
        <is>
          <t>https://investors.meritagehomes.com/company-information/management-team</t>
        </is>
      </c>
      <c r="W156" s="12" t="inlineStr">
        <is>
          <t>https://www.linkedin.com/company/meritage-homes/</t>
        </is>
      </c>
      <c r="X156" s="12" t="inlineStr">
        <is>
          <t>https://investors.meritagehomes.com/company-information/management-team</t>
        </is>
      </c>
      <c r="Y156" s="12" t="inlineStr">
        <is>
          <t>2025-07-24 Dallas Morning News. The 10 biggest homebuilders in D-FW  https://www.dallasnews.com/business/real-estate/2025/07/24/list-who-are-the-10-biggest-homebuilders-in-d-fw/</t>
        </is>
      </c>
      <c r="Z156" s="12" t="inlineStr">
        <is>
          <t>(469) 487-7973</t>
        </is>
      </c>
      <c r="AA156" s="12" t="inlineStr">
        <is>
          <t>Dallas/Ft. Worth sales team</t>
        </is>
      </c>
      <c r="AB156" s="12" t="inlineStr">
        <is>
          <t>https://www.meritagehomes.com/state/tx/dallasft-worth</t>
        </is>
      </c>
      <c r="AC156" s="12" t="inlineStr"/>
      <c r="AD156" s="12" t="inlineStr"/>
    </row>
    <row r="157">
      <c r="A157" s="6" t="inlineStr">
        <is>
          <t>Hilla Sferruzza</t>
        </is>
      </c>
      <c r="B157" s="6" t="inlineStr">
        <is>
          <t>Meritage Homes Corporation</t>
        </is>
      </c>
      <c r="C157" s="6" t="inlineStr">
        <is>
          <t>Executive Vice President and Chief Financial Officer</t>
        </is>
      </c>
      <c r="D157" s="7" t="inlineStr">
        <is>
          <t>National builder</t>
        </is>
      </c>
      <c r="E157" s="8" t="n">
        <v>2</v>
      </c>
      <c r="F157" s="6" t="inlineStr">
        <is>
          <t>Buys walls</t>
        </is>
      </c>
      <c r="G157" s="6" t="inlineStr">
        <is>
          <t>Dallas-Fort Worth, part of a national builder</t>
        </is>
      </c>
      <c r="H157" s="6" t="inlineStr">
        <is>
          <t>1,589 DFW closings in 2024, 3.6% share</t>
        </is>
      </c>
      <c r="I157" s="8" t="inlineStr">
        <is>
          <t>Yes</t>
        </is>
      </c>
      <c r="J157" s="9" t="inlineStr">
        <is>
          <t>A national energy-efficient plan library sold across the communities on its Dallas/Ft. Worth market page.</t>
        </is>
      </c>
      <c r="K157" s="8" t="inlineStr">
        <is>
          <t>No</t>
        </is>
      </c>
      <c r="L157" s="9" t="inlineStr">
        <is>
          <t>1,589 DFW closings in 2024 on BUILDER's Local Leaders 2025 is above 1,500.</t>
        </is>
      </c>
      <c r="M157" s="8" t="inlineStr">
        <is>
          <t>Partly</t>
        </is>
      </c>
      <c r="N157" s="9" t="inlineStr">
        <is>
          <t>Its public materials stress energy efficiency and cycle time. Nothing structural on record.</t>
        </is>
      </c>
      <c r="O157" s="6" t="inlineStr">
        <is>
          <t>https://www.linkedin.com/in/hilla-sferruzza-cpa-mba-b3170b8/</t>
        </is>
      </c>
      <c r="P157" s="6" t="inlineStr"/>
      <c r="Q157" s="11">
        <f>IF(O157="","ADD LINKEDIN","ok")</f>
        <v/>
      </c>
      <c r="R157" s="6" t="inlineStr">
        <is>
          <t>https://www.meritagehomes.com/state/tx/dallasft-worth</t>
        </is>
      </c>
      <c r="S157" s="9" t="inlineStr">
        <is>
          <t>Sells a national energy-efficient plan library. Its DFW division president of 2018 to 2025 moved to corporate operations in January 2026.</t>
        </is>
      </c>
      <c r="T157" s="6" t="inlineStr"/>
      <c r="U157" s="9" t="inlineStr">
        <is>
          <t>Indexed title reads Hilla Sferruzza, CPA, MBA - Meritage Homes. Named on the Meritage investor management team page as Executive Vice President and Chief Financial Officer.</t>
        </is>
      </c>
      <c r="V157" s="6" t="inlineStr">
        <is>
          <t>https://investors.meritagehomes.com/company-information/management-team</t>
        </is>
      </c>
      <c r="W157" s="6" t="inlineStr">
        <is>
          <t>https://www.linkedin.com/company/meritage-homes/</t>
        </is>
      </c>
      <c r="X157" s="6" t="inlineStr">
        <is>
          <t>https://investors.meritagehomes.com/company-information/management-team</t>
        </is>
      </c>
      <c r="Y157" s="6" t="inlineStr">
        <is>
          <t>2025-07-24 Dallas Morning News. The 10 biggest homebuilders in D-FW  https://www.dallasnews.com/business/real-estate/2025/07/24/list-who-are-the-10-biggest-homebuilders-in-d-fw/</t>
        </is>
      </c>
      <c r="Z157" s="6" t="inlineStr">
        <is>
          <t>(469) 487-7973</t>
        </is>
      </c>
      <c r="AA157" s="6" t="inlineStr">
        <is>
          <t>Dallas/Ft. Worth sales team</t>
        </is>
      </c>
      <c r="AB157" s="6" t="inlineStr">
        <is>
          <t>https://www.meritagehomes.com/state/tx/dallasft-worth</t>
        </is>
      </c>
      <c r="AC157" s="6" t="inlineStr"/>
      <c r="AD157" s="6" t="inlineStr"/>
    </row>
    <row r="158">
      <c r="A158" s="12" t="inlineStr">
        <is>
          <t>Austin Woffinden</t>
        </is>
      </c>
      <c r="B158" s="12" t="inlineStr">
        <is>
          <t>Meritage Homes Corporation</t>
        </is>
      </c>
      <c r="C158" s="12" t="inlineStr">
        <is>
          <t>Executive Vice President, Corporate Operations and Strategy</t>
        </is>
      </c>
      <c r="D158" s="13" t="inlineStr">
        <is>
          <t>National builder</t>
        </is>
      </c>
      <c r="E158" s="14" t="n">
        <v>2</v>
      </c>
      <c r="F158" s="12" t="inlineStr">
        <is>
          <t>Buys walls</t>
        </is>
      </c>
      <c r="G158" s="12" t="inlineStr">
        <is>
          <t>Dallas-Fort Worth, part of a national builder</t>
        </is>
      </c>
      <c r="H158" s="12" t="inlineStr">
        <is>
          <t>1,589 DFW closings in 2024, 3.6% share</t>
        </is>
      </c>
      <c r="I158" s="14" t="inlineStr">
        <is>
          <t>Yes</t>
        </is>
      </c>
      <c r="J158" s="15" t="inlineStr">
        <is>
          <t>A national energy-efficient plan library sold across the communities on its Dallas/Ft. Worth market page.</t>
        </is>
      </c>
      <c r="K158" s="14" t="inlineStr">
        <is>
          <t>No</t>
        </is>
      </c>
      <c r="L158" s="15" t="inlineStr">
        <is>
          <t>1,589 DFW closings in 2024 on BUILDER's Local Leaders 2025 is above 1,500.</t>
        </is>
      </c>
      <c r="M158" s="14" t="inlineStr">
        <is>
          <t>Partly</t>
        </is>
      </c>
      <c r="N158" s="15" t="inlineStr">
        <is>
          <t>Its public materials stress energy efficiency and cycle time. Nothing structural on record.</t>
        </is>
      </c>
      <c r="O158" s="6" t="inlineStr">
        <is>
          <t>https://www.linkedin.com/in/austin-woffinden-692297b/</t>
        </is>
      </c>
      <c r="P158" s="12" t="inlineStr"/>
      <c r="Q158" s="16">
        <f>IF(O158="","ADD LINKEDIN","ok")</f>
        <v/>
      </c>
      <c r="R158" s="12" t="inlineStr">
        <is>
          <t>https://www.meritagehomes.com/state/tx/dallasft-worth</t>
        </is>
      </c>
      <c r="S158" s="15" t="inlineStr">
        <is>
          <t>Sells a national energy-efficient plan library. Its DFW division president of 2018 to 2025 moved to corporate operations in January 2026.</t>
        </is>
      </c>
      <c r="T158" s="12" t="inlineStr"/>
      <c r="U158" s="15" t="inlineStr">
        <is>
          <t>Indexed title reads Austin Woffinden - Meritage Homes. His bio on the management page lists Division President of Dallas Fort Worth from 2018 to 2025, Area President of Dallas Fort Worth and Nashville in 2025, and this role from 1 January 2026.</t>
        </is>
      </c>
      <c r="V158" s="12" t="inlineStr">
        <is>
          <t>https://investors.meritagehomes.com/company-information/management-team</t>
        </is>
      </c>
      <c r="W158" s="12" t="inlineStr">
        <is>
          <t>https://www.linkedin.com/company/meritage-homes/</t>
        </is>
      </c>
      <c r="X158" s="12" t="inlineStr">
        <is>
          <t>https://investors.meritagehomes.com/company-information/management-team</t>
        </is>
      </c>
      <c r="Y158" s="12" t="inlineStr">
        <is>
          <t>2025-07-24 Dallas Morning News. The 10 biggest homebuilders in D-FW  https://www.dallasnews.com/business/real-estate/2025/07/24/list-who-are-the-10-biggest-homebuilders-in-d-fw/</t>
        </is>
      </c>
      <c r="Z158" s="12" t="inlineStr">
        <is>
          <t>(469) 487-7973</t>
        </is>
      </c>
      <c r="AA158" s="12" t="inlineStr">
        <is>
          <t>Dallas/Ft. Worth sales team</t>
        </is>
      </c>
      <c r="AB158" s="12" t="inlineStr">
        <is>
          <t>https://www.meritagehomes.com/state/tx/dallasft-worth</t>
        </is>
      </c>
      <c r="AC158" s="12" t="inlineStr"/>
      <c r="AD158" s="12" t="inlineStr"/>
    </row>
    <row r="159">
      <c r="A159" s="6" t="inlineStr">
        <is>
          <t>Ken Balogh</t>
        </is>
      </c>
      <c r="B159" s="6" t="inlineStr">
        <is>
          <t>Ashton Woods Homes</t>
        </is>
      </c>
      <c r="C159" s="6" t="inlineStr">
        <is>
          <t>President and Chief Executive Officer</t>
        </is>
      </c>
      <c r="D159" s="7" t="inlineStr">
        <is>
          <t>National builder</t>
        </is>
      </c>
      <c r="E159" s="8" t="n">
        <v>2</v>
      </c>
      <c r="F159" s="6" t="inlineStr">
        <is>
          <t>Buys walls</t>
        </is>
      </c>
      <c r="G159" s="6" t="inlineStr">
        <is>
          <t>Dallas-Fort Worth, with communities in McKinney, Celina and Plano</t>
        </is>
      </c>
      <c r="H159" s="6" t="inlineStr">
        <is>
          <t>1,155 DFW closings in 2024, 2.6% share</t>
        </is>
      </c>
      <c r="I159" s="8" t="inlineStr">
        <is>
          <t>Yes</t>
        </is>
      </c>
      <c r="J159" s="9" t="inlineStr">
        <is>
          <t>A national plan library, with the Texas markets under one regional president.</t>
        </is>
      </c>
      <c r="K159" s="8" t="inlineStr">
        <is>
          <t>Partly</t>
        </is>
      </c>
      <c r="L159" s="9" t="inlineStr">
        <is>
          <t>1,155 DFW closings in 2024 sits in the 400 to 1,500 band, with purchasing at the parent.</t>
        </is>
      </c>
      <c r="M159" s="8" t="inlineStr">
        <is>
          <t>No</t>
        </is>
      </c>
      <c r="N159" s="9" t="inlineStr">
        <is>
          <t>Nothing on record. The corporate page covers design and operations leadership.</t>
        </is>
      </c>
      <c r="O159" s="6" t="inlineStr">
        <is>
          <t>https://www.linkedin.com/in/ken-balogh-02964741/</t>
        </is>
      </c>
      <c r="P159" s="6" t="inlineStr"/>
      <c r="Q159" s="11">
        <f>IF(O159="","ADD LINKEDIN","ok")</f>
        <v/>
      </c>
      <c r="R159" s="6" t="inlineStr">
        <is>
          <t>https://www.ashtonwoods.com/</t>
        </is>
      </c>
      <c r="S159" s="9" t="inlineStr">
        <is>
          <t>Purchasing and construction run from national senior vice presidents on the corporate page, with one regional president over Texas.</t>
        </is>
      </c>
      <c r="T159" s="6" t="inlineStr"/>
      <c r="U159" s="9" t="inlineStr">
        <is>
          <t>Indexed title reads Ken Balogh - Ashton Woods Homes. Named on the Ashton Woods corporate page as President and Chief Executive Officer.</t>
        </is>
      </c>
      <c r="V159" s="6" t="inlineStr">
        <is>
          <t>https://www.ashtonwoods.com/corporate-info</t>
        </is>
      </c>
      <c r="W159" s="6" t="inlineStr">
        <is>
          <t>https://www.linkedin.com/company/ashton-woods-homes/</t>
        </is>
      </c>
      <c r="X159" s="6" t="inlineStr">
        <is>
          <t>https://www.ashtonwoods.com/corporate-info</t>
        </is>
      </c>
      <c r="Y159" s="6" t="inlineStr">
        <is>
          <t>2025-07-24 Dallas Morning News. The 10 biggest homebuilders in D-FW  https://www.dallasnews.com/business/real-estate/2025/07/24/list-who-are-the-10-biggest-homebuilders-in-d-fw/</t>
        </is>
      </c>
      <c r="Z159" s="6" t="inlineStr">
        <is>
          <t>(770) 998-9663</t>
        </is>
      </c>
      <c r="AA159" s="6" t="inlineStr">
        <is>
          <t>Corporate headquarters, Alpharetta, Georgia</t>
        </is>
      </c>
      <c r="AB159" s="6" t="inlineStr">
        <is>
          <t>https://www.ashtonwoods.com/corporate-info</t>
        </is>
      </c>
      <c r="AC159" s="6" t="inlineStr"/>
      <c r="AD159" s="6" t="inlineStr"/>
    </row>
    <row r="160">
      <c r="A160" s="12" t="inlineStr">
        <is>
          <t>Lindsay Motley</t>
        </is>
      </c>
      <c r="B160" s="12" t="inlineStr">
        <is>
          <t>Ashton Woods Homes</t>
        </is>
      </c>
      <c r="C160" s="12" t="inlineStr">
        <is>
          <t>Regional President, Texas</t>
        </is>
      </c>
      <c r="D160" s="13" t="inlineStr">
        <is>
          <t>National builder</t>
        </is>
      </c>
      <c r="E160" s="14" t="n">
        <v>2</v>
      </c>
      <c r="F160" s="12" t="inlineStr">
        <is>
          <t>Buys walls</t>
        </is>
      </c>
      <c r="G160" s="12" t="inlineStr">
        <is>
          <t>Dallas-Fort Worth, with communities in McKinney, Celina and Plano</t>
        </is>
      </c>
      <c r="H160" s="12" t="inlineStr">
        <is>
          <t>1,155 DFW closings in 2024, 2.6% share</t>
        </is>
      </c>
      <c r="I160" s="14" t="inlineStr">
        <is>
          <t>Yes</t>
        </is>
      </c>
      <c r="J160" s="15" t="inlineStr">
        <is>
          <t>A national plan library, with the Texas markets under one regional president.</t>
        </is>
      </c>
      <c r="K160" s="14" t="inlineStr">
        <is>
          <t>Partly</t>
        </is>
      </c>
      <c r="L160" s="15" t="inlineStr">
        <is>
          <t>1,155 DFW closings in 2024 sits in the 400 to 1,500 band, with purchasing at the parent.</t>
        </is>
      </c>
      <c r="M160" s="14" t="inlineStr">
        <is>
          <t>No</t>
        </is>
      </c>
      <c r="N160" s="15" t="inlineStr">
        <is>
          <t>Nothing on record. The corporate page covers design and operations leadership.</t>
        </is>
      </c>
      <c r="O160" s="6" t="inlineStr">
        <is>
          <t>https://www.linkedin.com/in/lindsay-motley-3553b614</t>
        </is>
      </c>
      <c r="P160" s="12" t="inlineStr"/>
      <c r="Q160" s="16">
        <f>IF(O160="","ADD LINKEDIN","ok")</f>
        <v/>
      </c>
      <c r="R160" s="12" t="inlineStr">
        <is>
          <t>https://www.ashtonwoods.com/</t>
        </is>
      </c>
      <c r="S160" s="15" t="inlineStr">
        <is>
          <t>Purchasing and construction run from national senior vice presidents on the corporate page, with one regional president over Texas.</t>
        </is>
      </c>
      <c r="T160" s="12" t="inlineStr">
        <is>
          <t>YES</t>
        </is>
      </c>
      <c r="U160" s="15" t="inlineStr">
        <is>
          <t>Indexed title reads Lindsay Motley - Regional President at Ashton Woods. Named as Regional President over the Texas markets, a role she was promoted to in 2022.</t>
        </is>
      </c>
      <c r="V160" s="12" t="inlineStr">
        <is>
          <t>https://www.ashtonwoods.com/corporate-info</t>
        </is>
      </c>
      <c r="W160" s="12" t="inlineStr">
        <is>
          <t>https://www.linkedin.com/company/ashton-woods-homes/</t>
        </is>
      </c>
      <c r="X160" s="12" t="inlineStr">
        <is>
          <t>https://www.ashtonwoods.com/corporate-info</t>
        </is>
      </c>
      <c r="Y160" s="12" t="inlineStr">
        <is>
          <t>2025-07-24 Dallas Morning News. The 10 biggest homebuilders in D-FW  https://www.dallasnews.com/business/real-estate/2025/07/24/list-who-are-the-10-biggest-homebuilders-in-d-fw/</t>
        </is>
      </c>
      <c r="Z160" s="12" t="inlineStr">
        <is>
          <t>(770) 998-9663</t>
        </is>
      </c>
      <c r="AA160" s="12" t="inlineStr">
        <is>
          <t>Corporate headquarters, Alpharetta, Georgia</t>
        </is>
      </c>
      <c r="AB160" s="12" t="inlineStr">
        <is>
          <t>https://www.ashtonwoods.com/corporate-info</t>
        </is>
      </c>
      <c r="AC160" s="12" t="inlineStr"/>
      <c r="AD160" s="12" t="inlineStr"/>
    </row>
    <row r="161">
      <c r="A161" s="6" t="inlineStr">
        <is>
          <t>Adam Weaver</t>
        </is>
      </c>
      <c r="B161" s="6" t="inlineStr">
        <is>
          <t>Ashton Woods Homes</t>
        </is>
      </c>
      <c r="C161" s="6" t="inlineStr">
        <is>
          <t>Senior Vice President of Purchasing</t>
        </is>
      </c>
      <c r="D161" s="7" t="inlineStr">
        <is>
          <t>National builder</t>
        </is>
      </c>
      <c r="E161" s="8" t="n">
        <v>2</v>
      </c>
      <c r="F161" s="6" t="inlineStr">
        <is>
          <t>Buys walls</t>
        </is>
      </c>
      <c r="G161" s="6" t="inlineStr">
        <is>
          <t>Dallas-Fort Worth, with communities in McKinney, Celina and Plano</t>
        </is>
      </c>
      <c r="H161" s="6" t="inlineStr">
        <is>
          <t>1,155 DFW closings in 2024, 2.6% share</t>
        </is>
      </c>
      <c r="I161" s="8" t="inlineStr">
        <is>
          <t>Yes</t>
        </is>
      </c>
      <c r="J161" s="9" t="inlineStr">
        <is>
          <t>A national plan library, with the Texas markets under one regional president.</t>
        </is>
      </c>
      <c r="K161" s="8" t="inlineStr">
        <is>
          <t>Partly</t>
        </is>
      </c>
      <c r="L161" s="9" t="inlineStr">
        <is>
          <t>1,155 DFW closings in 2024 sits in the 400 to 1,500 band, with purchasing at the parent.</t>
        </is>
      </c>
      <c r="M161" s="8" t="inlineStr">
        <is>
          <t>No</t>
        </is>
      </c>
      <c r="N161" s="9" t="inlineStr">
        <is>
          <t>Nothing on record. The corporate page covers design and operations leadership.</t>
        </is>
      </c>
      <c r="O161" s="6" t="inlineStr">
        <is>
          <t>https://www.linkedin.com/in/adamweaver/</t>
        </is>
      </c>
      <c r="P161" s="6" t="inlineStr"/>
      <c r="Q161" s="11">
        <f>IF(O161="","ADD LINKEDIN","ok")</f>
        <v/>
      </c>
      <c r="R161" s="6" t="inlineStr">
        <is>
          <t>https://www.ashtonwoods.com/</t>
        </is>
      </c>
      <c r="S161" s="9" t="inlineStr">
        <is>
          <t>Purchasing and construction run from national senior vice presidents on the corporate page, with one regional president over Texas.</t>
        </is>
      </c>
      <c r="T161" s="6" t="inlineStr">
        <is>
          <t>YES</t>
        </is>
      </c>
      <c r="U161" s="9" t="inlineStr">
        <is>
          <t>Indexed title reads Adam Weaver - Ashton Woods Homes. Named on the corporate page's executive team as Senior Vice President of Purchasing.</t>
        </is>
      </c>
      <c r="V161" s="6" t="inlineStr">
        <is>
          <t>https://www.ashtonwoods.com/corporate-info</t>
        </is>
      </c>
      <c r="W161" s="6" t="inlineStr">
        <is>
          <t>https://www.linkedin.com/company/ashton-woods-homes/</t>
        </is>
      </c>
      <c r="X161" s="6" t="inlineStr">
        <is>
          <t>https://www.ashtonwoods.com/corporate-info</t>
        </is>
      </c>
      <c r="Y161" s="6" t="inlineStr">
        <is>
          <t>2025-07-24 Dallas Morning News. The 10 biggest homebuilders in D-FW  https://www.dallasnews.com/business/real-estate/2025/07/24/list-who-are-the-10-biggest-homebuilders-in-d-fw/</t>
        </is>
      </c>
      <c r="Z161" s="6" t="inlineStr">
        <is>
          <t>(770) 998-9663</t>
        </is>
      </c>
      <c r="AA161" s="6" t="inlineStr">
        <is>
          <t>Corporate headquarters, Alpharetta, Georgia</t>
        </is>
      </c>
      <c r="AB161" s="6" t="inlineStr">
        <is>
          <t>https://www.ashtonwoods.com/corporate-info</t>
        </is>
      </c>
      <c r="AC161" s="6" t="inlineStr"/>
      <c r="AD161" s="6" t="inlineStr"/>
    </row>
    <row r="162">
      <c r="A162" s="12" t="inlineStr">
        <is>
          <t>Ken Newman</t>
        </is>
      </c>
      <c r="B162" s="12" t="inlineStr">
        <is>
          <t>Ashton Woods Homes</t>
        </is>
      </c>
      <c r="C162" s="12" t="inlineStr">
        <is>
          <t>Senior Vice President of Construction Operations</t>
        </is>
      </c>
      <c r="D162" s="13" t="inlineStr">
        <is>
          <t>National builder</t>
        </is>
      </c>
      <c r="E162" s="14" t="n">
        <v>2</v>
      </c>
      <c r="F162" s="12" t="inlineStr">
        <is>
          <t>Buys walls</t>
        </is>
      </c>
      <c r="G162" s="12" t="inlineStr">
        <is>
          <t>Dallas-Fort Worth, with communities in McKinney, Celina and Plano</t>
        </is>
      </c>
      <c r="H162" s="12" t="inlineStr">
        <is>
          <t>1,155 DFW closings in 2024, 2.6% share</t>
        </is>
      </c>
      <c r="I162" s="14" t="inlineStr">
        <is>
          <t>Yes</t>
        </is>
      </c>
      <c r="J162" s="15" t="inlineStr">
        <is>
          <t>A national plan library, with the Texas markets under one regional president.</t>
        </is>
      </c>
      <c r="K162" s="14" t="inlineStr">
        <is>
          <t>Partly</t>
        </is>
      </c>
      <c r="L162" s="15" t="inlineStr">
        <is>
          <t>1,155 DFW closings in 2024 sits in the 400 to 1,500 band, with purchasing at the parent.</t>
        </is>
      </c>
      <c r="M162" s="14" t="inlineStr">
        <is>
          <t>No</t>
        </is>
      </c>
      <c r="N162" s="15" t="inlineStr">
        <is>
          <t>Nothing on record. The corporate page covers design and operations leadership.</t>
        </is>
      </c>
      <c r="O162" s="10" t="inlineStr"/>
      <c r="P162" s="12" t="inlineStr"/>
      <c r="Q162" s="16">
        <f>IF(O162="","ADD LINKEDIN","ok")</f>
        <v/>
      </c>
      <c r="R162" s="12" t="inlineStr">
        <is>
          <t>https://www.ashtonwoods.com/</t>
        </is>
      </c>
      <c r="S162" s="15" t="inlineStr">
        <is>
          <t>Purchasing and construction run from national senior vice presidents on the corporate page, with one regional president over Texas.</t>
        </is>
      </c>
      <c r="T162" s="12" t="inlineStr">
        <is>
          <t>YES</t>
        </is>
      </c>
      <c r="U162" s="15" t="inlineStr">
        <is>
          <t>Named on the corporate page's executive team as Senior Vice President of Construction Operations.</t>
        </is>
      </c>
      <c r="V162" s="12" t="inlineStr">
        <is>
          <t>https://www.ashtonwoods.com/corporate-info</t>
        </is>
      </c>
      <c r="W162" s="12" t="inlineStr">
        <is>
          <t>https://www.linkedin.com/company/ashton-woods-homes/</t>
        </is>
      </c>
      <c r="X162" s="12" t="inlineStr">
        <is>
          <t>https://www.ashtonwoods.com/corporate-info</t>
        </is>
      </c>
      <c r="Y162" s="12" t="inlineStr">
        <is>
          <t>2025-07-24 Dallas Morning News. The 10 biggest homebuilders in D-FW  https://www.dallasnews.com/business/real-estate/2025/07/24/list-who-are-the-10-biggest-homebuilders-in-d-fw/</t>
        </is>
      </c>
      <c r="Z162" s="12" t="inlineStr">
        <is>
          <t>(770) 998-9663</t>
        </is>
      </c>
      <c r="AA162" s="12" t="inlineStr">
        <is>
          <t>Corporate headquarters, Alpharetta, Georgia</t>
        </is>
      </c>
      <c r="AB162" s="12" t="inlineStr">
        <is>
          <t>https://www.ashtonwoods.com/corporate-info</t>
        </is>
      </c>
      <c r="AC162" s="12" t="inlineStr"/>
      <c r="AD162" s="12" t="inlineStr"/>
    </row>
    <row r="163">
      <c r="A163" s="6" t="inlineStr">
        <is>
          <t>Kathy Britton</t>
        </is>
      </c>
      <c r="B163" s="6" t="inlineStr">
        <is>
          <t>Perry Homes</t>
        </is>
      </c>
      <c r="C163" s="6" t="inlineStr">
        <is>
          <t>Owner and Executive Chair</t>
        </is>
      </c>
      <c r="D163" s="7" t="inlineStr">
        <is>
          <t>National builder</t>
        </is>
      </c>
      <c r="E163" s="8" t="n">
        <v>2</v>
      </c>
      <c r="F163" s="6" t="inlineStr">
        <is>
          <t>Buys walls</t>
        </is>
      </c>
      <c r="G163" s="6" t="inlineStr">
        <is>
          <t>Houston headquarters, Dallas office in Plano</t>
        </is>
      </c>
      <c r="H163" s="6" t="inlineStr">
        <is>
          <t>1,132 DFW closings in 2024, 2.6% share</t>
        </is>
      </c>
      <c r="I163" s="8" t="inlineStr">
        <is>
          <t>Yes</t>
        </is>
      </c>
      <c r="J163" s="9" t="inlineStr">
        <is>
          <t>Repeated plans across Houston, Austin, Dallas-Fort Worth, San Antonio and Florida.</t>
        </is>
      </c>
      <c r="K163" s="8" t="inlineStr">
        <is>
          <t>Partly</t>
        </is>
      </c>
      <c r="L163" s="9" t="inlineStr">
        <is>
          <t>1,132 DFW closings in 2024 sits in the 400 to 1,500 band, and purchasing spans several markets.</t>
        </is>
      </c>
      <c r="M163" s="8" t="inlineStr">
        <is>
          <t>No</t>
        </is>
      </c>
      <c r="N163" s="9" t="inlineStr">
        <is>
          <t>Its about page stresses design, warranty and features, not a new structural method.</t>
        </is>
      </c>
      <c r="O163" s="10" t="inlineStr"/>
      <c r="P163" s="6" t="inlineStr"/>
      <c r="Q163" s="11">
        <f>IF(O163="","ADD LINKEDIN","ok")</f>
        <v/>
      </c>
      <c r="R163" s="6" t="inlineStr">
        <is>
          <t>https://www.perryhomes.com/</t>
        </is>
      </c>
      <c r="S163" s="9" t="inlineStr">
        <is>
          <t>Woman-owned and run from Houston, with a Dallas office in Plano. No DFW construction or purchasing officer is named on its pages.</t>
        </is>
      </c>
      <c r="T163" s="6" t="inlineStr"/>
      <c r="U163" s="9" t="inlineStr">
        <is>
          <t>Named on Perry's own about page as Owner and Executive Chair.</t>
        </is>
      </c>
      <c r="V163" s="6" t="inlineStr">
        <is>
          <t>https://www.perryhomes.com/about-perry-homes</t>
        </is>
      </c>
      <c r="W163" s="6" t="inlineStr">
        <is>
          <t>https://www.linkedin.com/company/perry-homes/</t>
        </is>
      </c>
      <c r="X163" s="6" t="inlineStr">
        <is>
          <t>https://www.perryhomes.com/about-perry-homes</t>
        </is>
      </c>
      <c r="Y163" s="6" t="inlineStr">
        <is>
          <t>2025-07-24 Dallas Morning News. The 10 biggest homebuilders in D-FW  https://www.dallasnews.com/business/real-estate/2025/07/24/list-who-are-the-10-biggest-homebuilders-in-d-fw/</t>
        </is>
      </c>
      <c r="Z163" s="6" t="inlineStr">
        <is>
          <t>(800) 247-3779</t>
        </is>
      </c>
      <c r="AA163" s="6" t="inlineStr">
        <is>
          <t>Main line</t>
        </is>
      </c>
      <c r="AB163" s="6" t="inlineStr">
        <is>
          <t>https://www.perryhomes.com/contact-us</t>
        </is>
      </c>
      <c r="AC163" s="6" t="inlineStr"/>
      <c r="AD163" s="6" t="inlineStr"/>
    </row>
    <row r="164">
      <c r="A164" s="12" t="inlineStr">
        <is>
          <t>Todd Chachere</t>
        </is>
      </c>
      <c r="B164" s="12" t="inlineStr">
        <is>
          <t>Perry Homes</t>
        </is>
      </c>
      <c r="C164" s="12" t="inlineStr">
        <is>
          <t>Chief Executive Officer</t>
        </is>
      </c>
      <c r="D164" s="13" t="inlineStr">
        <is>
          <t>National builder</t>
        </is>
      </c>
      <c r="E164" s="14" t="n">
        <v>2</v>
      </c>
      <c r="F164" s="12" t="inlineStr">
        <is>
          <t>Buys walls</t>
        </is>
      </c>
      <c r="G164" s="12" t="inlineStr">
        <is>
          <t>Houston headquarters, Dallas office in Plano</t>
        </is>
      </c>
      <c r="H164" s="12" t="inlineStr">
        <is>
          <t>1,132 DFW closings in 2024, 2.6% share</t>
        </is>
      </c>
      <c r="I164" s="14" t="inlineStr">
        <is>
          <t>Yes</t>
        </is>
      </c>
      <c r="J164" s="15" t="inlineStr">
        <is>
          <t>Repeated plans across Houston, Austin, Dallas-Fort Worth, San Antonio and Florida.</t>
        </is>
      </c>
      <c r="K164" s="14" t="inlineStr">
        <is>
          <t>Partly</t>
        </is>
      </c>
      <c r="L164" s="15" t="inlineStr">
        <is>
          <t>1,132 DFW closings in 2024 sits in the 400 to 1,500 band, and purchasing spans several markets.</t>
        </is>
      </c>
      <c r="M164" s="14" t="inlineStr">
        <is>
          <t>No</t>
        </is>
      </c>
      <c r="N164" s="15" t="inlineStr">
        <is>
          <t>Its about page stresses design, warranty and features, not a new structural method.</t>
        </is>
      </c>
      <c r="O164" s="6" t="inlineStr">
        <is>
          <t>https://www.linkedin.com/in/todd-chachere-9516193b/</t>
        </is>
      </c>
      <c r="P164" s="12" t="inlineStr"/>
      <c r="Q164" s="16">
        <f>IF(O164="","ADD LINKEDIN","ok")</f>
        <v/>
      </c>
      <c r="R164" s="12" t="inlineStr">
        <is>
          <t>https://www.perryhomes.com/</t>
        </is>
      </c>
      <c r="S164" s="15" t="inlineStr">
        <is>
          <t>Woman-owned and run from Houston, with a Dallas office in Plano. No DFW construction or purchasing officer is named on its pages.</t>
        </is>
      </c>
      <c r="T164" s="12" t="inlineStr"/>
      <c r="U164" s="15" t="inlineStr">
        <is>
          <t>Indexed title reads Todd Chachere - Perry Homes. Named on Perry's own about page as Chief Executive Officer.</t>
        </is>
      </c>
      <c r="V164" s="12" t="inlineStr">
        <is>
          <t>https://www.perryhomes.com/about-perry-homes</t>
        </is>
      </c>
      <c r="W164" s="12" t="inlineStr">
        <is>
          <t>https://www.linkedin.com/company/perry-homes/</t>
        </is>
      </c>
      <c r="X164" s="12" t="inlineStr">
        <is>
          <t>https://www.perryhomes.com/about-perry-homes</t>
        </is>
      </c>
      <c r="Y164" s="12" t="inlineStr">
        <is>
          <t>2025-07-24 Dallas Morning News. The 10 biggest homebuilders in D-FW  https://www.dallasnews.com/business/real-estate/2025/07/24/list-who-are-the-10-biggest-homebuilders-in-d-fw/</t>
        </is>
      </c>
      <c r="Z164" s="12" t="inlineStr">
        <is>
          <t>(800) 247-3779</t>
        </is>
      </c>
      <c r="AA164" s="12" t="inlineStr">
        <is>
          <t>Main line</t>
        </is>
      </c>
      <c r="AB164" s="12" t="inlineStr">
        <is>
          <t>https://www.perryhomes.com/contact-us</t>
        </is>
      </c>
      <c r="AC164" s="12" t="inlineStr"/>
      <c r="AD164" s="12" t="inlineStr"/>
    </row>
    <row r="165">
      <c r="A165" s="6" t="inlineStr">
        <is>
          <t>Troy Radelat</t>
        </is>
      </c>
      <c r="B165" s="6" t="inlineStr">
        <is>
          <t>Beazer Homes</t>
        </is>
      </c>
      <c r="C165" s="6" t="inlineStr">
        <is>
          <t>Area President</t>
        </is>
      </c>
      <c r="D165" s="7" t="inlineStr">
        <is>
          <t>National builder</t>
        </is>
      </c>
      <c r="E165" s="8" t="n">
        <v>1</v>
      </c>
      <c r="F165" s="6" t="inlineStr">
        <is>
          <t>Buys walls</t>
        </is>
      </c>
      <c r="G165" s="6" t="inlineStr">
        <is>
          <t>DFW suburbs from Fate and Forney to Celina and Justin</t>
        </is>
      </c>
      <c r="H165" s="6" t="inlineStr">
        <is>
          <t>Dallas page lists 17 DFW place names</t>
        </is>
      </c>
      <c r="I165" s="8" t="inlineStr">
        <is>
          <t>Yes</t>
        </is>
      </c>
      <c r="J165" s="9" t="inlineStr">
        <is>
          <t>Production plans repeated across the 17 DFW place names on its Dallas page.</t>
        </is>
      </c>
      <c r="K165" s="8" t="inlineStr">
        <is>
          <t>No</t>
        </is>
      </c>
      <c r="L165" s="9" t="inlineStr">
        <is>
          <t>A national public builder, with purchasing at a national desk.</t>
        </is>
      </c>
      <c r="M165" s="8" t="inlineStr">
        <is>
          <t>No</t>
        </is>
      </c>
      <c r="N165" s="9" t="inlineStr">
        <is>
          <t>Nothing on record about construction method.</t>
        </is>
      </c>
      <c r="O165" s="10" t="inlineStr"/>
      <c r="P165" s="6" t="inlineStr"/>
      <c r="Q165" s="11">
        <f>IF(O165="","ADD LINKEDIN","ok")</f>
        <v/>
      </c>
      <c r="R165" s="6" t="inlineStr">
        <is>
          <t>https://www.beazer.com/dallas-tx</t>
        </is>
      </c>
      <c r="S165" s="9" t="inlineStr">
        <is>
          <t>A national public builder. Purchasing sits at a national desk.</t>
        </is>
      </c>
      <c r="T165" s="6" t="inlineStr">
        <is>
          <t>YES</t>
        </is>
      </c>
      <c r="U165" s="9" t="inlineStr">
        <is>
          <t>Quoted by SuperAging on April 25, 2024 as a Beazer Homes area president, on its Gatherings age-restricted communities in six metros.</t>
        </is>
      </c>
      <c r="V165" s="6" t="inlineStr">
        <is>
          <t>https://superagingnews.com/age-restricted-housing-developments-are-booming/</t>
        </is>
      </c>
      <c r="W165" s="6" t="inlineStr">
        <is>
          <t>https://www.linkedin.com/company/beazer-homes/</t>
        </is>
      </c>
      <c r="X165" s="6" t="inlineStr"/>
      <c r="Y165" s="6" t="inlineStr"/>
      <c r="Z165" s="6" t="inlineStr">
        <is>
          <t>(469) 630-6077</t>
        </is>
      </c>
      <c r="AA165" s="6" t="inlineStr">
        <is>
          <t>Goodland community sales, Midlothian</t>
        </is>
      </c>
      <c r="AB165" s="6" t="inlineStr">
        <is>
          <t>https://www.beazer.com/dallas-TX/midlothian/goodland</t>
        </is>
      </c>
      <c r="AC165" s="6" t="inlineStr"/>
      <c r="AD165" s="6" t="inlineStr"/>
    </row>
    <row r="166">
      <c r="A166" s="12" t="inlineStr">
        <is>
          <t>Scott Bryson</t>
        </is>
      </c>
      <c r="B166" s="12" t="inlineStr">
        <is>
          <t>Centex (PulteGroup brand)</t>
        </is>
      </c>
      <c r="C166" s="12" t="inlineStr">
        <is>
          <t>Dallas Division President, PulteGroup</t>
        </is>
      </c>
      <c r="D166" s="13" t="inlineStr">
        <is>
          <t>National builder</t>
        </is>
      </c>
      <c r="E166" s="14" t="n">
        <v>1</v>
      </c>
      <c r="F166" s="12" t="inlineStr">
        <is>
          <t>Buys walls</t>
        </is>
      </c>
      <c r="G166" s="12" t="inlineStr">
        <is>
          <t>DFW, with communities in Denton and Forney</t>
        </is>
      </c>
      <c r="H166" s="12" t="inlineStr">
        <is>
          <t>PulteGroup's affordable brand, with active Dallas communities</t>
        </is>
      </c>
      <c r="I166" s="14" t="inlineStr">
        <is>
          <t>Yes</t>
        </is>
      </c>
      <c r="J166" s="15" t="inlineStr">
        <is>
          <t>PulteGroup entry-level plan sets repeated under the Centex brand across DFW, including Townsend Green in Denton and Arbordale in Forney.</t>
        </is>
      </c>
      <c r="K166" s="14" t="inlineStr">
        <is>
          <t>No</t>
        </is>
      </c>
      <c r="L166" s="15" t="inlineStr">
        <is>
          <t>Purchasing sits at PulteGroup's national desk. Centex is a brand, not a separate metro wall buyer.</t>
        </is>
      </c>
      <c r="M166" s="14" t="inlineStr">
        <is>
          <t>No</t>
        </is>
      </c>
      <c r="N166" s="15" t="inlineStr">
        <is>
          <t>Nothing on record for Centex. The HERS and energy content is PulteGroup platform material, not a wall-method purchase.</t>
        </is>
      </c>
      <c r="O166" s="6" t="inlineStr">
        <is>
          <t>https://www.linkedin.com/in/scott-bryson-2909939/</t>
        </is>
      </c>
      <c r="P166" s="12" t="inlineStr"/>
      <c r="Q166" s="16">
        <f>IF(O166="","ADD LINKEDIN","ok")</f>
        <v/>
      </c>
      <c r="R166" s="12" t="inlineStr">
        <is>
          <t>https://www.centex.com/homes/texas/dallas</t>
        </is>
      </c>
      <c r="S166" s="15" t="inlineStr">
        <is>
          <t>A PulteGroup brand, bought through PulteGroup's national purchasing desk.</t>
        </is>
      </c>
      <c r="T166" s="12" t="inlineStr">
        <is>
          <t>YES</t>
        </is>
      </c>
      <c r="U166" s="15" t="inlineStr">
        <is>
          <t>Indexed title reads Scott Bryson - PulteGroup. Named in PulteGroup's August 21, 2025 release as president of its Dallas division. The release does not mention Centex.</t>
        </is>
      </c>
      <c r="V166" s="12" t="inlineStr">
        <is>
          <t>https://www.businesswire.com/news/home/20250821913928/en/PulteGroup-Promotes-Scott-Bryson-to-Dallas-Division-President</t>
        </is>
      </c>
      <c r="W166" s="12" t="inlineStr">
        <is>
          <t>https://www.linkedin.com/company/centex-homes/</t>
        </is>
      </c>
      <c r="X166" s="12" t="inlineStr"/>
      <c r="Y166" s="12" t="inlineStr"/>
      <c r="Z166" s="12" t="inlineStr">
        <is>
          <t>(972) 634-1226</t>
        </is>
      </c>
      <c r="AA166" s="12" t="inlineStr">
        <is>
          <t>Arbordale community sales, Forney</t>
        </is>
      </c>
      <c r="AB166" s="12" t="inlineStr">
        <is>
          <t>https://www.centex.com/homes/texas/dallas/forney/arbordale-211042</t>
        </is>
      </c>
      <c r="AC166" s="12" t="inlineStr"/>
      <c r="AD166" s="12" t="inlineStr"/>
    </row>
    <row r="167">
      <c r="A167" s="6" t="inlineStr">
        <is>
          <t>Taylor Humphrey</t>
        </is>
      </c>
      <c r="B167" s="6" t="inlineStr">
        <is>
          <t>Century Communities</t>
        </is>
      </c>
      <c r="C167" s="6" t="inlineStr">
        <is>
          <t>Division President, Dallas-Fort Worth</t>
        </is>
      </c>
      <c r="D167" s="7" t="inlineStr">
        <is>
          <t>National builder</t>
        </is>
      </c>
      <c r="E167" s="8" t="n">
        <v>1</v>
      </c>
      <c r="F167" s="6" t="inlineStr">
        <is>
          <t>Buys walls</t>
        </is>
      </c>
      <c r="G167" s="6" t="inlineStr">
        <is>
          <t>Dallas-Fort Worth, from Anna to Ferris</t>
        </is>
      </c>
      <c r="H167" s="6" t="inlineStr">
        <is>
          <t>National builder, DFW communities from Anna to Ferris</t>
        </is>
      </c>
      <c r="I167" s="8" t="inlineStr">
        <is>
          <t>Yes</t>
        </is>
      </c>
      <c r="J167" s="9" t="inlineStr">
        <is>
          <t>National plan collections, including Classic, repeated across the communities on its DFW metro page.</t>
        </is>
      </c>
      <c r="K167" s="8" t="inlineStr">
        <is>
          <t>No</t>
        </is>
      </c>
      <c r="L167" s="9" t="inlineStr">
        <is>
          <t>A national builder, with purchasing above the metro.</t>
        </is>
      </c>
      <c r="M167" s="8" t="inlineStr">
        <is>
          <t>No</t>
        </is>
      </c>
      <c r="N167" s="9" t="inlineStr">
        <is>
          <t>Nothing on record about wall method.</t>
        </is>
      </c>
      <c r="O167" s="10" t="inlineStr"/>
      <c r="P167" s="6" t="inlineStr"/>
      <c r="Q167" s="11">
        <f>IF(O167="","ADD LINKEDIN","ok")</f>
        <v/>
      </c>
      <c r="R167" s="6" t="inlineStr">
        <is>
          <t>https://www.centurycommunities.com/</t>
        </is>
      </c>
      <c r="S167" s="9" t="inlineStr">
        <is>
          <t>National plan collections, such as Classic, repeated across DFW communities, with purchasing above the metro.</t>
        </is>
      </c>
      <c r="T167" s="6" t="inlineStr">
        <is>
          <t>YES</t>
        </is>
      </c>
      <c r="U167" s="9" t="inlineStr">
        <is>
          <t>Quoted in a Century press release on PR Newswire, April 15, 2026, as Division President, on Anna Town Square.</t>
        </is>
      </c>
      <c r="V167" s="6" t="inlineStr">
        <is>
          <t>https://www.prnewswire.com/news-releases/century-communities-plans-april-grand-opening-in-fast-growing-anna-tx-302743467.html</t>
        </is>
      </c>
      <c r="W167" s="6" t="inlineStr">
        <is>
          <t>https://www.linkedin.com/company/century-communities/</t>
        </is>
      </c>
      <c r="X167" s="6" t="inlineStr">
        <is>
          <t>https://www.prnewswire.com/news-releases/century-communities-plans-april-grand-opening-in-fast-growing-anna-tx-302743467.html</t>
        </is>
      </c>
      <c r="Y167" s="6" t="inlineStr"/>
      <c r="Z167" s="6" t="inlineStr">
        <is>
          <t>(817) 866-2980</t>
        </is>
      </c>
      <c r="AA167" s="6" t="inlineStr">
        <is>
          <t>DFW available-homes line</t>
        </is>
      </c>
      <c r="AB167" s="6" t="inlineStr">
        <is>
          <t>https://www.centurycommunities.com/find-your-new-home/texas/dallas-fort-worth-metro/</t>
        </is>
      </c>
      <c r="AC167" s="6" t="inlineStr"/>
      <c r="AD167" s="6" t="inlineStr"/>
    </row>
    <row r="168">
      <c r="A168" s="12" t="inlineStr">
        <is>
          <t>Scott Bryson</t>
        </is>
      </c>
      <c r="B168" s="12" t="inlineStr">
        <is>
          <t>Del Webb (PulteGroup brand)</t>
        </is>
      </c>
      <c r="C168" s="12" t="inlineStr">
        <is>
          <t>President, PulteGroup Dallas division</t>
        </is>
      </c>
      <c r="D168" s="13" t="inlineStr">
        <is>
          <t>National builder</t>
        </is>
      </c>
      <c r="E168" s="14" t="n">
        <v>1</v>
      </c>
      <c r="F168" s="12" t="inlineStr">
        <is>
          <t>Buys walls</t>
        </is>
      </c>
      <c r="G168" s="12" t="inlineStr">
        <is>
          <t>McKinney, at Trinity Falls</t>
        </is>
      </c>
      <c r="H168" s="12" t="inlineStr">
        <is>
          <t>PulteGroup 55+ brand at Trinity Falls, McKinney</t>
        </is>
      </c>
      <c r="I168" s="14" t="inlineStr">
        <is>
          <t>Yes</t>
        </is>
      </c>
      <c r="J168" s="15" t="inlineStr">
        <is>
          <t>55+ plan collections repeated at Del Webb at Trinity Falls and across its Dallas market page.</t>
        </is>
      </c>
      <c r="K168" s="14" t="inlineStr">
        <is>
          <t>No</t>
        </is>
      </c>
      <c r="L168" s="15" t="inlineStr">
        <is>
          <t>A PulteGroup brand, with purchasing at the parent's national desk.</t>
        </is>
      </c>
      <c r="M168" s="14" t="inlineStr">
        <is>
          <t>No</t>
        </is>
      </c>
      <c r="N168" s="15" t="inlineStr">
        <is>
          <t>Nothing on record for Del Webb in DFW.</t>
        </is>
      </c>
      <c r="O168" s="6" t="inlineStr">
        <is>
          <t>https://www.linkedin.com/in/scott-bryson-2909939/</t>
        </is>
      </c>
      <c r="P168" s="12" t="inlineStr"/>
      <c r="Q168" s="16">
        <f>IF(O168="","ADD LINKEDIN","ok")</f>
        <v/>
      </c>
      <c r="R168" s="12" t="inlineStr">
        <is>
          <t>https://www.delwebb.com/homes/texas/dallas</t>
        </is>
      </c>
      <c r="S168" s="15" t="inlineStr">
        <is>
          <t>A PulteGroup brand, so purchasing sits with the parent.</t>
        </is>
      </c>
      <c r="T168" s="12" t="inlineStr">
        <is>
          <t>YES</t>
        </is>
      </c>
      <c r="U168" s="15" t="inlineStr">
        <is>
          <t>Indexed title reads Scott Bryson - PulteGroup. Named in a PulteGroup BusinessWire release of August 21, 2025 as President of its Dallas division.</t>
        </is>
      </c>
      <c r="V168" s="12" t="inlineStr">
        <is>
          <t>https://www.businesswire.com/news/home/20250821913928/en/PulteGroup-Promotes-Scott-Bryson-to-Dallas-Division-President</t>
        </is>
      </c>
      <c r="W168" s="12" t="inlineStr">
        <is>
          <t>https://www.linkedin.com/company/del-webb/</t>
        </is>
      </c>
      <c r="X168" s="12" t="inlineStr"/>
      <c r="Y168" s="12" t="inlineStr"/>
      <c r="Z168" s="12" t="inlineStr">
        <is>
          <t>(972) 736-9368</t>
        </is>
      </c>
      <c r="AA168" s="12" t="inlineStr">
        <is>
          <t>Sales, Del Webb at Trinity Falls, McKinney</t>
        </is>
      </c>
      <c r="AB168" s="12" t="inlineStr">
        <is>
          <t>https://www.delwebb.com/homes/texas/dallas/mckinney/del-webb-at-trinity-falls-210272</t>
        </is>
      </c>
      <c r="AC168" s="12" t="inlineStr"/>
      <c r="AD168" s="12" t="inlineStr"/>
    </row>
    <row r="169">
      <c r="A169" s="6" t="inlineStr">
        <is>
          <t>James R. Brickman</t>
        </is>
      </c>
      <c r="B169" s="6" t="inlineStr">
        <is>
          <t>Green Brick Partners, Inc.</t>
        </is>
      </c>
      <c r="C169" s="6" t="inlineStr">
        <is>
          <t>Co-founder, Chief Executive Officer and Director</t>
        </is>
      </c>
      <c r="D169" s="7" t="inlineStr">
        <is>
          <t>National builder</t>
        </is>
      </c>
      <c r="E169" s="8" t="n">
        <v>1</v>
      </c>
      <c r="F169" s="6" t="inlineStr">
        <is>
          <t>Buys walls</t>
        </is>
      </c>
      <c r="G169" s="6" t="inlineStr">
        <is>
          <t>Plano, with five brands across Dallas-Fort Worth</t>
        </is>
      </c>
      <c r="H169" s="6" t="inlineStr">
        <is>
          <t>2,899 DFW closings in 2024, 6.6% share</t>
        </is>
      </c>
      <c r="I169" s="8" t="inlineStr">
        <is>
          <t>Yes</t>
        </is>
      </c>
      <c r="J169" s="9" t="inlineStr">
        <is>
          <t>Five DFW production brands, with land acquisition and development run centrally for the parent and its subsidiary builders.</t>
        </is>
      </c>
      <c r="K169" s="8" t="inlineStr">
        <is>
          <t>No</t>
        </is>
      </c>
      <c r="L169" s="9" t="inlineStr">
        <is>
          <t>2,899 DFW closings in 2024 on BUILDER's 2025 Local Leaders table, above 1,500. Brand-level figures are not published.</t>
        </is>
      </c>
      <c r="M169" s="8" t="inlineStr">
        <is>
          <t>No</t>
        </is>
      </c>
      <c r="N169" s="9" t="inlineStr">
        <is>
          <t>Nothing on record. Its about page speaks of technological advancement and process integration, with no payment for a new wall method.</t>
        </is>
      </c>
      <c r="O169" s="6" t="inlineStr">
        <is>
          <t>https://www.linkedin.com/in/james-brickman-10040316/</t>
        </is>
      </c>
      <c r="P169" s="6" t="inlineStr"/>
      <c r="Q169" s="11">
        <f>IF(O169="","ADD LINKEDIN","ok")</f>
        <v/>
      </c>
      <c r="R169" s="6" t="inlineStr">
        <is>
          <t>https://greenbrickpartners.com/</t>
        </is>
      </c>
      <c r="S169" s="9" t="inlineStr">
        <is>
          <t>Five DFW brands under one Plano parent, run by three named division presidents. Brand-level closings are not published.</t>
        </is>
      </c>
      <c r="T169" s="6" t="inlineStr"/>
      <c r="U169" s="9" t="inlineStr">
        <is>
          <t>Indexed title reads James Brickman - Green Brick Partners, INC. Named on Green Brick's own leadership page as co-founder, Chief Executive Officer and director.</t>
        </is>
      </c>
      <c r="V169" s="6" t="inlineStr">
        <is>
          <t>https://greenbrickpartners.com/leadership/</t>
        </is>
      </c>
      <c r="W169" s="6" t="inlineStr">
        <is>
          <t>https://www.linkedin.com/company/green-brick-partners/</t>
        </is>
      </c>
      <c r="X169" s="6" t="inlineStr">
        <is>
          <t>https://greenbrickpartners.com/leadership/</t>
        </is>
      </c>
      <c r="Y169" s="6" t="inlineStr">
        <is>
          <t>2025-07-24 Dallas Morning News. The 10 biggest homebuilders in D-FW  https://www.dallasnews.com/business/real-estate/2025/07/24/list-who-are-the-10-biggest-homebuilders-in-d-fw/</t>
        </is>
      </c>
      <c r="Z169" s="6" t="inlineStr">
        <is>
          <t>(469) 573-6721</t>
        </is>
      </c>
      <c r="AA169" s="6" t="inlineStr">
        <is>
          <t>Corporate office, Plano</t>
        </is>
      </c>
      <c r="AB169" s="6" t="inlineStr">
        <is>
          <t>https://greenbrickpartners.com/about/</t>
        </is>
      </c>
      <c r="AC169" s="6" t="inlineStr"/>
      <c r="AD169" s="6" t="inlineStr"/>
    </row>
    <row r="170">
      <c r="A170" s="12" t="inlineStr">
        <is>
          <t>Jed Dolson</t>
        </is>
      </c>
      <c r="B170" s="12" t="inlineStr">
        <is>
          <t>Green Brick Partners, Inc.</t>
        </is>
      </c>
      <c r="C170" s="12" t="inlineStr">
        <is>
          <t>President and Chief Operating Officer</t>
        </is>
      </c>
      <c r="D170" s="13" t="inlineStr">
        <is>
          <t>National builder</t>
        </is>
      </c>
      <c r="E170" s="14" t="n">
        <v>1</v>
      </c>
      <c r="F170" s="12" t="inlineStr">
        <is>
          <t>Buys walls</t>
        </is>
      </c>
      <c r="G170" s="12" t="inlineStr">
        <is>
          <t>Plano, with five brands across Dallas-Fort Worth</t>
        </is>
      </c>
      <c r="H170" s="12" t="inlineStr">
        <is>
          <t>2,899 DFW closings in 2024, 6.6% share</t>
        </is>
      </c>
      <c r="I170" s="14" t="inlineStr">
        <is>
          <t>Yes</t>
        </is>
      </c>
      <c r="J170" s="15" t="inlineStr">
        <is>
          <t>Five DFW production brands, with land acquisition and development run centrally for the parent and its subsidiary builders.</t>
        </is>
      </c>
      <c r="K170" s="14" t="inlineStr">
        <is>
          <t>No</t>
        </is>
      </c>
      <c r="L170" s="15" t="inlineStr">
        <is>
          <t>2,899 DFW closings in 2024 on BUILDER's 2025 Local Leaders table, above 1,500. Brand-level figures are not published.</t>
        </is>
      </c>
      <c r="M170" s="14" t="inlineStr">
        <is>
          <t>No</t>
        </is>
      </c>
      <c r="N170" s="15" t="inlineStr">
        <is>
          <t>Nothing on record. Its about page speaks of technological advancement and process integration, with no payment for a new wall method.</t>
        </is>
      </c>
      <c r="O170" s="6" t="inlineStr">
        <is>
          <t>https://www.linkedin.com/in/jed-dolson/</t>
        </is>
      </c>
      <c r="P170" s="12" t="inlineStr"/>
      <c r="Q170" s="16">
        <f>IF(O170="","ADD LINKEDIN","ok")</f>
        <v/>
      </c>
      <c r="R170" s="12" t="inlineStr">
        <is>
          <t>https://greenbrickpartners.com/</t>
        </is>
      </c>
      <c r="S170" s="15" t="inlineStr">
        <is>
          <t>Five DFW brands under one Plano parent, run by three named division presidents. Brand-level closings are not published.</t>
        </is>
      </c>
      <c r="T170" s="12" t="inlineStr"/>
      <c r="U170" s="15" t="inlineStr">
        <is>
          <t>Indexed title reads Jed Dolson - Chief Operating Officer and Executive Vice President - Green Brick Partners, Inc. Named on the leadership page as President and Chief Operating Officer, previously President of the Texas region over the DFW brands.</t>
        </is>
      </c>
      <c r="V170" s="12" t="inlineStr">
        <is>
          <t>https://greenbrickpartners.com/leadership/</t>
        </is>
      </c>
      <c r="W170" s="12" t="inlineStr">
        <is>
          <t>https://www.linkedin.com/company/green-brick-partners/</t>
        </is>
      </c>
      <c r="X170" s="12" t="inlineStr">
        <is>
          <t>https://greenbrickpartners.com/leadership/</t>
        </is>
      </c>
      <c r="Y170" s="12" t="inlineStr">
        <is>
          <t>2025-07-24 Dallas Morning News. The 10 biggest homebuilders in D-FW  https://www.dallasnews.com/business/real-estate/2025/07/24/list-who-are-the-10-biggest-homebuilders-in-d-fw/</t>
        </is>
      </c>
      <c r="Z170" s="12" t="inlineStr">
        <is>
          <t>(469) 573-6721</t>
        </is>
      </c>
      <c r="AA170" s="12" t="inlineStr">
        <is>
          <t>Corporate office, Plano</t>
        </is>
      </c>
      <c r="AB170" s="12" t="inlineStr">
        <is>
          <t>https://greenbrickpartners.com/about/</t>
        </is>
      </c>
      <c r="AC170" s="12" t="inlineStr"/>
      <c r="AD170" s="12" t="inlineStr"/>
    </row>
    <row r="171">
      <c r="A171" s="6" t="inlineStr">
        <is>
          <t>Bobby L. Samuel III</t>
        </is>
      </c>
      <c r="B171" s="6" t="inlineStr">
        <is>
          <t>Green Brick Partners, Inc.</t>
        </is>
      </c>
      <c r="C171" s="6" t="inlineStr">
        <is>
          <t>Executive Vice President of Land</t>
        </is>
      </c>
      <c r="D171" s="7" t="inlineStr">
        <is>
          <t>National builder</t>
        </is>
      </c>
      <c r="E171" s="8" t="n">
        <v>1</v>
      </c>
      <c r="F171" s="6" t="inlineStr">
        <is>
          <t>Buys walls</t>
        </is>
      </c>
      <c r="G171" s="6" t="inlineStr">
        <is>
          <t>Plano, with five brands across Dallas-Fort Worth</t>
        </is>
      </c>
      <c r="H171" s="6" t="inlineStr">
        <is>
          <t>2,899 DFW closings in 2024, 6.6% share</t>
        </is>
      </c>
      <c r="I171" s="8" t="inlineStr">
        <is>
          <t>Yes</t>
        </is>
      </c>
      <c r="J171" s="9" t="inlineStr">
        <is>
          <t>Five DFW production brands, with land acquisition and development run centrally for the parent and its subsidiary builders.</t>
        </is>
      </c>
      <c r="K171" s="8" t="inlineStr">
        <is>
          <t>No</t>
        </is>
      </c>
      <c r="L171" s="9" t="inlineStr">
        <is>
          <t>2,899 DFW closings in 2024 on BUILDER's 2025 Local Leaders table, above 1,500. Brand-level figures are not published.</t>
        </is>
      </c>
      <c r="M171" s="8" t="inlineStr">
        <is>
          <t>No</t>
        </is>
      </c>
      <c r="N171" s="9" t="inlineStr">
        <is>
          <t>Nothing on record. Its about page speaks of technological advancement and process integration, with no payment for a new wall method.</t>
        </is>
      </c>
      <c r="O171" s="10" t="inlineStr"/>
      <c r="P171" s="6" t="inlineStr"/>
      <c r="Q171" s="11">
        <f>IF(O171="","ADD LINKEDIN","ok")</f>
        <v/>
      </c>
      <c r="R171" s="6" t="inlineStr">
        <is>
          <t>https://greenbrickpartners.com/</t>
        </is>
      </c>
      <c r="S171" s="9" t="inlineStr">
        <is>
          <t>Five DFW brands under one Plano parent, run by three named division presidents. Brand-level closings are not published.</t>
        </is>
      </c>
      <c r="T171" s="6" t="inlineStr"/>
      <c r="U171" s="9" t="inlineStr">
        <is>
          <t>Named on the leadership page as Executive Vice President of Land, over land for the parent and its subsidiary builders.</t>
        </is>
      </c>
      <c r="V171" s="6" t="inlineStr">
        <is>
          <t>https://greenbrickpartners.com/leadership/</t>
        </is>
      </c>
      <c r="W171" s="6" t="inlineStr">
        <is>
          <t>https://www.linkedin.com/company/green-brick-partners/</t>
        </is>
      </c>
      <c r="X171" s="6" t="inlineStr">
        <is>
          <t>https://greenbrickpartners.com/leadership/</t>
        </is>
      </c>
      <c r="Y171" s="6" t="inlineStr">
        <is>
          <t>2025-07-24 Dallas Morning News. The 10 biggest homebuilders in D-FW  https://www.dallasnews.com/business/real-estate/2025/07/24/list-who-are-the-10-biggest-homebuilders-in-d-fw/</t>
        </is>
      </c>
      <c r="Z171" s="6" t="inlineStr">
        <is>
          <t>(469) 573-6721</t>
        </is>
      </c>
      <c r="AA171" s="6" t="inlineStr">
        <is>
          <t>Corporate office, Plano</t>
        </is>
      </c>
      <c r="AB171" s="6" t="inlineStr">
        <is>
          <t>https://greenbrickpartners.com/about/</t>
        </is>
      </c>
      <c r="AC171" s="6" t="inlineStr"/>
      <c r="AD171" s="6" t="inlineStr"/>
    </row>
    <row r="172">
      <c r="A172" s="12" t="inlineStr">
        <is>
          <t>Jeffery Cox</t>
        </is>
      </c>
      <c r="B172" s="12" t="inlineStr">
        <is>
          <t>Green Brick Partners, Inc.</t>
        </is>
      </c>
      <c r="C172" s="12" t="inlineStr">
        <is>
          <t>Chief Financial Officer</t>
        </is>
      </c>
      <c r="D172" s="13" t="inlineStr">
        <is>
          <t>National builder</t>
        </is>
      </c>
      <c r="E172" s="14" t="n">
        <v>1</v>
      </c>
      <c r="F172" s="12" t="inlineStr">
        <is>
          <t>Buys walls</t>
        </is>
      </c>
      <c r="G172" s="12" t="inlineStr">
        <is>
          <t>Plano, with five brands across Dallas-Fort Worth</t>
        </is>
      </c>
      <c r="H172" s="12" t="inlineStr">
        <is>
          <t>2,899 DFW closings in 2024, 6.6% share</t>
        </is>
      </c>
      <c r="I172" s="14" t="inlineStr">
        <is>
          <t>Yes</t>
        </is>
      </c>
      <c r="J172" s="15" t="inlineStr">
        <is>
          <t>Five DFW production brands, with land acquisition and development run centrally for the parent and its subsidiary builders.</t>
        </is>
      </c>
      <c r="K172" s="14" t="inlineStr">
        <is>
          <t>No</t>
        </is>
      </c>
      <c r="L172" s="15" t="inlineStr">
        <is>
          <t>2,899 DFW closings in 2024 on BUILDER's 2025 Local Leaders table, above 1,500. Brand-level figures are not published.</t>
        </is>
      </c>
      <c r="M172" s="14" t="inlineStr">
        <is>
          <t>No</t>
        </is>
      </c>
      <c r="N172" s="15" t="inlineStr">
        <is>
          <t>Nothing on record. Its about page speaks of technological advancement and process integration, with no payment for a new wall method.</t>
        </is>
      </c>
      <c r="O172" s="6" t="inlineStr">
        <is>
          <t>https://www.linkedin.com/in/jefferycox/</t>
        </is>
      </c>
      <c r="P172" s="12" t="inlineStr"/>
      <c r="Q172" s="16">
        <f>IF(O172="","ADD LINKEDIN","ok")</f>
        <v/>
      </c>
      <c r="R172" s="12" t="inlineStr">
        <is>
          <t>https://greenbrickpartners.com/</t>
        </is>
      </c>
      <c r="S172" s="15" t="inlineStr">
        <is>
          <t>Five DFW brands under one Plano parent, run by three named division presidents. Brand-level closings are not published.</t>
        </is>
      </c>
      <c r="T172" s="12" t="inlineStr"/>
      <c r="U172" s="15" t="inlineStr">
        <is>
          <t>Indexed title reads Jeffery Cox - Green Brick Partners, Inc. Named on the leadership page as Chief Financial Officer, appointed in October 2025.</t>
        </is>
      </c>
      <c r="V172" s="12" t="inlineStr">
        <is>
          <t>https://greenbrickpartners.com/leadership/</t>
        </is>
      </c>
      <c r="W172" s="12" t="inlineStr">
        <is>
          <t>https://www.linkedin.com/company/green-brick-partners/</t>
        </is>
      </c>
      <c r="X172" s="12" t="inlineStr">
        <is>
          <t>https://greenbrickpartners.com/leadership/</t>
        </is>
      </c>
      <c r="Y172" s="12" t="inlineStr">
        <is>
          <t>2025-07-24 Dallas Morning News. The 10 biggest homebuilders in D-FW  https://www.dallasnews.com/business/real-estate/2025/07/24/list-who-are-the-10-biggest-homebuilders-in-d-fw/</t>
        </is>
      </c>
      <c r="Z172" s="12" t="inlineStr">
        <is>
          <t>(469) 573-6721</t>
        </is>
      </c>
      <c r="AA172" s="12" t="inlineStr">
        <is>
          <t>Corporate office, Plano</t>
        </is>
      </c>
      <c r="AB172" s="12" t="inlineStr">
        <is>
          <t>https://greenbrickpartners.com/about/</t>
        </is>
      </c>
      <c r="AC172" s="12" t="inlineStr"/>
      <c r="AD172" s="12" t="inlineStr"/>
    </row>
    <row r="173">
      <c r="A173" s="6" t="inlineStr">
        <is>
          <t>Chris Hartley</t>
        </is>
      </c>
      <c r="B173" s="6" t="inlineStr">
        <is>
          <t>K. Hovnanian Homes</t>
        </is>
      </c>
      <c r="C173" s="6" t="inlineStr">
        <is>
          <t>Division President</t>
        </is>
      </c>
      <c r="D173" s="7" t="inlineStr">
        <is>
          <t>National builder</t>
        </is>
      </c>
      <c r="E173" s="8" t="n">
        <v>1</v>
      </c>
      <c r="F173" s="6" t="inlineStr">
        <is>
          <t>Buys walls</t>
        </is>
      </c>
      <c r="G173" s="6" t="inlineStr">
        <is>
          <t>North Texas: Haslet, Fort Worth, Van Alstyne and Providence Village</t>
        </is>
      </c>
      <c r="H173" s="6" t="inlineStr">
        <is>
          <t>National public builder with North Texas communities</t>
        </is>
      </c>
      <c r="I173" s="8" t="inlineStr">
        <is>
          <t>Yes</t>
        </is>
      </c>
      <c r="J173" s="9" t="inlineStr">
        <is>
          <t>Production plans across several North Texas communities, including Wellington, Rolling Ridge and Providence Commons.</t>
        </is>
      </c>
      <c r="K173" s="8" t="inlineStr">
        <is>
          <t>No</t>
        </is>
      </c>
      <c r="L173" s="9" t="inlineStr">
        <is>
          <t>A national public builder, with purchasing at a national desk.</t>
        </is>
      </c>
      <c r="M173" s="8" t="inlineStr">
        <is>
          <t>No</t>
        </is>
      </c>
      <c r="N173" s="9" t="inlineStr">
        <is>
          <t>Nothing on record about construction method.</t>
        </is>
      </c>
      <c r="O173" s="10" t="inlineStr"/>
      <c r="P173" s="6" t="inlineStr"/>
      <c r="Q173" s="11">
        <f>IF(O173="","ADD LINKEDIN","ok")</f>
        <v/>
      </c>
      <c r="R173" s="6" t="inlineStr">
        <is>
          <t>https://www.khov.com/</t>
        </is>
      </c>
      <c r="S173" s="9" t="inlineStr">
        <is>
          <t>A national public builder, with purchasing at a national desk.</t>
        </is>
      </c>
      <c r="T173" s="6" t="inlineStr">
        <is>
          <t>YES</t>
        </is>
      </c>
      <c r="U173" s="9" t="inlineStr">
        <is>
          <t>Named on BUILDER's Dealmakers Dallas speaker page as Division President, K. Hovnanian Homes.</t>
        </is>
      </c>
      <c r="V173" s="6" t="inlineStr">
        <is>
          <t>https://dealmakers.builderonline.com/dallas/speaker/chris-hartley/</t>
        </is>
      </c>
      <c r="W173" s="6" t="inlineStr">
        <is>
          <t>https://www.linkedin.com/company/k--hovnanian-homes/</t>
        </is>
      </c>
      <c r="X173" s="6" t="inlineStr"/>
      <c r="Y173" s="6" t="inlineStr"/>
      <c r="Z173" s="6" t="inlineStr">
        <is>
          <t>(888) 425-1427</t>
        </is>
      </c>
      <c r="AA173" s="6" t="inlineStr">
        <is>
          <t>Wellington Estates South sales, Fort Worth</t>
        </is>
      </c>
      <c r="AB173" s="6" t="inlineStr">
        <is>
          <t>https://www.khov.com/new-construction-homes/texas/fort-worth/wellington-estates-south/</t>
        </is>
      </c>
      <c r="AC173" s="6" t="inlineStr"/>
      <c r="AD173" s="6" t="inlineStr"/>
    </row>
    <row r="174">
      <c r="A174" s="12" t="inlineStr">
        <is>
          <t>Ben Clark</t>
        </is>
      </c>
      <c r="B174" s="12" t="inlineStr">
        <is>
          <t>KB Home</t>
        </is>
      </c>
      <c r="C174" s="12" t="inlineStr">
        <is>
          <t>President, Dallas Division</t>
        </is>
      </c>
      <c r="D174" s="13" t="inlineStr">
        <is>
          <t>National builder</t>
        </is>
      </c>
      <c r="E174" s="14" t="n">
        <v>1</v>
      </c>
      <c r="F174" s="12" t="inlineStr">
        <is>
          <t>Buys walls</t>
        </is>
      </c>
      <c r="G174" s="12" t="inlineStr">
        <is>
          <t>Dallas-Fort Worth, including Denton, Lavon and Seagoville</t>
        </is>
      </c>
      <c r="H174" s="12" t="inlineStr">
        <is>
          <t>National public builder with active DFW communities</t>
        </is>
      </c>
      <c r="I174" s="14" t="inlineStr">
        <is>
          <t>Yes</t>
        </is>
      </c>
      <c r="J174" s="15" t="inlineStr">
        <is>
          <t>Production plans repeated across several DFW communities on its Dallas/Fort Worth page.</t>
        </is>
      </c>
      <c r="K174" s="14" t="inlineStr">
        <is>
          <t>No</t>
        </is>
      </c>
      <c r="L174" s="15" t="inlineStr">
        <is>
          <t>A public national builder with purchasing at a national desk.</t>
        </is>
      </c>
      <c r="M174" s="14" t="inlineStr">
        <is>
          <t>No</t>
        </is>
      </c>
      <c r="N174" s="15" t="inlineStr">
        <is>
          <t>Nothing on record about wall method.</t>
        </is>
      </c>
      <c r="O174" s="10" t="inlineStr"/>
      <c r="P174" s="12" t="inlineStr"/>
      <c r="Q174" s="16">
        <f>IF(O174="","ADD LINKEDIN","ok")</f>
        <v/>
      </c>
      <c r="R174" s="12" t="inlineStr">
        <is>
          <t>https://www.kbhome.com/new-homes-dallas-fort-worth</t>
        </is>
      </c>
      <c r="S174" s="15" t="inlineStr">
        <is>
          <t>Purchasing sits at a national desk. A June 2026 company release names the Dallas division president.</t>
        </is>
      </c>
      <c r="T174" s="12" t="inlineStr">
        <is>
          <t>YES</t>
        </is>
      </c>
      <c r="U174" s="15" t="inlineStr">
        <is>
          <t>Quoted in KB Home's June 3, 2026 release on the Elevon opening as President of its Dallas division.</t>
        </is>
      </c>
      <c r="V174" s="12" t="inlineStr">
        <is>
          <t>https://investor.kbhome.com/company-news/news-releases/press-release-details/2026/KB-HOME-OPENS-ELEVON-A-SOUGHT-AFTER-MASTER-PLANNED-COMMUNITY-IN-A-DESIRABLE-DALLAS-AREA-LOCATION/default.aspx</t>
        </is>
      </c>
      <c r="W174" s="12" t="inlineStr">
        <is>
          <t>https://www.linkedin.com/company/kb-home/</t>
        </is>
      </c>
      <c r="X174" s="12" t="inlineStr">
        <is>
          <t>https://investor.kbhome.com/company-news/news-releases/press-release-details/2026/KB-HOME-OPENS-ELEVON-A-SOUGHT-AFTER-MASTER-PLANNED-COMMUNITY-IN-A-DESIRABLE-DALLAS-AREA-LOCATION/default.aspx</t>
        </is>
      </c>
      <c r="Y174" s="12" t="inlineStr"/>
      <c r="Z174" s="12" t="inlineStr">
        <is>
          <t>(469) 530-6107</t>
        </is>
      </c>
      <c r="AA174" s="12" t="inlineStr">
        <is>
          <t>Dallas/Fort Worth market line</t>
        </is>
      </c>
      <c r="AB174" s="12" t="inlineStr">
        <is>
          <t>https://www.kbhome.com/new-homes-dallas-fort-worth</t>
        </is>
      </c>
      <c r="AC174" s="12" t="inlineStr"/>
      <c r="AD174" s="12" t="inlineStr"/>
    </row>
    <row r="175">
      <c r="A175" s="6" t="inlineStr">
        <is>
          <t>Stacy Conley</t>
        </is>
      </c>
      <c r="B175" s="6" t="inlineStr">
        <is>
          <t>LGI Homes</t>
        </is>
      </c>
      <c r="C175" s="6" t="inlineStr">
        <is>
          <t>Division President, Dallas-Fort Worth</t>
        </is>
      </c>
      <c r="D175" s="7" t="inlineStr">
        <is>
          <t>National builder</t>
        </is>
      </c>
      <c r="E175" s="8" t="n">
        <v>1</v>
      </c>
      <c r="F175" s="6" t="inlineStr">
        <is>
          <t>Buys walls</t>
        </is>
      </c>
      <c r="G175" s="6" t="inlineStr">
        <is>
          <t>Dallas-Fort Worth, including Forney and Dallas</t>
        </is>
      </c>
      <c r="H175" s="6" t="inlineStr">
        <is>
          <t>National entry-level builder with a DFW market page</t>
        </is>
      </c>
      <c r="I175" s="8" t="inlineStr">
        <is>
          <t>Yes</t>
        </is>
      </c>
      <c r="J175" s="9" t="inlineStr">
        <is>
          <t>Entry-level plans repeated across the communities on its DFW market page.</t>
        </is>
      </c>
      <c r="K175" s="8" t="inlineStr">
        <is>
          <t>No</t>
        </is>
      </c>
      <c r="L175" s="9" t="inlineStr">
        <is>
          <t>A national public builder, with purchasing at the corporate desk.</t>
        </is>
      </c>
      <c r="M175" s="8" t="inlineStr">
        <is>
          <t>No</t>
        </is>
      </c>
      <c r="N175" s="9" t="inlineStr">
        <is>
          <t>Nothing on record about wall method.</t>
        </is>
      </c>
      <c r="O175" s="10" t="inlineStr"/>
      <c r="P175" s="6" t="inlineStr"/>
      <c r="Q175" s="11">
        <f>IF(O175="","ADD LINKEDIN","ok")</f>
        <v/>
      </c>
      <c r="R175" s="6" t="inlineStr">
        <is>
          <t>https://www.lgihomes.com/texas/dallas-fort-worth</t>
        </is>
      </c>
      <c r="S175" s="9" t="inlineStr">
        <is>
          <t>Entry-level plans repeated across DFW communities. The corporate office is in The Woodlands, and the DFW pages name no purchasing contact.</t>
        </is>
      </c>
      <c r="T175" s="6" t="inlineStr">
        <is>
          <t>YES</t>
        </is>
      </c>
      <c r="U175" s="9" t="inlineStr">
        <is>
          <t>Quoted in an LGI press release of April 15, 2026 as Division President for Dallas-Fort Worth.</t>
        </is>
      </c>
      <c r="V175" s="6" t="inlineStr">
        <is>
          <t>https://investor.lgihomes.com/news-releases/news-release-details/lgi-homes-expands-sherman-texas-grand-opening-sherman-heights</t>
        </is>
      </c>
      <c r="W175" s="6" t="inlineStr">
        <is>
          <t>https://www.linkedin.com/company/lgi-homes/</t>
        </is>
      </c>
      <c r="X175" s="6" t="inlineStr"/>
      <c r="Y175" s="6" t="inlineStr"/>
      <c r="Z175" s="6" t="inlineStr">
        <is>
          <t>(855) 581-6400</t>
        </is>
      </c>
      <c r="AA175" s="6" t="inlineStr">
        <is>
          <t>College Park sales information center, Dallas</t>
        </is>
      </c>
      <c r="AB175" s="6" t="inlineStr">
        <is>
          <t>https://www.lgihomes.com/texas/dallas-fort-worth/college-park</t>
        </is>
      </c>
      <c r="AC175" s="6" t="inlineStr"/>
      <c r="AD175" s="6" t="inlineStr"/>
    </row>
    <row r="176">
      <c r="A176" s="12" t="inlineStr">
        <is>
          <t>Chad Tschetter</t>
        </is>
      </c>
      <c r="B176" s="12" t="inlineStr">
        <is>
          <t>M/I Homes</t>
        </is>
      </c>
      <c r="C176" s="12" t="inlineStr">
        <is>
          <t>Area President, Dallas-Fort Worth</t>
        </is>
      </c>
      <c r="D176" s="13" t="inlineStr">
        <is>
          <t>National builder</t>
        </is>
      </c>
      <c r="E176" s="14" t="n">
        <v>1</v>
      </c>
      <c r="F176" s="12" t="inlineStr">
        <is>
          <t>Buys walls</t>
        </is>
      </c>
      <c r="G176" s="12" t="inlineStr">
        <is>
          <t>Dallas-Fort Worth, including Royse City</t>
        </is>
      </c>
      <c r="H176" s="12" t="inlineStr">
        <is>
          <t>National public builder with DFW Metroplex communities</t>
        </is>
      </c>
      <c r="I176" s="14" t="inlineStr">
        <is>
          <t>Yes</t>
        </is>
      </c>
      <c r="J176" s="15" t="inlineStr">
        <is>
          <t>Production plans across DFW Metroplex communities on its own community finder.</t>
        </is>
      </c>
      <c r="K176" s="14" t="inlineStr">
        <is>
          <t>No</t>
        </is>
      </c>
      <c r="L176" s="15" t="inlineStr">
        <is>
          <t>A public national builder with purchasing at a national desk.</t>
        </is>
      </c>
      <c r="M176" s="14" t="inlineStr">
        <is>
          <t>No</t>
        </is>
      </c>
      <c r="N176" s="15" t="inlineStr">
        <is>
          <t>Nothing on record about wall method.</t>
        </is>
      </c>
      <c r="O176" s="10" t="inlineStr"/>
      <c r="P176" s="12" t="inlineStr"/>
      <c r="Q176" s="16">
        <f>IF(O176="","ADD LINKEDIN","ok")</f>
        <v/>
      </c>
      <c r="R176" s="12" t="inlineStr">
        <is>
          <t>https://www.mihomes.com/new-homes/texas/dallas-fort-worth-metroplex</t>
        </is>
      </c>
      <c r="S176" s="15" t="inlineStr">
        <is>
          <t>Purchasing sits at a national desk. The DFW area president was last named in press in February 2022.</t>
        </is>
      </c>
      <c r="T176" s="12" t="inlineStr">
        <is>
          <t>YES</t>
        </is>
      </c>
      <c r="U176" s="15" t="inlineStr">
        <is>
          <t>Quoted as M/I Homes Area President in a February 27, 2022 Candy's Dirt article citing NBC 5.</t>
        </is>
      </c>
      <c r="V176" s="12" t="inlineStr">
        <is>
          <t>https://candysdirt.com/2022/02/27/collin-county-residential-building-permits/</t>
        </is>
      </c>
      <c r="W176" s="12" t="inlineStr">
        <is>
          <t>https://www.linkedin.com/company/mihomes/</t>
        </is>
      </c>
      <c r="X176" s="12" t="inlineStr"/>
      <c r="Y176" s="12" t="inlineStr"/>
      <c r="Z176" s="12" t="inlineStr">
        <is>
          <t>(972) 619-4200</t>
        </is>
      </c>
      <c r="AA176" s="12" t="inlineStr">
        <is>
          <t>Line for real estate agents</t>
        </is>
      </c>
      <c r="AB176" s="12" t="inlineStr">
        <is>
          <t>https://www.mihomes.com/agent/dallas-fort-worth-metroplex/agent-info</t>
        </is>
      </c>
      <c r="AC176" s="12" t="inlineStr"/>
      <c r="AD176" s="12" t="inlineStr"/>
    </row>
    <row r="177">
      <c r="A177" s="6" t="inlineStr">
        <is>
          <t>Tom Cawthon</t>
        </is>
      </c>
      <c r="B177" s="6" t="inlineStr">
        <is>
          <t>Taylor Morrison</t>
        </is>
      </c>
      <c r="C177" s="6" t="inlineStr">
        <is>
          <t>Dallas Division President (as of June 2025)</t>
        </is>
      </c>
      <c r="D177" s="7" t="inlineStr">
        <is>
          <t>National builder</t>
        </is>
      </c>
      <c r="E177" s="8" t="n">
        <v>1</v>
      </c>
      <c r="F177" s="6" t="inlineStr">
        <is>
          <t>Buys walls</t>
        </is>
      </c>
      <c r="G177" s="6" t="inlineStr">
        <is>
          <t>Dallas division, Frisco office</t>
        </is>
      </c>
      <c r="H177" s="6" t="inlineStr">
        <is>
          <t>National public builder, Dallas division plus Yardly brand</t>
        </is>
      </c>
      <c r="I177" s="8" t="inlineStr">
        <is>
          <t>Yes</t>
        </is>
      </c>
      <c r="J177" s="9" t="inlineStr">
        <is>
          <t>One plan library repeated across communities in Justin, Anna, Celina, Fort Worth and other DFW cities on its Dallas division page.</t>
        </is>
      </c>
      <c r="K177" s="8" t="inlineStr">
        <is>
          <t>No</t>
        </is>
      </c>
      <c r="L177" s="9" t="inlineStr">
        <is>
          <t>A national public builder that buys at a national desk.</t>
        </is>
      </c>
      <c r="M177" s="8" t="inlineStr">
        <is>
          <t>No</t>
        </is>
      </c>
      <c r="N177" s="9" t="inlineStr">
        <is>
          <t>Nothing on record on its Dallas pages.</t>
        </is>
      </c>
      <c r="O177" s="10" t="inlineStr"/>
      <c r="P177" s="6" t="inlineStr"/>
      <c r="Q177" s="11">
        <f>IF(O177="","ADD LINKEDIN","ok")</f>
        <v/>
      </c>
      <c r="R177" s="6" t="inlineStr">
        <is>
          <t>https://www.taylormorrison.com/texas/dallas</t>
        </is>
      </c>
      <c r="S177" s="9" t="inlineStr">
        <is>
          <t>Purchasing sits at a national desk.</t>
        </is>
      </c>
      <c r="T177" s="6" t="inlineStr"/>
      <c r="U177" s="9" t="inlineStr">
        <is>
          <t>Named in Local Profile on June 19, 2025 as Taylor Morrison's Dallas Division President, quoted on Ranch at Uptown Celina.</t>
        </is>
      </c>
      <c r="V177" s="6" t="inlineStr">
        <is>
          <t>https://www.localprofile.com/real-estate/home-builders-betting-big-celina-10833314</t>
        </is>
      </c>
      <c r="W177" s="6" t="inlineStr">
        <is>
          <t>https://www.linkedin.com/company/taylor-morrison/</t>
        </is>
      </c>
      <c r="X177" s="6" t="inlineStr"/>
      <c r="Y177" s="6" t="inlineStr"/>
      <c r="Z177" s="6" t="inlineStr">
        <is>
          <t>(469) 252-2306</t>
        </is>
      </c>
      <c r="AA177" s="6" t="inlineStr">
        <is>
          <t>Online sales manager, Dallas division</t>
        </is>
      </c>
      <c r="AB177" s="6" t="inlineStr">
        <is>
          <t>https://www.taylormorrison.com/contact-us</t>
        </is>
      </c>
      <c r="AC177" s="6" t="inlineStr"/>
      <c r="AD177" s="6" t="inlineStr"/>
    </row>
    <row r="178">
      <c r="A178" s="12" t="inlineStr">
        <is>
          <t>Jay Saunders</t>
        </is>
      </c>
      <c r="B178" s="12" t="inlineStr">
        <is>
          <t>Toll Brothers</t>
        </is>
      </c>
      <c r="C178" s="12" t="inlineStr">
        <is>
          <t>Division President, Dallas-Fort Worth</t>
        </is>
      </c>
      <c r="D178" s="13" t="inlineStr">
        <is>
          <t>National builder</t>
        </is>
      </c>
      <c r="E178" s="14" t="n">
        <v>1</v>
      </c>
      <c r="F178" s="12" t="inlineStr">
        <is>
          <t>Buys walls</t>
        </is>
      </c>
      <c r="G178" s="12" t="inlineStr">
        <is>
          <t>Frisco and Fort Worth, part of a national builder</t>
        </is>
      </c>
      <c r="H178" s="12" t="inlineStr">
        <is>
          <t>Two DFW communities, named Division President</t>
        </is>
      </c>
      <c r="I178" s="14" t="inlineStr">
        <is>
          <t>Yes</t>
        </is>
      </c>
      <c r="J178" s="15" t="inlineStr">
        <is>
          <t>Luxury plan collections repeated across DFW communities, including Prestwick Grove and Wildflower Ranch.</t>
        </is>
      </c>
      <c r="K178" s="14" t="inlineStr">
        <is>
          <t>No</t>
        </is>
      </c>
      <c r="L178" s="15" t="inlineStr">
        <is>
          <t>A national public builder, with purchasing at a national or division desk.</t>
        </is>
      </c>
      <c r="M178" s="14" t="inlineStr">
        <is>
          <t>No</t>
        </is>
      </c>
      <c r="N178" s="15" t="inlineStr">
        <is>
          <t>Nothing on record.</t>
        </is>
      </c>
      <c r="O178" s="10" t="inlineStr"/>
      <c r="P178" s="12" t="inlineStr"/>
      <c r="Q178" s="16">
        <f>IF(O178="","ADD LINKEDIN","ok")</f>
        <v/>
      </c>
      <c r="R178" s="12" t="inlineStr">
        <is>
          <t>https://www.tollbrothers.com/</t>
        </is>
      </c>
      <c r="S178" s="15" t="inlineStr">
        <is>
          <t>Jay Saunders is named as Division President in Dallas-Fort Worth. Purchasing for a national public builder sits at a national or division desk.</t>
        </is>
      </c>
      <c r="T178" s="12" t="inlineStr">
        <is>
          <t>YES</t>
        </is>
      </c>
      <c r="U178" s="15" t="inlineStr">
        <is>
          <t>Quoted as Division President in Dallas-Fort Worth in Toll's release of 22 October 2025 on Prestwick Grove.</t>
        </is>
      </c>
      <c r="V178" s="12" t="inlineStr">
        <is>
          <t>https://www.tollbrothers.com/blog/prestwick-grove-frisco-texas-grand-opening</t>
        </is>
      </c>
      <c r="W178" s="12" t="inlineStr">
        <is>
          <t>https://www.linkedin.com/company/toll-brothers/</t>
        </is>
      </c>
      <c r="X178" s="12" t="inlineStr"/>
      <c r="Y178" s="12" t="inlineStr">
        <is>
          <t>2025-10-22 Toll Brothers / GlobeNewswire. Toll Brothers Announces Prestwick Grove Now Open in Frisco, Texas  https://www.tollbrothers.com/blog/prestwick-grove-frisco-texas-grand-opening</t>
        </is>
      </c>
      <c r="Z178" s="12" t="inlineStr">
        <is>
          <t>(855) 289-8656</t>
        </is>
      </c>
      <c r="AA178" s="12" t="inlineStr">
        <is>
          <t>Texas community line</t>
        </is>
      </c>
      <c r="AB178" s="12" t="inlineStr">
        <is>
          <t>https://www.tollbrothers.com/luxury-homes-for-sale/Texas/Prestwick-Grove</t>
        </is>
      </c>
      <c r="AC178" s="12" t="inlineStr"/>
      <c r="AD178" s="12" t="inlineStr"/>
    </row>
    <row r="179">
      <c r="A179" s="6" t="inlineStr">
        <is>
          <t>Sean Ricks</t>
        </is>
      </c>
      <c r="B179" s="6" t="inlineStr">
        <is>
          <t>Tri Pointe Homes</t>
        </is>
      </c>
      <c r="C179" s="6" t="inlineStr">
        <is>
          <t>President, Dallas-Fort Worth Division</t>
        </is>
      </c>
      <c r="D179" s="7" t="inlineStr">
        <is>
          <t>National builder</t>
        </is>
      </c>
      <c r="E179" s="8" t="n">
        <v>1</v>
      </c>
      <c r="F179" s="6" t="inlineStr">
        <is>
          <t>Buys walls</t>
        </is>
      </c>
      <c r="G179" s="6" t="inlineStr">
        <is>
          <t>Dallas-Fort Worth division of a national builder</t>
        </is>
      </c>
      <c r="H179" s="6" t="inlineStr">
        <is>
          <t>National public builder, 23 DFW communities on its page</t>
        </is>
      </c>
      <c r="I179" s="8" t="inlineStr">
        <is>
          <t>Partly</t>
        </is>
      </c>
      <c r="J179" s="9" t="inlineStr">
        <is>
          <t>A DFW community set, including Painted Tree, on a national plan platform shared across many metros.</t>
        </is>
      </c>
      <c r="K179" s="8" t="inlineStr">
        <is>
          <t>No</t>
        </is>
      </c>
      <c r="L179" s="9" t="inlineStr">
        <is>
          <t>A national public builder that buys at a national desk.</t>
        </is>
      </c>
      <c r="M179" s="8" t="inlineStr">
        <is>
          <t>No</t>
        </is>
      </c>
      <c r="N179" s="9" t="inlineStr">
        <is>
          <t>Nothing on record.</t>
        </is>
      </c>
      <c r="O179" s="10" t="inlineStr"/>
      <c r="P179" s="6" t="inlineStr"/>
      <c r="Q179" s="11">
        <f>IF(O179="","ADD LINKEDIN","ok")</f>
        <v/>
      </c>
      <c r="R179" s="6" t="inlineStr">
        <is>
          <t>https://www.tripointehomes.com/</t>
        </is>
      </c>
      <c r="S179" s="9" t="inlineStr">
        <is>
          <t>Purchasing sits at a national desk. It builds inside Painted Tree, a McKinney masterplan.</t>
        </is>
      </c>
      <c r="T179" s="6" t="inlineStr">
        <is>
          <t>YES</t>
        </is>
      </c>
      <c r="U179" s="9" t="inlineStr">
        <is>
          <t>Named on Tri Pointe's investor divisions page as President of the Dallas-Fort Worth division.</t>
        </is>
      </c>
      <c r="V179" s="6" t="inlineStr">
        <is>
          <t>https://investors.tripointehomes.com/divisions/default.aspx</t>
        </is>
      </c>
      <c r="W179" s="6" t="inlineStr">
        <is>
          <t>https://www.linkedin.com/company/tri-pointe-homes/</t>
        </is>
      </c>
      <c r="X179" s="6" t="inlineStr">
        <is>
          <t>https://www.tripointehomes.com/about/</t>
        </is>
      </c>
      <c r="Y179" s="6" t="inlineStr"/>
      <c r="Z179" s="6" t="inlineStr">
        <is>
          <t>(214) 765-0570</t>
        </is>
      </c>
      <c r="AA179" s="6" t="inlineStr">
        <is>
          <t>Dallas-Fort Worth division office</t>
        </is>
      </c>
      <c r="AB179" s="6" t="inlineStr">
        <is>
          <t>https://investors.tripointehomes.com/contact-us/</t>
        </is>
      </c>
      <c r="AC179" s="6" t="inlineStr"/>
      <c r="AD179" s="6" t="inlineStr"/>
    </row>
    <row r="180">
      <c r="A180" s="12" t="inlineStr">
        <is>
          <t>Fred Balda</t>
        </is>
      </c>
      <c r="B180" s="12" t="inlineStr">
        <is>
          <t>Hillwood Communities</t>
        </is>
      </c>
      <c r="C180" s="12" t="inlineStr">
        <is>
          <t>President</t>
        </is>
      </c>
      <c r="D180" s="13" t="inlineStr">
        <is>
          <t>Land owner, not the buyer</t>
        </is>
      </c>
      <c r="E180" s="14" t="n">
        <v>2</v>
      </c>
      <c r="F180" s="12" t="inlineStr">
        <is>
          <t>Sells lots</t>
        </is>
      </c>
      <c r="G180" s="12" t="inlineStr">
        <is>
          <t>Dallas headquarters, with masterplans in Celina and Melissa</t>
        </is>
      </c>
      <c r="H180" s="12" t="inlineStr">
        <is>
          <t>DFW masterplan developer, including Ramble and Liberty</t>
        </is>
      </c>
      <c r="I180" s="14" t="inlineStr">
        <is>
          <t>Yes</t>
        </is>
      </c>
      <c r="J180" s="15" t="inlineStr">
        <is>
          <t>Several DFW masterplans at once, each with a published multi-builder roster.</t>
        </is>
      </c>
      <c r="K180" s="14" t="inlineStr">
        <is>
          <t>No</t>
        </is>
      </c>
      <c r="L180" s="15" t="inlineStr">
        <is>
          <t>It develops lots and sells them to builders. The builders buy the wall.</t>
        </is>
      </c>
      <c r="M180" s="14" t="inlineStr">
        <is>
          <t>Partly</t>
        </is>
      </c>
      <c r="N180" s="15" t="inlineStr">
        <is>
          <t>A hundred printed homes were built inside one of its own communities. Hillwood developed the ground. Lennar bought the printing.</t>
        </is>
      </c>
      <c r="O180" s="10" t="inlineStr"/>
      <c r="P180" s="12" t="inlineStr"/>
      <c r="Q180" s="16">
        <f>IF(O180="","ADD LINKEDIN","ok")</f>
        <v/>
      </c>
      <c r="R180" s="12" t="inlineStr">
        <is>
          <t>https://www.hillwoodcommunities.com/</t>
        </is>
      </c>
      <c r="S180" s="15" t="inlineStr">
        <is>
          <t>Sells lots. Ramble's builder roster names American Legend, Coventry, Drees, Highland and Perry.</t>
        </is>
      </c>
      <c r="T180" s="12" t="inlineStr"/>
      <c r="U180" s="15" t="inlineStr">
        <is>
          <t>Named on Hillwood Communities' leadership page as President.</t>
        </is>
      </c>
      <c r="V180" s="12" t="inlineStr">
        <is>
          <t>https://www.hillwoodcommunities.com/leadership/</t>
        </is>
      </c>
      <c r="W180" s="12" t="inlineStr">
        <is>
          <t>https://www.linkedin.com/company/hillwoodcommunities/</t>
        </is>
      </c>
      <c r="X180" s="12" t="inlineStr">
        <is>
          <t>https://www.hillwoodcommunities.com/leadership/</t>
        </is>
      </c>
      <c r="Y180" s="12" t="inlineStr"/>
      <c r="Z180" s="12" t="inlineStr">
        <is>
          <t>(214) 449-0914</t>
        </is>
      </c>
      <c r="AA180" s="12" t="inlineStr">
        <is>
          <t>Main office, Dallas</t>
        </is>
      </c>
      <c r="AB180" s="12" t="inlineStr">
        <is>
          <t>https://www.hillwoodcommunities.com/contact/</t>
        </is>
      </c>
      <c r="AC180" s="12" t="inlineStr"/>
      <c r="AD180" s="12" t="inlineStr"/>
    </row>
    <row r="181">
      <c r="A181" s="6" t="inlineStr">
        <is>
          <t>Elaine Eatman</t>
        </is>
      </c>
      <c r="B181" s="6" t="inlineStr">
        <is>
          <t>Hillwood Communities</t>
        </is>
      </c>
      <c r="C181" s="6" t="inlineStr">
        <is>
          <t>Senior Vice President, DFW Project Manager for Ramble and Union Park</t>
        </is>
      </c>
      <c r="D181" s="7" t="inlineStr">
        <is>
          <t>Land owner, not the buyer</t>
        </is>
      </c>
      <c r="E181" s="8" t="n">
        <v>2</v>
      </c>
      <c r="F181" s="6" t="inlineStr">
        <is>
          <t>Sells lots</t>
        </is>
      </c>
      <c r="G181" s="6" t="inlineStr">
        <is>
          <t>Dallas headquarters, with masterplans in Celina and Melissa</t>
        </is>
      </c>
      <c r="H181" s="6" t="inlineStr">
        <is>
          <t>DFW masterplan developer, including Ramble and Liberty</t>
        </is>
      </c>
      <c r="I181" s="8" t="inlineStr">
        <is>
          <t>Yes</t>
        </is>
      </c>
      <c r="J181" s="9" t="inlineStr">
        <is>
          <t>Several DFW masterplans at once, each with a published multi-builder roster.</t>
        </is>
      </c>
      <c r="K181" s="8" t="inlineStr">
        <is>
          <t>No</t>
        </is>
      </c>
      <c r="L181" s="9" t="inlineStr">
        <is>
          <t>It develops lots and sells them to builders. The builders buy the wall.</t>
        </is>
      </c>
      <c r="M181" s="8" t="inlineStr">
        <is>
          <t>Partly</t>
        </is>
      </c>
      <c r="N181" s="9" t="inlineStr">
        <is>
          <t>A hundred printed homes were built inside one of its own communities. Hillwood developed the ground. Lennar bought the printing.</t>
        </is>
      </c>
      <c r="O181" s="6" t="inlineStr">
        <is>
          <t>https://www.linkedin.com/in/elaine-eatman-54596a10</t>
        </is>
      </c>
      <c r="P181" s="6" t="inlineStr"/>
      <c r="Q181" s="11">
        <f>IF(O181="","ADD LINKEDIN","ok")</f>
        <v/>
      </c>
      <c r="R181" s="6" t="inlineStr">
        <is>
          <t>https://www.hillwoodcommunities.com/</t>
        </is>
      </c>
      <c r="S181" s="9" t="inlineStr">
        <is>
          <t>Sells lots. Ramble's builder roster names American Legend, Coventry, Drees, Highland and Perry.</t>
        </is>
      </c>
      <c r="T181" s="6" t="inlineStr">
        <is>
          <t>YES</t>
        </is>
      </c>
      <c r="U181" s="9" t="inlineStr">
        <is>
          <t>Indexed title reads Elaine Eatman - Senior Vice President at Hillwood. Named in the DFW project managers section of Hillwood's leadership page, for Ramble and Union Park.</t>
        </is>
      </c>
      <c r="V181" s="6" t="inlineStr">
        <is>
          <t>https://www.hillwoodcommunities.com/leadership/</t>
        </is>
      </c>
      <c r="W181" s="6" t="inlineStr">
        <is>
          <t>https://www.linkedin.com/company/hillwoodcommunities/</t>
        </is>
      </c>
      <c r="X181" s="6" t="inlineStr">
        <is>
          <t>https://www.hillwoodcommunities.com/leadership/</t>
        </is>
      </c>
      <c r="Y181" s="6" t="inlineStr"/>
      <c r="Z181" s="6" t="inlineStr">
        <is>
          <t>(214) 449-0914</t>
        </is>
      </c>
      <c r="AA181" s="6" t="inlineStr">
        <is>
          <t>Main office, Dallas</t>
        </is>
      </c>
      <c r="AB181" s="6" t="inlineStr">
        <is>
          <t>https://www.hillwoodcommunities.com/contact/</t>
        </is>
      </c>
      <c r="AC181" s="6" t="inlineStr"/>
      <c r="AD181" s="6" t="inlineStr"/>
    </row>
    <row r="182">
      <c r="A182" s="12" t="inlineStr">
        <is>
          <t>Angie Mastrocola</t>
        </is>
      </c>
      <c r="B182" s="12" t="inlineStr">
        <is>
          <t>Hillwood Communities</t>
        </is>
      </c>
      <c r="C182" s="12" t="inlineStr">
        <is>
          <t>Senior Vice President, DFW Project Manager for Harvest</t>
        </is>
      </c>
      <c r="D182" s="13" t="inlineStr">
        <is>
          <t>Land owner, not the buyer</t>
        </is>
      </c>
      <c r="E182" s="14" t="n">
        <v>2</v>
      </c>
      <c r="F182" s="12" t="inlineStr">
        <is>
          <t>Sells lots</t>
        </is>
      </c>
      <c r="G182" s="12" t="inlineStr">
        <is>
          <t>Dallas headquarters, with masterplans in Celina and Melissa</t>
        </is>
      </c>
      <c r="H182" s="12" t="inlineStr">
        <is>
          <t>DFW masterplan developer, including Ramble and Liberty</t>
        </is>
      </c>
      <c r="I182" s="14" t="inlineStr">
        <is>
          <t>Yes</t>
        </is>
      </c>
      <c r="J182" s="15" t="inlineStr">
        <is>
          <t>Several DFW masterplans at once, each with a published multi-builder roster.</t>
        </is>
      </c>
      <c r="K182" s="14" t="inlineStr">
        <is>
          <t>No</t>
        </is>
      </c>
      <c r="L182" s="15" t="inlineStr">
        <is>
          <t>It develops lots and sells them to builders. The builders buy the wall.</t>
        </is>
      </c>
      <c r="M182" s="14" t="inlineStr">
        <is>
          <t>Partly</t>
        </is>
      </c>
      <c r="N182" s="15" t="inlineStr">
        <is>
          <t>A hundred printed homes were built inside one of its own communities. Hillwood developed the ground. Lennar bought the printing.</t>
        </is>
      </c>
      <c r="O182" s="6" t="inlineStr">
        <is>
          <t>https://www.linkedin.com/in/angie-waddle-mastrocola-94766213/</t>
        </is>
      </c>
      <c r="P182" s="12" t="inlineStr"/>
      <c r="Q182" s="16">
        <f>IF(O182="","ADD LINKEDIN","ok")</f>
        <v/>
      </c>
      <c r="R182" s="12" t="inlineStr">
        <is>
          <t>https://www.hillwoodcommunities.com/</t>
        </is>
      </c>
      <c r="S182" s="15" t="inlineStr">
        <is>
          <t>Sells lots. Ramble's builder roster names American Legend, Coventry, Drees, Highland and Perry.</t>
        </is>
      </c>
      <c r="T182" s="12" t="inlineStr">
        <is>
          <t>YES</t>
        </is>
      </c>
      <c r="U182" s="15" t="inlineStr">
        <is>
          <t>Indexed title reads Angie (Waddle) Mastrocola - Hillwood Development. Named in the DFW project managers section of Hillwood's leadership page, for Harvest.</t>
        </is>
      </c>
      <c r="V182" s="12" t="inlineStr">
        <is>
          <t>https://www.hillwoodcommunities.com/leadership/</t>
        </is>
      </c>
      <c r="W182" s="12" t="inlineStr">
        <is>
          <t>https://www.linkedin.com/company/hillwoodcommunities/</t>
        </is>
      </c>
      <c r="X182" s="12" t="inlineStr">
        <is>
          <t>https://www.hillwoodcommunities.com/leadership/</t>
        </is>
      </c>
      <c r="Y182" s="12" t="inlineStr"/>
      <c r="Z182" s="12" t="inlineStr">
        <is>
          <t>(214) 449-0914</t>
        </is>
      </c>
      <c r="AA182" s="12" t="inlineStr">
        <is>
          <t>Main office, Dallas</t>
        </is>
      </c>
      <c r="AB182" s="12" t="inlineStr">
        <is>
          <t>https://www.hillwoodcommunities.com/contact/</t>
        </is>
      </c>
      <c r="AC182" s="12" t="inlineStr"/>
      <c r="AD182" s="12" t="inlineStr"/>
    </row>
    <row r="183">
      <c r="A183" s="6" t="inlineStr">
        <is>
          <t>Debbie Wilson</t>
        </is>
      </c>
      <c r="B183" s="6" t="inlineStr">
        <is>
          <t>Cambridge Crossing (Celina, Cambridge Companies)</t>
        </is>
      </c>
      <c r="C183" s="6" t="inlineStr">
        <is>
          <t>Owner, Cambridge Companies</t>
        </is>
      </c>
      <c r="D183" s="7" t="inlineStr">
        <is>
          <t>Land owner, not the buyer</t>
        </is>
      </c>
      <c r="E183" s="8" t="n">
        <v>1</v>
      </c>
      <c r="F183" s="6" t="inlineStr">
        <is>
          <t>Sells lots</t>
        </is>
      </c>
      <c r="G183" s="6" t="inlineStr">
        <is>
          <t>Celina, near the Tollway and Outer Loop</t>
        </is>
      </c>
      <c r="H183" s="6" t="inlineStr">
        <is>
          <t>About 1,500 homes on 639 acres, four builders</t>
        </is>
      </c>
      <c r="I183" s="8" t="inlineStr">
        <is>
          <t>Yes</t>
        </is>
      </c>
      <c r="J183" s="9" t="inlineStr">
        <is>
          <t>About 1,500 planned homes on one 639-acre site, with four production builders named.</t>
        </is>
      </c>
      <c r="K183" s="8" t="inlineStr">
        <is>
          <t>No</t>
        </is>
      </c>
      <c r="L183" s="9" t="inlineStr">
        <is>
          <t>It sells lots. The builders buy the wall.</t>
        </is>
      </c>
      <c r="M183" s="8" t="inlineStr">
        <is>
          <t>No</t>
        </is>
      </c>
      <c r="N183" s="9" t="inlineStr">
        <is>
          <t>Nothing on record about construction method.</t>
        </is>
      </c>
      <c r="O183" s="10" t="inlineStr"/>
      <c r="P183" s="6" t="inlineStr"/>
      <c r="Q183" s="11">
        <f>IF(O183="","ADD LINKEDIN","ok")</f>
        <v/>
      </c>
      <c r="R183" s="6" t="inlineStr">
        <is>
          <t>https://cambridgecrossingcelina.com/</t>
        </is>
      </c>
      <c r="S183" s="9" t="inlineStr">
        <is>
          <t>Sells lots to four builders: Coventry, Highland, Perry and UnionMain.</t>
        </is>
      </c>
      <c r="T183" s="6" t="inlineStr"/>
      <c r="U183" s="9" t="inlineStr">
        <is>
          <t>Named on Cambridge Companies' own about page as Owner.</t>
        </is>
      </c>
      <c r="V183" s="6" t="inlineStr">
        <is>
          <t>https://cambridgecos.com/about/</t>
        </is>
      </c>
      <c r="W183" s="6" t="inlineStr"/>
      <c r="X183" s="6" t="inlineStr">
        <is>
          <t>https://cambridgecos.com/about/</t>
        </is>
      </c>
      <c r="Y183" s="6" t="inlineStr"/>
      <c r="Z183" s="6" t="inlineStr">
        <is>
          <t>(214) 771-7305</t>
        </is>
      </c>
      <c r="AA183" s="6" t="inlineStr">
        <is>
          <t>Community office, Celina</t>
        </is>
      </c>
      <c r="AB183" s="6" t="inlineStr">
        <is>
          <t>https://cambridgecrossingcelina.com/builders/</t>
        </is>
      </c>
      <c r="AC183" s="6" t="inlineStr"/>
      <c r="AD183" s="6" t="inlineStr"/>
    </row>
    <row r="184">
      <c r="A184" s="12" t="inlineStr">
        <is>
          <t>Jim Melino</t>
        </is>
      </c>
      <c r="B184" s="12" t="inlineStr">
        <is>
          <t>Cambridge Crossing (Celina, Cambridge Companies)</t>
        </is>
      </c>
      <c r="C184" s="12" t="inlineStr">
        <is>
          <t>President and General Counsel</t>
        </is>
      </c>
      <c r="D184" s="13" t="inlineStr">
        <is>
          <t>Land owner, not the buyer</t>
        </is>
      </c>
      <c r="E184" s="14" t="n">
        <v>1</v>
      </c>
      <c r="F184" s="12" t="inlineStr">
        <is>
          <t>Sells lots</t>
        </is>
      </c>
      <c r="G184" s="12" t="inlineStr">
        <is>
          <t>Celina, near the Tollway and Outer Loop</t>
        </is>
      </c>
      <c r="H184" s="12" t="inlineStr">
        <is>
          <t>About 1,500 homes on 639 acres, four builders</t>
        </is>
      </c>
      <c r="I184" s="14" t="inlineStr">
        <is>
          <t>Yes</t>
        </is>
      </c>
      <c r="J184" s="15" t="inlineStr">
        <is>
          <t>About 1,500 planned homes on one 639-acre site, with four production builders named.</t>
        </is>
      </c>
      <c r="K184" s="14" t="inlineStr">
        <is>
          <t>No</t>
        </is>
      </c>
      <c r="L184" s="15" t="inlineStr">
        <is>
          <t>It sells lots. The builders buy the wall.</t>
        </is>
      </c>
      <c r="M184" s="14" t="inlineStr">
        <is>
          <t>No</t>
        </is>
      </c>
      <c r="N184" s="15" t="inlineStr">
        <is>
          <t>Nothing on record about construction method.</t>
        </is>
      </c>
      <c r="O184" s="10" t="inlineStr"/>
      <c r="P184" s="12" t="inlineStr"/>
      <c r="Q184" s="16">
        <f>IF(O184="","ADD LINKEDIN","ok")</f>
        <v/>
      </c>
      <c r="R184" s="12" t="inlineStr">
        <is>
          <t>https://cambridgecrossingcelina.com/</t>
        </is>
      </c>
      <c r="S184" s="15" t="inlineStr">
        <is>
          <t>Sells lots to four builders: Coventry, Highland, Perry and UnionMain.</t>
        </is>
      </c>
      <c r="T184" s="12" t="inlineStr"/>
      <c r="U184" s="15" t="inlineStr">
        <is>
          <t>Named on Cambridge Companies' own about page as President and General Counsel.</t>
        </is>
      </c>
      <c r="V184" s="12" t="inlineStr">
        <is>
          <t>https://cambridgecos.com/about/</t>
        </is>
      </c>
      <c r="W184" s="12" t="inlineStr"/>
      <c r="X184" s="12" t="inlineStr">
        <is>
          <t>https://cambridgecos.com/about/</t>
        </is>
      </c>
      <c r="Y184" s="12" t="inlineStr"/>
      <c r="Z184" s="12" t="inlineStr">
        <is>
          <t>(214) 771-7305</t>
        </is>
      </c>
      <c r="AA184" s="12" t="inlineStr">
        <is>
          <t>Community office, Celina</t>
        </is>
      </c>
      <c r="AB184" s="12" t="inlineStr">
        <is>
          <t>https://cambridgecrossingcelina.com/builders/</t>
        </is>
      </c>
      <c r="AC184" s="12" t="inlineStr"/>
      <c r="AD184" s="12" t="inlineStr"/>
    </row>
    <row r="185">
      <c r="A185" s="6" t="inlineStr">
        <is>
          <t>Randy McCuistion</t>
        </is>
      </c>
      <c r="B185" s="6" t="inlineStr">
        <is>
          <t>Cambridge Crossing (Celina, Cambridge Companies)</t>
        </is>
      </c>
      <c r="C185" s="6" t="inlineStr">
        <is>
          <t>Chief Development Officer</t>
        </is>
      </c>
      <c r="D185" s="7" t="inlineStr">
        <is>
          <t>Land owner, not the buyer</t>
        </is>
      </c>
      <c r="E185" s="8" t="n">
        <v>1</v>
      </c>
      <c r="F185" s="6" t="inlineStr">
        <is>
          <t>Sells lots</t>
        </is>
      </c>
      <c r="G185" s="6" t="inlineStr">
        <is>
          <t>Celina, near the Tollway and Outer Loop</t>
        </is>
      </c>
      <c r="H185" s="6" t="inlineStr">
        <is>
          <t>About 1,500 homes on 639 acres, four builders</t>
        </is>
      </c>
      <c r="I185" s="8" t="inlineStr">
        <is>
          <t>Yes</t>
        </is>
      </c>
      <c r="J185" s="9" t="inlineStr">
        <is>
          <t>About 1,500 planned homes on one 639-acre site, with four production builders named.</t>
        </is>
      </c>
      <c r="K185" s="8" t="inlineStr">
        <is>
          <t>No</t>
        </is>
      </c>
      <c r="L185" s="9" t="inlineStr">
        <is>
          <t>It sells lots. The builders buy the wall.</t>
        </is>
      </c>
      <c r="M185" s="8" t="inlineStr">
        <is>
          <t>No</t>
        </is>
      </c>
      <c r="N185" s="9" t="inlineStr">
        <is>
          <t>Nothing on record about construction method.</t>
        </is>
      </c>
      <c r="O185" s="10" t="inlineStr"/>
      <c r="P185" s="6" t="inlineStr"/>
      <c r="Q185" s="11">
        <f>IF(O185="","ADD LINKEDIN","ok")</f>
        <v/>
      </c>
      <c r="R185" s="6" t="inlineStr">
        <is>
          <t>https://cambridgecrossingcelina.com/</t>
        </is>
      </c>
      <c r="S185" s="9" t="inlineStr">
        <is>
          <t>Sells lots to four builders: Coventry, Highland, Perry and UnionMain.</t>
        </is>
      </c>
      <c r="T185" s="6" t="inlineStr"/>
      <c r="U185" s="9" t="inlineStr">
        <is>
          <t>Named on Cambridge Companies' own about page as Chief Development Officer.</t>
        </is>
      </c>
      <c r="V185" s="6" t="inlineStr">
        <is>
          <t>https://cambridgecos.com/about/</t>
        </is>
      </c>
      <c r="W185" s="6" t="inlineStr"/>
      <c r="X185" s="6" t="inlineStr">
        <is>
          <t>https://cambridgecos.com/about/</t>
        </is>
      </c>
      <c r="Y185" s="6" t="inlineStr"/>
      <c r="Z185" s="6" t="inlineStr">
        <is>
          <t>(214) 771-7305</t>
        </is>
      </c>
      <c r="AA185" s="6" t="inlineStr">
        <is>
          <t>Community office, Celina</t>
        </is>
      </c>
      <c r="AB185" s="6" t="inlineStr">
        <is>
          <t>https://cambridgecrossingcelina.com/builders/</t>
        </is>
      </c>
      <c r="AC185" s="6" t="inlineStr"/>
      <c r="AD185" s="6" t="inlineStr"/>
    </row>
    <row r="186">
      <c r="A186" s="12" t="inlineStr">
        <is>
          <t>Mehrdad Moayedi</t>
        </is>
      </c>
      <c r="B186" s="12" t="inlineStr">
        <is>
          <t>Centurion American Development Group</t>
        </is>
      </c>
      <c r="C186" s="12" t="inlineStr">
        <is>
          <t>President and Chief Executive Officer</t>
        </is>
      </c>
      <c r="D186" s="13" t="inlineStr">
        <is>
          <t>Land owner, not the buyer</t>
        </is>
      </c>
      <c r="E186" s="14" t="n">
        <v>1</v>
      </c>
      <c r="F186" s="12" t="inlineStr">
        <is>
          <t>Sells lots</t>
        </is>
      </c>
      <c r="G186" s="12" t="inlineStr">
        <is>
          <t>Farmers Branch, with masterplans across North Texas</t>
        </is>
      </c>
      <c r="H186" s="12" t="inlineStr">
        <is>
          <t>North Texas masterplan developer, Farmers Branch headquarters</t>
        </is>
      </c>
      <c r="I186" s="14" t="inlineStr">
        <is>
          <t>Yes</t>
        </is>
      </c>
      <c r="J186" s="15" t="inlineStr">
        <is>
          <t>Lots sold to repeating production builders across its North Texas masterplans, including Legacy Hills in Celina, Creekview in Pilot Point, Platinum Ranch and Cottonwood.</t>
        </is>
      </c>
      <c r="K186" s="14" t="inlineStr">
        <is>
          <t>No</t>
        </is>
      </c>
      <c r="L186" s="15" t="inlineStr">
        <is>
          <t>It sells lots. The builders inside its masterplans buy the wall.</t>
        </is>
      </c>
      <c r="M186" s="14" t="inlineStr">
        <is>
          <t>No</t>
        </is>
      </c>
      <c r="N186" s="15" t="inlineStr">
        <is>
          <t>Nothing on record.</t>
        </is>
      </c>
      <c r="O186" s="10" t="inlineStr"/>
      <c r="P186" s="12" t="inlineStr"/>
      <c r="Q186" s="16">
        <f>IF(O186="","ADD LINKEDIN","ok")</f>
        <v/>
      </c>
      <c r="R186" s="12" t="inlineStr">
        <is>
          <t>https://centurionamerican.com/</t>
        </is>
      </c>
      <c r="S186" s="15" t="inlineStr">
        <is>
          <t>Sells lots in its masterplans to production builders including Horton, Lennar, Pulte and Ashton Woods. In 2025 it formed a build-to-rent joint venture with Wan Bridge.</t>
        </is>
      </c>
      <c r="T186" s="12" t="inlineStr"/>
      <c r="U186" s="15" t="inlineStr">
        <is>
          <t>Named on the firm's leadership page as President and CEO, and as founder of Centurion American Custom Homes in 1990.</t>
        </is>
      </c>
      <c r="V186" s="12" t="inlineStr">
        <is>
          <t>https://centurionamerican.com/about/leadership/</t>
        </is>
      </c>
      <c r="W186" s="12" t="inlineStr">
        <is>
          <t>https://www.linkedin.com/company/centurion-american/</t>
        </is>
      </c>
      <c r="X186" s="12" t="inlineStr"/>
      <c r="Y186" s="12" t="inlineStr"/>
      <c r="Z186" s="12" t="inlineStr">
        <is>
          <t>(469) 892-7200</t>
        </is>
      </c>
      <c r="AA186" s="12" t="inlineStr">
        <is>
          <t>Headquarters, Farmers Branch</t>
        </is>
      </c>
      <c r="AB186" s="12" t="inlineStr">
        <is>
          <t>https://centurionamerican.com/contact/</t>
        </is>
      </c>
      <c r="AC186" s="12" t="inlineStr"/>
      <c r="AD186" s="12" t="inlineStr"/>
    </row>
    <row r="187">
      <c r="A187" s="6" t="inlineStr">
        <is>
          <t>Phillip Huffines</t>
        </is>
      </c>
      <c r="B187" s="6" t="inlineStr">
        <is>
          <t>Huffines Communities</t>
        </is>
      </c>
      <c r="C187" s="6" t="inlineStr">
        <is>
          <t>President, CEO and Co-founder</t>
        </is>
      </c>
      <c r="D187" s="7" t="inlineStr">
        <is>
          <t>Land owner, not the buyer</t>
        </is>
      </c>
      <c r="E187" s="8" t="n">
        <v>1</v>
      </c>
      <c r="F187" s="6" t="inlineStr">
        <is>
          <t>Sells lots</t>
        </is>
      </c>
      <c r="G187" s="6" t="inlineStr">
        <is>
          <t>Dallas, with masterplans in Celina, Mesquite, Midlothian and Grand Prairie</t>
        </is>
      </c>
      <c r="H187" s="6" t="inlineStr">
        <is>
          <t>Three masterplans: Serenade, Solterra, Lakesong</t>
        </is>
      </c>
      <c r="I187" s="8" t="inlineStr">
        <is>
          <t>Yes</t>
        </is>
      </c>
      <c r="J187" s="9" t="inlineStr">
        <is>
          <t>Several active multi-builder masterplans, Serenade, Solterra and Lakesong, from a family developer active since 1985.</t>
        </is>
      </c>
      <c r="K187" s="8" t="inlineStr">
        <is>
          <t>No</t>
        </is>
      </c>
      <c r="L187" s="9" t="inlineStr">
        <is>
          <t>It develops lots and infrastructure. The builders buy the wall.</t>
        </is>
      </c>
      <c r="M187" s="8" t="inlineStr">
        <is>
          <t>No</t>
        </is>
      </c>
      <c r="N187" s="9" t="inlineStr">
        <is>
          <t>Nothing on record about construction method.</t>
        </is>
      </c>
      <c r="O187" s="10" t="inlineStr"/>
      <c r="P187" s="6" t="inlineStr"/>
      <c r="Q187" s="11">
        <f>IF(O187="","ADD LINKEDIN","ok")</f>
        <v/>
      </c>
      <c r="R187" s="6" t="inlineStr">
        <is>
          <t>https://huffinescommunities.com/</t>
        </is>
      </c>
      <c r="S187" s="9" t="inlineStr">
        <is>
          <t>Sells lots. Its masterplans name builders including HistoryMaker, First Texas and Chesmar.</t>
        </is>
      </c>
      <c r="T187" s="6" t="inlineStr"/>
      <c r="U187" s="9" t="inlineStr">
        <is>
          <t>Named in a firm blog post of June 4, 2025 as President, CEO and Co-Founder.</t>
        </is>
      </c>
      <c r="V187" s="6" t="inlineStr">
        <is>
          <t>https://huffinescommunities.com/from-fireworks-to-foundations-phillip-huffines-on-dallas-dirt-with-candy-evans/</t>
        </is>
      </c>
      <c r="W187" s="6" t="inlineStr">
        <is>
          <t>https://www.linkedin.com/company/huffines-communities/</t>
        </is>
      </c>
      <c r="X187" s="6" t="inlineStr">
        <is>
          <t>https://huffinescommunities.com/from-fireworks-to-foundations-phillip-huffines-on-dallas-dirt-with-candy-evans/</t>
        </is>
      </c>
      <c r="Y187" s="6" t="inlineStr"/>
      <c r="Z187" s="6" t="inlineStr">
        <is>
          <t>(214) 750-1800</t>
        </is>
      </c>
      <c r="AA187" s="6" t="inlineStr">
        <is>
          <t>Main office, Dallas</t>
        </is>
      </c>
      <c r="AB187" s="6" t="inlineStr">
        <is>
          <t>https://huffinescommunities.com/</t>
        </is>
      </c>
      <c r="AC187" s="6" t="inlineStr"/>
      <c r="AD187" s="6" t="inlineStr"/>
    </row>
    <row r="188">
      <c r="A188" s="12" t="inlineStr">
        <is>
          <t>Don Huffines</t>
        </is>
      </c>
      <c r="B188" s="12" t="inlineStr">
        <is>
          <t>Huffines Communities</t>
        </is>
      </c>
      <c r="C188" s="12" t="inlineStr">
        <is>
          <t>Co-founder</t>
        </is>
      </c>
      <c r="D188" s="13" t="inlineStr">
        <is>
          <t>Land owner, not the buyer</t>
        </is>
      </c>
      <c r="E188" s="14" t="n">
        <v>1</v>
      </c>
      <c r="F188" s="12" t="inlineStr">
        <is>
          <t>Sells lots</t>
        </is>
      </c>
      <c r="G188" s="12" t="inlineStr">
        <is>
          <t>Dallas, with masterplans in Celina, Mesquite, Midlothian and Grand Prairie</t>
        </is>
      </c>
      <c r="H188" s="12" t="inlineStr">
        <is>
          <t>Three masterplans: Serenade, Solterra, Lakesong</t>
        </is>
      </c>
      <c r="I188" s="14" t="inlineStr">
        <is>
          <t>Yes</t>
        </is>
      </c>
      <c r="J188" s="15" t="inlineStr">
        <is>
          <t>Several active multi-builder masterplans, Serenade, Solterra and Lakesong, from a family developer active since 1985.</t>
        </is>
      </c>
      <c r="K188" s="14" t="inlineStr">
        <is>
          <t>No</t>
        </is>
      </c>
      <c r="L188" s="15" t="inlineStr">
        <is>
          <t>It develops lots and infrastructure. The builders buy the wall.</t>
        </is>
      </c>
      <c r="M188" s="14" t="inlineStr">
        <is>
          <t>No</t>
        </is>
      </c>
      <c r="N188" s="15" t="inlineStr">
        <is>
          <t>Nothing on record about construction method.</t>
        </is>
      </c>
      <c r="O188" s="10" t="inlineStr"/>
      <c r="P188" s="12" t="inlineStr"/>
      <c r="Q188" s="16">
        <f>IF(O188="","ADD LINKEDIN","ok")</f>
        <v/>
      </c>
      <c r="R188" s="12" t="inlineStr">
        <is>
          <t>https://huffinescommunities.com/</t>
        </is>
      </c>
      <c r="S188" s="15" t="inlineStr">
        <is>
          <t>Sells lots. Its masterplans name builders including HistoryMaker, First Texas and Chesmar.</t>
        </is>
      </c>
      <c r="T188" s="12" t="inlineStr"/>
      <c r="U188" s="15" t="inlineStr">
        <is>
          <t>Named on the firm's Who We Are page as co-founder, with his twin brother Phillip, in 1985.</t>
        </is>
      </c>
      <c r="V188" s="12" t="inlineStr">
        <is>
          <t>https://huffinescommunities.com/who-we-are/</t>
        </is>
      </c>
      <c r="W188" s="12" t="inlineStr">
        <is>
          <t>https://www.linkedin.com/company/huffines-communities/</t>
        </is>
      </c>
      <c r="X188" s="12" t="inlineStr">
        <is>
          <t>https://huffinescommunities.com/from-fireworks-to-foundations-phillip-huffines-on-dallas-dirt-with-candy-evans/</t>
        </is>
      </c>
      <c r="Y188" s="12" t="inlineStr"/>
      <c r="Z188" s="12" t="inlineStr">
        <is>
          <t>(214) 750-1800</t>
        </is>
      </c>
      <c r="AA188" s="12" t="inlineStr">
        <is>
          <t>Main office, Dallas</t>
        </is>
      </c>
      <c r="AB188" s="12" t="inlineStr">
        <is>
          <t>https://huffinescommunities.com/</t>
        </is>
      </c>
      <c r="AC188" s="12" t="inlineStr"/>
      <c r="AD188" s="12" t="inlineStr"/>
    </row>
    <row r="189">
      <c r="A189" s="6" t="inlineStr">
        <is>
          <t>Chris Kleinert</t>
        </is>
      </c>
      <c r="B189" s="6" t="inlineStr">
        <is>
          <t>Hunt Realty Investments</t>
        </is>
      </c>
      <c r="C189" s="6" t="inlineStr">
        <is>
          <t>Chief Executive Officer, Hunt Investment Holdings, and President, Hunt Realty Investments</t>
        </is>
      </c>
      <c r="D189" s="7" t="inlineStr">
        <is>
          <t>Land owner, not the buyer</t>
        </is>
      </c>
      <c r="E189" s="8" t="n">
        <v>1</v>
      </c>
      <c r="F189" s="6" t="inlineStr">
        <is>
          <t>Sells lots</t>
        </is>
      </c>
      <c r="G189" s="6" t="inlineStr">
        <is>
          <t>Dallas office, with Fields in far north Frisco</t>
        </is>
      </c>
      <c r="H189" s="6" t="inlineStr">
        <is>
          <t>Fields, Frisco: 2,544 acres, 10,000+ homes planned</t>
        </is>
      </c>
      <c r="I189" s="8" t="inlineStr">
        <is>
          <t>Yes</t>
        </is>
      </c>
      <c r="J189" s="9" t="inlineStr">
        <is>
          <t>One 2,544-acre masterplan with several single-family neighborhoods, Brookside, East Village and the Preserve, plus multifamily.</t>
        </is>
      </c>
      <c r="K189" s="8" t="inlineStr">
        <is>
          <t>No</t>
        </is>
      </c>
      <c r="L189" s="9" t="inlineStr">
        <is>
          <t>It develops and sells land. The builders buy the wall.</t>
        </is>
      </c>
      <c r="M189" s="8" t="inlineStr">
        <is>
          <t>No</t>
        </is>
      </c>
      <c r="N189" s="9" t="inlineStr">
        <is>
          <t>Nothing on record about construction method.</t>
        </is>
      </c>
      <c r="O189" s="10" t="inlineStr"/>
      <c r="P189" s="6" t="inlineStr"/>
      <c r="Q189" s="11">
        <f>IF(O189="","ADD LINKEDIN","ok")</f>
        <v/>
      </c>
      <c r="R189" s="6" t="inlineStr">
        <is>
          <t>https://huntrealty.com/</t>
        </is>
      </c>
      <c r="S189" s="9" t="inlineStr">
        <is>
          <t>Sells lots at Fields. Landon Homes is building East Village, and the Preserve went to custom builders.</t>
        </is>
      </c>
      <c r="T189" s="6" t="inlineStr"/>
      <c r="U189" s="9" t="inlineStr">
        <is>
          <t>Named on the firm's own team page as CEO of Hunt Investment Holdings and president of Hunt Realty Investments.</t>
        </is>
      </c>
      <c r="V189" s="6" t="inlineStr">
        <is>
          <t>https://huntrealty.com/team/</t>
        </is>
      </c>
      <c r="W189" s="6" t="inlineStr">
        <is>
          <t>https://www.linkedin.com/company/huntrealtyinvestments/</t>
        </is>
      </c>
      <c r="X189" s="6" t="inlineStr">
        <is>
          <t>https://huntrealty.com/team/</t>
        </is>
      </c>
      <c r="Y189" s="6" t="inlineStr"/>
      <c r="Z189" s="6" t="inlineStr">
        <is>
          <t>(214) 978-8690</t>
        </is>
      </c>
      <c r="AA189" s="6" t="inlineStr">
        <is>
          <t>Main office, Dallas</t>
        </is>
      </c>
      <c r="AB189" s="6" t="inlineStr">
        <is>
          <t>https://huntrealty.com/contact/</t>
        </is>
      </c>
      <c r="AC189" s="6" t="inlineStr"/>
      <c r="AD189" s="6" t="inlineStr"/>
    </row>
    <row r="190">
      <c r="A190" s="12" t="inlineStr">
        <is>
          <t>Mike Wallace</t>
        </is>
      </c>
      <c r="B190" s="12" t="inlineStr">
        <is>
          <t>Hunt Realty Investments</t>
        </is>
      </c>
      <c r="C190" s="12" t="inlineStr">
        <is>
          <t>President, Investment Management and Development, Hunt Realty Investments</t>
        </is>
      </c>
      <c r="D190" s="13" t="inlineStr">
        <is>
          <t>Land owner, not the buyer</t>
        </is>
      </c>
      <c r="E190" s="14" t="n">
        <v>1</v>
      </c>
      <c r="F190" s="12" t="inlineStr">
        <is>
          <t>Sells lots</t>
        </is>
      </c>
      <c r="G190" s="12" t="inlineStr">
        <is>
          <t>Dallas office, with Fields in far north Frisco</t>
        </is>
      </c>
      <c r="H190" s="12" t="inlineStr">
        <is>
          <t>Fields, Frisco: 2,544 acres, 10,000+ homes planned</t>
        </is>
      </c>
      <c r="I190" s="14" t="inlineStr">
        <is>
          <t>Yes</t>
        </is>
      </c>
      <c r="J190" s="15" t="inlineStr">
        <is>
          <t>One 2,544-acre masterplan with several single-family neighborhoods, Brookside, East Village and the Preserve, plus multifamily.</t>
        </is>
      </c>
      <c r="K190" s="14" t="inlineStr">
        <is>
          <t>No</t>
        </is>
      </c>
      <c r="L190" s="15" t="inlineStr">
        <is>
          <t>It develops and sells land. The builders buy the wall.</t>
        </is>
      </c>
      <c r="M190" s="14" t="inlineStr">
        <is>
          <t>No</t>
        </is>
      </c>
      <c r="N190" s="15" t="inlineStr">
        <is>
          <t>Nothing on record about construction method.</t>
        </is>
      </c>
      <c r="O190" s="10" t="inlineStr"/>
      <c r="P190" s="12" t="inlineStr"/>
      <c r="Q190" s="16">
        <f>IF(O190="","ADD LINKEDIN","ok")</f>
        <v/>
      </c>
      <c r="R190" s="12" t="inlineStr">
        <is>
          <t>https://huntrealty.com/</t>
        </is>
      </c>
      <c r="S190" s="15" t="inlineStr">
        <is>
          <t>Sells lots at Fields. Landon Homes is building East Village, and the Preserve went to custom builders.</t>
        </is>
      </c>
      <c r="T190" s="12" t="inlineStr"/>
      <c r="U190" s="15" t="inlineStr">
        <is>
          <t>Named on the team page as President, Investment Management and Development.</t>
        </is>
      </c>
      <c r="V190" s="12" t="inlineStr">
        <is>
          <t>https://huntrealty.com/team/</t>
        </is>
      </c>
      <c r="W190" s="12" t="inlineStr">
        <is>
          <t>https://www.linkedin.com/company/huntrealtyinvestments/</t>
        </is>
      </c>
      <c r="X190" s="12" t="inlineStr">
        <is>
          <t>https://huntrealty.com/team/</t>
        </is>
      </c>
      <c r="Y190" s="12" t="inlineStr"/>
      <c r="Z190" s="12" t="inlineStr">
        <is>
          <t>(214) 978-8690</t>
        </is>
      </c>
      <c r="AA190" s="12" t="inlineStr">
        <is>
          <t>Main office, Dallas</t>
        </is>
      </c>
      <c r="AB190" s="12" t="inlineStr">
        <is>
          <t>https://huntrealty.com/contact/</t>
        </is>
      </c>
      <c r="AC190" s="12" t="inlineStr"/>
      <c r="AD190" s="12" t="inlineStr"/>
    </row>
    <row r="191">
      <c r="A191" s="6" t="inlineStr">
        <is>
          <t>Todd Watson</t>
        </is>
      </c>
      <c r="B191" s="6" t="inlineStr">
        <is>
          <t>Hunt Realty Investments</t>
        </is>
      </c>
      <c r="C191" s="6" t="inlineStr">
        <is>
          <t>President, Land and Development, Hunt Realty Investments</t>
        </is>
      </c>
      <c r="D191" s="7" t="inlineStr">
        <is>
          <t>Land owner, not the buyer</t>
        </is>
      </c>
      <c r="E191" s="8" t="n">
        <v>1</v>
      </c>
      <c r="F191" s="6" t="inlineStr">
        <is>
          <t>Sells lots</t>
        </is>
      </c>
      <c r="G191" s="6" t="inlineStr">
        <is>
          <t>Dallas office, with Fields in far north Frisco</t>
        </is>
      </c>
      <c r="H191" s="6" t="inlineStr">
        <is>
          <t>Fields, Frisco: 2,544 acres, 10,000+ homes planned</t>
        </is>
      </c>
      <c r="I191" s="8" t="inlineStr">
        <is>
          <t>Yes</t>
        </is>
      </c>
      <c r="J191" s="9" t="inlineStr">
        <is>
          <t>One 2,544-acre masterplan with several single-family neighborhoods, Brookside, East Village and the Preserve, plus multifamily.</t>
        </is>
      </c>
      <c r="K191" s="8" t="inlineStr">
        <is>
          <t>No</t>
        </is>
      </c>
      <c r="L191" s="9" t="inlineStr">
        <is>
          <t>It develops and sells land. The builders buy the wall.</t>
        </is>
      </c>
      <c r="M191" s="8" t="inlineStr">
        <is>
          <t>No</t>
        </is>
      </c>
      <c r="N191" s="9" t="inlineStr">
        <is>
          <t>Nothing on record about construction method.</t>
        </is>
      </c>
      <c r="O191" s="6" t="inlineStr">
        <is>
          <t>https://www.linkedin.com/in/todd-watson-94353349/</t>
        </is>
      </c>
      <c r="P191" s="6" t="inlineStr"/>
      <c r="Q191" s="11">
        <f>IF(O191="","ADD LINKEDIN","ok")</f>
        <v/>
      </c>
      <c r="R191" s="6" t="inlineStr">
        <is>
          <t>https://huntrealty.com/</t>
        </is>
      </c>
      <c r="S191" s="9" t="inlineStr">
        <is>
          <t>Sells lots at Fields. Landon Homes is building East Village, and the Preserve went to custom builders.</t>
        </is>
      </c>
      <c r="T191" s="6" t="inlineStr"/>
      <c r="U191" s="9" t="inlineStr">
        <is>
          <t>Indexed title reads Todd Watson - Hunt Realty Investments, Inc. Named on the team page as President, Land and Development, with Fields as his favorite Hunt asset.</t>
        </is>
      </c>
      <c r="V191" s="6" t="inlineStr">
        <is>
          <t>https://huntrealty.com/team/</t>
        </is>
      </c>
      <c r="W191" s="6" t="inlineStr">
        <is>
          <t>https://www.linkedin.com/company/huntrealtyinvestments/</t>
        </is>
      </c>
      <c r="X191" s="6" t="inlineStr">
        <is>
          <t>https://huntrealty.com/team/</t>
        </is>
      </c>
      <c r="Y191" s="6" t="inlineStr"/>
      <c r="Z191" s="6" t="inlineStr">
        <is>
          <t>(214) 978-8690</t>
        </is>
      </c>
      <c r="AA191" s="6" t="inlineStr">
        <is>
          <t>Main office, Dallas</t>
        </is>
      </c>
      <c r="AB191" s="6" t="inlineStr">
        <is>
          <t>https://huntrealty.com/contact/</t>
        </is>
      </c>
      <c r="AC191" s="6" t="inlineStr"/>
      <c r="AD191" s="6" t="inlineStr"/>
    </row>
    <row r="192">
      <c r="A192" s="12" t="inlineStr">
        <is>
          <t>Michael J. Smith</t>
        </is>
      </c>
      <c r="B192" s="12" t="inlineStr">
        <is>
          <t>Johnson Development</t>
        </is>
      </c>
      <c r="C192" s="12" t="inlineStr">
        <is>
          <t>President and Chief Executive Officer</t>
        </is>
      </c>
      <c r="D192" s="13" t="inlineStr">
        <is>
          <t>Land owner, not the buyer</t>
        </is>
      </c>
      <c r="E192" s="14" t="n">
        <v>1</v>
      </c>
      <c r="F192" s="12" t="inlineStr">
        <is>
          <t>Sells lots</t>
        </is>
      </c>
      <c r="G192" s="12" t="inlineStr">
        <is>
          <t>Houston, with DFW masterplans in McKinney, Arlington and Denton</t>
        </is>
      </c>
      <c r="H192" s="12" t="inlineStr">
        <is>
          <t>22 active masterplans, its own count</t>
        </is>
      </c>
      <c r="I192" s="14" t="inlineStr">
        <is>
          <t>Yes</t>
        </is>
      </c>
      <c r="J192" s="15" t="inlineStr">
        <is>
          <t>22 active masterplans, including Trinity Falls, Viridian and Cole Ranch in DFW, each with several builders.</t>
        </is>
      </c>
      <c r="K192" s="14" t="inlineStr">
        <is>
          <t>No</t>
        </is>
      </c>
      <c r="L192" s="15" t="inlineStr">
        <is>
          <t>It sells lots. The builders buy the wall.</t>
        </is>
      </c>
      <c r="M192" s="14" t="inlineStr">
        <is>
          <t>No</t>
        </is>
      </c>
      <c r="N192" s="15" t="inlineStr">
        <is>
          <t>Nothing on record about construction method.</t>
        </is>
      </c>
      <c r="O192" s="10" t="inlineStr"/>
      <c r="P192" s="12" t="inlineStr"/>
      <c r="Q192" s="16">
        <f>IF(O192="","ADD LINKEDIN","ok")</f>
        <v/>
      </c>
      <c r="R192" s="12" t="inlineStr">
        <is>
          <t>https://www.johnsondevelopment.com/</t>
        </is>
      </c>
      <c r="S192" s="15" t="inlineStr">
        <is>
          <t>Sells lots at Trinity Falls in McKinney, Viridian in Arlington and Cole Ranch in Denton, each with several builders.</t>
        </is>
      </c>
      <c r="T192" s="12" t="inlineStr"/>
      <c r="U192" s="15" t="inlineStr">
        <is>
          <t>Named on the firm's own leadership page as President and Chief Executive Officer.</t>
        </is>
      </c>
      <c r="V192" s="12" t="inlineStr">
        <is>
          <t>https://www.johnsondevelopment.com/our-leaders</t>
        </is>
      </c>
      <c r="W192" s="12" t="inlineStr">
        <is>
          <t>https://www.linkedin.com/company/the-johnson-development-corp/</t>
        </is>
      </c>
      <c r="X192" s="12" t="inlineStr">
        <is>
          <t>https://www.johnsondevelopment.com/our-leaders</t>
        </is>
      </c>
      <c r="Y192" s="12" t="inlineStr"/>
      <c r="Z192" s="12" t="inlineStr">
        <is>
          <t>(713) 960-9977</t>
        </is>
      </c>
      <c r="AA192" s="12" t="inlineStr">
        <is>
          <t>Corporate office, Houston</t>
        </is>
      </c>
      <c r="AB192" s="12" t="inlineStr">
        <is>
          <t>https://www.johnsondevelopment.com/our-leaders</t>
        </is>
      </c>
      <c r="AC192" s="12" t="inlineStr"/>
      <c r="AD192" s="12" t="inlineStr"/>
    </row>
    <row r="193">
      <c r="A193" s="6" t="inlineStr">
        <is>
          <t>Tony Ruggeri</t>
        </is>
      </c>
      <c r="B193" s="6" t="inlineStr">
        <is>
          <t>Light Farms (Celina, Republic)</t>
        </is>
      </c>
      <c r="C193" s="6" t="inlineStr">
        <is>
          <t>Co-CEO and Partner, Republic Property Group</t>
        </is>
      </c>
      <c r="D193" s="7" t="inlineStr">
        <is>
          <t>Land owner, not the buyer</t>
        </is>
      </c>
      <c r="E193" s="8" t="n">
        <v>1</v>
      </c>
      <c r="F193" s="6" t="inlineStr">
        <is>
          <t>Sells lots</t>
        </is>
      </c>
      <c r="G193" s="6" t="inlineStr">
        <is>
          <t>Celina, Collin County</t>
        </is>
      </c>
      <c r="H193" s="6" t="inlineStr">
        <is>
          <t>1,070-acre Celina masterplan, Republic Property Group</t>
        </is>
      </c>
      <c r="I193" s="8" t="inlineStr">
        <is>
          <t>Yes</t>
        </is>
      </c>
      <c r="J193" s="9" t="inlineStr">
        <is>
          <t>A long-running Celina masterplan built out in repeated production phases.</t>
        </is>
      </c>
      <c r="K193" s="8" t="inlineStr">
        <is>
          <t>No</t>
        </is>
      </c>
      <c r="L193" s="9" t="inlineStr">
        <is>
          <t>Republic and LFC sell lots. The builders buy the wall.</t>
        </is>
      </c>
      <c r="M193" s="8" t="inlineStr">
        <is>
          <t>No</t>
        </is>
      </c>
      <c r="N193" s="9" t="inlineStr">
        <is>
          <t>Nothing on record about construction method.</t>
        </is>
      </c>
      <c r="O193" s="6" t="inlineStr">
        <is>
          <t>https://www.linkedin.com/in/tony-ruggeri-8ba6308/</t>
        </is>
      </c>
      <c r="P193" s="6" t="inlineStr"/>
      <c r="Q193" s="11">
        <f>IF(O193="","ADD LINKEDIN","ok")</f>
        <v/>
      </c>
      <c r="R193" s="6" t="inlineStr">
        <is>
          <t>https://lightfarmstx.com/</t>
        </is>
      </c>
      <c r="S193" s="9" t="inlineStr">
        <is>
          <t>Sells lots, and its homepage shows final opportunities with Shaddock.</t>
        </is>
      </c>
      <c r="T193" s="6" t="inlineStr"/>
      <c r="U193" s="9" t="inlineStr">
        <is>
          <t>Indexed title reads Tony Ruggeri - Republic Property Group. Named on the Republic Property Group team page as Co-CEO and Partner.</t>
        </is>
      </c>
      <c r="V193" s="6" t="inlineStr">
        <is>
          <t>https://republicpropertygroup.com/team/</t>
        </is>
      </c>
      <c r="W193" s="6" t="inlineStr">
        <is>
          <t>https://www.linkedin.com/company/republic-property-group/</t>
        </is>
      </c>
      <c r="X193" s="6" t="inlineStr"/>
      <c r="Y193" s="6" t="inlineStr"/>
      <c r="Z193" s="6" t="inlineStr">
        <is>
          <t>(214) 618-4542</t>
        </is>
      </c>
      <c r="AA193" s="6" t="inlineStr">
        <is>
          <t>Welcome center, Celina</t>
        </is>
      </c>
      <c r="AB193" s="6" t="inlineStr">
        <is>
          <t>https://republicpropertygroup.com/communities/light-farms/</t>
        </is>
      </c>
      <c r="AC193" s="6" t="inlineStr"/>
      <c r="AD193" s="6" t="inlineStr"/>
    </row>
    <row r="194">
      <c r="A194" s="12" t="inlineStr">
        <is>
          <t>Jake Wagner</t>
        </is>
      </c>
      <c r="B194" s="12" t="inlineStr">
        <is>
          <t>Light Farms (Celina, Republic)</t>
        </is>
      </c>
      <c r="C194" s="12" t="inlineStr">
        <is>
          <t>Co-CEO and Partner, Republic Property Group</t>
        </is>
      </c>
      <c r="D194" s="13" t="inlineStr">
        <is>
          <t>Land owner, not the buyer</t>
        </is>
      </c>
      <c r="E194" s="14" t="n">
        <v>1</v>
      </c>
      <c r="F194" s="12" t="inlineStr">
        <is>
          <t>Sells lots</t>
        </is>
      </c>
      <c r="G194" s="12" t="inlineStr">
        <is>
          <t>Celina, Collin County</t>
        </is>
      </c>
      <c r="H194" s="12" t="inlineStr">
        <is>
          <t>1,070-acre Celina masterplan, Republic Property Group</t>
        </is>
      </c>
      <c r="I194" s="14" t="inlineStr">
        <is>
          <t>Yes</t>
        </is>
      </c>
      <c r="J194" s="15" t="inlineStr">
        <is>
          <t>A long-running Celina masterplan built out in repeated production phases.</t>
        </is>
      </c>
      <c r="K194" s="14" t="inlineStr">
        <is>
          <t>No</t>
        </is>
      </c>
      <c r="L194" s="15" t="inlineStr">
        <is>
          <t>Republic and LFC sell lots. The builders buy the wall.</t>
        </is>
      </c>
      <c r="M194" s="14" t="inlineStr">
        <is>
          <t>No</t>
        </is>
      </c>
      <c r="N194" s="15" t="inlineStr">
        <is>
          <t>Nothing on record about construction method.</t>
        </is>
      </c>
      <c r="O194" s="10" t="inlineStr"/>
      <c r="P194" s="12" t="inlineStr"/>
      <c r="Q194" s="16">
        <f>IF(O194="","ADD LINKEDIN","ok")</f>
        <v/>
      </c>
      <c r="R194" s="12" t="inlineStr">
        <is>
          <t>https://lightfarmstx.com/</t>
        </is>
      </c>
      <c r="S194" s="15" t="inlineStr">
        <is>
          <t>Sells lots, and its homepage shows final opportunities with Shaddock.</t>
        </is>
      </c>
      <c r="T194" s="12" t="inlineStr"/>
      <c r="U194" s="15" t="inlineStr">
        <is>
          <t>Named on the Republic Property Group team page as Co-CEO and Partner.</t>
        </is>
      </c>
      <c r="V194" s="12" t="inlineStr">
        <is>
          <t>https://republicpropertygroup.com/team/</t>
        </is>
      </c>
      <c r="W194" s="12" t="inlineStr">
        <is>
          <t>https://www.linkedin.com/company/republic-property-group/</t>
        </is>
      </c>
      <c r="X194" s="12" t="inlineStr"/>
      <c r="Y194" s="12" t="inlineStr"/>
      <c r="Z194" s="12" t="inlineStr">
        <is>
          <t>(214) 618-4542</t>
        </is>
      </c>
      <c r="AA194" s="12" t="inlineStr">
        <is>
          <t>Welcome center, Celina</t>
        </is>
      </c>
      <c r="AB194" s="12" t="inlineStr">
        <is>
          <t>https://republicpropertygroup.com/communities/light-farms/</t>
        </is>
      </c>
      <c r="AC194" s="12" t="inlineStr"/>
      <c r="AD194" s="12" t="inlineStr"/>
    </row>
    <row r="195">
      <c r="A195" s="6" t="inlineStr">
        <is>
          <t>Fred Balda</t>
        </is>
      </c>
      <c r="B195" s="6" t="inlineStr">
        <is>
          <t>Lilyana by Hillwood (Celina)</t>
        </is>
      </c>
      <c r="C195" s="6" t="inlineStr">
        <is>
          <t>President, Hillwood Communities</t>
        </is>
      </c>
      <c r="D195" s="7" t="inlineStr">
        <is>
          <t>Land owner, not the buyer</t>
        </is>
      </c>
      <c r="E195" s="8" t="n">
        <v>1</v>
      </c>
      <c r="F195" s="6" t="inlineStr">
        <is>
          <t>Sells lots</t>
        </is>
      </c>
      <c r="G195" s="6" t="inlineStr">
        <is>
          <t>Celina and Prosper area</t>
        </is>
      </c>
      <c r="H195" s="6" t="inlineStr">
        <is>
          <t>About 1,300 homes on 400 acres, Celina</t>
        </is>
      </c>
      <c r="I195" s="8" t="inlineStr">
        <is>
          <t>Yes</t>
        </is>
      </c>
      <c r="J195" s="9" t="inlineStr">
        <is>
          <t>About 1,300 planned homes on one 400-acre site, with M/I Homes named on the October 2025 fact sheet.</t>
        </is>
      </c>
      <c r="K195" s="8" t="inlineStr">
        <is>
          <t>No</t>
        </is>
      </c>
      <c r="L195" s="9" t="inlineStr">
        <is>
          <t>Hillwood sells lots. The builders buy the wall.</t>
        </is>
      </c>
      <c r="M195" s="8" t="inlineStr">
        <is>
          <t>No</t>
        </is>
      </c>
      <c r="N195" s="9" t="inlineStr">
        <is>
          <t>Nothing on record about construction method.</t>
        </is>
      </c>
      <c r="O195" s="10" t="inlineStr"/>
      <c r="P195" s="6" t="inlineStr"/>
      <c r="Q195" s="11">
        <f>IF(O195="","ADD LINKEDIN","ok")</f>
        <v/>
      </c>
      <c r="R195" s="6" t="inlineStr">
        <is>
          <t>https://www.lilyanabyhillwood.com/</t>
        </is>
      </c>
      <c r="S195" s="9" t="inlineStr">
        <is>
          <t>Sells lots. Its October 2025 fact sheet lists M/I Homes as the current builder.</t>
        </is>
      </c>
      <c r="T195" s="6" t="inlineStr"/>
      <c r="U195" s="9" t="inlineStr">
        <is>
          <t>Named on Hillwood Communities' own leadership page as President since 1992.</t>
        </is>
      </c>
      <c r="V195" s="6" t="inlineStr">
        <is>
          <t>https://www.hillwoodcommunities.com/leadership/fred-balda/</t>
        </is>
      </c>
      <c r="W195" s="6" t="inlineStr">
        <is>
          <t>https://www.linkedin.com/company/hillwoodcommunities/</t>
        </is>
      </c>
      <c r="X195" s="6" t="inlineStr"/>
      <c r="Y195" s="6" t="inlineStr"/>
      <c r="Z195" s="6" t="inlineStr">
        <is>
          <t>(214) 449-0914</t>
        </is>
      </c>
      <c r="AA195" s="6" t="inlineStr">
        <is>
          <t>Hillwood Communities main office</t>
        </is>
      </c>
      <c r="AB195" s="6" t="inlineStr">
        <is>
          <t>https://www.hillwoodcommunities.com/contact/</t>
        </is>
      </c>
      <c r="AC195" s="6" t="inlineStr"/>
      <c r="AD195" s="6" t="inlineStr"/>
    </row>
    <row r="196">
      <c r="A196" s="12" t="inlineStr">
        <is>
          <t>Huawei “Howie” Yin</t>
        </is>
      </c>
      <c r="B196" s="12" t="inlineStr">
        <is>
          <t>Lilyana by Hillwood (Celina)</t>
        </is>
      </c>
      <c r="C196" s="12" t="inlineStr">
        <is>
          <t>Vice President, DFW Project Manager for Ramble and Lilyana</t>
        </is>
      </c>
      <c r="D196" s="13" t="inlineStr">
        <is>
          <t>Land owner, not the buyer</t>
        </is>
      </c>
      <c r="E196" s="14" t="n">
        <v>1</v>
      </c>
      <c r="F196" s="12" t="inlineStr">
        <is>
          <t>Sells lots</t>
        </is>
      </c>
      <c r="G196" s="12" t="inlineStr">
        <is>
          <t>Celina and Prosper area</t>
        </is>
      </c>
      <c r="H196" s="12" t="inlineStr">
        <is>
          <t>About 1,300 homes on 400 acres, Celina</t>
        </is>
      </c>
      <c r="I196" s="14" t="inlineStr">
        <is>
          <t>Yes</t>
        </is>
      </c>
      <c r="J196" s="15" t="inlineStr">
        <is>
          <t>About 1,300 planned homes on one 400-acre site, with M/I Homes named on the October 2025 fact sheet.</t>
        </is>
      </c>
      <c r="K196" s="14" t="inlineStr">
        <is>
          <t>No</t>
        </is>
      </c>
      <c r="L196" s="15" t="inlineStr">
        <is>
          <t>Hillwood sells lots. The builders buy the wall.</t>
        </is>
      </c>
      <c r="M196" s="14" t="inlineStr">
        <is>
          <t>No</t>
        </is>
      </c>
      <c r="N196" s="15" t="inlineStr">
        <is>
          <t>Nothing on record about construction method.</t>
        </is>
      </c>
      <c r="O196" s="6" t="inlineStr">
        <is>
          <t>https://www.linkedin.com/in/huaweiyin/</t>
        </is>
      </c>
      <c r="P196" s="12" t="inlineStr"/>
      <c r="Q196" s="16">
        <f>IF(O196="","ADD LINKEDIN","ok")</f>
        <v/>
      </c>
      <c r="R196" s="12" t="inlineStr">
        <is>
          <t>https://www.lilyanabyhillwood.com/</t>
        </is>
      </c>
      <c r="S196" s="15" t="inlineStr">
        <is>
          <t>Sells lots. Its October 2025 fact sheet lists M/I Homes as the current builder.</t>
        </is>
      </c>
      <c r="T196" s="12" t="inlineStr">
        <is>
          <t>YES</t>
        </is>
      </c>
      <c r="U196" s="15" t="inlineStr">
        <is>
          <t>Indexed title reads Huawei "Howie" Yin - Hillwood Communities. Named on Hillwood Communities' own leadership page as VP and DFW project manager for Ramble and Lilyana.</t>
        </is>
      </c>
      <c r="V196" s="12" t="inlineStr">
        <is>
          <t>https://www.hillwoodcommunities.com/leadership/fred-balda/</t>
        </is>
      </c>
      <c r="W196" s="12" t="inlineStr">
        <is>
          <t>https://www.linkedin.com/company/hillwoodcommunities/</t>
        </is>
      </c>
      <c r="X196" s="12" t="inlineStr"/>
      <c r="Y196" s="12" t="inlineStr"/>
      <c r="Z196" s="12" t="inlineStr">
        <is>
          <t>(214) 449-0914</t>
        </is>
      </c>
      <c r="AA196" s="12" t="inlineStr">
        <is>
          <t>Hillwood Communities main office</t>
        </is>
      </c>
      <c r="AB196" s="12" t="inlineStr">
        <is>
          <t>https://www.hillwoodcommunities.com/contact/</t>
        </is>
      </c>
      <c r="AC196" s="12" t="inlineStr"/>
      <c r="AD196" s="12" t="inlineStr"/>
    </row>
    <row r="197">
      <c r="A197" s="6" t="inlineStr">
        <is>
          <t>Craig Martin</t>
        </is>
      </c>
      <c r="B197" s="6" t="inlineStr">
        <is>
          <t>Mosaic (Celina, Tellus Group)</t>
        </is>
      </c>
      <c r="C197" s="6" t="inlineStr">
        <is>
          <t>Founder and Chief Executive Officer, Tellus Group</t>
        </is>
      </c>
      <c r="D197" s="7" t="inlineStr">
        <is>
          <t>Land owner, not the buyer</t>
        </is>
      </c>
      <c r="E197" s="8" t="n">
        <v>1</v>
      </c>
      <c r="F197" s="6" t="inlineStr">
        <is>
          <t>Sells lots</t>
        </is>
      </c>
      <c r="G197" s="6" t="inlineStr">
        <is>
          <t>Celina, on the Prosper edge</t>
        </is>
      </c>
      <c r="H197" s="6" t="inlineStr">
        <is>
          <t>760 acres, about 1,700 lots, eight builders</t>
        </is>
      </c>
      <c r="I197" s="8" t="inlineStr">
        <is>
          <t>Yes</t>
        </is>
      </c>
      <c r="J197" s="9" t="inlineStr">
        <is>
          <t>About 1,700 lots at build-out, sold to eight builders on its own builders page.</t>
        </is>
      </c>
      <c r="K197" s="8" t="inlineStr">
        <is>
          <t>No</t>
        </is>
      </c>
      <c r="L197" s="9" t="inlineStr">
        <is>
          <t>Tellus develops lots. The builders buy the wall.</t>
        </is>
      </c>
      <c r="M197" s="8" t="inlineStr">
        <is>
          <t>No</t>
        </is>
      </c>
      <c r="N197" s="9" t="inlineStr">
        <is>
          <t>Nothing on record about construction method.</t>
        </is>
      </c>
      <c r="O197" s="10" t="inlineStr"/>
      <c r="P197" s="6" t="inlineStr"/>
      <c r="Q197" s="11">
        <f>IF(O197="","ADD LINKEDIN","ok")</f>
        <v/>
      </c>
      <c r="R197" s="6" t="inlineStr">
        <is>
          <t>https://mosaiclivingtx.com/</t>
        </is>
      </c>
      <c r="S197" s="9" t="inlineStr">
        <is>
          <t>Tellus Group develops and sells the lots. Its builders page lists eight names, including Homebound.</t>
        </is>
      </c>
      <c r="T197" s="6" t="inlineStr"/>
      <c r="U197" s="9" t="inlineStr">
        <is>
          <t>Named on Tellus Group's team page as Founder and Chief Executive Officer.</t>
        </is>
      </c>
      <c r="V197" s="6" t="inlineStr">
        <is>
          <t>https://tellusgroupllc.com/team/</t>
        </is>
      </c>
      <c r="W197" s="6" t="inlineStr">
        <is>
          <t>https://www.linkedin.com/company/tellusgroupllc/</t>
        </is>
      </c>
      <c r="X197" s="6" t="inlineStr"/>
      <c r="Y197" s="6" t="inlineStr"/>
      <c r="Z197" s="6" t="inlineStr">
        <is>
          <t>(469) 532-0689</t>
        </is>
      </c>
      <c r="AA197" s="6" t="inlineStr">
        <is>
          <t>Tellus Group, Plano</t>
        </is>
      </c>
      <c r="AB197" s="6" t="inlineStr">
        <is>
          <t>https://tellusgroupllc.com/contact/</t>
        </is>
      </c>
      <c r="AC197" s="6" t="inlineStr"/>
      <c r="AD197" s="6" t="inlineStr"/>
    </row>
    <row r="198">
      <c r="A198" s="12" t="inlineStr">
        <is>
          <t>no contact identified</t>
        </is>
      </c>
      <c r="B198" s="12" t="inlineStr">
        <is>
          <t>Painted Tree (Oxland / MPC)</t>
        </is>
      </c>
      <c r="C198" s="12" t="inlineStr"/>
      <c r="D198" s="13" t="inlineStr">
        <is>
          <t>Land owner, not the buyer</t>
        </is>
      </c>
      <c r="E198" s="14" t="n">
        <v>1</v>
      </c>
      <c r="F198" s="12" t="inlineStr">
        <is>
          <t>Sells lots</t>
        </is>
      </c>
      <c r="G198" s="12" t="inlineStr">
        <is>
          <t>McKinney</t>
        </is>
      </c>
      <c r="H198" s="12" t="inlineStr">
        <is>
          <t>Eleven names on its districts page, McKinney</t>
        </is>
      </c>
      <c r="I198" s="14" t="inlineStr">
        <is>
          <t>Yes</t>
        </is>
      </c>
      <c r="J198" s="15" t="inlineStr">
        <is>
          <t>Three districts, with ten builders and one rental operator named on its own page.</t>
        </is>
      </c>
      <c r="K198" s="14" t="inlineStr">
        <is>
          <t>No</t>
        </is>
      </c>
      <c r="L198" s="15" t="inlineStr">
        <is>
          <t>It sells lots. The builders, and Cyrene for its rentals, buy the wall.</t>
        </is>
      </c>
      <c r="M198" s="14" t="inlineStr">
        <is>
          <t>No</t>
        </is>
      </c>
      <c r="N198" s="15" t="inlineStr">
        <is>
          <t>Nothing on record about construction method.</t>
        </is>
      </c>
      <c r="O198" s="10" t="inlineStr"/>
      <c r="P198" s="12" t="inlineStr"/>
      <c r="Q198" s="16">
        <f>IF(O198="","ADD LINKEDIN","ok")</f>
        <v/>
      </c>
      <c r="R198" s="12" t="inlineStr">
        <is>
          <t>https://paintedtreetx.com/</t>
        </is>
      </c>
      <c r="S198" s="15" t="inlineStr">
        <is>
          <t>Sells lots. Its own districts page lists eleven names, including Bloomfield and Trophy Signature.</t>
        </is>
      </c>
      <c r="T198" s="12" t="inlineStr"/>
      <c r="U198" s="15" t="inlineStr"/>
      <c r="V198" s="12" t="inlineStr"/>
      <c r="W198" s="12" t="inlineStr">
        <is>
          <t>https://www.linkedin.com/company/oxland-advisors-llc/</t>
        </is>
      </c>
      <c r="X198" s="12" t="inlineStr"/>
      <c r="Y198" s="12" t="inlineStr"/>
      <c r="Z198" s="12" t="inlineStr"/>
      <c r="AA198" s="12" t="inlineStr"/>
      <c r="AB198" s="12" t="inlineStr"/>
      <c r="AC198" s="12" t="inlineStr"/>
      <c r="AD198" s="12" t="inlineStr"/>
    </row>
    <row r="199">
      <c r="A199" s="6" t="inlineStr">
        <is>
          <t>Fred Balda</t>
        </is>
      </c>
      <c r="B199" s="6" t="inlineStr">
        <is>
          <t>Ramble by Hillwood (Celina)</t>
        </is>
      </c>
      <c r="C199" s="6" t="inlineStr">
        <is>
          <t>President, Hillwood Communities</t>
        </is>
      </c>
      <c r="D199" s="7" t="inlineStr">
        <is>
          <t>Land owner, not the buyer</t>
        </is>
      </c>
      <c r="E199" s="8" t="n">
        <v>1</v>
      </c>
      <c r="F199" s="6" t="inlineStr">
        <is>
          <t>Sells lots</t>
        </is>
      </c>
      <c r="G199" s="6" t="inlineStr">
        <is>
          <t>Celina, Collin County</t>
        </is>
      </c>
      <c r="H199" s="6" t="inlineStr">
        <is>
          <t>4,200+ planned homes on its own site, five builders</t>
        </is>
      </c>
      <c r="I199" s="8" t="inlineStr">
        <is>
          <t>Yes</t>
        </is>
      </c>
      <c r="J199" s="9" t="inlineStr">
        <is>
          <t>A 1,380-acre Celina masterplan with a published roster of five production builders and models open.</t>
        </is>
      </c>
      <c r="K199" s="8" t="inlineStr">
        <is>
          <t>No</t>
        </is>
      </c>
      <c r="L199" s="9" t="inlineStr">
        <is>
          <t>Hillwood develops the lots. The roster builders buy the wall.</t>
        </is>
      </c>
      <c r="M199" s="8" t="inlineStr">
        <is>
          <t>No</t>
        </is>
      </c>
      <c r="N199" s="9" t="inlineStr">
        <is>
          <t>Nothing on record about construction method at Ramble.</t>
        </is>
      </c>
      <c r="O199" s="10" t="inlineStr"/>
      <c r="P199" s="6" t="inlineStr"/>
      <c r="Q199" s="11">
        <f>IF(O199="","ADD LINKEDIN","ok")</f>
        <v/>
      </c>
      <c r="R199" s="6" t="inlineStr">
        <is>
          <t>https://www.ramblebyhillwood.com/</t>
        </is>
      </c>
      <c r="S199" s="9" t="inlineStr">
        <is>
          <t>Sells lots through Hillwood. Its new-homes page names American Legend, Coventry, Drees, Highland and Perry.</t>
        </is>
      </c>
      <c r="T199" s="6" t="inlineStr"/>
      <c r="U199" s="9" t="inlineStr">
        <is>
          <t>Named on the parent Hillwood Communities leadership page as President.</t>
        </is>
      </c>
      <c r="V199" s="6" t="inlineStr">
        <is>
          <t>https://www.hillwoodcommunities.com/leadership/</t>
        </is>
      </c>
      <c r="W199" s="6" t="inlineStr">
        <is>
          <t>https://www.linkedin.com/company/hillwoodcommunities/</t>
        </is>
      </c>
      <c r="X199" s="6" t="inlineStr"/>
      <c r="Y199" s="6" t="inlineStr"/>
      <c r="Z199" s="6" t="inlineStr">
        <is>
          <t>(469) 212-0524</t>
        </is>
      </c>
      <c r="AA199" s="6" t="inlineStr">
        <is>
          <t>Ramble contact line, Celina</t>
        </is>
      </c>
      <c r="AB199" s="6" t="inlineStr">
        <is>
          <t>https://www.ramblebyhillwood.com/</t>
        </is>
      </c>
      <c r="AC199" s="6" t="inlineStr"/>
      <c r="AD199" s="6" t="inlineStr"/>
    </row>
    <row r="200">
      <c r="A200" s="12" t="inlineStr">
        <is>
          <t>Elaine Eatman</t>
        </is>
      </c>
      <c r="B200" s="12" t="inlineStr">
        <is>
          <t>Ramble by Hillwood (Celina)</t>
        </is>
      </c>
      <c r="C200" s="12" t="inlineStr">
        <is>
          <t>Senior Vice President, DFW Project Manager for Ramble and Union Park, Hillwood</t>
        </is>
      </c>
      <c r="D200" s="13" t="inlineStr">
        <is>
          <t>Land owner, not the buyer</t>
        </is>
      </c>
      <c r="E200" s="14" t="n">
        <v>1</v>
      </c>
      <c r="F200" s="12" t="inlineStr">
        <is>
          <t>Sells lots</t>
        </is>
      </c>
      <c r="G200" s="12" t="inlineStr">
        <is>
          <t>Celina, Collin County</t>
        </is>
      </c>
      <c r="H200" s="12" t="inlineStr">
        <is>
          <t>4,200+ planned homes on its own site, five builders</t>
        </is>
      </c>
      <c r="I200" s="14" t="inlineStr">
        <is>
          <t>Yes</t>
        </is>
      </c>
      <c r="J200" s="15" t="inlineStr">
        <is>
          <t>A 1,380-acre Celina masterplan with a published roster of five production builders and models open.</t>
        </is>
      </c>
      <c r="K200" s="14" t="inlineStr">
        <is>
          <t>No</t>
        </is>
      </c>
      <c r="L200" s="15" t="inlineStr">
        <is>
          <t>Hillwood develops the lots. The roster builders buy the wall.</t>
        </is>
      </c>
      <c r="M200" s="14" t="inlineStr">
        <is>
          <t>No</t>
        </is>
      </c>
      <c r="N200" s="15" t="inlineStr">
        <is>
          <t>Nothing on record about construction method at Ramble.</t>
        </is>
      </c>
      <c r="O200" s="6" t="inlineStr">
        <is>
          <t>https://www.linkedin.com/in/elaine-eatman-54596a10</t>
        </is>
      </c>
      <c r="P200" s="12" t="inlineStr"/>
      <c r="Q200" s="16">
        <f>IF(O200="","ADD LINKEDIN","ok")</f>
        <v/>
      </c>
      <c r="R200" s="12" t="inlineStr">
        <is>
          <t>https://www.ramblebyhillwood.com/</t>
        </is>
      </c>
      <c r="S200" s="15" t="inlineStr">
        <is>
          <t>Sells lots through Hillwood. Its new-homes page names American Legend, Coventry, Drees, Highland and Perry.</t>
        </is>
      </c>
      <c r="T200" s="12" t="inlineStr">
        <is>
          <t>YES</t>
        </is>
      </c>
      <c r="U200" s="15" t="inlineStr">
        <is>
          <t>Indexed title reads Elaine Eatman - Senior Vice President at Hillwood. Named on Hillwood's leadership page as project manager for Ramble and Union Park.</t>
        </is>
      </c>
      <c r="V200" s="12" t="inlineStr">
        <is>
          <t>https://www.hillwoodcommunities.com/leadership/</t>
        </is>
      </c>
      <c r="W200" s="12" t="inlineStr">
        <is>
          <t>https://www.linkedin.com/company/hillwoodcommunities/</t>
        </is>
      </c>
      <c r="X200" s="12" t="inlineStr"/>
      <c r="Y200" s="12" t="inlineStr"/>
      <c r="Z200" s="12" t="inlineStr">
        <is>
          <t>(469) 212-0524</t>
        </is>
      </c>
      <c r="AA200" s="12" t="inlineStr">
        <is>
          <t>Ramble contact line, Celina</t>
        </is>
      </c>
      <c r="AB200" s="12" t="inlineStr">
        <is>
          <t>https://www.ramblebyhillwood.com/</t>
        </is>
      </c>
      <c r="AC200" s="12" t="inlineStr"/>
      <c r="AD200" s="12" t="inlineStr"/>
    </row>
    <row r="201">
      <c r="A201" s="6" t="inlineStr">
        <is>
          <t>Tony Ruggeri</t>
        </is>
      </c>
      <c r="B201" s="6" t="inlineStr">
        <is>
          <t>Republic Property Group</t>
        </is>
      </c>
      <c r="C201" s="6" t="inlineStr">
        <is>
          <t>Co-CEO and Partner</t>
        </is>
      </c>
      <c r="D201" s="7" t="inlineStr">
        <is>
          <t>Land owner, not the buyer</t>
        </is>
      </c>
      <c r="E201" s="8" t="n">
        <v>1</v>
      </c>
      <c r="F201" s="6" t="inlineStr">
        <is>
          <t>Sells lots</t>
        </is>
      </c>
      <c r="G201" s="6" t="inlineStr">
        <is>
          <t>Dallas, with masterplans in Fort Worth and Celina</t>
        </is>
      </c>
      <c r="H201" s="6" t="inlineStr">
        <is>
          <t>More than 15,000 homes planned at Walsh</t>
        </is>
      </c>
      <c r="I201" s="8" t="inlineStr">
        <is>
          <t>Yes</t>
        </is>
      </c>
      <c r="J201" s="9" t="inlineStr">
        <is>
          <t>Multi-phase masterplans, Walsh and Light Farms, with long buildouts.</t>
        </is>
      </c>
      <c r="K201" s="8" t="inlineStr">
        <is>
          <t>No</t>
        </is>
      </c>
      <c r="L201" s="9" t="inlineStr">
        <is>
          <t>It sells lots. The builders buy the wall.</t>
        </is>
      </c>
      <c r="M201" s="8" t="inlineStr">
        <is>
          <t>No</t>
        </is>
      </c>
      <c r="N201" s="9" t="inlineStr">
        <is>
          <t>Nothing on record about construction method.</t>
        </is>
      </c>
      <c r="O201" s="6" t="inlineStr">
        <is>
          <t>https://www.linkedin.com/in/tony-ruggeri-8ba6308/</t>
        </is>
      </c>
      <c r="P201" s="6" t="inlineStr"/>
      <c r="Q201" s="11">
        <f>IF(O201="","ADD LINKEDIN","ok")</f>
        <v/>
      </c>
      <c r="R201" s="6" t="inlineStr">
        <is>
          <t>https://republicpropertygroup.com/</t>
        </is>
      </c>
      <c r="S201" s="9" t="inlineStr">
        <is>
          <t>Sells lots. The builders inside Walsh and Light Farms buy the wall.</t>
        </is>
      </c>
      <c r="T201" s="6" t="inlineStr"/>
      <c r="U201" s="9" t="inlineStr">
        <is>
          <t>Indexed title reads Tony Ruggeri - Republic Property Group. Named on the firm's team page as Co-CEO and Partner.</t>
        </is>
      </c>
      <c r="V201" s="6" t="inlineStr">
        <is>
          <t>https://republicpropertygroup.com/team/</t>
        </is>
      </c>
      <c r="W201" s="6" t="inlineStr">
        <is>
          <t>https://www.linkedin.com/company/republic-property-group/</t>
        </is>
      </c>
      <c r="X201" s="6" t="inlineStr">
        <is>
          <t>https://republicpropertygroup.com/team/</t>
        </is>
      </c>
      <c r="Y201" s="6" t="inlineStr"/>
      <c r="Z201" s="6" t="inlineStr">
        <is>
          <t>(214) 292-3410</t>
        </is>
      </c>
      <c r="AA201" s="6" t="inlineStr">
        <is>
          <t>Corporate office, Dallas</t>
        </is>
      </c>
      <c r="AB201" s="6" t="inlineStr">
        <is>
          <t>https://republicpropertygroup.com/contact/</t>
        </is>
      </c>
      <c r="AC201" s="6" t="inlineStr"/>
      <c r="AD201" s="6" t="inlineStr"/>
    </row>
    <row r="202">
      <c r="A202" s="12" t="inlineStr">
        <is>
          <t>Jake Wagner</t>
        </is>
      </c>
      <c r="B202" s="12" t="inlineStr">
        <is>
          <t>Republic Property Group</t>
        </is>
      </c>
      <c r="C202" s="12" t="inlineStr">
        <is>
          <t>Co-CEO and Partner</t>
        </is>
      </c>
      <c r="D202" s="13" t="inlineStr">
        <is>
          <t>Land owner, not the buyer</t>
        </is>
      </c>
      <c r="E202" s="14" t="n">
        <v>1</v>
      </c>
      <c r="F202" s="12" t="inlineStr">
        <is>
          <t>Sells lots</t>
        </is>
      </c>
      <c r="G202" s="12" t="inlineStr">
        <is>
          <t>Dallas, with masterplans in Fort Worth and Celina</t>
        </is>
      </c>
      <c r="H202" s="12" t="inlineStr">
        <is>
          <t>More than 15,000 homes planned at Walsh</t>
        </is>
      </c>
      <c r="I202" s="14" t="inlineStr">
        <is>
          <t>Yes</t>
        </is>
      </c>
      <c r="J202" s="15" t="inlineStr">
        <is>
          <t>Multi-phase masterplans, Walsh and Light Farms, with long buildouts.</t>
        </is>
      </c>
      <c r="K202" s="14" t="inlineStr">
        <is>
          <t>No</t>
        </is>
      </c>
      <c r="L202" s="15" t="inlineStr">
        <is>
          <t>It sells lots. The builders buy the wall.</t>
        </is>
      </c>
      <c r="M202" s="14" t="inlineStr">
        <is>
          <t>No</t>
        </is>
      </c>
      <c r="N202" s="15" t="inlineStr">
        <is>
          <t>Nothing on record about construction method.</t>
        </is>
      </c>
      <c r="O202" s="10" t="inlineStr"/>
      <c r="P202" s="12" t="inlineStr"/>
      <c r="Q202" s="16">
        <f>IF(O202="","ADD LINKEDIN","ok")</f>
        <v/>
      </c>
      <c r="R202" s="12" t="inlineStr">
        <is>
          <t>https://republicpropertygroup.com/</t>
        </is>
      </c>
      <c r="S202" s="15" t="inlineStr">
        <is>
          <t>Sells lots. The builders inside Walsh and Light Farms buy the wall.</t>
        </is>
      </c>
      <c r="T202" s="12" t="inlineStr"/>
      <c r="U202" s="15" t="inlineStr">
        <is>
          <t>Named on the firm's team page as Co-CEO and Partner.</t>
        </is>
      </c>
      <c r="V202" s="12" t="inlineStr">
        <is>
          <t>https://republicpropertygroup.com/team/</t>
        </is>
      </c>
      <c r="W202" s="12" t="inlineStr">
        <is>
          <t>https://www.linkedin.com/company/republic-property-group/</t>
        </is>
      </c>
      <c r="X202" s="12" t="inlineStr">
        <is>
          <t>https://republicpropertygroup.com/team/</t>
        </is>
      </c>
      <c r="Y202" s="12" t="inlineStr"/>
      <c r="Z202" s="12" t="inlineStr">
        <is>
          <t>(214) 292-3410</t>
        </is>
      </c>
      <c r="AA202" s="12" t="inlineStr">
        <is>
          <t>Corporate office, Dallas</t>
        </is>
      </c>
      <c r="AB202" s="12" t="inlineStr">
        <is>
          <t>https://republicpropertygroup.com/contact/</t>
        </is>
      </c>
      <c r="AC202" s="12" t="inlineStr"/>
      <c r="AD202" s="12" t="inlineStr"/>
    </row>
    <row r="203">
      <c r="A203" s="6" t="inlineStr">
        <is>
          <t>Cheryl Turner</t>
        </is>
      </c>
      <c r="B203" s="6" t="inlineStr">
        <is>
          <t>Republic Property Group</t>
        </is>
      </c>
      <c r="C203" s="6" t="inlineStr">
        <is>
          <t>Chief Operating Officer</t>
        </is>
      </c>
      <c r="D203" s="7" t="inlineStr">
        <is>
          <t>Land owner, not the buyer</t>
        </is>
      </c>
      <c r="E203" s="8" t="n">
        <v>1</v>
      </c>
      <c r="F203" s="6" t="inlineStr">
        <is>
          <t>Sells lots</t>
        </is>
      </c>
      <c r="G203" s="6" t="inlineStr">
        <is>
          <t>Dallas, with masterplans in Fort Worth and Celina</t>
        </is>
      </c>
      <c r="H203" s="6" t="inlineStr">
        <is>
          <t>More than 15,000 homes planned at Walsh</t>
        </is>
      </c>
      <c r="I203" s="8" t="inlineStr">
        <is>
          <t>Yes</t>
        </is>
      </c>
      <c r="J203" s="9" t="inlineStr">
        <is>
          <t>Multi-phase masterplans, Walsh and Light Farms, with long buildouts.</t>
        </is>
      </c>
      <c r="K203" s="8" t="inlineStr">
        <is>
          <t>No</t>
        </is>
      </c>
      <c r="L203" s="9" t="inlineStr">
        <is>
          <t>It sells lots. The builders buy the wall.</t>
        </is>
      </c>
      <c r="M203" s="8" t="inlineStr">
        <is>
          <t>No</t>
        </is>
      </c>
      <c r="N203" s="9" t="inlineStr">
        <is>
          <t>Nothing on record about construction method.</t>
        </is>
      </c>
      <c r="O203" s="10" t="inlineStr"/>
      <c r="P203" s="6" t="inlineStr"/>
      <c r="Q203" s="11">
        <f>IF(O203="","ADD LINKEDIN","ok")</f>
        <v/>
      </c>
      <c r="R203" s="6" t="inlineStr">
        <is>
          <t>https://republicpropertygroup.com/</t>
        </is>
      </c>
      <c r="S203" s="9" t="inlineStr">
        <is>
          <t>Sells lots. The builders inside Walsh and Light Farms buy the wall.</t>
        </is>
      </c>
      <c r="T203" s="6" t="inlineStr"/>
      <c r="U203" s="9" t="inlineStr">
        <is>
          <t>Named on the firm's about page as COO.</t>
        </is>
      </c>
      <c r="V203" s="6" t="inlineStr">
        <is>
          <t>https://republicpropertygroup.com/about-republic-property-group/</t>
        </is>
      </c>
      <c r="W203" s="6" t="inlineStr">
        <is>
          <t>https://www.linkedin.com/company/republic-property-group/</t>
        </is>
      </c>
      <c r="X203" s="6" t="inlineStr">
        <is>
          <t>https://republicpropertygroup.com/team/</t>
        </is>
      </c>
      <c r="Y203" s="6" t="inlineStr"/>
      <c r="Z203" s="6" t="inlineStr">
        <is>
          <t>(214) 292-3410</t>
        </is>
      </c>
      <c r="AA203" s="6" t="inlineStr">
        <is>
          <t>Corporate office, Dallas</t>
        </is>
      </c>
      <c r="AB203" s="6" t="inlineStr">
        <is>
          <t>https://republicpropertygroup.com/contact/</t>
        </is>
      </c>
      <c r="AC203" s="6" t="inlineStr"/>
      <c r="AD203" s="6" t="inlineStr"/>
    </row>
    <row r="204">
      <c r="A204" s="12" t="inlineStr">
        <is>
          <t>Phillip Huffines</t>
        </is>
      </c>
      <c r="B204" s="12" t="inlineStr">
        <is>
          <t>Serenade (Celina, Huffines Communities)</t>
        </is>
      </c>
      <c r="C204" s="12" t="inlineStr">
        <is>
          <t>President, CEO and Co-Founder</t>
        </is>
      </c>
      <c r="D204" s="13" t="inlineStr">
        <is>
          <t>Land owner, not the buyer</t>
        </is>
      </c>
      <c r="E204" s="14" t="n">
        <v>1</v>
      </c>
      <c r="F204" s="12" t="inlineStr">
        <is>
          <t>Sells lots</t>
        </is>
      </c>
      <c r="G204" s="12" t="inlineStr">
        <is>
          <t>Celina, near Preston and Marilee</t>
        </is>
      </c>
      <c r="H204" s="12" t="inlineStr">
        <is>
          <t>468 acres and about 1,100 homes in Celina</t>
        </is>
      </c>
      <c r="I204" s="14" t="inlineStr">
        <is>
          <t>Yes</t>
        </is>
      </c>
      <c r="J204" s="15" t="inlineStr">
        <is>
          <t>A 468-acre masterplan of about 1,100 homes with a six-builder roster, and Phase 1 lots opening toward 2027.</t>
        </is>
      </c>
      <c r="K204" s="14" t="inlineStr">
        <is>
          <t>No</t>
        </is>
      </c>
      <c r="L204" s="15" t="inlineStr">
        <is>
          <t>Huffines develops lots. The builders buy the wall.</t>
        </is>
      </c>
      <c r="M204" s="14" t="inlineStr">
        <is>
          <t>No</t>
        </is>
      </c>
      <c r="N204" s="15" t="inlineStr">
        <is>
          <t>Nothing on record about construction method.</t>
        </is>
      </c>
      <c r="O204" s="10" t="inlineStr"/>
      <c r="P204" s="12" t="inlineStr"/>
      <c r="Q204" s="16">
        <f>IF(O204="","ADD LINKEDIN","ok")</f>
        <v/>
      </c>
      <c r="R204" s="12" t="inlineStr">
        <is>
          <t>https://serenadetexas.com/</t>
        </is>
      </c>
      <c r="S204" s="15" t="inlineStr">
        <is>
          <t>Huffines develops and sells the lots. Community Impact names six builders, including HistoryMaker, Impression, UnionMain and Risewell.</t>
        </is>
      </c>
      <c r="T204" s="12" t="inlineStr"/>
      <c r="U204" s="15" t="inlineStr">
        <is>
          <t>Named President, CEO and Co-Founder in a Huffines Communities blog post of 4 June 2025.</t>
        </is>
      </c>
      <c r="V204" s="12" t="inlineStr">
        <is>
          <t>https://huffinescommunities.com/from-fireworks-to-foundations-phillip-huffines-on-dallas-dirt-with-candy-evans/</t>
        </is>
      </c>
      <c r="W204" s="12" t="inlineStr">
        <is>
          <t>https://www.linkedin.com/company/huffines-communities/</t>
        </is>
      </c>
      <c r="X204" s="12" t="inlineStr">
        <is>
          <t>https://huffinescommunities.com/from-fireworks-to-foundations-phillip-huffines-on-dallas-dirt-with-candy-evans/</t>
        </is>
      </c>
      <c r="Y204" s="12" t="inlineStr"/>
      <c r="Z204" s="12" t="inlineStr">
        <is>
          <t>(214) 750-1800</t>
        </is>
      </c>
      <c r="AA204" s="12" t="inlineStr">
        <is>
          <t>Huffines Communities, Dallas</t>
        </is>
      </c>
      <c r="AB204" s="12" t="inlineStr">
        <is>
          <t>https://huffinescommunities.com/projects/serenade/</t>
        </is>
      </c>
      <c r="AC204" s="12" t="inlineStr"/>
      <c r="AD204" s="12" t="inlineStr"/>
    </row>
    <row r="205">
      <c r="A205" s="6" t="inlineStr">
        <is>
          <t>Don Huffines</t>
        </is>
      </c>
      <c r="B205" s="6" t="inlineStr">
        <is>
          <t>Serenade (Celina, Huffines Communities)</t>
        </is>
      </c>
      <c r="C205" s="6" t="inlineStr">
        <is>
          <t>Co-Founder</t>
        </is>
      </c>
      <c r="D205" s="7" t="inlineStr">
        <is>
          <t>Land owner, not the buyer</t>
        </is>
      </c>
      <c r="E205" s="8" t="n">
        <v>1</v>
      </c>
      <c r="F205" s="6" t="inlineStr">
        <is>
          <t>Sells lots</t>
        </is>
      </c>
      <c r="G205" s="6" t="inlineStr">
        <is>
          <t>Celina, near Preston and Marilee</t>
        </is>
      </c>
      <c r="H205" s="6" t="inlineStr">
        <is>
          <t>468 acres and about 1,100 homes in Celina</t>
        </is>
      </c>
      <c r="I205" s="8" t="inlineStr">
        <is>
          <t>Yes</t>
        </is>
      </c>
      <c r="J205" s="9" t="inlineStr">
        <is>
          <t>A 468-acre masterplan of about 1,100 homes with a six-builder roster, and Phase 1 lots opening toward 2027.</t>
        </is>
      </c>
      <c r="K205" s="8" t="inlineStr">
        <is>
          <t>No</t>
        </is>
      </c>
      <c r="L205" s="9" t="inlineStr">
        <is>
          <t>Huffines develops lots. The builders buy the wall.</t>
        </is>
      </c>
      <c r="M205" s="8" t="inlineStr">
        <is>
          <t>No</t>
        </is>
      </c>
      <c r="N205" s="9" t="inlineStr">
        <is>
          <t>Nothing on record about construction method.</t>
        </is>
      </c>
      <c r="O205" s="10" t="inlineStr"/>
      <c r="P205" s="6" t="inlineStr"/>
      <c r="Q205" s="11">
        <f>IF(O205="","ADD LINKEDIN","ok")</f>
        <v/>
      </c>
      <c r="R205" s="6" t="inlineStr">
        <is>
          <t>https://serenadetexas.com/</t>
        </is>
      </c>
      <c r="S205" s="9" t="inlineStr">
        <is>
          <t>Huffines develops and sells the lots. Community Impact names six builders, including HistoryMaker, Impression, UnionMain and Risewell.</t>
        </is>
      </c>
      <c r="T205" s="6" t="inlineStr"/>
      <c r="U205" s="9" t="inlineStr">
        <is>
          <t>Named on the firm's Who We Are page as co-founder, with his twin brother Phillip, in 1985.</t>
        </is>
      </c>
      <c r="V205" s="6" t="inlineStr">
        <is>
          <t>https://huffinescommunities.com/who-we-are/</t>
        </is>
      </c>
      <c r="W205" s="6" t="inlineStr">
        <is>
          <t>https://www.linkedin.com/company/huffines-communities/</t>
        </is>
      </c>
      <c r="X205" s="6" t="inlineStr">
        <is>
          <t>https://huffinescommunities.com/from-fireworks-to-foundations-phillip-huffines-on-dallas-dirt-with-candy-evans/</t>
        </is>
      </c>
      <c r="Y205" s="6" t="inlineStr"/>
      <c r="Z205" s="6" t="inlineStr">
        <is>
          <t>(214) 750-1800</t>
        </is>
      </c>
      <c r="AA205" s="6" t="inlineStr">
        <is>
          <t>Huffines Communities, Dallas</t>
        </is>
      </c>
      <c r="AB205" s="6" t="inlineStr">
        <is>
          <t>https://huffinescommunities.com/projects/serenade/</t>
        </is>
      </c>
      <c r="AC205" s="6" t="inlineStr"/>
      <c r="AD205" s="6" t="inlineStr"/>
    </row>
    <row r="206">
      <c r="A206" s="12" t="inlineStr">
        <is>
          <t>Phillip Huffines</t>
        </is>
      </c>
      <c r="B206" s="12" t="inlineStr">
        <is>
          <t>Solterra (Mesquite, Huffines Communities)</t>
        </is>
      </c>
      <c r="C206" s="12" t="inlineStr">
        <is>
          <t>President, Chief Executive Officer and Co-founder</t>
        </is>
      </c>
      <c r="D206" s="13" t="inlineStr">
        <is>
          <t>Land owner, not the buyer</t>
        </is>
      </c>
      <c r="E206" s="14" t="n">
        <v>1</v>
      </c>
      <c r="F206" s="12" t="inlineStr">
        <is>
          <t>Sells lots</t>
        </is>
      </c>
      <c r="G206" s="12" t="inlineStr">
        <is>
          <t>Mesquite, east of Dallas</t>
        </is>
      </c>
      <c r="H206" s="12" t="inlineStr">
        <is>
          <t>1,400 acres in Mesquite, 2025 McSAM Community of the Year</t>
        </is>
      </c>
      <c r="I206" s="14" t="inlineStr">
        <is>
          <t>Yes</t>
        </is>
      </c>
      <c r="J206" s="15" t="inlineStr">
        <is>
          <t>One 1,400-acre masterplan with several builders.</t>
        </is>
      </c>
      <c r="K206" s="14" t="inlineStr">
        <is>
          <t>No</t>
        </is>
      </c>
      <c r="L206" s="15" t="inlineStr">
        <is>
          <t>It develops lots. The builders buy the wall.</t>
        </is>
      </c>
      <c r="M206" s="14" t="inlineStr">
        <is>
          <t>No</t>
        </is>
      </c>
      <c r="N206" s="15" t="inlineStr">
        <is>
          <t>Nothing on record about construction method.</t>
        </is>
      </c>
      <c r="O206" s="10" t="inlineStr"/>
      <c r="P206" s="12" t="inlineStr"/>
      <c r="Q206" s="16">
        <f>IF(O206="","ADD LINKEDIN","ok")</f>
        <v/>
      </c>
      <c r="R206" s="12" t="inlineStr">
        <is>
          <t>https://huffinescommunities.com/</t>
        </is>
      </c>
      <c r="S206" s="15" t="inlineStr">
        <is>
          <t>Sells lots to several builders in one masterplan, about 18 miles east of downtown Dallas.</t>
        </is>
      </c>
      <c r="T206" s="12" t="inlineStr"/>
      <c r="U206" s="15" t="inlineStr">
        <is>
          <t>Named on the firm's own blog, June 4, 2025, as President, CEO and co-founder.</t>
        </is>
      </c>
      <c r="V206" s="12" t="inlineStr">
        <is>
          <t>https://huffinescommunities.com/from-fireworks-to-foundations-phillip-huffines-on-dallas-dirt-with-candy-evans/</t>
        </is>
      </c>
      <c r="W206" s="12" t="inlineStr">
        <is>
          <t>https://www.linkedin.com/company/huffines-communities/</t>
        </is>
      </c>
      <c r="X206" s="12" t="inlineStr">
        <is>
          <t>https://huffinescommunities.com/from-fireworks-to-foundations-phillip-huffines-on-dallas-dirt-with-candy-evans/</t>
        </is>
      </c>
      <c r="Y206" s="12" t="inlineStr"/>
      <c r="Z206" s="12" t="inlineStr">
        <is>
          <t>(214) 750-1800</t>
        </is>
      </c>
      <c r="AA206" s="12" t="inlineStr">
        <is>
          <t>Huffines Communities, developer</t>
        </is>
      </c>
      <c r="AB206" s="12" t="inlineStr">
        <is>
          <t>https://huffinescommunities.com/</t>
        </is>
      </c>
      <c r="AC206" s="12" t="inlineStr"/>
      <c r="AD206" s="12" t="inlineStr"/>
    </row>
    <row r="207">
      <c r="A207" s="6" t="inlineStr">
        <is>
          <t>Don Huffines</t>
        </is>
      </c>
      <c r="B207" s="6" t="inlineStr">
        <is>
          <t>Solterra (Mesquite, Huffines Communities)</t>
        </is>
      </c>
      <c r="C207" s="6" t="inlineStr">
        <is>
          <t>Co-founder</t>
        </is>
      </c>
      <c r="D207" s="7" t="inlineStr">
        <is>
          <t>Land owner, not the buyer</t>
        </is>
      </c>
      <c r="E207" s="8" t="n">
        <v>1</v>
      </c>
      <c r="F207" s="6" t="inlineStr">
        <is>
          <t>Sells lots</t>
        </is>
      </c>
      <c r="G207" s="6" t="inlineStr">
        <is>
          <t>Mesquite, east of Dallas</t>
        </is>
      </c>
      <c r="H207" s="6" t="inlineStr">
        <is>
          <t>1,400 acres in Mesquite, 2025 McSAM Community of the Year</t>
        </is>
      </c>
      <c r="I207" s="8" t="inlineStr">
        <is>
          <t>Yes</t>
        </is>
      </c>
      <c r="J207" s="9" t="inlineStr">
        <is>
          <t>One 1,400-acre masterplan with several builders.</t>
        </is>
      </c>
      <c r="K207" s="8" t="inlineStr">
        <is>
          <t>No</t>
        </is>
      </c>
      <c r="L207" s="9" t="inlineStr">
        <is>
          <t>It develops lots. The builders buy the wall.</t>
        </is>
      </c>
      <c r="M207" s="8" t="inlineStr">
        <is>
          <t>No</t>
        </is>
      </c>
      <c r="N207" s="9" t="inlineStr">
        <is>
          <t>Nothing on record about construction method.</t>
        </is>
      </c>
      <c r="O207" s="10" t="inlineStr"/>
      <c r="P207" s="6" t="inlineStr"/>
      <c r="Q207" s="11">
        <f>IF(O207="","ADD LINKEDIN","ok")</f>
        <v/>
      </c>
      <c r="R207" s="6" t="inlineStr">
        <is>
          <t>https://huffinescommunities.com/</t>
        </is>
      </c>
      <c r="S207" s="9" t="inlineStr">
        <is>
          <t>Sells lots to several builders in one masterplan, about 18 miles east of downtown Dallas.</t>
        </is>
      </c>
      <c r="T207" s="6" t="inlineStr"/>
      <c r="U207" s="9" t="inlineStr">
        <is>
          <t>Named on the firm's who-we-are page as co-founder, with his twin brother Phillip, in 1985.</t>
        </is>
      </c>
      <c r="V207" s="6" t="inlineStr">
        <is>
          <t>https://huffinescommunities.com/who-we-are/</t>
        </is>
      </c>
      <c r="W207" s="6" t="inlineStr">
        <is>
          <t>https://www.linkedin.com/company/huffines-communities/</t>
        </is>
      </c>
      <c r="X207" s="6" t="inlineStr">
        <is>
          <t>https://huffinescommunities.com/from-fireworks-to-foundations-phillip-huffines-on-dallas-dirt-with-candy-evans/</t>
        </is>
      </c>
      <c r="Y207" s="6" t="inlineStr"/>
      <c r="Z207" s="6" t="inlineStr">
        <is>
          <t>(214) 750-1800</t>
        </is>
      </c>
      <c r="AA207" s="6" t="inlineStr">
        <is>
          <t>Huffines Communities, developer</t>
        </is>
      </c>
      <c r="AB207" s="6" t="inlineStr">
        <is>
          <t>https://huffinescommunities.com/</t>
        </is>
      </c>
      <c r="AC207" s="6" t="inlineStr"/>
      <c r="AD207" s="6" t="inlineStr"/>
    </row>
    <row r="208">
      <c r="A208" s="12" t="inlineStr">
        <is>
          <t>Joe Hickman</t>
        </is>
      </c>
      <c r="B208" s="12" t="inlineStr">
        <is>
          <t>Star Trail (Prosper, Blue Star Land)</t>
        </is>
      </c>
      <c r="C208" s="12" t="inlineStr">
        <is>
          <t>Head, Blue Star Land</t>
        </is>
      </c>
      <c r="D208" s="13" t="inlineStr">
        <is>
          <t>Land owner, not the buyer</t>
        </is>
      </c>
      <c r="E208" s="14" t="n">
        <v>1</v>
      </c>
      <c r="F208" s="12" t="inlineStr">
        <is>
          <t>Sells lots</t>
        </is>
      </c>
      <c r="G208" s="12" t="inlineStr">
        <is>
          <t>Prosper</t>
        </is>
      </c>
      <c r="H208" s="12" t="inlineStr">
        <is>
          <t>About 900 acres in Prosper, 1,800+ homes planned</t>
        </is>
      </c>
      <c r="I208" s="14" t="inlineStr">
        <is>
          <t>Yes</t>
        </is>
      </c>
      <c r="J208" s="15" t="inlineStr">
        <is>
          <t>One 900-acre masterplan with five builders and repeated lot widths of 55, 65 and 86 feet.</t>
        </is>
      </c>
      <c r="K208" s="14" t="inlineStr">
        <is>
          <t>No</t>
        </is>
      </c>
      <c r="L208" s="15" t="inlineStr">
        <is>
          <t>It develops lots. The builders buy the wall.</t>
        </is>
      </c>
      <c r="M208" s="14" t="inlineStr">
        <is>
          <t>No</t>
        </is>
      </c>
      <c r="N208" s="15" t="inlineStr">
        <is>
          <t>Nothing on record about construction method.</t>
        </is>
      </c>
      <c r="O208" s="10" t="inlineStr"/>
      <c r="P208" s="12" t="inlineStr"/>
      <c r="Q208" s="16">
        <f>IF(O208="","ADD LINKEDIN","ok")</f>
        <v/>
      </c>
      <c r="R208" s="12" t="inlineStr">
        <is>
          <t>https://startrailprosper.com/</t>
        </is>
      </c>
      <c r="S208" s="15" t="inlineStr">
        <is>
          <t>Sells lots to five named builders: American Legend, Britton and Perry, Coventry, Highland and Toll Brothers.</t>
        </is>
      </c>
      <c r="T208" s="12" t="inlineStr"/>
      <c r="U208" s="15" t="inlineStr">
        <is>
          <t>Named by Jerry Jones in a Prosper EDC investor spotlight as head of the Blue Star Land team.</t>
        </is>
      </c>
      <c r="V208" s="12" t="inlineStr">
        <is>
          <t>https://prosperedc.com/connect/latest-news/spotlight-on-investors-jerry-jones-blue-star-land</t>
        </is>
      </c>
      <c r="W208" s="12" t="inlineStr"/>
      <c r="X208" s="12" t="inlineStr"/>
      <c r="Y208" s="12" t="inlineStr"/>
      <c r="Z208" s="12" t="inlineStr">
        <is>
          <t>(972) 867-1886</t>
        </is>
      </c>
      <c r="AA208" s="12" t="inlineStr">
        <is>
          <t>Blue Star Land LP, developer</t>
        </is>
      </c>
      <c r="AB208" s="12" t="inlineStr">
        <is>
          <t>https://startrailprosper.com/developer/</t>
        </is>
      </c>
      <c r="AC208" s="12" t="inlineStr"/>
      <c r="AD208" s="12" t="inlineStr"/>
    </row>
    <row r="209">
      <c r="A209" s="6" t="inlineStr">
        <is>
          <t>Craig Martin</t>
        </is>
      </c>
      <c r="B209" s="6" t="inlineStr">
        <is>
          <t>Tellus Group LLC</t>
        </is>
      </c>
      <c r="C209" s="6" t="inlineStr">
        <is>
          <t>Founder and Chief Executive Officer</t>
        </is>
      </c>
      <c r="D209" s="7" t="inlineStr">
        <is>
          <t>Land owner, not the buyer</t>
        </is>
      </c>
      <c r="E209" s="8" t="n">
        <v>1</v>
      </c>
      <c r="F209" s="6" t="inlineStr">
        <is>
          <t>Sells lots</t>
        </is>
      </c>
      <c r="G209" s="6" t="inlineStr">
        <is>
          <t>Plano, with masterplans in Prosper, Celina, Forney and Anna</t>
        </is>
      </c>
      <c r="H209" s="6" t="inlineStr">
        <is>
          <t>Plano developer behind Windsong Ranch and Mosaic</t>
        </is>
      </c>
      <c r="I209" s="8" t="inlineStr">
        <is>
          <t>Yes</t>
        </is>
      </c>
      <c r="J209" s="9" t="inlineStr">
        <is>
          <t>Production-builder lot programs repeated across Windsong Ranch, Mosaic, Meraki, Sherley Farms and Mirabella.</t>
        </is>
      </c>
      <c r="K209" s="8" t="inlineStr">
        <is>
          <t>No</t>
        </is>
      </c>
      <c r="L209" s="9" t="inlineStr">
        <is>
          <t>It sells finished lots. The builders buy the wall.</t>
        </is>
      </c>
      <c r="M209" s="8" t="inlineStr">
        <is>
          <t>No</t>
        </is>
      </c>
      <c r="N209" s="9" t="inlineStr">
        <is>
          <t>Nothing on record about construction method.</t>
        </is>
      </c>
      <c r="O209" s="10" t="inlineStr"/>
      <c r="P209" s="6" t="inlineStr"/>
      <c r="Q209" s="11">
        <f>IF(O209="","ADD LINKEDIN","ok")</f>
        <v/>
      </c>
      <c r="R209" s="6" t="inlineStr">
        <is>
          <t>https://tellusgroupllc.com/</t>
        </is>
      </c>
      <c r="S209" s="9" t="inlineStr">
        <is>
          <t>Sells lots. Builders in its communities include Highland, Perry, Tradition, Bloomfield, American Legend, Drees and Homebound.</t>
        </is>
      </c>
      <c r="T209" s="6" t="inlineStr"/>
      <c r="U209" s="9" t="inlineStr">
        <is>
          <t>Named on the firm's team page as Founder and Chief Executive Officer.</t>
        </is>
      </c>
      <c r="V209" s="6" t="inlineStr">
        <is>
          <t>https://tellusgroupllc.com/team/</t>
        </is>
      </c>
      <c r="W209" s="6" t="inlineStr">
        <is>
          <t>https://www.linkedin.com/company/tellusgroupllc/</t>
        </is>
      </c>
      <c r="X209" s="6" t="inlineStr">
        <is>
          <t>https://tellusgroupllc.com/team/</t>
        </is>
      </c>
      <c r="Y209" s="6" t="inlineStr"/>
      <c r="Z209" s="6" t="inlineStr">
        <is>
          <t>(469) 532-0689</t>
        </is>
      </c>
      <c r="AA209" s="6" t="inlineStr">
        <is>
          <t>Main office, Plano</t>
        </is>
      </c>
      <c r="AB209" s="6" t="inlineStr">
        <is>
          <t>https://tellusgroupllc.com/contact/</t>
        </is>
      </c>
      <c r="AC209" s="6" t="inlineStr"/>
      <c r="AD209" s="6" t="inlineStr"/>
    </row>
    <row r="210">
      <c r="A210" s="12" t="inlineStr">
        <is>
          <t>Andre Ferrari</t>
        </is>
      </c>
      <c r="B210" s="12" t="inlineStr">
        <is>
          <t>Tellus Group LLC</t>
        </is>
      </c>
      <c r="C210" s="12" t="inlineStr">
        <is>
          <t>Chief Operating Officer and General Counsel</t>
        </is>
      </c>
      <c r="D210" s="13" t="inlineStr">
        <is>
          <t>Land owner, not the buyer</t>
        </is>
      </c>
      <c r="E210" s="14" t="n">
        <v>1</v>
      </c>
      <c r="F210" s="12" t="inlineStr">
        <is>
          <t>Sells lots</t>
        </is>
      </c>
      <c r="G210" s="12" t="inlineStr">
        <is>
          <t>Plano, with masterplans in Prosper, Celina, Forney and Anna</t>
        </is>
      </c>
      <c r="H210" s="12" t="inlineStr">
        <is>
          <t>Plano developer behind Windsong Ranch and Mosaic</t>
        </is>
      </c>
      <c r="I210" s="14" t="inlineStr">
        <is>
          <t>Yes</t>
        </is>
      </c>
      <c r="J210" s="15" t="inlineStr">
        <is>
          <t>Production-builder lot programs repeated across Windsong Ranch, Mosaic, Meraki, Sherley Farms and Mirabella.</t>
        </is>
      </c>
      <c r="K210" s="14" t="inlineStr">
        <is>
          <t>No</t>
        </is>
      </c>
      <c r="L210" s="15" t="inlineStr">
        <is>
          <t>It sells finished lots. The builders buy the wall.</t>
        </is>
      </c>
      <c r="M210" s="14" t="inlineStr">
        <is>
          <t>No</t>
        </is>
      </c>
      <c r="N210" s="15" t="inlineStr">
        <is>
          <t>Nothing on record about construction method.</t>
        </is>
      </c>
      <c r="O210" s="10" t="inlineStr"/>
      <c r="P210" s="12" t="inlineStr"/>
      <c r="Q210" s="16">
        <f>IF(O210="","ADD LINKEDIN","ok")</f>
        <v/>
      </c>
      <c r="R210" s="12" t="inlineStr">
        <is>
          <t>https://tellusgroupllc.com/</t>
        </is>
      </c>
      <c r="S210" s="15" t="inlineStr">
        <is>
          <t>Sells lots. Builders in its communities include Highland, Perry, Tradition, Bloomfield, American Legend, Drees and Homebound.</t>
        </is>
      </c>
      <c r="T210" s="12" t="inlineStr"/>
      <c r="U210" s="15" t="inlineStr">
        <is>
          <t>Named on the firm's team page as Chief Operating Officer.</t>
        </is>
      </c>
      <c r="V210" s="12" t="inlineStr">
        <is>
          <t>https://tellusgroupllc.com/team/</t>
        </is>
      </c>
      <c r="W210" s="12" t="inlineStr">
        <is>
          <t>https://www.linkedin.com/company/tellusgroupllc/</t>
        </is>
      </c>
      <c r="X210" s="12" t="inlineStr">
        <is>
          <t>https://tellusgroupllc.com/team/</t>
        </is>
      </c>
      <c r="Y210" s="12" t="inlineStr"/>
      <c r="Z210" s="12" t="inlineStr">
        <is>
          <t>(469) 532-0689</t>
        </is>
      </c>
      <c r="AA210" s="12" t="inlineStr">
        <is>
          <t>Main office, Plano</t>
        </is>
      </c>
      <c r="AB210" s="12" t="inlineStr">
        <is>
          <t>https://tellusgroupllc.com/contact/</t>
        </is>
      </c>
      <c r="AC210" s="12" t="inlineStr"/>
      <c r="AD210" s="12" t="inlineStr"/>
    </row>
    <row r="211">
      <c r="A211" s="6" t="inlineStr">
        <is>
          <t>Gary Berman</t>
        </is>
      </c>
      <c r="B211" s="6" t="inlineStr">
        <is>
          <t>Tricon Residential</t>
        </is>
      </c>
      <c r="C211" s="6" t="inlineStr">
        <is>
          <t>President and Chief Executive Officer</t>
        </is>
      </c>
      <c r="D211" s="7" t="inlineStr">
        <is>
          <t>Land owner, not the buyer</t>
        </is>
      </c>
      <c r="E211" s="8" t="n">
        <v>1</v>
      </c>
      <c r="F211" s="6" t="inlineStr">
        <is>
          <t>Sells lots</t>
        </is>
      </c>
      <c r="G211" s="6" t="inlineStr">
        <is>
          <t>Arlington and Dallas, within a Texas rental portfolio</t>
        </is>
      </c>
      <c r="H211" s="6" t="inlineStr">
        <is>
          <t>Nearly 1,100 Texas build-to-rent homes, July 2025 release</t>
        </is>
      </c>
      <c r="I211" s="8" t="inlineStr">
        <is>
          <t>Yes</t>
        </is>
      </c>
      <c r="J211" s="9" t="inlineStr">
        <is>
          <t>Purpose-built rental communities with repeated plans across Texas, including DFW.</t>
        </is>
      </c>
      <c r="K211" s="8" t="inlineStr">
        <is>
          <t>No</t>
        </is>
      </c>
      <c r="L211" s="9" t="inlineStr">
        <is>
          <t>At Viridian, HHS Residential built the homes, so the wall buy sat with the builder partner.</t>
        </is>
      </c>
      <c r="M211" s="8" t="inlineStr">
        <is>
          <t>No</t>
        </is>
      </c>
      <c r="N211" s="9" t="inlineStr">
        <is>
          <t>Nothing on record about wall method.</t>
        </is>
      </c>
      <c r="O211" s="10" t="inlineStr"/>
      <c r="P211" s="6" t="inlineStr"/>
      <c r="Q211" s="11">
        <f>IF(O211="","ADD LINKEDIN","ok")</f>
        <v/>
      </c>
      <c r="R211" s="6" t="inlineStr">
        <is>
          <t>https://triconhomes.com/find/dallas/</t>
        </is>
      </c>
      <c r="S211" s="9" t="inlineStr">
        <is>
          <t>At Viridian in Arlington, HHS Residential was the builder partner, so the wall buy sat with the builder.</t>
        </is>
      </c>
      <c r="T211" s="6" t="inlineStr"/>
      <c r="U211" s="9" t="inlineStr">
        <is>
          <t>Named on Tricon's own Our People page as President and CEO.</t>
        </is>
      </c>
      <c r="V211" s="6" t="inlineStr">
        <is>
          <t>https://triconhomes.com/about/our-people/</t>
        </is>
      </c>
      <c r="W211" s="6" t="inlineStr">
        <is>
          <t>https://www.linkedin.com/company/tricon-residential/</t>
        </is>
      </c>
      <c r="X211" s="6" t="inlineStr">
        <is>
          <t>https://triconhomes.com/about/our-people/</t>
        </is>
      </c>
      <c r="Y211" s="6" t="inlineStr">
        <is>
          <t>2025-07-15 Tricon Residential. Tricon Residential Opens New Community in Arlington, Texas, Adds to Housing Supply  https://triconhomes.com/resources/insights/tricon-residential-opens-new-community-in-arlington-texas-add-to-housing-supply/</t>
        </is>
      </c>
      <c r="Z211" s="6" t="inlineStr">
        <is>
          <t>(844) 874-2661</t>
        </is>
      </c>
      <c r="AA211" s="6" t="inlineStr">
        <is>
          <t>Tricon Residential main line</t>
        </is>
      </c>
      <c r="AB211" s="6" t="inlineStr">
        <is>
          <t>https://triconhomes.com/resources/insights/tricon-residential-opens-new-community-in-arlington-texas-add-to-housing-supply/</t>
        </is>
      </c>
      <c r="AC211" s="6" t="inlineStr"/>
      <c r="AD211" s="6" t="inlineStr"/>
    </row>
    <row r="212">
      <c r="A212" s="12" t="inlineStr">
        <is>
          <t>Alan O'Brien</t>
        </is>
      </c>
      <c r="B212" s="12" t="inlineStr">
        <is>
          <t>Tricon Residential</t>
        </is>
      </c>
      <c r="C212" s="12" t="inlineStr">
        <is>
          <t>Executive Vice President and Chief Operating Officer</t>
        </is>
      </c>
      <c r="D212" s="13" t="inlineStr">
        <is>
          <t>Land owner, not the buyer</t>
        </is>
      </c>
      <c r="E212" s="14" t="n">
        <v>1</v>
      </c>
      <c r="F212" s="12" t="inlineStr">
        <is>
          <t>Sells lots</t>
        </is>
      </c>
      <c r="G212" s="12" t="inlineStr">
        <is>
          <t>Arlington and Dallas, within a Texas rental portfolio</t>
        </is>
      </c>
      <c r="H212" s="12" t="inlineStr">
        <is>
          <t>Nearly 1,100 Texas build-to-rent homes, July 2025 release</t>
        </is>
      </c>
      <c r="I212" s="14" t="inlineStr">
        <is>
          <t>Yes</t>
        </is>
      </c>
      <c r="J212" s="15" t="inlineStr">
        <is>
          <t>Purpose-built rental communities with repeated plans across Texas, including DFW.</t>
        </is>
      </c>
      <c r="K212" s="14" t="inlineStr">
        <is>
          <t>No</t>
        </is>
      </c>
      <c r="L212" s="15" t="inlineStr">
        <is>
          <t>At Viridian, HHS Residential built the homes, so the wall buy sat with the builder partner.</t>
        </is>
      </c>
      <c r="M212" s="14" t="inlineStr">
        <is>
          <t>No</t>
        </is>
      </c>
      <c r="N212" s="15" t="inlineStr">
        <is>
          <t>Nothing on record about wall method.</t>
        </is>
      </c>
      <c r="O212" s="10" t="inlineStr"/>
      <c r="P212" s="12" t="inlineStr"/>
      <c r="Q212" s="16">
        <f>IF(O212="","ADD LINKEDIN","ok")</f>
        <v/>
      </c>
      <c r="R212" s="12" t="inlineStr">
        <is>
          <t>https://triconhomes.com/find/dallas/</t>
        </is>
      </c>
      <c r="S212" s="15" t="inlineStr">
        <is>
          <t>At Viridian in Arlington, HHS Residential was the builder partner, so the wall buy sat with the builder.</t>
        </is>
      </c>
      <c r="T212" s="12" t="inlineStr"/>
      <c r="U212" s="15" t="inlineStr">
        <is>
          <t>Named on Tricon's own Our People page as EVP and Chief Operating Officer.</t>
        </is>
      </c>
      <c r="V212" s="12" t="inlineStr">
        <is>
          <t>https://triconhomes.com/about/our-people/</t>
        </is>
      </c>
      <c r="W212" s="12" t="inlineStr">
        <is>
          <t>https://www.linkedin.com/company/tricon-residential/</t>
        </is>
      </c>
      <c r="X212" s="12" t="inlineStr">
        <is>
          <t>https://triconhomes.com/about/our-people/</t>
        </is>
      </c>
      <c r="Y212" s="12" t="inlineStr">
        <is>
          <t>2025-07-15 Tricon Residential. Tricon Residential Opens New Community in Arlington, Texas, Adds to Housing Supply  https://triconhomes.com/resources/insights/tricon-residential-opens-new-community-in-arlington-texas-add-to-housing-supply/</t>
        </is>
      </c>
      <c r="Z212" s="12" t="inlineStr">
        <is>
          <t>(844) 874-2661</t>
        </is>
      </c>
      <c r="AA212" s="12" t="inlineStr">
        <is>
          <t>Tricon Residential main line</t>
        </is>
      </c>
      <c r="AB212" s="12" t="inlineStr">
        <is>
          <t>https://triconhomes.com/resources/insights/tricon-residential-opens-new-community-in-arlington-texas-add-to-housing-supply/</t>
        </is>
      </c>
      <c r="AC212" s="12" t="inlineStr"/>
      <c r="AD212" s="12" t="inlineStr"/>
    </row>
    <row r="213">
      <c r="A213" s="6" t="inlineStr">
        <is>
          <t>Thomas Fichman</t>
        </is>
      </c>
      <c r="B213" s="6" t="inlineStr">
        <is>
          <t>Tricon Residential</t>
        </is>
      </c>
      <c r="C213" s="6" t="inlineStr">
        <is>
          <t>Senior Vice President, Investments</t>
        </is>
      </c>
      <c r="D213" s="7" t="inlineStr">
        <is>
          <t>Land owner, not the buyer</t>
        </is>
      </c>
      <c r="E213" s="8" t="n">
        <v>1</v>
      </c>
      <c r="F213" s="6" t="inlineStr">
        <is>
          <t>Sells lots</t>
        </is>
      </c>
      <c r="G213" s="6" t="inlineStr">
        <is>
          <t>Arlington and Dallas, within a Texas rental portfolio</t>
        </is>
      </c>
      <c r="H213" s="6" t="inlineStr">
        <is>
          <t>Nearly 1,100 Texas build-to-rent homes, July 2025 release</t>
        </is>
      </c>
      <c r="I213" s="8" t="inlineStr">
        <is>
          <t>Yes</t>
        </is>
      </c>
      <c r="J213" s="9" t="inlineStr">
        <is>
          <t>Purpose-built rental communities with repeated plans across Texas, including DFW.</t>
        </is>
      </c>
      <c r="K213" s="8" t="inlineStr">
        <is>
          <t>No</t>
        </is>
      </c>
      <c r="L213" s="9" t="inlineStr">
        <is>
          <t>At Viridian, HHS Residential built the homes, so the wall buy sat with the builder partner.</t>
        </is>
      </c>
      <c r="M213" s="8" t="inlineStr">
        <is>
          <t>No</t>
        </is>
      </c>
      <c r="N213" s="9" t="inlineStr">
        <is>
          <t>Nothing on record about wall method.</t>
        </is>
      </c>
      <c r="O213" s="10" t="inlineStr"/>
      <c r="P213" s="6" t="inlineStr"/>
      <c r="Q213" s="11">
        <f>IF(O213="","ADD LINKEDIN","ok")</f>
        <v/>
      </c>
      <c r="R213" s="6" t="inlineStr">
        <is>
          <t>https://triconhomes.com/find/dallas/</t>
        </is>
      </c>
      <c r="S213" s="9" t="inlineStr">
        <is>
          <t>At Viridian in Arlington, HHS Residential was the builder partner, so the wall buy sat with the builder.</t>
        </is>
      </c>
      <c r="T213" s="6" t="inlineStr"/>
      <c r="U213" s="9" t="inlineStr">
        <is>
          <t>Named on Tricon's own Our People page as SVP Investments, over U.S. residential development including single-family build-to-rent.</t>
        </is>
      </c>
      <c r="V213" s="6" t="inlineStr">
        <is>
          <t>https://triconhomes.com/about/our-people/</t>
        </is>
      </c>
      <c r="W213" s="6" t="inlineStr">
        <is>
          <t>https://www.linkedin.com/company/tricon-residential/</t>
        </is>
      </c>
      <c r="X213" s="6" t="inlineStr">
        <is>
          <t>https://triconhomes.com/about/our-people/</t>
        </is>
      </c>
      <c r="Y213" s="6" t="inlineStr">
        <is>
          <t>2025-07-15 Tricon Residential. Tricon Residential Opens New Community in Arlington, Texas, Adds to Housing Supply  https://triconhomes.com/resources/insights/tricon-residential-opens-new-community-in-arlington-texas-add-to-housing-supply/</t>
        </is>
      </c>
      <c r="Z213" s="6" t="inlineStr">
        <is>
          <t>(844) 874-2661</t>
        </is>
      </c>
      <c r="AA213" s="6" t="inlineStr">
        <is>
          <t>Tricon Residential main line</t>
        </is>
      </c>
      <c r="AB213" s="6" t="inlineStr">
        <is>
          <t>https://triconhomes.com/resources/insights/tricon-residential-opens-new-community-in-arlington-texas-add-to-housing-supply/</t>
        </is>
      </c>
      <c r="AC213" s="6" t="inlineStr"/>
      <c r="AD213" s="6" t="inlineStr"/>
    </row>
    <row r="214">
      <c r="A214" s="12" t="inlineStr">
        <is>
          <t>Ralph DeMott</t>
        </is>
      </c>
      <c r="B214" s="12" t="inlineStr">
        <is>
          <t>Tricon Residential</t>
        </is>
      </c>
      <c r="C214" s="12" t="inlineStr">
        <is>
          <t>Vice President, Operations</t>
        </is>
      </c>
      <c r="D214" s="13" t="inlineStr">
        <is>
          <t>Land owner, not the buyer</t>
        </is>
      </c>
      <c r="E214" s="14" t="n">
        <v>1</v>
      </c>
      <c r="F214" s="12" t="inlineStr">
        <is>
          <t>Sells lots</t>
        </is>
      </c>
      <c r="G214" s="12" t="inlineStr">
        <is>
          <t>Arlington and Dallas, within a Texas rental portfolio</t>
        </is>
      </c>
      <c r="H214" s="12" t="inlineStr">
        <is>
          <t>Nearly 1,100 Texas build-to-rent homes, July 2025 release</t>
        </is>
      </c>
      <c r="I214" s="14" t="inlineStr">
        <is>
          <t>Yes</t>
        </is>
      </c>
      <c r="J214" s="15" t="inlineStr">
        <is>
          <t>Purpose-built rental communities with repeated plans across Texas, including DFW.</t>
        </is>
      </c>
      <c r="K214" s="14" t="inlineStr">
        <is>
          <t>No</t>
        </is>
      </c>
      <c r="L214" s="15" t="inlineStr">
        <is>
          <t>At Viridian, HHS Residential built the homes, so the wall buy sat with the builder partner.</t>
        </is>
      </c>
      <c r="M214" s="14" t="inlineStr">
        <is>
          <t>No</t>
        </is>
      </c>
      <c r="N214" s="15" t="inlineStr">
        <is>
          <t>Nothing on record about wall method.</t>
        </is>
      </c>
      <c r="O214" s="10" t="inlineStr"/>
      <c r="P214" s="12" t="inlineStr"/>
      <c r="Q214" s="16">
        <f>IF(O214="","ADD LINKEDIN","ok")</f>
        <v/>
      </c>
      <c r="R214" s="12" t="inlineStr">
        <is>
          <t>https://triconhomes.com/find/dallas/</t>
        </is>
      </c>
      <c r="S214" s="15" t="inlineStr">
        <is>
          <t>At Viridian in Arlington, HHS Residential was the builder partner, so the wall buy sat with the builder.</t>
        </is>
      </c>
      <c r="T214" s="12" t="inlineStr"/>
      <c r="U214" s="15" t="inlineStr">
        <is>
          <t>Named on Tricon's own Our People page as VP Operations for Dallas and markets in Minnesota, Illinois, Wisconsin and Iowa.</t>
        </is>
      </c>
      <c r="V214" s="12" t="inlineStr">
        <is>
          <t>https://triconhomes.com/about/our-people/</t>
        </is>
      </c>
      <c r="W214" s="12" t="inlineStr">
        <is>
          <t>https://www.linkedin.com/company/tricon-residential/</t>
        </is>
      </c>
      <c r="X214" s="12" t="inlineStr">
        <is>
          <t>https://triconhomes.com/about/our-people/</t>
        </is>
      </c>
      <c r="Y214" s="12" t="inlineStr">
        <is>
          <t>2025-07-15 Tricon Residential. Tricon Residential Opens New Community in Arlington, Texas, Adds to Housing Supply  https://triconhomes.com/resources/insights/tricon-residential-opens-new-community-in-arlington-texas-add-to-housing-supply/</t>
        </is>
      </c>
      <c r="Z214" s="12" t="inlineStr">
        <is>
          <t>(844) 874-2661</t>
        </is>
      </c>
      <c r="AA214" s="12" t="inlineStr">
        <is>
          <t>Tricon Residential main line</t>
        </is>
      </c>
      <c r="AB214" s="12" t="inlineStr">
        <is>
          <t>https://triconhomes.com/resources/insights/tricon-residential-opens-new-community-in-arlington-texas-add-to-housing-supply/</t>
        </is>
      </c>
      <c r="AC214" s="12" t="inlineStr"/>
      <c r="AD214" s="12" t="inlineStr"/>
    </row>
    <row r="215">
      <c r="A215" s="6" t="inlineStr">
        <is>
          <t>Jerry Ulke</t>
        </is>
      </c>
      <c r="B215" s="6" t="inlineStr">
        <is>
          <t>Trinity Falls (McKinney, Johnson Development)</t>
        </is>
      </c>
      <c r="C215" s="6" t="inlineStr">
        <is>
          <t>General Manager and Vice President, Trinity Falls</t>
        </is>
      </c>
      <c r="D215" s="7" t="inlineStr">
        <is>
          <t>Land owner, not the buyer</t>
        </is>
      </c>
      <c r="E215" s="8" t="n">
        <v>1</v>
      </c>
      <c r="F215" s="6" t="inlineStr">
        <is>
          <t>Sells lots</t>
        </is>
      </c>
      <c r="G215" s="6" t="inlineStr">
        <is>
          <t>McKinney, Collin County</t>
        </is>
      </c>
      <c r="H215" s="6" t="inlineStr">
        <is>
          <t>2,000-acre McKinney masterplan, seven builders on its page</t>
        </is>
      </c>
      <c r="I215" s="8" t="inlineStr">
        <is>
          <t>Yes</t>
        </is>
      </c>
      <c r="J215" s="9" t="inlineStr">
        <is>
          <t>A 2,000-acre McKinney masterplan with seven builders selling at once.</t>
        </is>
      </c>
      <c r="K215" s="8" t="inlineStr">
        <is>
          <t>No</t>
        </is>
      </c>
      <c r="L215" s="9" t="inlineStr">
        <is>
          <t>Johnson Development sells lots. The builders buy the wall.</t>
        </is>
      </c>
      <c r="M215" s="8" t="inlineStr">
        <is>
          <t>No</t>
        </is>
      </c>
      <c r="N215" s="9" t="inlineStr">
        <is>
          <t>Nothing on record about construction method.</t>
        </is>
      </c>
      <c r="O215" s="10" t="inlineStr"/>
      <c r="P215" s="6" t="inlineStr"/>
      <c r="Q215" s="11">
        <f>IF(O215="","ADD LINKEDIN","ok")</f>
        <v/>
      </c>
      <c r="R215" s="6" t="inlineStr">
        <is>
          <t>https://www.trinityfalls.com/</t>
        </is>
      </c>
      <c r="S215" s="9" t="inlineStr">
        <is>
          <t>Sells lots. Its builders page names seven, including Cadence townhomes and Del Webb for buyers 55 and over.</t>
        </is>
      </c>
      <c r="T215" s="6" t="inlineStr"/>
      <c r="U215" s="9" t="inlineStr">
        <is>
          <t>Quoted in McKinney Today on September 15, 2026 as General Manager and Vice President of Trinity Falls for Johnson Development.</t>
        </is>
      </c>
      <c r="V215" s="6" t="inlineStr">
        <is>
          <t>https://mckinneytoday.com/how-trinity-falls-is-creating-community-in-a-growing-mckinney/</t>
        </is>
      </c>
      <c r="W215" s="6" t="inlineStr">
        <is>
          <t>https://www.linkedin.com/company/the-johnson-development-corp/</t>
        </is>
      </c>
      <c r="X215" s="6" t="inlineStr"/>
      <c r="Y215" s="6" t="inlineStr"/>
      <c r="Z215" s="6" t="inlineStr">
        <is>
          <t>(713) 960-9977</t>
        </is>
      </c>
      <c r="AA215" s="6" t="inlineStr">
        <is>
          <t>Johnson Development corporate line, the developer</t>
        </is>
      </c>
      <c r="AB215" s="6" t="inlineStr">
        <is>
          <t>https://www.johnsondevelopment.com/mckinney-tx/mpc_trinity_falls</t>
        </is>
      </c>
      <c r="AC215" s="6" t="inlineStr"/>
      <c r="AD215" s="6" t="inlineStr"/>
    </row>
    <row r="216">
      <c r="A216" s="12" t="inlineStr">
        <is>
          <t>Fred Balda</t>
        </is>
      </c>
      <c r="B216" s="12" t="inlineStr">
        <is>
          <t>Union Park by Hillwood (Little Elm)</t>
        </is>
      </c>
      <c r="C216" s="12" t="inlineStr">
        <is>
          <t>President, Hillwood Communities</t>
        </is>
      </c>
      <c r="D216" s="13" t="inlineStr">
        <is>
          <t>Land owner, not the buyer</t>
        </is>
      </c>
      <c r="E216" s="14" t="n">
        <v>1</v>
      </c>
      <c r="F216" s="12" t="inlineStr">
        <is>
          <t>Sells lots</t>
        </is>
      </c>
      <c r="G216" s="12" t="inlineStr">
        <is>
          <t>Little Elm, on US 380</t>
        </is>
      </c>
      <c r="H216" s="12" t="inlineStr">
        <is>
          <t>About 3,400 homes on 1,100 acres, Little Elm</t>
        </is>
      </c>
      <c r="I216" s="14" t="inlineStr">
        <is>
          <t>Yes</t>
        </is>
      </c>
      <c r="J216" s="15" t="inlineStr">
        <is>
          <t>About 3,400 planned homes on one 1,100-acre site, with eight production builders named in community materials.</t>
        </is>
      </c>
      <c r="K216" s="14" t="inlineStr">
        <is>
          <t>No</t>
        </is>
      </c>
      <c r="L216" s="15" t="inlineStr">
        <is>
          <t>Hillwood sells lots. The builders buy the wall.</t>
        </is>
      </c>
      <c r="M216" s="14" t="inlineStr">
        <is>
          <t>No</t>
        </is>
      </c>
      <c r="N216" s="15" t="inlineStr">
        <is>
          <t>Nothing on record about construction method.</t>
        </is>
      </c>
      <c r="O216" s="10" t="inlineStr"/>
      <c r="P216" s="12" t="inlineStr"/>
      <c r="Q216" s="16">
        <f>IF(O216="","ADD LINKEDIN","ok")</f>
        <v/>
      </c>
      <c r="R216" s="12" t="inlineStr">
        <is>
          <t>https://www.unionparkbyhillwood.com/</t>
        </is>
      </c>
      <c r="S216" s="15" t="inlineStr">
        <is>
          <t>Sells lots to production builders including Bloomfield, Highland, Tri Pointe and Coventry.</t>
        </is>
      </c>
      <c r="T216" s="12" t="inlineStr"/>
      <c r="U216" s="15" t="inlineStr">
        <is>
          <t>Named on Hillwood Communities' own leadership page as President.</t>
        </is>
      </c>
      <c r="V216" s="12" t="inlineStr">
        <is>
          <t>https://www.hillwoodcommunities.com/leadership/</t>
        </is>
      </c>
      <c r="W216" s="12" t="inlineStr">
        <is>
          <t>https://www.linkedin.com/company/hillwoodcommunities/</t>
        </is>
      </c>
      <c r="X216" s="12" t="inlineStr"/>
      <c r="Y216" s="12" t="inlineStr"/>
      <c r="Z216" s="12" t="inlineStr">
        <is>
          <t>(972) 573-8781</t>
        </is>
      </c>
      <c r="AA216" s="12" t="inlineStr">
        <is>
          <t>Community office, Little Elm</t>
        </is>
      </c>
      <c r="AB216" s="12" t="inlineStr">
        <is>
          <t>https://www.unionparkbyhillwood.com/</t>
        </is>
      </c>
      <c r="AC216" s="12" t="inlineStr"/>
      <c r="AD216" s="12" t="inlineStr"/>
    </row>
    <row r="217">
      <c r="A217" s="6" t="inlineStr">
        <is>
          <t>Elaine Eatman</t>
        </is>
      </c>
      <c r="B217" s="6" t="inlineStr">
        <is>
          <t>Union Park by Hillwood (Little Elm)</t>
        </is>
      </c>
      <c r="C217" s="6" t="inlineStr">
        <is>
          <t>Senior Vice President, DFW Project Manager for Ramble and Union Park</t>
        </is>
      </c>
      <c r="D217" s="7" t="inlineStr">
        <is>
          <t>Land owner, not the buyer</t>
        </is>
      </c>
      <c r="E217" s="8" t="n">
        <v>1</v>
      </c>
      <c r="F217" s="6" t="inlineStr">
        <is>
          <t>Sells lots</t>
        </is>
      </c>
      <c r="G217" s="6" t="inlineStr">
        <is>
          <t>Little Elm, on US 380</t>
        </is>
      </c>
      <c r="H217" s="6" t="inlineStr">
        <is>
          <t>About 3,400 homes on 1,100 acres, Little Elm</t>
        </is>
      </c>
      <c r="I217" s="8" t="inlineStr">
        <is>
          <t>Yes</t>
        </is>
      </c>
      <c r="J217" s="9" t="inlineStr">
        <is>
          <t>About 3,400 planned homes on one 1,100-acre site, with eight production builders named in community materials.</t>
        </is>
      </c>
      <c r="K217" s="8" t="inlineStr">
        <is>
          <t>No</t>
        </is>
      </c>
      <c r="L217" s="9" t="inlineStr">
        <is>
          <t>Hillwood sells lots. The builders buy the wall.</t>
        </is>
      </c>
      <c r="M217" s="8" t="inlineStr">
        <is>
          <t>No</t>
        </is>
      </c>
      <c r="N217" s="9" t="inlineStr">
        <is>
          <t>Nothing on record about construction method.</t>
        </is>
      </c>
      <c r="O217" s="6" t="inlineStr">
        <is>
          <t>https://www.linkedin.com/in/elaine-eatman-54596a10</t>
        </is>
      </c>
      <c r="P217" s="6" t="inlineStr"/>
      <c r="Q217" s="11">
        <f>IF(O217="","ADD LINKEDIN","ok")</f>
        <v/>
      </c>
      <c r="R217" s="6" t="inlineStr">
        <is>
          <t>https://www.unionparkbyhillwood.com/</t>
        </is>
      </c>
      <c r="S217" s="9" t="inlineStr">
        <is>
          <t>Sells lots to production builders including Bloomfield, Highland, Tri Pointe and Coventry.</t>
        </is>
      </c>
      <c r="T217" s="6" t="inlineStr">
        <is>
          <t>YES</t>
        </is>
      </c>
      <c r="U217" s="9" t="inlineStr">
        <is>
          <t>Indexed title reads Elaine Eatman - Senior Vice President at Hillwood. Named on Hillwood Communities' own leadership page as SVP and DFW project manager for Ramble and Union Park.</t>
        </is>
      </c>
      <c r="V217" s="6" t="inlineStr">
        <is>
          <t>https://www.hillwoodcommunities.com/leadership/</t>
        </is>
      </c>
      <c r="W217" s="6" t="inlineStr">
        <is>
          <t>https://www.linkedin.com/company/hillwoodcommunities/</t>
        </is>
      </c>
      <c r="X217" s="6" t="inlineStr"/>
      <c r="Y217" s="6" t="inlineStr"/>
      <c r="Z217" s="6" t="inlineStr">
        <is>
          <t>(972) 573-8781</t>
        </is>
      </c>
      <c r="AA217" s="6" t="inlineStr">
        <is>
          <t>Community office, Little Elm</t>
        </is>
      </c>
      <c r="AB217" s="6" t="inlineStr">
        <is>
          <t>https://www.unionparkbyhillwood.com/</t>
        </is>
      </c>
      <c r="AC217" s="6" t="inlineStr"/>
      <c r="AD217" s="6" t="inlineStr"/>
    </row>
    <row r="218">
      <c r="A218" s="12" t="inlineStr">
        <is>
          <t>Tony Ruggeri</t>
        </is>
      </c>
      <c r="B218" s="12" t="inlineStr">
        <is>
          <t>Walsh (Republic Property)</t>
        </is>
      </c>
      <c r="C218" s="12" t="inlineStr">
        <is>
          <t>Co-CEO and Partner, Republic Property Group</t>
        </is>
      </c>
      <c r="D218" s="13" t="inlineStr">
        <is>
          <t>Land owner, not the buyer</t>
        </is>
      </c>
      <c r="E218" s="14" t="n">
        <v>1</v>
      </c>
      <c r="F218" s="12" t="inlineStr">
        <is>
          <t>Sells lots</t>
        </is>
      </c>
      <c r="G218" s="12" t="inlineStr">
        <is>
          <t>West Fort Worth</t>
        </is>
      </c>
      <c r="H218" s="12" t="inlineStr">
        <is>
          <t>7,200 acres, about 15,000 single-family lots planned</t>
        </is>
      </c>
      <c r="I218" s="14" t="inlineStr">
        <is>
          <t>Yes</t>
        </is>
      </c>
      <c r="J218" s="15" t="inlineStr">
        <is>
          <t>A Fort Worth masterplan planned for about 15,000 production lots, with buildout around 2050.</t>
        </is>
      </c>
      <c r="K218" s="14" t="inlineStr">
        <is>
          <t>No</t>
        </is>
      </c>
      <c r="L218" s="15" t="inlineStr">
        <is>
          <t>Republic develops and sells lots. The builders buy the wall.</t>
        </is>
      </c>
      <c r="M218" s="14" t="inlineStr">
        <is>
          <t>No</t>
        </is>
      </c>
      <c r="N218" s="15" t="inlineStr">
        <is>
          <t>Nothing on record about construction method.</t>
        </is>
      </c>
      <c r="O218" s="6" t="inlineStr">
        <is>
          <t>https://www.linkedin.com/in/tony-ruggeri-8ba6308/</t>
        </is>
      </c>
      <c r="P218" s="12" t="inlineStr"/>
      <c r="Q218" s="16">
        <f>IF(O218="","ADD LINKEDIN","ok")</f>
        <v/>
      </c>
      <c r="R218" s="12" t="inlineStr">
        <is>
          <t>https://www.walshtexas.com/</t>
        </is>
      </c>
      <c r="S218" s="15" t="inlineStr">
        <is>
          <t>Republic Property Group develops and sells the lots. The builders on its roster buy the wall.</t>
        </is>
      </c>
      <c r="T218" s="12" t="inlineStr"/>
      <c r="U218" s="15" t="inlineStr">
        <is>
          <t>Indexed title reads Tony Ruggeri - Republic Property Group. Named on Republic Property Group's team page as Co-CEO.</t>
        </is>
      </c>
      <c r="V218" s="12" t="inlineStr">
        <is>
          <t>https://republicpropertygroup.com/team/</t>
        </is>
      </c>
      <c r="W218" s="12" t="inlineStr">
        <is>
          <t>https://www.linkedin.com/company/republic-property-group/</t>
        </is>
      </c>
      <c r="X218" s="12" t="inlineStr"/>
      <c r="Y218" s="12" t="inlineStr"/>
      <c r="Z218" s="12" t="inlineStr">
        <is>
          <t>(214) 292-3410</t>
        </is>
      </c>
      <c r="AA218" s="12" t="inlineStr">
        <is>
          <t>Republic Property Group corporate, the developer</t>
        </is>
      </c>
      <c r="AB218" s="12" t="inlineStr">
        <is>
          <t>https://republicpropertygroup.com/contact/</t>
        </is>
      </c>
      <c r="AC218" s="12" t="inlineStr"/>
      <c r="AD218" s="12" t="inlineStr"/>
    </row>
    <row r="219">
      <c r="A219" s="6" t="inlineStr">
        <is>
          <t>Jake Wagner</t>
        </is>
      </c>
      <c r="B219" s="6" t="inlineStr">
        <is>
          <t>Walsh (Republic Property)</t>
        </is>
      </c>
      <c r="C219" s="6" t="inlineStr">
        <is>
          <t>Co-CEO and Partner, Republic Property Group</t>
        </is>
      </c>
      <c r="D219" s="7" t="inlineStr">
        <is>
          <t>Land owner, not the buyer</t>
        </is>
      </c>
      <c r="E219" s="8" t="n">
        <v>1</v>
      </c>
      <c r="F219" s="6" t="inlineStr">
        <is>
          <t>Sells lots</t>
        </is>
      </c>
      <c r="G219" s="6" t="inlineStr">
        <is>
          <t>West Fort Worth</t>
        </is>
      </c>
      <c r="H219" s="6" t="inlineStr">
        <is>
          <t>7,200 acres, about 15,000 single-family lots planned</t>
        </is>
      </c>
      <c r="I219" s="8" t="inlineStr">
        <is>
          <t>Yes</t>
        </is>
      </c>
      <c r="J219" s="9" t="inlineStr">
        <is>
          <t>A Fort Worth masterplan planned for about 15,000 production lots, with buildout around 2050.</t>
        </is>
      </c>
      <c r="K219" s="8" t="inlineStr">
        <is>
          <t>No</t>
        </is>
      </c>
      <c r="L219" s="9" t="inlineStr">
        <is>
          <t>Republic develops and sells lots. The builders buy the wall.</t>
        </is>
      </c>
      <c r="M219" s="8" t="inlineStr">
        <is>
          <t>No</t>
        </is>
      </c>
      <c r="N219" s="9" t="inlineStr">
        <is>
          <t>Nothing on record about construction method.</t>
        </is>
      </c>
      <c r="O219" s="10" t="inlineStr"/>
      <c r="P219" s="6" t="inlineStr"/>
      <c r="Q219" s="11">
        <f>IF(O219="","ADD LINKEDIN","ok")</f>
        <v/>
      </c>
      <c r="R219" s="6" t="inlineStr">
        <is>
          <t>https://www.walshtexas.com/</t>
        </is>
      </c>
      <c r="S219" s="9" t="inlineStr">
        <is>
          <t>Republic Property Group develops and sells the lots. The builders on its roster buy the wall.</t>
        </is>
      </c>
      <c r="T219" s="6" t="inlineStr"/>
      <c r="U219" s="9" t="inlineStr">
        <is>
          <t>Named on Republic Property Group's team page as Co-CEO.</t>
        </is>
      </c>
      <c r="V219" s="6" t="inlineStr">
        <is>
          <t>https://republicpropertygroup.com/team/</t>
        </is>
      </c>
      <c r="W219" s="6" t="inlineStr">
        <is>
          <t>https://www.linkedin.com/company/republic-property-group/</t>
        </is>
      </c>
      <c r="X219" s="6" t="inlineStr"/>
      <c r="Y219" s="6" t="inlineStr"/>
      <c r="Z219" s="6" t="inlineStr">
        <is>
          <t>(214) 292-3410</t>
        </is>
      </c>
      <c r="AA219" s="6" t="inlineStr">
        <is>
          <t>Republic Property Group corporate, the developer</t>
        </is>
      </c>
      <c r="AB219" s="6" t="inlineStr">
        <is>
          <t>https://republicpropertygroup.com/contact/</t>
        </is>
      </c>
      <c r="AC219" s="6" t="inlineStr"/>
      <c r="AD219" s="6" t="inlineStr"/>
    </row>
    <row r="220">
      <c r="A220" s="12" t="inlineStr">
        <is>
          <t>Craig Martin</t>
        </is>
      </c>
      <c r="B220" s="12" t="inlineStr">
        <is>
          <t>Windsong Ranch (Prosper, Tellus Group)</t>
        </is>
      </c>
      <c r="C220" s="12" t="inlineStr">
        <is>
          <t>Co-founder, Tellus Group</t>
        </is>
      </c>
      <c r="D220" s="13" t="inlineStr">
        <is>
          <t>Land owner, not the buyer</t>
        </is>
      </c>
      <c r="E220" s="14" t="n">
        <v>1</v>
      </c>
      <c r="F220" s="12" t="inlineStr">
        <is>
          <t>Sells lots</t>
        </is>
      </c>
      <c r="G220" s="12" t="inlineStr">
        <is>
          <t>Prosper</t>
        </is>
      </c>
      <c r="H220" s="12" t="inlineStr">
        <is>
          <t>Prosper masterplan, nine builders named on its own article</t>
        </is>
      </c>
      <c r="I220" s="14" t="inlineStr">
        <is>
          <t>Yes</t>
        </is>
      </c>
      <c r="J220" s="15" t="inlineStr">
        <is>
          <t>A Prosper masterplan with nine builders on its roster and phases still opening.</t>
        </is>
      </c>
      <c r="K220" s="14" t="inlineStr">
        <is>
          <t>No</t>
        </is>
      </c>
      <c r="L220" s="15" t="inlineStr">
        <is>
          <t>It sells lots. The builders buy the wall.</t>
        </is>
      </c>
      <c r="M220" s="14" t="inlineStr">
        <is>
          <t>No</t>
        </is>
      </c>
      <c r="N220" s="15" t="inlineStr">
        <is>
          <t>Nothing on record about construction method.</t>
        </is>
      </c>
      <c r="O220" s="10" t="inlineStr"/>
      <c r="P220" s="12" t="inlineStr"/>
      <c r="Q220" s="16">
        <f>IF(O220="","ADD LINKEDIN","ok")</f>
        <v/>
      </c>
      <c r="R220" s="12" t="inlineStr">
        <is>
          <t>https://windsongranchliving.com/</t>
        </is>
      </c>
      <c r="S220" s="15" t="inlineStr">
        <is>
          <t>Sells lots. Its roster mixes production builders, Shaddock Caldwell custom homes and Grenadier villas and townhomes.</t>
        </is>
      </c>
      <c r="T220" s="12" t="inlineStr"/>
      <c r="U220" s="15" t="inlineStr">
        <is>
          <t>Named on a 2016 Windsong Ranch page as the community's developer and founding partner, then with Terra Verde Group.</t>
        </is>
      </c>
      <c r="V220" s="12" t="inlineStr">
        <is>
          <t>https://windsongranchliving.com/craig-martin-dallas-500/</t>
        </is>
      </c>
      <c r="W220" s="12" t="inlineStr">
        <is>
          <t>https://www.linkedin.com/company/tellusgroupllc/</t>
        </is>
      </c>
      <c r="X220" s="12" t="inlineStr">
        <is>
          <t>https://windsongranchliving.com/craig-martin-dallas-500/</t>
        </is>
      </c>
      <c r="Y220" s="12" t="inlineStr"/>
      <c r="Z220" s="12" t="inlineStr">
        <is>
          <t>(972) 347-9270</t>
        </is>
      </c>
      <c r="AA220" s="12" t="inlineStr">
        <is>
          <t>Welcome center, Prosper</t>
        </is>
      </c>
      <c r="AB220" s="12" t="inlineStr">
        <is>
          <t>https://windsongranchliving.com/</t>
        </is>
      </c>
      <c r="AC220" s="12" t="inlineStr"/>
      <c r="AD220" s="12" t="inlineStr"/>
    </row>
    <row r="221">
      <c r="A221" s="6" t="inlineStr">
        <is>
          <t>David Grove</t>
        </is>
      </c>
      <c r="B221" s="6" t="inlineStr">
        <is>
          <t>Lennar Corporation</t>
        </is>
      </c>
      <c r="C221" s="6" t="inlineStr">
        <is>
          <t>Executive Vice President, Homebuilding</t>
        </is>
      </c>
      <c r="D221" s="7" t="inlineStr">
        <is>
          <t>Lennar</t>
        </is>
      </c>
      <c r="E221" s="8" t="n">
        <v>2</v>
      </c>
      <c r="F221" s="6" t="inlineStr">
        <is>
          <t>Buys walls</t>
        </is>
      </c>
      <c r="G221" s="6" t="inlineStr">
        <is>
          <t>Dallas-Fort Worth, with communities across the metro</t>
        </is>
      </c>
      <c r="H221" s="6" t="inlineStr">
        <is>
          <t>5,513 DFW closings in 2024, 12.6% share</t>
        </is>
      </c>
      <c r="I221" s="8" t="inlineStr">
        <is>
          <t>Yes</t>
        </is>
      </c>
      <c r="J221" s="9" t="inlineStr">
        <is>
          <t>One Everything's Included plan library sold across dozens of DFW communities on its Dallas/Ft. Worth market pages.</t>
        </is>
      </c>
      <c r="K221" s="8" t="inlineStr">
        <is>
          <t>No</t>
        </is>
      </c>
      <c r="L221" s="9" t="inlineStr">
        <is>
          <t>5,513 DFW closings in 2024 on BUILDER's Local Leaders table, above 1,500. The volume is above the band one or two printers cover, and it is bought centrally.</t>
        </is>
      </c>
      <c r="M221" s="8" t="inlineStr">
        <is>
          <t>Yes</t>
        </is>
      </c>
      <c r="N221" s="9" t="inlineStr">
        <is>
          <t>LEN X invested in ICON in August 2021, and Lennar built the 100-home Wolf Ranch community with ICON in Georgetown.</t>
        </is>
      </c>
      <c r="O221" s="6" t="inlineStr">
        <is>
          <t>https://www.linkedin.com/in/david-grove-a8880511/</t>
        </is>
      </c>
      <c r="P221" s="6" t="inlineStr"/>
      <c r="Q221" s="11">
        <f>IF(O221="","ADD LINKEDIN","ok")</f>
        <v/>
      </c>
      <c r="R221" s="6" t="inlineStr">
        <is>
          <t>https://www.lennar.com/new-homes/texas/dallas-ft-worth</t>
        </is>
      </c>
      <c r="S221" s="9" t="inlineStr">
        <is>
          <t>A national Everything's Included plan set, bought at company level. The volume is above the band one or two printers cover.</t>
        </is>
      </c>
      <c r="T221" s="6" t="inlineStr"/>
      <c r="U221" s="9" t="inlineStr">
        <is>
          <t>Indexed title reads David Grove - Division President - Lennar Homes. Named in a Lennar newsroom release of June 5, 2026 as Executive Vice President, Homebuilding, and on his company bio as former Dallas-Fort Worth Division President.</t>
        </is>
      </c>
      <c r="V221" s="6" t="inlineStr">
        <is>
          <t>https://newsroom.lennar.com/2026-06-05-Lennar-Names-Jim-Parker-Chief-Operating-Officer-and-David-Grove-EVP,-Homebuilding</t>
        </is>
      </c>
      <c r="W221" s="6" t="inlineStr">
        <is>
          <t>https://www.linkedin.com/company/lennar/</t>
        </is>
      </c>
      <c r="X221" s="6" t="inlineStr">
        <is>
          <t>https://www.lennar.com/about/leadership/david-grove</t>
        </is>
      </c>
      <c r="Y221" s="6" t="inlineStr">
        <is>
          <t>2025-07-24 Dallas Morning News. The 10 biggest homebuilders in D-FW  https://www.dallasnews.com/business/real-estate/2025/07/24/list-who-are-the-10-biggest-homebuilders-in-d-fw/</t>
        </is>
      </c>
      <c r="Z221" s="6" t="inlineStr">
        <is>
          <t>(866) 314-4477</t>
        </is>
      </c>
      <c r="AA221" s="6" t="inlineStr">
        <is>
          <t>Sales consultant line, Dallas/Ft. Worth</t>
        </is>
      </c>
      <c r="AB221" s="6" t="inlineStr">
        <is>
          <t>https://www.lennar.com/contact?divisionNumber=DFWLEN&amp;market=DAL</t>
        </is>
      </c>
      <c r="AC221" s="6" t="inlineStr"/>
      <c r="AD221" s="6" t="inlineStr"/>
    </row>
    <row r="223">
      <c r="A223" s="17" t="inlineStr">
        <is>
          <t>NOTE. A filled LinkedIn cell means the profile was opened or the search result read and the headline named the firm; the verification column records what was read. Where that test failed the cell is left empty rather than guessed, because a fabricated slug passes visual inspection and then fails in front of the person it names. The Find column searches for the empty ones in your own session. Each of the three counts reads Yes, Partly or No, with the reason in the column beside it. Yes and Partly both count as holding a count. A No does not. Holds counts how many of the three are Yes or Partly. Rolodex, Dallas-Fort Worth, 2026-09-24.</t>
        </is>
      </c>
    </row>
  </sheetData>
  <autoFilter ref="A6:AD2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8" customWidth="1" min="1" max="1"/>
    <col width="16"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s>
  <sheetData>
    <row r="1">
      <c r="A1" s="18" t="inlineStr">
        <is>
          <t>Single-family units authorised by building permit, Dallas-Fort Worth-Arlington, TX</t>
        </is>
      </c>
    </row>
    <row r="2">
      <c r="A2" s="17" t="inlineStr">
        <is>
          <t>Source: Census Building Permits Survey, annual county files. An authorisation is not a start, a completion or a closing. Census counts townhouses and row houses as single family. The counties sum to the metro. The jurisdictions are the largest 50 and do not sum to the counties.</t>
        </is>
      </c>
    </row>
    <row r="4">
      <c r="A4" s="19" t="inlineStr">
        <is>
          <t>County</t>
        </is>
      </c>
      <c r="B4" s="19" t="n">
        <v>2010</v>
      </c>
      <c r="C4" s="19" t="n">
        <v>2011</v>
      </c>
      <c r="D4" s="19" t="n">
        <v>2012</v>
      </c>
      <c r="E4" s="19" t="n">
        <v>2013</v>
      </c>
      <c r="F4" s="19" t="n">
        <v>2014</v>
      </c>
      <c r="G4" s="19" t="n">
        <v>2015</v>
      </c>
      <c r="H4" s="19" t="n">
        <v>2016</v>
      </c>
      <c r="I4" s="19" t="n">
        <v>2017</v>
      </c>
      <c r="J4" s="19" t="n">
        <v>2018</v>
      </c>
      <c r="K4" s="19" t="n">
        <v>2019</v>
      </c>
      <c r="L4" s="19" t="n">
        <v>2020</v>
      </c>
      <c r="M4" s="19" t="n">
        <v>2021</v>
      </c>
      <c r="N4" s="19" t="n">
        <v>2022</v>
      </c>
      <c r="O4" s="19" t="n">
        <v>2023</v>
      </c>
      <c r="P4" s="19" t="n">
        <v>2024</v>
      </c>
      <c r="Q4" s="19" t="n">
        <v>2025</v>
      </c>
    </row>
    <row r="5">
      <c r="A5" s="20" t="inlineStr">
        <is>
          <t>Collin</t>
        </is>
      </c>
      <c r="B5" s="20" t="n">
        <v>4171</v>
      </c>
      <c r="C5" s="20" t="n">
        <v>4396</v>
      </c>
      <c r="D5" s="20" t="n">
        <v>5740</v>
      </c>
      <c r="E5" s="20" t="n">
        <v>6446</v>
      </c>
      <c r="F5" s="20" t="n">
        <v>6720</v>
      </c>
      <c r="G5" s="20" t="n">
        <v>7878</v>
      </c>
      <c r="H5" s="20" t="n">
        <v>8197</v>
      </c>
      <c r="I5" s="20" t="n">
        <v>9497</v>
      </c>
      <c r="J5" s="20" t="n">
        <v>10424</v>
      </c>
      <c r="K5" s="20" t="n">
        <v>9259</v>
      </c>
      <c r="L5" s="20" t="n">
        <v>12586</v>
      </c>
      <c r="M5" s="20" t="n">
        <v>13496</v>
      </c>
      <c r="N5" s="20" t="n">
        <v>10415</v>
      </c>
      <c r="O5" s="20" t="n">
        <v>13073</v>
      </c>
      <c r="P5" s="20" t="n">
        <v>14425</v>
      </c>
      <c r="Q5" s="20" t="n">
        <v>11136</v>
      </c>
    </row>
    <row r="6">
      <c r="A6" s="20" t="inlineStr">
        <is>
          <t>Tarrant</t>
        </is>
      </c>
      <c r="B6" s="20" t="n">
        <v>4203</v>
      </c>
      <c r="C6" s="20" t="n">
        <v>3837</v>
      </c>
      <c r="D6" s="20" t="n">
        <v>4640</v>
      </c>
      <c r="E6" s="20" t="n">
        <v>5476</v>
      </c>
      <c r="F6" s="20" t="n">
        <v>5280</v>
      </c>
      <c r="G6" s="20" t="n">
        <v>5850</v>
      </c>
      <c r="H6" s="20" t="n">
        <v>5831</v>
      </c>
      <c r="I6" s="20" t="n">
        <v>7630</v>
      </c>
      <c r="J6" s="20" t="n">
        <v>8688</v>
      </c>
      <c r="K6" s="20" t="n">
        <v>8432</v>
      </c>
      <c r="L6" s="20" t="n">
        <v>10266</v>
      </c>
      <c r="M6" s="20" t="n">
        <v>11220</v>
      </c>
      <c r="N6" s="20" t="n">
        <v>10605</v>
      </c>
      <c r="O6" s="20" t="n">
        <v>9527</v>
      </c>
      <c r="P6" s="20" t="n">
        <v>9380</v>
      </c>
      <c r="Q6" s="20" t="n">
        <v>8658</v>
      </c>
    </row>
    <row r="7">
      <c r="A7" s="20" t="inlineStr">
        <is>
          <t>Denton</t>
        </is>
      </c>
      <c r="B7" s="20" t="n">
        <v>1495</v>
      </c>
      <c r="C7" s="20" t="n">
        <v>1414</v>
      </c>
      <c r="D7" s="20" t="n">
        <v>1839</v>
      </c>
      <c r="E7" s="20" t="n">
        <v>2692</v>
      </c>
      <c r="F7" s="20" t="n">
        <v>2896</v>
      </c>
      <c r="G7" s="20" t="n">
        <v>6594</v>
      </c>
      <c r="H7" s="20" t="n">
        <v>6212</v>
      </c>
      <c r="I7" s="20" t="n">
        <v>6665</v>
      </c>
      <c r="J7" s="20" t="n">
        <v>7173</v>
      </c>
      <c r="K7" s="20" t="n">
        <v>6477</v>
      </c>
      <c r="L7" s="20" t="n">
        <v>7222</v>
      </c>
      <c r="M7" s="20" t="n">
        <v>9076</v>
      </c>
      <c r="N7" s="20" t="n">
        <v>8125</v>
      </c>
      <c r="O7" s="20" t="n">
        <v>7670</v>
      </c>
      <c r="P7" s="20" t="n">
        <v>7376</v>
      </c>
      <c r="Q7" s="20" t="n">
        <v>6357</v>
      </c>
    </row>
    <row r="8">
      <c r="A8" s="20" t="inlineStr">
        <is>
          <t>Dallas</t>
        </is>
      </c>
      <c r="B8" s="20" t="n">
        <v>2742</v>
      </c>
      <c r="C8" s="20" t="n">
        <v>2569</v>
      </c>
      <c r="D8" s="20" t="n">
        <v>3531</v>
      </c>
      <c r="E8" s="20" t="n">
        <v>3608</v>
      </c>
      <c r="F8" s="20" t="n">
        <v>3974</v>
      </c>
      <c r="G8" s="20" t="n">
        <v>4806</v>
      </c>
      <c r="H8" s="20" t="n">
        <v>5152</v>
      </c>
      <c r="I8" s="20" t="n">
        <v>4946</v>
      </c>
      <c r="J8" s="20" t="n">
        <v>4696</v>
      </c>
      <c r="K8" s="20" t="n">
        <v>5547</v>
      </c>
      <c r="L8" s="20" t="n">
        <v>5577</v>
      </c>
      <c r="M8" s="20" t="n">
        <v>7728</v>
      </c>
      <c r="N8" s="20" t="n">
        <v>5820</v>
      </c>
      <c r="O8" s="20" t="n">
        <v>5175</v>
      </c>
      <c r="P8" s="20" t="n">
        <v>5655</v>
      </c>
      <c r="Q8" s="20" t="n">
        <v>4651</v>
      </c>
    </row>
    <row r="9">
      <c r="A9" s="20" t="inlineStr">
        <is>
          <t>Ellis</t>
        </is>
      </c>
      <c r="B9" s="20" t="n">
        <v>487</v>
      </c>
      <c r="C9" s="20" t="n">
        <v>503</v>
      </c>
      <c r="D9" s="20" t="n">
        <v>643</v>
      </c>
      <c r="E9" s="20" t="n">
        <v>868</v>
      </c>
      <c r="F9" s="20" t="n">
        <v>1096</v>
      </c>
      <c r="G9" s="20" t="n">
        <v>1327</v>
      </c>
      <c r="H9" s="20" t="n">
        <v>1446</v>
      </c>
      <c r="I9" s="20" t="n">
        <v>1959</v>
      </c>
      <c r="J9" s="20" t="n">
        <v>1952</v>
      </c>
      <c r="K9" s="20" t="n">
        <v>1913</v>
      </c>
      <c r="L9" s="20" t="n">
        <v>2548</v>
      </c>
      <c r="M9" s="20" t="n">
        <v>2871</v>
      </c>
      <c r="N9" s="20" t="n">
        <v>2330</v>
      </c>
      <c r="O9" s="20" t="n">
        <v>2861</v>
      </c>
      <c r="P9" s="20" t="n">
        <v>2854</v>
      </c>
      <c r="Q9" s="20" t="n">
        <v>3230</v>
      </c>
    </row>
    <row r="10">
      <c r="A10" s="20" t="inlineStr">
        <is>
          <t>Johnson</t>
        </is>
      </c>
      <c r="B10" s="20" t="n">
        <v>436</v>
      </c>
      <c r="C10" s="20" t="n">
        <v>415</v>
      </c>
      <c r="D10" s="20" t="n">
        <v>558</v>
      </c>
      <c r="E10" s="20" t="n">
        <v>691</v>
      </c>
      <c r="F10" s="20" t="n">
        <v>774</v>
      </c>
      <c r="G10" s="20" t="n">
        <v>558</v>
      </c>
      <c r="H10" s="20" t="n">
        <v>516</v>
      </c>
      <c r="I10" s="20" t="n">
        <v>604</v>
      </c>
      <c r="J10" s="20" t="n">
        <v>683</v>
      </c>
      <c r="K10" s="20" t="n">
        <v>712</v>
      </c>
      <c r="L10" s="20" t="n">
        <v>1365</v>
      </c>
      <c r="M10" s="20" t="n">
        <v>1358</v>
      </c>
      <c r="N10" s="20" t="n">
        <v>1292</v>
      </c>
      <c r="O10" s="20" t="n">
        <v>1842</v>
      </c>
      <c r="P10" s="20" t="n">
        <v>1971</v>
      </c>
      <c r="Q10" s="20" t="n">
        <v>1952</v>
      </c>
    </row>
    <row r="11">
      <c r="A11" s="20" t="inlineStr">
        <is>
          <t>Rockwall</t>
        </is>
      </c>
      <c r="B11" s="20" t="n">
        <v>489</v>
      </c>
      <c r="C11" s="20" t="n">
        <v>411</v>
      </c>
      <c r="D11" s="20" t="n">
        <v>675</v>
      </c>
      <c r="E11" s="20" t="n">
        <v>741</v>
      </c>
      <c r="F11" s="20" t="n">
        <v>965</v>
      </c>
      <c r="G11" s="20" t="n">
        <v>1046</v>
      </c>
      <c r="H11" s="20" t="n">
        <v>1116</v>
      </c>
      <c r="I11" s="20" t="n">
        <v>1468</v>
      </c>
      <c r="J11" s="20" t="n">
        <v>1517</v>
      </c>
      <c r="K11" s="20" t="n">
        <v>1283</v>
      </c>
      <c r="L11" s="20" t="n">
        <v>2306</v>
      </c>
      <c r="M11" s="20" t="n">
        <v>2830</v>
      </c>
      <c r="N11" s="20" t="n">
        <v>2497</v>
      </c>
      <c r="O11" s="20" t="n">
        <v>1602</v>
      </c>
      <c r="P11" s="20" t="n">
        <v>1810</v>
      </c>
      <c r="Q11" s="20" t="n">
        <v>1587</v>
      </c>
    </row>
    <row r="12">
      <c r="A12" s="20" t="inlineStr">
        <is>
          <t>Kaufman</t>
        </is>
      </c>
      <c r="B12" s="20" t="n">
        <v>187</v>
      </c>
      <c r="C12" s="20" t="n">
        <v>152</v>
      </c>
      <c r="D12" s="20" t="n">
        <v>216</v>
      </c>
      <c r="E12" s="20" t="n">
        <v>301</v>
      </c>
      <c r="F12" s="20" t="n">
        <v>219</v>
      </c>
      <c r="G12" s="20" t="n">
        <v>265</v>
      </c>
      <c r="H12" s="20" t="n">
        <v>446</v>
      </c>
      <c r="I12" s="20" t="n">
        <v>903</v>
      </c>
      <c r="J12" s="20" t="n">
        <v>772</v>
      </c>
      <c r="K12" s="20" t="n">
        <v>542</v>
      </c>
      <c r="L12" s="20" t="n">
        <v>860</v>
      </c>
      <c r="M12" s="20" t="n">
        <v>1563</v>
      </c>
      <c r="N12" s="20" t="n">
        <v>957</v>
      </c>
      <c r="O12" s="20" t="n">
        <v>1104</v>
      </c>
      <c r="P12" s="20" t="n">
        <v>1557</v>
      </c>
      <c r="Q12" s="20" t="n">
        <v>1057</v>
      </c>
    </row>
    <row r="13">
      <c r="A13" s="20" t="inlineStr">
        <is>
          <t>Hunt</t>
        </is>
      </c>
      <c r="B13" s="20" t="n">
        <v>37</v>
      </c>
      <c r="C13" s="20" t="n">
        <v>35</v>
      </c>
      <c r="D13" s="20" t="n">
        <v>26</v>
      </c>
      <c r="E13" s="20" t="n">
        <v>61</v>
      </c>
      <c r="F13" s="20" t="n">
        <v>63</v>
      </c>
      <c r="G13" s="20" t="n">
        <v>102</v>
      </c>
      <c r="H13" s="20" t="n">
        <v>166</v>
      </c>
      <c r="I13" s="20" t="n">
        <v>190</v>
      </c>
      <c r="J13" s="20" t="n">
        <v>173</v>
      </c>
      <c r="K13" s="20" t="n">
        <v>290</v>
      </c>
      <c r="L13" s="20" t="n">
        <v>670</v>
      </c>
      <c r="M13" s="20" t="n">
        <v>1011</v>
      </c>
      <c r="N13" s="20" t="n">
        <v>696</v>
      </c>
      <c r="O13" s="20" t="n">
        <v>860</v>
      </c>
      <c r="P13" s="20" t="n">
        <v>756</v>
      </c>
      <c r="Q13" s="20" t="n">
        <v>456</v>
      </c>
    </row>
    <row r="14">
      <c r="A14" s="20" t="inlineStr">
        <is>
          <t>Wise</t>
        </is>
      </c>
      <c r="B14" s="20" t="n">
        <v>26</v>
      </c>
      <c r="C14" s="20" t="n">
        <v>23</v>
      </c>
      <c r="D14" s="20" t="n">
        <v>29</v>
      </c>
      <c r="E14" s="20" t="n">
        <v>64</v>
      </c>
      <c r="F14" s="20" t="n">
        <v>46</v>
      </c>
      <c r="G14" s="20" t="n">
        <v>80</v>
      </c>
      <c r="H14" s="20" t="n">
        <v>70</v>
      </c>
      <c r="I14" s="20" t="n">
        <v>83</v>
      </c>
      <c r="J14" s="20" t="n">
        <v>76</v>
      </c>
      <c r="K14" s="20" t="n">
        <v>94</v>
      </c>
      <c r="L14" s="20" t="n">
        <v>88</v>
      </c>
      <c r="M14" s="20" t="n">
        <v>124</v>
      </c>
      <c r="N14" s="20" t="n">
        <v>198</v>
      </c>
      <c r="O14" s="20" t="n">
        <v>225</v>
      </c>
      <c r="P14" s="20" t="n">
        <v>217</v>
      </c>
      <c r="Q14" s="20" t="n">
        <v>394</v>
      </c>
    </row>
    <row r="15">
      <c r="A15" s="20" t="inlineStr">
        <is>
          <t>Parker</t>
        </is>
      </c>
      <c r="B15" s="20" t="n">
        <v>144</v>
      </c>
      <c r="C15" s="20" t="n">
        <v>282</v>
      </c>
      <c r="D15" s="20" t="n">
        <v>189</v>
      </c>
      <c r="E15" s="20" t="n">
        <v>274</v>
      </c>
      <c r="F15" s="20" t="n">
        <v>382</v>
      </c>
      <c r="G15" s="20" t="n">
        <v>383</v>
      </c>
      <c r="H15" s="20" t="n">
        <v>408</v>
      </c>
      <c r="I15" s="20" t="n">
        <v>465</v>
      </c>
      <c r="J15" s="20" t="n">
        <v>410</v>
      </c>
      <c r="K15" s="20" t="n">
        <v>390</v>
      </c>
      <c r="L15" s="20" t="n">
        <v>517</v>
      </c>
      <c r="M15" s="20" t="n">
        <v>719</v>
      </c>
      <c r="N15" s="20" t="n">
        <v>750</v>
      </c>
      <c r="O15" s="20" t="n">
        <v>427</v>
      </c>
      <c r="P15" s="20" t="n">
        <v>439</v>
      </c>
      <c r="Q15" s="20" t="n">
        <v>312</v>
      </c>
    </row>
    <row r="16">
      <c r="A16" s="21" t="inlineStr">
        <is>
          <t>Metro total</t>
        </is>
      </c>
      <c r="B16" s="21" t="n">
        <v>14417</v>
      </c>
      <c r="C16" s="21" t="n">
        <v>14037</v>
      </c>
      <c r="D16" s="21" t="n">
        <v>18086</v>
      </c>
      <c r="E16" s="21" t="n">
        <v>21222</v>
      </c>
      <c r="F16" s="21" t="n">
        <v>22415</v>
      </c>
      <c r="G16" s="21" t="n">
        <v>28889</v>
      </c>
      <c r="H16" s="21" t="n">
        <v>29560</v>
      </c>
      <c r="I16" s="21" t="n">
        <v>34410</v>
      </c>
      <c r="J16" s="21" t="n">
        <v>36564</v>
      </c>
      <c r="K16" s="21" t="n">
        <v>34939</v>
      </c>
      <c r="L16" s="21" t="n">
        <v>44005</v>
      </c>
      <c r="M16" s="21" t="n">
        <v>51996</v>
      </c>
      <c r="N16" s="21" t="n">
        <v>43685</v>
      </c>
      <c r="O16" s="21" t="n">
        <v>44366</v>
      </c>
      <c r="P16" s="21" t="n">
        <v>46440</v>
      </c>
      <c r="Q16" s="21" t="n">
        <v>39790</v>
      </c>
    </row>
    <row r="19">
      <c r="A19" s="19" t="inlineStr">
        <is>
          <t>Permit-issuing jurisdiction</t>
        </is>
      </c>
      <c r="B19" s="19" t="inlineStr">
        <is>
          <t>County</t>
        </is>
      </c>
      <c r="C19" s="19" t="n">
        <v>2010</v>
      </c>
      <c r="D19" s="19" t="n">
        <v>2011</v>
      </c>
      <c r="E19" s="19" t="n">
        <v>2012</v>
      </c>
      <c r="F19" s="19" t="n">
        <v>2013</v>
      </c>
      <c r="G19" s="19" t="n">
        <v>2014</v>
      </c>
      <c r="H19" s="19" t="n">
        <v>2015</v>
      </c>
      <c r="I19" s="19" t="n">
        <v>2016</v>
      </c>
      <c r="J19" s="19" t="n">
        <v>2017</v>
      </c>
      <c r="K19" s="19" t="n">
        <v>2018</v>
      </c>
      <c r="L19" s="19" t="n">
        <v>2019</v>
      </c>
      <c r="M19" s="19" t="n">
        <v>2020</v>
      </c>
      <c r="N19" s="19" t="n">
        <v>2021</v>
      </c>
      <c r="O19" s="19" t="n">
        <v>2022</v>
      </c>
      <c r="P19" s="19" t="n">
        <v>2023</v>
      </c>
      <c r="Q19" s="19" t="n">
        <v>2024</v>
      </c>
      <c r="R19" s="19" t="n">
        <v>2025</v>
      </c>
    </row>
    <row r="20">
      <c r="A20" s="20" t="inlineStr">
        <is>
          <t>Fort Worth</t>
        </is>
      </c>
      <c r="B20" s="22" t="inlineStr">
        <is>
          <t>Tarrant</t>
        </is>
      </c>
      <c r="C20" s="20" t="n">
        <v>2759</v>
      </c>
      <c r="D20" s="20" t="n">
        <v>2426</v>
      </c>
      <c r="E20" s="20" t="n">
        <v>2716</v>
      </c>
      <c r="F20" s="20" t="n">
        <v>3321</v>
      </c>
      <c r="G20" s="20" t="n">
        <v>3121</v>
      </c>
      <c r="H20" s="20" t="n">
        <v>3416</v>
      </c>
      <c r="I20" s="20" t="n">
        <v>3459</v>
      </c>
      <c r="J20" s="20" t="n">
        <v>5042</v>
      </c>
      <c r="K20" s="20" t="n">
        <v>5477</v>
      </c>
      <c r="L20" s="20" t="n">
        <v>5063</v>
      </c>
      <c r="M20" s="20" t="n">
        <v>7286</v>
      </c>
      <c r="N20" s="20" t="n">
        <v>7236</v>
      </c>
      <c r="O20" s="20" t="n">
        <v>7421</v>
      </c>
      <c r="P20" s="20" t="n">
        <v>6631</v>
      </c>
      <c r="Q20" s="20" t="n">
        <v>6257</v>
      </c>
      <c r="R20" s="20" t="n">
        <v>5887</v>
      </c>
    </row>
    <row r="21">
      <c r="A21" s="20" t="inlineStr">
        <is>
          <t>Celina</t>
        </is>
      </c>
      <c r="B21" s="22" t="inlineStr">
        <is>
          <t>Collin</t>
        </is>
      </c>
      <c r="C21" s="20" t="n">
        <v>56</v>
      </c>
      <c r="D21" s="20" t="n">
        <v>72</v>
      </c>
      <c r="E21" s="20" t="n">
        <v>81</v>
      </c>
      <c r="F21" s="20" t="n">
        <v>82</v>
      </c>
      <c r="G21" s="20" t="n">
        <v>200</v>
      </c>
      <c r="H21" s="20" t="n">
        <v>135</v>
      </c>
      <c r="I21" s="20" t="n">
        <v>608</v>
      </c>
      <c r="J21" s="20" t="n">
        <v>891</v>
      </c>
      <c r="K21" s="20" t="n">
        <v>1248</v>
      </c>
      <c r="L21" s="20" t="n">
        <v>1238</v>
      </c>
      <c r="M21" s="20" t="n">
        <v>2003</v>
      </c>
      <c r="N21" s="20" t="n">
        <v>2825</v>
      </c>
      <c r="O21" s="20" t="n">
        <v>1650</v>
      </c>
      <c r="P21" s="20" t="n">
        <v>2467</v>
      </c>
      <c r="Q21" s="20" t="n">
        <v>2905</v>
      </c>
      <c r="R21" s="20" t="n">
        <v>2489</v>
      </c>
    </row>
    <row r="22">
      <c r="A22" s="20" t="inlineStr">
        <is>
          <t>Dallas</t>
        </is>
      </c>
      <c r="B22" s="22" t="inlineStr">
        <is>
          <t>Dallas</t>
        </is>
      </c>
      <c r="C22" s="20" t="n">
        <v>865</v>
      </c>
      <c r="D22" s="20" t="n">
        <v>809</v>
      </c>
      <c r="E22" s="20" t="n">
        <v>936</v>
      </c>
      <c r="F22" s="20" t="n">
        <v>1075</v>
      </c>
      <c r="G22" s="20" t="n">
        <v>1181</v>
      </c>
      <c r="H22" s="20" t="n">
        <v>1455</v>
      </c>
      <c r="I22" s="20" t="n">
        <v>1640</v>
      </c>
      <c r="J22" s="20" t="n">
        <v>2100</v>
      </c>
      <c r="K22" s="20" t="n">
        <v>2009</v>
      </c>
      <c r="L22" s="20" t="n">
        <v>2093</v>
      </c>
      <c r="M22" s="20" t="n">
        <v>1475</v>
      </c>
      <c r="N22" s="20" t="n">
        <v>2245</v>
      </c>
      <c r="O22" s="20" t="n">
        <v>2349</v>
      </c>
      <c r="P22" s="20" t="n">
        <v>1995</v>
      </c>
      <c r="Q22" s="20" t="n">
        <v>1957</v>
      </c>
      <c r="R22" s="20" t="n">
        <v>2026</v>
      </c>
    </row>
    <row r="23">
      <c r="A23" s="20" t="inlineStr">
        <is>
          <t>Denton County Unincorporated Area</t>
        </is>
      </c>
      <c r="B23" s="22" t="inlineStr">
        <is>
          <t>Denton</t>
        </is>
      </c>
      <c r="C23" s="20" t="n">
        <v>1073</v>
      </c>
      <c r="D23" s="20" t="n">
        <v>1208</v>
      </c>
      <c r="E23" s="20" t="n">
        <v>1621</v>
      </c>
      <c r="F23" s="20" t="n">
        <v>1793</v>
      </c>
      <c r="G23" s="20" t="n">
        <v>2031</v>
      </c>
      <c r="H23" s="20" t="n">
        <v>2610</v>
      </c>
      <c r="I23" s="20" t="n">
        <v>2480</v>
      </c>
      <c r="J23" s="20" t="n">
        <v>2147</v>
      </c>
      <c r="K23" s="20" t="n">
        <v>2076</v>
      </c>
      <c r="L23" s="20" t="n">
        <v>1153</v>
      </c>
      <c r="M23" s="20" t="n">
        <v>1293</v>
      </c>
      <c r="N23" s="20" t="n">
        <v>2300</v>
      </c>
      <c r="O23" s="20" t="n">
        <v>1769</v>
      </c>
      <c r="P23" s="20" t="n">
        <v>2180</v>
      </c>
      <c r="Q23" s="20" t="n">
        <v>2148</v>
      </c>
      <c r="R23" s="20" t="n">
        <v>1950</v>
      </c>
    </row>
    <row r="24">
      <c r="A24" s="20" t="inlineStr">
        <is>
          <t>McKinney</t>
        </is>
      </c>
      <c r="B24" s="22" t="inlineStr">
        <is>
          <t>Collin</t>
        </is>
      </c>
      <c r="C24" s="20" t="n">
        <v>1051</v>
      </c>
      <c r="D24" s="20" t="n">
        <v>1172</v>
      </c>
      <c r="E24" s="20" t="n">
        <v>1490</v>
      </c>
      <c r="F24" s="20" t="n">
        <v>1863</v>
      </c>
      <c r="G24" s="20" t="n">
        <v>1708</v>
      </c>
      <c r="H24" s="20" t="n">
        <v>2090</v>
      </c>
      <c r="I24" s="20" t="n">
        <v>2208</v>
      </c>
      <c r="J24" s="20" t="n">
        <v>2526</v>
      </c>
      <c r="K24" s="20" t="n">
        <v>2282</v>
      </c>
      <c r="L24" s="20" t="n">
        <v>1491</v>
      </c>
      <c r="M24" s="20" t="n">
        <v>1563</v>
      </c>
      <c r="N24" s="20" t="n">
        <v>1727</v>
      </c>
      <c r="O24" s="20" t="n">
        <v>1633</v>
      </c>
      <c r="P24" s="20" t="n">
        <v>2250</v>
      </c>
      <c r="Q24" s="20" t="n">
        <v>2388</v>
      </c>
      <c r="R24" s="20" t="n">
        <v>1649</v>
      </c>
    </row>
    <row r="25">
      <c r="A25" s="20" t="inlineStr">
        <is>
          <t>Princeton</t>
        </is>
      </c>
      <c r="B25" s="22" t="inlineStr">
        <is>
          <t>Collin</t>
        </is>
      </c>
      <c r="C25" s="20" t="n">
        <v>84</v>
      </c>
      <c r="D25" s="20" t="n">
        <v>63</v>
      </c>
      <c r="E25" s="20" t="n">
        <v>106</v>
      </c>
      <c r="F25" s="20" t="n">
        <v>83</v>
      </c>
      <c r="G25" s="20" t="n">
        <v>252</v>
      </c>
      <c r="H25" s="20" t="n">
        <v>244</v>
      </c>
      <c r="I25" s="20" t="n">
        <v>230</v>
      </c>
      <c r="J25" s="20" t="n">
        <v>585</v>
      </c>
      <c r="K25" s="20" t="n">
        <v>891</v>
      </c>
      <c r="L25" s="20" t="n">
        <v>650</v>
      </c>
      <c r="M25" s="20" t="n">
        <v>823</v>
      </c>
      <c r="N25" s="20" t="n">
        <v>916</v>
      </c>
      <c r="O25" s="20" t="n">
        <v>1040</v>
      </c>
      <c r="P25" s="20" t="n">
        <v>2622</v>
      </c>
      <c r="Q25" s="20" t="n">
        <v>1948</v>
      </c>
      <c r="R25" s="20" t="n">
        <v>1598</v>
      </c>
    </row>
    <row r="26">
      <c r="A26" s="20" t="inlineStr">
        <is>
          <t>Frisco</t>
        </is>
      </c>
      <c r="B26" s="22" t="inlineStr">
        <is>
          <t>Collin</t>
        </is>
      </c>
      <c r="C26" s="20" t="n">
        <v>1284</v>
      </c>
      <c r="D26" s="20" t="n">
        <v>1309</v>
      </c>
      <c r="E26" s="20" t="n">
        <v>1578</v>
      </c>
      <c r="F26" s="20" t="n">
        <v>2220</v>
      </c>
      <c r="G26" s="20" t="n">
        <v>2165</v>
      </c>
      <c r="H26" s="20" t="n">
        <v>2280</v>
      </c>
      <c r="I26" s="20" t="n">
        <v>2204</v>
      </c>
      <c r="J26" s="20" t="n">
        <v>1935</v>
      </c>
      <c r="K26" s="20" t="n">
        <v>2205</v>
      </c>
      <c r="L26" s="20" t="n">
        <v>2081</v>
      </c>
      <c r="M26" s="20" t="n">
        <v>2444</v>
      </c>
      <c r="N26" s="20" t="n">
        <v>1879</v>
      </c>
      <c r="O26" s="20" t="n">
        <v>1327</v>
      </c>
      <c r="P26" s="20" t="n">
        <v>1036</v>
      </c>
      <c r="Q26" s="20" t="n">
        <v>1285</v>
      </c>
      <c r="R26" s="20" t="n">
        <v>1090</v>
      </c>
    </row>
    <row r="27">
      <c r="A27" s="20" t="inlineStr">
        <is>
          <t>Waxahachie</t>
        </is>
      </c>
      <c r="B27" s="22" t="inlineStr">
        <is>
          <t>Ellis</t>
        </is>
      </c>
      <c r="C27" s="20" t="n">
        <v>150</v>
      </c>
      <c r="D27" s="20" t="n">
        <v>131</v>
      </c>
      <c r="E27" s="20" t="n">
        <v>195</v>
      </c>
      <c r="F27" s="20" t="n">
        <v>225</v>
      </c>
      <c r="G27" s="20" t="n">
        <v>314</v>
      </c>
      <c r="H27" s="20" t="n">
        <v>347</v>
      </c>
      <c r="I27" s="20" t="n">
        <v>424</v>
      </c>
      <c r="J27" s="20" t="n">
        <v>546</v>
      </c>
      <c r="K27" s="20" t="n">
        <v>555</v>
      </c>
      <c r="L27" s="20" t="n">
        <v>576</v>
      </c>
      <c r="M27" s="20" t="n">
        <v>756</v>
      </c>
      <c r="N27" s="20" t="n">
        <v>834</v>
      </c>
      <c r="O27" s="20" t="n">
        <v>480</v>
      </c>
      <c r="P27" s="20" t="n">
        <v>512</v>
      </c>
      <c r="Q27" s="20" t="n">
        <v>592</v>
      </c>
      <c r="R27" s="20" t="n">
        <v>900</v>
      </c>
    </row>
    <row r="28">
      <c r="A28" s="20" t="inlineStr">
        <is>
          <t>Denton</t>
        </is>
      </c>
      <c r="B28" s="22" t="inlineStr">
        <is>
          <t>Denton</t>
        </is>
      </c>
      <c r="C28" s="20" t="n">
        <v>381</v>
      </c>
      <c r="D28" s="20" t="n">
        <v>259</v>
      </c>
      <c r="E28" s="20" t="n">
        <v>300</v>
      </c>
      <c r="F28" s="20" t="n">
        <v>548</v>
      </c>
      <c r="G28" s="20" t="n">
        <v>655</v>
      </c>
      <c r="H28" s="20" t="n">
        <v>761</v>
      </c>
      <c r="I28" s="20" t="n">
        <v>569</v>
      </c>
      <c r="J28" s="20" t="n">
        <v>871</v>
      </c>
      <c r="K28" s="20" t="n">
        <v>1005</v>
      </c>
      <c r="L28" s="20" t="n">
        <v>994</v>
      </c>
      <c r="M28" s="20" t="n">
        <v>985</v>
      </c>
      <c r="N28" s="20" t="n">
        <v>1203</v>
      </c>
      <c r="O28" s="20" t="n">
        <v>1832</v>
      </c>
      <c r="P28" s="20" t="n">
        <v>1311</v>
      </c>
      <c r="Q28" s="20" t="n">
        <v>856</v>
      </c>
      <c r="R28" s="20" t="n">
        <v>898</v>
      </c>
    </row>
    <row r="29">
      <c r="A29" s="20" t="inlineStr">
        <is>
          <t>Anna</t>
        </is>
      </c>
      <c r="B29" s="22" t="inlineStr">
        <is>
          <t>Collin</t>
        </is>
      </c>
      <c r="C29" s="20" t="n">
        <v>0</v>
      </c>
      <c r="D29" s="20" t="n">
        <v>0</v>
      </c>
      <c r="E29" s="20" t="n">
        <v>351</v>
      </c>
      <c r="F29" s="20" t="n">
        <v>305</v>
      </c>
      <c r="G29" s="20" t="n">
        <v>296</v>
      </c>
      <c r="H29" s="20" t="n">
        <v>242</v>
      </c>
      <c r="I29" s="20" t="n">
        <v>221</v>
      </c>
      <c r="J29" s="20" t="n">
        <v>501</v>
      </c>
      <c r="K29" s="20" t="n">
        <v>365</v>
      </c>
      <c r="L29" s="20" t="n">
        <v>637</v>
      </c>
      <c r="M29" s="20" t="n">
        <v>960</v>
      </c>
      <c r="N29" s="20" t="n">
        <v>1121</v>
      </c>
      <c r="O29" s="20" t="n">
        <v>907</v>
      </c>
      <c r="P29" s="20" t="n">
        <v>1089</v>
      </c>
      <c r="Q29" s="20" t="n">
        <v>1173</v>
      </c>
      <c r="R29" s="20" t="n">
        <v>864</v>
      </c>
    </row>
    <row r="30">
      <c r="A30" s="20" t="inlineStr">
        <is>
          <t>Midlothian</t>
        </is>
      </c>
      <c r="B30" s="22" t="inlineStr">
        <is>
          <t>Ellis</t>
        </is>
      </c>
      <c r="C30" s="20" t="n">
        <v>159</v>
      </c>
      <c r="D30" s="20" t="n">
        <v>167</v>
      </c>
      <c r="E30" s="20" t="n">
        <v>185</v>
      </c>
      <c r="F30" s="20" t="n">
        <v>226</v>
      </c>
      <c r="G30" s="20" t="n">
        <v>278</v>
      </c>
      <c r="H30" s="20" t="n">
        <v>414</v>
      </c>
      <c r="I30" s="20" t="n">
        <v>474</v>
      </c>
      <c r="J30" s="20" t="n">
        <v>676</v>
      </c>
      <c r="K30" s="20" t="n">
        <v>472</v>
      </c>
      <c r="L30" s="20" t="n">
        <v>474</v>
      </c>
      <c r="M30" s="20" t="n">
        <v>494</v>
      </c>
      <c r="N30" s="20" t="n">
        <v>693</v>
      </c>
      <c r="O30" s="20" t="n">
        <v>376</v>
      </c>
      <c r="P30" s="20" t="n">
        <v>860</v>
      </c>
      <c r="Q30" s="20" t="n">
        <v>852</v>
      </c>
      <c r="R30" s="20" t="n">
        <v>768</v>
      </c>
    </row>
    <row r="31">
      <c r="A31" s="20" t="inlineStr">
        <is>
          <t>Mansfield</t>
        </is>
      </c>
      <c r="B31" s="22" t="inlineStr">
        <is>
          <t>Tarrant</t>
        </is>
      </c>
      <c r="C31" s="20" t="n">
        <v>236</v>
      </c>
      <c r="D31" s="20" t="n">
        <v>226</v>
      </c>
      <c r="E31" s="20" t="n">
        <v>193</v>
      </c>
      <c r="F31" s="20" t="n">
        <v>208</v>
      </c>
      <c r="G31" s="20" t="n">
        <v>224</v>
      </c>
      <c r="H31" s="20" t="n">
        <v>320</v>
      </c>
      <c r="I31" s="20" t="n">
        <v>370</v>
      </c>
      <c r="J31" s="20" t="n">
        <v>505</v>
      </c>
      <c r="K31" s="20" t="n">
        <v>558</v>
      </c>
      <c r="L31" s="20" t="n">
        <v>466</v>
      </c>
      <c r="M31" s="20" t="n">
        <v>845</v>
      </c>
      <c r="N31" s="20" t="n">
        <v>1050</v>
      </c>
      <c r="O31" s="20" t="n">
        <v>842</v>
      </c>
      <c r="P31" s="20" t="n">
        <v>627</v>
      </c>
      <c r="Q31" s="20" t="n">
        <v>1035</v>
      </c>
      <c r="R31" s="20" t="n">
        <v>675</v>
      </c>
    </row>
    <row r="32">
      <c r="A32" s="20" t="inlineStr">
        <is>
          <t>Johnson County Unincorporated Area</t>
        </is>
      </c>
      <c r="B32" s="22" t="inlineStr">
        <is>
          <t>Johnson</t>
        </is>
      </c>
      <c r="C32" s="20" t="n">
        <v>163</v>
      </c>
      <c r="D32" s="20" t="n">
        <v>159</v>
      </c>
      <c r="E32" s="20" t="n">
        <v>194</v>
      </c>
      <c r="F32" s="20" t="n">
        <v>234</v>
      </c>
      <c r="G32" s="20" t="n">
        <v>243</v>
      </c>
      <c r="H32" s="20" t="n">
        <v>0</v>
      </c>
      <c r="I32" s="20" t="n">
        <v>0</v>
      </c>
      <c r="J32" s="20" t="n">
        <v>0</v>
      </c>
      <c r="K32" s="20" t="n">
        <v>0</v>
      </c>
      <c r="L32" s="20" t="n">
        <v>0</v>
      </c>
      <c r="M32" s="20" t="n">
        <v>0</v>
      </c>
      <c r="N32" s="20" t="n">
        <v>0</v>
      </c>
      <c r="O32" s="20" t="n">
        <v>0</v>
      </c>
      <c r="P32" s="20" t="n">
        <v>560</v>
      </c>
      <c r="Q32" s="20" t="n">
        <v>588</v>
      </c>
      <c r="R32" s="20" t="n">
        <v>633</v>
      </c>
    </row>
    <row r="33">
      <c r="A33" s="20" t="inlineStr">
        <is>
          <t>Pilot Point</t>
        </is>
      </c>
      <c r="B33" s="22" t="inlineStr">
        <is>
          <t>Denton</t>
        </is>
      </c>
      <c r="C33" s="20" t="n">
        <v>5</v>
      </c>
      <c r="D33" s="20" t="n">
        <v>5</v>
      </c>
      <c r="E33" s="20" t="n">
        <v>4</v>
      </c>
      <c r="F33" s="20" t="n">
        <v>9</v>
      </c>
      <c r="G33" s="20" t="n">
        <v>6</v>
      </c>
      <c r="H33" s="20" t="n">
        <v>11</v>
      </c>
      <c r="I33" s="20" t="n">
        <v>19</v>
      </c>
      <c r="J33" s="20" t="n">
        <v>34</v>
      </c>
      <c r="K33" s="20" t="n">
        <v>33</v>
      </c>
      <c r="L33" s="20" t="n">
        <v>41</v>
      </c>
      <c r="M33" s="20" t="n">
        <v>96</v>
      </c>
      <c r="N33" s="20" t="n">
        <v>106</v>
      </c>
      <c r="O33" s="20" t="n">
        <v>399</v>
      </c>
      <c r="P33" s="20" t="n">
        <v>341</v>
      </c>
      <c r="Q33" s="20" t="n">
        <v>520</v>
      </c>
      <c r="R33" s="20" t="n">
        <v>573</v>
      </c>
    </row>
    <row r="34">
      <c r="A34" s="20" t="inlineStr">
        <is>
          <t>Ellis County Unincorporated Area</t>
        </is>
      </c>
      <c r="B34" s="22" t="inlineStr">
        <is>
          <t>Ellis</t>
        </is>
      </c>
      <c r="C34" s="20" t="n">
        <v>120</v>
      </c>
      <c r="D34" s="20" t="n">
        <v>135</v>
      </c>
      <c r="E34" s="20" t="n">
        <v>192</v>
      </c>
      <c r="F34" s="20" t="n">
        <v>263</v>
      </c>
      <c r="G34" s="20" t="n">
        <v>255</v>
      </c>
      <c r="H34" s="20" t="n">
        <v>319</v>
      </c>
      <c r="I34" s="20" t="n">
        <v>320</v>
      </c>
      <c r="J34" s="20" t="n">
        <v>453</v>
      </c>
      <c r="K34" s="20" t="n">
        <v>407</v>
      </c>
      <c r="L34" s="20" t="n">
        <v>478</v>
      </c>
      <c r="M34" s="20" t="n">
        <v>668</v>
      </c>
      <c r="N34" s="20" t="n">
        <v>686</v>
      </c>
      <c r="O34" s="20" t="n">
        <v>599</v>
      </c>
      <c r="P34" s="20" t="n">
        <v>572</v>
      </c>
      <c r="Q34" s="20" t="n">
        <v>585</v>
      </c>
      <c r="R34" s="20" t="n">
        <v>571</v>
      </c>
    </row>
    <row r="35">
      <c r="A35" s="20" t="inlineStr">
        <is>
          <t>Lavon</t>
        </is>
      </c>
      <c r="B35" s="22" t="inlineStr">
        <is>
          <t>Collin</t>
        </is>
      </c>
      <c r="C35" s="20" t="n">
        <v>0</v>
      </c>
      <c r="D35" s="20" t="n">
        <v>0</v>
      </c>
      <c r="E35" s="20" t="n">
        <v>48</v>
      </c>
      <c r="F35" s="20" t="n">
        <v>53</v>
      </c>
      <c r="G35" s="20" t="n">
        <v>99</v>
      </c>
      <c r="H35" s="20" t="n">
        <v>79</v>
      </c>
      <c r="I35" s="20" t="n">
        <v>23</v>
      </c>
      <c r="J35" s="20" t="n">
        <v>143</v>
      </c>
      <c r="K35" s="20" t="n">
        <v>76</v>
      </c>
      <c r="L35" s="20" t="n">
        <v>90</v>
      </c>
      <c r="M35" s="20" t="n">
        <v>274</v>
      </c>
      <c r="N35" s="20" t="n">
        <v>405</v>
      </c>
      <c r="O35" s="20" t="n">
        <v>369</v>
      </c>
      <c r="P35" s="20" t="n">
        <v>326</v>
      </c>
      <c r="Q35" s="20" t="n">
        <v>1177</v>
      </c>
      <c r="R35" s="20" t="n">
        <v>571</v>
      </c>
    </row>
    <row r="36">
      <c r="A36" s="20" t="inlineStr">
        <is>
          <t>Melissa</t>
        </is>
      </c>
      <c r="B36" s="22" t="inlineStr">
        <is>
          <t>Collin</t>
        </is>
      </c>
      <c r="C36" s="20" t="n">
        <v>121</v>
      </c>
      <c r="D36" s="20" t="n">
        <v>109</v>
      </c>
      <c r="E36" s="20" t="n">
        <v>210</v>
      </c>
      <c r="F36" s="20" t="n">
        <v>174</v>
      </c>
      <c r="G36" s="20" t="n">
        <v>246</v>
      </c>
      <c r="H36" s="20" t="n">
        <v>375</v>
      </c>
      <c r="I36" s="20" t="n">
        <v>226</v>
      </c>
      <c r="J36" s="20" t="n">
        <v>337</v>
      </c>
      <c r="K36" s="20" t="n">
        <v>522</v>
      </c>
      <c r="L36" s="20" t="n">
        <v>560</v>
      </c>
      <c r="M36" s="20" t="n">
        <v>857</v>
      </c>
      <c r="N36" s="20" t="n">
        <v>784</v>
      </c>
      <c r="O36" s="20" t="n">
        <v>1194</v>
      </c>
      <c r="P36" s="20" t="n">
        <v>802</v>
      </c>
      <c r="Q36" s="20" t="n">
        <v>1263</v>
      </c>
      <c r="R36" s="20" t="n">
        <v>553</v>
      </c>
    </row>
    <row r="37">
      <c r="A37" s="20" t="inlineStr">
        <is>
          <t>Arlington</t>
        </is>
      </c>
      <c r="B37" s="22" t="inlineStr">
        <is>
          <t>Tarrant</t>
        </is>
      </c>
      <c r="C37" s="20" t="n">
        <v>286</v>
      </c>
      <c r="D37" s="20" t="n">
        <v>232</v>
      </c>
      <c r="E37" s="20" t="n">
        <v>456</v>
      </c>
      <c r="F37" s="20" t="n">
        <v>545</v>
      </c>
      <c r="G37" s="20" t="n">
        <v>470</v>
      </c>
      <c r="H37" s="20" t="n">
        <v>379</v>
      </c>
      <c r="I37" s="20" t="n">
        <v>283</v>
      </c>
      <c r="J37" s="20" t="n">
        <v>475</v>
      </c>
      <c r="K37" s="20" t="n">
        <v>624</v>
      </c>
      <c r="L37" s="20" t="n">
        <v>840</v>
      </c>
      <c r="M37" s="20" t="n">
        <v>725</v>
      </c>
      <c r="N37" s="20" t="n">
        <v>976</v>
      </c>
      <c r="O37" s="20" t="n">
        <v>737</v>
      </c>
      <c r="P37" s="20" t="n">
        <v>696</v>
      </c>
      <c r="Q37" s="20" t="n">
        <v>309</v>
      </c>
      <c r="R37" s="20" t="n">
        <v>532</v>
      </c>
    </row>
    <row r="38">
      <c r="A38" s="20" t="inlineStr">
        <is>
          <t>Rockwall</t>
        </is>
      </c>
      <c r="B38" s="22" t="inlineStr">
        <is>
          <t>Rockwall</t>
        </is>
      </c>
      <c r="C38" s="20" t="n">
        <v>200</v>
      </c>
      <c r="D38" s="20" t="n">
        <v>188</v>
      </c>
      <c r="E38" s="20" t="n">
        <v>239</v>
      </c>
      <c r="F38" s="20" t="n">
        <v>241</v>
      </c>
      <c r="G38" s="20" t="n">
        <v>266</v>
      </c>
      <c r="H38" s="20" t="n">
        <v>388</v>
      </c>
      <c r="I38" s="20" t="n">
        <v>326</v>
      </c>
      <c r="J38" s="20" t="n">
        <v>403</v>
      </c>
      <c r="K38" s="20" t="n">
        <v>319</v>
      </c>
      <c r="L38" s="20" t="n">
        <v>258</v>
      </c>
      <c r="M38" s="20" t="n">
        <v>388</v>
      </c>
      <c r="N38" s="20" t="n">
        <v>427</v>
      </c>
      <c r="O38" s="20" t="n">
        <v>261</v>
      </c>
      <c r="P38" s="20" t="n">
        <v>164</v>
      </c>
      <c r="Q38" s="20" t="n">
        <v>319</v>
      </c>
      <c r="R38" s="20" t="n">
        <v>507</v>
      </c>
    </row>
    <row r="39">
      <c r="A39" s="20" t="inlineStr">
        <is>
          <t>Royse City</t>
        </is>
      </c>
      <c r="B39" s="22" t="inlineStr">
        <is>
          <t>Rockwall</t>
        </is>
      </c>
      <c r="C39" s="20" t="n">
        <v>60</v>
      </c>
      <c r="D39" s="20" t="n">
        <v>67</v>
      </c>
      <c r="E39" s="20" t="n">
        <v>124</v>
      </c>
      <c r="F39" s="20" t="n">
        <v>144</v>
      </c>
      <c r="G39" s="20" t="n">
        <v>233</v>
      </c>
      <c r="H39" s="20" t="n">
        <v>227</v>
      </c>
      <c r="I39" s="20" t="n">
        <v>176</v>
      </c>
      <c r="J39" s="20" t="n">
        <v>192</v>
      </c>
      <c r="K39" s="20" t="n">
        <v>468</v>
      </c>
      <c r="L39" s="20" t="n">
        <v>243</v>
      </c>
      <c r="M39" s="20" t="n">
        <v>785</v>
      </c>
      <c r="N39" s="20" t="n">
        <v>1370</v>
      </c>
      <c r="O39" s="20" t="n">
        <v>1443</v>
      </c>
      <c r="P39" s="20" t="n">
        <v>703</v>
      </c>
      <c r="Q39" s="20" t="n">
        <v>693</v>
      </c>
      <c r="R39" s="20" t="n">
        <v>498</v>
      </c>
    </row>
    <row r="40">
      <c r="A40" s="20" t="inlineStr">
        <is>
          <t>Mesquite</t>
        </is>
      </c>
      <c r="B40" s="22" t="inlineStr">
        <is>
          <t>Dallas</t>
        </is>
      </c>
      <c r="C40" s="20" t="n">
        <v>42</v>
      </c>
      <c r="D40" s="20" t="n">
        <v>33</v>
      </c>
      <c r="E40" s="20" t="n">
        <v>33</v>
      </c>
      <c r="F40" s="20" t="n">
        <v>24</v>
      </c>
      <c r="G40" s="20" t="n">
        <v>11</v>
      </c>
      <c r="H40" s="20" t="n">
        <v>27</v>
      </c>
      <c r="I40" s="20" t="n">
        <v>34</v>
      </c>
      <c r="J40" s="20" t="n">
        <v>67</v>
      </c>
      <c r="K40" s="20" t="n">
        <v>70</v>
      </c>
      <c r="L40" s="20" t="n">
        <v>64</v>
      </c>
      <c r="M40" s="20" t="n">
        <v>257</v>
      </c>
      <c r="N40" s="20" t="n">
        <v>560</v>
      </c>
      <c r="O40" s="20" t="n">
        <v>510</v>
      </c>
      <c r="P40" s="20" t="n">
        <v>581</v>
      </c>
      <c r="Q40" s="20" t="n">
        <v>719</v>
      </c>
      <c r="R40" s="20" t="n">
        <v>491</v>
      </c>
    </row>
    <row r="41">
      <c r="A41" s="20" t="inlineStr">
        <is>
          <t>Providence Village Town</t>
        </is>
      </c>
      <c r="B41" s="22" t="inlineStr">
        <is>
          <t>Denton</t>
        </is>
      </c>
      <c r="C41" s="20" t="n">
        <v>0</v>
      </c>
      <c r="D41" s="20" t="n">
        <v>0</v>
      </c>
      <c r="E41" s="20" t="n">
        <v>0</v>
      </c>
      <c r="F41" s="20" t="n">
        <v>116</v>
      </c>
      <c r="G41" s="20" t="n">
        <v>114</v>
      </c>
      <c r="H41" s="20" t="n">
        <v>115</v>
      </c>
      <c r="I41" s="20" t="n">
        <v>57</v>
      </c>
      <c r="J41" s="20" t="n">
        <v>61</v>
      </c>
      <c r="K41" s="20" t="n">
        <v>16</v>
      </c>
      <c r="L41" s="20" t="n">
        <v>34</v>
      </c>
      <c r="M41" s="20" t="n">
        <v>43</v>
      </c>
      <c r="N41" s="20" t="n">
        <v>196</v>
      </c>
      <c r="O41" s="20" t="n">
        <v>249</v>
      </c>
      <c r="P41" s="20" t="n">
        <v>374</v>
      </c>
      <c r="Q41" s="20" t="n">
        <v>717</v>
      </c>
      <c r="R41" s="20" t="n">
        <v>467</v>
      </c>
    </row>
    <row r="42">
      <c r="A42" s="20" t="inlineStr">
        <is>
          <t>Josephine</t>
        </is>
      </c>
      <c r="B42" s="22" t="inlineStr">
        <is>
          <t>Collin</t>
        </is>
      </c>
      <c r="C42" s="20" t="n">
        <v>9</v>
      </c>
      <c r="D42" s="20" t="n">
        <v>25</v>
      </c>
      <c r="E42" s="20" t="n">
        <v>33</v>
      </c>
      <c r="F42" s="20" t="n">
        <v>40</v>
      </c>
      <c r="G42" s="20" t="n">
        <v>10</v>
      </c>
      <c r="H42" s="20" t="n">
        <v>74</v>
      </c>
      <c r="I42" s="20" t="n">
        <v>125</v>
      </c>
      <c r="J42" s="20" t="n">
        <v>20</v>
      </c>
      <c r="K42" s="20" t="n">
        <v>170</v>
      </c>
      <c r="L42" s="20" t="n">
        <v>167</v>
      </c>
      <c r="M42" s="20" t="n">
        <v>772</v>
      </c>
      <c r="N42" s="20" t="n">
        <v>797</v>
      </c>
      <c r="O42" s="20" t="n">
        <v>97</v>
      </c>
      <c r="P42" s="20" t="n">
        <v>551</v>
      </c>
      <c r="Q42" s="20" t="n">
        <v>483</v>
      </c>
      <c r="R42" s="20" t="n">
        <v>449</v>
      </c>
    </row>
    <row r="43">
      <c r="A43" s="20" t="inlineStr">
        <is>
          <t>Northlake Town</t>
        </is>
      </c>
      <c r="B43" s="22" t="inlineStr">
        <is>
          <t>Denton</t>
        </is>
      </c>
      <c r="C43" s="20" t="n">
        <v>1</v>
      </c>
      <c r="D43" s="20" t="n">
        <v>0</v>
      </c>
      <c r="E43" s="20" t="n">
        <v>6</v>
      </c>
      <c r="F43" s="20" t="n">
        <v>3</v>
      </c>
      <c r="G43" s="20" t="n">
        <v>3</v>
      </c>
      <c r="H43" s="20" t="n">
        <v>91</v>
      </c>
      <c r="I43" s="20" t="n">
        <v>163</v>
      </c>
      <c r="J43" s="20" t="n">
        <v>197</v>
      </c>
      <c r="K43" s="20" t="n">
        <v>195</v>
      </c>
      <c r="L43" s="20" t="n">
        <v>521</v>
      </c>
      <c r="M43" s="20" t="n">
        <v>639</v>
      </c>
      <c r="N43" s="20" t="n">
        <v>923</v>
      </c>
      <c r="O43" s="20" t="n">
        <v>330</v>
      </c>
      <c r="P43" s="20" t="n">
        <v>596</v>
      </c>
      <c r="Q43" s="20" t="n">
        <v>637</v>
      </c>
      <c r="R43" s="20" t="n">
        <v>438</v>
      </c>
    </row>
    <row r="44">
      <c r="A44" s="20" t="inlineStr">
        <is>
          <t>Cleburne</t>
        </is>
      </c>
      <c r="B44" s="22" t="inlineStr">
        <is>
          <t>Johnson</t>
        </is>
      </c>
      <c r="C44" s="20" t="n">
        <v>25</v>
      </c>
      <c r="D44" s="20" t="n">
        <v>19</v>
      </c>
      <c r="E44" s="20" t="n">
        <v>17</v>
      </c>
      <c r="F44" s="20" t="n">
        <v>19</v>
      </c>
      <c r="G44" s="20" t="n">
        <v>25</v>
      </c>
      <c r="H44" s="20" t="n">
        <v>52</v>
      </c>
      <c r="I44" s="20" t="n">
        <v>43</v>
      </c>
      <c r="J44" s="20" t="n">
        <v>94</v>
      </c>
      <c r="K44" s="20" t="n">
        <v>93</v>
      </c>
      <c r="L44" s="20" t="n">
        <v>238</v>
      </c>
      <c r="M44" s="20" t="n">
        <v>290</v>
      </c>
      <c r="N44" s="20" t="n">
        <v>264</v>
      </c>
      <c r="O44" s="20" t="n">
        <v>307</v>
      </c>
      <c r="P44" s="20" t="n">
        <v>222</v>
      </c>
      <c r="Q44" s="20" t="n">
        <v>582</v>
      </c>
      <c r="R44" s="20" t="n">
        <v>434</v>
      </c>
    </row>
    <row r="45">
      <c r="A45" s="20" t="inlineStr">
        <is>
          <t>Little Elm</t>
        </is>
      </c>
      <c r="B45" s="22" t="inlineStr">
        <is>
          <t>Denton</t>
        </is>
      </c>
      <c r="C45" s="20" t="n">
        <v>389</v>
      </c>
      <c r="D45" s="20" t="n">
        <v>343</v>
      </c>
      <c r="E45" s="20" t="n">
        <v>470</v>
      </c>
      <c r="F45" s="20" t="n">
        <v>771</v>
      </c>
      <c r="G45" s="20" t="n">
        <v>892</v>
      </c>
      <c r="H45" s="20" t="n">
        <v>1102</v>
      </c>
      <c r="I45" s="20" t="n">
        <v>1081</v>
      </c>
      <c r="J45" s="20" t="n">
        <v>1047</v>
      </c>
      <c r="K45" s="20" t="n">
        <v>1162</v>
      </c>
      <c r="L45" s="20" t="n">
        <v>960</v>
      </c>
      <c r="M45" s="20" t="n">
        <v>1170</v>
      </c>
      <c r="N45" s="20" t="n">
        <v>1267</v>
      </c>
      <c r="O45" s="20" t="n">
        <v>1291</v>
      </c>
      <c r="P45" s="20" t="n">
        <v>928</v>
      </c>
      <c r="Q45" s="20" t="n">
        <v>850</v>
      </c>
      <c r="R45" s="20" t="n">
        <v>414</v>
      </c>
    </row>
    <row r="46">
      <c r="A46" s="20" t="inlineStr">
        <is>
          <t>Aubrey</t>
        </is>
      </c>
      <c r="B46" s="22" t="inlineStr">
        <is>
          <t>Denton</t>
        </is>
      </c>
      <c r="C46" s="20" t="n">
        <v>9</v>
      </c>
      <c r="D46" s="20" t="n">
        <v>1</v>
      </c>
      <c r="E46" s="20" t="n">
        <v>4</v>
      </c>
      <c r="F46" s="20" t="n">
        <v>30</v>
      </c>
      <c r="G46" s="20" t="n">
        <v>47</v>
      </c>
      <c r="H46" s="20" t="n">
        <v>15</v>
      </c>
      <c r="I46" s="20" t="n">
        <v>3</v>
      </c>
      <c r="J46" s="20" t="n">
        <v>101</v>
      </c>
      <c r="K46" s="20" t="n">
        <v>498</v>
      </c>
      <c r="L46" s="20" t="n">
        <v>563</v>
      </c>
      <c r="M46" s="20" t="n">
        <v>469</v>
      </c>
      <c r="N46" s="20" t="n">
        <v>596</v>
      </c>
      <c r="O46" s="20" t="n">
        <v>149</v>
      </c>
      <c r="P46" s="20" t="n">
        <v>232</v>
      </c>
      <c r="Q46" s="20" t="n">
        <v>128</v>
      </c>
      <c r="R46" s="20" t="n">
        <v>396</v>
      </c>
    </row>
    <row r="47">
      <c r="A47" s="20" t="inlineStr">
        <is>
          <t>Ennis</t>
        </is>
      </c>
      <c r="B47" s="22" t="inlineStr">
        <is>
          <t>Ellis</t>
        </is>
      </c>
      <c r="C47" s="20" t="n">
        <v>7</v>
      </c>
      <c r="D47" s="20" t="n">
        <v>9</v>
      </c>
      <c r="E47" s="20" t="n">
        <v>8</v>
      </c>
      <c r="F47" s="20" t="n">
        <v>14</v>
      </c>
      <c r="G47" s="20" t="n">
        <v>27</v>
      </c>
      <c r="H47" s="20" t="n">
        <v>22</v>
      </c>
      <c r="I47" s="20" t="n">
        <v>57</v>
      </c>
      <c r="J47" s="20" t="n">
        <v>54</v>
      </c>
      <c r="K47" s="20" t="n">
        <v>208</v>
      </c>
      <c r="L47" s="20" t="n">
        <v>71</v>
      </c>
      <c r="M47" s="20" t="n">
        <v>219</v>
      </c>
      <c r="N47" s="20" t="n">
        <v>323</v>
      </c>
      <c r="O47" s="20" t="n">
        <v>212</v>
      </c>
      <c r="P47" s="20" t="n">
        <v>328</v>
      </c>
      <c r="Q47" s="20" t="n">
        <v>358</v>
      </c>
      <c r="R47" s="20" t="n">
        <v>380</v>
      </c>
    </row>
    <row r="48">
      <c r="A48" s="20" t="inlineStr">
        <is>
          <t>Justin</t>
        </is>
      </c>
      <c r="B48" s="22" t="inlineStr">
        <is>
          <t>Denton</t>
        </is>
      </c>
      <c r="C48" s="20" t="n">
        <v>0</v>
      </c>
      <c r="D48" s="20" t="n">
        <v>1</v>
      </c>
      <c r="E48" s="20" t="n">
        <v>2</v>
      </c>
      <c r="F48" s="20" t="n">
        <v>10</v>
      </c>
      <c r="G48" s="20" t="n">
        <v>22</v>
      </c>
      <c r="H48" s="20" t="n">
        <v>32</v>
      </c>
      <c r="I48" s="20" t="n">
        <v>57</v>
      </c>
      <c r="J48" s="20" t="n">
        <v>65</v>
      </c>
      <c r="K48" s="20" t="n">
        <v>105</v>
      </c>
      <c r="L48" s="20" t="n">
        <v>151</v>
      </c>
      <c r="M48" s="20" t="n">
        <v>206</v>
      </c>
      <c r="N48" s="20" t="n">
        <v>233</v>
      </c>
      <c r="O48" s="20" t="n">
        <v>127</v>
      </c>
      <c r="P48" s="20" t="n">
        <v>115</v>
      </c>
      <c r="Q48" s="20" t="n">
        <v>435</v>
      </c>
      <c r="R48" s="20" t="n">
        <v>363</v>
      </c>
    </row>
    <row r="49">
      <c r="A49" s="20" t="inlineStr">
        <is>
          <t>Grand Prairie</t>
        </is>
      </c>
      <c r="B49" s="22" t="inlineStr">
        <is>
          <t>Dallas</t>
        </is>
      </c>
      <c r="C49" s="20" t="n">
        <v>387</v>
      </c>
      <c r="D49" s="20" t="n">
        <v>346</v>
      </c>
      <c r="E49" s="20" t="n">
        <v>351</v>
      </c>
      <c r="F49" s="20" t="n">
        <v>400</v>
      </c>
      <c r="G49" s="20" t="n">
        <v>394</v>
      </c>
      <c r="H49" s="20" t="n">
        <v>473</v>
      </c>
      <c r="I49" s="20" t="n">
        <v>392</v>
      </c>
      <c r="J49" s="20" t="n">
        <v>257</v>
      </c>
      <c r="K49" s="20" t="n">
        <v>111</v>
      </c>
      <c r="L49" s="20" t="n">
        <v>208</v>
      </c>
      <c r="M49" s="20" t="n">
        <v>418</v>
      </c>
      <c r="N49" s="20" t="n">
        <v>1233</v>
      </c>
      <c r="O49" s="20" t="n">
        <v>335</v>
      </c>
      <c r="P49" s="20" t="n">
        <v>373</v>
      </c>
      <c r="Q49" s="20" t="n">
        <v>364</v>
      </c>
      <c r="R49" s="20" t="n">
        <v>356</v>
      </c>
    </row>
    <row r="50">
      <c r="A50" s="20" t="inlineStr">
        <is>
          <t>Red Oak</t>
        </is>
      </c>
      <c r="B50" s="22" t="inlineStr">
        <is>
          <t>Ellis</t>
        </is>
      </c>
      <c r="C50" s="20" t="n">
        <v>40</v>
      </c>
      <c r="D50" s="20" t="n">
        <v>47</v>
      </c>
      <c r="E50" s="20" t="n">
        <v>56</v>
      </c>
      <c r="F50" s="20" t="n">
        <v>97</v>
      </c>
      <c r="G50" s="20" t="n">
        <v>135</v>
      </c>
      <c r="H50" s="20" t="n">
        <v>162</v>
      </c>
      <c r="I50" s="20" t="n">
        <v>80</v>
      </c>
      <c r="J50" s="20" t="n">
        <v>130</v>
      </c>
      <c r="K50" s="20" t="n">
        <v>193</v>
      </c>
      <c r="L50" s="20" t="n">
        <v>217</v>
      </c>
      <c r="M50" s="20" t="n">
        <v>341</v>
      </c>
      <c r="N50" s="20" t="n">
        <v>195</v>
      </c>
      <c r="O50" s="20" t="n">
        <v>367</v>
      </c>
      <c r="P50" s="20" t="n">
        <v>239</v>
      </c>
      <c r="Q50" s="20" t="n">
        <v>367</v>
      </c>
      <c r="R50" s="20" t="n">
        <v>343</v>
      </c>
    </row>
    <row r="51">
      <c r="A51" s="20" t="inlineStr">
        <is>
          <t>Greenville</t>
        </is>
      </c>
      <c r="B51" s="22" t="inlineStr">
        <is>
          <t>Hunt</t>
        </is>
      </c>
      <c r="C51" s="20" t="n">
        <v>29</v>
      </c>
      <c r="D51" s="20" t="n">
        <v>21</v>
      </c>
      <c r="E51" s="20" t="n">
        <v>9</v>
      </c>
      <c r="F51" s="20" t="n">
        <v>45</v>
      </c>
      <c r="G51" s="20" t="n">
        <v>44</v>
      </c>
      <c r="H51" s="20" t="n">
        <v>58</v>
      </c>
      <c r="I51" s="20" t="n">
        <v>142</v>
      </c>
      <c r="J51" s="20" t="n">
        <v>162</v>
      </c>
      <c r="K51" s="20" t="n">
        <v>141</v>
      </c>
      <c r="L51" s="20" t="n">
        <v>242</v>
      </c>
      <c r="M51" s="20" t="n">
        <v>290</v>
      </c>
      <c r="N51" s="20" t="n">
        <v>495</v>
      </c>
      <c r="O51" s="20" t="n">
        <v>377</v>
      </c>
      <c r="P51" s="20" t="n">
        <v>402</v>
      </c>
      <c r="Q51" s="20" t="n">
        <v>491</v>
      </c>
      <c r="R51" s="20" t="n">
        <v>309</v>
      </c>
    </row>
    <row r="52">
      <c r="A52" s="20" t="inlineStr">
        <is>
          <t>Fate</t>
        </is>
      </c>
      <c r="B52" s="22" t="inlineStr">
        <is>
          <t>Rockwall</t>
        </is>
      </c>
      <c r="C52" s="20" t="n">
        <v>190</v>
      </c>
      <c r="D52" s="20" t="n">
        <v>96</v>
      </c>
      <c r="E52" s="20" t="n">
        <v>205</v>
      </c>
      <c r="F52" s="20" t="n">
        <v>213</v>
      </c>
      <c r="G52" s="20" t="n">
        <v>283</v>
      </c>
      <c r="H52" s="20" t="n">
        <v>216</v>
      </c>
      <c r="I52" s="20" t="n">
        <v>353</v>
      </c>
      <c r="J52" s="20" t="n">
        <v>651</v>
      </c>
      <c r="K52" s="20" t="n">
        <v>509</v>
      </c>
      <c r="L52" s="20" t="n">
        <v>544</v>
      </c>
      <c r="M52" s="20" t="n">
        <v>817</v>
      </c>
      <c r="N52" s="20" t="n">
        <v>705</v>
      </c>
      <c r="O52" s="20" t="n">
        <v>464</v>
      </c>
      <c r="P52" s="20" t="n">
        <v>556</v>
      </c>
      <c r="Q52" s="20" t="n">
        <v>575</v>
      </c>
      <c r="R52" s="20" t="n">
        <v>297</v>
      </c>
    </row>
    <row r="53">
      <c r="A53" s="20" t="inlineStr">
        <is>
          <t>Forney</t>
        </is>
      </c>
      <c r="B53" s="22" t="inlineStr">
        <is>
          <t>Kaufman</t>
        </is>
      </c>
      <c r="C53" s="20" t="n">
        <v>155</v>
      </c>
      <c r="D53" s="20" t="n">
        <v>130</v>
      </c>
      <c r="E53" s="20" t="n">
        <v>178</v>
      </c>
      <c r="F53" s="20" t="n">
        <v>220</v>
      </c>
      <c r="G53" s="20" t="n">
        <v>135</v>
      </c>
      <c r="H53" s="20" t="n">
        <v>96</v>
      </c>
      <c r="I53" s="20" t="n">
        <v>279</v>
      </c>
      <c r="J53" s="20" t="n">
        <v>655</v>
      </c>
      <c r="K53" s="20" t="n">
        <v>540</v>
      </c>
      <c r="L53" s="20" t="n">
        <v>308</v>
      </c>
      <c r="M53" s="20" t="n">
        <v>547</v>
      </c>
      <c r="N53" s="20" t="n">
        <v>1082</v>
      </c>
      <c r="O53" s="20" t="n">
        <v>257</v>
      </c>
      <c r="P53" s="20" t="n">
        <v>451</v>
      </c>
      <c r="Q53" s="20" t="n">
        <v>663</v>
      </c>
      <c r="R53" s="20" t="n">
        <v>273</v>
      </c>
    </row>
    <row r="54">
      <c r="A54" s="20" t="inlineStr">
        <is>
          <t>Allen</t>
        </is>
      </c>
      <c r="B54" s="22" t="inlineStr">
        <is>
          <t>Collin</t>
        </is>
      </c>
      <c r="C54" s="20" t="n">
        <v>444</v>
      </c>
      <c r="D54" s="20" t="n">
        <v>420</v>
      </c>
      <c r="E54" s="20" t="n">
        <v>480</v>
      </c>
      <c r="F54" s="20" t="n">
        <v>463</v>
      </c>
      <c r="G54" s="20" t="n">
        <v>503</v>
      </c>
      <c r="H54" s="20" t="n">
        <v>466</v>
      </c>
      <c r="I54" s="20" t="n">
        <v>447</v>
      </c>
      <c r="J54" s="20" t="n">
        <v>435</v>
      </c>
      <c r="K54" s="20" t="n">
        <v>457</v>
      </c>
      <c r="L54" s="20" t="n">
        <v>494</v>
      </c>
      <c r="M54" s="20" t="n">
        <v>538</v>
      </c>
      <c r="N54" s="20" t="n">
        <v>565</v>
      </c>
      <c r="O54" s="20" t="n">
        <v>287</v>
      </c>
      <c r="P54" s="20" t="n">
        <v>123</v>
      </c>
      <c r="Q54" s="20" t="n">
        <v>166</v>
      </c>
      <c r="R54" s="20" t="n">
        <v>269</v>
      </c>
    </row>
    <row r="55">
      <c r="A55" s="20" t="inlineStr">
        <is>
          <t>Prosper Town</t>
        </is>
      </c>
      <c r="B55" s="22" t="inlineStr">
        <is>
          <t>Collin</t>
        </is>
      </c>
      <c r="C55" s="20" t="n">
        <v>280</v>
      </c>
      <c r="D55" s="20" t="n">
        <v>369</v>
      </c>
      <c r="E55" s="20" t="n">
        <v>465</v>
      </c>
      <c r="F55" s="20" t="n">
        <v>487</v>
      </c>
      <c r="G55" s="20" t="n">
        <v>557</v>
      </c>
      <c r="H55" s="20" t="n">
        <v>659</v>
      </c>
      <c r="I55" s="20" t="n">
        <v>673</v>
      </c>
      <c r="J55" s="20" t="n">
        <v>774</v>
      </c>
      <c r="K55" s="20" t="n">
        <v>924</v>
      </c>
      <c r="L55" s="20" t="n">
        <v>847</v>
      </c>
      <c r="M55" s="20" t="n">
        <v>1115</v>
      </c>
      <c r="N55" s="20" t="n">
        <v>1220</v>
      </c>
      <c r="O55" s="20" t="n">
        <v>949</v>
      </c>
      <c r="P55" s="20" t="n">
        <v>877</v>
      </c>
      <c r="Q55" s="20" t="n">
        <v>216</v>
      </c>
      <c r="R55" s="20" t="n">
        <v>261</v>
      </c>
    </row>
    <row r="56">
      <c r="A56" s="20" t="inlineStr">
        <is>
          <t>Wylie</t>
        </is>
      </c>
      <c r="B56" s="22" t="inlineStr">
        <is>
          <t>Collin</t>
        </is>
      </c>
      <c r="C56" s="20" t="n">
        <v>267</v>
      </c>
      <c r="D56" s="20" t="n">
        <v>217</v>
      </c>
      <c r="E56" s="20" t="n">
        <v>240</v>
      </c>
      <c r="F56" s="20" t="n">
        <v>240</v>
      </c>
      <c r="G56" s="20" t="n">
        <v>251</v>
      </c>
      <c r="H56" s="20" t="n">
        <v>523</v>
      </c>
      <c r="I56" s="20" t="n">
        <v>414</v>
      </c>
      <c r="J56" s="20" t="n">
        <v>572</v>
      </c>
      <c r="K56" s="20" t="n">
        <v>550</v>
      </c>
      <c r="L56" s="20" t="n">
        <v>424</v>
      </c>
      <c r="M56" s="20" t="n">
        <v>494</v>
      </c>
      <c r="N56" s="20" t="n">
        <v>502</v>
      </c>
      <c r="O56" s="20" t="n">
        <v>254</v>
      </c>
      <c r="P56" s="20" t="n">
        <v>347</v>
      </c>
      <c r="Q56" s="20" t="n">
        <v>311</v>
      </c>
      <c r="R56" s="20" t="n">
        <v>231</v>
      </c>
    </row>
    <row r="57">
      <c r="A57" s="20" t="inlineStr">
        <is>
          <t>Lewisville</t>
        </is>
      </c>
      <c r="B57" s="22" t="inlineStr">
        <is>
          <t>Denton</t>
        </is>
      </c>
      <c r="C57" s="20" t="n">
        <v>79</v>
      </c>
      <c r="D57" s="20" t="n">
        <v>116</v>
      </c>
      <c r="E57" s="20" t="n">
        <v>168</v>
      </c>
      <c r="F57" s="20" t="n">
        <v>185</v>
      </c>
      <c r="G57" s="20" t="n">
        <v>181</v>
      </c>
      <c r="H57" s="20" t="n">
        <v>332</v>
      </c>
      <c r="I57" s="20" t="n">
        <v>390</v>
      </c>
      <c r="J57" s="20" t="n">
        <v>242</v>
      </c>
      <c r="K57" s="20" t="n">
        <v>352</v>
      </c>
      <c r="L57" s="20" t="n">
        <v>296</v>
      </c>
      <c r="M57" s="20" t="n">
        <v>358</v>
      </c>
      <c r="N57" s="20" t="n">
        <v>536</v>
      </c>
      <c r="O57" s="20" t="n">
        <v>435</v>
      </c>
      <c r="P57" s="20" t="n">
        <v>208</v>
      </c>
      <c r="Q57" s="20" t="n">
        <v>140</v>
      </c>
      <c r="R57" s="20" t="n">
        <v>228</v>
      </c>
    </row>
    <row r="58">
      <c r="A58" s="20" t="inlineStr">
        <is>
          <t>Godley</t>
        </is>
      </c>
      <c r="B58" s="22" t="inlineStr">
        <is>
          <t>Johnson</t>
        </is>
      </c>
      <c r="C58" s="20" t="n">
        <v>4</v>
      </c>
      <c r="D58" s="20" t="n">
        <v>7</v>
      </c>
      <c r="E58" s="20" t="n">
        <v>1</v>
      </c>
      <c r="F58" s="20" t="n">
        <v>7</v>
      </c>
      <c r="G58" s="20" t="n">
        <v>5</v>
      </c>
      <c r="H58" s="20" t="n">
        <v>12</v>
      </c>
      <c r="I58" s="20" t="n">
        <v>5</v>
      </c>
      <c r="J58" s="20" t="n">
        <v>30</v>
      </c>
      <c r="K58" s="20" t="n">
        <v>48</v>
      </c>
      <c r="L58" s="20" t="n">
        <v>114</v>
      </c>
      <c r="M58" s="20" t="n">
        <v>124</v>
      </c>
      <c r="N58" s="20" t="n">
        <v>308</v>
      </c>
      <c r="O58" s="20" t="n">
        <v>346</v>
      </c>
      <c r="P58" s="20" t="n">
        <v>310</v>
      </c>
      <c r="Q58" s="20" t="n">
        <v>269</v>
      </c>
      <c r="R58" s="20" t="n">
        <v>222</v>
      </c>
    </row>
    <row r="59">
      <c r="A59" s="20" t="inlineStr">
        <is>
          <t>Haslet</t>
        </is>
      </c>
      <c r="B59" s="22" t="inlineStr">
        <is>
          <t>Tarrant</t>
        </is>
      </c>
      <c r="C59" s="20" t="n">
        <v>1</v>
      </c>
      <c r="D59" s="20" t="n">
        <v>4</v>
      </c>
      <c r="E59" s="20" t="n">
        <v>23</v>
      </c>
      <c r="F59" s="20" t="n">
        <v>24</v>
      </c>
      <c r="G59" s="20" t="n">
        <v>20</v>
      </c>
      <c r="H59" s="20" t="n">
        <v>9</v>
      </c>
      <c r="I59" s="20" t="n">
        <v>5</v>
      </c>
      <c r="J59" s="20" t="n">
        <v>5</v>
      </c>
      <c r="K59" s="20" t="n">
        <v>31</v>
      </c>
      <c r="L59" s="20" t="n">
        <v>83</v>
      </c>
      <c r="M59" s="20" t="n">
        <v>148</v>
      </c>
      <c r="N59" s="20" t="n">
        <v>404</v>
      </c>
      <c r="O59" s="20" t="n">
        <v>192</v>
      </c>
      <c r="P59" s="20" t="n">
        <v>333</v>
      </c>
      <c r="Q59" s="20" t="n">
        <v>225</v>
      </c>
      <c r="R59" s="20" t="n">
        <v>182</v>
      </c>
    </row>
    <row r="60">
      <c r="A60" s="20" t="inlineStr">
        <is>
          <t>Burleson</t>
        </is>
      </c>
      <c r="B60" s="22" t="inlineStr">
        <is>
          <t>Johnson</t>
        </is>
      </c>
      <c r="C60" s="20" t="n">
        <v>197</v>
      </c>
      <c r="D60" s="20" t="n">
        <v>188</v>
      </c>
      <c r="E60" s="20" t="n">
        <v>287</v>
      </c>
      <c r="F60" s="20" t="n">
        <v>357</v>
      </c>
      <c r="G60" s="20" t="n">
        <v>413</v>
      </c>
      <c r="H60" s="20" t="n">
        <v>401</v>
      </c>
      <c r="I60" s="20" t="n">
        <v>340</v>
      </c>
      <c r="J60" s="20" t="n">
        <v>279</v>
      </c>
      <c r="K60" s="20" t="n">
        <v>250</v>
      </c>
      <c r="L60" s="20" t="n">
        <v>206</v>
      </c>
      <c r="M60" s="20" t="n">
        <v>414</v>
      </c>
      <c r="N60" s="20" t="n">
        <v>220</v>
      </c>
      <c r="O60" s="20" t="n">
        <v>332</v>
      </c>
      <c r="P60" s="20" t="n">
        <v>348</v>
      </c>
      <c r="Q60" s="20" t="n">
        <v>208</v>
      </c>
      <c r="R60" s="20" t="n">
        <v>163</v>
      </c>
    </row>
    <row r="61">
      <c r="A61" s="20" t="inlineStr">
        <is>
          <t>Kaufman County Unincorporated Area</t>
        </is>
      </c>
      <c r="B61" s="22" t="inlineStr">
        <is>
          <t>Kaufman</t>
        </is>
      </c>
      <c r="C61" s="20" t="n">
        <v>0</v>
      </c>
      <c r="D61" s="20" t="n">
        <v>0</v>
      </c>
      <c r="E61" s="20" t="n">
        <v>0</v>
      </c>
      <c r="F61" s="20" t="n">
        <v>0</v>
      </c>
      <c r="G61" s="20" t="n">
        <v>0</v>
      </c>
      <c r="H61" s="20" t="n">
        <v>0</v>
      </c>
      <c r="I61" s="20" t="n">
        <v>0</v>
      </c>
      <c r="J61" s="20" t="n">
        <v>0</v>
      </c>
      <c r="K61" s="20" t="n">
        <v>0</v>
      </c>
      <c r="L61" s="20" t="n">
        <v>0</v>
      </c>
      <c r="M61" s="20" t="n">
        <v>0</v>
      </c>
      <c r="N61" s="20" t="n">
        <v>0</v>
      </c>
      <c r="O61" s="20" t="n">
        <v>288</v>
      </c>
      <c r="P61" s="20" t="n">
        <v>91</v>
      </c>
      <c r="Q61" s="20" t="n">
        <v>154</v>
      </c>
      <c r="R61" s="20" t="n">
        <v>160</v>
      </c>
    </row>
    <row r="62">
      <c r="A62" s="20" t="inlineStr">
        <is>
          <t>Plano</t>
        </is>
      </c>
      <c r="B62" s="22" t="inlineStr">
        <is>
          <t>Collin</t>
        </is>
      </c>
      <c r="C62" s="20" t="n">
        <v>311</v>
      </c>
      <c r="D62" s="20" t="n">
        <v>349</v>
      </c>
      <c r="E62" s="20" t="n">
        <v>673</v>
      </c>
      <c r="F62" s="20" t="n">
        <v>410</v>
      </c>
      <c r="G62" s="20" t="n">
        <v>524</v>
      </c>
      <c r="H62" s="20" t="n">
        <v>460</v>
      </c>
      <c r="I62" s="20" t="n">
        <v>491</v>
      </c>
      <c r="J62" s="20" t="n">
        <v>315</v>
      </c>
      <c r="K62" s="20" t="n">
        <v>244</v>
      </c>
      <c r="L62" s="20" t="n">
        <v>197</v>
      </c>
      <c r="M62" s="20" t="n">
        <v>291</v>
      </c>
      <c r="N62" s="20" t="n">
        <v>321</v>
      </c>
      <c r="O62" s="20" t="n">
        <v>186</v>
      </c>
      <c r="P62" s="20" t="n">
        <v>170</v>
      </c>
      <c r="Q62" s="20" t="n">
        <v>241</v>
      </c>
      <c r="R62" s="20" t="n">
        <v>138</v>
      </c>
    </row>
    <row r="63">
      <c r="A63" s="20" t="inlineStr">
        <is>
          <t>Flower Mound Town</t>
        </is>
      </c>
      <c r="B63" s="22" t="inlineStr">
        <is>
          <t>Denton</t>
        </is>
      </c>
      <c r="C63" s="20" t="n">
        <v>100</v>
      </c>
      <c r="D63" s="20" t="n">
        <v>93</v>
      </c>
      <c r="E63" s="20" t="n">
        <v>145</v>
      </c>
      <c r="F63" s="20" t="n">
        <v>250</v>
      </c>
      <c r="G63" s="20" t="n">
        <v>355</v>
      </c>
      <c r="H63" s="20" t="n">
        <v>460</v>
      </c>
      <c r="I63" s="20" t="n">
        <v>397</v>
      </c>
      <c r="J63" s="20" t="n">
        <v>467</v>
      </c>
      <c r="K63" s="20" t="n">
        <v>575</v>
      </c>
      <c r="L63" s="20" t="n">
        <v>433</v>
      </c>
      <c r="M63" s="20" t="n">
        <v>429</v>
      </c>
      <c r="N63" s="20" t="n">
        <v>441</v>
      </c>
      <c r="O63" s="20" t="n">
        <v>304</v>
      </c>
      <c r="P63" s="20" t="n">
        <v>119</v>
      </c>
      <c r="Q63" s="20" t="n">
        <v>71</v>
      </c>
      <c r="R63" s="20" t="n">
        <v>115</v>
      </c>
    </row>
    <row r="64">
      <c r="A64" s="20" t="inlineStr">
        <is>
          <t>Glenn Heights</t>
        </is>
      </c>
      <c r="B64" s="22" t="inlineStr">
        <is>
          <t>Dallas</t>
        </is>
      </c>
      <c r="C64" s="20" t="n">
        <v>30</v>
      </c>
      <c r="D64" s="20" t="n">
        <v>30</v>
      </c>
      <c r="E64" s="20" t="n">
        <v>27</v>
      </c>
      <c r="F64" s="20" t="n">
        <v>24</v>
      </c>
      <c r="G64" s="20" t="n">
        <v>23</v>
      </c>
      <c r="H64" s="20" t="n">
        <v>119</v>
      </c>
      <c r="I64" s="20" t="n">
        <v>205</v>
      </c>
      <c r="J64" s="20" t="n">
        <v>69</v>
      </c>
      <c r="K64" s="20" t="n">
        <v>116</v>
      </c>
      <c r="L64" s="20" t="n">
        <v>367</v>
      </c>
      <c r="M64" s="20" t="n">
        <v>423</v>
      </c>
      <c r="N64" s="20" t="n">
        <v>444</v>
      </c>
      <c r="O64" s="20" t="n">
        <v>199</v>
      </c>
      <c r="P64" s="20" t="n">
        <v>240</v>
      </c>
      <c r="Q64" s="20" t="n">
        <v>237</v>
      </c>
      <c r="R64" s="20" t="n">
        <v>108</v>
      </c>
    </row>
    <row r="65">
      <c r="A65" s="20" t="inlineStr">
        <is>
          <t>Garland</t>
        </is>
      </c>
      <c r="B65" s="22" t="inlineStr">
        <is>
          <t>Dallas</t>
        </is>
      </c>
      <c r="C65" s="20" t="n">
        <v>147</v>
      </c>
      <c r="D65" s="20" t="n">
        <v>148</v>
      </c>
      <c r="E65" s="20" t="n">
        <v>158</v>
      </c>
      <c r="F65" s="20" t="n">
        <v>215</v>
      </c>
      <c r="G65" s="20" t="n">
        <v>180</v>
      </c>
      <c r="H65" s="20" t="n">
        <v>162</v>
      </c>
      <c r="I65" s="20" t="n">
        <v>254</v>
      </c>
      <c r="J65" s="20" t="n">
        <v>171</v>
      </c>
      <c r="K65" s="20" t="n">
        <v>92</v>
      </c>
      <c r="L65" s="20" t="n">
        <v>243</v>
      </c>
      <c r="M65" s="20" t="n">
        <v>389</v>
      </c>
      <c r="N65" s="20" t="n">
        <v>427</v>
      </c>
      <c r="O65" s="20" t="n">
        <v>279</v>
      </c>
      <c r="P65" s="20" t="n">
        <v>347</v>
      </c>
      <c r="Q65" s="20" t="n">
        <v>544</v>
      </c>
      <c r="R65" s="20" t="n">
        <v>107</v>
      </c>
    </row>
    <row r="66">
      <c r="A66" s="20" t="inlineStr">
        <is>
          <t>Caddo Mills</t>
        </is>
      </c>
      <c r="B66" s="22" t="inlineStr">
        <is>
          <t>Hunt</t>
        </is>
      </c>
      <c r="C66" s="20" t="n">
        <v>3</v>
      </c>
      <c r="D66" s="20" t="n">
        <v>6</v>
      </c>
      <c r="E66" s="20" t="n">
        <v>12</v>
      </c>
      <c r="F66" s="20" t="n">
        <v>10</v>
      </c>
      <c r="G66" s="20" t="n">
        <v>10</v>
      </c>
      <c r="H66" s="20" t="n">
        <v>9</v>
      </c>
      <c r="I66" s="20" t="n">
        <v>2</v>
      </c>
      <c r="J66" s="20" t="n">
        <v>5</v>
      </c>
      <c r="K66" s="20" t="n">
        <v>18</v>
      </c>
      <c r="L66" s="20" t="n">
        <v>9</v>
      </c>
      <c r="M66" s="20" t="n">
        <v>331</v>
      </c>
      <c r="N66" s="20" t="n">
        <v>471</v>
      </c>
      <c r="O66" s="20" t="n">
        <v>247</v>
      </c>
      <c r="P66" s="20" t="n">
        <v>388</v>
      </c>
      <c r="Q66" s="20" t="n">
        <v>182</v>
      </c>
      <c r="R66" s="20" t="n">
        <v>97</v>
      </c>
    </row>
    <row r="67">
      <c r="A67" s="20" t="inlineStr">
        <is>
          <t>Irving</t>
        </is>
      </c>
      <c r="B67" s="22" t="inlineStr">
        <is>
          <t>Dallas</t>
        </is>
      </c>
      <c r="C67" s="20" t="n">
        <v>338</v>
      </c>
      <c r="D67" s="20" t="n">
        <v>340</v>
      </c>
      <c r="E67" s="20" t="n">
        <v>455</v>
      </c>
      <c r="F67" s="20" t="n">
        <v>478</v>
      </c>
      <c r="G67" s="20" t="n">
        <v>490</v>
      </c>
      <c r="H67" s="20" t="n">
        <v>539</v>
      </c>
      <c r="I67" s="20" t="n">
        <v>625</v>
      </c>
      <c r="J67" s="20" t="n">
        <v>648</v>
      </c>
      <c r="K67" s="20" t="n">
        <v>517</v>
      </c>
      <c r="L67" s="20" t="n">
        <v>613</v>
      </c>
      <c r="M67" s="20" t="n">
        <v>627</v>
      </c>
      <c r="N67" s="20" t="n">
        <v>366</v>
      </c>
      <c r="O67" s="20" t="n">
        <v>157</v>
      </c>
      <c r="P67" s="20" t="n">
        <v>172</v>
      </c>
      <c r="Q67" s="20" t="n">
        <v>112</v>
      </c>
      <c r="R67" s="20" t="n">
        <v>69</v>
      </c>
    </row>
    <row r="68">
      <c r="A68" s="20" t="inlineStr">
        <is>
          <t>Weatherford</t>
        </is>
      </c>
      <c r="B68" s="22" t="inlineStr">
        <is>
          <t>Parker</t>
        </is>
      </c>
      <c r="C68" s="20" t="n">
        <v>88</v>
      </c>
      <c r="D68" s="20" t="n">
        <v>224</v>
      </c>
      <c r="E68" s="20" t="n">
        <v>121</v>
      </c>
      <c r="F68" s="20" t="n">
        <v>140</v>
      </c>
      <c r="G68" s="20" t="n">
        <v>195</v>
      </c>
      <c r="H68" s="20" t="n">
        <v>199</v>
      </c>
      <c r="I68" s="20" t="n">
        <v>204</v>
      </c>
      <c r="J68" s="20" t="n">
        <v>241</v>
      </c>
      <c r="K68" s="20" t="n">
        <v>209</v>
      </c>
      <c r="L68" s="20" t="n">
        <v>189</v>
      </c>
      <c r="M68" s="20" t="n">
        <v>281</v>
      </c>
      <c r="N68" s="20" t="n">
        <v>446</v>
      </c>
      <c r="O68" s="20" t="n">
        <v>394</v>
      </c>
      <c r="P68" s="20" t="n">
        <v>117</v>
      </c>
      <c r="Q68" s="20" t="n">
        <v>170</v>
      </c>
      <c r="R68" s="20" t="n">
        <v>69</v>
      </c>
    </row>
    <row r="69">
      <c r="A69" s="20" t="inlineStr">
        <is>
          <t>Dallas County Unincorporated Area</t>
        </is>
      </c>
      <c r="B69" s="22" t="inlineStr">
        <is>
          <t>Dallas</t>
        </is>
      </c>
      <c r="C69" s="20" t="n">
        <v>0</v>
      </c>
      <c r="D69" s="20" t="n">
        <v>0</v>
      </c>
      <c r="E69" s="20" t="n">
        <v>0</v>
      </c>
      <c r="F69" s="20" t="n">
        <v>0</v>
      </c>
      <c r="G69" s="20" t="n">
        <v>0</v>
      </c>
      <c r="H69" s="20" t="n">
        <v>0</v>
      </c>
      <c r="I69" s="20" t="n">
        <v>0</v>
      </c>
      <c r="J69" s="20" t="n">
        <v>0</v>
      </c>
      <c r="K69" s="20" t="n">
        <v>0</v>
      </c>
      <c r="L69" s="20" t="n">
        <v>0</v>
      </c>
      <c r="M69" s="20" t="n">
        <v>0</v>
      </c>
      <c r="N69" s="20" t="n">
        <v>0</v>
      </c>
      <c r="O69" s="20" t="n">
        <v>0</v>
      </c>
      <c r="P69" s="20" t="n">
        <v>0</v>
      </c>
      <c r="Q69" s="20" t="n">
        <v>154</v>
      </c>
      <c r="R69" s="20"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2026-09-24T22:09:03Z</dcterms:created>
  <dcterms:modified xmlns:dcterms="http://purl.org/dc/terms/" xmlns:xsi="http://www.w3.org/2001/XMLSchema-instance" xsi:type="dcterms:W3CDTF">2026-09-24T22:09:03Z</dcterms:modified>
</cp:coreProperties>
</file>