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'Contacts'!$A$6:$AE$218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4" customWidth="1" min="6" max="6"/>
    <col width="30" customWidth="1" min="7" max="7"/>
    <col width="30" customWidth="1" min="8" max="8"/>
    <col width="30" customWidth="1" min="9" max="9"/>
    <col width="12" customWidth="1" min="10" max="10"/>
    <col width="48" customWidth="1" min="11" max="11"/>
    <col width="12" customWidth="1" min="12" max="12"/>
    <col width="48" customWidth="1" min="13" max="13"/>
    <col width="13" customWidth="1" min="14" max="14"/>
    <col width="48"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 width="18" customWidth="1" min="27" max="27"/>
    <col width="26" customWidth="1" min="28" max="28"/>
    <col width="46" customWidth="1" min="29" max="29"/>
    <col width="32" customWidth="1" min="30" max="30"/>
    <col width="46" customWidth="1" min="31" max="31"/>
  </cols>
  <sheetData>
    <row r="1">
      <c r="A1" s="1" t="inlineStr">
        <is>
          <t>Rolodex · Dallas-Fort Worth · contacts</t>
        </is>
      </c>
    </row>
    <row r="2">
      <c r="A2" s="2" t="inlineStr">
        <is>
          <t>Héctor Ibarzábal · 2026-09-26</t>
        </is>
      </c>
    </row>
    <row r="3">
      <c r="A3" s="2" t="inlineStr">
        <is>
          <t>Rows</t>
        </is>
      </c>
      <c r="B3" s="3">
        <f>COUNTA($A$7:$A$218)</f>
        <v/>
      </c>
      <c r="C3" s="2" t="inlineStr">
        <is>
          <t>LinkedIn held</t>
        </is>
      </c>
      <c r="D3" s="3">
        <f>COUNTIF($R$7:$R$218,"ok")</f>
        <v/>
      </c>
      <c r="E3" s="2" t="inlineStr">
        <is>
          <t>Still to add</t>
        </is>
      </c>
      <c r="F3" s="3">
        <f>COUNTIF($R$7:$R$218,"ADD LINKEDIN")</f>
        <v/>
      </c>
      <c r="G3" s="2" t="inlineStr">
        <is>
          <t>Holds all three counts</t>
        </is>
      </c>
      <c r="H3" s="3">
        <f>SUMPRODUCT((COUNTIF(OFFSET($B$7,ROW($B$7:$B$218)-ROW($B$7),0,1,1),$B$7:$B$218)&gt;0)*($D$7:$D$218="Holds all three counts")/COUNTIF($B$7:$B$218,$B$7:$B$218&amp;""))</f>
        <v/>
      </c>
      <c r="I3" s="2" t="inlineStr">
        <is>
          <t>Wall deciders</t>
        </is>
      </c>
      <c r="J3" s="3">
        <f>COUNTIF($U$7:$U$218,"YES")</f>
        <v/>
      </c>
    </row>
    <row r="4">
      <c r="A4" s="4" t="inlineStr">
        <is>
          <t>Column Q is a LinkedIn people search for that name at that firm. Paste a profile URL into the shaded cell in column P and column R changes from ADD LINKEDIN to ok. Column U marks the people who can change a wall specification; filter it to YES for the call list. Column V is the evidence behind the name and column W the firm's own page that names them. Columns AA to AC carry the firm's main line, its label and the page it is published on, and columns AD and AE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Kind</t>
        </is>
      </c>
      <c r="H6" s="5" t="inlineStr">
        <is>
          <t>Region</t>
        </is>
      </c>
      <c r="I6" s="5" t="inlineStr">
        <is>
          <t>Headline</t>
        </is>
      </c>
      <c r="J6" s="5" t="inlineStr">
        <is>
          <t>Repetition</t>
        </is>
      </c>
      <c r="K6" s="5" t="inlineStr">
        <is>
          <t>Repetition why</t>
        </is>
      </c>
      <c r="L6" s="5" t="inlineStr">
        <is>
          <t>Printer fit</t>
        </is>
      </c>
      <c r="M6" s="5" t="inlineStr">
        <is>
          <t>Printer fit why</t>
        </is>
      </c>
      <c r="N6" s="5" t="inlineStr">
        <is>
          <t>Track record</t>
        </is>
      </c>
      <c r="O6" s="5" t="inlineStr">
        <is>
          <t>Track record why</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c r="AA6" s="5" t="inlineStr">
        <is>
          <t>Phone</t>
        </is>
      </c>
      <c r="AB6" s="5" t="inlineStr">
        <is>
          <t>Phone label</t>
        </is>
      </c>
      <c r="AC6" s="5" t="inlineStr">
        <is>
          <t>Phone source</t>
        </is>
      </c>
      <c r="AD6" s="5" t="inlineStr">
        <is>
          <t>Email</t>
        </is>
      </c>
      <c r="AE6" s="5" t="inlineStr">
        <is>
          <t>Email source</t>
        </is>
      </c>
    </row>
    <row r="7">
      <c r="A7" s="6" t="inlineStr">
        <is>
          <t>Danting Li</t>
        </is>
      </c>
      <c r="B7" s="6" t="inlineStr">
        <is>
          <t>Wan Bridge Group</t>
        </is>
      </c>
      <c r="C7" s="6" t="inlineStr">
        <is>
          <t>Chief Operating Officer and Co-Founder</t>
        </is>
      </c>
      <c r="D7" s="7" t="inlineStr">
        <is>
          <t>Holds all three counts</t>
        </is>
      </c>
      <c r="E7" s="8" t="n">
        <v>3</v>
      </c>
      <c r="F7" s="6" t="inlineStr">
        <is>
          <t>Printer buyer</t>
        </is>
      </c>
      <c r="G7" s="6" t="inlineStr">
        <is>
          <t>Build-to-rent developer and builder</t>
        </is>
      </c>
      <c r="H7" s="6" t="inlineStr">
        <is>
          <t>Dallas office, with communities in Forney, Denton, Crowley and Lewisville</t>
        </is>
      </c>
      <c r="I7" s="6" t="inlineStr">
        <is>
          <t>201 townhomes at Frontera Shores, Lewisville, launched March 2026</t>
        </is>
      </c>
      <c r="J7" s="8" t="inlineStr">
        <is>
          <t>Yes</t>
        </is>
      </c>
      <c r="K7" s="9" t="inlineStr">
        <is>
          <t>Communities in Forney, Denton, Crowley and Lewisville.</t>
        </is>
      </c>
      <c r="L7" s="8" t="inlineStr">
        <is>
          <t>Partly</t>
        </is>
      </c>
      <c r="M7" s="9" t="inlineStr">
        <is>
          <t>Over ten more communities planned with Centurion, potentially over 1,000 homes. No yearly figure published.</t>
        </is>
      </c>
      <c r="N7" s="8" t="inlineStr">
        <is>
          <t>Partly</t>
        </is>
      </c>
      <c r="O7" s="9" t="inlineStr">
        <is>
          <t>Six years on its own construction software, plus robotic site inspection. Software, not a wall method.</t>
        </is>
      </c>
      <c r="P7" s="10" t="inlineStr"/>
      <c r="Q7" s="6" t="inlineStr"/>
      <c r="R7" s="11">
        <f>IF(P7="","ADD LINKEDIN","ok")</f>
        <v/>
      </c>
      <c r="S7" s="6" t="inlineStr">
        <is>
          <t>https://wanbridge.com/</t>
        </is>
      </c>
      <c r="T7" s="9" t="inlineStr">
        <is>
          <t>Plans over ten more communities with Centurion American, potentially over 1,000 homes. Runs its own construction software.</t>
        </is>
      </c>
      <c r="U7" s="6" t="inlineStr">
        <is>
          <t>YES</t>
        </is>
      </c>
      <c r="V7" s="9" t="inlineStr">
        <is>
          <t>Firm's leadership page.</t>
        </is>
      </c>
      <c r="W7" s="6" t="inlineStr">
        <is>
          <t>https://wanbridge.com/leadership/</t>
        </is>
      </c>
      <c r="X7" s="6" t="inlineStr">
        <is>
          <t>https://www.linkedin.com/company/wan-bridge-group/</t>
        </is>
      </c>
      <c r="Y7" s="6" t="inlineStr"/>
      <c r="Z7" s="6" t="inlineStr"/>
      <c r="AA7" s="6" t="inlineStr">
        <is>
          <t>(713) 219-9400</t>
        </is>
      </c>
      <c r="AB7" s="6" t="inlineStr">
        <is>
          <t>Corporate line</t>
        </is>
      </c>
      <c r="AC7" s="6" t="inlineStr">
        <is>
          <t>https://wanbridge.com/contact/</t>
        </is>
      </c>
      <c r="AD7" s="6" t="inlineStr"/>
      <c r="AE7" s="6" t="inlineStr"/>
    </row>
    <row r="8">
      <c r="A8" s="12" t="inlineStr">
        <is>
          <t>Keith Clipp</t>
        </is>
      </c>
      <c r="B8" s="12" t="inlineStr">
        <is>
          <t>Wan Bridge Group</t>
        </is>
      </c>
      <c r="C8" s="12" t="inlineStr">
        <is>
          <t>Executive Vice President, Development and Operations</t>
        </is>
      </c>
      <c r="D8" s="13" t="inlineStr">
        <is>
          <t>Holds all three counts</t>
        </is>
      </c>
      <c r="E8" s="14" t="n">
        <v>3</v>
      </c>
      <c r="F8" s="12" t="inlineStr">
        <is>
          <t>Printer buyer</t>
        </is>
      </c>
      <c r="G8" s="12" t="inlineStr">
        <is>
          <t>Build-to-rent developer and builder</t>
        </is>
      </c>
      <c r="H8" s="12" t="inlineStr">
        <is>
          <t>Dallas office, with communities in Forney, Denton, Crowley and Lewisville</t>
        </is>
      </c>
      <c r="I8" s="12" t="inlineStr">
        <is>
          <t>201 townhomes at Frontera Shores, Lewisville, launched March 2026</t>
        </is>
      </c>
      <c r="J8" s="14" t="inlineStr">
        <is>
          <t>Yes</t>
        </is>
      </c>
      <c r="K8" s="15" t="inlineStr">
        <is>
          <t>Communities in Forney, Denton, Crowley and Lewisville.</t>
        </is>
      </c>
      <c r="L8" s="14" t="inlineStr">
        <is>
          <t>Partly</t>
        </is>
      </c>
      <c r="M8" s="15" t="inlineStr">
        <is>
          <t>Over ten more communities planned with Centurion, potentially over 1,000 homes. No yearly figure published.</t>
        </is>
      </c>
      <c r="N8" s="14" t="inlineStr">
        <is>
          <t>Partly</t>
        </is>
      </c>
      <c r="O8" s="15" t="inlineStr">
        <is>
          <t>Six years on its own construction software, plus robotic site inspection. Software, not a wall method.</t>
        </is>
      </c>
      <c r="P8" s="10" t="inlineStr"/>
      <c r="Q8" s="12" t="inlineStr"/>
      <c r="R8" s="16">
        <f>IF(P8="","ADD LINKEDIN","ok")</f>
        <v/>
      </c>
      <c r="S8" s="12" t="inlineStr">
        <is>
          <t>https://wanbridge.com/</t>
        </is>
      </c>
      <c r="T8" s="15" t="inlineStr">
        <is>
          <t>Plans over ten more communities with Centurion American, potentially over 1,000 homes. Runs its own construction software.</t>
        </is>
      </c>
      <c r="U8" s="12" t="inlineStr">
        <is>
          <t>YES</t>
        </is>
      </c>
      <c r="V8" s="15" t="inlineStr">
        <is>
          <t>Firm's leadership page.</t>
        </is>
      </c>
      <c r="W8" s="12" t="inlineStr">
        <is>
          <t>https://wanbridge.com/leadership/</t>
        </is>
      </c>
      <c r="X8" s="12" t="inlineStr">
        <is>
          <t>https://www.linkedin.com/company/wan-bridge-group/</t>
        </is>
      </c>
      <c r="Y8" s="12" t="inlineStr"/>
      <c r="Z8" s="12" t="inlineStr"/>
      <c r="AA8" s="12" t="inlineStr">
        <is>
          <t>(713) 219-9400</t>
        </is>
      </c>
      <c r="AB8" s="12" t="inlineStr">
        <is>
          <t>Corporate line</t>
        </is>
      </c>
      <c r="AC8" s="12" t="inlineStr">
        <is>
          <t>https://wanbridge.com/contact/</t>
        </is>
      </c>
      <c r="AD8" s="12" t="inlineStr"/>
      <c r="AE8" s="12" t="inlineStr"/>
    </row>
    <row r="9">
      <c r="A9" s="6" t="inlineStr">
        <is>
          <t>Ting Qiao</t>
        </is>
      </c>
      <c r="B9" s="6" t="inlineStr">
        <is>
          <t>Wan Bridge Group</t>
        </is>
      </c>
      <c r="C9" s="6" t="inlineStr">
        <is>
          <t>Co-Founder</t>
        </is>
      </c>
      <c r="D9" s="7" t="inlineStr">
        <is>
          <t>Holds all three counts</t>
        </is>
      </c>
      <c r="E9" s="8" t="n">
        <v>3</v>
      </c>
      <c r="F9" s="6" t="inlineStr">
        <is>
          <t>Printer buyer</t>
        </is>
      </c>
      <c r="G9" s="6" t="inlineStr">
        <is>
          <t>Build-to-rent developer and builder</t>
        </is>
      </c>
      <c r="H9" s="6" t="inlineStr">
        <is>
          <t>Dallas office, with communities in Forney, Denton, Crowley and Lewisville</t>
        </is>
      </c>
      <c r="I9" s="6" t="inlineStr">
        <is>
          <t>201 townhomes at Frontera Shores, Lewisville, launched March 2026</t>
        </is>
      </c>
      <c r="J9" s="8" t="inlineStr">
        <is>
          <t>Yes</t>
        </is>
      </c>
      <c r="K9" s="9" t="inlineStr">
        <is>
          <t>Communities in Forney, Denton, Crowley and Lewisville.</t>
        </is>
      </c>
      <c r="L9" s="8" t="inlineStr">
        <is>
          <t>Partly</t>
        </is>
      </c>
      <c r="M9" s="9" t="inlineStr">
        <is>
          <t>Over ten more communities planned with Centurion, potentially over 1,000 homes. No yearly figure published.</t>
        </is>
      </c>
      <c r="N9" s="8" t="inlineStr">
        <is>
          <t>Partly</t>
        </is>
      </c>
      <c r="O9" s="9" t="inlineStr">
        <is>
          <t>Six years on its own construction software, plus robotic site inspection. Software, not a wall method.</t>
        </is>
      </c>
      <c r="P9" s="10" t="inlineStr"/>
      <c r="Q9" s="6" t="inlineStr"/>
      <c r="R9" s="11">
        <f>IF(P9="","ADD LINKEDIN","ok")</f>
        <v/>
      </c>
      <c r="S9" s="6" t="inlineStr">
        <is>
          <t>https://wanbridge.com/</t>
        </is>
      </c>
      <c r="T9" s="9" t="inlineStr">
        <is>
          <t>Plans over ten more communities with Centurion American, potentially over 1,000 homes. Runs its own construction software.</t>
        </is>
      </c>
      <c r="U9" s="6" t="inlineStr"/>
      <c r="V9" s="9" t="inlineStr">
        <is>
          <t>Firm's leadership page.</t>
        </is>
      </c>
      <c r="W9" s="6" t="inlineStr">
        <is>
          <t>https://wanbridge.com/leadership/</t>
        </is>
      </c>
      <c r="X9" s="6" t="inlineStr">
        <is>
          <t>https://www.linkedin.com/company/wan-bridge-group/</t>
        </is>
      </c>
      <c r="Y9" s="6" t="inlineStr"/>
      <c r="Z9" s="6" t="inlineStr"/>
      <c r="AA9" s="6" t="inlineStr">
        <is>
          <t>(713) 219-9400</t>
        </is>
      </c>
      <c r="AB9" s="6" t="inlineStr">
        <is>
          <t>Corporate line</t>
        </is>
      </c>
      <c r="AC9" s="6" t="inlineStr">
        <is>
          <t>https://wanbridge.com/contact/</t>
        </is>
      </c>
      <c r="AD9" s="6" t="inlineStr"/>
      <c r="AE9" s="6" t="inlineStr"/>
    </row>
    <row r="10">
      <c r="A10" s="12" t="inlineStr">
        <is>
          <t>Zac Thompson</t>
        </is>
      </c>
      <c r="B10" s="12" t="inlineStr">
        <is>
          <t>HistoryMaker Homes</t>
        </is>
      </c>
      <c r="C10" s="12" t="inlineStr">
        <is>
          <t>President</t>
        </is>
      </c>
      <c r="D10" s="13" t="inlineStr">
        <is>
          <t>Holds all three counts</t>
        </is>
      </c>
      <c r="E10" s="14" t="n">
        <v>3</v>
      </c>
      <c r="F10" s="12" t="inlineStr">
        <is>
          <t>Printer buyer</t>
        </is>
      </c>
      <c r="G10" s="12" t="inlineStr">
        <is>
          <t>Production homebuilder</t>
        </is>
      </c>
      <c r="H10" s="12" t="inlineStr">
        <is>
          <t>Grapevine roots, with communities across DFW</t>
        </is>
      </c>
      <c r="I10" s="12" t="inlineStr">
        <is>
          <t>728 company-wide closings in 2025, 77th on Builder 100</t>
        </is>
      </c>
      <c r="J10" s="14" t="inlineStr">
        <is>
          <t>Yes</t>
        </is>
      </c>
      <c r="K10" s="15" t="inlineStr">
        <is>
          <t>Production plans across 24 DFW communities, its own count.</t>
        </is>
      </c>
      <c r="L10" s="14" t="inlineStr">
        <is>
          <t>Partly</t>
        </is>
      </c>
      <c r="M10" s="15" t="inlineStr">
        <is>
          <t>728 closings company-wide in 2025. No DFW-only figure published.</t>
        </is>
      </c>
      <c r="N10" s="14" t="inlineStr">
        <is>
          <t>Partly</t>
        </is>
      </c>
      <c r="O10" s="15" t="inlineStr">
        <is>
          <t>Some structural elements built off-site, per Construction In Focus, 2024. No new wall system.</t>
        </is>
      </c>
      <c r="P10" s="6" t="inlineStr">
        <is>
          <t>https://www.linkedin.com/in/zac-thompson-09260044/</t>
        </is>
      </c>
      <c r="Q10" s="12" t="inlineStr"/>
      <c r="R10" s="16">
        <f>IF(P10="","ADD LINKEDIN","ok")</f>
        <v/>
      </c>
      <c r="S10" s="12" t="inlineStr">
        <is>
          <t>https://www.historymaker.com/</t>
        </is>
      </c>
      <c r="T10" s="15" t="inlineStr">
        <is>
          <t>Builds some structural elements off-site, per a 2024 trade profile. A fifth-generation family firm, building since 1949.</t>
        </is>
      </c>
      <c r="U10" s="12" t="inlineStr"/>
      <c r="V10" s="15" t="inlineStr">
        <is>
          <t>Indexed title: President, HistoryMaker Homes. Our Legacy page. President from January 1, 2024.</t>
        </is>
      </c>
      <c r="W10" s="12" t="inlineStr">
        <is>
          <t>https://www.historymaker.com/our-legacy</t>
        </is>
      </c>
      <c r="X10" s="12" t="inlineStr">
        <is>
          <t>https://www.linkedin.com/company/history-maker-homes/</t>
        </is>
      </c>
      <c r="Y10" s="12" t="inlineStr">
        <is>
          <t>https://www.historymaker.com/our-legacy</t>
        </is>
      </c>
      <c r="Z10" s="12" t="inlineStr">
        <is>
          <t>2023-07-31 HistoryMaker Homes. HistoryMaker Homes Announces Retirement of Company President And Successor  https://www.historymaker.com/blog/historymaker-homes-announces-retirement-of-company-president-and-successor/</t>
        </is>
      </c>
      <c r="AA10" s="12" t="inlineStr">
        <is>
          <t>(833) 711-1949</t>
        </is>
      </c>
      <c r="AB10" s="12" t="inlineStr">
        <is>
          <t>Main line</t>
        </is>
      </c>
      <c r="AC10" s="12" t="inlineStr">
        <is>
          <t>https://www.historymaker.com/contact-us</t>
        </is>
      </c>
      <c r="AD10" s="12" t="inlineStr"/>
      <c r="AE10" s="12" t="inlineStr"/>
    </row>
    <row r="11">
      <c r="A11" s="6" t="inlineStr">
        <is>
          <t>Nelson Mitchell</t>
        </is>
      </c>
      <c r="B11" s="6" t="inlineStr">
        <is>
          <t>HistoryMaker Homes</t>
        </is>
      </c>
      <c r="C11" s="6" t="inlineStr">
        <is>
          <t>Chief Executive Officer</t>
        </is>
      </c>
      <c r="D11" s="7" t="inlineStr">
        <is>
          <t>Holds all three counts</t>
        </is>
      </c>
      <c r="E11" s="8" t="n">
        <v>3</v>
      </c>
      <c r="F11" s="6" t="inlineStr">
        <is>
          <t>Printer buyer</t>
        </is>
      </c>
      <c r="G11" s="6" t="inlineStr">
        <is>
          <t>Production homebuilder</t>
        </is>
      </c>
      <c r="H11" s="6" t="inlineStr">
        <is>
          <t>Grapevine roots, with communities across DFW</t>
        </is>
      </c>
      <c r="I11" s="6" t="inlineStr">
        <is>
          <t>728 company-wide closings in 2025, 77th on Builder 100</t>
        </is>
      </c>
      <c r="J11" s="8" t="inlineStr">
        <is>
          <t>Yes</t>
        </is>
      </c>
      <c r="K11" s="9" t="inlineStr">
        <is>
          <t>Production plans across 24 DFW communities, its own count.</t>
        </is>
      </c>
      <c r="L11" s="8" t="inlineStr">
        <is>
          <t>Partly</t>
        </is>
      </c>
      <c r="M11" s="9" t="inlineStr">
        <is>
          <t>728 closings company-wide in 2025. No DFW-only figure published.</t>
        </is>
      </c>
      <c r="N11" s="8" t="inlineStr">
        <is>
          <t>Partly</t>
        </is>
      </c>
      <c r="O11" s="9" t="inlineStr">
        <is>
          <t>Some structural elements built off-site, per Construction In Focus, 2024. No new wall system.</t>
        </is>
      </c>
      <c r="P11" s="10" t="inlineStr"/>
      <c r="Q11" s="6" t="inlineStr"/>
      <c r="R11" s="11">
        <f>IF(P11="","ADD LINKEDIN","ok")</f>
        <v/>
      </c>
      <c r="S11" s="6" t="inlineStr">
        <is>
          <t>https://www.historymaker.com/</t>
        </is>
      </c>
      <c r="T11" s="9" t="inlineStr">
        <is>
          <t>Builds some structural elements off-site, per a 2024 trade profile. A fifth-generation family firm, building since 1949.</t>
        </is>
      </c>
      <c r="U11" s="6" t="inlineStr"/>
      <c r="V11" s="9" t="inlineStr">
        <is>
          <t>Company blog post, July 31, 2023. Quoted as CEO.</t>
        </is>
      </c>
      <c r="W11" s="6" t="inlineStr">
        <is>
          <t>https://www.historymaker.com/blog/historymaker-homes-announces-retirement-of-company-president-and-successor/</t>
        </is>
      </c>
      <c r="X11" s="6" t="inlineStr">
        <is>
          <t>https://www.linkedin.com/company/history-maker-homes/</t>
        </is>
      </c>
      <c r="Y11" s="6" t="inlineStr">
        <is>
          <t>https://www.historymaker.com/our-legacy</t>
        </is>
      </c>
      <c r="Z11" s="6" t="inlineStr">
        <is>
          <t>2023-07-31 HistoryMaker Homes. HistoryMaker Homes Announces Retirement of Company President And Successor  https://www.historymaker.com/blog/historymaker-homes-announces-retirement-of-company-president-and-successor/</t>
        </is>
      </c>
      <c r="AA11" s="6" t="inlineStr">
        <is>
          <t>(833) 711-1949</t>
        </is>
      </c>
      <c r="AB11" s="6" t="inlineStr">
        <is>
          <t>Main line</t>
        </is>
      </c>
      <c r="AC11" s="6" t="inlineStr">
        <is>
          <t>https://www.historymaker.com/contact-us</t>
        </is>
      </c>
      <c r="AD11" s="6" t="inlineStr"/>
      <c r="AE11" s="6" t="inlineStr"/>
    </row>
    <row r="12">
      <c r="A12" s="12" t="inlineStr">
        <is>
          <t>John Landon</t>
        </is>
      </c>
      <c r="B12" s="12" t="inlineStr">
        <is>
          <t>Landon Homes</t>
        </is>
      </c>
      <c r="C12" s="12" t="inlineStr">
        <is>
          <t>Owner and Chief Executive Officer</t>
        </is>
      </c>
      <c r="D12" s="13" t="inlineStr">
        <is>
          <t>One gap</t>
        </is>
      </c>
      <c r="E12" s="14" t="n">
        <v>2</v>
      </c>
      <c r="F12" s="12" t="inlineStr">
        <is>
          <t>Printer buyer</t>
        </is>
      </c>
      <c r="G12" s="12" t="inlineStr">
        <is>
          <t>Production homebuilder</t>
        </is>
      </c>
      <c r="H12" s="12" t="inlineStr">
        <is>
          <t>Plano, with communities in Frisco and Prosper</t>
        </is>
      </c>
      <c r="I12" s="12" t="inlineStr">
        <is>
          <t>259 company-wide closings in 2025, 320 in 2024</t>
        </is>
      </c>
      <c r="J12" s="14" t="inlineStr">
        <is>
          <t>Yes</t>
        </is>
      </c>
      <c r="K12" s="15" t="inlineStr">
        <is>
          <t>Prosper and Frisco: 9 master-planned communities on production plans.</t>
        </is>
      </c>
      <c r="L12" s="14" t="inlineStr">
        <is>
          <t>Yes</t>
        </is>
      </c>
      <c r="M12" s="15" t="inlineStr">
        <is>
          <t>259 closings in 2025, concentrated in Frisco and Prosper.</t>
        </is>
      </c>
      <c r="N12" s="14" t="inlineStr">
        <is>
          <t>No</t>
        </is>
      </c>
      <c r="O12" s="15" t="inlineStr">
        <is>
          <t>Nothing on record.</t>
        </is>
      </c>
      <c r="P12" s="10" t="inlineStr"/>
      <c r="Q12" s="12" t="inlineStr"/>
      <c r="R12" s="16">
        <f>IF(P12="","ADD LINKEDIN","ok")</f>
        <v/>
      </c>
      <c r="S12" s="12" t="inlineStr">
        <is>
          <t>https://landonhomes.com/</t>
        </is>
      </c>
      <c r="T12" s="15" t="inlineStr">
        <is>
          <t>Nine master-planned communities in Frisco and Prosper. John Landon is owner and CEO.</t>
        </is>
      </c>
      <c r="U12" s="12" t="inlineStr">
        <is>
          <t>YES</t>
        </is>
      </c>
      <c r="V12" s="15" t="inlineStr">
        <is>
          <t>Our Story page.</t>
        </is>
      </c>
      <c r="W12" s="12" t="inlineStr">
        <is>
          <t>https://landonhomes.com/our-story/</t>
        </is>
      </c>
      <c r="X12" s="12" t="inlineStr">
        <is>
          <t>https://www.linkedin.com/company/landon-homes/</t>
        </is>
      </c>
      <c r="Y12" s="12" t="inlineStr">
        <is>
          <t>https://landonhomes.com/our-story/</t>
        </is>
      </c>
      <c r="Z12" s="12" t="inlineStr"/>
      <c r="AA12" s="12" t="inlineStr">
        <is>
          <t>(469) 567-9303</t>
        </is>
      </c>
      <c r="AB12" s="12" t="inlineStr">
        <is>
          <t>Office, Plano</t>
        </is>
      </c>
      <c r="AC12" s="12" t="inlineStr">
        <is>
          <t>https://landonhomes.com/</t>
        </is>
      </c>
      <c r="AD12" s="12" t="inlineStr"/>
      <c r="AE12" s="12" t="inlineStr"/>
    </row>
    <row r="13">
      <c r="A13" s="6" t="inlineStr">
        <is>
          <t>Carly Landon Huffman</t>
        </is>
      </c>
      <c r="B13" s="6" t="inlineStr">
        <is>
          <t>Landon Homes</t>
        </is>
      </c>
      <c r="C13" s="6" t="inlineStr">
        <is>
          <t>President</t>
        </is>
      </c>
      <c r="D13" s="7" t="inlineStr">
        <is>
          <t>One gap</t>
        </is>
      </c>
      <c r="E13" s="8" t="n">
        <v>2</v>
      </c>
      <c r="F13" s="6" t="inlineStr">
        <is>
          <t>Printer buyer</t>
        </is>
      </c>
      <c r="G13" s="6" t="inlineStr">
        <is>
          <t>Production homebuilder</t>
        </is>
      </c>
      <c r="H13" s="6" t="inlineStr">
        <is>
          <t>Plano, with communities in Frisco and Prosper</t>
        </is>
      </c>
      <c r="I13" s="6" t="inlineStr">
        <is>
          <t>259 company-wide closings in 2025, 320 in 2024</t>
        </is>
      </c>
      <c r="J13" s="8" t="inlineStr">
        <is>
          <t>Yes</t>
        </is>
      </c>
      <c r="K13" s="9" t="inlineStr">
        <is>
          <t>Prosper and Frisco: 9 master-planned communities on production plans.</t>
        </is>
      </c>
      <c r="L13" s="8" t="inlineStr">
        <is>
          <t>Yes</t>
        </is>
      </c>
      <c r="M13" s="9" t="inlineStr">
        <is>
          <t>259 closings in 2025, concentrated in Frisco and Prosper.</t>
        </is>
      </c>
      <c r="N13" s="8" t="inlineStr">
        <is>
          <t>No</t>
        </is>
      </c>
      <c r="O13" s="9" t="inlineStr">
        <is>
          <t>Nothing on record.</t>
        </is>
      </c>
      <c r="P13" s="10" t="inlineStr"/>
      <c r="Q13" s="6" t="inlineStr"/>
      <c r="R13" s="11">
        <f>IF(P13="","ADD LINKEDIN","ok")</f>
        <v/>
      </c>
      <c r="S13" s="6" t="inlineStr">
        <is>
          <t>https://landonhomes.com/</t>
        </is>
      </c>
      <c r="T13" s="9" t="inlineStr">
        <is>
          <t>Nine master-planned communities in Frisco and Prosper. John Landon is owner and CEO.</t>
        </is>
      </c>
      <c r="U13" s="6" t="inlineStr">
        <is>
          <t>YES</t>
        </is>
      </c>
      <c r="V13" s="9" t="inlineStr">
        <is>
          <t>Our Story page.</t>
        </is>
      </c>
      <c r="W13" s="6" t="inlineStr">
        <is>
          <t>https://landonhomes.com/our-story/</t>
        </is>
      </c>
      <c r="X13" s="6" t="inlineStr">
        <is>
          <t>https://www.linkedin.com/company/landon-homes/</t>
        </is>
      </c>
      <c r="Y13" s="6" t="inlineStr">
        <is>
          <t>https://landonhomes.com/our-story/</t>
        </is>
      </c>
      <c r="Z13" s="6" t="inlineStr"/>
      <c r="AA13" s="6" t="inlineStr">
        <is>
          <t>(469) 567-9303</t>
        </is>
      </c>
      <c r="AB13" s="6" t="inlineStr">
        <is>
          <t>Office, Plano</t>
        </is>
      </c>
      <c r="AC13" s="6" t="inlineStr">
        <is>
          <t>https://landonhomes.com/</t>
        </is>
      </c>
      <c r="AD13" s="6" t="inlineStr"/>
      <c r="AE13" s="6" t="inlineStr"/>
    </row>
    <row r="14">
      <c r="A14" s="12" t="inlineStr">
        <is>
          <t>Rusty Landon</t>
        </is>
      </c>
      <c r="B14" s="12" t="inlineStr">
        <is>
          <t>Landon Homes</t>
        </is>
      </c>
      <c r="C14" s="12" t="inlineStr">
        <is>
          <t>Vice President of Development</t>
        </is>
      </c>
      <c r="D14" s="13" t="inlineStr">
        <is>
          <t>One gap</t>
        </is>
      </c>
      <c r="E14" s="14" t="n">
        <v>2</v>
      </c>
      <c r="F14" s="12" t="inlineStr">
        <is>
          <t>Printer buyer</t>
        </is>
      </c>
      <c r="G14" s="12" t="inlineStr">
        <is>
          <t>Production homebuilder</t>
        </is>
      </c>
      <c r="H14" s="12" t="inlineStr">
        <is>
          <t>Plano, with communities in Frisco and Prosper</t>
        </is>
      </c>
      <c r="I14" s="12" t="inlineStr">
        <is>
          <t>259 company-wide closings in 2025, 320 in 2024</t>
        </is>
      </c>
      <c r="J14" s="14" t="inlineStr">
        <is>
          <t>Yes</t>
        </is>
      </c>
      <c r="K14" s="15" t="inlineStr">
        <is>
          <t>Prosper and Frisco: 9 master-planned communities on production plans.</t>
        </is>
      </c>
      <c r="L14" s="14" t="inlineStr">
        <is>
          <t>Yes</t>
        </is>
      </c>
      <c r="M14" s="15" t="inlineStr">
        <is>
          <t>259 closings in 2025, concentrated in Frisco and Prosper.</t>
        </is>
      </c>
      <c r="N14" s="14" t="inlineStr">
        <is>
          <t>No</t>
        </is>
      </c>
      <c r="O14" s="15" t="inlineStr">
        <is>
          <t>Nothing on record.</t>
        </is>
      </c>
      <c r="P14" s="10" t="inlineStr"/>
      <c r="Q14" s="12" t="inlineStr"/>
      <c r="R14" s="16">
        <f>IF(P14="","ADD LINKEDIN","ok")</f>
        <v/>
      </c>
      <c r="S14" s="12" t="inlineStr">
        <is>
          <t>https://landonhomes.com/</t>
        </is>
      </c>
      <c r="T14" s="15" t="inlineStr">
        <is>
          <t>Nine master-planned communities in Frisco and Prosper. John Landon is owner and CEO.</t>
        </is>
      </c>
      <c r="U14" s="12" t="inlineStr"/>
      <c r="V14" s="15" t="inlineStr">
        <is>
          <t>Our Story page.</t>
        </is>
      </c>
      <c r="W14" s="12" t="inlineStr">
        <is>
          <t>https://landonhomes.com/our-story/</t>
        </is>
      </c>
      <c r="X14" s="12" t="inlineStr">
        <is>
          <t>https://www.linkedin.com/company/landon-homes/</t>
        </is>
      </c>
      <c r="Y14" s="12" t="inlineStr">
        <is>
          <t>https://landonhomes.com/our-story/</t>
        </is>
      </c>
      <c r="Z14" s="12" t="inlineStr"/>
      <c r="AA14" s="12" t="inlineStr">
        <is>
          <t>(469) 567-9303</t>
        </is>
      </c>
      <c r="AB14" s="12" t="inlineStr">
        <is>
          <t>Office, Plano</t>
        </is>
      </c>
      <c r="AC14" s="12" t="inlineStr">
        <is>
          <t>https://landonhomes.com/</t>
        </is>
      </c>
      <c r="AD14" s="12" t="inlineStr"/>
      <c r="AE14" s="12" t="inlineStr"/>
    </row>
    <row r="15">
      <c r="A15" s="6" t="inlineStr">
        <is>
          <t>Dustin Austin</t>
        </is>
      </c>
      <c r="B15" s="6" t="inlineStr">
        <is>
          <t>Our Country Homes</t>
        </is>
      </c>
      <c r="C15" s="6" t="inlineStr">
        <is>
          <t>Owner</t>
        </is>
      </c>
      <c r="D15" s="7" t="inlineStr">
        <is>
          <t>One gap</t>
        </is>
      </c>
      <c r="E15" s="8" t="n">
        <v>2</v>
      </c>
      <c r="F15" s="6" t="inlineStr">
        <is>
          <t>Printer buyer</t>
        </is>
      </c>
      <c r="G15" s="6" t="inlineStr">
        <is>
          <t>Production homebuilder</t>
        </is>
      </c>
      <c r="H15" s="6" t="inlineStr">
        <is>
          <t>Hurst, building from Aledo to Celina</t>
        </is>
      </c>
      <c r="I15" s="6" t="inlineStr">
        <is>
          <t>259 company-wide closings in 2023, BUILDER's list rank 162</t>
        </is>
      </c>
      <c r="J15" s="8" t="inlineStr">
        <is>
          <t>Yes</t>
        </is>
      </c>
      <c r="K15" s="9" t="inlineStr">
        <is>
          <t>Production plans from Aledo to Celina.</t>
        </is>
      </c>
      <c r="L15" s="8" t="inlineStr">
        <is>
          <t>Yes</t>
        </is>
      </c>
      <c r="M15" s="9" t="inlineStr">
        <is>
          <t>259 closings in 2023, company-wide.</t>
        </is>
      </c>
      <c r="N15" s="8" t="inlineStr">
        <is>
          <t>No</t>
        </is>
      </c>
      <c r="O15" s="9" t="inlineStr">
        <is>
          <t>Nothing on record.</t>
        </is>
      </c>
      <c r="P15" s="10" t="inlineStr"/>
      <c r="Q15" s="6" t="inlineStr"/>
      <c r="R15" s="11">
        <f>IF(P15="","ADD LINKEDIN","ok")</f>
        <v/>
      </c>
      <c r="S15" s="6" t="inlineStr">
        <is>
          <t>https://www.ourcountryhomes.com/</t>
        </is>
      </c>
      <c r="T15" s="9" t="inlineStr">
        <is>
          <t>Repeats production plans from Aledo to Celina. Family-owned, in its third generation.</t>
        </is>
      </c>
      <c r="U15" s="6" t="inlineStr">
        <is>
          <t>YES</t>
        </is>
      </c>
      <c r="V15" s="9" t="inlineStr">
        <is>
          <t>Fort Worth Report, May 1, 2024.</t>
        </is>
      </c>
      <c r="W15" s="6" t="inlineStr">
        <is>
          <t>https://fortworthreport.org/2024/05/01/fort-worth-business-owner-dustin-austin-to-join-jps-board-of-managers/</t>
        </is>
      </c>
      <c r="X15" s="6" t="inlineStr">
        <is>
          <t>https://www.linkedin.com/company/ourcountryhomes/</t>
        </is>
      </c>
      <c r="Y15" s="6" t="inlineStr">
        <is>
          <t>https://www.ourcountryhomes.com/about-us</t>
        </is>
      </c>
      <c r="Z15" s="6" t="inlineStr"/>
      <c r="AA15" s="6" t="inlineStr">
        <is>
          <t>(817) 229-0344</t>
        </is>
      </c>
      <c r="AB15" s="6" t="inlineStr">
        <is>
          <t>Office, Hurst</t>
        </is>
      </c>
      <c r="AC15" s="6" t="inlineStr">
        <is>
          <t>https://www.ourcountryhomes.com/</t>
        </is>
      </c>
      <c r="AD15" s="6" t="inlineStr"/>
      <c r="AE15" s="6" t="inlineStr"/>
    </row>
    <row r="16">
      <c r="A16" s="12" t="inlineStr">
        <is>
          <t>Mey-Ling Pauri</t>
        </is>
      </c>
      <c r="B16" s="12" t="inlineStr">
        <is>
          <t>Our Country Homes</t>
        </is>
      </c>
      <c r="C16" s="12" t="inlineStr">
        <is>
          <t>Chief Executive Officer</t>
        </is>
      </c>
      <c r="D16" s="13" t="inlineStr">
        <is>
          <t>One gap</t>
        </is>
      </c>
      <c r="E16" s="14" t="n">
        <v>2</v>
      </c>
      <c r="F16" s="12" t="inlineStr">
        <is>
          <t>Printer buyer</t>
        </is>
      </c>
      <c r="G16" s="12" t="inlineStr">
        <is>
          <t>Production homebuilder</t>
        </is>
      </c>
      <c r="H16" s="12" t="inlineStr">
        <is>
          <t>Hurst, building from Aledo to Celina</t>
        </is>
      </c>
      <c r="I16" s="12" t="inlineStr">
        <is>
          <t>259 company-wide closings in 2023, BUILDER's list rank 162</t>
        </is>
      </c>
      <c r="J16" s="14" t="inlineStr">
        <is>
          <t>Yes</t>
        </is>
      </c>
      <c r="K16" s="15" t="inlineStr">
        <is>
          <t>Production plans from Aledo to Celina.</t>
        </is>
      </c>
      <c r="L16" s="14" t="inlineStr">
        <is>
          <t>Yes</t>
        </is>
      </c>
      <c r="M16" s="15" t="inlineStr">
        <is>
          <t>259 closings in 2023, company-wide.</t>
        </is>
      </c>
      <c r="N16" s="14" t="inlineStr">
        <is>
          <t>No</t>
        </is>
      </c>
      <c r="O16" s="15" t="inlineStr">
        <is>
          <t>Nothing on record.</t>
        </is>
      </c>
      <c r="P16" s="10" t="inlineStr"/>
      <c r="Q16" s="12" t="inlineStr"/>
      <c r="R16" s="16">
        <f>IF(P16="","ADD LINKEDIN","ok")</f>
        <v/>
      </c>
      <c r="S16" s="12" t="inlineStr">
        <is>
          <t>https://www.ourcountryhomes.com/</t>
        </is>
      </c>
      <c r="T16" s="15" t="inlineStr">
        <is>
          <t>Repeats production plans from Aledo to Celina. Family-owned, in its third generation.</t>
        </is>
      </c>
      <c r="U16" s="12" t="inlineStr"/>
      <c r="V16" s="15" t="inlineStr">
        <is>
          <t>BUILDER's firm page.</t>
        </is>
      </c>
      <c r="W16" s="12" t="inlineStr">
        <is>
          <t>https://www.builderonline.com/firms/our-country-homes_o/</t>
        </is>
      </c>
      <c r="X16" s="12" t="inlineStr">
        <is>
          <t>https://www.linkedin.com/company/ourcountryhomes/</t>
        </is>
      </c>
      <c r="Y16" s="12" t="inlineStr">
        <is>
          <t>https://www.ourcountryhomes.com/about-us</t>
        </is>
      </c>
      <c r="Z16" s="12" t="inlineStr"/>
      <c r="AA16" s="12" t="inlineStr">
        <is>
          <t>(817) 229-0344</t>
        </is>
      </c>
      <c r="AB16" s="12" t="inlineStr">
        <is>
          <t>Office, Hurst</t>
        </is>
      </c>
      <c r="AC16" s="12" t="inlineStr">
        <is>
          <t>https://www.ourcountryhomes.com/</t>
        </is>
      </c>
      <c r="AD16" s="12" t="inlineStr"/>
      <c r="AE16" s="12" t="inlineStr"/>
    </row>
    <row r="17">
      <c r="A17" s="6" t="inlineStr">
        <is>
          <t>Scott Sandlin</t>
        </is>
      </c>
      <c r="B17" s="6" t="inlineStr">
        <is>
          <t>Sandlin Homes</t>
        </is>
      </c>
      <c r="C17" s="6" t="inlineStr">
        <is>
          <t>Owner and Chief Executive Officer</t>
        </is>
      </c>
      <c r="D17" s="7" t="inlineStr">
        <is>
          <t>One gap</t>
        </is>
      </c>
      <c r="E17" s="8" t="n">
        <v>2</v>
      </c>
      <c r="F17" s="6" t="inlineStr">
        <is>
          <t>Printer buyer</t>
        </is>
      </c>
      <c r="G17" s="6" t="inlineStr">
        <is>
          <t>Production and custom homebuilder</t>
        </is>
      </c>
      <c r="H17" s="6" t="inlineStr">
        <is>
          <t>North Richland Hills, building across North Texas</t>
        </is>
      </c>
      <c r="I17" s="6" t="inlineStr">
        <is>
          <t>177 company-wide closings in 2023, BUILDER rank 194</t>
        </is>
      </c>
      <c r="J17" s="8" t="inlineStr">
        <is>
          <t>Yes</t>
        </is>
      </c>
      <c r="K17" s="9" t="inlineStr">
        <is>
          <t>Production and custom homes under one family firm.</t>
        </is>
      </c>
      <c r="L17" s="8" t="inlineStr">
        <is>
          <t>Yes</t>
        </is>
      </c>
      <c r="M17" s="9" t="inlineStr">
        <is>
          <t>177 closings in 2023, concentrated in North Texas.</t>
        </is>
      </c>
      <c r="N17" s="8" t="inlineStr">
        <is>
          <t>No</t>
        </is>
      </c>
      <c r="O17" s="9" t="inlineStr">
        <is>
          <t>Nothing on record.</t>
        </is>
      </c>
      <c r="P17" s="10" t="inlineStr"/>
      <c r="Q17" s="6" t="inlineStr"/>
      <c r="R17" s="11">
        <f>IF(P17="","ADD LINKEDIN","ok")</f>
        <v/>
      </c>
      <c r="S17" s="6" t="inlineStr">
        <is>
          <t>https://www.sandlinhomes.com/</t>
        </is>
      </c>
      <c r="T17" s="9" t="inlineStr">
        <is>
          <t>Family-owned, with owner and CEO Scott Sandlin the named decision-maker.</t>
        </is>
      </c>
      <c r="U17" s="6" t="inlineStr">
        <is>
          <t>YES</t>
        </is>
      </c>
      <c r="V17" s="9" t="inlineStr">
        <is>
          <t>Meet the Team page.</t>
        </is>
      </c>
      <c r="W17" s="6" t="inlineStr">
        <is>
          <t>https://www.sandlinhomes.com/meet-the-team</t>
        </is>
      </c>
      <c r="X17" s="6" t="inlineStr">
        <is>
          <t>https://www.linkedin.com/company/sandlin-custom-homes/</t>
        </is>
      </c>
      <c r="Y17" s="6" t="inlineStr">
        <is>
          <t>https://www.sandlinhomes.com/meet-the-team</t>
        </is>
      </c>
      <c r="Z17" s="6" t="inlineStr"/>
      <c r="AA17" s="6" t="inlineStr">
        <is>
          <t>(800) 821-4663</t>
        </is>
      </c>
      <c r="AB17" s="6" t="inlineStr">
        <is>
          <t>Main line</t>
        </is>
      </c>
      <c r="AC17" s="6" t="inlineStr">
        <is>
          <t>https://www.sandlinhomes.com/</t>
        </is>
      </c>
      <c r="AD17" s="6" t="inlineStr"/>
      <c r="AE17" s="6" t="inlineStr"/>
    </row>
    <row r="18">
      <c r="A18" s="12" t="inlineStr">
        <is>
          <t>Mike Sandlin</t>
        </is>
      </c>
      <c r="B18" s="12" t="inlineStr">
        <is>
          <t>Sandlin Homes</t>
        </is>
      </c>
      <c r="C18" s="12" t="inlineStr">
        <is>
          <t>Owner</t>
        </is>
      </c>
      <c r="D18" s="13" t="inlineStr">
        <is>
          <t>One gap</t>
        </is>
      </c>
      <c r="E18" s="14" t="n">
        <v>2</v>
      </c>
      <c r="F18" s="12" t="inlineStr">
        <is>
          <t>Printer buyer</t>
        </is>
      </c>
      <c r="G18" s="12" t="inlineStr">
        <is>
          <t>Production and custom homebuilder</t>
        </is>
      </c>
      <c r="H18" s="12" t="inlineStr">
        <is>
          <t>North Richland Hills, building across North Texas</t>
        </is>
      </c>
      <c r="I18" s="12" t="inlineStr">
        <is>
          <t>177 company-wide closings in 2023, BUILDER rank 194</t>
        </is>
      </c>
      <c r="J18" s="14" t="inlineStr">
        <is>
          <t>Yes</t>
        </is>
      </c>
      <c r="K18" s="15" t="inlineStr">
        <is>
          <t>Production and custom homes under one family firm.</t>
        </is>
      </c>
      <c r="L18" s="14" t="inlineStr">
        <is>
          <t>Yes</t>
        </is>
      </c>
      <c r="M18" s="15" t="inlineStr">
        <is>
          <t>177 closings in 2023, concentrated in North Texas.</t>
        </is>
      </c>
      <c r="N18" s="14" t="inlineStr">
        <is>
          <t>No</t>
        </is>
      </c>
      <c r="O18" s="15" t="inlineStr">
        <is>
          <t>Nothing on record.</t>
        </is>
      </c>
      <c r="P18" s="10" t="inlineStr"/>
      <c r="Q18" s="12" t="inlineStr"/>
      <c r="R18" s="16">
        <f>IF(P18="","ADD LINKEDIN","ok")</f>
        <v/>
      </c>
      <c r="S18" s="12" t="inlineStr">
        <is>
          <t>https://www.sandlinhomes.com/</t>
        </is>
      </c>
      <c r="T18" s="15" t="inlineStr">
        <is>
          <t>Family-owned, with owner and CEO Scott Sandlin the named decision-maker.</t>
        </is>
      </c>
      <c r="U18" s="12" t="inlineStr"/>
      <c r="V18" s="15" t="inlineStr">
        <is>
          <t>Meet the Team page.</t>
        </is>
      </c>
      <c r="W18" s="12" t="inlineStr">
        <is>
          <t>https://www.sandlinhomes.com/meet-the-team</t>
        </is>
      </c>
      <c r="X18" s="12" t="inlineStr">
        <is>
          <t>https://www.linkedin.com/company/sandlin-custom-homes/</t>
        </is>
      </c>
      <c r="Y18" s="12" t="inlineStr">
        <is>
          <t>https://www.sandlinhomes.com/meet-the-team</t>
        </is>
      </c>
      <c r="Z18" s="12" t="inlineStr"/>
      <c r="AA18" s="12" t="inlineStr">
        <is>
          <t>(800) 821-4663</t>
        </is>
      </c>
      <c r="AB18" s="12" t="inlineStr">
        <is>
          <t>Main line</t>
        </is>
      </c>
      <c r="AC18" s="12" t="inlineStr">
        <is>
          <t>https://www.sandlinhomes.com/</t>
        </is>
      </c>
      <c r="AD18" s="12" t="inlineStr"/>
      <c r="AE18" s="12" t="inlineStr"/>
    </row>
    <row r="19">
      <c r="A19" s="6" t="inlineStr">
        <is>
          <t>Terry Sandlin</t>
        </is>
      </c>
      <c r="B19" s="6" t="inlineStr">
        <is>
          <t>Sandlin Homes</t>
        </is>
      </c>
      <c r="C19" s="6" t="inlineStr">
        <is>
          <t>Owner</t>
        </is>
      </c>
      <c r="D19" s="7" t="inlineStr">
        <is>
          <t>One gap</t>
        </is>
      </c>
      <c r="E19" s="8" t="n">
        <v>2</v>
      </c>
      <c r="F19" s="6" t="inlineStr">
        <is>
          <t>Printer buyer</t>
        </is>
      </c>
      <c r="G19" s="6" t="inlineStr">
        <is>
          <t>Production and custom homebuilder</t>
        </is>
      </c>
      <c r="H19" s="6" t="inlineStr">
        <is>
          <t>North Richland Hills, building across North Texas</t>
        </is>
      </c>
      <c r="I19" s="6" t="inlineStr">
        <is>
          <t>177 company-wide closings in 2023, BUILDER rank 194</t>
        </is>
      </c>
      <c r="J19" s="8" t="inlineStr">
        <is>
          <t>Yes</t>
        </is>
      </c>
      <c r="K19" s="9" t="inlineStr">
        <is>
          <t>Production and custom homes under one family firm.</t>
        </is>
      </c>
      <c r="L19" s="8" t="inlineStr">
        <is>
          <t>Yes</t>
        </is>
      </c>
      <c r="M19" s="9" t="inlineStr">
        <is>
          <t>177 closings in 2023, concentrated in North Texas.</t>
        </is>
      </c>
      <c r="N19" s="8" t="inlineStr">
        <is>
          <t>No</t>
        </is>
      </c>
      <c r="O19" s="9" t="inlineStr">
        <is>
          <t>Nothing on record.</t>
        </is>
      </c>
      <c r="P19" s="6" t="inlineStr">
        <is>
          <t>https://www.linkedin.com/in/terry-sandlin-69a496b5/</t>
        </is>
      </c>
      <c r="Q19" s="6" t="inlineStr"/>
      <c r="R19" s="11">
        <f>IF(P19="","ADD LINKEDIN","ok")</f>
        <v/>
      </c>
      <c r="S19" s="6" t="inlineStr">
        <is>
          <t>https://www.sandlinhomes.com/</t>
        </is>
      </c>
      <c r="T19" s="9" t="inlineStr">
        <is>
          <t>Family-owned, with owner and CEO Scott Sandlin the named decision-maker.</t>
        </is>
      </c>
      <c r="U19" s="6" t="inlineStr"/>
      <c r="V19" s="9" t="inlineStr">
        <is>
          <t>Indexed title: Sandlin Custom Homes. Meet the Team page.</t>
        </is>
      </c>
      <c r="W19" s="6" t="inlineStr">
        <is>
          <t>https://www.sandlinhomes.com/meet-the-team</t>
        </is>
      </c>
      <c r="X19" s="6" t="inlineStr">
        <is>
          <t>https://www.linkedin.com/company/sandlin-custom-homes/</t>
        </is>
      </c>
      <c r="Y19" s="6" t="inlineStr">
        <is>
          <t>https://www.sandlinhomes.com/meet-the-team</t>
        </is>
      </c>
      <c r="Z19" s="6" t="inlineStr"/>
      <c r="AA19" s="6" t="inlineStr">
        <is>
          <t>(800) 821-4663</t>
        </is>
      </c>
      <c r="AB19" s="6" t="inlineStr">
        <is>
          <t>Main line</t>
        </is>
      </c>
      <c r="AC19" s="6" t="inlineStr">
        <is>
          <t>https://www.sandlinhomes.com/</t>
        </is>
      </c>
      <c r="AD19" s="6" t="inlineStr"/>
      <c r="AE19" s="6" t="inlineStr"/>
    </row>
    <row r="20">
      <c r="A20" s="12" t="inlineStr">
        <is>
          <t>Matt Speight</t>
        </is>
      </c>
      <c r="B20" s="12" t="inlineStr">
        <is>
          <t>Sandlin Homes</t>
        </is>
      </c>
      <c r="C20" s="12" t="inlineStr">
        <is>
          <t>Owner</t>
        </is>
      </c>
      <c r="D20" s="13" t="inlineStr">
        <is>
          <t>One gap</t>
        </is>
      </c>
      <c r="E20" s="14" t="n">
        <v>2</v>
      </c>
      <c r="F20" s="12" t="inlineStr">
        <is>
          <t>Printer buyer</t>
        </is>
      </c>
      <c r="G20" s="12" t="inlineStr">
        <is>
          <t>Production and custom homebuilder</t>
        </is>
      </c>
      <c r="H20" s="12" t="inlineStr">
        <is>
          <t>North Richland Hills, building across North Texas</t>
        </is>
      </c>
      <c r="I20" s="12" t="inlineStr">
        <is>
          <t>177 company-wide closings in 2023, BUILDER rank 194</t>
        </is>
      </c>
      <c r="J20" s="14" t="inlineStr">
        <is>
          <t>Yes</t>
        </is>
      </c>
      <c r="K20" s="15" t="inlineStr">
        <is>
          <t>Production and custom homes under one family firm.</t>
        </is>
      </c>
      <c r="L20" s="14" t="inlineStr">
        <is>
          <t>Yes</t>
        </is>
      </c>
      <c r="M20" s="15" t="inlineStr">
        <is>
          <t>177 closings in 2023, concentrated in North Texas.</t>
        </is>
      </c>
      <c r="N20" s="14" t="inlineStr">
        <is>
          <t>No</t>
        </is>
      </c>
      <c r="O20" s="15" t="inlineStr">
        <is>
          <t>Nothing on record.</t>
        </is>
      </c>
      <c r="P20" s="10" t="inlineStr"/>
      <c r="Q20" s="12" t="inlineStr"/>
      <c r="R20" s="16">
        <f>IF(P20="","ADD LINKEDIN","ok")</f>
        <v/>
      </c>
      <c r="S20" s="12" t="inlineStr">
        <is>
          <t>https://www.sandlinhomes.com/</t>
        </is>
      </c>
      <c r="T20" s="15" t="inlineStr">
        <is>
          <t>Family-owned, with owner and CEO Scott Sandlin the named decision-maker.</t>
        </is>
      </c>
      <c r="U20" s="12" t="inlineStr"/>
      <c r="V20" s="15" t="inlineStr">
        <is>
          <t>Meet the Team page.</t>
        </is>
      </c>
      <c r="W20" s="12" t="inlineStr">
        <is>
          <t>https://www.sandlinhomes.com/meet-the-team</t>
        </is>
      </c>
      <c r="X20" s="12" t="inlineStr">
        <is>
          <t>https://www.linkedin.com/company/sandlin-custom-homes/</t>
        </is>
      </c>
      <c r="Y20" s="12" t="inlineStr">
        <is>
          <t>https://www.sandlinhomes.com/meet-the-team</t>
        </is>
      </c>
      <c r="Z20" s="12" t="inlineStr"/>
      <c r="AA20" s="12" t="inlineStr">
        <is>
          <t>(800) 821-4663</t>
        </is>
      </c>
      <c r="AB20" s="12" t="inlineStr">
        <is>
          <t>Main line</t>
        </is>
      </c>
      <c r="AC20" s="12" t="inlineStr">
        <is>
          <t>https://www.sandlinhomes.com/</t>
        </is>
      </c>
      <c r="AD20" s="12" t="inlineStr"/>
      <c r="AE20" s="12" t="inlineStr"/>
    </row>
    <row r="21">
      <c r="A21" s="6" t="inlineStr">
        <is>
          <t>Brent Landry</t>
        </is>
      </c>
      <c r="B21" s="6" t="inlineStr">
        <is>
          <t>American Homes 4 Rent (AMH)</t>
        </is>
      </c>
      <c r="C21" s="6" t="inlineStr">
        <is>
          <t>Executive Vice President of Development</t>
        </is>
      </c>
      <c r="D21" s="7" t="inlineStr">
        <is>
          <t>One gap</t>
        </is>
      </c>
      <c r="E21" s="8" t="n">
        <v>2</v>
      </c>
      <c r="F21" s="6" t="inlineStr">
        <is>
          <t>Printer buyer</t>
        </is>
      </c>
      <c r="G21" s="6" t="inlineStr">
        <is>
          <t>Single-family rental owner and builder</t>
        </is>
      </c>
      <c r="H21" s="6" t="inlineStr">
        <is>
          <t>Irving office, with rentals across Dallas-Fort Worth</t>
        </is>
      </c>
      <c r="I21" s="6" t="inlineStr">
        <is>
          <t>3,787 wholly owned DFW homes, June 30, 2025</t>
        </is>
      </c>
      <c r="J21" s="8" t="inlineStr">
        <is>
          <t>Yes</t>
        </is>
      </c>
      <c r="K21" s="9" t="inlineStr">
        <is>
          <t>3,787 wholly owned DFW homes on June 30, 2025. The Development Program delivers repeated rentals.</t>
        </is>
      </c>
      <c r="L21" s="8" t="inlineStr">
        <is>
          <t>Partly</t>
        </is>
      </c>
      <c r="M21" s="9" t="inlineStr">
        <is>
          <t>National program. No DFW share of new builds published.</t>
        </is>
      </c>
      <c r="N21" s="8" t="inlineStr">
        <is>
          <t>No</t>
        </is>
      </c>
      <c r="O21" s="9" t="inlineStr">
        <is>
          <t>Nothing on record.</t>
        </is>
      </c>
      <c r="P21" s="10" t="inlineStr"/>
      <c r="Q21" s="6" t="inlineStr"/>
      <c r="R21" s="11">
        <f>IF(P21="","ADD LINKEDIN","ok")</f>
        <v/>
      </c>
      <c r="S21" s="6" t="inlineStr">
        <is>
          <t>https://www.amh.com/homes-for-rent/texas/dallas</t>
        </is>
      </c>
      <c r="T21" s="9" t="inlineStr">
        <is>
          <t>Builds its own rental homes through the AMH Development Program. A national single-family rental REIT.</t>
        </is>
      </c>
      <c r="U21" s="6" t="inlineStr"/>
      <c r="V21" s="9" t="inlineStr">
        <is>
          <t>American Homes 4 Rent release, PR Newswire.</t>
        </is>
      </c>
      <c r="W21" s="6" t="inlineStr">
        <is>
          <t>https://www.prnewswire.com/news-releases/american-homes-4-rent-ranks-41-on-2022-builder-100-list-301565032.html</t>
        </is>
      </c>
      <c r="X21" s="6" t="inlineStr">
        <is>
          <t>https://www.linkedin.com/company/amhliving/</t>
        </is>
      </c>
      <c r="Y21" s="6" t="inlineStr"/>
      <c r="Z21" s="6" t="inlineStr"/>
      <c r="AA21" s="6" t="inlineStr">
        <is>
          <t>(833) 736-8264</t>
        </is>
      </c>
      <c r="AB21" s="6" t="inlineStr">
        <is>
          <t>National line, listed for the Irving office</t>
        </is>
      </c>
      <c r="AC21" s="6" t="inlineStr">
        <is>
          <t>https://www.amh.com/offices</t>
        </is>
      </c>
      <c r="AD21" s="6" t="inlineStr"/>
      <c r="AE21" s="6" t="inlineStr"/>
    </row>
    <row r="22">
      <c r="A22" s="12" t="inlineStr">
        <is>
          <t>Steve Schermerhorn</t>
        </is>
      </c>
      <c r="B22" s="12" t="inlineStr">
        <is>
          <t>CB JENI Homes</t>
        </is>
      </c>
      <c r="C22" s="12" t="inlineStr">
        <is>
          <t>President, CB JENI Lifestyle, Normandy and Southgate Homes</t>
        </is>
      </c>
      <c r="D22" s="13" t="inlineStr">
        <is>
          <t>One gap</t>
        </is>
      </c>
      <c r="E22" s="14" t="n">
        <v>2</v>
      </c>
      <c r="F22" s="12" t="inlineStr">
        <is>
          <t>Printer buyer</t>
        </is>
      </c>
      <c r="G22" s="12" t="inlineStr">
        <is>
          <t>Townhome builder, a Green Brick brand</t>
        </is>
      </c>
      <c r="H22" s="12" t="inlineStr">
        <is>
          <t>Plano, with townhome communities across DFW</t>
        </is>
      </c>
      <c r="I22" s="12" t="inlineStr">
        <is>
          <t>11 DFW townhome communities listed on its site</t>
        </is>
      </c>
      <c r="J22" s="14" t="inlineStr">
        <is>
          <t>Yes</t>
        </is>
      </c>
      <c r="K22" s="15" t="inlineStr">
        <is>
          <t>One townhome plan library across DFW communities.</t>
        </is>
      </c>
      <c r="L22" s="14" t="inlineStr">
        <is>
          <t>Partly</t>
        </is>
      </c>
      <c r="M22" s="15" t="inlineStr">
        <is>
          <t>Two other Green Brick brands share its president. No brand closings figure published.</t>
        </is>
      </c>
      <c r="N22" s="14" t="inlineStr">
        <is>
          <t>No</t>
        </is>
      </c>
      <c r="O22" s="15" t="inlineStr">
        <is>
          <t>Design and sales awards only. No building method on record.</t>
        </is>
      </c>
      <c r="P22" s="6" t="inlineStr">
        <is>
          <t>https://www.linkedin.com/in/steve-schermerhorn-0b39605/</t>
        </is>
      </c>
      <c r="Q22" s="12" t="inlineStr"/>
      <c r="R22" s="16">
        <f>IF(P22="","ADD LINKEDIN","ok")</f>
        <v/>
      </c>
      <c r="S22" s="12" t="inlineStr">
        <is>
          <t>https://cbjenihomes.com/</t>
        </is>
      </c>
      <c r="T22" s="15" t="inlineStr">
        <is>
          <t>One townhome plan library across DFW. Its president, Steve Schermerhorn, runs three Green Brick brands.</t>
        </is>
      </c>
      <c r="U22" s="12" t="inlineStr">
        <is>
          <t>YES</t>
        </is>
      </c>
      <c r="V22" s="15" t="inlineStr">
        <is>
          <t>Indexed title: President at CB JENI, Normandy. Green Brick leadership page, Division Presidents.</t>
        </is>
      </c>
      <c r="W22" s="12" t="inlineStr">
        <is>
          <t>https://greenbrickpartners.com/leadership/</t>
        </is>
      </c>
      <c r="X22" s="12" t="inlineStr">
        <is>
          <t>https://www.linkedin.com/company/cb-jeni-homes/</t>
        </is>
      </c>
      <c r="Y22" s="12" t="inlineStr">
        <is>
          <t>https://greenbrickpartners.com/leadership/</t>
        </is>
      </c>
      <c r="Z22" s="12" t="inlineStr"/>
      <c r="AA22" s="12" t="inlineStr">
        <is>
          <t>(469) 573-6721</t>
        </is>
      </c>
      <c r="AB22" s="12" t="inlineStr">
        <is>
          <t>Green Brick Partners corporate, the parent</t>
        </is>
      </c>
      <c r="AC22" s="12" t="inlineStr">
        <is>
          <t>https://greenbrickpartners.com/about/</t>
        </is>
      </c>
      <c r="AD22" s="12" t="inlineStr"/>
      <c r="AE22" s="12" t="inlineStr"/>
    </row>
    <row r="23">
      <c r="A23" s="6" t="inlineStr">
        <is>
          <t>Lance Wright</t>
        </is>
      </c>
      <c r="B23" s="6" t="inlineStr">
        <is>
          <t>CastleRock Communities</t>
        </is>
      </c>
      <c r="C23" s="6" t="inlineStr">
        <is>
          <t>Chief Executive Officer</t>
        </is>
      </c>
      <c r="D23" s="7" t="inlineStr">
        <is>
          <t>One gap</t>
        </is>
      </c>
      <c r="E23" s="8" t="n">
        <v>2</v>
      </c>
      <c r="F23" s="6" t="inlineStr">
        <is>
          <t>Printer buyer</t>
        </is>
      </c>
      <c r="G23" s="6" t="inlineStr">
        <is>
          <t>Production homebuilder, run from Houston</t>
        </is>
      </c>
      <c r="H23" s="6" t="inlineStr">
        <is>
          <t>Houston headquarters, with DFW communities in Mesquite and Keller</t>
        </is>
      </c>
      <c r="I23" s="6" t="inlineStr">
        <is>
          <t>1,465 company-wide closings in 2025, across four states</t>
        </is>
      </c>
      <c r="J23" s="8" t="inlineStr">
        <is>
          <t>Yes</t>
        </is>
      </c>
      <c r="K23" s="9" t="inlineStr">
        <is>
          <t>Cobalt, Silver and Gold plan collections repeated across Texas markets.</t>
        </is>
      </c>
      <c r="L23" s="8" t="inlineStr">
        <is>
          <t>Partly</t>
        </is>
      </c>
      <c r="M23" s="9" t="inlineStr">
        <is>
          <t>1,465 company-wide closings in 2025. Purchasing sits at the Houston headquarters.</t>
        </is>
      </c>
      <c r="N23" s="8" t="inlineStr">
        <is>
          <t>No</t>
        </is>
      </c>
      <c r="O23" s="9" t="inlineStr">
        <is>
          <t>Nothing on record about wall method.</t>
        </is>
      </c>
      <c r="P23" s="10" t="inlineStr"/>
      <c r="Q23" s="6" t="inlineStr"/>
      <c r="R23" s="11">
        <f>IF(P23="","ADD LINKEDIN","ok")</f>
        <v/>
      </c>
      <c r="S23" s="6" t="inlineStr">
        <is>
          <t>https://www.c-rock.com/</t>
        </is>
      </c>
      <c r="T23" s="9" t="inlineStr">
        <is>
          <t>Run from Houston under Daiwa House ownership. Sells Cobalt, Silver and Gold plan collections.</t>
        </is>
      </c>
      <c r="U23" s="6" t="inlineStr"/>
      <c r="V23" s="9" t="inlineStr">
        <is>
          <t>CastleRock's about page. Founding partner and CEO, over sales, construction, purchasing and marketing.</t>
        </is>
      </c>
      <c r="W23" s="6" t="inlineStr">
        <is>
          <t>https://www.c-rock.com/about/</t>
        </is>
      </c>
      <c r="X23" s="6" t="inlineStr">
        <is>
          <t>https://www.linkedin.com/company/castlerock-communities/</t>
        </is>
      </c>
      <c r="Y23" s="6" t="inlineStr">
        <is>
          <t>https://www.c-rock.com/about/</t>
        </is>
      </c>
      <c r="Z23" s="6" t="inlineStr"/>
      <c r="AA23" s="6" t="inlineStr">
        <is>
          <t>(713) 600-7000</t>
        </is>
      </c>
      <c r="AB23" s="6" t="inlineStr">
        <is>
          <t>Main office, Houston</t>
        </is>
      </c>
      <c r="AC23" s="6" t="inlineStr">
        <is>
          <t>https://www.c-rock.com/</t>
        </is>
      </c>
      <c r="AD23" s="6" t="inlineStr"/>
      <c r="AE23" s="6" t="inlineStr"/>
    </row>
    <row r="24">
      <c r="A24" s="12" t="inlineStr">
        <is>
          <t>Kirk Breitenwischer</t>
        </is>
      </c>
      <c r="B24" s="12" t="inlineStr">
        <is>
          <t>CastleRock Communities</t>
        </is>
      </c>
      <c r="C24" s="12" t="inlineStr">
        <is>
          <t>Senior Executive Vice President</t>
        </is>
      </c>
      <c r="D24" s="13" t="inlineStr">
        <is>
          <t>One gap</t>
        </is>
      </c>
      <c r="E24" s="14" t="n">
        <v>2</v>
      </c>
      <c r="F24" s="12" t="inlineStr">
        <is>
          <t>Printer buyer</t>
        </is>
      </c>
      <c r="G24" s="12" t="inlineStr">
        <is>
          <t>Production homebuilder, run from Houston</t>
        </is>
      </c>
      <c r="H24" s="12" t="inlineStr">
        <is>
          <t>Houston headquarters, with DFW communities in Mesquite and Keller</t>
        </is>
      </c>
      <c r="I24" s="12" t="inlineStr">
        <is>
          <t>1,465 company-wide closings in 2025, across four states</t>
        </is>
      </c>
      <c r="J24" s="14" t="inlineStr">
        <is>
          <t>Yes</t>
        </is>
      </c>
      <c r="K24" s="15" t="inlineStr">
        <is>
          <t>Cobalt, Silver and Gold plan collections repeated across Texas markets.</t>
        </is>
      </c>
      <c r="L24" s="14" t="inlineStr">
        <is>
          <t>Partly</t>
        </is>
      </c>
      <c r="M24" s="15" t="inlineStr">
        <is>
          <t>1,465 company-wide closings in 2025. Purchasing sits at the Houston headquarters.</t>
        </is>
      </c>
      <c r="N24" s="14" t="inlineStr">
        <is>
          <t>No</t>
        </is>
      </c>
      <c r="O24" s="15" t="inlineStr">
        <is>
          <t>Nothing on record about wall method.</t>
        </is>
      </c>
      <c r="P24" s="10" t="inlineStr"/>
      <c r="Q24" s="12" t="inlineStr"/>
      <c r="R24" s="16">
        <f>IF(P24="","ADD LINKEDIN","ok")</f>
        <v/>
      </c>
      <c r="S24" s="12" t="inlineStr">
        <is>
          <t>https://www.c-rock.com/</t>
        </is>
      </c>
      <c r="T24" s="15" t="inlineStr">
        <is>
          <t>Run from Houston under Daiwa House ownership. Sells Cobalt, Silver and Gold plan collections.</t>
        </is>
      </c>
      <c r="U24" s="12" t="inlineStr"/>
      <c r="V24" s="15" t="inlineStr">
        <is>
          <t>CastleRock's about page. Partner and Senior Executive Vice President, over land.</t>
        </is>
      </c>
      <c r="W24" s="12" t="inlineStr">
        <is>
          <t>https://www.c-rock.com/about/</t>
        </is>
      </c>
      <c r="X24" s="12" t="inlineStr">
        <is>
          <t>https://www.linkedin.com/company/castlerock-communities/</t>
        </is>
      </c>
      <c r="Y24" s="12" t="inlineStr">
        <is>
          <t>https://www.c-rock.com/about/</t>
        </is>
      </c>
      <c r="Z24" s="12" t="inlineStr"/>
      <c r="AA24" s="12" t="inlineStr">
        <is>
          <t>(713) 600-7000</t>
        </is>
      </c>
      <c r="AB24" s="12" t="inlineStr">
        <is>
          <t>Main office, Houston</t>
        </is>
      </c>
      <c r="AC24" s="12" t="inlineStr">
        <is>
          <t>https://www.c-rock.com/</t>
        </is>
      </c>
      <c r="AD24" s="12" t="inlineStr"/>
      <c r="AE24" s="12" t="inlineStr"/>
    </row>
    <row r="25">
      <c r="A25" s="6" t="inlineStr">
        <is>
          <t>Trevor Brickman</t>
        </is>
      </c>
      <c r="B25" s="6" t="inlineStr">
        <is>
          <t>Centre Living Homes</t>
        </is>
      </c>
      <c r="C25" s="6" t="inlineStr">
        <is>
          <t>President</t>
        </is>
      </c>
      <c r="D25" s="7" t="inlineStr">
        <is>
          <t>One gap</t>
        </is>
      </c>
      <c r="E25" s="8" t="n">
        <v>2</v>
      </c>
      <c r="F25" s="6" t="inlineStr">
        <is>
          <t>Printer buyer</t>
        </is>
      </c>
      <c r="G25" s="6" t="inlineStr">
        <is>
          <t>Single-family and townhome builder, a Green Brick brand</t>
        </is>
      </c>
      <c r="H25" s="6" t="inlineStr">
        <is>
          <t>Dallas, with communities across DFW including Ellis County</t>
        </is>
      </c>
      <c r="I25" s="6" t="inlineStr">
        <is>
          <t>Seven selling communities at the end of 2025, per Green Brick</t>
        </is>
      </c>
      <c r="J25" s="8" t="inlineStr">
        <is>
          <t>Yes</t>
        </is>
      </c>
      <c r="K25" s="9" t="inlineStr">
        <is>
          <t>Single-family and townhome plans across several DFW communities.</t>
        </is>
      </c>
      <c r="L25" s="8" t="inlineStr">
        <is>
          <t>Partly</t>
        </is>
      </c>
      <c r="M25" s="9" t="inlineStr">
        <is>
          <t>No published closing figure.</t>
        </is>
      </c>
      <c r="N25" s="8" t="inlineStr">
        <is>
          <t>No</t>
        </is>
      </c>
      <c r="O25" s="9" t="inlineStr">
        <is>
          <t>Nothing on record.</t>
        </is>
      </c>
      <c r="P25" s="6" t="inlineStr">
        <is>
          <t>https://www.linkedin.com/in/trevor-brickman-3a52b582/</t>
        </is>
      </c>
      <c r="Q25" s="6" t="inlineStr"/>
      <c r="R25" s="11">
        <f>IF(P25="","ADD LINKEDIN","ok")</f>
        <v/>
      </c>
      <c r="S25" s="6" t="inlineStr">
        <is>
          <t>https://centrelivinghomes.com/</t>
        </is>
      </c>
      <c r="T25" s="9" t="inlineStr">
        <is>
          <t>Makes day-to-day decisions locally. Green Brick supplies its centralized purchasing.</t>
        </is>
      </c>
      <c r="U25" s="6" t="inlineStr">
        <is>
          <t>YES</t>
        </is>
      </c>
      <c r="V25" s="9" t="inlineStr">
        <is>
          <t>Indexed title: Centre Living Homes LLC. Green Brick leadership page. Founder, President since 2012.</t>
        </is>
      </c>
      <c r="W25" s="6" t="inlineStr">
        <is>
          <t>https://greenbrickpartners.com/leadership/</t>
        </is>
      </c>
      <c r="X25" s="6" t="inlineStr">
        <is>
          <t>https://www.linkedin.com/company/centre-living-homes/</t>
        </is>
      </c>
      <c r="Y25" s="6" t="inlineStr">
        <is>
          <t>https://greenbrickpartners.com/leadership/</t>
        </is>
      </c>
      <c r="Z25" s="6" t="inlineStr"/>
      <c r="AA25" s="6" t="inlineStr">
        <is>
          <t>(469) 567-3518</t>
        </is>
      </c>
      <c r="AB25" s="6" t="inlineStr">
        <is>
          <t>Main office, Dallas</t>
        </is>
      </c>
      <c r="AC25" s="6" t="inlineStr">
        <is>
          <t>https://centrelivinghomes.com/contact/</t>
        </is>
      </c>
      <c r="AD25" s="6" t="inlineStr"/>
      <c r="AE25" s="6" t="inlineStr"/>
    </row>
    <row r="26">
      <c r="A26" s="12" t="inlineStr">
        <is>
          <t>Josh E. Hartmann</t>
        </is>
      </c>
      <c r="B26" s="12" t="inlineStr">
        <is>
          <t>NexMetro Communities / Avilla</t>
        </is>
      </c>
      <c r="C26" s="12" t="inlineStr">
        <is>
          <t>Chief Executive Officer</t>
        </is>
      </c>
      <c r="D26" s="13" t="inlineStr">
        <is>
          <t>One gap</t>
        </is>
      </c>
      <c r="E26" s="14" t="n">
        <v>2</v>
      </c>
      <c r="F26" s="12" t="inlineStr">
        <is>
          <t>Client</t>
        </is>
      </c>
      <c r="G26" s="12" t="inlineStr">
        <is>
          <t>Build-to-rent developer</t>
        </is>
      </c>
      <c r="H26" s="12" t="inlineStr">
        <is>
          <t>Dallas office, with neighborhoods from Plano to Cleburne</t>
        </is>
      </c>
      <c r="I26" s="12" t="inlineStr">
        <is>
          <t>Over 2,750 DFW homes built since 2017</t>
        </is>
      </c>
      <c r="J26" s="14" t="inlineStr">
        <is>
          <t>Yes</t>
        </is>
      </c>
      <c r="K26" s="15" t="inlineStr">
        <is>
          <t>Avilla plans repeated across 16 DFW neighborhoods.</t>
        </is>
      </c>
      <c r="L26" s="14" t="inlineStr">
        <is>
          <t>Partly</t>
        </is>
      </c>
      <c r="M26" s="15" t="inlineStr">
        <is>
          <t>Single sites run 151 to 315 homes. In-house or general contractor build is not published.</t>
        </is>
      </c>
      <c r="N26" s="14" t="inlineStr">
        <is>
          <t>No</t>
        </is>
      </c>
      <c r="O26" s="15" t="inlineStr">
        <is>
          <t>Nothing on record.</t>
        </is>
      </c>
      <c r="P26" s="10" t="inlineStr"/>
      <c r="Q26" s="12" t="inlineStr"/>
      <c r="R26" s="16">
        <f>IF(P26="","ADD LINKEDIN","ok")</f>
        <v/>
      </c>
      <c r="S26" s="12" t="inlineStr">
        <is>
          <t>https://www.nexmetro.com/</t>
        </is>
      </c>
      <c r="T26" s="15" t="inlineStr">
        <is>
          <t>Repeats Avilla plans across 16 DFW neighborhoods. Its directory names a National Purchasing Manager and a director of construction.</t>
        </is>
      </c>
      <c r="U26" s="12" t="inlineStr"/>
      <c r="V26" s="15" t="inlineStr">
        <is>
          <t>NexMetro directory.</t>
        </is>
      </c>
      <c r="W26" s="12" t="inlineStr">
        <is>
          <t>https://www.nexmetro.com/directory.php</t>
        </is>
      </c>
      <c r="X26" s="12" t="inlineStr">
        <is>
          <t>https://www.linkedin.com/company/nexmetro-communities/</t>
        </is>
      </c>
      <c r="Y26" s="12" t="inlineStr">
        <is>
          <t>https://www.nexmetro.com/directory.php</t>
        </is>
      </c>
      <c r="Z26" s="12" t="inlineStr">
        <is>
          <t>2025-07-28 MultifamilyBiz / NexMetro. NexMetro Opens 16th Avilla Community in Dallas-Fort Worth Market (Avilla Railhead)  https://daltxrealestate.com/national-build-to-rent-developer-nexmetro-opens-16th-community-in-dallas-fort-worth-market/</t>
        </is>
      </c>
      <c r="AA26" s="12" t="inlineStr">
        <is>
          <t>(469) 249-1819</t>
        </is>
      </c>
      <c r="AB26" s="12" t="inlineStr">
        <is>
          <t>Dallas office</t>
        </is>
      </c>
      <c r="AC26" s="12" t="inlineStr">
        <is>
          <t>https://www.nexmetro.com/contact.php</t>
        </is>
      </c>
      <c r="AD26" s="12" t="inlineStr"/>
      <c r="AE26" s="12" t="inlineStr"/>
    </row>
    <row r="27">
      <c r="A27" s="6" t="inlineStr">
        <is>
          <t>Drew Klasing</t>
        </is>
      </c>
      <c r="B27" s="6" t="inlineStr">
        <is>
          <t>NexMetro Communities / Avilla</t>
        </is>
      </c>
      <c r="C27" s="6" t="inlineStr">
        <is>
          <t>Regional Managing Director, Dallas and Tampa</t>
        </is>
      </c>
      <c r="D27" s="7" t="inlineStr">
        <is>
          <t>One gap</t>
        </is>
      </c>
      <c r="E27" s="8" t="n">
        <v>2</v>
      </c>
      <c r="F27" s="6" t="inlineStr">
        <is>
          <t>Client</t>
        </is>
      </c>
      <c r="G27" s="6" t="inlineStr">
        <is>
          <t>Build-to-rent developer</t>
        </is>
      </c>
      <c r="H27" s="6" t="inlineStr">
        <is>
          <t>Dallas office, with neighborhoods from Plano to Cleburne</t>
        </is>
      </c>
      <c r="I27" s="6" t="inlineStr">
        <is>
          <t>Over 2,750 DFW homes built since 2017</t>
        </is>
      </c>
      <c r="J27" s="8" t="inlineStr">
        <is>
          <t>Yes</t>
        </is>
      </c>
      <c r="K27" s="9" t="inlineStr">
        <is>
          <t>Avilla plans repeated across 16 DFW neighborhoods.</t>
        </is>
      </c>
      <c r="L27" s="8" t="inlineStr">
        <is>
          <t>Partly</t>
        </is>
      </c>
      <c r="M27" s="9" t="inlineStr">
        <is>
          <t>Single sites run 151 to 315 homes. In-house or general contractor build is not published.</t>
        </is>
      </c>
      <c r="N27" s="8" t="inlineStr">
        <is>
          <t>No</t>
        </is>
      </c>
      <c r="O27" s="9" t="inlineStr">
        <is>
          <t>Nothing on record.</t>
        </is>
      </c>
      <c r="P27" s="10" t="inlineStr"/>
      <c r="Q27" s="6" t="inlineStr"/>
      <c r="R27" s="11">
        <f>IF(P27="","ADD LINKEDIN","ok")</f>
        <v/>
      </c>
      <c r="S27" s="6" t="inlineStr">
        <is>
          <t>https://www.nexmetro.com/</t>
        </is>
      </c>
      <c r="T27" s="9" t="inlineStr">
        <is>
          <t>Repeats Avilla plans across 16 DFW neighborhoods. Its directory names a National Purchasing Manager and a director of construction.</t>
        </is>
      </c>
      <c r="U27" s="6" t="inlineStr"/>
      <c r="V27" s="9" t="inlineStr">
        <is>
          <t>NexMetro directory.</t>
        </is>
      </c>
      <c r="W27" s="6" t="inlineStr">
        <is>
          <t>https://www.nexmetro.com/directory.php</t>
        </is>
      </c>
      <c r="X27" s="6" t="inlineStr">
        <is>
          <t>https://www.linkedin.com/company/nexmetro-communities/</t>
        </is>
      </c>
      <c r="Y27" s="6" t="inlineStr">
        <is>
          <t>https://www.nexmetro.com/directory.php</t>
        </is>
      </c>
      <c r="Z27" s="6" t="inlineStr">
        <is>
          <t>2025-07-28 MultifamilyBiz / NexMetro. NexMetro Opens 16th Avilla Community in Dallas-Fort Worth Market (Avilla Railhead)  https://daltxrealestate.com/national-build-to-rent-developer-nexmetro-opens-16th-community-in-dallas-fort-worth-market/</t>
        </is>
      </c>
      <c r="AA27" s="6" t="inlineStr">
        <is>
          <t>(469) 249-1819</t>
        </is>
      </c>
      <c r="AB27" s="6" t="inlineStr">
        <is>
          <t>Dallas office</t>
        </is>
      </c>
      <c r="AC27" s="6" t="inlineStr">
        <is>
          <t>https://www.nexmetro.com/contact.php</t>
        </is>
      </c>
      <c r="AD27" s="6" t="inlineStr"/>
      <c r="AE27" s="6" t="inlineStr"/>
    </row>
    <row r="28">
      <c r="A28" s="12" t="inlineStr">
        <is>
          <t>Bernadette Bendit</t>
        </is>
      </c>
      <c r="B28" s="12" t="inlineStr">
        <is>
          <t>NexMetro Communities / Avilla</t>
        </is>
      </c>
      <c r="C28" s="12" t="inlineStr">
        <is>
          <t>National Purchasing Manager</t>
        </is>
      </c>
      <c r="D28" s="13" t="inlineStr">
        <is>
          <t>One gap</t>
        </is>
      </c>
      <c r="E28" s="14" t="n">
        <v>2</v>
      </c>
      <c r="F28" s="12" t="inlineStr">
        <is>
          <t>Client</t>
        </is>
      </c>
      <c r="G28" s="12" t="inlineStr">
        <is>
          <t>Build-to-rent developer</t>
        </is>
      </c>
      <c r="H28" s="12" t="inlineStr">
        <is>
          <t>Dallas office, with neighborhoods from Plano to Cleburne</t>
        </is>
      </c>
      <c r="I28" s="12" t="inlineStr">
        <is>
          <t>Over 2,750 DFW homes built since 2017</t>
        </is>
      </c>
      <c r="J28" s="14" t="inlineStr">
        <is>
          <t>Yes</t>
        </is>
      </c>
      <c r="K28" s="15" t="inlineStr">
        <is>
          <t>Avilla plans repeated across 16 DFW neighborhoods.</t>
        </is>
      </c>
      <c r="L28" s="14" t="inlineStr">
        <is>
          <t>Partly</t>
        </is>
      </c>
      <c r="M28" s="15" t="inlineStr">
        <is>
          <t>Single sites run 151 to 315 homes. In-house or general contractor build is not published.</t>
        </is>
      </c>
      <c r="N28" s="14" t="inlineStr">
        <is>
          <t>No</t>
        </is>
      </c>
      <c r="O28" s="15" t="inlineStr">
        <is>
          <t>Nothing on record.</t>
        </is>
      </c>
      <c r="P28" s="10" t="inlineStr"/>
      <c r="Q28" s="12" t="inlineStr"/>
      <c r="R28" s="16">
        <f>IF(P28="","ADD LINKEDIN","ok")</f>
        <v/>
      </c>
      <c r="S28" s="12" t="inlineStr">
        <is>
          <t>https://www.nexmetro.com/</t>
        </is>
      </c>
      <c r="T28" s="15" t="inlineStr">
        <is>
          <t>Repeats Avilla plans across 16 DFW neighborhoods. Its directory names a National Purchasing Manager and a director of construction.</t>
        </is>
      </c>
      <c r="U28" s="12" t="inlineStr">
        <is>
          <t>YES</t>
        </is>
      </c>
      <c r="V28" s="15" t="inlineStr">
        <is>
          <t>NexMetro directory.</t>
        </is>
      </c>
      <c r="W28" s="12" t="inlineStr">
        <is>
          <t>https://www.nexmetro.com/directory.php</t>
        </is>
      </c>
      <c r="X28" s="12" t="inlineStr">
        <is>
          <t>https://www.linkedin.com/company/nexmetro-communities/</t>
        </is>
      </c>
      <c r="Y28" s="12" t="inlineStr">
        <is>
          <t>https://www.nexmetro.com/directory.php</t>
        </is>
      </c>
      <c r="Z28" s="12" t="inlineStr">
        <is>
          <t>2025-07-28 MultifamilyBiz / NexMetro. NexMetro Opens 16th Avilla Community in Dallas-Fort Worth Market (Avilla Railhead)  https://daltxrealestate.com/national-build-to-rent-developer-nexmetro-opens-16th-community-in-dallas-fort-worth-market/</t>
        </is>
      </c>
      <c r="AA28" s="12" t="inlineStr">
        <is>
          <t>(469) 249-1819</t>
        </is>
      </c>
      <c r="AB28" s="12" t="inlineStr">
        <is>
          <t>Dallas office</t>
        </is>
      </c>
      <c r="AC28" s="12" t="inlineStr">
        <is>
          <t>https://www.nexmetro.com/contact.php</t>
        </is>
      </c>
      <c r="AD28" s="12" t="inlineStr"/>
      <c r="AE28" s="12" t="inlineStr"/>
    </row>
    <row r="29">
      <c r="A29" s="6" t="inlineStr">
        <is>
          <t>Mark Barton</t>
        </is>
      </c>
      <c r="B29" s="6" t="inlineStr">
        <is>
          <t>NexMetro Communities / Avilla</t>
        </is>
      </c>
      <c r="C29" s="6" t="inlineStr">
        <is>
          <t>Director of Construction</t>
        </is>
      </c>
      <c r="D29" s="7" t="inlineStr">
        <is>
          <t>One gap</t>
        </is>
      </c>
      <c r="E29" s="8" t="n">
        <v>2</v>
      </c>
      <c r="F29" s="6" t="inlineStr">
        <is>
          <t>Client</t>
        </is>
      </c>
      <c r="G29" s="6" t="inlineStr">
        <is>
          <t>Build-to-rent developer</t>
        </is>
      </c>
      <c r="H29" s="6" t="inlineStr">
        <is>
          <t>Dallas office, with neighborhoods from Plano to Cleburne</t>
        </is>
      </c>
      <c r="I29" s="6" t="inlineStr">
        <is>
          <t>Over 2,750 DFW homes built since 2017</t>
        </is>
      </c>
      <c r="J29" s="8" t="inlineStr">
        <is>
          <t>Yes</t>
        </is>
      </c>
      <c r="K29" s="9" t="inlineStr">
        <is>
          <t>Avilla plans repeated across 16 DFW neighborhoods.</t>
        </is>
      </c>
      <c r="L29" s="8" t="inlineStr">
        <is>
          <t>Partly</t>
        </is>
      </c>
      <c r="M29" s="9" t="inlineStr">
        <is>
          <t>Single sites run 151 to 315 homes. In-house or general contractor build is not published.</t>
        </is>
      </c>
      <c r="N29" s="8" t="inlineStr">
        <is>
          <t>No</t>
        </is>
      </c>
      <c r="O29" s="9" t="inlineStr">
        <is>
          <t>Nothing on record.</t>
        </is>
      </c>
      <c r="P29" s="10" t="inlineStr"/>
      <c r="Q29" s="6" t="inlineStr"/>
      <c r="R29" s="11">
        <f>IF(P29="","ADD LINKEDIN","ok")</f>
        <v/>
      </c>
      <c r="S29" s="6" t="inlineStr">
        <is>
          <t>https://www.nexmetro.com/</t>
        </is>
      </c>
      <c r="T29" s="9" t="inlineStr">
        <is>
          <t>Repeats Avilla plans across 16 DFW neighborhoods. Its directory names a National Purchasing Manager and a director of construction.</t>
        </is>
      </c>
      <c r="U29" s="6" t="inlineStr">
        <is>
          <t>YES</t>
        </is>
      </c>
      <c r="V29" s="9" t="inlineStr">
        <is>
          <t>NexMetro directory.</t>
        </is>
      </c>
      <c r="W29" s="6" t="inlineStr">
        <is>
          <t>https://www.nexmetro.com/directory.php</t>
        </is>
      </c>
      <c r="X29" s="6" t="inlineStr">
        <is>
          <t>https://www.linkedin.com/company/nexmetro-communities/</t>
        </is>
      </c>
      <c r="Y29" s="6" t="inlineStr">
        <is>
          <t>https://www.nexmetro.com/directory.php</t>
        </is>
      </c>
      <c r="Z29" s="6" t="inlineStr">
        <is>
          <t>2025-07-28 MultifamilyBiz / NexMetro. NexMetro Opens 16th Avilla Community in Dallas-Fort Worth Market (Avilla Railhead)  https://daltxrealestate.com/national-build-to-rent-developer-nexmetro-opens-16th-community-in-dallas-fort-worth-market/</t>
        </is>
      </c>
      <c r="AA29" s="6" t="inlineStr">
        <is>
          <t>(469) 249-1819</t>
        </is>
      </c>
      <c r="AB29" s="6" t="inlineStr">
        <is>
          <t>Dallas office</t>
        </is>
      </c>
      <c r="AC29" s="6" t="inlineStr">
        <is>
          <t>https://www.nexmetro.com/contact.php</t>
        </is>
      </c>
      <c r="AD29" s="6" t="inlineStr"/>
      <c r="AE29" s="6" t="inlineStr"/>
    </row>
    <row r="30">
      <c r="A30" s="12" t="inlineStr">
        <is>
          <t>Steve Schermerhorn</t>
        </is>
      </c>
      <c r="B30" s="12" t="inlineStr">
        <is>
          <t>Normandy Homes</t>
        </is>
      </c>
      <c r="C30" s="12" t="inlineStr">
        <is>
          <t>President, CB JENI Lifestyle, Normandy and Southgate Homes</t>
        </is>
      </c>
      <c r="D30" s="13" t="inlineStr">
        <is>
          <t>One gap</t>
        </is>
      </c>
      <c r="E30" s="14" t="n">
        <v>2</v>
      </c>
      <c r="F30" s="12" t="inlineStr">
        <is>
          <t>Printer buyer</t>
        </is>
      </c>
      <c r="G30" s="12" t="inlineStr">
        <is>
          <t>Move-up homebuilder, a Green Brick brand</t>
        </is>
      </c>
      <c r="H30" s="12" t="inlineStr">
        <is>
          <t>Dallas-Fort Worth, a Green Brick Partners brand</t>
        </is>
      </c>
      <c r="I30" s="12" t="inlineStr">
        <is>
          <t>Green Brick move-up brand in DFW since 2012</t>
        </is>
      </c>
      <c r="J30" s="14" t="inlineStr">
        <is>
          <t>Yes</t>
        </is>
      </c>
      <c r="K30" s="15" t="inlineStr">
        <is>
          <t>Move-up single-family plan library in DFW.</t>
        </is>
      </c>
      <c r="L30" s="14" t="inlineStr">
        <is>
          <t>Partly</t>
        </is>
      </c>
      <c r="M30" s="15" t="inlineStr">
        <is>
          <t>No brand closing figure published.</t>
        </is>
      </c>
      <c r="N30" s="14" t="inlineStr">
        <is>
          <t>No</t>
        </is>
      </c>
      <c r="O30" s="15" t="inlineStr">
        <is>
          <t>Design and sales awards only. No building method on record.</t>
        </is>
      </c>
      <c r="P30" s="6" t="inlineStr">
        <is>
          <t>https://www.linkedin.com/in/steve-schermerhorn-0b39605/</t>
        </is>
      </c>
      <c r="Q30" s="12" t="inlineStr"/>
      <c r="R30" s="16">
        <f>IF(P30="","ADD LINKEDIN","ok")</f>
        <v/>
      </c>
      <c r="S30" s="12" t="inlineStr">
        <is>
          <t>https://normandyhomes.com/</t>
        </is>
      </c>
      <c r="T30" s="15" t="inlineStr">
        <is>
          <t>Builds at Painted Tree, among other DFW communities. Its president, Steve Schermerhorn, also runs CB JENI.</t>
        </is>
      </c>
      <c r="U30" s="12" t="inlineStr">
        <is>
          <t>YES</t>
        </is>
      </c>
      <c r="V30" s="15" t="inlineStr">
        <is>
          <t>Indexed title: President at CB JENI, Normandy. Green Brick leadership page, Division Presidents.</t>
        </is>
      </c>
      <c r="W30" s="12" t="inlineStr">
        <is>
          <t>https://greenbrickpartners.com/leadership/</t>
        </is>
      </c>
      <c r="X30" s="12" t="inlineStr">
        <is>
          <t>https://www.linkedin.com/company/normandy-homes/</t>
        </is>
      </c>
      <c r="Y30" s="12" t="inlineStr">
        <is>
          <t>https://greenbrickpartners.com/leadership/</t>
        </is>
      </c>
      <c r="Z30" s="12" t="inlineStr"/>
      <c r="AA30" s="12" t="inlineStr">
        <is>
          <t>(469) 573-6721</t>
        </is>
      </c>
      <c r="AB30" s="12" t="inlineStr">
        <is>
          <t>Green Brick Partners corporate, parent company</t>
        </is>
      </c>
      <c r="AC30" s="12" t="inlineStr">
        <is>
          <t>https://greenbrickpartners.com/about/</t>
        </is>
      </c>
      <c r="AD30" s="12" t="inlineStr"/>
      <c r="AE30" s="12" t="inlineStr"/>
    </row>
    <row r="31">
      <c r="A31" s="6" t="inlineStr">
        <is>
          <t>Blake Friesenhahn</t>
        </is>
      </c>
      <c r="B31" s="6" t="inlineStr">
        <is>
          <t>Pacesetter Homes Texas</t>
        </is>
      </c>
      <c r="C31" s="6" t="inlineStr">
        <is>
          <t>Vice President, Pacesetter Homes Dallas-Fort Worth</t>
        </is>
      </c>
      <c r="D31" s="7" t="inlineStr">
        <is>
          <t>One gap</t>
        </is>
      </c>
      <c r="E31" s="8" t="n">
        <v>2</v>
      </c>
      <c r="F31" s="6" t="inlineStr">
        <is>
          <t>Printer buyer</t>
        </is>
      </c>
      <c r="G31" s="6" t="inlineStr">
        <is>
          <t>Production homebuilder</t>
        </is>
      </c>
      <c r="H31" s="6" t="inlineStr">
        <is>
          <t>McKinney office, with communities in Celina, Little Elm, Forney, Rockwall and Justin</t>
        </is>
      </c>
      <c r="I31" s="6" t="inlineStr">
        <is>
          <t>482 closings company-wide in 2025, Austin and DFW</t>
        </is>
      </c>
      <c r="J31" s="8" t="inlineStr">
        <is>
          <t>Yes</t>
        </is>
      </c>
      <c r="K31" s="9" t="inlineStr">
        <is>
          <t>Plans repeated in Celina, Little Elm, Forney, Rockwall and the Justin corridor.</t>
        </is>
      </c>
      <c r="L31" s="8" t="inlineStr">
        <is>
          <t>Partly</t>
        </is>
      </c>
      <c r="M31" s="9" t="inlineStr">
        <is>
          <t>482 closings in 2025 across Austin and DFW. No DFW share published.</t>
        </is>
      </c>
      <c r="N31" s="8" t="inlineStr">
        <is>
          <t>No</t>
        </is>
      </c>
      <c r="O31" s="9" t="inlineStr">
        <is>
          <t>Nothing on record.</t>
        </is>
      </c>
      <c r="P31" s="10" t="inlineStr"/>
      <c r="Q31" s="6" t="inlineStr"/>
      <c r="R31" s="11">
        <f>IF(P31="","ADD LINKEDIN","ok")</f>
        <v/>
      </c>
      <c r="S31" s="6" t="inlineStr">
        <is>
          <t>https://pacesetterhomestexas.com/</t>
        </is>
      </c>
      <c r="T31" s="9" t="inlineStr">
        <is>
          <t>Repeats plans in Celina, Little Elm, Forney, Rockwall and the Justin corridor. Part of the Qualico family.</t>
        </is>
      </c>
      <c r="U31" s="6" t="inlineStr">
        <is>
          <t>YES</t>
        </is>
      </c>
      <c r="V31" s="9" t="inlineStr">
        <is>
          <t>Qualico news release, May 29, 2025.</t>
        </is>
      </c>
      <c r="W31" s="6" t="inlineStr">
        <is>
          <t>https://www.qualico.com/news/pacesetter-homes-texas-earns-spot-on-builder-100-list-for-the-ninth-consecutive-year</t>
        </is>
      </c>
      <c r="X31" s="6" t="inlineStr">
        <is>
          <t>https://www.linkedin.com/company/pacesetter-homes-texas/</t>
        </is>
      </c>
      <c r="Y31" s="6" t="inlineStr"/>
      <c r="Z31" s="6" t="inlineStr">
        <is>
          <t>2025-05-29 Qualico. Pacesetter Homes Texas earns spot on Builder 100 list for the ninth consecutive year  https://www.qualico.com/news/pacesetter-homes-texas-earns-spot-on-builder-100-list-for-the-ninth-consecutive-year</t>
        </is>
      </c>
      <c r="AA31" s="6" t="inlineStr">
        <is>
          <t>(469) 712-7401</t>
        </is>
      </c>
      <c r="AB31" s="6" t="inlineStr">
        <is>
          <t>Dallas corporate office, McKinney</t>
        </is>
      </c>
      <c r="AC31" s="6" t="inlineStr">
        <is>
          <t>https://pacesetterhomestexas.com/about-pacesetter/</t>
        </is>
      </c>
      <c r="AD31" s="6" t="inlineStr"/>
      <c r="AE31" s="6" t="inlineStr"/>
    </row>
    <row r="32">
      <c r="A32" s="12" t="inlineStr">
        <is>
          <t>Steve Schermerhorn</t>
        </is>
      </c>
      <c r="B32" s="12" t="inlineStr">
        <is>
          <t>Southgate Homes</t>
        </is>
      </c>
      <c r="C32" s="12" t="inlineStr">
        <is>
          <t>President, CB JENI Lifestyle, Normandy and Southgate Homes</t>
        </is>
      </c>
      <c r="D32" s="13" t="inlineStr">
        <is>
          <t>One gap</t>
        </is>
      </c>
      <c r="E32" s="14" t="n">
        <v>2</v>
      </c>
      <c r="F32" s="12" t="inlineStr">
        <is>
          <t>Printer buyer</t>
        </is>
      </c>
      <c r="G32" s="12" t="inlineStr">
        <is>
          <t>Luxury homebuilder, a Green Brick brand</t>
        </is>
      </c>
      <c r="H32" s="12" t="inlineStr">
        <is>
          <t>Dallas-Fort Worth, a Green Brick Partners brand</t>
        </is>
      </c>
      <c r="I32" s="12" t="inlineStr">
        <is>
          <t>Five selling communities at the end of 2025, per Green Brick</t>
        </is>
      </c>
      <c r="J32" s="14" t="inlineStr">
        <is>
          <t>Yes</t>
        </is>
      </c>
      <c r="K32" s="15" t="inlineStr">
        <is>
          <t>Production plans in a limited set of DFW communities.</t>
        </is>
      </c>
      <c r="L32" s="14" t="inlineStr">
        <is>
          <t>Partly</t>
        </is>
      </c>
      <c r="M32" s="15" t="inlineStr">
        <is>
          <t>Two other Green Brick brands share its president. No brand closing figure published.</t>
        </is>
      </c>
      <c r="N32" s="14" t="inlineStr">
        <is>
          <t>No</t>
        </is>
      </c>
      <c r="O32" s="15" t="inlineStr">
        <is>
          <t>Design and sales awards only. No building method on record.</t>
        </is>
      </c>
      <c r="P32" s="6" t="inlineStr">
        <is>
          <t>https://www.linkedin.com/in/steve-schermerhorn-0b39605/</t>
        </is>
      </c>
      <c r="Q32" s="12" t="inlineStr"/>
      <c r="R32" s="16">
        <f>IF(P32="","ADD LINKEDIN","ok")</f>
        <v/>
      </c>
      <c r="S32" s="12" t="inlineStr">
        <is>
          <t>https://southgatehomes.com/</t>
        </is>
      </c>
      <c r="T32" s="15" t="inlineStr">
        <is>
          <t>Builds at The Reserve at Watters, Painted Tree and Windsong Ranch. Its president, Steve Schermerhorn, also runs CB JENI and Normandy.</t>
        </is>
      </c>
      <c r="U32" s="12" t="inlineStr">
        <is>
          <t>YES</t>
        </is>
      </c>
      <c r="V32" s="15" t="inlineStr">
        <is>
          <t>Indexed title: President at CB JENI, Normandy. Green Brick leadership page.</t>
        </is>
      </c>
      <c r="W32" s="12" t="inlineStr">
        <is>
          <t>https://greenbrickpartners.com/leadership/</t>
        </is>
      </c>
      <c r="X32" s="12" t="inlineStr">
        <is>
          <t>https://www.linkedin.com/company/southgate-homes/</t>
        </is>
      </c>
      <c r="Y32" s="12" t="inlineStr">
        <is>
          <t>https://greenbrickpartners.com/leadership/</t>
        </is>
      </c>
      <c r="Z32" s="12" t="inlineStr"/>
      <c r="AA32" s="12" t="inlineStr">
        <is>
          <t>(469) 573-6721</t>
        </is>
      </c>
      <c r="AB32" s="12" t="inlineStr">
        <is>
          <t>Green Brick Partners corporate, parent company</t>
        </is>
      </c>
      <c r="AC32" s="12" t="inlineStr">
        <is>
          <t>https://greenbrickpartners.com/about/</t>
        </is>
      </c>
      <c r="AD32" s="12" t="inlineStr"/>
      <c r="AE32" s="12" t="inlineStr"/>
    </row>
    <row r="33">
      <c r="A33" s="6" t="inlineStr">
        <is>
          <t>Chris Wicker</t>
        </is>
      </c>
      <c r="B33" s="6" t="inlineStr">
        <is>
          <t>Trophy Signature Homes</t>
        </is>
      </c>
      <c r="C33" s="6" t="inlineStr">
        <is>
          <t>President, Trophy Signature Homes Dallas</t>
        </is>
      </c>
      <c r="D33" s="7" t="inlineStr">
        <is>
          <t>One gap</t>
        </is>
      </c>
      <c r="E33" s="8" t="n">
        <v>2</v>
      </c>
      <c r="F33" s="6" t="inlineStr">
        <is>
          <t>Printer buyer</t>
        </is>
      </c>
      <c r="G33" s="6" t="inlineStr">
        <is>
          <t>Entry-level and move-up homebuilder, a Green Brick brand</t>
        </is>
      </c>
      <c r="H33" s="6" t="inlineStr">
        <is>
          <t>Dallas-Fort Worth, with Austin and Houston added</t>
        </is>
      </c>
      <c r="I33" s="6" t="inlineStr">
        <is>
          <t>Parent Green Brick: 3,196 DFW closings in 2025</t>
        </is>
      </c>
      <c r="J33" s="8" t="inlineStr">
        <is>
          <t>Yes</t>
        </is>
      </c>
      <c r="K33" s="9" t="inlineStr">
        <is>
          <t>Entry-level and move-up plans under one brand. Austin added in 2023, Houston announced in 2024.</t>
        </is>
      </c>
      <c r="L33" s="8" t="inlineStr">
        <is>
          <t>Partly</t>
        </is>
      </c>
      <c r="M33" s="9" t="inlineStr">
        <is>
          <t>No closing figure published for the brand alone.</t>
        </is>
      </c>
      <c r="N33" s="8" t="inlineStr">
        <is>
          <t>No</t>
        </is>
      </c>
      <c r="O33" s="9" t="inlineStr">
        <is>
          <t>Under 90 days average cycle time, the lowest in brand history. Not a new wall method.</t>
        </is>
      </c>
      <c r="P33" s="6" t="inlineStr">
        <is>
          <t>https://www.linkedin.com/in/chris-wicker-08776a66/</t>
        </is>
      </c>
      <c r="Q33" s="6" t="inlineStr"/>
      <c r="R33" s="11">
        <f>IF(P33="","ADD LINKEDIN","ok")</f>
        <v/>
      </c>
      <c r="S33" s="6" t="inlineStr">
        <is>
          <t>https://trophysignaturehomes.com/</t>
        </is>
      </c>
      <c r="T33" s="9" t="inlineStr">
        <is>
          <t>Its DFW cycle time is under 90 days. Land and purchasing sit at the parent.</t>
        </is>
      </c>
      <c r="U33" s="6" t="inlineStr">
        <is>
          <t>YES</t>
        </is>
      </c>
      <c r="V33" s="9" t="inlineStr">
        <is>
          <t>Indexed title: Trophy Signature Homes. Green Brick leadership page. Promoted December 2024.</t>
        </is>
      </c>
      <c r="W33" s="6" t="inlineStr">
        <is>
          <t>https://greenbrickpartners.com/leadership/</t>
        </is>
      </c>
      <c r="X33" s="6" t="inlineStr">
        <is>
          <t>https://www.linkedin.com/company/trophysignaturehomes/</t>
        </is>
      </c>
      <c r="Y33" s="6" t="inlineStr">
        <is>
          <t>https://greenbrickpartners.com/team-member/chris-wicker/</t>
        </is>
      </c>
      <c r="Z33" s="6" t="inlineStr"/>
      <c r="AA33" s="6" t="inlineStr">
        <is>
          <t>(469) 573-6721</t>
        </is>
      </c>
      <c r="AB33" s="6" t="inlineStr">
        <is>
          <t>Green Brick Partners corporate office, Plano</t>
        </is>
      </c>
      <c r="AC33" s="6" t="inlineStr">
        <is>
          <t>https://greenbrickpartners.com/about/</t>
        </is>
      </c>
      <c r="AD33" s="6" t="inlineStr"/>
      <c r="AE33" s="6" t="inlineStr"/>
    </row>
    <row r="34">
      <c r="A34" s="12" t="inlineStr">
        <is>
          <t>Jed Dolson</t>
        </is>
      </c>
      <c r="B34" s="12" t="inlineStr">
        <is>
          <t>Trophy Signature Homes</t>
        </is>
      </c>
      <c r="C34" s="12" t="inlineStr">
        <is>
          <t>President and Chief Operating Officer, Green Brick Partners. Co-Chief Executive Officer from 15 October 2026</t>
        </is>
      </c>
      <c r="D34" s="13" t="inlineStr">
        <is>
          <t>One gap</t>
        </is>
      </c>
      <c r="E34" s="14" t="n">
        <v>2</v>
      </c>
      <c r="F34" s="12" t="inlineStr">
        <is>
          <t>Printer buyer</t>
        </is>
      </c>
      <c r="G34" s="12" t="inlineStr">
        <is>
          <t>Entry-level and move-up homebuilder, a Green Brick brand</t>
        </is>
      </c>
      <c r="H34" s="12" t="inlineStr">
        <is>
          <t>Dallas-Fort Worth, with Austin and Houston added</t>
        </is>
      </c>
      <c r="I34" s="12" t="inlineStr">
        <is>
          <t>Parent Green Brick: 3,196 DFW closings in 2025</t>
        </is>
      </c>
      <c r="J34" s="14" t="inlineStr">
        <is>
          <t>Yes</t>
        </is>
      </c>
      <c r="K34" s="15" t="inlineStr">
        <is>
          <t>Entry-level and move-up plans under one brand. Austin added in 2023, Houston announced in 2024.</t>
        </is>
      </c>
      <c r="L34" s="14" t="inlineStr">
        <is>
          <t>Partly</t>
        </is>
      </c>
      <c r="M34" s="15" t="inlineStr">
        <is>
          <t>No closing figure published for the brand alone.</t>
        </is>
      </c>
      <c r="N34" s="14" t="inlineStr">
        <is>
          <t>No</t>
        </is>
      </c>
      <c r="O34" s="15" t="inlineStr">
        <is>
          <t>Under 90 days average cycle time, the lowest in brand history. Not a new wall method.</t>
        </is>
      </c>
      <c r="P34" s="6" t="inlineStr">
        <is>
          <t>https://www.linkedin.com/in/jed-dolson/</t>
        </is>
      </c>
      <c r="Q34" s="12" t="inlineStr"/>
      <c r="R34" s="16">
        <f>IF(P34="","ADD LINKEDIN","ok")</f>
        <v/>
      </c>
      <c r="S34" s="12" t="inlineStr">
        <is>
          <t>https://trophysignaturehomes.com/</t>
        </is>
      </c>
      <c r="T34" s="15" t="inlineStr">
        <is>
          <t>Its DFW cycle time is under 90 days. Land and purchasing sit at the parent.</t>
        </is>
      </c>
      <c r="U34" s="12" t="inlineStr"/>
      <c r="V34" s="15" t="inlineStr">
        <is>
          <t>Indexed title: Chief Operating Officer and Executive Vice President, Green Brick Partners. Green Brick leadership page and 30 July 2026 release. Formerly President, Texas region.</t>
        </is>
      </c>
      <c r="W34" s="12" t="inlineStr">
        <is>
          <t>https://greenbrickpartners.com/leadership/</t>
        </is>
      </c>
      <c r="X34" s="12" t="inlineStr">
        <is>
          <t>https://www.linkedin.com/company/trophysignaturehomes/</t>
        </is>
      </c>
      <c r="Y34" s="12" t="inlineStr">
        <is>
          <t>https://greenbrickpartners.com/team-member/chris-wicker/</t>
        </is>
      </c>
      <c r="Z34" s="12" t="inlineStr"/>
      <c r="AA34" s="12" t="inlineStr">
        <is>
          <t>(469) 573-6721</t>
        </is>
      </c>
      <c r="AB34" s="12" t="inlineStr">
        <is>
          <t>Green Brick Partners corporate office, Plano</t>
        </is>
      </c>
      <c r="AC34" s="12" t="inlineStr">
        <is>
          <t>https://greenbrickpartners.com/about/</t>
        </is>
      </c>
      <c r="AD34" s="12" t="inlineStr"/>
      <c r="AE34" s="12" t="inlineStr"/>
    </row>
    <row r="35">
      <c r="A35" s="6" t="inlineStr">
        <is>
          <t>no contact identified</t>
        </is>
      </c>
      <c r="B35" s="6" t="inlineStr">
        <is>
          <t>William Ryan Homes</t>
        </is>
      </c>
      <c r="C35" s="6" t="inlineStr"/>
      <c r="D35" s="7" t="inlineStr">
        <is>
          <t>One gap</t>
        </is>
      </c>
      <c r="E35" s="8" t="n">
        <v>2</v>
      </c>
      <c r="F35" s="6" t="inlineStr">
        <is>
          <t>Printer buyer</t>
        </is>
      </c>
      <c r="G35" s="6" t="inlineStr">
        <is>
          <t>Production homebuilder</t>
        </is>
      </c>
      <c r="H35" s="6" t="inlineStr">
        <is>
          <t>Farmers Branch design center, with communities across North Texas</t>
        </is>
      </c>
      <c r="I35" s="6" t="inlineStr">
        <is>
          <t>436 company-wide closings in 2025, BUILDER rank 117</t>
        </is>
      </c>
      <c r="J35" s="8" t="inlineStr">
        <is>
          <t>Yes</t>
        </is>
      </c>
      <c r="K35" s="9" t="inlineStr">
        <is>
          <t>Floor-plan catalog repeated in Forney, Midlothian, Justin, Celina, McKinney, Anna and Royse City.</t>
        </is>
      </c>
      <c r="L35" s="8" t="inlineStr">
        <is>
          <t>Partly</t>
        </is>
      </c>
      <c r="M35" s="9" t="inlineStr">
        <is>
          <t>436 company-wide closings in 2025, no DFW share. 2023 regional goal was about 500 a year.</t>
        </is>
      </c>
      <c r="N35" s="8" t="inlineStr">
        <is>
          <t>No</t>
        </is>
      </c>
      <c r="O35" s="9" t="inlineStr">
        <is>
          <t>Nothing on record.</t>
        </is>
      </c>
      <c r="P35" s="10" t="inlineStr"/>
      <c r="Q35" s="6" t="inlineStr"/>
      <c r="R35" s="11">
        <f>IF(P35="","ADD LINKEDIN","ok")</f>
        <v/>
      </c>
      <c r="S35" s="6" t="inlineStr">
        <is>
          <t>https://www.williamryanhomes.com/dfw</t>
        </is>
      </c>
      <c r="T35" s="9" t="inlineStr">
        <is>
          <t>Returned to DFW in 2023 with lots under contract across North Texas. Sells one repeated floor-plan catalog.</t>
        </is>
      </c>
      <c r="U35" s="6" t="inlineStr"/>
      <c r="V35" s="9" t="inlineStr"/>
      <c r="W35" s="6" t="inlineStr"/>
      <c r="X35" s="6" t="inlineStr">
        <is>
          <t>https://www.linkedin.com/company/william-ryan-homes/</t>
        </is>
      </c>
      <c r="Y35" s="6" t="inlineStr"/>
      <c r="Z35" s="6" t="inlineStr">
        <is>
          <t>2023-07-07 Dallas Morning News. Chicago builder that left D-FW returns to area, takes 1,500 home sites  https://www.dallasnews.com/business/real-estate/2023/07/07/chicago-builder-that-left-d-fw-returns-to-area-takes-1500-home-sites/</t>
        </is>
      </c>
      <c r="AA35" s="6" t="inlineStr"/>
      <c r="AB35" s="6" t="inlineStr"/>
      <c r="AC35" s="6" t="inlineStr"/>
      <c r="AD35" s="6" t="inlineStr"/>
      <c r="AE35" s="6" t="inlineStr"/>
    </row>
    <row r="36">
      <c r="A36" s="12" t="inlineStr">
        <is>
          <t>Mark Wolf</t>
        </is>
      </c>
      <c r="B36" s="12" t="inlineStr">
        <is>
          <t>AHV Communities</t>
        </is>
      </c>
      <c r="C36" s="12" t="inlineStr">
        <is>
          <t>Co-founder and CEO</t>
        </is>
      </c>
      <c r="D36" s="13" t="inlineStr">
        <is>
          <t>One gap</t>
        </is>
      </c>
      <c r="E36" s="14" t="n">
        <v>2</v>
      </c>
      <c r="F36" s="12" t="inlineStr">
        <is>
          <t>Printer buyer</t>
        </is>
      </c>
      <c r="G36" s="12" t="inlineStr">
        <is>
          <t>Build-to-rent developer and builder</t>
        </is>
      </c>
      <c r="H36" s="12" t="inlineStr">
        <is>
          <t>San Antonio headquarters, first DFW project in McKinney</t>
        </is>
      </c>
      <c r="I36" s="12" t="inlineStr">
        <is>
          <t>157-home first DFW project on 38 acres, McKinney</t>
        </is>
      </c>
      <c r="J36" s="14" t="inlineStr">
        <is>
          <t>Yes</t>
        </is>
      </c>
      <c r="K36" s="15" t="inlineStr">
        <is>
          <t>One 38-acre McKinney site with rental plans repeated.</t>
        </is>
      </c>
      <c r="L36" s="14" t="inlineStr">
        <is>
          <t>Partly</t>
        </is>
      </c>
      <c r="M36" s="15" t="inlineStr">
        <is>
          <t>157 homes is a project total, not a yearly figure.</t>
        </is>
      </c>
      <c r="N36" s="14" t="inlineStr">
        <is>
          <t>No</t>
        </is>
      </c>
      <c r="O36" s="15" t="inlineStr">
        <is>
          <t>Nothing on record.</t>
        </is>
      </c>
      <c r="P36" s="10" t="inlineStr"/>
      <c r="Q36" s="12" t="inlineStr"/>
      <c r="R36" s="16">
        <f>IF(P36="","ADD LINKEDIN","ok")</f>
        <v/>
      </c>
      <c r="S36" s="12" t="inlineStr">
        <is>
          <t>https://ahvcommunities.com/</t>
        </is>
      </c>
      <c r="T36" s="15" t="inlineStr">
        <is>
          <t>Develops, builds and operates its own rental communities. Headquartered in San Antonio, moved from Costa Mesa.</t>
        </is>
      </c>
      <c r="U36" s="12" t="inlineStr">
        <is>
          <t>YES</t>
        </is>
      </c>
      <c r="V36" s="15" t="inlineStr">
        <is>
          <t>CandysDirt article, July 2022.</t>
        </is>
      </c>
      <c r="W36" s="12" t="inlineStr">
        <is>
          <t>https://candysdirt.com/2022/07/10/san-antonio-company-finds-a-sweet-spot-with-first-north-texas-project/</t>
        </is>
      </c>
      <c r="X36" s="12" t="inlineStr">
        <is>
          <t>https://www.linkedin.com/company/ahv-communities/</t>
        </is>
      </c>
      <c r="Y36" s="12" t="inlineStr"/>
      <c r="Z36" s="12" t="inlineStr">
        <is>
          <t>2024 DALTX Real Estate. San Antonio company finds a sweet spot with first North Texas project  https://daltxrealestate.com/san-antonio-company-finds-a-sweet-spot-with-first-north-texas-project/</t>
        </is>
      </c>
      <c r="AA36" s="12" t="inlineStr">
        <is>
          <t>(949) 508-2099</t>
        </is>
      </c>
      <c r="AB36" s="12" t="inlineStr">
        <is>
          <t>Main line, on the firm's homepage</t>
        </is>
      </c>
      <c r="AC36" s="12" t="inlineStr">
        <is>
          <t>https://ahvcommunities.com/</t>
        </is>
      </c>
      <c r="AD36" s="12" t="inlineStr"/>
      <c r="AE36" s="12" t="inlineStr"/>
    </row>
    <row r="37">
      <c r="A37" s="6" t="inlineStr">
        <is>
          <t>Kevin Egan</t>
        </is>
      </c>
      <c r="B37" s="6" t="inlineStr">
        <is>
          <t>American Legend Homes</t>
        </is>
      </c>
      <c r="C37" s="6" t="inlineStr">
        <is>
          <t>Chief Executive Officer</t>
        </is>
      </c>
      <c r="D37" s="7" t="inlineStr">
        <is>
          <t>One gap</t>
        </is>
      </c>
      <c r="E37" s="8" t="n">
        <v>2</v>
      </c>
      <c r="F37" s="6" t="inlineStr">
        <is>
          <t>Printer buyer</t>
        </is>
      </c>
      <c r="G37" s="6" t="inlineStr">
        <is>
          <t>Production homebuilder</t>
        </is>
      </c>
      <c r="H37" s="6" t="inlineStr">
        <is>
          <t>Lewisville, with communities across DFW and in Colorado</t>
        </is>
      </c>
      <c r="I37" s="6" t="inlineStr">
        <is>
          <t>636 company-wide closings in 2025, 87th on Builder 100</t>
        </is>
      </c>
      <c r="J37" s="8" t="inlineStr">
        <is>
          <t>Yes</t>
        </is>
      </c>
      <c r="K37" s="9" t="inlineStr">
        <is>
          <t>Production plans sold on masterplan builder rosters.</t>
        </is>
      </c>
      <c r="L37" s="8" t="inlineStr">
        <is>
          <t>Partly</t>
        </is>
      </c>
      <c r="M37" s="9" t="inlineStr">
        <is>
          <t>636 closings in 2025 across Texas and Colorado. No DFW-only figure published.</t>
        </is>
      </c>
      <c r="N37" s="8" t="inlineStr">
        <is>
          <t>No</t>
        </is>
      </c>
      <c r="O37" s="9" t="inlineStr">
        <is>
          <t>Low-E argon windows, TechShield radiant barrier, 16 SEER systems, tankless heaters. No new wall method.</t>
        </is>
      </c>
      <c r="P37" s="10" t="inlineStr"/>
      <c r="Q37" s="6" t="inlineStr"/>
      <c r="R37" s="11">
        <f>IF(P37="","ADD LINKEDIN","ok")</f>
        <v/>
      </c>
      <c r="S37" s="6" t="inlineStr">
        <is>
          <t>https://www.amlegendhomes.com/</t>
        </is>
      </c>
      <c r="T37" s="9" t="inlineStr">
        <is>
          <t>Every home is HERS-rated by an independent energy rater. Family and employee-owned, with a sister brand, Belclaire.</t>
        </is>
      </c>
      <c r="U37" s="6" t="inlineStr"/>
      <c r="V37" s="9" t="inlineStr">
        <is>
          <t>Firm's blog post, December 14, 2022. Named Chief Executive Officer after serving as president.</t>
        </is>
      </c>
      <c r="W37" s="6" t="inlineStr">
        <is>
          <t>https://www.amlegendhomes.com/blog/american-legend-homes-announces-new-ceo-and-leadership-team</t>
        </is>
      </c>
      <c r="X37" s="6" t="inlineStr">
        <is>
          <t>https://www.linkedin.com/company/american-legend-homes/</t>
        </is>
      </c>
      <c r="Y37" s="6" t="inlineStr">
        <is>
          <t>https://www.amlegendhomes.com/blog/american-legend-homes-announces-new-ceo-and-leadership-team</t>
        </is>
      </c>
      <c r="Z37" s="6" t="inlineStr"/>
      <c r="AA37" s="6" t="inlineStr">
        <is>
          <t>(972) 410-5701</t>
        </is>
      </c>
      <c r="AB37" s="6" t="inlineStr">
        <is>
          <t>Texas corporate office</t>
        </is>
      </c>
      <c r="AC37" s="6" t="inlineStr">
        <is>
          <t>https://www.amlegendhomes.com/</t>
        </is>
      </c>
      <c r="AD37" s="6" t="inlineStr"/>
      <c r="AE37" s="6" t="inlineStr"/>
    </row>
    <row r="38">
      <c r="A38" s="12" t="inlineStr">
        <is>
          <t>Paul Miller</t>
        </is>
      </c>
      <c r="B38" s="12" t="inlineStr">
        <is>
          <t>American Legend Homes</t>
        </is>
      </c>
      <c r="C38" s="12" t="inlineStr">
        <is>
          <t>President and Chief Operating Officer</t>
        </is>
      </c>
      <c r="D38" s="13" t="inlineStr">
        <is>
          <t>One gap</t>
        </is>
      </c>
      <c r="E38" s="14" t="n">
        <v>2</v>
      </c>
      <c r="F38" s="12" t="inlineStr">
        <is>
          <t>Printer buyer</t>
        </is>
      </c>
      <c r="G38" s="12" t="inlineStr">
        <is>
          <t>Production homebuilder</t>
        </is>
      </c>
      <c r="H38" s="12" t="inlineStr">
        <is>
          <t>Lewisville, with communities across DFW and in Colorado</t>
        </is>
      </c>
      <c r="I38" s="12" t="inlineStr">
        <is>
          <t>636 company-wide closings in 2025, 87th on Builder 100</t>
        </is>
      </c>
      <c r="J38" s="14" t="inlineStr">
        <is>
          <t>Yes</t>
        </is>
      </c>
      <c r="K38" s="15" t="inlineStr">
        <is>
          <t>Production plans sold on masterplan builder rosters.</t>
        </is>
      </c>
      <c r="L38" s="14" t="inlineStr">
        <is>
          <t>Partly</t>
        </is>
      </c>
      <c r="M38" s="15" t="inlineStr">
        <is>
          <t>636 closings in 2025 across Texas and Colorado. No DFW-only figure published.</t>
        </is>
      </c>
      <c r="N38" s="14" t="inlineStr">
        <is>
          <t>No</t>
        </is>
      </c>
      <c r="O38" s="15" t="inlineStr">
        <is>
          <t>Low-E argon windows, TechShield radiant barrier, 16 SEER systems, tankless heaters. No new wall method.</t>
        </is>
      </c>
      <c r="P38" s="10" t="inlineStr"/>
      <c r="Q38" s="12" t="inlineStr"/>
      <c r="R38" s="16">
        <f>IF(P38="","ADD LINKEDIN","ok")</f>
        <v/>
      </c>
      <c r="S38" s="12" t="inlineStr">
        <is>
          <t>https://www.amlegendhomes.com/</t>
        </is>
      </c>
      <c r="T38" s="15" t="inlineStr">
        <is>
          <t>Every home is HERS-rated by an independent energy rater. Family and employee-owned, with a sister brand, Belclaire.</t>
        </is>
      </c>
      <c r="U38" s="12" t="inlineStr"/>
      <c r="V38" s="15" t="inlineStr">
        <is>
          <t>Firm's blog post, December 14, 2022. Named President and Chief Operating Officer.</t>
        </is>
      </c>
      <c r="W38" s="12" t="inlineStr">
        <is>
          <t>https://www.amlegendhomes.com/blog/american-legend-homes-announces-new-ceo-and-leadership-team</t>
        </is>
      </c>
      <c r="X38" s="12" t="inlineStr">
        <is>
          <t>https://www.linkedin.com/company/american-legend-homes/</t>
        </is>
      </c>
      <c r="Y38" s="12" t="inlineStr">
        <is>
          <t>https://www.amlegendhomes.com/blog/american-legend-homes-announces-new-ceo-and-leadership-team</t>
        </is>
      </c>
      <c r="Z38" s="12" t="inlineStr"/>
      <c r="AA38" s="12" t="inlineStr">
        <is>
          <t>(972) 410-5701</t>
        </is>
      </c>
      <c r="AB38" s="12" t="inlineStr">
        <is>
          <t>Texas corporate office</t>
        </is>
      </c>
      <c r="AC38" s="12" t="inlineStr">
        <is>
          <t>https://www.amlegendhomes.com/</t>
        </is>
      </c>
      <c r="AD38" s="12" t="inlineStr"/>
      <c r="AE38" s="12" t="inlineStr"/>
    </row>
    <row r="39">
      <c r="A39" s="6" t="inlineStr">
        <is>
          <t>Bruno Pasquinelli</t>
        </is>
      </c>
      <c r="B39" s="6" t="inlineStr">
        <is>
          <t>Cadence Homes</t>
        </is>
      </c>
      <c r="C39" s="6" t="inlineStr">
        <is>
          <t>Founder</t>
        </is>
      </c>
      <c r="D39" s="7" t="inlineStr">
        <is>
          <t>One gap</t>
        </is>
      </c>
      <c r="E39" s="8" t="n">
        <v>2</v>
      </c>
      <c r="F39" s="6" t="inlineStr">
        <is>
          <t>Printer buyer</t>
        </is>
      </c>
      <c r="G39" s="6" t="inlineStr">
        <is>
          <t>Townhome builder</t>
        </is>
      </c>
      <c r="H39" s="6" t="inlineStr">
        <is>
          <t>Plano, with communities from McKinney to Crowley</t>
        </is>
      </c>
      <c r="I39" s="6" t="inlineStr">
        <is>
          <t>Townhome builder, eight DFW communities on its site</t>
        </is>
      </c>
      <c r="J39" s="8" t="inlineStr">
        <is>
          <t>Yes</t>
        </is>
      </c>
      <c r="K39" s="9" t="inlineStr">
        <is>
          <t>Plan library repeated in at least eight DFW communities.</t>
        </is>
      </c>
      <c r="L39" s="8" t="inlineStr">
        <is>
          <t>Partly</t>
        </is>
      </c>
      <c r="M39" s="9" t="inlineStr">
        <is>
          <t>Townhomes in at least eight DFW communities. Annual closings not published.</t>
        </is>
      </c>
      <c r="N39" s="8" t="inlineStr">
        <is>
          <t>No</t>
        </is>
      </c>
      <c r="O39" s="9" t="inlineStr">
        <is>
          <t>Nothing on record.</t>
        </is>
      </c>
      <c r="P39" s="10" t="inlineStr"/>
      <c r="Q39" s="6" t="inlineStr"/>
      <c r="R39" s="11">
        <f>IF(P39="","ADD LINKEDIN","ok")</f>
        <v/>
      </c>
      <c r="S39" s="6" t="inlineStr">
        <is>
          <t>https://cadencehomestx.com/</t>
        </is>
      </c>
      <c r="T39" s="9" t="inlineStr">
        <is>
          <t>Repeats one attached-townhome plan library across DFW, from McKinney to Crowley. Bruno Pasquinelli founded it.</t>
        </is>
      </c>
      <c r="U39" s="6" t="inlineStr">
        <is>
          <t>YES</t>
        </is>
      </c>
      <c r="V39" s="9" t="inlineStr">
        <is>
          <t>Trinity Falls builder page. Over 30 years of experience.</t>
        </is>
      </c>
      <c r="W39" s="6" t="inlineStr">
        <is>
          <t>https://cadencehomestx.com/</t>
        </is>
      </c>
      <c r="X39" s="6" t="inlineStr">
        <is>
          <t>https://www.linkedin.com/company/cadence-homes/</t>
        </is>
      </c>
      <c r="Y39" s="6" t="inlineStr"/>
      <c r="Z39" s="6" t="inlineStr"/>
      <c r="AA39" s="6" t="inlineStr">
        <is>
          <t>(469) 294-0196</t>
        </is>
      </c>
      <c r="AB39" s="6" t="inlineStr">
        <is>
          <t>Corporate office, Plano</t>
        </is>
      </c>
      <c r="AC39" s="6" t="inlineStr">
        <is>
          <t>https://cadencehomestx.com/</t>
        </is>
      </c>
      <c r="AD39" s="6" t="inlineStr"/>
      <c r="AE39" s="6" t="inlineStr"/>
    </row>
    <row r="40">
      <c r="A40" s="12" t="inlineStr">
        <is>
          <t>Dan Miller</t>
        </is>
      </c>
      <c r="B40" s="12" t="inlineStr">
        <is>
          <t>Camillo Companies / SimplyHome</t>
        </is>
      </c>
      <c r="C40" s="12" t="inlineStr">
        <is>
          <t>Chief Executive Officer, Camillo Companies</t>
        </is>
      </c>
      <c r="D40" s="13" t="inlineStr">
        <is>
          <t>One gap</t>
        </is>
      </c>
      <c r="E40" s="14" t="n">
        <v>2</v>
      </c>
      <c r="F40" s="12" t="inlineStr">
        <is>
          <t>Printer buyer</t>
        </is>
      </c>
      <c r="G40" s="12" t="inlineStr">
        <is>
          <t>Build-to-rent builder and owner</t>
        </is>
      </c>
      <c r="H40" s="12" t="inlineStr">
        <is>
          <t>Houston-based, with SimplyHome rentals in Dallas-Fort Worth</t>
        </is>
      </c>
      <c r="I40" s="12" t="inlineStr">
        <is>
          <t>65,000+ SimplyHome residents since 2012, its own count</t>
        </is>
      </c>
      <c r="J40" s="14" t="inlineStr">
        <is>
          <t>Yes</t>
        </is>
      </c>
      <c r="K40" s="15" t="inlineStr">
        <is>
          <t>Rental plans repeated across SimplyHome communities in Texas.</t>
        </is>
      </c>
      <c r="L40" s="14" t="inlineStr">
        <is>
          <t>Partly</t>
        </is>
      </c>
      <c r="M40" s="15" t="inlineStr">
        <is>
          <t>No DFW build volume. Which DFW communities it built or bought is not published.</t>
        </is>
      </c>
      <c r="N40" s="14" t="inlineStr">
        <is>
          <t>No</t>
        </is>
      </c>
      <c r="O40" s="15" t="inlineStr">
        <is>
          <t>Nothing on record.</t>
        </is>
      </c>
      <c r="P40" s="6" t="inlineStr">
        <is>
          <t>https://www.linkedin.com/in/dan-miller/</t>
        </is>
      </c>
      <c r="Q40" s="12" t="inlineStr"/>
      <c r="R40" s="16">
        <f>IF(P40="","ADD LINKEDIN","ok")</f>
        <v/>
      </c>
      <c r="S40" s="12" t="inlineStr">
        <is>
          <t>https://www.camillocompanies.com/</t>
        </is>
      </c>
      <c r="T40" s="15" t="inlineStr">
        <is>
          <t>Develops and rents homes across Texas through SimplyHome. Named Dan Miller Chief Executive Officer on August 4, 2025.</t>
        </is>
      </c>
      <c r="U40" s="12" t="inlineStr"/>
      <c r="V40" s="15" t="inlineStr">
        <is>
          <t>Indexed title: Chief Executive Officer at Camillo Companies. Camillo release, August 4, 2025.</t>
        </is>
      </c>
      <c r="W40" s="12" t="inlineStr">
        <is>
          <t>https://www.camillocompanies.com/camillo-companies-names-dan-miller-as-ceo</t>
        </is>
      </c>
      <c r="X40" s="12" t="inlineStr">
        <is>
          <t>https://www.linkedin.com/company/camillo-companies/</t>
        </is>
      </c>
      <c r="Y40" s="12" t="inlineStr">
        <is>
          <t>https://www.camillocompanies.com/camillo-companies-names-dan-miller-as-ceo</t>
        </is>
      </c>
      <c r="Z40" s="12" t="inlineStr"/>
      <c r="AA40" s="12" t="inlineStr">
        <is>
          <t>(888) 234-9451</t>
        </is>
      </c>
      <c r="AB40" s="12" t="inlineStr">
        <is>
          <t>Camillo Companies main line</t>
        </is>
      </c>
      <c r="AC40" s="12" t="inlineStr">
        <is>
          <t>https://www.camillocompanies.com/</t>
        </is>
      </c>
      <c r="AD40" s="12" t="inlineStr"/>
      <c r="AE40" s="12" t="inlineStr"/>
    </row>
    <row r="41">
      <c r="A41" s="6" t="inlineStr">
        <is>
          <t>Matt Hansen</t>
        </is>
      </c>
      <c r="B41" s="6" t="inlineStr">
        <is>
          <t>Camillo Companies / SimplyHome</t>
        </is>
      </c>
      <c r="C41" s="6" t="inlineStr">
        <is>
          <t>President, SimplyHome</t>
        </is>
      </c>
      <c r="D41" s="7" t="inlineStr">
        <is>
          <t>One gap</t>
        </is>
      </c>
      <c r="E41" s="8" t="n">
        <v>2</v>
      </c>
      <c r="F41" s="6" t="inlineStr">
        <is>
          <t>Printer buyer</t>
        </is>
      </c>
      <c r="G41" s="6" t="inlineStr">
        <is>
          <t>Build-to-rent builder and owner</t>
        </is>
      </c>
      <c r="H41" s="6" t="inlineStr">
        <is>
          <t>Houston-based, with SimplyHome rentals in Dallas-Fort Worth</t>
        </is>
      </c>
      <c r="I41" s="6" t="inlineStr">
        <is>
          <t>65,000+ SimplyHome residents since 2012, its own count</t>
        </is>
      </c>
      <c r="J41" s="8" t="inlineStr">
        <is>
          <t>Yes</t>
        </is>
      </c>
      <c r="K41" s="9" t="inlineStr">
        <is>
          <t>Rental plans repeated across SimplyHome communities in Texas.</t>
        </is>
      </c>
      <c r="L41" s="8" t="inlineStr">
        <is>
          <t>Partly</t>
        </is>
      </c>
      <c r="M41" s="9" t="inlineStr">
        <is>
          <t>No DFW build volume. Which DFW communities it built or bought is not published.</t>
        </is>
      </c>
      <c r="N41" s="8" t="inlineStr">
        <is>
          <t>No</t>
        </is>
      </c>
      <c r="O41" s="9" t="inlineStr">
        <is>
          <t>Nothing on record.</t>
        </is>
      </c>
      <c r="P41" s="10" t="inlineStr"/>
      <c r="Q41" s="6" t="inlineStr"/>
      <c r="R41" s="11">
        <f>IF(P41="","ADD LINKEDIN","ok")</f>
        <v/>
      </c>
      <c r="S41" s="6" t="inlineStr">
        <is>
          <t>https://www.camillocompanies.com/</t>
        </is>
      </c>
      <c r="T41" s="9" t="inlineStr">
        <is>
          <t>Develops and rents homes across Texas through SimplyHome. Named Dan Miller Chief Executive Officer on August 4, 2025.</t>
        </is>
      </c>
      <c r="U41" s="6" t="inlineStr"/>
      <c r="V41" s="9" t="inlineStr">
        <is>
          <t>Camillo blog, May 22, 2023.</t>
        </is>
      </c>
      <c r="W41" s="6" t="inlineStr">
        <is>
          <t>https://www.camillocompanies.com/blog/camillo-companies-names-tanya-rizzo-president-legend-homes-matt-hansen-president-simplyhome</t>
        </is>
      </c>
      <c r="X41" s="6" t="inlineStr">
        <is>
          <t>https://www.linkedin.com/company/camillo-companies/</t>
        </is>
      </c>
      <c r="Y41" s="6" t="inlineStr">
        <is>
          <t>https://www.camillocompanies.com/camillo-companies-names-dan-miller-as-ceo</t>
        </is>
      </c>
      <c r="Z41" s="6" t="inlineStr"/>
      <c r="AA41" s="6" t="inlineStr">
        <is>
          <t>(888) 234-9451</t>
        </is>
      </c>
      <c r="AB41" s="6" t="inlineStr">
        <is>
          <t>Camillo Companies main line</t>
        </is>
      </c>
      <c r="AC41" s="6" t="inlineStr">
        <is>
          <t>https://www.camillocompanies.com/</t>
        </is>
      </c>
      <c r="AD41" s="6" t="inlineStr"/>
      <c r="AE41" s="6" t="inlineStr"/>
    </row>
    <row r="42">
      <c r="A42" s="12" t="inlineStr">
        <is>
          <t>Joey Goss</t>
        </is>
      </c>
      <c r="B42" s="12" t="inlineStr">
        <is>
          <t>Cheldan Homes</t>
        </is>
      </c>
      <c r="C42" s="12" t="inlineStr">
        <is>
          <t>Chief Executive Officer and Founder</t>
        </is>
      </c>
      <c r="D42" s="13" t="inlineStr">
        <is>
          <t>One gap</t>
        </is>
      </c>
      <c r="E42" s="14" t="n">
        <v>2</v>
      </c>
      <c r="F42" s="12" t="inlineStr">
        <is>
          <t>Printer buyer</t>
        </is>
      </c>
      <c r="G42" s="12" t="inlineStr">
        <is>
          <t>Family homebuilder</t>
        </is>
      </c>
      <c r="H42" s="12" t="inlineStr">
        <is>
          <t>Fort Worth, with communities in Boyd, Cleburne, Venus, Graham, Keene and Springtown</t>
        </is>
      </c>
      <c r="I42" s="12" t="inlineStr">
        <is>
          <t>Seven communities around Fort Worth, per its own site</t>
        </is>
      </c>
      <c r="J42" s="14" t="inlineStr">
        <is>
          <t>Yes</t>
        </is>
      </c>
      <c r="K42" s="15" t="inlineStr">
        <is>
          <t>One plan library, including the Essex, across its communities.</t>
        </is>
      </c>
      <c r="L42" s="14" t="inlineStr">
        <is>
          <t>Partly</t>
        </is>
      </c>
      <c r="M42" s="15" t="inlineStr">
        <is>
          <t>Seven communities west and south of Fort Worth. Annual closings not published.</t>
        </is>
      </c>
      <c r="N42" s="14" t="inlineStr">
        <is>
          <t>No</t>
        </is>
      </c>
      <c r="O42" s="15" t="inlineStr">
        <is>
          <t>A 2025 JCBA energy award covers one community. Nothing on record about wall method.</t>
        </is>
      </c>
      <c r="P42" s="10" t="inlineStr"/>
      <c r="Q42" s="12" t="inlineStr"/>
      <c r="R42" s="16">
        <f>IF(P42="","ADD LINKEDIN","ok")</f>
        <v/>
      </c>
      <c r="S42" s="12" t="inlineStr">
        <is>
          <t>https://www.cheldanhomes.com/</t>
        </is>
      </c>
      <c r="T42" s="15" t="inlineStr">
        <is>
          <t>One plan library, including the Essex, west and south of Fort Worth. Its team page names CEO Joey Goss and two vice presidents.</t>
        </is>
      </c>
      <c r="U42" s="12" t="inlineStr">
        <is>
          <t>YES</t>
        </is>
      </c>
      <c r="V42" s="15" t="inlineStr">
        <is>
          <t>Meet the Team page.</t>
        </is>
      </c>
      <c r="W42" s="12" t="inlineStr">
        <is>
          <t>https://www.cheldanhomes.com/meet-the-team</t>
        </is>
      </c>
      <c r="X42" s="12" t="inlineStr">
        <is>
          <t>https://www.linkedin.com/company/cheldan-homes/</t>
        </is>
      </c>
      <c r="Y42" s="12" t="inlineStr">
        <is>
          <t>https://www.cheldanhomes.com/meet-the-team</t>
        </is>
      </c>
      <c r="Z42" s="12" t="inlineStr"/>
      <c r="AA42" s="12" t="inlineStr">
        <is>
          <t>(817) 244-3450</t>
        </is>
      </c>
      <c r="AB42" s="12" t="inlineStr">
        <is>
          <t>Main office, Fort Worth</t>
        </is>
      </c>
      <c r="AC42" s="12" t="inlineStr">
        <is>
          <t>https://www.cheldanhomes.com/contact-us</t>
        </is>
      </c>
      <c r="AD42" s="12" t="inlineStr"/>
      <c r="AE42" s="12" t="inlineStr"/>
    </row>
    <row r="43">
      <c r="A43" s="6" t="inlineStr">
        <is>
          <t>Trey Hart</t>
        </is>
      </c>
      <c r="B43" s="6" t="inlineStr">
        <is>
          <t>Cheldan Homes</t>
        </is>
      </c>
      <c r="C43" s="6" t="inlineStr">
        <is>
          <t>Vice President of Operations</t>
        </is>
      </c>
      <c r="D43" s="7" t="inlineStr">
        <is>
          <t>One gap</t>
        </is>
      </c>
      <c r="E43" s="8" t="n">
        <v>2</v>
      </c>
      <c r="F43" s="6" t="inlineStr">
        <is>
          <t>Printer buyer</t>
        </is>
      </c>
      <c r="G43" s="6" t="inlineStr">
        <is>
          <t>Family homebuilder</t>
        </is>
      </c>
      <c r="H43" s="6" t="inlineStr">
        <is>
          <t>Fort Worth, with communities in Boyd, Cleburne, Venus, Graham, Keene and Springtown</t>
        </is>
      </c>
      <c r="I43" s="6" t="inlineStr">
        <is>
          <t>Seven communities around Fort Worth, per its own site</t>
        </is>
      </c>
      <c r="J43" s="8" t="inlineStr">
        <is>
          <t>Yes</t>
        </is>
      </c>
      <c r="K43" s="9" t="inlineStr">
        <is>
          <t>One plan library, including the Essex, across its communities.</t>
        </is>
      </c>
      <c r="L43" s="8" t="inlineStr">
        <is>
          <t>Partly</t>
        </is>
      </c>
      <c r="M43" s="9" t="inlineStr">
        <is>
          <t>Seven communities west and south of Fort Worth. Annual closings not published.</t>
        </is>
      </c>
      <c r="N43" s="8" t="inlineStr">
        <is>
          <t>No</t>
        </is>
      </c>
      <c r="O43" s="9" t="inlineStr">
        <is>
          <t>A 2025 JCBA energy award covers one community. Nothing on record about wall method.</t>
        </is>
      </c>
      <c r="P43" s="10" t="inlineStr"/>
      <c r="Q43" s="6" t="inlineStr"/>
      <c r="R43" s="11">
        <f>IF(P43="","ADD LINKEDIN","ok")</f>
        <v/>
      </c>
      <c r="S43" s="6" t="inlineStr">
        <is>
          <t>https://www.cheldanhomes.com/</t>
        </is>
      </c>
      <c r="T43" s="9" t="inlineStr">
        <is>
          <t>One plan library, including the Essex, west and south of Fort Worth. Its team page names CEO Joey Goss and two vice presidents.</t>
        </is>
      </c>
      <c r="U43" s="6" t="inlineStr"/>
      <c r="V43" s="9" t="inlineStr">
        <is>
          <t>Meet the Team page.</t>
        </is>
      </c>
      <c r="W43" s="6" t="inlineStr">
        <is>
          <t>https://www.cheldanhomes.com/meet-the-team</t>
        </is>
      </c>
      <c r="X43" s="6" t="inlineStr">
        <is>
          <t>https://www.linkedin.com/company/cheldan-homes/</t>
        </is>
      </c>
      <c r="Y43" s="6" t="inlineStr">
        <is>
          <t>https://www.cheldanhomes.com/meet-the-team</t>
        </is>
      </c>
      <c r="Z43" s="6" t="inlineStr"/>
      <c r="AA43" s="6" t="inlineStr">
        <is>
          <t>(817) 244-3450</t>
        </is>
      </c>
      <c r="AB43" s="6" t="inlineStr">
        <is>
          <t>Main office, Fort Worth</t>
        </is>
      </c>
      <c r="AC43" s="6" t="inlineStr">
        <is>
          <t>https://www.cheldanhomes.com/contact-us</t>
        </is>
      </c>
      <c r="AD43" s="6" t="inlineStr"/>
      <c r="AE43" s="6" t="inlineStr"/>
    </row>
    <row r="44">
      <c r="A44" s="12" t="inlineStr">
        <is>
          <t>Chelsea Brown</t>
        </is>
      </c>
      <c r="B44" s="12" t="inlineStr">
        <is>
          <t>Cheldan Homes</t>
        </is>
      </c>
      <c r="C44" s="12" t="inlineStr">
        <is>
          <t>Vice President of Sales and Marketing</t>
        </is>
      </c>
      <c r="D44" s="13" t="inlineStr">
        <is>
          <t>One gap</t>
        </is>
      </c>
      <c r="E44" s="14" t="n">
        <v>2</v>
      </c>
      <c r="F44" s="12" t="inlineStr">
        <is>
          <t>Printer buyer</t>
        </is>
      </c>
      <c r="G44" s="12" t="inlineStr">
        <is>
          <t>Family homebuilder</t>
        </is>
      </c>
      <c r="H44" s="12" t="inlineStr">
        <is>
          <t>Fort Worth, with communities in Boyd, Cleburne, Venus, Graham, Keene and Springtown</t>
        </is>
      </c>
      <c r="I44" s="12" t="inlineStr">
        <is>
          <t>Seven communities around Fort Worth, per its own site</t>
        </is>
      </c>
      <c r="J44" s="14" t="inlineStr">
        <is>
          <t>Yes</t>
        </is>
      </c>
      <c r="K44" s="15" t="inlineStr">
        <is>
          <t>One plan library, including the Essex, across its communities.</t>
        </is>
      </c>
      <c r="L44" s="14" t="inlineStr">
        <is>
          <t>Partly</t>
        </is>
      </c>
      <c r="M44" s="15" t="inlineStr">
        <is>
          <t>Seven communities west and south of Fort Worth. Annual closings not published.</t>
        </is>
      </c>
      <c r="N44" s="14" t="inlineStr">
        <is>
          <t>No</t>
        </is>
      </c>
      <c r="O44" s="15" t="inlineStr">
        <is>
          <t>A 2025 JCBA energy award covers one community. Nothing on record about wall method.</t>
        </is>
      </c>
      <c r="P44" s="10" t="inlineStr"/>
      <c r="Q44" s="12" t="inlineStr"/>
      <c r="R44" s="16">
        <f>IF(P44="","ADD LINKEDIN","ok")</f>
        <v/>
      </c>
      <c r="S44" s="12" t="inlineStr">
        <is>
          <t>https://www.cheldanhomes.com/</t>
        </is>
      </c>
      <c r="T44" s="15" t="inlineStr">
        <is>
          <t>One plan library, including the Essex, west and south of Fort Worth. Its team page names CEO Joey Goss and two vice presidents.</t>
        </is>
      </c>
      <c r="U44" s="12" t="inlineStr"/>
      <c r="V44" s="15" t="inlineStr">
        <is>
          <t>Meet the Team page.</t>
        </is>
      </c>
      <c r="W44" s="12" t="inlineStr">
        <is>
          <t>https://www.cheldanhomes.com/meet-the-team</t>
        </is>
      </c>
      <c r="X44" s="12" t="inlineStr">
        <is>
          <t>https://www.linkedin.com/company/cheldan-homes/</t>
        </is>
      </c>
      <c r="Y44" s="12" t="inlineStr">
        <is>
          <t>https://www.cheldanhomes.com/meet-the-team</t>
        </is>
      </c>
      <c r="Z44" s="12" t="inlineStr"/>
      <c r="AA44" s="12" t="inlineStr">
        <is>
          <t>(817) 244-3450</t>
        </is>
      </c>
      <c r="AB44" s="12" t="inlineStr">
        <is>
          <t>Main office, Fort Worth</t>
        </is>
      </c>
      <c r="AC44" s="12" t="inlineStr">
        <is>
          <t>https://www.cheldanhomes.com/contact-us</t>
        </is>
      </c>
      <c r="AD44" s="12" t="inlineStr"/>
      <c r="AE44" s="12" t="inlineStr"/>
    </row>
    <row r="45">
      <c r="A45" s="6" t="inlineStr">
        <is>
          <t>Nathan Pile</t>
        </is>
      </c>
      <c r="B45" s="6" t="inlineStr">
        <is>
          <t>Cyrene at Painted Tree (Curve Development)</t>
        </is>
      </c>
      <c r="C45" s="6" t="inlineStr">
        <is>
          <t>President, Curve Development</t>
        </is>
      </c>
      <c r="D45" s="7" t="inlineStr">
        <is>
          <t>One gap</t>
        </is>
      </c>
      <c r="E45" s="8" t="n">
        <v>2</v>
      </c>
      <c r="F45" s="6" t="inlineStr">
        <is>
          <t>Client</t>
        </is>
      </c>
      <c r="G45" s="6" t="inlineStr">
        <is>
          <t>Build-to-rent community</t>
        </is>
      </c>
      <c r="H45" s="6" t="inlineStr">
        <is>
          <t>Painted Tree, McKinney</t>
        </is>
      </c>
      <c r="I45" s="6" t="inlineStr">
        <is>
          <t>243 build-to-rent homes on 46 acres, McKinney</t>
        </is>
      </c>
      <c r="J45" s="8" t="inlineStr">
        <is>
          <t>Yes</t>
        </is>
      </c>
      <c r="K45" s="9" t="inlineStr">
        <is>
          <t>243 detached rental homes at one McKinney site, on repeated three- and four-bedroom plans.</t>
        </is>
      </c>
      <c r="L45" s="8" t="inlineStr">
        <is>
          <t>Partly</t>
        </is>
      </c>
      <c r="M45" s="9" t="inlineStr">
        <is>
          <t>243 homes on one site. The developer or its contractor buys the wall.</t>
        </is>
      </c>
      <c r="N45" s="8" t="inlineStr">
        <is>
          <t>No</t>
        </is>
      </c>
      <c r="O45" s="9" t="inlineStr">
        <is>
          <t>Nothing on record. Conventional detached rentals.</t>
        </is>
      </c>
      <c r="P45" s="10" t="inlineStr"/>
      <c r="Q45" s="6" t="inlineStr"/>
      <c r="R45" s="11">
        <f>IF(P45="","ADD LINKEDIN","ok")</f>
        <v/>
      </c>
      <c r="S45" s="6" t="inlineStr">
        <is>
          <t>https://www.cyreneatpaintedtree.com/</t>
        </is>
      </c>
      <c r="T45" s="9" t="inlineStr">
        <is>
          <t>Curve Development developed it under its Cyrene brand, inside Painted Tree in McKinney. Detached three- and four-bedroom rentals.</t>
        </is>
      </c>
      <c r="U45" s="6" t="inlineStr">
        <is>
          <t>YES</t>
        </is>
      </c>
      <c r="V45" s="9" t="inlineStr">
        <is>
          <t>Curve release, January 9, 2024.</t>
        </is>
      </c>
      <c r="W45" s="6" t="inlineStr">
        <is>
          <t>https://www.prweb.com/releases/construction-commences-for-new-build-for-rent-community-within-master-planned-community-of-painted-tree-in-dallas-area-302029396.html</t>
        </is>
      </c>
      <c r="X45" s="6" t="inlineStr">
        <is>
          <t>https://www.linkedin.com/company/curvedevelopment/</t>
        </is>
      </c>
      <c r="Y45" s="6" t="inlineStr"/>
      <c r="Z45" s="6" t="inlineStr"/>
      <c r="AA45" s="6" t="inlineStr">
        <is>
          <t>(877) 853-3717</t>
        </is>
      </c>
      <c r="AB45" s="6" t="inlineStr">
        <is>
          <t>Leasing office, Cyrene at Painted Tree</t>
        </is>
      </c>
      <c r="AC45" s="6" t="inlineStr">
        <is>
          <t>https://www.cyreneatpaintedtree.com/</t>
        </is>
      </c>
      <c r="AD45" s="6" t="inlineStr"/>
      <c r="AE45" s="6" t="inlineStr"/>
    </row>
    <row r="46">
      <c r="A46" s="12" t="inlineStr">
        <is>
          <t>Randall Van Wolfswinkel</t>
        </is>
      </c>
      <c r="B46" s="12" t="inlineStr">
        <is>
          <t>First Texas Homes</t>
        </is>
      </c>
      <c r="C46" s="12" t="inlineStr">
        <is>
          <t>Chief Executive Officer (as of 2010)</t>
        </is>
      </c>
      <c r="D46" s="13" t="inlineStr">
        <is>
          <t>One gap</t>
        </is>
      </c>
      <c r="E46" s="14" t="n">
        <v>2</v>
      </c>
      <c r="F46" s="12" t="inlineStr">
        <is>
          <t>Printer buyer</t>
        </is>
      </c>
      <c r="G46" s="12" t="inlineStr">
        <is>
          <t>Production homebuilder</t>
        </is>
      </c>
      <c r="H46" s="12" t="inlineStr">
        <is>
          <t>Dallas, with communities across DFW</t>
        </is>
      </c>
      <c r="I46" s="12" t="inlineStr">
        <is>
          <t>1,034 DFW closings in 2025, 2.5% share</t>
        </is>
      </c>
      <c r="J46" s="14" t="inlineStr">
        <is>
          <t>Yes</t>
        </is>
      </c>
      <c r="K46" s="15" t="inlineStr">
        <is>
          <t>Production plans across DFW. Sister brands Gallery Custom Homes and Harwood Homes.</t>
        </is>
      </c>
      <c r="L46" s="14" t="inlineStr">
        <is>
          <t>Partly</t>
        </is>
      </c>
      <c r="M46" s="15" t="inlineStr">
        <is>
          <t>1,034 DFW closings in 2025, per BUILDER's Local Leaders table.</t>
        </is>
      </c>
      <c r="N46" s="14" t="inlineStr">
        <is>
          <t>No</t>
        </is>
      </c>
      <c r="O46" s="15" t="inlineStr">
        <is>
          <t>Nothing on record. Lists customization, energy efficiency and smart-home features.</t>
        </is>
      </c>
      <c r="P46" s="10" t="inlineStr"/>
      <c r="Q46" s="12" t="inlineStr"/>
      <c r="R46" s="16">
        <f>IF(P46="","ADD LINKEDIN","ok")</f>
        <v/>
      </c>
      <c r="S46" s="12" t="inlineStr">
        <is>
          <t>https://www.firsttexashomes.com/</t>
        </is>
      </c>
      <c r="T46" s="15" t="inlineStr">
        <is>
          <t>Locally owned, with no parent company above it. Sister brands: Gallery Custom Homes and Harwood Homes.</t>
        </is>
      </c>
      <c r="U46" s="12" t="inlineStr"/>
      <c r="V46" s="15" t="inlineStr">
        <is>
          <t>Dallas News, 2010.</t>
        </is>
      </c>
      <c r="W46" s="12" t="inlineStr">
        <is>
          <t>https://www.dallasnews.com/news/2010/02/08/first-texas-homes-moves-from-arlington-to-uptown-dallas/</t>
        </is>
      </c>
      <c r="X46" s="12" t="inlineStr">
        <is>
          <t>https://www.linkedin.com/company/first-texas-homes/</t>
        </is>
      </c>
      <c r="Y46" s="12" t="inlineStr">
        <is>
          <t>https://www.firsttexashomes.com/about/</t>
        </is>
      </c>
      <c r="Z46" s="12" t="inlineStr">
        <is>
          <t>2025-07-24 Dallas Morning News. The 10 biggest homebuilders in D-FW  https://www.dallasnews.com/business/real-estate/2025/07/24/list-who-are-the-10-biggest-homebuilders-in-d-fw/</t>
        </is>
      </c>
      <c r="AA46" s="12" t="inlineStr">
        <is>
          <t>(214) 613-3400</t>
        </is>
      </c>
      <c r="AB46" s="12" t="inlineStr">
        <is>
          <t>Corporate office, Dallas</t>
        </is>
      </c>
      <c r="AC46" s="12" t="inlineStr">
        <is>
          <t>https://www.firsttexashomes.com/about/</t>
        </is>
      </c>
      <c r="AD46" s="12" t="inlineStr"/>
      <c r="AE46" s="12" t="inlineStr"/>
    </row>
    <row r="47">
      <c r="A47" s="6" t="inlineStr">
        <is>
          <t>Stephen H. Brooks</t>
        </is>
      </c>
      <c r="B47" s="6" t="inlineStr">
        <is>
          <t>Grand Homes</t>
        </is>
      </c>
      <c r="C47" s="6" t="inlineStr">
        <is>
          <t>Founder</t>
        </is>
      </c>
      <c r="D47" s="7" t="inlineStr">
        <is>
          <t>One gap</t>
        </is>
      </c>
      <c r="E47" s="8" t="n">
        <v>2</v>
      </c>
      <c r="F47" s="6" t="inlineStr">
        <is>
          <t>Printer buyer</t>
        </is>
      </c>
      <c r="G47" s="6" t="inlineStr">
        <is>
          <t>Semi-custom production homebuilder</t>
        </is>
      </c>
      <c r="H47" s="6" t="inlineStr">
        <is>
          <t>Addison, building only in the Dallas/Fort Worth Metroplex</t>
        </is>
      </c>
      <c r="I47" s="6" t="inlineStr">
        <is>
          <t>Over 400 homes a year, DFW only, own count</t>
        </is>
      </c>
      <c r="J47" s="8" t="inlineStr">
        <is>
          <t>Yes</t>
        </is>
      </c>
      <c r="K47" s="9" t="inlineStr">
        <is>
          <t>30 to 35 communities, all inside the DFW Metroplex, on semi-custom production plans.</t>
        </is>
      </c>
      <c r="L47" s="8" t="inlineStr">
        <is>
          <t>Partly</t>
        </is>
      </c>
      <c r="M47" s="9" t="inlineStr">
        <is>
          <t>Over 400 a year across 30 to 35 communities.</t>
        </is>
      </c>
      <c r="N47" s="8" t="inlineStr">
        <is>
          <t>No</t>
        </is>
      </c>
      <c r="O47" s="9" t="inlineStr">
        <is>
          <t>Every home ENERGY STAR certified with 2x6 exterior walls. Above-code performance, nothing structural.</t>
        </is>
      </c>
      <c r="P47" s="6" t="inlineStr">
        <is>
          <t>https://www.linkedin.com/in/stephen-brooks-6a058412/</t>
        </is>
      </c>
      <c r="Q47" s="6" t="inlineStr"/>
      <c r="R47" s="11">
        <f>IF(P47="","ADD LINKEDIN","ok")</f>
        <v/>
      </c>
      <c r="S47" s="6" t="inlineStr">
        <is>
          <t>https://www.grandhomes.com/</t>
        </is>
      </c>
      <c r="T47" s="9" t="inlineStr">
        <is>
          <t>Frames 2x6 exterior walls and certifies every home ENERGY STAR. Stephen Brooks founded it in 1986.</t>
        </is>
      </c>
      <c r="U47" s="6" t="inlineStr">
        <is>
          <t>YES</t>
        </is>
      </c>
      <c r="V47" s="9" t="inlineStr">
        <is>
          <t>Indexed title: Stephen Brooks, Grand Homes. Firm's about page.</t>
        </is>
      </c>
      <c r="W47" s="6" t="inlineStr">
        <is>
          <t>https://www.grandhomes.com/index.cfm?p=about_us</t>
        </is>
      </c>
      <c r="X47" s="6" t="inlineStr">
        <is>
          <t>https://www.linkedin.com/company/grand-homes/</t>
        </is>
      </c>
      <c r="Y47" s="6" t="inlineStr">
        <is>
          <t>https://www.grandhomes.com/index.cfm?p=about_us</t>
        </is>
      </c>
      <c r="Z47" s="6" t="inlineStr"/>
      <c r="AA47" s="6" t="inlineStr">
        <is>
          <t>(972) 387-6087</t>
        </is>
      </c>
      <c r="AB47" s="6" t="inlineStr">
        <is>
          <t>General Questions line, Addison office</t>
        </is>
      </c>
      <c r="AC47" s="6" t="inlineStr">
        <is>
          <t>https://www.grandhomes.com/blog/</t>
        </is>
      </c>
      <c r="AD47" s="6" t="inlineStr"/>
      <c r="AE47" s="6" t="inlineStr"/>
    </row>
    <row r="48">
      <c r="A48" s="12" t="inlineStr">
        <is>
          <t>Anthony Natale</t>
        </is>
      </c>
      <c r="B48" s="12" t="inlineStr">
        <is>
          <t>Grenadier Homes</t>
        </is>
      </c>
      <c r="C48" s="12" t="inlineStr">
        <is>
          <t>Co-founder</t>
        </is>
      </c>
      <c r="D48" s="13" t="inlineStr">
        <is>
          <t>One gap</t>
        </is>
      </c>
      <c r="E48" s="14" t="n">
        <v>2</v>
      </c>
      <c r="F48" s="12" t="inlineStr">
        <is>
          <t>Printer buyer</t>
        </is>
      </c>
      <c r="G48" s="12" t="inlineStr">
        <is>
          <t>Villa and townhome builder</t>
        </is>
      </c>
      <c r="H48" s="12" t="inlineStr">
        <is>
          <t>Dallas, with villas and townhomes at Windsong Ranch, Prosper</t>
        </is>
      </c>
      <c r="I48" s="12" t="inlineStr">
        <is>
          <t>Dallas villa and townhome builder, founded 1991</t>
        </is>
      </c>
      <c r="J48" s="14" t="inlineStr">
        <is>
          <t>Yes</t>
        </is>
      </c>
      <c r="K48" s="15" t="inlineStr">
        <is>
          <t>Plans repeated inside Windsong Ranch, a Prosper masterplan.</t>
        </is>
      </c>
      <c r="L48" s="14" t="inlineStr">
        <is>
          <t>Partly</t>
        </is>
      </c>
      <c r="M48" s="15" t="inlineStr">
        <is>
          <t>No published closing figure.</t>
        </is>
      </c>
      <c r="N48" s="14" t="inlineStr">
        <is>
          <t>No</t>
        </is>
      </c>
      <c r="O48" s="15" t="inlineStr">
        <is>
          <t>Nothing on record.</t>
        </is>
      </c>
      <c r="P48" s="10" t="inlineStr"/>
      <c r="Q48" s="12" t="inlineStr"/>
      <c r="R48" s="16">
        <f>IF(P48="","ADD LINKEDIN","ok")</f>
        <v/>
      </c>
      <c r="S48" s="12" t="inlineStr">
        <is>
          <t>https://grenadierhomes.com/</t>
        </is>
      </c>
      <c r="T48" s="15" t="inlineStr">
        <is>
          <t>Repeats villa and townhome plans inside Windsong Ranch in Prosper. Its two founders direct the business.</t>
        </is>
      </c>
      <c r="U48" s="12" t="inlineStr">
        <is>
          <t>YES</t>
        </is>
      </c>
      <c r="V48" s="15" t="inlineStr">
        <is>
          <t>Windsong Ranch builders article.</t>
        </is>
      </c>
      <c r="W48" s="12" t="inlineStr">
        <is>
          <t>https://windsongranchliving.com/explore-windsong-ranchs-exceptional-builders/</t>
        </is>
      </c>
      <c r="X48" s="12" t="inlineStr">
        <is>
          <t>https://www.linkedin.com/company/grenadier-homes/</t>
        </is>
      </c>
      <c r="Y48" s="12" t="inlineStr"/>
      <c r="Z48" s="12" t="inlineStr"/>
      <c r="AA48" s="12" t="inlineStr">
        <is>
          <t>(214) 224-0095</t>
        </is>
      </c>
      <c r="AB48" s="12" t="inlineStr">
        <is>
          <t>Corporate office, Dallas</t>
        </is>
      </c>
      <c r="AC48" s="12" t="inlineStr">
        <is>
          <t>https://grenadierhomes.com/contact-us/</t>
        </is>
      </c>
      <c r="AD48" s="12" t="inlineStr"/>
      <c r="AE48" s="12" t="inlineStr"/>
    </row>
    <row r="49">
      <c r="A49" s="6" t="inlineStr">
        <is>
          <t>John Egnatis</t>
        </is>
      </c>
      <c r="B49" s="6" t="inlineStr">
        <is>
          <t>Grenadier Homes</t>
        </is>
      </c>
      <c r="C49" s="6" t="inlineStr">
        <is>
          <t>Co-founder</t>
        </is>
      </c>
      <c r="D49" s="7" t="inlineStr">
        <is>
          <t>One gap</t>
        </is>
      </c>
      <c r="E49" s="8" t="n">
        <v>2</v>
      </c>
      <c r="F49" s="6" t="inlineStr">
        <is>
          <t>Printer buyer</t>
        </is>
      </c>
      <c r="G49" s="6" t="inlineStr">
        <is>
          <t>Villa and townhome builder</t>
        </is>
      </c>
      <c r="H49" s="6" t="inlineStr">
        <is>
          <t>Dallas, with villas and townhomes at Windsong Ranch, Prosper</t>
        </is>
      </c>
      <c r="I49" s="6" t="inlineStr">
        <is>
          <t>Dallas villa and townhome builder, founded 1991</t>
        </is>
      </c>
      <c r="J49" s="8" t="inlineStr">
        <is>
          <t>Yes</t>
        </is>
      </c>
      <c r="K49" s="9" t="inlineStr">
        <is>
          <t>Plans repeated inside Windsong Ranch, a Prosper masterplan.</t>
        </is>
      </c>
      <c r="L49" s="8" t="inlineStr">
        <is>
          <t>Partly</t>
        </is>
      </c>
      <c r="M49" s="9" t="inlineStr">
        <is>
          <t>No published closing figure.</t>
        </is>
      </c>
      <c r="N49" s="8" t="inlineStr">
        <is>
          <t>No</t>
        </is>
      </c>
      <c r="O49" s="9" t="inlineStr">
        <is>
          <t>Nothing on record.</t>
        </is>
      </c>
      <c r="P49" s="10" t="inlineStr"/>
      <c r="Q49" s="6" t="inlineStr"/>
      <c r="R49" s="11">
        <f>IF(P49="","ADD LINKEDIN","ok")</f>
        <v/>
      </c>
      <c r="S49" s="6" t="inlineStr">
        <is>
          <t>https://grenadierhomes.com/</t>
        </is>
      </c>
      <c r="T49" s="9" t="inlineStr">
        <is>
          <t>Repeats villa and townhome plans inside Windsong Ranch in Prosper. Its two founders direct the business.</t>
        </is>
      </c>
      <c r="U49" s="6" t="inlineStr">
        <is>
          <t>YES</t>
        </is>
      </c>
      <c r="V49" s="9" t="inlineStr">
        <is>
          <t>Windsong Ranch builders article.</t>
        </is>
      </c>
      <c r="W49" s="6" t="inlineStr">
        <is>
          <t>https://windsongranchliving.com/explore-windsong-ranchs-exceptional-builders/</t>
        </is>
      </c>
      <c r="X49" s="6" t="inlineStr">
        <is>
          <t>https://www.linkedin.com/company/grenadier-homes/</t>
        </is>
      </c>
      <c r="Y49" s="6" t="inlineStr"/>
      <c r="Z49" s="6" t="inlineStr"/>
      <c r="AA49" s="6" t="inlineStr">
        <is>
          <t>(214) 224-0095</t>
        </is>
      </c>
      <c r="AB49" s="6" t="inlineStr">
        <is>
          <t>Corporate office, Dallas</t>
        </is>
      </c>
      <c r="AC49" s="6" t="inlineStr">
        <is>
          <t>https://grenadierhomes.com/contact-us/</t>
        </is>
      </c>
      <c r="AD49" s="6" t="inlineStr"/>
      <c r="AE49" s="6" t="inlineStr"/>
    </row>
    <row r="50">
      <c r="A50" s="12" t="inlineStr">
        <is>
          <t>Matthew McGhee</t>
        </is>
      </c>
      <c r="B50" s="12" t="inlineStr">
        <is>
          <t>HHS Residential</t>
        </is>
      </c>
      <c r="C50" s="12" t="inlineStr">
        <is>
          <t>Vice President</t>
        </is>
      </c>
      <c r="D50" s="13" t="inlineStr">
        <is>
          <t>One gap</t>
        </is>
      </c>
      <c r="E50" s="14" t="n">
        <v>2</v>
      </c>
      <c r="F50" s="12" t="inlineStr">
        <is>
          <t>Printer buyer</t>
        </is>
      </c>
      <c r="G50" s="12" t="inlineStr">
        <is>
          <t>Build-to-rent builder</t>
        </is>
      </c>
      <c r="H50" s="12" t="inlineStr">
        <is>
          <t>Plano, with build-to-rent work across Texas</t>
        </is>
      </c>
      <c r="I50" s="12" t="inlineStr">
        <is>
          <t>More than 2,900 homes company-wide, its own count</t>
        </is>
      </c>
      <c r="J50" s="14" t="inlineStr">
        <is>
          <t>Yes</t>
        </is>
      </c>
      <c r="K50" s="15" t="inlineStr">
        <is>
          <t>Rental plans repeated across Texas build-to-rent communities.</t>
        </is>
      </c>
      <c r="L50" s="14" t="inlineStr">
        <is>
          <t>Partly</t>
        </is>
      </c>
      <c r="M50" s="15" t="inlineStr">
        <is>
          <t>More than 2,900 homes claimed, a Texas total with no year and no DFW figure.</t>
        </is>
      </c>
      <c r="N50" s="14" t="inlineStr">
        <is>
          <t>No</t>
        </is>
      </c>
      <c r="O50" s="15" t="inlineStr">
        <is>
          <t>Nothing on record.</t>
        </is>
      </c>
      <c r="P50" s="10" t="inlineStr"/>
      <c r="Q50" s="12" t="inlineStr"/>
      <c r="R50" s="16">
        <f>IF(P50="","ADD LINKEDIN","ok")</f>
        <v/>
      </c>
      <c r="S50" s="12" t="inlineStr">
        <is>
          <t>https://hhsresidential.com/</t>
        </is>
      </c>
      <c r="T50" s="15" t="inlineStr">
        <is>
          <t>Builds single-family rental homes for clients under its BUILD model. A Tricon Residential release names it builder partner.</t>
        </is>
      </c>
      <c r="U50" s="12" t="inlineStr"/>
      <c r="V50" s="15" t="inlineStr">
        <is>
          <t>Tricon Residential release. Now at Bluprint Ventures.</t>
        </is>
      </c>
      <c r="W50" s="12" t="inlineStr">
        <is>
          <t>https://triconhomes.com/resources/insights/tricon-residential-opens-new-community-in-arlington-texas-add-to-housing-supply/</t>
        </is>
      </c>
      <c r="X50" s="12" t="inlineStr">
        <is>
          <t>https://www.linkedin.com/company/hhs-residential-llc/</t>
        </is>
      </c>
      <c r="Y50" s="12" t="inlineStr"/>
      <c r="Z50" s="12" t="inlineStr">
        <is>
          <t>2025-07-15 Tricon Residential. Tricon Residential Opens New Community in Arlington, Texas  https://triconhomes.com/resources/insights/tricon-residential-opens-new-community-in-arlington-texas-add-to-housing-supply/</t>
        </is>
      </c>
      <c r="AA50" s="12" t="inlineStr">
        <is>
          <t>(972) 789-3535</t>
        </is>
      </c>
      <c r="AB50" s="12" t="inlineStr">
        <is>
          <t>Main office</t>
        </is>
      </c>
      <c r="AC50" s="12" t="inlineStr">
        <is>
          <t>https://hhsresidential.com/</t>
        </is>
      </c>
      <c r="AD50" s="12" t="inlineStr"/>
      <c r="AE50" s="12" t="inlineStr"/>
    </row>
    <row r="51">
      <c r="A51" s="6" t="inlineStr">
        <is>
          <t>Nikki Pechet</t>
        </is>
      </c>
      <c r="B51" s="6" t="inlineStr">
        <is>
          <t>Homebound</t>
        </is>
      </c>
      <c r="C51" s="6" t="inlineStr">
        <is>
          <t>Co-Founder and Chief Executive Officer</t>
        </is>
      </c>
      <c r="D51" s="7" t="inlineStr">
        <is>
          <t>One gap</t>
        </is>
      </c>
      <c r="E51" s="8" t="n">
        <v>2</v>
      </c>
      <c r="F51" s="6" t="inlineStr">
        <is>
          <t>Printer buyer</t>
        </is>
      </c>
      <c r="G51" s="6" t="inlineStr">
        <is>
          <t>Semi-custom homebuilder</t>
        </is>
      </c>
      <c r="H51" s="6" t="inlineStr">
        <is>
          <t>Dallas, Flower Mound, Prosper and Celina, plus Houston, Denver and Tampa</t>
        </is>
      </c>
      <c r="I51" s="6" t="inlineStr">
        <is>
          <t>More than 1,000 DFW lots lined up, 2026</t>
        </is>
      </c>
      <c r="J51" s="8" t="inlineStr">
        <is>
          <t>Yes</t>
        </is>
      </c>
      <c r="K51" s="9" t="inlineStr">
        <is>
          <t>One plan catalog, including Addison, Bandera, Collin, Grayson and Magnolia, repeated across its DFW sites.</t>
        </is>
      </c>
      <c r="L51" s="8" t="inlineStr">
        <is>
          <t>Partly</t>
        </is>
      </c>
      <c r="M51" s="9" t="inlineStr">
        <is>
          <t>Semi-custom, about $800,000 to over $1.5 million. Also Houston, Denver, Tampa. DFW closings not published.</t>
        </is>
      </c>
      <c r="N51" s="8" t="inlineStr">
        <is>
          <t>No</t>
        </is>
      </c>
      <c r="O51" s="9" t="inlineStr">
        <is>
          <t>Digital Design Studio lets buyers personalize plans. No new wall method.</t>
        </is>
      </c>
      <c r="P51" s="6" t="inlineStr">
        <is>
          <t>https://www.linkedin.com/in/nikki-pechet-4b949210/</t>
        </is>
      </c>
      <c r="Q51" s="6" t="inlineStr"/>
      <c r="R51" s="11">
        <f>IF(P51="","ADD LINKEDIN","ok")</f>
        <v/>
      </c>
      <c r="S51" s="6" t="inlineStr">
        <is>
          <t>https://www.homebound.com/</t>
        </is>
      </c>
      <c r="T51" s="9" t="inlineStr">
        <is>
          <t>Sells its own design and build-tracking software with each home. Its about page names a Texas Regional President.</t>
        </is>
      </c>
      <c r="U51" s="6" t="inlineStr"/>
      <c r="V51" s="9" t="inlineStr">
        <is>
          <t>Indexed title: Nikki Pechet, Homebound. Homebound about page.</t>
        </is>
      </c>
      <c r="W51" s="6" t="inlineStr">
        <is>
          <t>https://www.homebound.com/about</t>
        </is>
      </c>
      <c r="X51" s="6" t="inlineStr">
        <is>
          <t>https://www.linkedin.com/company/homebound-construction/</t>
        </is>
      </c>
      <c r="Y51" s="6" t="inlineStr">
        <is>
          <t>https://www.homebound.com/about</t>
        </is>
      </c>
      <c r="Z51" s="6" t="inlineStr"/>
      <c r="AA51" s="6" t="inlineStr">
        <is>
          <t>(214) 851-1912</t>
        </is>
      </c>
      <c r="AB51" s="6" t="inlineStr">
        <is>
          <t>Mosaic sales office, Celina</t>
        </is>
      </c>
      <c r="AC51" s="6" t="inlineStr">
        <is>
          <t>https://www.homebound.com/upcoming-communities/mosaic</t>
        </is>
      </c>
      <c r="AD51" s="6" t="inlineStr"/>
      <c r="AE51" s="6" t="inlineStr"/>
    </row>
    <row r="52">
      <c r="A52" s="12" t="inlineStr">
        <is>
          <t>Charlie Coleman</t>
        </is>
      </c>
      <c r="B52" s="12" t="inlineStr">
        <is>
          <t>Homebound</t>
        </is>
      </c>
      <c r="C52" s="12" t="inlineStr">
        <is>
          <t>Texas Regional President</t>
        </is>
      </c>
      <c r="D52" s="13" t="inlineStr">
        <is>
          <t>One gap</t>
        </is>
      </c>
      <c r="E52" s="14" t="n">
        <v>2</v>
      </c>
      <c r="F52" s="12" t="inlineStr">
        <is>
          <t>Printer buyer</t>
        </is>
      </c>
      <c r="G52" s="12" t="inlineStr">
        <is>
          <t>Semi-custom homebuilder</t>
        </is>
      </c>
      <c r="H52" s="12" t="inlineStr">
        <is>
          <t>Dallas, Flower Mound, Prosper and Celina, plus Houston, Denver and Tampa</t>
        </is>
      </c>
      <c r="I52" s="12" t="inlineStr">
        <is>
          <t>More than 1,000 DFW lots lined up, 2026</t>
        </is>
      </c>
      <c r="J52" s="14" t="inlineStr">
        <is>
          <t>Yes</t>
        </is>
      </c>
      <c r="K52" s="15" t="inlineStr">
        <is>
          <t>One plan catalog, including Addison, Bandera, Collin, Grayson and Magnolia, repeated across its DFW sites.</t>
        </is>
      </c>
      <c r="L52" s="14" t="inlineStr">
        <is>
          <t>Partly</t>
        </is>
      </c>
      <c r="M52" s="15" t="inlineStr">
        <is>
          <t>Semi-custom, about $800,000 to over $1.5 million. Also Houston, Denver, Tampa. DFW closings not published.</t>
        </is>
      </c>
      <c r="N52" s="14" t="inlineStr">
        <is>
          <t>No</t>
        </is>
      </c>
      <c r="O52" s="15" t="inlineStr">
        <is>
          <t>Digital Design Studio lets buyers personalize plans. No new wall method.</t>
        </is>
      </c>
      <c r="P52" s="10" t="inlineStr"/>
      <c r="Q52" s="12" t="inlineStr"/>
      <c r="R52" s="16">
        <f>IF(P52="","ADD LINKEDIN","ok")</f>
        <v/>
      </c>
      <c r="S52" s="12" t="inlineStr">
        <is>
          <t>https://www.homebound.com/</t>
        </is>
      </c>
      <c r="T52" s="15" t="inlineStr">
        <is>
          <t>Sells its own design and build-tracking software with each home. Its about page names a Texas Regional President.</t>
        </is>
      </c>
      <c r="U52" s="12" t="inlineStr">
        <is>
          <t>YES</t>
        </is>
      </c>
      <c r="V52" s="15" t="inlineStr">
        <is>
          <t>Homebound about page. Formerly Pulte's DFW Division President.</t>
        </is>
      </c>
      <c r="W52" s="12" t="inlineStr">
        <is>
          <t>https://www.homebound.com/about</t>
        </is>
      </c>
      <c r="X52" s="12" t="inlineStr">
        <is>
          <t>https://www.linkedin.com/company/homebound-construction/</t>
        </is>
      </c>
      <c r="Y52" s="12" t="inlineStr">
        <is>
          <t>https://www.homebound.com/about</t>
        </is>
      </c>
      <c r="Z52" s="12" t="inlineStr"/>
      <c r="AA52" s="12" t="inlineStr">
        <is>
          <t>(214) 851-1912</t>
        </is>
      </c>
      <c r="AB52" s="12" t="inlineStr">
        <is>
          <t>Mosaic sales office, Celina</t>
        </is>
      </c>
      <c r="AC52" s="12" t="inlineStr">
        <is>
          <t>https://www.homebound.com/upcoming-communities/mosaic</t>
        </is>
      </c>
      <c r="AD52" s="12" t="inlineStr"/>
      <c r="AE52" s="12" t="inlineStr"/>
    </row>
    <row r="53">
      <c r="A53" s="6" t="inlineStr">
        <is>
          <t>Al Tuten</t>
        </is>
      </c>
      <c r="B53" s="6" t="inlineStr">
        <is>
          <t>Homebound</t>
        </is>
      </c>
      <c r="C53" s="6" t="inlineStr">
        <is>
          <t>Vice President, Homebuilding Operations</t>
        </is>
      </c>
      <c r="D53" s="7" t="inlineStr">
        <is>
          <t>One gap</t>
        </is>
      </c>
      <c r="E53" s="8" t="n">
        <v>2</v>
      </c>
      <c r="F53" s="6" t="inlineStr">
        <is>
          <t>Printer buyer</t>
        </is>
      </c>
      <c r="G53" s="6" t="inlineStr">
        <is>
          <t>Semi-custom homebuilder</t>
        </is>
      </c>
      <c r="H53" s="6" t="inlineStr">
        <is>
          <t>Dallas, Flower Mound, Prosper and Celina, plus Houston, Denver and Tampa</t>
        </is>
      </c>
      <c r="I53" s="6" t="inlineStr">
        <is>
          <t>More than 1,000 DFW lots lined up, 2026</t>
        </is>
      </c>
      <c r="J53" s="8" t="inlineStr">
        <is>
          <t>Yes</t>
        </is>
      </c>
      <c r="K53" s="9" t="inlineStr">
        <is>
          <t>One plan catalog, including Addison, Bandera, Collin, Grayson and Magnolia, repeated across its DFW sites.</t>
        </is>
      </c>
      <c r="L53" s="8" t="inlineStr">
        <is>
          <t>Partly</t>
        </is>
      </c>
      <c r="M53" s="9" t="inlineStr">
        <is>
          <t>Semi-custom, about $800,000 to over $1.5 million. Also Houston, Denver, Tampa. DFW closings not published.</t>
        </is>
      </c>
      <c r="N53" s="8" t="inlineStr">
        <is>
          <t>No</t>
        </is>
      </c>
      <c r="O53" s="9" t="inlineStr">
        <is>
          <t>Digital Design Studio lets buyers personalize plans. No new wall method.</t>
        </is>
      </c>
      <c r="P53" s="10" t="inlineStr"/>
      <c r="Q53" s="6" t="inlineStr"/>
      <c r="R53" s="11">
        <f>IF(P53="","ADD LINKEDIN","ok")</f>
        <v/>
      </c>
      <c r="S53" s="6" t="inlineStr">
        <is>
          <t>https://www.homebound.com/</t>
        </is>
      </c>
      <c r="T53" s="9" t="inlineStr">
        <is>
          <t>Sells its own design and build-tracking software with each home. Its about page names a Texas Regional President.</t>
        </is>
      </c>
      <c r="U53" s="6" t="inlineStr"/>
      <c r="V53" s="9" t="inlineStr">
        <is>
          <t>Homebound about page.</t>
        </is>
      </c>
      <c r="W53" s="6" t="inlineStr">
        <is>
          <t>https://www.homebound.com/about</t>
        </is>
      </c>
      <c r="X53" s="6" t="inlineStr">
        <is>
          <t>https://www.linkedin.com/company/homebound-construction/</t>
        </is>
      </c>
      <c r="Y53" s="6" t="inlineStr">
        <is>
          <t>https://www.homebound.com/about</t>
        </is>
      </c>
      <c r="Z53" s="6" t="inlineStr"/>
      <c r="AA53" s="6" t="inlineStr">
        <is>
          <t>(214) 851-1912</t>
        </is>
      </c>
      <c r="AB53" s="6" t="inlineStr">
        <is>
          <t>Mosaic sales office, Celina</t>
        </is>
      </c>
      <c r="AC53" s="6" t="inlineStr">
        <is>
          <t>https://www.homebound.com/upcoming-communities/mosaic</t>
        </is>
      </c>
      <c r="AD53" s="6" t="inlineStr"/>
      <c r="AE53" s="6" t="inlineStr"/>
    </row>
    <row r="54">
      <c r="A54" s="12" t="inlineStr">
        <is>
          <t>Steve Garza</t>
        </is>
      </c>
      <c r="B54" s="12" t="inlineStr">
        <is>
          <t>Impression Homes</t>
        </is>
      </c>
      <c r="C54" s="12" t="inlineStr">
        <is>
          <t>President and Chairman</t>
        </is>
      </c>
      <c r="D54" s="13" t="inlineStr">
        <is>
          <t>One gap</t>
        </is>
      </c>
      <c r="E54" s="14" t="n">
        <v>2</v>
      </c>
      <c r="F54" s="12" t="inlineStr">
        <is>
          <t>Printer buyer</t>
        </is>
      </c>
      <c r="G54" s="12" t="inlineStr">
        <is>
          <t>Production homebuilder</t>
        </is>
      </c>
      <c r="H54" s="12" t="inlineStr">
        <is>
          <t>Southlake, with communities in Tarrant, Denton, Kaufman, Rockwall and Johnson counties</t>
        </is>
      </c>
      <c r="I54" s="12" t="inlineStr">
        <is>
          <t>406 company-wide closings in 2025, 601 in 2024</t>
        </is>
      </c>
      <c r="J54" s="14" t="inlineStr">
        <is>
          <t>Yes</t>
        </is>
      </c>
      <c r="K54" s="15" t="inlineStr">
        <is>
          <t>Production plans repeated across five DFW suburban counties.</t>
        </is>
      </c>
      <c r="L54" s="14" t="inlineStr">
        <is>
          <t>Partly</t>
        </is>
      </c>
      <c r="M54" s="15" t="inlineStr">
        <is>
          <t>406 closings in 2025 and 601 in 2024, company-wide, per BUILDER.</t>
        </is>
      </c>
      <c r="N54" s="14" t="inlineStr">
        <is>
          <t>No</t>
        </is>
      </c>
      <c r="O54" s="15" t="inlineStr">
        <is>
          <t>Nothing on record. About and team pages stress craftsmanship and a people-first process.</t>
        </is>
      </c>
      <c r="P54" s="10" t="inlineStr"/>
      <c r="Q54" s="12" t="inlineStr"/>
      <c r="R54" s="16">
        <f>IF(P54="","ADD LINKEDIN","ok")</f>
        <v/>
      </c>
      <c r="S54" s="12" t="inlineStr">
        <is>
          <t>https://www.impressionhomes.net/</t>
        </is>
      </c>
      <c r="T54" s="15" t="inlineStr">
        <is>
          <t>Locally owned in Southlake. Builds attainable homes in Tarrant, Denton, Kaufman, Rockwall and Johnson counties.</t>
        </is>
      </c>
      <c r="U54" s="12" t="inlineStr"/>
      <c r="V54" s="15" t="inlineStr">
        <is>
          <t>Firm's team page. President since 2024.</t>
        </is>
      </c>
      <c r="W54" s="12" t="inlineStr">
        <is>
          <t>https://www.impressionhomes.net/about-us/meet-the-team/</t>
        </is>
      </c>
      <c r="X54" s="12" t="inlineStr">
        <is>
          <t>https://www.linkedin.com/company/impression-homes/</t>
        </is>
      </c>
      <c r="Y54" s="12" t="inlineStr">
        <is>
          <t>https://www.impressionhomes.net/about-us/meet-the-team/</t>
        </is>
      </c>
      <c r="Z54" s="12" t="inlineStr"/>
      <c r="AA54" s="12" t="inlineStr">
        <is>
          <t>(817) 719-3111</t>
        </is>
      </c>
      <c r="AB54" s="12" t="inlineStr">
        <is>
          <t>Corporate office, Southlake</t>
        </is>
      </c>
      <c r="AC54" s="12" t="inlineStr">
        <is>
          <t>https://www.impressionhomes.net/about-us/meet-the-team/</t>
        </is>
      </c>
      <c r="AD54" s="12" t="inlineStr"/>
      <c r="AE54" s="12" t="inlineStr"/>
    </row>
    <row r="55">
      <c r="A55" s="6" t="inlineStr">
        <is>
          <t>Bruce Heikkinen</t>
        </is>
      </c>
      <c r="B55" s="6" t="inlineStr">
        <is>
          <t>Impression Homes</t>
        </is>
      </c>
      <c r="C55" s="6" t="inlineStr">
        <is>
          <t>Founder and Board Member</t>
        </is>
      </c>
      <c r="D55" s="7" t="inlineStr">
        <is>
          <t>One gap</t>
        </is>
      </c>
      <c r="E55" s="8" t="n">
        <v>2</v>
      </c>
      <c r="F55" s="6" t="inlineStr">
        <is>
          <t>Printer buyer</t>
        </is>
      </c>
      <c r="G55" s="6" t="inlineStr">
        <is>
          <t>Production homebuilder</t>
        </is>
      </c>
      <c r="H55" s="6" t="inlineStr">
        <is>
          <t>Southlake, with communities in Tarrant, Denton, Kaufman, Rockwall and Johnson counties</t>
        </is>
      </c>
      <c r="I55" s="6" t="inlineStr">
        <is>
          <t>406 company-wide closings in 2025, 601 in 2024</t>
        </is>
      </c>
      <c r="J55" s="8" t="inlineStr">
        <is>
          <t>Yes</t>
        </is>
      </c>
      <c r="K55" s="9" t="inlineStr">
        <is>
          <t>Production plans repeated across five DFW suburban counties.</t>
        </is>
      </c>
      <c r="L55" s="8" t="inlineStr">
        <is>
          <t>Partly</t>
        </is>
      </c>
      <c r="M55" s="9" t="inlineStr">
        <is>
          <t>406 closings in 2025 and 601 in 2024, company-wide, per BUILDER.</t>
        </is>
      </c>
      <c r="N55" s="8" t="inlineStr">
        <is>
          <t>No</t>
        </is>
      </c>
      <c r="O55" s="9" t="inlineStr">
        <is>
          <t>Nothing on record. About and team pages stress craftsmanship and a people-first process.</t>
        </is>
      </c>
      <c r="P55" s="10" t="inlineStr"/>
      <c r="Q55" s="6" t="inlineStr"/>
      <c r="R55" s="11">
        <f>IF(P55="","ADD LINKEDIN","ok")</f>
        <v/>
      </c>
      <c r="S55" s="6" t="inlineStr">
        <is>
          <t>https://www.impressionhomes.net/</t>
        </is>
      </c>
      <c r="T55" s="9" t="inlineStr">
        <is>
          <t>Locally owned in Southlake. Builds attainable homes in Tarrant, Denton, Kaufman, Rockwall and Johnson counties.</t>
        </is>
      </c>
      <c r="U55" s="6" t="inlineStr"/>
      <c r="V55" s="9" t="inlineStr">
        <is>
          <t>Firm's team page.</t>
        </is>
      </c>
      <c r="W55" s="6" t="inlineStr">
        <is>
          <t>https://www.impressionhomes.net/about-us/meet-the-team/</t>
        </is>
      </c>
      <c r="X55" s="6" t="inlineStr">
        <is>
          <t>https://www.linkedin.com/company/impression-homes/</t>
        </is>
      </c>
      <c r="Y55" s="6" t="inlineStr">
        <is>
          <t>https://www.impressionhomes.net/about-us/meet-the-team/</t>
        </is>
      </c>
      <c r="Z55" s="6" t="inlineStr"/>
      <c r="AA55" s="6" t="inlineStr">
        <is>
          <t>(817) 719-3111</t>
        </is>
      </c>
      <c r="AB55" s="6" t="inlineStr">
        <is>
          <t>Corporate office, Southlake</t>
        </is>
      </c>
      <c r="AC55" s="6" t="inlineStr">
        <is>
          <t>https://www.impressionhomes.net/about-us/meet-the-team/</t>
        </is>
      </c>
      <c r="AD55" s="6" t="inlineStr"/>
      <c r="AE55" s="6" t="inlineStr"/>
    </row>
    <row r="56">
      <c r="A56" s="12" t="inlineStr">
        <is>
          <t>John Houston</t>
        </is>
      </c>
      <c r="B56" s="12" t="inlineStr">
        <is>
          <t>John Houston Homes</t>
        </is>
      </c>
      <c r="C56" s="12" t="inlineStr">
        <is>
          <t>Co-founder</t>
        </is>
      </c>
      <c r="D56" s="13" t="inlineStr">
        <is>
          <t>One gap</t>
        </is>
      </c>
      <c r="E56" s="14" t="n">
        <v>2</v>
      </c>
      <c r="F56" s="12" t="inlineStr">
        <is>
          <t>Printer buyer</t>
        </is>
      </c>
      <c r="G56" s="12" t="inlineStr">
        <is>
          <t>Production homebuilder</t>
        </is>
      </c>
      <c r="H56" s="12" t="inlineStr">
        <is>
          <t>Red Oak, with communities across DFW, Waco and Temple</t>
        </is>
      </c>
      <c r="I56" s="12" t="inlineStr">
        <is>
          <t>Hundreds of homes a year company-wide, 40+ communities</t>
        </is>
      </c>
      <c r="J56" s="14" t="inlineStr">
        <is>
          <t>Yes</t>
        </is>
      </c>
      <c r="K56" s="15" t="inlineStr">
        <is>
          <t>Named plans like Madrid and Athens repeated across 40+ communities, including DFW and Waco.</t>
        </is>
      </c>
      <c r="L56" s="14" t="inlineStr">
        <is>
          <t>Partly</t>
        </is>
      </c>
      <c r="M56" s="15" t="inlineStr">
        <is>
          <t>Four market areas. No DFW share published.</t>
        </is>
      </c>
      <c r="N56" s="14" t="inlineStr">
        <is>
          <t>No</t>
        </is>
      </c>
      <c r="O56" s="15" t="inlineStr">
        <is>
          <t>Nothing on record.</t>
        </is>
      </c>
      <c r="P56" s="10" t="inlineStr"/>
      <c r="Q56" s="12" t="inlineStr"/>
      <c r="R56" s="16">
        <f>IF(P56="","ADD LINKEDIN","ok")</f>
        <v/>
      </c>
      <c r="S56" s="12" t="inlineStr">
        <is>
          <t>https://jhoustonhomes.com/</t>
        </is>
      </c>
      <c r="T56" s="15" t="inlineStr">
        <is>
          <t>Repeats named plans such as Madrid and Athens across DFW and Waco. Employee-owned through an ESOP since 2020.</t>
        </is>
      </c>
      <c r="U56" s="12" t="inlineStr">
        <is>
          <t>YES</t>
        </is>
      </c>
      <c r="V56" s="15" t="inlineStr">
        <is>
          <t>Firm's purpose page.</t>
        </is>
      </c>
      <c r="W56" s="12" t="inlineStr">
        <is>
          <t>https://jhoustonhomes.com/our-purpose/</t>
        </is>
      </c>
      <c r="X56" s="12" t="inlineStr">
        <is>
          <t>https://www.linkedin.com/company/john-houston-homes/</t>
        </is>
      </c>
      <c r="Y56" s="12" t="inlineStr"/>
      <c r="Z56" s="12" t="inlineStr"/>
      <c r="AA56" s="12" t="inlineStr">
        <is>
          <t>(972) 937-4085</t>
        </is>
      </c>
      <c r="AB56" s="12" t="inlineStr">
        <is>
          <t>Main office, Red Oak</t>
        </is>
      </c>
      <c r="AC56" s="12" t="inlineStr">
        <is>
          <t>https://jhoustonhomes.com/contact/</t>
        </is>
      </c>
      <c r="AD56" s="12" t="inlineStr"/>
      <c r="AE56" s="12" t="inlineStr"/>
    </row>
    <row r="57">
      <c r="A57" s="6" t="inlineStr">
        <is>
          <t>Tracy Houston</t>
        </is>
      </c>
      <c r="B57" s="6" t="inlineStr">
        <is>
          <t>John Houston Homes</t>
        </is>
      </c>
      <c r="C57" s="6" t="inlineStr">
        <is>
          <t>Co-founder</t>
        </is>
      </c>
      <c r="D57" s="7" t="inlineStr">
        <is>
          <t>One gap</t>
        </is>
      </c>
      <c r="E57" s="8" t="n">
        <v>2</v>
      </c>
      <c r="F57" s="6" t="inlineStr">
        <is>
          <t>Printer buyer</t>
        </is>
      </c>
      <c r="G57" s="6" t="inlineStr">
        <is>
          <t>Production homebuilder</t>
        </is>
      </c>
      <c r="H57" s="6" t="inlineStr">
        <is>
          <t>Red Oak, with communities across DFW, Waco and Temple</t>
        </is>
      </c>
      <c r="I57" s="6" t="inlineStr">
        <is>
          <t>Hundreds of homes a year company-wide, 40+ communities</t>
        </is>
      </c>
      <c r="J57" s="8" t="inlineStr">
        <is>
          <t>Yes</t>
        </is>
      </c>
      <c r="K57" s="9" t="inlineStr">
        <is>
          <t>Named plans like Madrid and Athens repeated across 40+ communities, including DFW and Waco.</t>
        </is>
      </c>
      <c r="L57" s="8" t="inlineStr">
        <is>
          <t>Partly</t>
        </is>
      </c>
      <c r="M57" s="9" t="inlineStr">
        <is>
          <t>Four market areas. No DFW share published.</t>
        </is>
      </c>
      <c r="N57" s="8" t="inlineStr">
        <is>
          <t>No</t>
        </is>
      </c>
      <c r="O57" s="9" t="inlineStr">
        <is>
          <t>Nothing on record.</t>
        </is>
      </c>
      <c r="P57" s="10" t="inlineStr"/>
      <c r="Q57" s="6" t="inlineStr"/>
      <c r="R57" s="11">
        <f>IF(P57="","ADD LINKEDIN","ok")</f>
        <v/>
      </c>
      <c r="S57" s="6" t="inlineStr">
        <is>
          <t>https://jhoustonhomes.com/</t>
        </is>
      </c>
      <c r="T57" s="9" t="inlineStr">
        <is>
          <t>Repeats named plans such as Madrid and Athens across DFW and Waco. Employee-owned through an ESOP since 2020.</t>
        </is>
      </c>
      <c r="U57" s="6" t="inlineStr"/>
      <c r="V57" s="9" t="inlineStr">
        <is>
          <t>Firm's purpose page.</t>
        </is>
      </c>
      <c r="W57" s="6" t="inlineStr">
        <is>
          <t>https://jhoustonhomes.com/our-purpose/</t>
        </is>
      </c>
      <c r="X57" s="6" t="inlineStr">
        <is>
          <t>https://www.linkedin.com/company/john-houston-homes/</t>
        </is>
      </c>
      <c r="Y57" s="6" t="inlineStr"/>
      <c r="Z57" s="6" t="inlineStr"/>
      <c r="AA57" s="6" t="inlineStr">
        <is>
          <t>(972) 937-4085</t>
        </is>
      </c>
      <c r="AB57" s="6" t="inlineStr">
        <is>
          <t>Main office, Red Oak</t>
        </is>
      </c>
      <c r="AC57" s="6" t="inlineStr">
        <is>
          <t>https://jhoustonhomes.com/contact/</t>
        </is>
      </c>
      <c r="AD57" s="6" t="inlineStr"/>
      <c r="AE57" s="6" t="inlineStr"/>
    </row>
    <row r="58">
      <c r="A58" s="12" t="inlineStr">
        <is>
          <t>Aaron Ipour</t>
        </is>
      </c>
      <c r="B58" s="12" t="inlineStr">
        <is>
          <t>Megatel Homes</t>
        </is>
      </c>
      <c r="C58" s="12" t="inlineStr">
        <is>
          <t>Co-Founder, Megatel Group</t>
        </is>
      </c>
      <c r="D58" s="13" t="inlineStr">
        <is>
          <t>One gap</t>
        </is>
      </c>
      <c r="E58" s="14" t="n">
        <v>2</v>
      </c>
      <c r="F58" s="12" t="inlineStr">
        <is>
          <t>Printer buyer</t>
        </is>
      </c>
      <c r="G58" s="12" t="inlineStr">
        <is>
          <t>Homebuilder and developer</t>
        </is>
      </c>
      <c r="H58" s="12" t="inlineStr">
        <is>
          <t>North Texas, Dallas-Fort Worth</t>
        </is>
      </c>
      <c r="I58" s="12" t="inlineStr">
        <is>
          <t>696 company-wide closings in 2023, Builder 100 rank 81</t>
        </is>
      </c>
      <c r="J58" s="14" t="inlineStr">
        <is>
          <t>Yes</t>
        </is>
      </c>
      <c r="K58" s="15" t="inlineStr">
        <is>
          <t>Repeated plans across its North Texas lagoon masterplans.</t>
        </is>
      </c>
      <c r="L58" s="14" t="inlineStr">
        <is>
          <t>Partly</t>
        </is>
      </c>
      <c r="M58" s="15" t="inlineStr">
        <is>
          <t>696 company-wide closings in 2023, inside masterplans it controls.</t>
        </is>
      </c>
      <c r="N58" s="14" t="inlineStr">
        <is>
          <t>No</t>
        </is>
      </c>
      <c r="O58" s="15" t="inlineStr">
        <is>
          <t>Nothing on record.</t>
        </is>
      </c>
      <c r="P58" s="10" t="inlineStr"/>
      <c r="Q58" s="12" t="inlineStr"/>
      <c r="R58" s="16">
        <f>IF(P58="","ADD LINKEDIN","ok")</f>
        <v/>
      </c>
      <c r="S58" s="12" t="inlineStr">
        <is>
          <t>https://www.megatelhomes.com/</t>
        </is>
      </c>
      <c r="T58" s="15" t="inlineStr">
        <is>
          <t>Builds its own homes inside lagoon-amenity masterplans it controls. Repeats single-family and townhome plans.</t>
        </is>
      </c>
      <c r="U58" s="12" t="inlineStr"/>
      <c r="V58" s="15" t="inlineStr">
        <is>
          <t>Megatel about page.</t>
        </is>
      </c>
      <c r="W58" s="12" t="inlineStr">
        <is>
          <t>https://www.megatelhomes.com/about-us</t>
        </is>
      </c>
      <c r="X58" s="12" t="inlineStr">
        <is>
          <t>https://www.linkedin.com/company/megatelhomes/</t>
        </is>
      </c>
      <c r="Y58" s="12" t="inlineStr">
        <is>
          <t>https://www.megatelhomes.com/about-us</t>
        </is>
      </c>
      <c r="Z58" s="12" t="inlineStr"/>
      <c r="AA58" s="12" t="inlineStr">
        <is>
          <t>(972) 339-0159</t>
        </is>
      </c>
      <c r="AB58" s="12" t="inlineStr">
        <is>
          <t>Corporate office</t>
        </is>
      </c>
      <c r="AC58" s="12" t="inlineStr">
        <is>
          <t>https://www.megatelhomes.com/</t>
        </is>
      </c>
      <c r="AD58" s="12" t="inlineStr"/>
      <c r="AE58" s="12" t="inlineStr"/>
    </row>
    <row r="59">
      <c r="A59" s="6" t="inlineStr">
        <is>
          <t>Zach Ipour</t>
        </is>
      </c>
      <c r="B59" s="6" t="inlineStr">
        <is>
          <t>Megatel Homes</t>
        </is>
      </c>
      <c r="C59" s="6" t="inlineStr">
        <is>
          <t>Co-Founder, Megatel Group</t>
        </is>
      </c>
      <c r="D59" s="7" t="inlineStr">
        <is>
          <t>One gap</t>
        </is>
      </c>
      <c r="E59" s="8" t="n">
        <v>2</v>
      </c>
      <c r="F59" s="6" t="inlineStr">
        <is>
          <t>Printer buyer</t>
        </is>
      </c>
      <c r="G59" s="6" t="inlineStr">
        <is>
          <t>Homebuilder and developer</t>
        </is>
      </c>
      <c r="H59" s="6" t="inlineStr">
        <is>
          <t>North Texas, Dallas-Fort Worth</t>
        </is>
      </c>
      <c r="I59" s="6" t="inlineStr">
        <is>
          <t>696 company-wide closings in 2023, Builder 100 rank 81</t>
        </is>
      </c>
      <c r="J59" s="8" t="inlineStr">
        <is>
          <t>Yes</t>
        </is>
      </c>
      <c r="K59" s="9" t="inlineStr">
        <is>
          <t>Repeated plans across its North Texas lagoon masterplans.</t>
        </is>
      </c>
      <c r="L59" s="8" t="inlineStr">
        <is>
          <t>Partly</t>
        </is>
      </c>
      <c r="M59" s="9" t="inlineStr">
        <is>
          <t>696 company-wide closings in 2023, inside masterplans it controls.</t>
        </is>
      </c>
      <c r="N59" s="8" t="inlineStr">
        <is>
          <t>No</t>
        </is>
      </c>
      <c r="O59" s="9" t="inlineStr">
        <is>
          <t>Nothing on record.</t>
        </is>
      </c>
      <c r="P59" s="10" t="inlineStr"/>
      <c r="Q59" s="6" t="inlineStr"/>
      <c r="R59" s="11">
        <f>IF(P59="","ADD LINKEDIN","ok")</f>
        <v/>
      </c>
      <c r="S59" s="6" t="inlineStr">
        <is>
          <t>https://www.megatelhomes.com/</t>
        </is>
      </c>
      <c r="T59" s="9" t="inlineStr">
        <is>
          <t>Builds its own homes inside lagoon-amenity masterplans it controls. Repeats single-family and townhome plans.</t>
        </is>
      </c>
      <c r="U59" s="6" t="inlineStr"/>
      <c r="V59" s="9" t="inlineStr">
        <is>
          <t>Megatel about page.</t>
        </is>
      </c>
      <c r="W59" s="6" t="inlineStr">
        <is>
          <t>https://www.megatelhomes.com/about-us</t>
        </is>
      </c>
      <c r="X59" s="6" t="inlineStr">
        <is>
          <t>https://www.linkedin.com/company/megatelhomes/</t>
        </is>
      </c>
      <c r="Y59" s="6" t="inlineStr">
        <is>
          <t>https://www.megatelhomes.com/about-us</t>
        </is>
      </c>
      <c r="Z59" s="6" t="inlineStr"/>
      <c r="AA59" s="6" t="inlineStr">
        <is>
          <t>(972) 339-0159</t>
        </is>
      </c>
      <c r="AB59" s="6" t="inlineStr">
        <is>
          <t>Corporate office</t>
        </is>
      </c>
      <c r="AC59" s="6" t="inlineStr">
        <is>
          <t>https://www.megatelhomes.com/</t>
        </is>
      </c>
      <c r="AD59" s="6" t="inlineStr"/>
      <c r="AE59" s="6" t="inlineStr"/>
    </row>
    <row r="60">
      <c r="A60" s="12" t="inlineStr">
        <is>
          <t>Chris Lemming</t>
        </is>
      </c>
      <c r="B60" s="12" t="inlineStr">
        <is>
          <t>Paul Taylor Homes</t>
        </is>
      </c>
      <c r="C60" s="12" t="inlineStr">
        <is>
          <t>President, Partners In Building, since June 2026. Previously Division President, Dallas-Fort Worth</t>
        </is>
      </c>
      <c r="D60" s="13" t="inlineStr">
        <is>
          <t>One gap</t>
        </is>
      </c>
      <c r="E60" s="14" t="n">
        <v>2</v>
      </c>
      <c r="F60" s="12" t="inlineStr">
        <is>
          <t>Printer buyer</t>
        </is>
      </c>
      <c r="G60" s="12" t="inlineStr">
        <is>
          <t>Homebuilder, owned by Partners in Building</t>
        </is>
      </c>
      <c r="H60" s="12" t="inlineStr">
        <is>
          <t>Carrollton office, with its last community in Garland</t>
        </is>
      </c>
      <c r="I60" s="12" t="inlineStr">
        <is>
          <t>More than 3,000 homes sold company-wide, its own count</t>
        </is>
      </c>
      <c r="J60" s="14" t="inlineStr">
        <is>
          <t>Yes</t>
        </is>
      </c>
      <c r="K60" s="15" t="inlineStr">
        <is>
          <t>Four named plans repeated at Lyons Crest Estates, Garland.</t>
        </is>
      </c>
      <c r="L60" s="14" t="inlineStr">
        <is>
          <t>Partly</t>
        </is>
      </c>
      <c r="M60" s="15" t="inlineStr">
        <is>
          <t>No current closings figure. Parent builds custom homes.</t>
        </is>
      </c>
      <c r="N60" s="14" t="inlineStr">
        <is>
          <t>No</t>
        </is>
      </c>
      <c r="O60" s="15" t="inlineStr">
        <is>
          <t>Nothing on record.</t>
        </is>
      </c>
      <c r="P60" s="10" t="inlineStr"/>
      <c r="Q60" s="12" t="inlineStr"/>
      <c r="R60" s="16">
        <f>IF(P60="","ADD LINKEDIN","ok")</f>
        <v/>
      </c>
      <c r="S60" s="12" t="inlineStr">
        <is>
          <t>https://paultaylorhomes.com/</t>
        </is>
      </c>
      <c r="T60" s="15" t="inlineStr">
        <is>
          <t>Partners In Building, a Houston custom builder, bought it in February 2022. Its last listed community, in Garland, is closed out.</t>
        </is>
      </c>
      <c r="U60" s="12" t="inlineStr">
        <is>
          <t>YES</t>
        </is>
      </c>
      <c r="V60" s="15" t="inlineStr">
        <is>
          <t>Realty News Report, June 11, 2026.</t>
        </is>
      </c>
      <c r="W60" s="12" t="inlineStr">
        <is>
          <t>https://realtynewsreport.com/houston-home-builder-names-new-leader/</t>
        </is>
      </c>
      <c r="X60" s="12" t="inlineStr">
        <is>
          <t>https://www.linkedin.com/company/paul-taylor-homes-dallas/</t>
        </is>
      </c>
      <c r="Y60" s="12" t="inlineStr"/>
      <c r="Z60" s="12" t="inlineStr"/>
      <c r="AA60" s="12" t="inlineStr">
        <is>
          <t>(469) 902-3200</t>
        </is>
      </c>
      <c r="AB60" s="12" t="inlineStr">
        <is>
          <t>DFW office, Carrollton</t>
        </is>
      </c>
      <c r="AC60" s="12" t="inlineStr">
        <is>
          <t>https://paultaylorhomes.com/about-us</t>
        </is>
      </c>
      <c r="AD60" s="12" t="inlineStr"/>
      <c r="AE60" s="12" t="inlineStr"/>
    </row>
    <row r="61">
      <c r="A61" s="6" t="inlineStr">
        <is>
          <t>Jim Lemming</t>
        </is>
      </c>
      <c r="B61" s="6" t="inlineStr">
        <is>
          <t>Paul Taylor Homes</t>
        </is>
      </c>
      <c r="C61" s="6" t="inlineStr">
        <is>
          <t>Chairman, Partners In Building, since June 2026</t>
        </is>
      </c>
      <c r="D61" s="7" t="inlineStr">
        <is>
          <t>One gap</t>
        </is>
      </c>
      <c r="E61" s="8" t="n">
        <v>2</v>
      </c>
      <c r="F61" s="6" t="inlineStr">
        <is>
          <t>Printer buyer</t>
        </is>
      </c>
      <c r="G61" s="6" t="inlineStr">
        <is>
          <t>Homebuilder, owned by Partners in Building</t>
        </is>
      </c>
      <c r="H61" s="6" t="inlineStr">
        <is>
          <t>Carrollton office, with its last community in Garland</t>
        </is>
      </c>
      <c r="I61" s="6" t="inlineStr">
        <is>
          <t>More than 3,000 homes sold company-wide, its own count</t>
        </is>
      </c>
      <c r="J61" s="8" t="inlineStr">
        <is>
          <t>Yes</t>
        </is>
      </c>
      <c r="K61" s="9" t="inlineStr">
        <is>
          <t>Four named plans repeated at Lyons Crest Estates, Garland.</t>
        </is>
      </c>
      <c r="L61" s="8" t="inlineStr">
        <is>
          <t>Partly</t>
        </is>
      </c>
      <c r="M61" s="9" t="inlineStr">
        <is>
          <t>No current closings figure. Parent builds custom homes.</t>
        </is>
      </c>
      <c r="N61" s="8" t="inlineStr">
        <is>
          <t>No</t>
        </is>
      </c>
      <c r="O61" s="9" t="inlineStr">
        <is>
          <t>Nothing on record.</t>
        </is>
      </c>
      <c r="P61" s="10" t="inlineStr"/>
      <c r="Q61" s="6" t="inlineStr"/>
      <c r="R61" s="11">
        <f>IF(P61="","ADD LINKEDIN","ok")</f>
        <v/>
      </c>
      <c r="S61" s="6" t="inlineStr">
        <is>
          <t>https://paultaylorhomes.com/</t>
        </is>
      </c>
      <c r="T61" s="9" t="inlineStr">
        <is>
          <t>Partners In Building, a Houston custom builder, bought it in February 2022. Its last listed community, in Garland, is closed out.</t>
        </is>
      </c>
      <c r="U61" s="6" t="inlineStr"/>
      <c r="V61" s="9" t="inlineStr">
        <is>
          <t>Realty News Report, June 2026. Formerly Chief Executive Officer.</t>
        </is>
      </c>
      <c r="W61" s="6" t="inlineStr">
        <is>
          <t>https://realtynewsreport.com/houston-home-builder-names-new-leader/</t>
        </is>
      </c>
      <c r="X61" s="6" t="inlineStr">
        <is>
          <t>https://www.linkedin.com/company/paul-taylor-homes-dallas/</t>
        </is>
      </c>
      <c r="Y61" s="6" t="inlineStr"/>
      <c r="Z61" s="6" t="inlineStr"/>
      <c r="AA61" s="6" t="inlineStr">
        <is>
          <t>(469) 902-3200</t>
        </is>
      </c>
      <c r="AB61" s="6" t="inlineStr">
        <is>
          <t>DFW office, Carrollton</t>
        </is>
      </c>
      <c r="AC61" s="6" t="inlineStr">
        <is>
          <t>https://paultaylorhomes.com/about-us</t>
        </is>
      </c>
      <c r="AD61" s="6" t="inlineStr"/>
      <c r="AE61" s="6" t="inlineStr"/>
    </row>
    <row r="62">
      <c r="A62" s="12" t="inlineStr">
        <is>
          <t>Matthew R. Zaist</t>
        </is>
      </c>
      <c r="B62" s="12" t="inlineStr">
        <is>
          <t>Risewell Homes</t>
        </is>
      </c>
      <c r="C62" s="12" t="inlineStr">
        <is>
          <t>President and Chief Executive Officer</t>
        </is>
      </c>
      <c r="D62" s="13" t="inlineStr">
        <is>
          <t>One gap</t>
        </is>
      </c>
      <c r="E62" s="14" t="n">
        <v>2</v>
      </c>
      <c r="F62" s="12" t="inlineStr">
        <is>
          <t>Printer buyer</t>
        </is>
      </c>
      <c r="G62" s="12" t="inlineStr">
        <is>
          <t>Production homebuilder</t>
        </is>
      </c>
      <c r="H62" s="12" t="inlineStr">
        <is>
          <t>Irving office, with communities in DFW</t>
        </is>
      </c>
      <c r="I62" s="12" t="inlineStr">
        <is>
          <t>19 DFW listings selling and four coming, September 2026</t>
        </is>
      </c>
      <c r="J62" s="14" t="inlineStr">
        <is>
          <t>Yes</t>
        </is>
      </c>
      <c r="K62" s="15" t="inlineStr">
        <is>
          <t>DFW market pages, plus a signed place at Serenade.</t>
        </is>
      </c>
      <c r="L62" s="14" t="inlineStr">
        <is>
          <t>Partly</t>
        </is>
      </c>
      <c r="M62" s="15" t="inlineStr">
        <is>
          <t>Annual closings not published.</t>
        </is>
      </c>
      <c r="N62" s="14" t="inlineStr">
        <is>
          <t>No</t>
        </is>
      </c>
      <c r="O62" s="15" t="inlineStr">
        <is>
          <t>Nothing on record.</t>
        </is>
      </c>
      <c r="P62" s="10" t="inlineStr"/>
      <c r="Q62" s="12" t="inlineStr"/>
      <c r="R62" s="16">
        <f>IF(P62="","ADD LINKEDIN","ok")</f>
        <v/>
      </c>
      <c r="S62" s="12" t="inlineStr">
        <is>
          <t>https://risewellhomes.com/texas/dallas-fort-worth-new-homes</t>
        </is>
      </c>
      <c r="T62" s="15" t="inlineStr">
        <is>
          <t>One of six Phase 1 builders signed at Serenade in Celina. Its models there target 2027.</t>
        </is>
      </c>
      <c r="U62" s="12" t="inlineStr"/>
      <c r="V62" s="15" t="inlineStr">
        <is>
          <t>Builder 100 speaker bio. Joined New Home Co. in that role, September 2021.</t>
        </is>
      </c>
      <c r="W62" s="12" t="inlineStr">
        <is>
          <t>https://www.builder100.com/speaker/matthew-r-zaist/</t>
        </is>
      </c>
      <c r="X62" s="12" t="inlineStr">
        <is>
          <t>https://www.linkedin.com/company/risewell-homes/</t>
        </is>
      </c>
      <c r="Y62" s="12" t="inlineStr"/>
      <c r="Z62" s="12" t="inlineStr"/>
      <c r="AA62" s="12" t="inlineStr">
        <is>
          <t>(888) 827-4421</t>
        </is>
      </c>
      <c r="AB62" s="12" t="inlineStr">
        <is>
          <t>Dallas office</t>
        </is>
      </c>
      <c r="AC62" s="12" t="inlineStr">
        <is>
          <t>https://risewellhomes.com/contact</t>
        </is>
      </c>
      <c r="AD62" s="12" t="inlineStr"/>
      <c r="AE62" s="12" t="inlineStr"/>
    </row>
    <row r="63">
      <c r="A63" s="6" t="inlineStr">
        <is>
          <t>Tim Fleet</t>
        </is>
      </c>
      <c r="B63" s="6" t="inlineStr">
        <is>
          <t>Riverside Homebuilders</t>
        </is>
      </c>
      <c r="C63" s="6" t="inlineStr">
        <is>
          <t>President and Founder</t>
        </is>
      </c>
      <c r="D63" s="7" t="inlineStr">
        <is>
          <t>One gap</t>
        </is>
      </c>
      <c r="E63" s="8" t="n">
        <v>2</v>
      </c>
      <c r="F63" s="6" t="inlineStr">
        <is>
          <t>Printer buyer</t>
        </is>
      </c>
      <c r="G63" s="6" t="inlineStr">
        <is>
          <t>Production homebuilder</t>
        </is>
      </c>
      <c r="H63" s="6" t="inlineStr">
        <is>
          <t>Fort Worth, with communities across North Texas counties from Grayson to Ellis</t>
        </is>
      </c>
      <c r="I63" s="6" t="inlineStr">
        <is>
          <t>649 company-wide closings in 2025, Builder 100 rank 84</t>
        </is>
      </c>
      <c r="J63" s="8" t="inlineStr">
        <is>
          <t>Yes</t>
        </is>
      </c>
      <c r="K63" s="9" t="inlineStr">
        <is>
          <t>More than 25 active and coming communities on a repeated floor-plan library.</t>
        </is>
      </c>
      <c r="L63" s="8" t="inlineStr">
        <is>
          <t>Partly</t>
        </is>
      </c>
      <c r="M63" s="9" t="inlineStr">
        <is>
          <t>649 closings in 2025.</t>
        </is>
      </c>
      <c r="N63" s="8" t="inlineStr">
        <is>
          <t>No</t>
        </is>
      </c>
      <c r="O63" s="9" t="inlineStr">
        <is>
          <t>Nothing on record.</t>
        </is>
      </c>
      <c r="P63" s="10" t="inlineStr"/>
      <c r="Q63" s="6" t="inlineStr"/>
      <c r="R63" s="11">
        <f>IF(P63="","ADD LINKEDIN","ok")</f>
        <v/>
      </c>
      <c r="S63" s="6" t="inlineStr">
        <is>
          <t>https://www.riversidehomebuilders.com/</t>
        </is>
      </c>
      <c r="T63" s="9" t="inlineStr">
        <is>
          <t>Repeats one floor-plan library across more than 25 active and coming communities. Founder Tim Fleet is president.</t>
        </is>
      </c>
      <c r="U63" s="6" t="inlineStr"/>
      <c r="V63" s="9" t="inlineStr">
        <is>
          <t>Firm's about page.</t>
        </is>
      </c>
      <c r="W63" s="6" t="inlineStr">
        <is>
          <t>https://www.riversidehomebuilders.com/about/</t>
        </is>
      </c>
      <c r="X63" s="6" t="inlineStr">
        <is>
          <t>https://www.linkedin.com/company/riversidehomebuilders/</t>
        </is>
      </c>
      <c r="Y63" s="6" t="inlineStr"/>
      <c r="Z63" s="6" t="inlineStr"/>
      <c r="AA63" s="6" t="inlineStr">
        <is>
          <t>(817) 734-8528</t>
        </is>
      </c>
      <c r="AB63" s="6" t="inlineStr">
        <is>
          <t>Sales line, Fort Worth</t>
        </is>
      </c>
      <c r="AC63" s="6" t="inlineStr">
        <is>
          <t>https://www.riversidehomebuilders.com/contact-us/</t>
        </is>
      </c>
      <c r="AD63" s="6" t="inlineStr"/>
      <c r="AE63" s="6" t="inlineStr"/>
    </row>
    <row r="64">
      <c r="A64" s="12" t="inlineStr">
        <is>
          <t>Lindsay Motley</t>
        </is>
      </c>
      <c r="B64" s="12" t="inlineStr">
        <is>
          <t>Starlight Homes (Ashton Woods brand)</t>
        </is>
      </c>
      <c r="C64" s="12" t="inlineStr">
        <is>
          <t>Regional President, Texas, Ashton Woods</t>
        </is>
      </c>
      <c r="D64" s="13" t="inlineStr">
        <is>
          <t>One gap</t>
        </is>
      </c>
      <c r="E64" s="14" t="n">
        <v>2</v>
      </c>
      <c r="F64" s="12" t="inlineStr">
        <is>
          <t>Printer buyer</t>
        </is>
      </c>
      <c r="G64" s="12" t="inlineStr">
        <is>
          <t>Entry-level homebuilder, an Ashton Woods brand</t>
        </is>
      </c>
      <c r="H64" s="12" t="inlineStr">
        <is>
          <t>Dallas-Fort Worth, from Howe to Cedar Hill</t>
        </is>
      </c>
      <c r="I64" s="12" t="inlineStr">
        <is>
          <t>Ashton Woods brand, parent had 1,289 DFW closings in 2025</t>
        </is>
      </c>
      <c r="J64" s="14" t="inlineStr">
        <is>
          <t>Yes</t>
        </is>
      </c>
      <c r="K64" s="15" t="inlineStr">
        <is>
          <t>Plans Rayne, Orbit, Crescent and Luna repeat across DFW neighborhoods.</t>
        </is>
      </c>
      <c r="L64" s="14" t="inlineStr">
        <is>
          <t>Partly</t>
        </is>
      </c>
      <c r="M64" s="15" t="inlineStr">
        <is>
          <t>No brand closings figure published. Ashton Woods names its SVP of Purchasing.</t>
        </is>
      </c>
      <c r="N64" s="14" t="inlineStr">
        <is>
          <t>No</t>
        </is>
      </c>
      <c r="O64" s="15" t="inlineStr">
        <is>
          <t>Nothing on record.</t>
        </is>
      </c>
      <c r="P64" s="6" t="inlineStr">
        <is>
          <t>https://www.linkedin.com/in/lindsay-motley-3553b614</t>
        </is>
      </c>
      <c r="Q64" s="12" t="inlineStr"/>
      <c r="R64" s="16">
        <f>IF(P64="","ADD LINKEDIN","ok")</f>
        <v/>
      </c>
      <c r="S64" s="12" t="inlineStr">
        <is>
          <t>https://www.starlighthomes.com/dallas</t>
        </is>
      </c>
      <c r="T64" s="15" t="inlineStr">
        <is>
          <t>An Ashton Woods brand repeating streamlined plans across DFW. Purchasing sits with the parent.</t>
        </is>
      </c>
      <c r="U64" s="12" t="inlineStr">
        <is>
          <t>YES</t>
        </is>
      </c>
      <c r="V64" s="15" t="inlineStr">
        <is>
          <t>Indexed title: Regional President at Ashton Woods. Ashton Woods corporate page. Texas markets since 2022.</t>
        </is>
      </c>
      <c r="W64" s="12" t="inlineStr">
        <is>
          <t>https://www.ashtonwoods.com/corporate-info</t>
        </is>
      </c>
      <c r="X64" s="12" t="inlineStr">
        <is>
          <t>https://www.linkedin.com/company/starlight-homes/</t>
        </is>
      </c>
      <c r="Y64" s="12" t="inlineStr"/>
      <c r="Z64" s="12" t="inlineStr"/>
      <c r="AA64" s="12" t="inlineStr">
        <is>
          <t>(972) 449-1907</t>
        </is>
      </c>
      <c r="AB64" s="12" t="inlineStr">
        <is>
          <t>Dallas rates page line</t>
        </is>
      </c>
      <c r="AC64" s="12" t="inlineStr">
        <is>
          <t>https://www2.starlighthomes.com/lower-rates-lower-payments-dallas</t>
        </is>
      </c>
      <c r="AD64" s="12" t="inlineStr"/>
      <c r="AE64" s="12" t="inlineStr"/>
    </row>
    <row r="65">
      <c r="A65" s="6" t="inlineStr">
        <is>
          <t>Adam Weaver</t>
        </is>
      </c>
      <c r="B65" s="6" t="inlineStr">
        <is>
          <t>Starlight Homes (Ashton Woods brand)</t>
        </is>
      </c>
      <c r="C65" s="6" t="inlineStr">
        <is>
          <t>Senior Vice President of Purchasing, Ashton Woods</t>
        </is>
      </c>
      <c r="D65" s="7" t="inlineStr">
        <is>
          <t>One gap</t>
        </is>
      </c>
      <c r="E65" s="8" t="n">
        <v>2</v>
      </c>
      <c r="F65" s="6" t="inlineStr">
        <is>
          <t>Printer buyer</t>
        </is>
      </c>
      <c r="G65" s="6" t="inlineStr">
        <is>
          <t>Entry-level homebuilder, an Ashton Woods brand</t>
        </is>
      </c>
      <c r="H65" s="6" t="inlineStr">
        <is>
          <t>Dallas-Fort Worth, from Howe to Cedar Hill</t>
        </is>
      </c>
      <c r="I65" s="6" t="inlineStr">
        <is>
          <t>Ashton Woods brand, parent had 1,289 DFW closings in 2025</t>
        </is>
      </c>
      <c r="J65" s="8" t="inlineStr">
        <is>
          <t>Yes</t>
        </is>
      </c>
      <c r="K65" s="9" t="inlineStr">
        <is>
          <t>Plans Rayne, Orbit, Crescent and Luna repeat across DFW neighborhoods.</t>
        </is>
      </c>
      <c r="L65" s="8" t="inlineStr">
        <is>
          <t>Partly</t>
        </is>
      </c>
      <c r="M65" s="9" t="inlineStr">
        <is>
          <t>No brand closings figure published. Ashton Woods names its SVP of Purchasing.</t>
        </is>
      </c>
      <c r="N65" s="8" t="inlineStr">
        <is>
          <t>No</t>
        </is>
      </c>
      <c r="O65" s="9" t="inlineStr">
        <is>
          <t>Nothing on record.</t>
        </is>
      </c>
      <c r="P65" s="6" t="inlineStr">
        <is>
          <t>https://www.linkedin.com/in/adamweaver/</t>
        </is>
      </c>
      <c r="Q65" s="6" t="inlineStr"/>
      <c r="R65" s="11">
        <f>IF(P65="","ADD LINKEDIN","ok")</f>
        <v/>
      </c>
      <c r="S65" s="6" t="inlineStr">
        <is>
          <t>https://www.starlighthomes.com/dallas</t>
        </is>
      </c>
      <c r="T65" s="9" t="inlineStr">
        <is>
          <t>An Ashton Woods brand repeating streamlined plans across DFW. Purchasing sits with the parent.</t>
        </is>
      </c>
      <c r="U65" s="6" t="inlineStr">
        <is>
          <t>YES</t>
        </is>
      </c>
      <c r="V65" s="9" t="inlineStr">
        <is>
          <t>Indexed title: Ashton Woods Homes. Ashton Woods corporate page.</t>
        </is>
      </c>
      <c r="W65" s="6" t="inlineStr">
        <is>
          <t>https://www.ashtonwoods.com/corporate-info</t>
        </is>
      </c>
      <c r="X65" s="6" t="inlineStr">
        <is>
          <t>https://www.linkedin.com/company/starlight-homes/</t>
        </is>
      </c>
      <c r="Y65" s="6" t="inlineStr"/>
      <c r="Z65" s="6" t="inlineStr"/>
      <c r="AA65" s="6" t="inlineStr">
        <is>
          <t>(972) 449-1907</t>
        </is>
      </c>
      <c r="AB65" s="6" t="inlineStr">
        <is>
          <t>Dallas rates page line</t>
        </is>
      </c>
      <c r="AC65" s="6" t="inlineStr">
        <is>
          <t>https://www2.starlighthomes.com/lower-rates-lower-payments-dallas</t>
        </is>
      </c>
      <c r="AD65" s="6" t="inlineStr"/>
      <c r="AE65" s="6" t="inlineStr"/>
    </row>
    <row r="66">
      <c r="A66" s="12" t="inlineStr">
        <is>
          <t>Ryan Hayes</t>
        </is>
      </c>
      <c r="B66" s="12" t="inlineStr">
        <is>
          <t>Stonehollow Homes</t>
        </is>
      </c>
      <c r="C66" s="12" t="inlineStr">
        <is>
          <t>Title not published</t>
        </is>
      </c>
      <c r="D66" s="13" t="inlineStr">
        <is>
          <t>One gap</t>
        </is>
      </c>
      <c r="E66" s="14" t="n">
        <v>2</v>
      </c>
      <c r="F66" s="12" t="inlineStr">
        <is>
          <t>Printer buyer</t>
        </is>
      </c>
      <c r="G66" s="12" t="inlineStr">
        <is>
          <t>Production homebuilder</t>
        </is>
      </c>
      <c r="H66" s="12" t="inlineStr">
        <is>
          <t>McKinney, with communities from Sherman to Fort Worth</t>
        </is>
      </c>
      <c r="I66" s="12" t="inlineStr">
        <is>
          <t>176 company-wide closings in 2022, BUILDER records</t>
        </is>
      </c>
      <c r="J66" s="14" t="inlineStr">
        <is>
          <t>Yes</t>
        </is>
      </c>
      <c r="K66" s="15" t="inlineStr">
        <is>
          <t>One plan library repeated in Pilot Point, Lavon, Anna and other towns.</t>
        </is>
      </c>
      <c r="L66" s="14" t="inlineStr">
        <is>
          <t>Partly</t>
        </is>
      </c>
      <c r="M66" s="15" t="inlineStr">
        <is>
          <t>176 closings in 2022, the latest figure, spread across many community entries.</t>
        </is>
      </c>
      <c r="N66" s="14" t="inlineStr">
        <is>
          <t>No</t>
        </is>
      </c>
      <c r="O66" s="15" t="inlineStr">
        <is>
          <t>Nothing on record.</t>
        </is>
      </c>
      <c r="P66" s="10" t="inlineStr"/>
      <c r="Q66" s="12" t="inlineStr"/>
      <c r="R66" s="16">
        <f>IF(P66="","ADD LINKEDIN","ok")</f>
        <v/>
      </c>
      <c r="S66" s="12" t="inlineStr">
        <is>
          <t>https://www.stonehollowhomes.com/</t>
        </is>
      </c>
      <c r="T66" s="15" t="inlineStr">
        <is>
          <t>Repeats one plan library in Pilot Point, Lavon, Anna and other towns. Family-owned, established in 2010 in Melissa.</t>
        </is>
      </c>
      <c r="U66" s="12" t="inlineStr"/>
      <c r="V66" s="15" t="inlineStr">
        <is>
          <t>Company LinkedIn post, December 2025, with Tami Hayes. No title given.</t>
        </is>
      </c>
      <c r="W66" s="12" t="inlineStr">
        <is>
          <t>https://www.linkedin.com/posts/stonehollow-homes_stonehollow-homes-is-hitting-the-screen-activity-7405267233117159424-txNB</t>
        </is>
      </c>
      <c r="X66" s="12" t="inlineStr">
        <is>
          <t>https://www.linkedin.com/company/stonehollow-homes/</t>
        </is>
      </c>
      <c r="Y66" s="12" t="inlineStr"/>
      <c r="Z66" s="12" t="inlineStr"/>
      <c r="AA66" s="12" t="inlineStr">
        <is>
          <t>(469) 237-6320</t>
        </is>
      </c>
      <c r="AB66" s="12" t="inlineStr">
        <is>
          <t>Main office, McKinney</t>
        </is>
      </c>
      <c r="AC66" s="12" t="inlineStr">
        <is>
          <t>https://www.stonehollowhomes.com/about-us</t>
        </is>
      </c>
      <c r="AD66" s="12" t="inlineStr"/>
      <c r="AE66" s="12" t="inlineStr"/>
    </row>
    <row r="67">
      <c r="A67" s="6" t="inlineStr">
        <is>
          <t>Tami Hayes</t>
        </is>
      </c>
      <c r="B67" s="6" t="inlineStr">
        <is>
          <t>Stonehollow Homes</t>
        </is>
      </c>
      <c r="C67" s="6" t="inlineStr">
        <is>
          <t>Title not published</t>
        </is>
      </c>
      <c r="D67" s="7" t="inlineStr">
        <is>
          <t>One gap</t>
        </is>
      </c>
      <c r="E67" s="8" t="n">
        <v>2</v>
      </c>
      <c r="F67" s="6" t="inlineStr">
        <is>
          <t>Printer buyer</t>
        </is>
      </c>
      <c r="G67" s="6" t="inlineStr">
        <is>
          <t>Production homebuilder</t>
        </is>
      </c>
      <c r="H67" s="6" t="inlineStr">
        <is>
          <t>McKinney, with communities from Sherman to Fort Worth</t>
        </is>
      </c>
      <c r="I67" s="6" t="inlineStr">
        <is>
          <t>176 company-wide closings in 2022, BUILDER records</t>
        </is>
      </c>
      <c r="J67" s="8" t="inlineStr">
        <is>
          <t>Yes</t>
        </is>
      </c>
      <c r="K67" s="9" t="inlineStr">
        <is>
          <t>One plan library repeated in Pilot Point, Lavon, Anna and other towns.</t>
        </is>
      </c>
      <c r="L67" s="8" t="inlineStr">
        <is>
          <t>Partly</t>
        </is>
      </c>
      <c r="M67" s="9" t="inlineStr">
        <is>
          <t>176 closings in 2022, the latest figure, spread across many community entries.</t>
        </is>
      </c>
      <c r="N67" s="8" t="inlineStr">
        <is>
          <t>No</t>
        </is>
      </c>
      <c r="O67" s="9" t="inlineStr">
        <is>
          <t>Nothing on record.</t>
        </is>
      </c>
      <c r="P67" s="10" t="inlineStr"/>
      <c r="Q67" s="6" t="inlineStr"/>
      <c r="R67" s="11">
        <f>IF(P67="","ADD LINKEDIN","ok")</f>
        <v/>
      </c>
      <c r="S67" s="6" t="inlineStr">
        <is>
          <t>https://www.stonehollowhomes.com/</t>
        </is>
      </c>
      <c r="T67" s="9" t="inlineStr">
        <is>
          <t>Repeats one plan library in Pilot Point, Lavon, Anna and other towns. Family-owned, established in 2010 in Melissa.</t>
        </is>
      </c>
      <c r="U67" s="6" t="inlineStr"/>
      <c r="V67" s="9" t="inlineStr">
        <is>
          <t>Same December 2025 post. No title given.</t>
        </is>
      </c>
      <c r="W67" s="6" t="inlineStr">
        <is>
          <t>https://www.linkedin.com/posts/stonehollow-homes_stonehollow-homes-is-hitting-the-screen-activity-7405267233117159424-txNB</t>
        </is>
      </c>
      <c r="X67" s="6" t="inlineStr">
        <is>
          <t>https://www.linkedin.com/company/stonehollow-homes/</t>
        </is>
      </c>
      <c r="Y67" s="6" t="inlineStr"/>
      <c r="Z67" s="6" t="inlineStr"/>
      <c r="AA67" s="6" t="inlineStr">
        <is>
          <t>(469) 237-6320</t>
        </is>
      </c>
      <c r="AB67" s="6" t="inlineStr">
        <is>
          <t>Main office, McKinney</t>
        </is>
      </c>
      <c r="AC67" s="6" t="inlineStr">
        <is>
          <t>https://www.stonehollowhomes.com/about-us</t>
        </is>
      </c>
      <c r="AD67" s="6" t="inlineStr"/>
      <c r="AE67" s="6" t="inlineStr"/>
    </row>
    <row r="68">
      <c r="A68" s="12" t="inlineStr">
        <is>
          <t>Zach Schneider</t>
        </is>
      </c>
      <c r="B68" s="12" t="inlineStr">
        <is>
          <t>Tradition Homes</t>
        </is>
      </c>
      <c r="C68" s="12" t="inlineStr">
        <is>
          <t>President and CEO, co-founder</t>
        </is>
      </c>
      <c r="D68" s="13" t="inlineStr">
        <is>
          <t>One gap</t>
        </is>
      </c>
      <c r="E68" s="14" t="n">
        <v>2</v>
      </c>
      <c r="F68" s="12" t="inlineStr">
        <is>
          <t>Printer buyer</t>
        </is>
      </c>
      <c r="G68" s="12" t="inlineStr">
        <is>
          <t>Move-up homebuilder</t>
        </is>
      </c>
      <c r="H68" s="12" t="inlineStr">
        <is>
          <t>McKinney, with communities in Prosper and Celina</t>
        </is>
      </c>
      <c r="I68" s="12" t="inlineStr">
        <is>
          <t>DFW move-up builder founded 2019 by Darling and Schneider</t>
        </is>
      </c>
      <c r="J68" s="14" t="inlineStr">
        <is>
          <t>Yes</t>
        </is>
      </c>
      <c r="K68" s="15" t="inlineStr">
        <is>
          <t>Production and semi-custom plans in Light Farms, Windsong Ranch and Brookhollow.</t>
        </is>
      </c>
      <c r="L68" s="14" t="inlineStr">
        <is>
          <t>Partly</t>
        </is>
      </c>
      <c r="M68" s="15" t="inlineStr">
        <is>
          <t>Concentrated in DFW. No annual closing figure published.</t>
        </is>
      </c>
      <c r="N68" s="14" t="inlineStr">
        <is>
          <t>No</t>
        </is>
      </c>
      <c r="O68" s="15" t="inlineStr">
        <is>
          <t>Nothing on record.</t>
        </is>
      </c>
      <c r="P68" s="10" t="inlineStr"/>
      <c r="Q68" s="12" t="inlineStr"/>
      <c r="R68" s="16">
        <f>IF(P68="","ADD LINKEDIN","ok")</f>
        <v/>
      </c>
      <c r="S68" s="12" t="inlineStr">
        <is>
          <t>https://www.traditionhomes.com/</t>
        </is>
      </c>
      <c r="T68" s="15" t="inlineStr">
        <is>
          <t>Builds production and semi-custom plans at Light Farms, Windsong Ranch and Brookhollow. Co-founder Bill Darling sold Darling Homes to Taylor Morrison in 2013.</t>
        </is>
      </c>
      <c r="U68" s="12" t="inlineStr">
        <is>
          <t>YES</t>
        </is>
      </c>
      <c r="V68" s="15" t="inlineStr">
        <is>
          <t>Firm's homepage. LinkedIn profile gives President and CEO.</t>
        </is>
      </c>
      <c r="W68" s="12" t="inlineStr">
        <is>
          <t>https://www.traditionhomes.com/</t>
        </is>
      </c>
      <c r="X68" s="12" t="inlineStr">
        <is>
          <t>https://www.linkedin.com/company/traditonhomes/</t>
        </is>
      </c>
      <c r="Y68" s="12" t="inlineStr"/>
      <c r="Z68" s="12" t="inlineStr">
        <is>
          <t>2019-07-24 Dallas Business Journal (hosted on Tradition site). Longtime DFW builder Bill Darling leaps back into high-end homes in Celina’s Light Farms  https://www.traditionhomes.com/longtime-dfw-builder-bill-darling-leaps-back-into-high-end-homes-in-celinas-light-farms/</t>
        </is>
      </c>
      <c r="AA68" s="12" t="inlineStr">
        <is>
          <t>(469) 202-4663</t>
        </is>
      </c>
      <c r="AB68" s="12" t="inlineStr">
        <is>
          <t>Office, McKinney</t>
        </is>
      </c>
      <c r="AC68" s="12" t="inlineStr">
        <is>
          <t>https://www.traditionhomes.com/</t>
        </is>
      </c>
      <c r="AD68" s="12" t="inlineStr"/>
      <c r="AE68" s="12" t="inlineStr"/>
    </row>
    <row r="69">
      <c r="A69" s="6" t="inlineStr">
        <is>
          <t>Bill Darling</t>
        </is>
      </c>
      <c r="B69" s="6" t="inlineStr">
        <is>
          <t>Tradition Homes</t>
        </is>
      </c>
      <c r="C69" s="6" t="inlineStr">
        <is>
          <t>Co-founder</t>
        </is>
      </c>
      <c r="D69" s="7" t="inlineStr">
        <is>
          <t>One gap</t>
        </is>
      </c>
      <c r="E69" s="8" t="n">
        <v>2</v>
      </c>
      <c r="F69" s="6" t="inlineStr">
        <is>
          <t>Printer buyer</t>
        </is>
      </c>
      <c r="G69" s="6" t="inlineStr">
        <is>
          <t>Move-up homebuilder</t>
        </is>
      </c>
      <c r="H69" s="6" t="inlineStr">
        <is>
          <t>McKinney, with communities in Prosper and Celina</t>
        </is>
      </c>
      <c r="I69" s="6" t="inlineStr">
        <is>
          <t>DFW move-up builder founded 2019 by Darling and Schneider</t>
        </is>
      </c>
      <c r="J69" s="8" t="inlineStr">
        <is>
          <t>Yes</t>
        </is>
      </c>
      <c r="K69" s="9" t="inlineStr">
        <is>
          <t>Production and semi-custom plans in Light Farms, Windsong Ranch and Brookhollow.</t>
        </is>
      </c>
      <c r="L69" s="8" t="inlineStr">
        <is>
          <t>Partly</t>
        </is>
      </c>
      <c r="M69" s="9" t="inlineStr">
        <is>
          <t>Concentrated in DFW. No annual closing figure published.</t>
        </is>
      </c>
      <c r="N69" s="8" t="inlineStr">
        <is>
          <t>No</t>
        </is>
      </c>
      <c r="O69" s="9" t="inlineStr">
        <is>
          <t>Nothing on record.</t>
        </is>
      </c>
      <c r="P69" s="10" t="inlineStr"/>
      <c r="Q69" s="6" t="inlineStr"/>
      <c r="R69" s="11">
        <f>IF(P69="","ADD LINKEDIN","ok")</f>
        <v/>
      </c>
      <c r="S69" s="6" t="inlineStr">
        <is>
          <t>https://www.traditionhomes.com/</t>
        </is>
      </c>
      <c r="T69" s="9" t="inlineStr">
        <is>
          <t>Builds production and semi-custom plans at Light Farms, Windsong Ranch and Brookhollow. Co-founder Bill Darling sold Darling Homes to Taylor Morrison in 2013.</t>
        </is>
      </c>
      <c r="U69" s="6" t="inlineStr">
        <is>
          <t>YES</t>
        </is>
      </c>
      <c r="V69" s="9" t="inlineStr">
        <is>
          <t>Dallas Business Journal article, hosted on the firm's site.</t>
        </is>
      </c>
      <c r="W69" s="6" t="inlineStr">
        <is>
          <t>https://www.traditionhomes.com/longtime-dfw-builder-bill-darling-leaps-back-into-high-end-homes-in-celinas-light-farms/</t>
        </is>
      </c>
      <c r="X69" s="6" t="inlineStr">
        <is>
          <t>https://www.linkedin.com/company/traditonhomes/</t>
        </is>
      </c>
      <c r="Y69" s="6" t="inlineStr"/>
      <c r="Z69" s="6" t="inlineStr">
        <is>
          <t>2019-07-24 Dallas Business Journal (hosted on Tradition site). Longtime DFW builder Bill Darling leaps back into high-end homes in Celina’s Light Farms  https://www.traditionhomes.com/longtime-dfw-builder-bill-darling-leaps-back-into-high-end-homes-in-celinas-light-farms/</t>
        </is>
      </c>
      <c r="AA69" s="6" t="inlineStr">
        <is>
          <t>(469) 202-4663</t>
        </is>
      </c>
      <c r="AB69" s="6" t="inlineStr">
        <is>
          <t>Office, McKinney</t>
        </is>
      </c>
      <c r="AC69" s="6" t="inlineStr">
        <is>
          <t>https://www.traditionhomes.com/</t>
        </is>
      </c>
      <c r="AD69" s="6" t="inlineStr"/>
      <c r="AE69" s="6" t="inlineStr"/>
    </row>
    <row r="70">
      <c r="A70" s="12" t="inlineStr">
        <is>
          <t>Tim Gehan</t>
        </is>
      </c>
      <c r="B70" s="12" t="inlineStr">
        <is>
          <t>UnionMain Homes</t>
        </is>
      </c>
      <c r="C70" s="12" t="inlineStr">
        <is>
          <t>Chief Executive Officer</t>
        </is>
      </c>
      <c r="D70" s="13" t="inlineStr">
        <is>
          <t>One gap</t>
        </is>
      </c>
      <c r="E70" s="14" t="n">
        <v>2</v>
      </c>
      <c r="F70" s="12" t="inlineStr">
        <is>
          <t>Printer buyer</t>
        </is>
      </c>
      <c r="G70" s="12" t="inlineStr">
        <is>
          <t>Production homebuilder</t>
        </is>
      </c>
      <c r="H70" s="12" t="inlineStr">
        <is>
          <t>North Texas, from Celina to Waxahachie, and Atlanta</t>
        </is>
      </c>
      <c r="I70" s="12" t="inlineStr">
        <is>
          <t>12 Texas communities in 9 cities, own count</t>
        </is>
      </c>
      <c r="J70" s="14" t="inlineStr">
        <is>
          <t>Yes</t>
        </is>
      </c>
      <c r="K70" s="15" t="inlineStr">
        <is>
          <t>40 floor plans repeated across 12 communities.</t>
        </is>
      </c>
      <c r="L70" s="14" t="inlineStr">
        <is>
          <t>Partly</t>
        </is>
      </c>
      <c r="M70" s="15" t="inlineStr">
        <is>
          <t>No annual closings published.</t>
        </is>
      </c>
      <c r="N70" s="14" t="inlineStr">
        <is>
          <t>No</t>
        </is>
      </c>
      <c r="O70" s="15" t="inlineStr">
        <is>
          <t>Nothing on record.</t>
        </is>
      </c>
      <c r="P70" s="10" t="inlineStr"/>
      <c r="Q70" s="12" t="inlineStr"/>
      <c r="R70" s="16">
        <f>IF(P70="","ADD LINKEDIN","ok")</f>
        <v/>
      </c>
      <c r="S70" s="12" t="inlineStr">
        <is>
          <t>https://www.unionmainhomes.com/</t>
        </is>
      </c>
      <c r="T70" s="15" t="inlineStr">
        <is>
          <t>Repeats 40 floor plans across its Texas communities, from Celina to Waxahachie.</t>
        </is>
      </c>
      <c r="U70" s="12" t="inlineStr">
        <is>
          <t>YES</t>
        </is>
      </c>
      <c r="V70" s="15" t="inlineStr">
        <is>
          <t>Dallas Builders Association feature on Walden Pond, Forney.</t>
        </is>
      </c>
      <c r="W70" s="12" t="inlineStr">
        <is>
          <t>https://dallasbuilders.com/home-of-the-week-unionmain-homes-7/</t>
        </is>
      </c>
      <c r="X70" s="12" t="inlineStr">
        <is>
          <t>https://www.linkedin.com/company/unionmainhomes/</t>
        </is>
      </c>
      <c r="Y70" s="12" t="inlineStr">
        <is>
          <t>https://www.unionmainhomes.com/about</t>
        </is>
      </c>
      <c r="Z70" s="12" t="inlineStr"/>
      <c r="AA70" s="12" t="inlineStr">
        <is>
          <t>(469) 813-8700</t>
        </is>
      </c>
      <c r="AB70" s="12" t="inlineStr">
        <is>
          <t>Online sales consultant</t>
        </is>
      </c>
      <c r="AC70" s="12" t="inlineStr">
        <is>
          <t>https://www.unionmainhomes.com/contact</t>
        </is>
      </c>
      <c r="AD70" s="12" t="inlineStr"/>
      <c r="AE70" s="12" t="inlineStr"/>
    </row>
    <row r="71">
      <c r="A71" s="6" t="inlineStr">
        <is>
          <t>Kathy Britton</t>
        </is>
      </c>
      <c r="B71" s="6" t="inlineStr">
        <is>
          <t>Britton Homes</t>
        </is>
      </c>
      <c r="C71" s="6" t="inlineStr">
        <is>
          <t>Owner and Executive Chair, Perry Homes</t>
        </is>
      </c>
      <c r="D71" s="7" t="inlineStr">
        <is>
          <t>One gap</t>
        </is>
      </c>
      <c r="E71" s="8" t="n">
        <v>2</v>
      </c>
      <c r="F71" s="6" t="inlineStr">
        <is>
          <t>Printer buyer</t>
        </is>
      </c>
      <c r="G71" s="6" t="inlineStr">
        <is>
          <t>Luxury homebuilder, a Perry Homes brand</t>
        </is>
      </c>
      <c r="H71" s="6" t="inlineStr">
        <is>
          <t>North Texas: Plano, Frisco, Celina, Highland Village and Prosper</t>
        </is>
      </c>
      <c r="I71" s="6" t="inlineStr">
        <is>
          <t>Six DFW communities listed on its site</t>
        </is>
      </c>
      <c r="J71" s="8" t="inlineStr">
        <is>
          <t>Partly</t>
        </is>
      </c>
      <c r="K71" s="9" t="inlineStr">
        <is>
          <t>Brand plan library. Upscale product, less standardized than entry production.</t>
        </is>
      </c>
      <c r="L71" s="8" t="inlineStr">
        <is>
          <t>Partly</t>
        </is>
      </c>
      <c r="M71" s="9" t="inlineStr">
        <is>
          <t>No Britton-only closing figure published.</t>
        </is>
      </c>
      <c r="N71" s="8" t="inlineStr">
        <is>
          <t>No</t>
        </is>
      </c>
      <c r="O71" s="9" t="inlineStr">
        <is>
          <t>Nothing on record.</t>
        </is>
      </c>
      <c r="P71" s="10" t="inlineStr"/>
      <c r="Q71" s="6" t="inlineStr"/>
      <c r="R71" s="11">
        <f>IF(P71="","ADD LINKEDIN","ok")</f>
        <v/>
      </c>
      <c r="S71" s="6" t="inlineStr">
        <is>
          <t>https://www.brittonhomestexas.com/</t>
        </is>
      </c>
      <c r="T71" s="9" t="inlineStr">
        <is>
          <t>The luxury brand of Perry Homes, building in Plano, Frisco, Celina and Highland Village.</t>
        </is>
      </c>
      <c r="U71" s="6" t="inlineStr"/>
      <c r="V71" s="9" t="inlineStr">
        <is>
          <t>Perry Homes about page.</t>
        </is>
      </c>
      <c r="W71" s="6" t="inlineStr">
        <is>
          <t>https://www.perryhomes.com/about-perry-homes</t>
        </is>
      </c>
      <c r="X71" s="6" t="inlineStr">
        <is>
          <t>https://www.linkedin.com/company/britton-homes-texas/</t>
        </is>
      </c>
      <c r="Y71" s="6" t="inlineStr"/>
      <c r="Z71" s="6" t="inlineStr"/>
      <c r="AA71" s="6" t="inlineStr">
        <is>
          <t>(800) 247-3779</t>
        </is>
      </c>
      <c r="AB71" s="6" t="inlineStr">
        <is>
          <t>Perry Homes line, on the Britton contact page</t>
        </is>
      </c>
      <c r="AC71" s="6" t="inlineStr">
        <is>
          <t>https://www.brittonhomestexas.com/contact-us/</t>
        </is>
      </c>
      <c r="AD71" s="6" t="inlineStr"/>
      <c r="AE71" s="6" t="inlineStr"/>
    </row>
    <row r="72">
      <c r="A72" s="12" t="inlineStr">
        <is>
          <t>Chris Terhune</t>
        </is>
      </c>
      <c r="B72" s="12" t="inlineStr">
        <is>
          <t>Coventry Homes</t>
        </is>
      </c>
      <c r="C72" s="12" t="inlineStr">
        <is>
          <t>Division President, Dallas-Fort Worth</t>
        </is>
      </c>
      <c r="D72" s="13" t="inlineStr">
        <is>
          <t>One gap</t>
        </is>
      </c>
      <c r="E72" s="14" t="n">
        <v>2</v>
      </c>
      <c r="F72" s="12" t="inlineStr">
        <is>
          <t>Printer buyer</t>
        </is>
      </c>
      <c r="G72" s="12" t="inlineStr">
        <is>
          <t>Production homebuilder, a Dream Finders brand</t>
        </is>
      </c>
      <c r="H72" s="12" t="inlineStr">
        <is>
          <t>Dallas-Fort Worth, with communities in McKinney, Celina and Anna</t>
        </is>
      </c>
      <c r="I72" s="12" t="inlineStr">
        <is>
          <t>More than 55,000 Texas homes closed, its own count</t>
        </is>
      </c>
      <c r="J72" s="14" t="inlineStr">
        <is>
          <t>Partly</t>
        </is>
      </c>
      <c r="K72" s="15" t="inlineStr">
        <is>
          <t>Close to 100 communities in four Texas metros on production plans. No DFW count.</t>
        </is>
      </c>
      <c r="L72" s="14" t="inlineStr">
        <is>
          <t>Partly</t>
        </is>
      </c>
      <c r="M72" s="15" t="inlineStr">
        <is>
          <t>No DFW closings figure. Public parent.</t>
        </is>
      </c>
      <c r="N72" s="14" t="inlineStr">
        <is>
          <t>No</t>
        </is>
      </c>
      <c r="O72" s="15" t="inlineStr">
        <is>
          <t>EcoSmart and Energy Star cover some homes only. No new wall method on record.</t>
        </is>
      </c>
      <c r="P72" s="10" t="inlineStr"/>
      <c r="Q72" s="12" t="inlineStr"/>
      <c r="R72" s="16">
        <f>IF(P72="","ADD LINKEDIN","ok")</f>
        <v/>
      </c>
      <c r="S72" s="12" t="inlineStr">
        <is>
          <t>https://www.coventryhomes.com/</t>
        </is>
      </c>
      <c r="T72" s="15" t="inlineStr">
        <is>
          <t>A Dream Finders Homes brand. Builds at Painted Tree in McKinney and at Ramble in Celina.</t>
        </is>
      </c>
      <c r="U72" s="12" t="inlineStr">
        <is>
          <t>YES</t>
        </is>
      </c>
      <c r="V72" s="15" t="inlineStr">
        <is>
          <t>Coventry blog, on the Meadow Vista expansion in Anna.</t>
        </is>
      </c>
      <c r="W72" s="12" t="inlineStr">
        <is>
          <t>https://www.coventryhomes.com/blog/coventry-homes-expands-to-meadow-vista-with-award-winning-home-designs/</t>
        </is>
      </c>
      <c r="X72" s="12" t="inlineStr">
        <is>
          <t>https://www.linkedin.com/company/coventryhomes/</t>
        </is>
      </c>
      <c r="Y72" s="12" t="inlineStr">
        <is>
          <t>https://www.coventryhomes.com/about-us/</t>
        </is>
      </c>
      <c r="Z72" s="12" t="inlineStr"/>
      <c r="AA72" s="12" t="inlineStr">
        <is>
          <t>(972) 366-8789</t>
        </is>
      </c>
      <c r="AB72" s="12" t="inlineStr">
        <is>
          <t>Dallas and Fort Worth line</t>
        </is>
      </c>
      <c r="AC72" s="12" t="inlineStr">
        <is>
          <t>https://www.coventryhomes.com/connect/</t>
        </is>
      </c>
      <c r="AD72" s="12" t="inlineStr"/>
      <c r="AE72" s="12" t="inlineStr"/>
    </row>
    <row r="73">
      <c r="A73" s="6" t="inlineStr">
        <is>
          <t>Aaron Graham</t>
        </is>
      </c>
      <c r="B73" s="6" t="inlineStr">
        <is>
          <t>Huntington Homes</t>
        </is>
      </c>
      <c r="C73" s="6" t="inlineStr">
        <is>
          <t>Chairman and Chief Executive Officer, Highland Homes</t>
        </is>
      </c>
      <c r="D73" s="7" t="inlineStr">
        <is>
          <t>One gap</t>
        </is>
      </c>
      <c r="E73" s="8" t="n">
        <v>2</v>
      </c>
      <c r="F73" s="6" t="inlineStr">
        <is>
          <t>Printer buyer</t>
        </is>
      </c>
      <c r="G73" s="6" t="inlineStr">
        <is>
          <t>Luxury homebuilder</t>
        </is>
      </c>
      <c r="H73" s="6" t="inlineStr">
        <is>
          <t>Plano office, with communities in Parker, Prosper and Celina</t>
        </is>
      </c>
      <c r="I73" s="6" t="inlineStr">
        <is>
          <t>Highland Homes' luxury brand, three DFW communities</t>
        </is>
      </c>
      <c r="J73" s="8" t="inlineStr">
        <is>
          <t>Partly</t>
        </is>
      </c>
      <c r="K73" s="9" t="inlineStr">
        <is>
          <t>Plan library with custom selections in three DFW communities.</t>
        </is>
      </c>
      <c r="L73" s="8" t="inlineStr">
        <is>
          <t>Partly</t>
        </is>
      </c>
      <c r="M73" s="9" t="inlineStr">
        <is>
          <t>No published closings figure.</t>
        </is>
      </c>
      <c r="N73" s="8" t="inlineStr">
        <is>
          <t>No</t>
        </is>
      </c>
      <c r="O73" s="9" t="inlineStr">
        <is>
          <t>Nothing on record.</t>
        </is>
      </c>
      <c r="P73" s="6" t="inlineStr">
        <is>
          <t>https://www.linkedin.com/in/aaron-graham-38728878/</t>
        </is>
      </c>
      <c r="Q73" s="6" t="inlineStr"/>
      <c r="R73" s="11">
        <f>IF(P73="","ADD LINKEDIN","ok")</f>
        <v/>
      </c>
      <c r="S73" s="6" t="inlineStr">
        <is>
          <t>https://www.huntingtonhomestx.com/</t>
        </is>
      </c>
      <c r="T73" s="9" t="inlineStr">
        <is>
          <t>Sells a plan library with custom selections on 100-foot lots. Trades as Sanders Custom Builder, LLC.</t>
        </is>
      </c>
      <c r="U73" s="6" t="inlineStr"/>
      <c r="V73" s="9" t="inlineStr">
        <is>
          <t>Indexed title: Highland Homes. Builder and Developer, August 6, 2026. Title is at the parent brand.</t>
        </is>
      </c>
      <c r="W73" s="6" t="inlineStr">
        <is>
          <t>https://www.bdmag.com/highland-homes-announces-restructuring/</t>
        </is>
      </c>
      <c r="X73" s="6" t="inlineStr">
        <is>
          <t>https://www.linkedin.com/company/huntington-custom-homes/</t>
        </is>
      </c>
      <c r="Y73" s="6" t="inlineStr"/>
      <c r="Z73" s="6" t="inlineStr"/>
      <c r="AA73" s="6" t="inlineStr">
        <is>
          <t>(972) 789-3500</t>
        </is>
      </c>
      <c r="AB73" s="6" t="inlineStr">
        <is>
          <t>Plano office</t>
        </is>
      </c>
      <c r="AC73" s="6" t="inlineStr">
        <is>
          <t>https://www.huntingtonhomestx.com/</t>
        </is>
      </c>
      <c r="AD73" s="6" t="inlineStr"/>
      <c r="AE73" s="6" t="inlineStr"/>
    </row>
    <row r="74">
      <c r="A74" s="12" t="inlineStr">
        <is>
          <t>Peter H. Shaddock</t>
        </is>
      </c>
      <c r="B74" s="12" t="inlineStr">
        <is>
          <t>Shaddock Homes</t>
        </is>
      </c>
      <c r="C74" s="12" t="inlineStr">
        <is>
          <t>President</t>
        </is>
      </c>
      <c r="D74" s="13" t="inlineStr">
        <is>
          <t>One gap</t>
        </is>
      </c>
      <c r="E74" s="14" t="n">
        <v>2</v>
      </c>
      <c r="F74" s="12" t="inlineStr">
        <is>
          <t>Printer buyer</t>
        </is>
      </c>
      <c r="G74" s="12" t="inlineStr">
        <is>
          <t>Production and semi-custom homebuilder</t>
        </is>
      </c>
      <c r="H74" s="12" t="inlineStr">
        <is>
          <t>Plano, with communities in Celina, Prosper, Frisco, McKinney and Rockwall</t>
        </is>
      </c>
      <c r="I74" s="12" t="inlineStr">
        <is>
          <t>374 company-wide closings in 2025, BUILDER's list rank 132</t>
        </is>
      </c>
      <c r="J74" s="14" t="inlineStr">
        <is>
          <t>Partly</t>
        </is>
      </c>
      <c r="K74" s="15" t="inlineStr">
        <is>
          <t>Plans repeat. The product is premium and semi-custom.</t>
        </is>
      </c>
      <c r="L74" s="14" t="inlineStr">
        <is>
          <t>Partly</t>
        </is>
      </c>
      <c r="M74" s="15" t="inlineStr">
        <is>
          <t>374 closings company-wide in 2025, spread across many North Dallas communities rather than a few.</t>
        </is>
      </c>
      <c r="N74" s="14" t="inlineStr">
        <is>
          <t>No</t>
        </is>
      </c>
      <c r="O74" s="15" t="inlineStr">
        <is>
          <t>Nothing on record.</t>
        </is>
      </c>
      <c r="P74" s="10" t="inlineStr"/>
      <c r="Q74" s="12" t="inlineStr"/>
      <c r="R74" s="16">
        <f>IF(P74="","ADD LINKEDIN","ok")</f>
        <v/>
      </c>
      <c r="S74" s="12" t="inlineStr">
        <is>
          <t>https://www.shaddockhomes.com/</t>
        </is>
      </c>
      <c r="T74" s="15" t="inlineStr">
        <is>
          <t>Its plans repeat, semi-custom and premium, across many North Dallas communities. Peter Shaddock and the next generation lead it.</t>
        </is>
      </c>
      <c r="U74" s="12" t="inlineStr">
        <is>
          <t>YES</t>
        </is>
      </c>
      <c r="V74" s="15" t="inlineStr">
        <is>
          <t>Company press release.</t>
        </is>
      </c>
      <c r="W74" s="12" t="inlineStr">
        <is>
          <t>https://www.natlawreview.com/press-releases/peter-h-shaddock-shaddock-homes-celebrates-60-years-excellence-luxury</t>
        </is>
      </c>
      <c r="X74" s="12" t="inlineStr">
        <is>
          <t>https://www.linkedin.com/company/shaddock-homes/</t>
        </is>
      </c>
      <c r="Y74" s="12" t="inlineStr">
        <is>
          <t>https://www.shaddockhomes.com/contact-us</t>
        </is>
      </c>
      <c r="Z74" s="12" t="inlineStr">
        <is>
          <t>2024 National Law Review (company release). Peter H. Shaddock of Shaddock Homes Celebrates 60 Years of Excellence  https://www.natlawreview.com/press-releases/peter-h-shaddock-shaddock-homes-celebrates-60-years-excellence-luxury</t>
        </is>
      </c>
      <c r="AA74" s="12" t="inlineStr">
        <is>
          <t>(214) 225-9360</t>
        </is>
      </c>
      <c r="AB74" s="12" t="inlineStr">
        <is>
          <t>Corporate office, Plano</t>
        </is>
      </c>
      <c r="AC74" s="12" t="inlineStr">
        <is>
          <t>https://www.shaddockhomes.com/contact-us</t>
        </is>
      </c>
      <c r="AD74" s="12" t="inlineStr"/>
      <c r="AE74" s="12" t="inlineStr"/>
    </row>
    <row r="75">
      <c r="A75" s="6" t="inlineStr">
        <is>
          <t>no contact identified</t>
        </is>
      </c>
      <c r="B75" s="6" t="inlineStr">
        <is>
          <t>D and R Concrete Construction LLC</t>
        </is>
      </c>
      <c r="C75" s="6" t="inlineStr"/>
      <c r="D75" s="7" t="inlineStr">
        <is>
          <t>Contractors and plants</t>
        </is>
      </c>
      <c r="E75" s="8" t="n">
        <v>3</v>
      </c>
      <c r="F75" s="6" t="inlineStr">
        <is>
          <t>Printer buyer</t>
        </is>
      </c>
      <c r="G75" s="6" t="inlineStr">
        <is>
          <t>ICF and concrete contractor</t>
        </is>
      </c>
      <c r="H75" s="6" t="inlineStr">
        <is>
          <t>Bells, serving North Texas</t>
        </is>
      </c>
      <c r="I75" s="6" t="inlineStr">
        <is>
          <t>ICF contractor serving North Texas for over 25 years</t>
        </is>
      </c>
      <c r="J75" s="8" t="inlineStr">
        <is>
          <t>Yes</t>
        </is>
      </c>
      <c r="K75" s="9" t="inlineStr">
        <is>
          <t>ICF and concrete walls, repeated across North Texas projects.</t>
        </is>
      </c>
      <c r="L75" s="8" t="inlineStr">
        <is>
          <t>Partly</t>
        </is>
      </c>
      <c r="M75" s="9" t="inlineStr">
        <is>
          <t>No annual count published.</t>
        </is>
      </c>
      <c r="N75" s="8" t="inlineStr">
        <is>
          <t>Yes</t>
        </is>
      </c>
      <c r="O75" s="9" t="inlineStr">
        <is>
          <t>Its product replaces wood-framed walls.</t>
        </is>
      </c>
      <c r="P75" s="10" t="inlineStr"/>
      <c r="Q75" s="6" t="inlineStr"/>
      <c r="R75" s="11">
        <f>IF(P75="","ADD LINKEDIN","ok")</f>
        <v/>
      </c>
      <c r="S75" s="6" t="inlineStr">
        <is>
          <t>https://dnrconcrete.com/</t>
        </is>
      </c>
      <c r="T75" s="9" t="inlineStr">
        <is>
          <t>Builds ICF and concrete walls across North Texas. Family-owned, based in Bells.</t>
        </is>
      </c>
      <c r="U75" s="6" t="inlineStr"/>
      <c r="V75" s="9" t="inlineStr"/>
      <c r="W75" s="6" t="inlineStr"/>
      <c r="X75" s="6" t="inlineStr"/>
      <c r="Y75" s="6" t="inlineStr"/>
      <c r="Z75" s="6" t="inlineStr"/>
      <c r="AA75" s="6" t="inlineStr">
        <is>
          <t>(970) 275-2366</t>
        </is>
      </c>
      <c r="AB75" s="6" t="inlineStr">
        <is>
          <t>Call or text line, Bells</t>
        </is>
      </c>
      <c r="AC75" s="6" t="inlineStr">
        <is>
          <t>https://dnrconcrete.com/</t>
        </is>
      </c>
      <c r="AD75" s="6" t="inlineStr"/>
      <c r="AE75" s="6" t="inlineStr"/>
    </row>
    <row r="76">
      <c r="A76" s="12" t="inlineStr">
        <is>
          <t>Glen Gilbert</t>
        </is>
      </c>
      <c r="B76" s="12" t="inlineStr">
        <is>
          <t>Future Frame USA</t>
        </is>
      </c>
      <c r="C76" s="12" t="inlineStr">
        <is>
          <t>General Manager</t>
        </is>
      </c>
      <c r="D76" s="13" t="inlineStr">
        <is>
          <t>Contractors and plants</t>
        </is>
      </c>
      <c r="E76" s="14" t="n">
        <v>3</v>
      </c>
      <c r="F76" s="12" t="inlineStr">
        <is>
          <t>Printer buyer</t>
        </is>
      </c>
      <c r="G76" s="12" t="inlineStr">
        <is>
          <t>Wall panel and truss plant</t>
        </is>
      </c>
      <c r="H76" s="12" t="inlineStr">
        <is>
          <t>New Caney and Conroe plant, Houston area, with a shipping radius of about 200 miles</t>
        </is>
      </c>
      <c r="I76" s="12" t="inlineStr">
        <is>
          <t>17,000 sq ft production space added in New Caney, 2023</t>
        </is>
      </c>
      <c r="J76" s="14" t="inlineStr">
        <is>
          <t>Yes</t>
        </is>
      </c>
      <c r="K76" s="15" t="inlineStr">
        <is>
          <t>Same engineered wall, floor and roof kits, made repeatedly for residential projects.</t>
        </is>
      </c>
      <c r="L76" s="14" t="inlineStr">
        <is>
          <t>Partly</t>
        </is>
      </c>
      <c r="M76" s="15" t="inlineStr">
        <is>
          <t>No DFW homes-a-year figure. Plant serves several Texas metros.</t>
        </is>
      </c>
      <c r="N76" s="14" t="inlineStr">
        <is>
          <t>Yes</t>
        </is>
      </c>
      <c r="O76" s="15" t="inlineStr">
        <is>
          <t>Sells factory panelized framing to replace stick-built walls.</t>
        </is>
      </c>
      <c r="P76" s="10" t="inlineStr"/>
      <c r="Q76" s="12" t="inlineStr"/>
      <c r="R76" s="16">
        <f>IF(P76="","ADD LINKEDIN","ok")</f>
        <v/>
      </c>
      <c r="S76" s="12" t="inlineStr">
        <is>
          <t>https://futureframeusa.com/</t>
        </is>
      </c>
      <c r="T76" s="15" t="inlineStr">
        <is>
          <t>Sells factory-made wall, floor and roof kits against stick framing. Ships about 200 miles, taking in DFW.</t>
        </is>
      </c>
      <c r="U76" s="12" t="inlineStr">
        <is>
          <t>YES</t>
        </is>
      </c>
      <c r="V76" s="15" t="inlineStr">
        <is>
          <t>Meet Our Team page.</t>
        </is>
      </c>
      <c r="W76" s="12" t="inlineStr">
        <is>
          <t>https://futureframeusa.com/meet-our-team/</t>
        </is>
      </c>
      <c r="X76" s="12" t="inlineStr">
        <is>
          <t>https://www.linkedin.com/company/future-frame-usa/</t>
        </is>
      </c>
      <c r="Y76" s="12" t="inlineStr">
        <is>
          <t>https://futureframeusa.com/</t>
        </is>
      </c>
      <c r="Z76" s="12" t="inlineStr"/>
      <c r="AA76" s="12" t="inlineStr">
        <is>
          <t>(281) 231-9200</t>
        </is>
      </c>
      <c r="AB76" s="12" t="inlineStr">
        <is>
          <t>Texas plant and sales</t>
        </is>
      </c>
      <c r="AC76" s="12" t="inlineStr">
        <is>
          <t>https://futureframeusa.com/</t>
        </is>
      </c>
      <c r="AD76" s="12" t="inlineStr"/>
      <c r="AE76" s="12" t="inlineStr"/>
    </row>
    <row r="77">
      <c r="A77" s="6" t="inlineStr">
        <is>
          <t>Shane McCullough</t>
        </is>
      </c>
      <c r="B77" s="6" t="inlineStr">
        <is>
          <t>Future Frame USA</t>
        </is>
      </c>
      <c r="C77" s="6" t="inlineStr">
        <is>
          <t>President</t>
        </is>
      </c>
      <c r="D77" s="7" t="inlineStr">
        <is>
          <t>Contractors and plants</t>
        </is>
      </c>
      <c r="E77" s="8" t="n">
        <v>3</v>
      </c>
      <c r="F77" s="6" t="inlineStr">
        <is>
          <t>Printer buyer</t>
        </is>
      </c>
      <c r="G77" s="6" t="inlineStr">
        <is>
          <t>Wall panel and truss plant</t>
        </is>
      </c>
      <c r="H77" s="6" t="inlineStr">
        <is>
          <t>New Caney and Conroe plant, Houston area, with a shipping radius of about 200 miles</t>
        </is>
      </c>
      <c r="I77" s="6" t="inlineStr">
        <is>
          <t>17,000 sq ft production space added in New Caney, 2023</t>
        </is>
      </c>
      <c r="J77" s="8" t="inlineStr">
        <is>
          <t>Yes</t>
        </is>
      </c>
      <c r="K77" s="9" t="inlineStr">
        <is>
          <t>Same engineered wall, floor and roof kits, made repeatedly for residential projects.</t>
        </is>
      </c>
      <c r="L77" s="8" t="inlineStr">
        <is>
          <t>Partly</t>
        </is>
      </c>
      <c r="M77" s="9" t="inlineStr">
        <is>
          <t>No DFW homes-a-year figure. Plant serves several Texas metros.</t>
        </is>
      </c>
      <c r="N77" s="8" t="inlineStr">
        <is>
          <t>Yes</t>
        </is>
      </c>
      <c r="O77" s="9" t="inlineStr">
        <is>
          <t>Sells factory panelized framing to replace stick-built walls.</t>
        </is>
      </c>
      <c r="P77" s="10" t="inlineStr"/>
      <c r="Q77" s="6" t="inlineStr"/>
      <c r="R77" s="11">
        <f>IF(P77="","ADD LINKEDIN","ok")</f>
        <v/>
      </c>
      <c r="S77" s="6" t="inlineStr">
        <is>
          <t>https://futureframeusa.com/</t>
        </is>
      </c>
      <c r="T77" s="9" t="inlineStr">
        <is>
          <t>Sells factory-made wall, floor and roof kits against stick framing. Ships about 200 miles, taking in DFW.</t>
        </is>
      </c>
      <c r="U77" s="6" t="inlineStr">
        <is>
          <t>YES</t>
        </is>
      </c>
      <c r="V77" s="9" t="inlineStr">
        <is>
          <t>Meet Our Team page.</t>
        </is>
      </c>
      <c r="W77" s="6" t="inlineStr">
        <is>
          <t>https://futureframeusa.com/meet-our-team/</t>
        </is>
      </c>
      <c r="X77" s="6" t="inlineStr">
        <is>
          <t>https://www.linkedin.com/company/future-frame-usa/</t>
        </is>
      </c>
      <c r="Y77" s="6" t="inlineStr">
        <is>
          <t>https://futureframeusa.com/</t>
        </is>
      </c>
      <c r="Z77" s="6" t="inlineStr"/>
      <c r="AA77" s="6" t="inlineStr">
        <is>
          <t>(281) 231-9200</t>
        </is>
      </c>
      <c r="AB77" s="6" t="inlineStr">
        <is>
          <t>Texas plant and sales</t>
        </is>
      </c>
      <c r="AC77" s="6" t="inlineStr">
        <is>
          <t>https://futureframeusa.com/</t>
        </is>
      </c>
      <c r="AD77" s="6" t="inlineStr"/>
      <c r="AE77" s="6" t="inlineStr"/>
    </row>
    <row r="78">
      <c r="A78" s="12" t="inlineStr">
        <is>
          <t>Joe Mazzenga</t>
        </is>
      </c>
      <c r="B78" s="12" t="inlineStr">
        <is>
          <t>Future Frame USA</t>
        </is>
      </c>
      <c r="C78" s="12" t="inlineStr">
        <is>
          <t>General Manager in 2022</t>
        </is>
      </c>
      <c r="D78" s="13" t="inlineStr">
        <is>
          <t>Contractors and plants</t>
        </is>
      </c>
      <c r="E78" s="14" t="n">
        <v>3</v>
      </c>
      <c r="F78" s="12" t="inlineStr">
        <is>
          <t>Printer buyer</t>
        </is>
      </c>
      <c r="G78" s="12" t="inlineStr">
        <is>
          <t>Wall panel and truss plant</t>
        </is>
      </c>
      <c r="H78" s="12" t="inlineStr">
        <is>
          <t>New Caney and Conroe plant, Houston area, with a shipping radius of about 200 miles</t>
        </is>
      </c>
      <c r="I78" s="12" t="inlineStr">
        <is>
          <t>17,000 sq ft production space added in New Caney, 2023</t>
        </is>
      </c>
      <c r="J78" s="14" t="inlineStr">
        <is>
          <t>Yes</t>
        </is>
      </c>
      <c r="K78" s="15" t="inlineStr">
        <is>
          <t>Same engineered wall, floor and roof kits, made repeatedly for residential projects.</t>
        </is>
      </c>
      <c r="L78" s="14" t="inlineStr">
        <is>
          <t>Partly</t>
        </is>
      </c>
      <c r="M78" s="15" t="inlineStr">
        <is>
          <t>No DFW homes-a-year figure. Plant serves several Texas metros.</t>
        </is>
      </c>
      <c r="N78" s="14" t="inlineStr">
        <is>
          <t>Yes</t>
        </is>
      </c>
      <c r="O78" s="15" t="inlineStr">
        <is>
          <t>Sells factory panelized framing to replace stick-built walls.</t>
        </is>
      </c>
      <c r="P78" s="10" t="inlineStr"/>
      <c r="Q78" s="12" t="inlineStr"/>
      <c r="R78" s="16">
        <f>IF(P78="","ADD LINKEDIN","ok")</f>
        <v/>
      </c>
      <c r="S78" s="12" t="inlineStr">
        <is>
          <t>https://futureframeusa.com/</t>
        </is>
      </c>
      <c r="T78" s="15" t="inlineStr">
        <is>
          <t>Sells factory-made wall, floor and roof kits against stick framing. Ships about 200 miles, taking in DFW.</t>
        </is>
      </c>
      <c r="U78" s="12" t="inlineStr"/>
      <c r="V78" s="15" t="inlineStr">
        <is>
          <t>Community Impact article, February 24, 2022. Named General Manager at the plant opening.</t>
        </is>
      </c>
      <c r="W78" s="12" t="inlineStr">
        <is>
          <t>https://communityimpact.com/houston/lake-houston-humble-kingwood/impacts/2022/02/24/future-frame-usa-now-open-in-east-montgomery-county-industrial-park/</t>
        </is>
      </c>
      <c r="X78" s="12" t="inlineStr">
        <is>
          <t>https://www.linkedin.com/company/future-frame-usa/</t>
        </is>
      </c>
      <c r="Y78" s="12" t="inlineStr">
        <is>
          <t>https://futureframeusa.com/</t>
        </is>
      </c>
      <c r="Z78" s="12" t="inlineStr"/>
      <c r="AA78" s="12" t="inlineStr">
        <is>
          <t>(281) 231-9200</t>
        </is>
      </c>
      <c r="AB78" s="12" t="inlineStr">
        <is>
          <t>Texas plant and sales</t>
        </is>
      </c>
      <c r="AC78" s="12" t="inlineStr">
        <is>
          <t>https://futureframeusa.com/</t>
        </is>
      </c>
      <c r="AD78" s="12" t="inlineStr"/>
      <c r="AE78" s="12" t="inlineStr"/>
    </row>
    <row r="79">
      <c r="A79" s="6" t="inlineStr">
        <is>
          <t>Mark Womack</t>
        </is>
      </c>
      <c r="B79" s="6" t="inlineStr">
        <is>
          <t>Monster Constructors</t>
        </is>
      </c>
      <c r="C79" s="6" t="inlineStr">
        <is>
          <t>Owner</t>
        </is>
      </c>
      <c r="D79" s="7" t="inlineStr">
        <is>
          <t>Contractors and plants</t>
        </is>
      </c>
      <c r="E79" s="8" t="n">
        <v>3</v>
      </c>
      <c r="F79" s="6" t="inlineStr">
        <is>
          <t>Printer buyer</t>
        </is>
      </c>
      <c r="G79" s="6" t="inlineStr">
        <is>
          <t>ICF wall contractor</t>
        </is>
      </c>
      <c r="H79" s="6" t="inlineStr">
        <is>
          <t>Fort Worth, working across the DFW Metroplex</t>
        </is>
      </c>
      <c r="I79" s="6" t="inlineStr">
        <is>
          <t>ICF wall shells across DFW, in business since 2005</t>
        </is>
      </c>
      <c r="J79" s="8" t="inlineStr">
        <is>
          <t>Yes</t>
        </is>
      </c>
      <c r="K79" s="9" t="inlineStr">
        <is>
          <t>Same ICF wall system on DFW custom and light commercial jobs.</t>
        </is>
      </c>
      <c r="L79" s="8" t="inlineStr">
        <is>
          <t>Partly</t>
        </is>
      </c>
      <c r="M79" s="9" t="inlineStr">
        <is>
          <t>No annual home or wall count published.</t>
        </is>
      </c>
      <c r="N79" s="8" t="inlineStr">
        <is>
          <t>Yes</t>
        </is>
      </c>
      <c r="O79" s="9" t="inlineStr">
        <is>
          <t>ICF walls are the product.</t>
        </is>
      </c>
      <c r="P79" s="10" t="inlineStr"/>
      <c r="Q79" s="6" t="inlineStr"/>
      <c r="R79" s="11">
        <f>IF(P79="","ADD LINKEDIN","ok")</f>
        <v/>
      </c>
      <c r="S79" s="6" t="inlineStr">
        <is>
          <t>https://monsterconstructors.com/</t>
        </is>
      </c>
      <c r="T79" s="9" t="inlineStr">
        <is>
          <t>Sets ICF walls on DFW custom and light commercial jobs. Mark Womack acquired it in 2010.</t>
        </is>
      </c>
      <c r="U79" s="6" t="inlineStr">
        <is>
          <t>YES</t>
        </is>
      </c>
      <c r="V79" s="9" t="inlineStr">
        <is>
          <t>About page. Acquired the firm in 2010.</t>
        </is>
      </c>
      <c r="W79" s="6" t="inlineStr">
        <is>
          <t>https://monsterconstructors.com/about-us/</t>
        </is>
      </c>
      <c r="X79" s="6" t="inlineStr">
        <is>
          <t>https://www.linkedin.com/company/monster-constructors/</t>
        </is>
      </c>
      <c r="Y79" s="6" t="inlineStr">
        <is>
          <t>https://monsterconstructors.com/about-us/</t>
        </is>
      </c>
      <c r="Z79" s="6" t="inlineStr"/>
      <c r="AA79" s="6" t="inlineStr">
        <is>
          <t>(972) 533-8678</t>
        </is>
      </c>
      <c r="AB79" s="6" t="inlineStr">
        <is>
          <t>DFW office</t>
        </is>
      </c>
      <c r="AC79" s="6" t="inlineStr">
        <is>
          <t>https://monsterconstructors.com/contact-us/</t>
        </is>
      </c>
      <c r="AD79" s="6" t="inlineStr"/>
      <c r="AE79" s="6" t="inlineStr"/>
    </row>
    <row r="80">
      <c r="A80" s="12" t="inlineStr">
        <is>
          <t>Keith Giddens</t>
        </is>
      </c>
      <c r="B80" s="12" t="inlineStr">
        <is>
          <t>BakerTriangle Prefab</t>
        </is>
      </c>
      <c r="C80" s="12" t="inlineStr">
        <is>
          <t>President, BakerTriangle Prefab</t>
        </is>
      </c>
      <c r="D80" s="13" t="inlineStr">
        <is>
          <t>Contractors and plants</t>
        </is>
      </c>
      <c r="E80" s="14" t="n">
        <v>3</v>
      </c>
      <c r="F80" s="12" t="inlineStr">
        <is>
          <t>Printer buyer</t>
        </is>
      </c>
      <c r="G80" s="12" t="inlineStr">
        <is>
          <t>Exterior wall panel plant</t>
        </is>
      </c>
      <c r="H80" s="12" t="inlineStr">
        <is>
          <t>Richardson plant, Mesquite headquarters</t>
        </is>
      </c>
      <c r="I80" s="12" t="inlineStr">
        <is>
          <t>80,000 sq ft prefabrication plant in Richardson</t>
        </is>
      </c>
      <c r="J80" s="14" t="inlineStr">
        <is>
          <t>Yes</t>
        </is>
      </c>
      <c r="K80" s="15" t="inlineStr">
        <is>
          <t>Panels repeated for DFW and Texas commercial envelopes.</t>
        </is>
      </c>
      <c r="L80" s="14" t="inlineStr">
        <is>
          <t>Partly</t>
        </is>
      </c>
      <c r="M80" s="15" t="inlineStr">
        <is>
          <t>One plant. Commercial and multifamily jobs, no single-family production.</t>
        </is>
      </c>
      <c r="N80" s="14" t="inlineStr">
        <is>
          <t>Partly</t>
        </is>
      </c>
      <c r="O80" s="15" t="inlineStr">
        <is>
          <t>StoPanel and other panels made offsite. The wall itself is unchanged.</t>
        </is>
      </c>
      <c r="P80" s="10" t="inlineStr"/>
      <c r="Q80" s="12" t="inlineStr"/>
      <c r="R80" s="16">
        <f>IF(P80="","ADD LINKEDIN","ok")</f>
        <v/>
      </c>
      <c r="S80" s="12" t="inlineStr">
        <is>
          <t>https://bakerprefab.com/</t>
        </is>
      </c>
      <c r="T80" s="15" t="inlineStr">
        <is>
          <t>Makes metal, EIFS and StoPanel brick panels for commercial envelopes. Built panels for the Medical City Tower Expansion in Plano.</t>
        </is>
      </c>
      <c r="U80" s="12" t="inlineStr">
        <is>
          <t>YES</t>
        </is>
      </c>
      <c r="V80" s="15" t="inlineStr">
        <is>
          <t>BakerTriangle leadership page.</t>
        </is>
      </c>
      <c r="W80" s="12" t="inlineStr">
        <is>
          <t>https://bakertriangle.com/who-we-are/leadership</t>
        </is>
      </c>
      <c r="X80" s="12" t="inlineStr">
        <is>
          <t>https://www.linkedin.com/company/baker-triangle/</t>
        </is>
      </c>
      <c r="Y80" s="12" t="inlineStr">
        <is>
          <t>https://bakertriangle.com/who-we-are/leadership</t>
        </is>
      </c>
      <c r="Z80" s="12" t="inlineStr"/>
      <c r="AA80" s="12" t="inlineStr">
        <is>
          <t>(214) 217-3280</t>
        </is>
      </c>
      <c r="AB80" s="12" t="inlineStr">
        <is>
          <t>Prefab plant, Richardson</t>
        </is>
      </c>
      <c r="AC80" s="12" t="inlineStr">
        <is>
          <t>https://bakerprefab.com/contact</t>
        </is>
      </c>
      <c r="AD80" s="12" t="inlineStr"/>
      <c r="AE80" s="12" t="inlineStr"/>
    </row>
    <row r="81">
      <c r="A81" s="6" t="inlineStr">
        <is>
          <t>Barry Corey</t>
        </is>
      </c>
      <c r="B81" s="6" t="inlineStr">
        <is>
          <t>GMi (Greater Metroplex Interiors)</t>
        </is>
      </c>
      <c r="C81" s="6" t="inlineStr">
        <is>
          <t>Vice President</t>
        </is>
      </c>
      <c r="D81" s="7" t="inlineStr">
        <is>
          <t>Contractors and plants</t>
        </is>
      </c>
      <c r="E81" s="8" t="n">
        <v>3</v>
      </c>
      <c r="F81" s="6" t="inlineStr">
        <is>
          <t>Printer buyer</t>
        </is>
      </c>
      <c r="G81" s="6" t="inlineStr">
        <is>
          <t>Framing and interiors contractor</t>
        </is>
      </c>
      <c r="H81" s="6" t="inlineStr">
        <is>
          <t>Southlake, working across Dallas-Fort Worth</t>
        </is>
      </c>
      <c r="I81" s="6" t="inlineStr">
        <is>
          <t>70,000 sq ft Southlake headquarters and prefab plant</t>
        </is>
      </c>
      <c r="J81" s="8" t="inlineStr">
        <is>
          <t>Yes</t>
        </is>
      </c>
      <c r="K81" s="9" t="inlineStr">
        <is>
          <t>Panels repeated for DFW commercial and institutional envelopes.</t>
        </is>
      </c>
      <c r="L81" s="8" t="inlineStr">
        <is>
          <t>Partly</t>
        </is>
      </c>
      <c r="M81" s="9" t="inlineStr">
        <is>
          <t>Commercial panels. No published volume or residential share.</t>
        </is>
      </c>
      <c r="N81" s="8" t="inlineStr">
        <is>
          <t>Partly</t>
        </is>
      </c>
      <c r="O81" s="9" t="inlineStr">
        <is>
          <t>60 percent schedule cut on a school from offsite wall panels. Light-gauge framing, not new material.</t>
        </is>
      </c>
      <c r="P81" s="10" t="inlineStr"/>
      <c r="Q81" s="6" t="inlineStr"/>
      <c r="R81" s="11">
        <f>IF(P81="","ADD LINKEDIN","ok")</f>
        <v/>
      </c>
      <c r="S81" s="6" t="inlineStr">
        <is>
          <t>https://gmitexas.com/</t>
        </is>
      </c>
      <c r="T81" s="9" t="inlineStr">
        <is>
          <t>Builds light-gauge exterior wall panels offsite for commercial and institutional jobs. Cut a school's schedule by 60 percent, by its own account.</t>
        </is>
      </c>
      <c r="U81" s="6" t="inlineStr">
        <is>
          <t>YES</t>
        </is>
      </c>
      <c r="V81" s="9" t="inlineStr">
        <is>
          <t>Quoted on its prefabrication page.</t>
        </is>
      </c>
      <c r="W81" s="6" t="inlineStr">
        <is>
          <t>https://gmitexas.com/prefabrication/</t>
        </is>
      </c>
      <c r="X81" s="6" t="inlineStr">
        <is>
          <t>https://www.linkedin.com/company/greatermetroplexinteriors/</t>
        </is>
      </c>
      <c r="Y81" s="6" t="inlineStr"/>
      <c r="Z81" s="6" t="inlineStr"/>
      <c r="AA81" s="6" t="inlineStr">
        <is>
          <t>(817) 481-0029</t>
        </is>
      </c>
      <c r="AB81" s="6" t="inlineStr">
        <is>
          <t>Corporate office, Southlake</t>
        </is>
      </c>
      <c r="AC81" s="6" t="inlineStr">
        <is>
          <t>https://gmitexas.com/contact/</t>
        </is>
      </c>
      <c r="AD81" s="6" t="inlineStr"/>
      <c r="AE81" s="6" t="inlineStr"/>
    </row>
    <row r="82">
      <c r="A82" s="12" t="inlineStr">
        <is>
          <t>Robert V. "Rob" Barnes III</t>
        </is>
      </c>
      <c r="B82" s="12" t="inlineStr">
        <is>
          <t>Dee Brown, Inc.</t>
        </is>
      </c>
      <c r="C82" s="12" t="inlineStr">
        <is>
          <t>President and CEO</t>
        </is>
      </c>
      <c r="D82" s="13" t="inlineStr">
        <is>
          <t>Contractors and plants</t>
        </is>
      </c>
      <c r="E82" s="14" t="n">
        <v>3</v>
      </c>
      <c r="F82" s="12" t="inlineStr">
        <is>
          <t>Printer buyer</t>
        </is>
      </c>
      <c r="G82" s="12" t="inlineStr">
        <is>
          <t>Masonry contractor</t>
        </is>
      </c>
      <c r="H82" s="12" t="inlineStr">
        <is>
          <t>Richardson, with a Garland shop and a Tomball office</t>
        </is>
      </c>
      <c r="I82" s="12" t="inlineStr">
        <is>
          <t>Richardson masonry contractor with prefabricated wall systems</t>
        </is>
      </c>
      <c r="J82" s="14" t="inlineStr">
        <is>
          <t>Yes</t>
        </is>
      </c>
      <c r="K82" s="15" t="inlineStr">
        <is>
          <t>Masonry and stone walls, repeated on North Texas jobs.</t>
        </is>
      </c>
      <c r="L82" s="14" t="inlineStr">
        <is>
          <t>Partly</t>
        </is>
      </c>
      <c r="M82" s="15" t="inlineStr">
        <is>
          <t>No published volume figure.</t>
        </is>
      </c>
      <c r="N82" s="14" t="inlineStr">
        <is>
          <t>Partly</t>
        </is>
      </c>
      <c r="O82" s="15" t="inlineStr">
        <is>
          <t>7,700 square foot fabrication facility for prefabricated wall systems.</t>
        </is>
      </c>
      <c r="P82" s="10" t="inlineStr"/>
      <c r="Q82" s="12" t="inlineStr"/>
      <c r="R82" s="16">
        <f>IF(P82="","ADD LINKEDIN","ok")</f>
        <v/>
      </c>
      <c r="S82" s="12" t="inlineStr">
        <is>
          <t>https://www.deebrowncompanies.com/</t>
        </is>
      </c>
      <c r="T82" s="15" t="inlineStr">
        <is>
          <t>Makes prefabricated wall systems in a 7,700 square foot facility. Rob Barnes became president and CEO in 2015.</t>
        </is>
      </c>
      <c r="U82" s="12" t="inlineStr">
        <is>
          <t>YES</t>
        </is>
      </c>
      <c r="V82" s="15" t="inlineStr">
        <is>
          <t>About page. In the role since 2015.</t>
        </is>
      </c>
      <c r="W82" s="12" t="inlineStr">
        <is>
          <t>https://www.deebrowncompanies.com/about</t>
        </is>
      </c>
      <c r="X82" s="12" t="inlineStr">
        <is>
          <t>https://www.linkedin.com/company/dee-brown-companies/</t>
        </is>
      </c>
      <c r="Y82" s="12" t="inlineStr">
        <is>
          <t>https://www.deebrowncompanies.com/about</t>
        </is>
      </c>
      <c r="Z82" s="12" t="inlineStr">
        <is>
          <t>2023-08 D Magazine / D CEO. Third-generation Dee Brown Inc. on iconic North Texas buildings  https://www.dmagazine.com/publications/d-ceo/2023/august/third-generation-family-run-company-dee-brown-inc-has-had-a-hand-in-some-of-north-texas-most-iconic-buildings/</t>
        </is>
      </c>
      <c r="AA82" s="12" t="inlineStr">
        <is>
          <t>(214) 321-6443</t>
        </is>
      </c>
      <c r="AB82" s="12" t="inlineStr">
        <is>
          <t>Main office, Dallas</t>
        </is>
      </c>
      <c r="AC82" s="12" t="inlineStr">
        <is>
          <t>https://www.deebrowncompanies.com/contact</t>
        </is>
      </c>
      <c r="AD82" s="12" t="inlineStr"/>
      <c r="AE82" s="12" t="inlineStr"/>
    </row>
    <row r="83">
      <c r="A83" s="6" t="inlineStr">
        <is>
          <t>Tim Hughes</t>
        </is>
      </c>
      <c r="B83" s="6" t="inlineStr">
        <is>
          <t>Dee Brown, Inc.</t>
        </is>
      </c>
      <c r="C83" s="6" t="inlineStr">
        <is>
          <t>Senior Vice President, Construction Management</t>
        </is>
      </c>
      <c r="D83" s="7" t="inlineStr">
        <is>
          <t>Contractors and plants</t>
        </is>
      </c>
      <c r="E83" s="8" t="n">
        <v>3</v>
      </c>
      <c r="F83" s="6" t="inlineStr">
        <is>
          <t>Printer buyer</t>
        </is>
      </c>
      <c r="G83" s="6" t="inlineStr">
        <is>
          <t>Masonry contractor</t>
        </is>
      </c>
      <c r="H83" s="6" t="inlineStr">
        <is>
          <t>Richardson, with a Garland shop and a Tomball office</t>
        </is>
      </c>
      <c r="I83" s="6" t="inlineStr">
        <is>
          <t>Richardson masonry contractor with prefabricated wall systems</t>
        </is>
      </c>
      <c r="J83" s="8" t="inlineStr">
        <is>
          <t>Yes</t>
        </is>
      </c>
      <c r="K83" s="9" t="inlineStr">
        <is>
          <t>Masonry and stone walls, repeated on North Texas jobs.</t>
        </is>
      </c>
      <c r="L83" s="8" t="inlineStr">
        <is>
          <t>Partly</t>
        </is>
      </c>
      <c r="M83" s="9" t="inlineStr">
        <is>
          <t>No published volume figure.</t>
        </is>
      </c>
      <c r="N83" s="8" t="inlineStr">
        <is>
          <t>Partly</t>
        </is>
      </c>
      <c r="O83" s="9" t="inlineStr">
        <is>
          <t>7,700 square foot fabrication facility for prefabricated wall systems.</t>
        </is>
      </c>
      <c r="P83" s="10" t="inlineStr"/>
      <c r="Q83" s="6" t="inlineStr"/>
      <c r="R83" s="11">
        <f>IF(P83="","ADD LINKEDIN","ok")</f>
        <v/>
      </c>
      <c r="S83" s="6" t="inlineStr">
        <is>
          <t>https://www.deebrowncompanies.com/</t>
        </is>
      </c>
      <c r="T83" s="9" t="inlineStr">
        <is>
          <t>Makes prefabricated wall systems in a 7,700 square foot facility. Rob Barnes became president and CEO in 2015.</t>
        </is>
      </c>
      <c r="U83" s="6" t="inlineStr">
        <is>
          <t>YES</t>
        </is>
      </c>
      <c r="V83" s="9" t="inlineStr">
        <is>
          <t>About page lists him as Vice President, Construction Management.</t>
        </is>
      </c>
      <c r="W83" s="6" t="inlineStr">
        <is>
          <t>https://www.deebrowncompanies.com/about</t>
        </is>
      </c>
      <c r="X83" s="6" t="inlineStr">
        <is>
          <t>https://www.linkedin.com/company/dee-brown-companies/</t>
        </is>
      </c>
      <c r="Y83" s="6" t="inlineStr">
        <is>
          <t>https://www.deebrowncompanies.com/about</t>
        </is>
      </c>
      <c r="Z83" s="6" t="inlineStr">
        <is>
          <t>2023-08 D Magazine / D CEO. Third-generation Dee Brown Inc. on iconic North Texas buildings  https://www.dmagazine.com/publications/d-ceo/2023/august/third-generation-family-run-company-dee-brown-inc-has-had-a-hand-in-some-of-north-texas-most-iconic-buildings/</t>
        </is>
      </c>
      <c r="AA83" s="6" t="inlineStr">
        <is>
          <t>(214) 321-6443</t>
        </is>
      </c>
      <c r="AB83" s="6" t="inlineStr">
        <is>
          <t>Main office, Dallas</t>
        </is>
      </c>
      <c r="AC83" s="6" t="inlineStr">
        <is>
          <t>https://www.deebrowncompanies.com/contact</t>
        </is>
      </c>
      <c r="AD83" s="6" t="inlineStr"/>
      <c r="AE83" s="6" t="inlineStr"/>
    </row>
    <row r="84">
      <c r="A84" s="12" t="inlineStr">
        <is>
          <t>Michael "Paladin" Hasty</t>
        </is>
      </c>
      <c r="B84" s="12" t="inlineStr">
        <is>
          <t>Paladin (CallPaladin)</t>
        </is>
      </c>
      <c r="C84" s="12" t="inlineStr">
        <is>
          <t>Founder and Owner</t>
        </is>
      </c>
      <c r="D84" s="13" t="inlineStr">
        <is>
          <t>Contractors and plants</t>
        </is>
      </c>
      <c r="E84" s="14" t="n">
        <v>3</v>
      </c>
      <c r="F84" s="12" t="inlineStr">
        <is>
          <t>Printer buyer</t>
        </is>
      </c>
      <c r="G84" s="12" t="inlineStr">
        <is>
          <t>SIP envelope contractor</t>
        </is>
      </c>
      <c r="H84" s="12" t="inlineStr">
        <is>
          <t>Grand Prairie, working across DFW</t>
        </is>
      </c>
      <c r="I84" s="12" t="inlineStr">
        <is>
          <t>MgO SIP envelopes, Grand Prairie, founded 1990</t>
        </is>
      </c>
      <c r="J84" s="14" t="inlineStr">
        <is>
          <t>Partly</t>
        </is>
      </c>
      <c r="K84" s="15" t="inlineStr">
        <is>
          <t>Luxury residential specialty jobs across several divisions.</t>
        </is>
      </c>
      <c r="L84" s="14" t="inlineStr">
        <is>
          <t>Partly</t>
        </is>
      </c>
      <c r="M84" s="15" t="inlineStr">
        <is>
          <t>Boutique scale. No published volume.</t>
        </is>
      </c>
      <c r="N84" s="14" t="inlineStr">
        <is>
          <t>Yes</t>
        </is>
      </c>
      <c r="O84" s="15" t="inlineStr">
        <is>
          <t>SIPs are one of its systems.</t>
        </is>
      </c>
      <c r="P84" s="10" t="inlineStr"/>
      <c r="Q84" s="12" t="inlineStr"/>
      <c r="R84" s="16">
        <f>IF(P84="","ADD LINKEDIN","ok")</f>
        <v/>
      </c>
      <c r="S84" s="12" t="inlineStr">
        <is>
          <t>https://www.callpaladin.com/</t>
        </is>
      </c>
      <c r="T84" s="15" t="inlineStr">
        <is>
          <t>Builds structural insulated panel envelopes on luxury homes, alongside geothermal and roofing divisions.</t>
        </is>
      </c>
      <c r="U84" s="12" t="inlineStr">
        <is>
          <t>YES</t>
        </is>
      </c>
      <c r="V84" s="15" t="inlineStr">
        <is>
          <t>Firm's about page.</t>
        </is>
      </c>
      <c r="W84" s="12" t="inlineStr">
        <is>
          <t>https://www.callpaladin.com/about.html</t>
        </is>
      </c>
      <c r="X84" s="12" t="inlineStr">
        <is>
          <t>https://www.linkedin.com/company/paladin-general-construction/</t>
        </is>
      </c>
      <c r="Y84" s="12" t="inlineStr"/>
      <c r="Z84" s="12" t="inlineStr"/>
      <c r="AA84" s="12" t="inlineStr">
        <is>
          <t>(214) 507-7681</t>
        </is>
      </c>
      <c r="AB84" s="12" t="inlineStr">
        <is>
          <t>Main line, Grand Prairie</t>
        </is>
      </c>
      <c r="AC84" s="12" t="inlineStr">
        <is>
          <t>https://www.callpaladin.com/</t>
        </is>
      </c>
      <c r="AD84" s="12" t="inlineStr"/>
      <c r="AE84" s="12" t="inlineStr"/>
    </row>
    <row r="85">
      <c r="A85" s="6" t="inlineStr">
        <is>
          <t>no contact identified</t>
        </is>
      </c>
      <c r="B85" s="6" t="inlineStr">
        <is>
          <t>84 Lumber, DFW</t>
        </is>
      </c>
      <c r="C85" s="6" t="inlineStr"/>
      <c r="D85" s="7" t="inlineStr">
        <is>
          <t>Contractors and plants</t>
        </is>
      </c>
      <c r="E85" s="8" t="n">
        <v>2</v>
      </c>
      <c r="F85" s="6" t="inlineStr">
        <is>
          <t>Printer buyer</t>
        </is>
      </c>
      <c r="G85" s="6" t="inlineStr">
        <is>
          <t>Building materials dealer</t>
        </is>
      </c>
      <c r="H85" s="6" t="inlineStr">
        <is>
          <t>Dallas door shop and Denton store, serving DFW</t>
        </is>
      </c>
      <c r="I85" s="6" t="inlineStr">
        <is>
          <t>60,000 sq ft Dallas door shop, no DFW panel plant</t>
        </is>
      </c>
      <c r="J85" s="8" t="inlineStr">
        <is>
          <t>Yes</t>
        </is>
      </c>
      <c r="K85" s="9" t="inlineStr">
        <is>
          <t>Components supplied repeatedly into DFW home building.</t>
        </is>
      </c>
      <c r="L85" s="8" t="inlineStr">
        <is>
          <t>No</t>
        </is>
      </c>
      <c r="M85" s="9" t="inlineStr">
        <is>
          <t>National network. Corporate purchasing.</t>
        </is>
      </c>
      <c r="N85" s="8" t="inlineStr">
        <is>
          <t>Partly</t>
        </is>
      </c>
      <c r="O85" s="9" t="inlineStr">
        <is>
          <t>Offsite components line. The wall itself is unchanged.</t>
        </is>
      </c>
      <c r="P85" s="10" t="inlineStr"/>
      <c r="Q85" s="6" t="inlineStr"/>
      <c r="R85" s="11">
        <f>IF(P85="","ADD LINKEDIN","ok")</f>
        <v/>
      </c>
      <c r="S85" s="6" t="inlineStr">
        <is>
          <t>https://www.84lumber.com/manufacturing</t>
        </is>
      </c>
      <c r="T85" s="9" t="inlineStr">
        <is>
          <t>Supplies DFW builders from a national components line. Purchasing runs through corporate.</t>
        </is>
      </c>
      <c r="U85" s="6" t="inlineStr"/>
      <c r="V85" s="9" t="inlineStr"/>
      <c r="W85" s="6" t="inlineStr"/>
      <c r="X85" s="6" t="inlineStr">
        <is>
          <t>https://www.linkedin.com/company/84-lumber/</t>
        </is>
      </c>
      <c r="Y85" s="6" t="inlineStr"/>
      <c r="Z85" s="6" t="inlineStr"/>
      <c r="AA85" s="6" t="inlineStr">
        <is>
          <t>(940) 243-8484</t>
        </is>
      </c>
      <c r="AB85" s="6" t="inlineStr">
        <is>
          <t>Denton store 1941</t>
        </is>
      </c>
      <c r="AC85" s="6" t="inlineStr">
        <is>
          <t>https://84lumber.com/store-locator/store-detail?storeId=1941</t>
        </is>
      </c>
      <c r="AD85" s="6" t="inlineStr"/>
      <c r="AE85" s="6" t="inlineStr"/>
    </row>
    <row r="86">
      <c r="A86" s="12" t="inlineStr">
        <is>
          <t>no contact identified</t>
        </is>
      </c>
      <c r="B86" s="12" t="inlineStr">
        <is>
          <t>Builders FirstSource, Fort Worth Truss (formerly Trussway)</t>
        </is>
      </c>
      <c r="C86" s="12" t="inlineStr"/>
      <c r="D86" s="13" t="inlineStr">
        <is>
          <t>Contractors and plants</t>
        </is>
      </c>
      <c r="E86" s="14" t="n">
        <v>2</v>
      </c>
      <c r="F86" s="12" t="inlineStr">
        <is>
          <t>Printer buyer</t>
        </is>
      </c>
      <c r="G86" s="12" t="inlineStr">
        <is>
          <t>Truss and wall panel plant</t>
        </is>
      </c>
      <c r="H86" s="12" t="inlineStr">
        <is>
          <t>Fort Worth plant, corporate office in Irving</t>
        </is>
      </c>
      <c r="I86" s="12" t="inlineStr">
        <is>
          <t>Fort Worth truss and wall-panel plant, formerly Trussway</t>
        </is>
      </c>
      <c r="J86" s="14" t="inlineStr">
        <is>
          <t>Yes</t>
        </is>
      </c>
      <c r="K86" s="15" t="inlineStr">
        <is>
          <t>One Fort Worth plant making wall panels and trusses repeatedly for DFW production builders.</t>
        </is>
      </c>
      <c r="L86" s="14" t="inlineStr">
        <is>
          <t>No</t>
        </is>
      </c>
      <c r="M86" s="15" t="inlineStr">
        <is>
          <t>One plant in a national network. National purchasing desk.</t>
        </is>
      </c>
      <c r="N86" s="14" t="inlineStr">
        <is>
          <t>Partly</t>
        </is>
      </c>
      <c r="O86" s="15" t="inlineStr">
        <is>
          <t>Automated offsite framing. The wall itself is unchanged.</t>
        </is>
      </c>
      <c r="P86" s="10" t="inlineStr"/>
      <c r="Q86" s="12" t="inlineStr"/>
      <c r="R86" s="16">
        <f>IF(P86="","ADD LINKEDIN","ok")</f>
        <v/>
      </c>
      <c r="S86" s="12" t="inlineStr">
        <is>
          <t>https://www.bldr.com/location/ft-worth-tx-truss-trussway/FORTTXMF</t>
        </is>
      </c>
      <c r="T86" s="15" t="inlineStr">
        <is>
          <t>Makes wall panels and trusses for production builders in Hurst, Arlington and around DFW. One plant under a national purchasing desk.</t>
        </is>
      </c>
      <c r="U86" s="12" t="inlineStr"/>
      <c r="V86" s="15" t="inlineStr"/>
      <c r="W86" s="12" t="inlineStr"/>
      <c r="X86" s="12" t="inlineStr">
        <is>
          <t>https://www.linkedin.com/company/builders-firstsource/</t>
        </is>
      </c>
      <c r="Y86" s="12" t="inlineStr"/>
      <c r="Z86" s="12" t="inlineStr"/>
      <c r="AA86" s="12" t="inlineStr">
        <is>
          <t>(817) 589-1467</t>
        </is>
      </c>
      <c r="AB86" s="12" t="inlineStr">
        <is>
          <t>Fort Worth truss plant</t>
        </is>
      </c>
      <c r="AC86" s="12" t="inlineStr">
        <is>
          <t>https://www.bldr.com/location/ft-worth-tx-truss-trussway/FORTTXMF</t>
        </is>
      </c>
      <c r="AD86" s="12" t="inlineStr"/>
      <c r="AE86" s="12" t="inlineStr"/>
    </row>
    <row r="87">
      <c r="A87" s="6" t="inlineStr">
        <is>
          <t>Robb Harrington</t>
        </is>
      </c>
      <c r="B87" s="6" t="inlineStr">
        <is>
          <t>Coreslab Structures (Texas)</t>
        </is>
      </c>
      <c r="C87" s="6" t="inlineStr">
        <is>
          <t>Project Consultant, Dallas/Ft. Worth and North Texas</t>
        </is>
      </c>
      <c r="D87" s="7" t="inlineStr">
        <is>
          <t>Contractors and plants</t>
        </is>
      </c>
      <c r="E87" s="8" t="n">
        <v>2</v>
      </c>
      <c r="F87" s="6" t="inlineStr">
        <is>
          <t>Printer buyer</t>
        </is>
      </c>
      <c r="G87" s="6" t="inlineStr">
        <is>
          <t>Precast concrete plant</t>
        </is>
      </c>
      <c r="H87" s="6" t="inlineStr">
        <is>
          <t>Cedar Park plant, selling into DFW and North Texas</t>
        </is>
      </c>
      <c r="I87" s="6" t="inlineStr">
        <is>
          <t>Cedar Park precast plant, named North Texas consultant</t>
        </is>
      </c>
      <c r="J87" s="8" t="inlineStr">
        <is>
          <t>Yes</t>
        </is>
      </c>
      <c r="K87" s="9" t="inlineStr">
        <is>
          <t>Since 1988, architectural and structural precast cast repeatedly from one Texas plant.</t>
        </is>
      </c>
      <c r="L87" s="8" t="inlineStr">
        <is>
          <t>Partly</t>
        </is>
      </c>
      <c r="M87" s="9" t="inlineStr">
        <is>
          <t>One statewide plant. DFW is a sales territory only.</t>
        </is>
      </c>
      <c r="N87" s="8" t="inlineStr">
        <is>
          <t>No</t>
        </is>
      </c>
      <c r="O87" s="9" t="inlineStr">
        <is>
          <t>No record of an unproven method.</t>
        </is>
      </c>
      <c r="P87" s="10" t="inlineStr"/>
      <c r="Q87" s="6" t="inlineStr"/>
      <c r="R87" s="11">
        <f>IF(P87="","ADD LINKEDIN","ok")</f>
        <v/>
      </c>
      <c r="S87" s="6" t="inlineStr">
        <is>
          <t>https://www.coreslab.com/locations/austin-texas-precast-concrete/</t>
        </is>
      </c>
      <c r="T87" s="9" t="inlineStr">
        <is>
          <t>Casts architectural and structural precast in Central Texas since 1988. DFW is a sales territory.</t>
        </is>
      </c>
      <c r="U87" s="6" t="inlineStr"/>
      <c r="V87" s="9" t="inlineStr">
        <is>
          <t>Cedar Park plant page, with a direct line.</t>
        </is>
      </c>
      <c r="W87" s="6" t="inlineStr">
        <is>
          <t>https://www.coreslab.com/locations/austin-texas-precast-concrete/</t>
        </is>
      </c>
      <c r="X87" s="6" t="inlineStr">
        <is>
          <t>https://www.linkedin.com/company/coreslab-structures/</t>
        </is>
      </c>
      <c r="Y87" s="6" t="inlineStr"/>
      <c r="Z87" s="6" t="inlineStr"/>
      <c r="AA87" s="6" t="inlineStr">
        <is>
          <t>(512) 250-0755</t>
        </is>
      </c>
      <c r="AB87" s="6" t="inlineStr">
        <is>
          <t>Cedar Park plant, main line</t>
        </is>
      </c>
      <c r="AC87" s="6" t="inlineStr">
        <is>
          <t>https://www.coreslab.com/locations/austin-texas-precast-concrete/</t>
        </is>
      </c>
      <c r="AD87" s="6" t="inlineStr"/>
      <c r="AE87" s="6" t="inlineStr"/>
    </row>
    <row r="88">
      <c r="A88" s="12" t="inlineStr">
        <is>
          <t>Garrett Weidman</t>
        </is>
      </c>
      <c r="B88" s="12" t="inlineStr">
        <is>
          <t>Coreslab Structures (Texas)</t>
        </is>
      </c>
      <c r="C88" s="12" t="inlineStr">
        <is>
          <t>Sales Manager</t>
        </is>
      </c>
      <c r="D88" s="13" t="inlineStr">
        <is>
          <t>Contractors and plants</t>
        </is>
      </c>
      <c r="E88" s="14" t="n">
        <v>2</v>
      </c>
      <c r="F88" s="12" t="inlineStr">
        <is>
          <t>Printer buyer</t>
        </is>
      </c>
      <c r="G88" s="12" t="inlineStr">
        <is>
          <t>Precast concrete plant</t>
        </is>
      </c>
      <c r="H88" s="12" t="inlineStr">
        <is>
          <t>Cedar Park plant, selling into DFW and North Texas</t>
        </is>
      </c>
      <c r="I88" s="12" t="inlineStr">
        <is>
          <t>Cedar Park precast plant, named North Texas consultant</t>
        </is>
      </c>
      <c r="J88" s="14" t="inlineStr">
        <is>
          <t>Yes</t>
        </is>
      </c>
      <c r="K88" s="15" t="inlineStr">
        <is>
          <t>Since 1988, architectural and structural precast cast repeatedly from one Texas plant.</t>
        </is>
      </c>
      <c r="L88" s="14" t="inlineStr">
        <is>
          <t>Partly</t>
        </is>
      </c>
      <c r="M88" s="15" t="inlineStr">
        <is>
          <t>One statewide plant. DFW is a sales territory only.</t>
        </is>
      </c>
      <c r="N88" s="14" t="inlineStr">
        <is>
          <t>No</t>
        </is>
      </c>
      <c r="O88" s="15" t="inlineStr">
        <is>
          <t>No record of an unproven method.</t>
        </is>
      </c>
      <c r="P88" s="10" t="inlineStr"/>
      <c r="Q88" s="12" t="inlineStr"/>
      <c r="R88" s="16">
        <f>IF(P88="","ADD LINKEDIN","ok")</f>
        <v/>
      </c>
      <c r="S88" s="12" t="inlineStr">
        <is>
          <t>https://www.coreslab.com/locations/austin-texas-precast-concrete/</t>
        </is>
      </c>
      <c r="T88" s="15" t="inlineStr">
        <is>
          <t>Casts architectural and structural precast in Central Texas since 1988. DFW is a sales territory.</t>
        </is>
      </c>
      <c r="U88" s="12" t="inlineStr"/>
      <c r="V88" s="15" t="inlineStr">
        <is>
          <t>Plant page. Listed as P.E.</t>
        </is>
      </c>
      <c r="W88" s="12" t="inlineStr">
        <is>
          <t>https://www.coreslab.com/locations/austin-texas-precast-concrete/</t>
        </is>
      </c>
      <c r="X88" s="12" t="inlineStr">
        <is>
          <t>https://www.linkedin.com/company/coreslab-structures/</t>
        </is>
      </c>
      <c r="Y88" s="12" t="inlineStr"/>
      <c r="Z88" s="12" t="inlineStr"/>
      <c r="AA88" s="12" t="inlineStr">
        <is>
          <t>(512) 250-0755</t>
        </is>
      </c>
      <c r="AB88" s="12" t="inlineStr">
        <is>
          <t>Cedar Park plant, main line</t>
        </is>
      </c>
      <c r="AC88" s="12" t="inlineStr">
        <is>
          <t>https://www.coreslab.com/locations/austin-texas-precast-concrete/</t>
        </is>
      </c>
      <c r="AD88" s="12" t="inlineStr"/>
      <c r="AE88" s="12" t="inlineStr"/>
    </row>
    <row r="89">
      <c r="A89" s="6" t="inlineStr">
        <is>
          <t>Scott Clarke</t>
        </is>
      </c>
      <c r="B89" s="6" t="inlineStr">
        <is>
          <t>Harvey Cleary</t>
        </is>
      </c>
      <c r="C89" s="6" t="inlineStr">
        <is>
          <t>Chief Operating Officer and Managing Partner</t>
        </is>
      </c>
      <c r="D89" s="7" t="inlineStr">
        <is>
          <t>Contractors and plants</t>
        </is>
      </c>
      <c r="E89" s="8" t="n">
        <v>2</v>
      </c>
      <c r="F89" s="6" t="inlineStr">
        <is>
          <t>Printer buyer</t>
        </is>
      </c>
      <c r="G89" s="6" t="inlineStr">
        <is>
          <t>General contractor with its own concrete crews</t>
        </is>
      </c>
      <c r="H89" s="6" t="inlineStr">
        <is>
          <t>Austin, with Texas offices in Houston and San Antonio</t>
        </is>
      </c>
      <c r="I89" s="6" t="inlineStr">
        <is>
          <t>Texas tilt-wall general contractor, offices in Austin, Houston and San Antonio</t>
        </is>
      </c>
      <c r="J89" s="8" t="inlineStr">
        <is>
          <t>Yes</t>
        </is>
      </c>
      <c r="K89" s="9" t="inlineStr">
        <is>
          <t>Tilt-wall and commercial shells, repeated across Texas.</t>
        </is>
      </c>
      <c r="L89" s="8" t="inlineStr">
        <is>
          <t>Partly</t>
        </is>
      </c>
      <c r="M89" s="9" t="inlineStr">
        <is>
          <t>$2 billion construction volume, more than 700 employees, its own count.</t>
        </is>
      </c>
      <c r="N89" s="8" t="inlineStr">
        <is>
          <t>No</t>
        </is>
      </c>
      <c r="O89" s="9" t="inlineStr">
        <is>
          <t>Nothing on record.</t>
        </is>
      </c>
      <c r="P89" s="6" t="inlineStr">
        <is>
          <t>https://www.linkedin.com/in/scott-clarke-a2a1a521/</t>
        </is>
      </c>
      <c r="Q89" s="6" t="inlineStr"/>
      <c r="R89" s="11">
        <f>IF(P89="","ADD LINKEDIN","ok")</f>
        <v/>
      </c>
      <c r="S89" s="6" t="inlineStr">
        <is>
          <t>https://www.harveycleary.com/</t>
        </is>
      </c>
      <c r="T89" s="9" t="inlineStr">
        <is>
          <t>Builds tilt-wall shells across Texas. Counts more than 700 employees.</t>
        </is>
      </c>
      <c r="U89" s="6" t="inlineStr">
        <is>
          <t>YES</t>
        </is>
      </c>
      <c r="V89" s="9" t="inlineStr">
        <is>
          <t>Indexed title: Harvey-Cleary Builders. Austin location page.</t>
        </is>
      </c>
      <c r="W89" s="6" t="inlineStr">
        <is>
          <t>https://www.harveycleary.com/about-us/locations/austin-tx/</t>
        </is>
      </c>
      <c r="X89" s="6" t="inlineStr">
        <is>
          <t>https://www.linkedin.com/company/harvey-cleary/</t>
        </is>
      </c>
      <c r="Y89" s="6" t="inlineStr">
        <is>
          <t>https://www.harveycleary.com/about-us/locations/austin-tx/</t>
        </is>
      </c>
      <c r="Z89" s="6" t="inlineStr"/>
      <c r="AA89" s="6" t="inlineStr">
        <is>
          <t>(512) 928-9300</t>
        </is>
      </c>
      <c r="AB89" s="6" t="inlineStr">
        <is>
          <t>Austin office</t>
        </is>
      </c>
      <c r="AC89" s="6" t="inlineStr">
        <is>
          <t>https://www.harveycleary.com/about-us/locations/austin-tx/</t>
        </is>
      </c>
      <c r="AD89" s="6" t="inlineStr"/>
      <c r="AE89" s="6" t="inlineStr"/>
    </row>
    <row r="90">
      <c r="A90" s="12" t="inlineStr">
        <is>
          <t>Larry Miller</t>
        </is>
      </c>
      <c r="B90" s="12" t="inlineStr">
        <is>
          <t>Heldenfels Enterprises (a Metromont company)</t>
        </is>
      </c>
      <c r="C90" s="12" t="inlineStr">
        <is>
          <t>VP of Preconstruction and Business Development</t>
        </is>
      </c>
      <c r="D90" s="13" t="inlineStr">
        <is>
          <t>Contractors and plants</t>
        </is>
      </c>
      <c r="E90" s="14" t="n">
        <v>2</v>
      </c>
      <c r="F90" s="12" t="inlineStr">
        <is>
          <t>Printer buyer</t>
        </is>
      </c>
      <c r="G90" s="12" t="inlineStr">
        <is>
          <t>Precast concrete plant</t>
        </is>
      </c>
      <c r="H90" s="12" t="inlineStr">
        <is>
          <t>San Marcos and Corpus Christi plants, delivering across Texas</t>
        </is>
      </c>
      <c r="I90" s="12" t="inlineStr">
        <is>
          <t>85-acre precast plant in San Marcos</t>
        </is>
      </c>
      <c r="J90" s="14" t="inlineStr">
        <is>
          <t>Yes</t>
        </is>
      </c>
      <c r="K90" s="15" t="inlineStr">
        <is>
          <t>Precast cast repeatedly for Texas projects.</t>
        </is>
      </c>
      <c r="L90" s="14" t="inlineStr">
        <is>
          <t>Partly</t>
        </is>
      </c>
      <c r="M90" s="15" t="inlineStr">
        <is>
          <t>Two Texas plants. No DFW figure published.</t>
        </is>
      </c>
      <c r="N90" s="14" t="inlineStr">
        <is>
          <t>No</t>
        </is>
      </c>
      <c r="O90" s="15" t="inlineStr">
        <is>
          <t>Prestressed wall panels are its normal product. No new wall method.</t>
        </is>
      </c>
      <c r="P90" s="10" t="inlineStr"/>
      <c r="Q90" s="12" t="inlineStr"/>
      <c r="R90" s="16">
        <f>IF(P90="","ADD LINKEDIN","ok")</f>
        <v/>
      </c>
      <c r="S90" s="12" t="inlineStr">
        <is>
          <t>https://heldenfels.com/</t>
        </is>
      </c>
      <c r="T90" s="15" t="inlineStr">
        <is>
          <t>Prestressed wall panels are its normal product, from San Marcos and Corpus Christi. Metromont acquired it effective December 15, 2025.</t>
        </is>
      </c>
      <c r="U90" s="12" t="inlineStr">
        <is>
          <t>YES</t>
        </is>
      </c>
      <c r="V90" s="15" t="inlineStr">
        <is>
          <t>Firm's contact page.</t>
        </is>
      </c>
      <c r="W90" s="12" t="inlineStr">
        <is>
          <t>https://heldenfels.com/contact/</t>
        </is>
      </c>
      <c r="X90" s="12" t="inlineStr">
        <is>
          <t>https://www.linkedin.com/company/heldenfels-enterprises/</t>
        </is>
      </c>
      <c r="Y90" s="12" t="inlineStr">
        <is>
          <t>https://heldenfels.com/contact/</t>
        </is>
      </c>
      <c r="Z90" s="12" t="inlineStr"/>
      <c r="AA90" s="12" t="inlineStr">
        <is>
          <t>(512) 396-2376</t>
        </is>
      </c>
      <c r="AB90" s="12" t="inlineStr">
        <is>
          <t>Headquarters, San Marcos</t>
        </is>
      </c>
      <c r="AC90" s="12" t="inlineStr">
        <is>
          <t>https://heldenfels.com/contact/</t>
        </is>
      </c>
      <c r="AD90" s="12" t="inlineStr"/>
      <c r="AE90" s="12" t="inlineStr"/>
    </row>
    <row r="91">
      <c r="A91" s="6" t="inlineStr">
        <is>
          <t>Eric Dyess</t>
        </is>
      </c>
      <c r="B91" s="6" t="inlineStr">
        <is>
          <t>Kaufman Concrete (ERW Companies)</t>
        </is>
      </c>
      <c r="C91" s="6" t="inlineStr">
        <is>
          <t>President and COO</t>
        </is>
      </c>
      <c r="D91" s="7" t="inlineStr">
        <is>
          <t>Contractors and plants</t>
        </is>
      </c>
      <c r="E91" s="8" t="n">
        <v>2</v>
      </c>
      <c r="F91" s="6" t="inlineStr">
        <is>
          <t>Printer buyer</t>
        </is>
      </c>
      <c r="G91" s="6" t="inlineStr">
        <is>
          <t>Residential foundation contractor</t>
        </is>
      </c>
      <c r="H91" s="6" t="inlineStr">
        <is>
          <t>Prosper and Carrollton, serving DFW and Austin</t>
        </is>
      </c>
      <c r="I91" s="6" t="inlineStr">
        <is>
          <t>Fifteen to twenty slabs a week, per First Texas Homes</t>
        </is>
      </c>
      <c r="J91" s="8" t="inlineStr">
        <is>
          <t>Yes</t>
        </is>
      </c>
      <c r="K91" s="9" t="inlineStr">
        <is>
          <t>Post-tensioned foundations poured repeatedly for production builders.</t>
        </is>
      </c>
      <c r="L91" s="8" t="inlineStr">
        <is>
          <t>Partly</t>
        </is>
      </c>
      <c r="M91" s="9" t="inlineStr">
        <is>
          <t>Weekly slab rate covers one community. No firm-wide yearly figure.</t>
        </is>
      </c>
      <c r="N91" s="8" t="inlineStr">
        <is>
          <t>No</t>
        </is>
      </c>
      <c r="O91" s="9" t="inlineStr">
        <is>
          <t>Conventional production slabs.</t>
        </is>
      </c>
      <c r="P91" s="10" t="inlineStr"/>
      <c r="Q91" s="6" t="inlineStr"/>
      <c r="R91" s="11">
        <f>IF(P91="","ADD LINKEDIN","ok")</f>
        <v/>
      </c>
      <c r="S91" s="6" t="inlineStr">
        <is>
          <t>https://erw-sitesolutions.com/construction-company-texas/kaufman-concrete-foundations-texas/</t>
        </is>
      </c>
      <c r="T91" s="9" t="inlineStr">
        <is>
          <t>Pours post-tensioned slabs for production builders. Part of ERW Companies, with Eric Dyess as president.</t>
        </is>
      </c>
      <c r="U91" s="6" t="inlineStr">
        <is>
          <t>YES</t>
        </is>
      </c>
      <c r="V91" s="9" t="inlineStr">
        <is>
          <t>Kaufman Concrete page.</t>
        </is>
      </c>
      <c r="W91" s="6" t="inlineStr">
        <is>
          <t>https://erw-sitesolutions.com/construction-company-texas/kaufman-concrete-foundations-texas/</t>
        </is>
      </c>
      <c r="X91" s="6" t="inlineStr">
        <is>
          <t>https://www.linkedin.com/company/kaufman-concrete-erwss/</t>
        </is>
      </c>
      <c r="Y91" s="6" t="inlineStr">
        <is>
          <t>https://erw-sitesolutions.com/construction-company-texas/kaufman-concrete-foundations-texas/</t>
        </is>
      </c>
      <c r="Z91" s="6" t="inlineStr"/>
      <c r="AA91" s="6" t="inlineStr"/>
      <c r="AB91" s="6" t="inlineStr"/>
      <c r="AC91" s="6" t="inlineStr"/>
      <c r="AD91" s="6" t="inlineStr"/>
      <c r="AE91" s="6" t="inlineStr"/>
    </row>
    <row r="92">
      <c r="A92" s="12" t="inlineStr">
        <is>
          <t>Robert Miller</t>
        </is>
      </c>
      <c r="B92" s="12" t="inlineStr">
        <is>
          <t>Miller Sierra</t>
        </is>
      </c>
      <c r="C92" s="12" t="inlineStr">
        <is>
          <t>Chief Executive Officer</t>
        </is>
      </c>
      <c r="D92" s="13" t="inlineStr">
        <is>
          <t>Contractors and plants</t>
        </is>
      </c>
      <c r="E92" s="14" t="n">
        <v>2</v>
      </c>
      <c r="F92" s="12" t="inlineStr">
        <is>
          <t>Printer buyer</t>
        </is>
      </c>
      <c r="G92" s="12" t="inlineStr">
        <is>
          <t>Tilt-up concrete contractor</t>
        </is>
      </c>
      <c r="H92" s="12" t="inlineStr">
        <is>
          <t>Euless and Arlington</t>
        </is>
      </c>
      <c r="I92" s="12" t="inlineStr">
        <is>
          <t>More than 1,500 concrete staff, per its own site</t>
        </is>
      </c>
      <c r="J92" s="14" t="inlineStr">
        <is>
          <t>Yes</t>
        </is>
      </c>
      <c r="K92" s="15" t="inlineStr">
        <is>
          <t>Concrete walls repeated across North Texas commercial and institutional jobs.</t>
        </is>
      </c>
      <c r="L92" s="14" t="inlineStr">
        <is>
          <t>No</t>
        </is>
      </c>
      <c r="M92" s="15" t="inlineStr">
        <is>
          <t>More than 1,500 staff, millions of square feet a year, per its own site.</t>
        </is>
      </c>
      <c r="N92" s="14" t="inlineStr">
        <is>
          <t>Partly</t>
        </is>
      </c>
      <c r="O92" s="15" t="inlineStr">
        <is>
          <t>Invests in LiDAR, robotics and new equipment. None replaces the wall.</t>
        </is>
      </c>
      <c r="P92" s="10" t="inlineStr"/>
      <c r="Q92" s="12" t="inlineStr"/>
      <c r="R92" s="16">
        <f>IF(P92="","ADD LINKEDIN","ok")</f>
        <v/>
      </c>
      <c r="S92" s="12" t="inlineStr">
        <is>
          <t>https://www.millersierra.com/</t>
        </is>
      </c>
      <c r="T92" s="15" t="inlineStr">
        <is>
          <t>Pours tilt-wall, schools and paving from Euless and Arlington. Invests in LiDAR, robotics and new equipment.</t>
        </is>
      </c>
      <c r="U92" s="12" t="inlineStr">
        <is>
          <t>YES</t>
        </is>
      </c>
      <c r="V92" s="15" t="inlineStr">
        <is>
          <t>Leadership team page.</t>
        </is>
      </c>
      <c r="W92" s="12" t="inlineStr">
        <is>
          <t>https://www.millersierra.com/who-we-are/</t>
        </is>
      </c>
      <c r="X92" s="12" t="inlineStr">
        <is>
          <t>https://www.linkedin.com/company/miller-sierra-contractors-inc./</t>
        </is>
      </c>
      <c r="Y92" s="12" t="inlineStr">
        <is>
          <t>https://www.millersierra.com/who-we-are/</t>
        </is>
      </c>
      <c r="Z92" s="12" t="inlineStr"/>
      <c r="AA92" s="12" t="inlineStr">
        <is>
          <t>(817) 461-8802</t>
        </is>
      </c>
      <c r="AB92" s="12" t="inlineStr">
        <is>
          <t>Main office</t>
        </is>
      </c>
      <c r="AC92" s="12" t="inlineStr">
        <is>
          <t>https://www.millersierra.com/contact-us/</t>
        </is>
      </c>
      <c r="AD92" s="12" t="inlineStr"/>
      <c r="AE92" s="12" t="inlineStr"/>
    </row>
    <row r="93">
      <c r="A93" s="6" t="inlineStr">
        <is>
          <t>Terry Fowler</t>
        </is>
      </c>
      <c r="B93" s="6" t="inlineStr">
        <is>
          <t>Miller Sierra</t>
        </is>
      </c>
      <c r="C93" s="6" t="inlineStr">
        <is>
          <t>President</t>
        </is>
      </c>
      <c r="D93" s="7" t="inlineStr">
        <is>
          <t>Contractors and plants</t>
        </is>
      </c>
      <c r="E93" s="8" t="n">
        <v>2</v>
      </c>
      <c r="F93" s="6" t="inlineStr">
        <is>
          <t>Printer buyer</t>
        </is>
      </c>
      <c r="G93" s="6" t="inlineStr">
        <is>
          <t>Tilt-up concrete contractor</t>
        </is>
      </c>
      <c r="H93" s="6" t="inlineStr">
        <is>
          <t>Euless and Arlington</t>
        </is>
      </c>
      <c r="I93" s="6" t="inlineStr">
        <is>
          <t>More than 1,500 concrete staff, per its own site</t>
        </is>
      </c>
      <c r="J93" s="8" t="inlineStr">
        <is>
          <t>Yes</t>
        </is>
      </c>
      <c r="K93" s="9" t="inlineStr">
        <is>
          <t>Concrete walls repeated across North Texas commercial and institutional jobs.</t>
        </is>
      </c>
      <c r="L93" s="8" t="inlineStr">
        <is>
          <t>No</t>
        </is>
      </c>
      <c r="M93" s="9" t="inlineStr">
        <is>
          <t>More than 1,500 staff, millions of square feet a year, per its own site.</t>
        </is>
      </c>
      <c r="N93" s="8" t="inlineStr">
        <is>
          <t>Partly</t>
        </is>
      </c>
      <c r="O93" s="9" t="inlineStr">
        <is>
          <t>Invests in LiDAR, robotics and new equipment. None replaces the wall.</t>
        </is>
      </c>
      <c r="P93" s="10" t="inlineStr"/>
      <c r="Q93" s="6" t="inlineStr"/>
      <c r="R93" s="11">
        <f>IF(P93="","ADD LINKEDIN","ok")</f>
        <v/>
      </c>
      <c r="S93" s="6" t="inlineStr">
        <is>
          <t>https://www.millersierra.com/</t>
        </is>
      </c>
      <c r="T93" s="9" t="inlineStr">
        <is>
          <t>Pours tilt-wall, schools and paving from Euless and Arlington. Invests in LiDAR, robotics and new equipment.</t>
        </is>
      </c>
      <c r="U93" s="6" t="inlineStr">
        <is>
          <t>YES</t>
        </is>
      </c>
      <c r="V93" s="9" t="inlineStr">
        <is>
          <t>Who We Are page.</t>
        </is>
      </c>
      <c r="W93" s="6" t="inlineStr">
        <is>
          <t>https://www.millersierra.com/who-we-are/</t>
        </is>
      </c>
      <c r="X93" s="6" t="inlineStr">
        <is>
          <t>https://www.linkedin.com/company/miller-sierra-contractors-inc./</t>
        </is>
      </c>
      <c r="Y93" s="6" t="inlineStr">
        <is>
          <t>https://www.millersierra.com/who-we-are/</t>
        </is>
      </c>
      <c r="Z93" s="6" t="inlineStr"/>
      <c r="AA93" s="6" t="inlineStr">
        <is>
          <t>(817) 461-8802</t>
        </is>
      </c>
      <c r="AB93" s="6" t="inlineStr">
        <is>
          <t>Main office</t>
        </is>
      </c>
      <c r="AC93" s="6" t="inlineStr">
        <is>
          <t>https://www.millersierra.com/contact-us/</t>
        </is>
      </c>
      <c r="AD93" s="6" t="inlineStr"/>
      <c r="AE93" s="6" t="inlineStr"/>
    </row>
    <row r="94">
      <c r="A94" s="12" t="inlineStr">
        <is>
          <t>Dan Juntunen</t>
        </is>
      </c>
      <c r="B94" s="12" t="inlineStr">
        <is>
          <t>Wells, Hillsboro plants</t>
        </is>
      </c>
      <c r="C94" s="12" t="inlineStr">
        <is>
          <t>President and Chief Executive Officer, The Wells Companies</t>
        </is>
      </c>
      <c r="D94" s="13" t="inlineStr">
        <is>
          <t>Contractors and plants</t>
        </is>
      </c>
      <c r="E94" s="14" t="n">
        <v>2</v>
      </c>
      <c r="F94" s="12" t="inlineStr">
        <is>
          <t>Printer buyer</t>
        </is>
      </c>
      <c r="G94" s="12" t="inlineStr">
        <is>
          <t>Precast concrete plant</t>
        </is>
      </c>
      <c r="H94" s="12" t="inlineStr">
        <is>
          <t>Hillsboro, 1220 and 1700 N Waco St, between DFW and Austin</t>
        </is>
      </c>
      <c r="I94" s="12" t="inlineStr">
        <is>
          <t>Two Hillsboro precast plants, more than 320 staff</t>
        </is>
      </c>
      <c r="J94" s="14" t="inlineStr">
        <is>
          <t>Yes</t>
        </is>
      </c>
      <c r="K94" s="15" t="inlineStr">
        <is>
          <t>Two Hillsboro plants cast precast repeatedly for Texas and Oklahoma projects.</t>
        </is>
      </c>
      <c r="L94" s="14" t="inlineStr">
        <is>
          <t>Partly</t>
        </is>
      </c>
      <c r="M94" s="15" t="inlineStr">
        <is>
          <t>Plants serve several states. DFW is one delivery market.</t>
        </is>
      </c>
      <c r="N94" s="14" t="inlineStr">
        <is>
          <t>No</t>
        </is>
      </c>
      <c r="O94" s="15" t="inlineStr">
        <is>
          <t>No record of buying an unproven method.</t>
        </is>
      </c>
      <c r="P94" s="6" t="inlineStr">
        <is>
          <t>https://www.linkedin.com/in/dan-juntunen-b2765a14/</t>
        </is>
      </c>
      <c r="Q94" s="12" t="inlineStr"/>
      <c r="R94" s="16">
        <f>IF(P94="","ADD LINKEDIN","ok")</f>
        <v/>
      </c>
      <c r="S94" s="12" t="inlineStr">
        <is>
          <t>https://wells.build/contact/locations/hillsboro-texas/</t>
        </is>
      </c>
      <c r="T94" s="15" t="inlineStr">
        <is>
          <t>Its precast panels go to Dallas residential and civic jobs. Wells runs the plants after buying GATE Precast in July 2024.</t>
        </is>
      </c>
      <c r="U94" s="12" t="inlineStr">
        <is>
          <t>YES</t>
        </is>
      </c>
      <c r="V94" s="15" t="inlineStr">
        <is>
          <t>Indexed title: Wells Concrete. Wells release, July 15, 2024.</t>
        </is>
      </c>
      <c r="W94" s="12" t="inlineStr">
        <is>
          <t>https://wells.build/company/news/wells-announces-acquisition-of-gate-precast/</t>
        </is>
      </c>
      <c r="X94" s="12" t="inlineStr">
        <is>
          <t>https://www.linkedin.com/company/wellsbuilds/</t>
        </is>
      </c>
      <c r="Y94" s="12" t="inlineStr"/>
      <c r="Z94" s="12" t="inlineStr">
        <is>
          <t>2024-07-15 Wells. Wells Announces Acquisition of GATE Precast  https://wells.build/company/news/wells-announces-acquisition-of-gate-precast/</t>
        </is>
      </c>
      <c r="AA94" s="12" t="inlineStr">
        <is>
          <t>(254) 582-7200</t>
        </is>
      </c>
      <c r="AB94" s="12" t="inlineStr">
        <is>
          <t>Hillsboro plants, chamber listing</t>
        </is>
      </c>
      <c r="AC94" s="12" t="inlineStr">
        <is>
          <t>https://business.hillsborochamber.org/members/member/wells-build-177</t>
        </is>
      </c>
      <c r="AD94" s="12" t="inlineStr"/>
      <c r="AE94" s="12" t="inlineStr"/>
    </row>
    <row r="95">
      <c r="A95" s="6" t="inlineStr">
        <is>
          <t>Dean Gwin</t>
        </is>
      </c>
      <c r="B95" s="6" t="inlineStr">
        <is>
          <t>Wells, Hillsboro plants</t>
        </is>
      </c>
      <c r="C95" s="6" t="inlineStr">
        <is>
          <t>President and Chief Operating Officer, GATE Precast</t>
        </is>
      </c>
      <c r="D95" s="7" t="inlineStr">
        <is>
          <t>Contractors and plants</t>
        </is>
      </c>
      <c r="E95" s="8" t="n">
        <v>2</v>
      </c>
      <c r="F95" s="6" t="inlineStr">
        <is>
          <t>Printer buyer</t>
        </is>
      </c>
      <c r="G95" s="6" t="inlineStr">
        <is>
          <t>Precast concrete plant</t>
        </is>
      </c>
      <c r="H95" s="6" t="inlineStr">
        <is>
          <t>Hillsboro, 1220 and 1700 N Waco St, between DFW and Austin</t>
        </is>
      </c>
      <c r="I95" s="6" t="inlineStr">
        <is>
          <t>Two Hillsboro precast plants, more than 320 staff</t>
        </is>
      </c>
      <c r="J95" s="8" t="inlineStr">
        <is>
          <t>Yes</t>
        </is>
      </c>
      <c r="K95" s="9" t="inlineStr">
        <is>
          <t>Two Hillsboro plants cast precast repeatedly for Texas and Oklahoma projects.</t>
        </is>
      </c>
      <c r="L95" s="8" t="inlineStr">
        <is>
          <t>Partly</t>
        </is>
      </c>
      <c r="M95" s="9" t="inlineStr">
        <is>
          <t>Plants serve several states. DFW is one delivery market.</t>
        </is>
      </c>
      <c r="N95" s="8" t="inlineStr">
        <is>
          <t>No</t>
        </is>
      </c>
      <c r="O95" s="9" t="inlineStr">
        <is>
          <t>No record of buying an unproven method.</t>
        </is>
      </c>
      <c r="P95" s="6" t="inlineStr">
        <is>
          <t>https://www.linkedin.com/in/dean-gwin-102a1991/</t>
        </is>
      </c>
      <c r="Q95" s="6" t="inlineStr"/>
      <c r="R95" s="11">
        <f>IF(P95="","ADD LINKEDIN","ok")</f>
        <v/>
      </c>
      <c r="S95" s="6" t="inlineStr">
        <is>
          <t>https://wells.build/contact/locations/hillsboro-texas/</t>
        </is>
      </c>
      <c r="T95" s="9" t="inlineStr">
        <is>
          <t>Its precast panels go to Dallas residential and civic jobs. Wells runs the plants after buying GATE Precast in July 2024.</t>
        </is>
      </c>
      <c r="U95" s="6" t="inlineStr">
        <is>
          <t>YES</t>
        </is>
      </c>
      <c r="V95" s="9" t="inlineStr">
        <is>
          <t>Indexed title: Wells. Same Wells release. Title held at the July 2024 acquisition.</t>
        </is>
      </c>
      <c r="W95" s="6" t="inlineStr">
        <is>
          <t>https://wells.build/company/news/wells-announces-acquisition-of-gate-precast/</t>
        </is>
      </c>
      <c r="X95" s="6" t="inlineStr">
        <is>
          <t>https://www.linkedin.com/company/wellsbuilds/</t>
        </is>
      </c>
      <c r="Y95" s="6" t="inlineStr"/>
      <c r="Z95" s="6" t="inlineStr">
        <is>
          <t>2024-07-15 Wells. Wells Announces Acquisition of GATE Precast  https://wells.build/company/news/wells-announces-acquisition-of-gate-precast/</t>
        </is>
      </c>
      <c r="AA95" s="6" t="inlineStr">
        <is>
          <t>(254) 582-7200</t>
        </is>
      </c>
      <c r="AB95" s="6" t="inlineStr">
        <is>
          <t>Hillsboro plants, chamber listing</t>
        </is>
      </c>
      <c r="AC95" s="6" t="inlineStr">
        <is>
          <t>https://business.hillsborochamber.org/members/member/wells-build-177</t>
        </is>
      </c>
      <c r="AD95" s="6" t="inlineStr"/>
      <c r="AE95" s="6" t="inlineStr"/>
    </row>
    <row r="96">
      <c r="A96" s="12" t="inlineStr">
        <is>
          <t>Nathan Frazier</t>
        </is>
      </c>
      <c r="B96" s="12" t="inlineStr">
        <is>
          <t>All About Concrete LLC</t>
        </is>
      </c>
      <c r="C96" s="12" t="inlineStr">
        <is>
          <t>CEO and Founder</t>
        </is>
      </c>
      <c r="D96" s="13" t="inlineStr">
        <is>
          <t>Contractors and plants</t>
        </is>
      </c>
      <c r="E96" s="14" t="n">
        <v>2</v>
      </c>
      <c r="F96" s="12" t="inlineStr">
        <is>
          <t>Printer buyer</t>
        </is>
      </c>
      <c r="G96" s="12" t="inlineStr">
        <is>
          <t>Residential concrete contractor</t>
        </is>
      </c>
      <c r="H96" s="12" t="inlineStr">
        <is>
          <t>Tomball, serving Dallas-Fort Worth, Houston, Austin and San Antonio</t>
        </is>
      </c>
      <c r="I96" s="12" t="inlineStr">
        <is>
          <t>Production-builder foundations, DFW served from Tomball</t>
        </is>
      </c>
      <c r="J96" s="14" t="inlineStr">
        <is>
          <t>Yes</t>
        </is>
      </c>
      <c r="K96" s="15" t="inlineStr">
        <is>
          <t>Same foundation and flatwork product, repeated for production builders.</t>
        </is>
      </c>
      <c r="L96" s="14" t="inlineStr">
        <is>
          <t>Partly</t>
        </is>
      </c>
      <c r="M96" s="15" t="inlineStr">
        <is>
          <t>No published slab count.</t>
        </is>
      </c>
      <c r="N96" s="14" t="inlineStr">
        <is>
          <t>No</t>
        </is>
      </c>
      <c r="O96" s="15" t="inlineStr">
        <is>
          <t>Conventional foundations and flatwork.</t>
        </is>
      </c>
      <c r="P96" s="10" t="inlineStr"/>
      <c r="Q96" s="12" t="inlineStr"/>
      <c r="R96" s="16">
        <f>IF(P96="","ADD LINKEDIN","ok")</f>
        <v/>
      </c>
      <c r="S96" s="12" t="inlineStr">
        <is>
          <t>https://allaboutconcretellc.net/</t>
        </is>
      </c>
      <c r="T96" s="15" t="inlineStr">
        <is>
          <t>Pours foundations, paving and streets for residential communities. High Street Capital announced an investment in August 2026.</t>
        </is>
      </c>
      <c r="U96" s="12" t="inlineStr">
        <is>
          <t>YES</t>
        </is>
      </c>
      <c r="V96" s="15" t="inlineStr">
        <is>
          <t>High Street Capital announcement, August 2026.</t>
        </is>
      </c>
      <c r="W96" s="12" t="inlineStr">
        <is>
          <t>https://www.highstreetcapital.com/news/high-street-capital-invests-in-all-about-concrete/</t>
        </is>
      </c>
      <c r="X96" s="12" t="inlineStr">
        <is>
          <t>https://www.linkedin.com/company/all-about-concrete-llc/</t>
        </is>
      </c>
      <c r="Y96" s="12" t="inlineStr">
        <is>
          <t>https://allaboutconcretellc.net/</t>
        </is>
      </c>
      <c r="Z96" s="12" t="inlineStr"/>
      <c r="AA96" s="12" t="inlineStr">
        <is>
          <t>(281) 370-4470</t>
        </is>
      </c>
      <c r="AB96" s="12" t="inlineStr">
        <is>
          <t>Main office, Tomball</t>
        </is>
      </c>
      <c r="AC96" s="12" t="inlineStr">
        <is>
          <t>https://allaboutconcretellc.net/partner-with-us/</t>
        </is>
      </c>
      <c r="AD96" s="12" t="inlineStr"/>
      <c r="AE96" s="12" t="inlineStr"/>
    </row>
    <row r="97">
      <c r="A97" s="6" t="inlineStr">
        <is>
          <t>Don Edwards</t>
        </is>
      </c>
      <c r="B97" s="6" t="inlineStr">
        <is>
          <t>All About Concrete LLC</t>
        </is>
      </c>
      <c r="C97" s="6" t="inlineStr">
        <is>
          <t>Chief Operating Officer</t>
        </is>
      </c>
      <c r="D97" s="7" t="inlineStr">
        <is>
          <t>Contractors and plants</t>
        </is>
      </c>
      <c r="E97" s="8" t="n">
        <v>2</v>
      </c>
      <c r="F97" s="6" t="inlineStr">
        <is>
          <t>Printer buyer</t>
        </is>
      </c>
      <c r="G97" s="6" t="inlineStr">
        <is>
          <t>Residential concrete contractor</t>
        </is>
      </c>
      <c r="H97" s="6" t="inlineStr">
        <is>
          <t>Tomball, serving Dallas-Fort Worth, Houston, Austin and San Antonio</t>
        </is>
      </c>
      <c r="I97" s="6" t="inlineStr">
        <is>
          <t>Production-builder foundations, DFW served from Tomball</t>
        </is>
      </c>
      <c r="J97" s="8" t="inlineStr">
        <is>
          <t>Yes</t>
        </is>
      </c>
      <c r="K97" s="9" t="inlineStr">
        <is>
          <t>Same foundation and flatwork product, repeated for production builders.</t>
        </is>
      </c>
      <c r="L97" s="8" t="inlineStr">
        <is>
          <t>Partly</t>
        </is>
      </c>
      <c r="M97" s="9" t="inlineStr">
        <is>
          <t>No published slab count.</t>
        </is>
      </c>
      <c r="N97" s="8" t="inlineStr">
        <is>
          <t>No</t>
        </is>
      </c>
      <c r="O97" s="9" t="inlineStr">
        <is>
          <t>Conventional foundations and flatwork.</t>
        </is>
      </c>
      <c r="P97" s="10" t="inlineStr"/>
      <c r="Q97" s="6" t="inlineStr"/>
      <c r="R97" s="11">
        <f>IF(P97="","ADD LINKEDIN","ok")</f>
        <v/>
      </c>
      <c r="S97" s="6" t="inlineStr">
        <is>
          <t>https://allaboutconcretellc.net/</t>
        </is>
      </c>
      <c r="T97" s="9" t="inlineStr">
        <is>
          <t>Pours foundations, paving and streets for residential communities. High Street Capital announced an investment in August 2026.</t>
        </is>
      </c>
      <c r="U97" s="6" t="inlineStr"/>
      <c r="V97" s="9" t="inlineStr">
        <is>
          <t>Same announcement. Stays on as COO.</t>
        </is>
      </c>
      <c r="W97" s="6" t="inlineStr">
        <is>
          <t>https://www.highstreetcapital.com/news/high-street-capital-invests-in-all-about-concrete/</t>
        </is>
      </c>
      <c r="X97" s="6" t="inlineStr">
        <is>
          <t>https://www.linkedin.com/company/all-about-concrete-llc/</t>
        </is>
      </c>
      <c r="Y97" s="6" t="inlineStr">
        <is>
          <t>https://allaboutconcretellc.net/</t>
        </is>
      </c>
      <c r="Z97" s="6" t="inlineStr"/>
      <c r="AA97" s="6" t="inlineStr">
        <is>
          <t>(281) 370-4470</t>
        </is>
      </c>
      <c r="AB97" s="6" t="inlineStr">
        <is>
          <t>Main office, Tomball</t>
        </is>
      </c>
      <c r="AC97" s="6" t="inlineStr">
        <is>
          <t>https://allaboutconcretellc.net/partner-with-us/</t>
        </is>
      </c>
      <c r="AD97" s="6" t="inlineStr"/>
      <c r="AE97" s="6" t="inlineStr"/>
    </row>
    <row r="98">
      <c r="A98" s="12" t="inlineStr">
        <is>
          <t>Sergio</t>
        </is>
      </c>
      <c r="B98" s="12" t="inlineStr">
        <is>
          <t>Black Knight Construction</t>
        </is>
      </c>
      <c r="C98" s="12" t="inlineStr">
        <is>
          <t>Primary contact</t>
        </is>
      </c>
      <c r="D98" s="13" t="inlineStr">
        <is>
          <t>Contractors and plants</t>
        </is>
      </c>
      <c r="E98" s="14" t="n">
        <v>2</v>
      </c>
      <c r="F98" s="12" t="inlineStr">
        <is>
          <t>Printer buyer</t>
        </is>
      </c>
      <c r="G98" s="12" t="inlineStr">
        <is>
          <t>Masonry and stucco contractor</t>
        </is>
      </c>
      <c r="H98" s="12" t="inlineStr">
        <is>
          <t>Dallas-Fort Worth Metroplex</t>
        </is>
      </c>
      <c r="I98" s="12" t="inlineStr">
        <is>
          <t>DFW commercial masonry and stucco contractor since 2006</t>
        </is>
      </c>
      <c r="J98" s="14" t="inlineStr">
        <is>
          <t>Yes</t>
        </is>
      </c>
      <c r="K98" s="15" t="inlineStr">
        <is>
          <t>Masonry, stucco and EIFS walls repeated across DFW commercial jobs.</t>
        </is>
      </c>
      <c r="L98" s="14" t="inlineStr">
        <is>
          <t>Partly</t>
        </is>
      </c>
      <c r="M98" s="15" t="inlineStr">
        <is>
          <t>Local commercial specialty firm. No published volume.</t>
        </is>
      </c>
      <c r="N98" s="14" t="inlineStr">
        <is>
          <t>No</t>
        </is>
      </c>
      <c r="O98" s="15" t="inlineStr">
        <is>
          <t>Nothing on record.</t>
        </is>
      </c>
      <c r="P98" s="10" t="inlineStr"/>
      <c r="Q98" s="12" t="inlineStr"/>
      <c r="R98" s="16">
        <f>IF(P98="","ADD LINKEDIN","ok")</f>
        <v/>
      </c>
      <c r="S98" s="12" t="inlineStr">
        <is>
          <t>https://www.blackknightconstruction.com/</t>
        </is>
      </c>
      <c r="T98" s="15" t="inlineStr">
        <is>
          <t>Lays brick, block, stone and stucco walls on DFW commercial and retail jobs.</t>
        </is>
      </c>
      <c r="U98" s="12" t="inlineStr"/>
      <c r="V98" s="15" t="inlineStr">
        <is>
          <t>Firm's homepage, contact email and testimonial. No surname published.</t>
        </is>
      </c>
      <c r="W98" s="12" t="inlineStr">
        <is>
          <t>https://www.blackknightconstruction.com/</t>
        </is>
      </c>
      <c r="X98" s="12" t="inlineStr"/>
      <c r="Y98" s="12" t="inlineStr">
        <is>
          <t>https://www.blackknightconstruction.com/</t>
        </is>
      </c>
      <c r="Z98" s="12" t="inlineStr"/>
      <c r="AA98" s="12" t="inlineStr">
        <is>
          <t>(214) 566-2009</t>
        </is>
      </c>
      <c r="AB98" s="12" t="inlineStr">
        <is>
          <t>Main office</t>
        </is>
      </c>
      <c r="AC98" s="12" t="inlineStr">
        <is>
          <t>https://www.blackknightconstruction.com/</t>
        </is>
      </c>
      <c r="AD98" s="12" t="inlineStr"/>
      <c r="AE98" s="12" t="inlineStr"/>
    </row>
    <row r="99">
      <c r="A99" s="6" t="inlineStr">
        <is>
          <t>Bill Schultheis</t>
        </is>
      </c>
      <c r="B99" s="6" t="inlineStr">
        <is>
          <t>Brick &amp; Stone Master</t>
        </is>
      </c>
      <c r="C99" s="6" t="inlineStr">
        <is>
          <t>Owner</t>
        </is>
      </c>
      <c r="D99" s="7" t="inlineStr">
        <is>
          <t>Contractors and plants</t>
        </is>
      </c>
      <c r="E99" s="8" t="n">
        <v>2</v>
      </c>
      <c r="F99" s="6" t="inlineStr">
        <is>
          <t>Printer buyer</t>
        </is>
      </c>
      <c r="G99" s="6" t="inlineStr">
        <is>
          <t>Residential masonry contractor</t>
        </is>
      </c>
      <c r="H99" s="6" t="inlineStr">
        <is>
          <t>Roanoke, working across DFW</t>
        </is>
      </c>
      <c r="I99" s="6" t="inlineStr">
        <is>
          <t>Roanoke residential masonry since 1997</t>
        </is>
      </c>
      <c r="J99" s="8" t="inlineStr">
        <is>
          <t>Yes</t>
        </is>
      </c>
      <c r="K99" s="9" t="inlineStr">
        <is>
          <t>Brick and stone masonry repeated across DFW residential jobs.</t>
        </is>
      </c>
      <c r="L99" s="8" t="inlineStr">
        <is>
          <t>Partly</t>
        </is>
      </c>
      <c r="M99" s="9" t="inlineStr">
        <is>
          <t>No production-builder elevation count published.</t>
        </is>
      </c>
      <c r="N99" s="8" t="inlineStr">
        <is>
          <t>No</t>
        </is>
      </c>
      <c r="O99" s="9" t="inlineStr">
        <is>
          <t>Nothing on record.</t>
        </is>
      </c>
      <c r="P99" s="10" t="inlineStr"/>
      <c r="Q99" s="6" t="inlineStr"/>
      <c r="R99" s="11">
        <f>IF(P99="","ADD LINKEDIN","ok")</f>
        <v/>
      </c>
      <c r="S99" s="6" t="inlineStr">
        <is>
          <t>https://www.brickandstonemaster.com/</t>
        </is>
      </c>
      <c r="T99" s="9" t="inlineStr">
        <is>
          <t>Lays brick and stone for DFW homeowners, with repair, stucco and hardscape. Claims over 10,000 homeowners served.</t>
        </is>
      </c>
      <c r="U99" s="6" t="inlineStr">
        <is>
          <t>YES</t>
        </is>
      </c>
      <c r="V99" s="9" t="inlineStr">
        <is>
          <t>Firm's blog. In masonry since 1983.</t>
        </is>
      </c>
      <c r="W99" s="6" t="inlineStr">
        <is>
          <t>https://www.brickandstonemaster.com/blog/crack-repair-vs-full-brick-restoration-entrance-sign</t>
        </is>
      </c>
      <c r="X99" s="6" t="inlineStr">
        <is>
          <t>https://www.linkedin.com/company/brick-and-stone-master/</t>
        </is>
      </c>
      <c r="Y99" s="6" t="inlineStr">
        <is>
          <t>https://www.brickandstonemaster.com/aboutus</t>
        </is>
      </c>
      <c r="Z99" s="6" t="inlineStr"/>
      <c r="AA99" s="6" t="inlineStr">
        <is>
          <t>(817) 485-7200</t>
        </is>
      </c>
      <c r="AB99" s="6" t="inlineStr">
        <is>
          <t>Main office, Roanoke</t>
        </is>
      </c>
      <c r="AC99" s="6" t="inlineStr">
        <is>
          <t>https://www.brickandstonemaster.com/home/about</t>
        </is>
      </c>
      <c r="AD99" s="6" t="inlineStr"/>
      <c r="AE99" s="6" t="inlineStr"/>
    </row>
    <row r="100">
      <c r="A100" s="12" t="inlineStr">
        <is>
          <t>Jacob Andrews</t>
        </is>
      </c>
      <c r="B100" s="12" t="inlineStr">
        <is>
          <t>Brick Experts</t>
        </is>
      </c>
      <c r="C100" s="12" t="inlineStr">
        <is>
          <t>Owner &amp; CEO</t>
        </is>
      </c>
      <c r="D100" s="13" t="inlineStr">
        <is>
          <t>Contractors and plants</t>
        </is>
      </c>
      <c r="E100" s="14" t="n">
        <v>2</v>
      </c>
      <c r="F100" s="12" t="inlineStr">
        <is>
          <t>Printer buyer</t>
        </is>
      </c>
      <c r="G100" s="12" t="inlineStr">
        <is>
          <t>Masonry contractor</t>
        </is>
      </c>
      <c r="H100" s="12" t="inlineStr">
        <is>
          <t>Grapevine, working across Dallas-Fort Worth</t>
        </is>
      </c>
      <c r="I100" s="12" t="inlineStr">
        <is>
          <t>Grapevine masonry contractor, founded 2015 by father and son</t>
        </is>
      </c>
      <c r="J100" s="14" t="inlineStr">
        <is>
          <t>Yes</t>
        </is>
      </c>
      <c r="K100" s="15" t="inlineStr">
        <is>
          <t>Brick, concrete and stone walls repeated across DFW jobs.</t>
        </is>
      </c>
      <c r="L100" s="14" t="inlineStr">
        <is>
          <t>Partly</t>
        </is>
      </c>
      <c r="M100" s="15" t="inlineStr">
        <is>
          <t>Local family firm. No published volume.</t>
        </is>
      </c>
      <c r="N100" s="14" t="inlineStr">
        <is>
          <t>No</t>
        </is>
      </c>
      <c r="O100" s="15" t="inlineStr">
        <is>
          <t>Nothing on record.</t>
        </is>
      </c>
      <c r="P100" s="10" t="inlineStr"/>
      <c r="Q100" s="12" t="inlineStr"/>
      <c r="R100" s="16">
        <f>IF(P100="","ADD LINKEDIN","ok")</f>
        <v/>
      </c>
      <c r="S100" s="12" t="inlineStr">
        <is>
          <t>https://brickexpertsdfw.net/</t>
        </is>
      </c>
      <c r="T100" s="15" t="inlineStr">
        <is>
          <t>Builds new masonry walls and restores old ones for HOAs, property managers and general contractors.</t>
        </is>
      </c>
      <c r="U100" s="12" t="inlineStr">
        <is>
          <t>YES</t>
        </is>
      </c>
      <c r="V100" s="15" t="inlineStr">
        <is>
          <t>Owner &amp; CEO section. Attended Ouachita Baptist University.</t>
        </is>
      </c>
      <c r="W100" s="12" t="inlineStr">
        <is>
          <t>https://brickexpertsdfw.net/</t>
        </is>
      </c>
      <c r="X100" s="12" t="inlineStr">
        <is>
          <t>https://www.linkedin.com/company/brick-experts-dfw/</t>
        </is>
      </c>
      <c r="Y100" s="12" t="inlineStr">
        <is>
          <t>https://brickexpertsdfw.net/</t>
        </is>
      </c>
      <c r="Z100" s="12" t="inlineStr"/>
      <c r="AA100" s="12" t="inlineStr">
        <is>
          <t>(817) 901-0236</t>
        </is>
      </c>
      <c r="AB100" s="12" t="inlineStr">
        <is>
          <t>Main office, Grapevine</t>
        </is>
      </c>
      <c r="AC100" s="12" t="inlineStr">
        <is>
          <t>https://brickexpertsdfw.net/</t>
        </is>
      </c>
      <c r="AD100" s="12" t="inlineStr"/>
      <c r="AE100" s="12" t="inlineStr"/>
    </row>
    <row r="101">
      <c r="A101" s="6" t="inlineStr">
        <is>
          <t>David Andrews</t>
        </is>
      </c>
      <c r="B101" s="6" t="inlineStr">
        <is>
          <t>Brick Experts</t>
        </is>
      </c>
      <c r="C101" s="6" t="inlineStr">
        <is>
          <t>Co-Founder</t>
        </is>
      </c>
      <c r="D101" s="7" t="inlineStr">
        <is>
          <t>Contractors and plants</t>
        </is>
      </c>
      <c r="E101" s="8" t="n">
        <v>2</v>
      </c>
      <c r="F101" s="6" t="inlineStr">
        <is>
          <t>Printer buyer</t>
        </is>
      </c>
      <c r="G101" s="6" t="inlineStr">
        <is>
          <t>Masonry contractor</t>
        </is>
      </c>
      <c r="H101" s="6" t="inlineStr">
        <is>
          <t>Grapevine, working across Dallas-Fort Worth</t>
        </is>
      </c>
      <c r="I101" s="6" t="inlineStr">
        <is>
          <t>Grapevine masonry contractor, founded 2015 by father and son</t>
        </is>
      </c>
      <c r="J101" s="8" t="inlineStr">
        <is>
          <t>Yes</t>
        </is>
      </c>
      <c r="K101" s="9" t="inlineStr">
        <is>
          <t>Brick, concrete and stone walls repeated across DFW jobs.</t>
        </is>
      </c>
      <c r="L101" s="8" t="inlineStr">
        <is>
          <t>Partly</t>
        </is>
      </c>
      <c r="M101" s="9" t="inlineStr">
        <is>
          <t>Local family firm. No published volume.</t>
        </is>
      </c>
      <c r="N101" s="8" t="inlineStr">
        <is>
          <t>No</t>
        </is>
      </c>
      <c r="O101" s="9" t="inlineStr">
        <is>
          <t>Nothing on record.</t>
        </is>
      </c>
      <c r="P101" s="10" t="inlineStr"/>
      <c r="Q101" s="6" t="inlineStr"/>
      <c r="R101" s="11">
        <f>IF(P101="","ADD LINKEDIN","ok")</f>
        <v/>
      </c>
      <c r="S101" s="6" t="inlineStr">
        <is>
          <t>https://brickexpertsdfw.net/</t>
        </is>
      </c>
      <c r="T101" s="9" t="inlineStr">
        <is>
          <t>Builds new masonry walls and restores old ones for HOAs, property managers and general contractors.</t>
        </is>
      </c>
      <c r="U101" s="6" t="inlineStr"/>
      <c r="V101" s="9" t="inlineStr">
        <is>
          <t>Co-Founder section. Master brick mason for 30 years.</t>
        </is>
      </c>
      <c r="W101" s="6" t="inlineStr">
        <is>
          <t>https://brickexpertsdfw.net/</t>
        </is>
      </c>
      <c r="X101" s="6" t="inlineStr">
        <is>
          <t>https://www.linkedin.com/company/brick-experts-dfw/</t>
        </is>
      </c>
      <c r="Y101" s="6" t="inlineStr">
        <is>
          <t>https://brickexpertsdfw.net/</t>
        </is>
      </c>
      <c r="Z101" s="6" t="inlineStr"/>
      <c r="AA101" s="6" t="inlineStr">
        <is>
          <t>(817) 901-0236</t>
        </is>
      </c>
      <c r="AB101" s="6" t="inlineStr">
        <is>
          <t>Main office, Grapevine</t>
        </is>
      </c>
      <c r="AC101" s="6" t="inlineStr">
        <is>
          <t>https://brickexpertsdfw.net/</t>
        </is>
      </c>
      <c r="AD101" s="6" t="inlineStr"/>
      <c r="AE101" s="6" t="inlineStr"/>
    </row>
    <row r="102">
      <c r="A102" s="12" t="inlineStr">
        <is>
          <t>Josh Lavelle</t>
        </is>
      </c>
      <c r="B102" s="12" t="inlineStr">
        <is>
          <t>Cardinal Foundation Services</t>
        </is>
      </c>
      <c r="C102" s="12" t="inlineStr">
        <is>
          <t>Owner</t>
        </is>
      </c>
      <c r="D102" s="13" t="inlineStr">
        <is>
          <t>Contractors and plants</t>
        </is>
      </c>
      <c r="E102" s="14" t="n">
        <v>2</v>
      </c>
      <c r="F102" s="12" t="inlineStr">
        <is>
          <t>Printer buyer</t>
        </is>
      </c>
      <c r="G102" s="12" t="inlineStr">
        <is>
          <t>Foundation contractor</t>
        </is>
      </c>
      <c r="H102" s="12" t="inlineStr">
        <is>
          <t>Fort Worth, serving DFW builders, with Houston also listed</t>
        </is>
      </c>
      <c r="I102" s="12" t="inlineStr">
        <is>
          <t>DFW slab and flatwork contractor for builders</t>
        </is>
      </c>
      <c r="J102" s="14" t="inlineStr">
        <is>
          <t>Yes</t>
        </is>
      </c>
      <c r="K102" s="15" t="inlineStr">
        <is>
          <t>Same slab and flatwork product repeated for DFW builders and homeowners.</t>
        </is>
      </c>
      <c r="L102" s="14" t="inlineStr">
        <is>
          <t>Partly</t>
        </is>
      </c>
      <c r="M102" s="15" t="inlineStr">
        <is>
          <t>No annual slab count published.</t>
        </is>
      </c>
      <c r="N102" s="14" t="inlineStr">
        <is>
          <t>No</t>
        </is>
      </c>
      <c r="O102" s="15" t="inlineStr">
        <is>
          <t>Nothing on record.</t>
        </is>
      </c>
      <c r="P102" s="10" t="inlineStr"/>
      <c r="Q102" s="12" t="inlineStr"/>
      <c r="R102" s="16">
        <f>IF(P102="","ADD LINKEDIN","ok")</f>
        <v/>
      </c>
      <c r="S102" s="12" t="inlineStr">
        <is>
          <t>https://cardinalfoundationservices.com/</t>
        </is>
      </c>
      <c r="T102" s="15" t="inlineStr">
        <is>
          <t>Pours slabs and flatwork for DFW builders and homeowners. Owned by Josh Lavelle and Daneel Nortier, PE.</t>
        </is>
      </c>
      <c r="U102" s="12" t="inlineStr">
        <is>
          <t>YES</t>
        </is>
      </c>
      <c r="V102" s="15" t="inlineStr">
        <is>
          <t>Firm's site.</t>
        </is>
      </c>
      <c r="W102" s="12" t="inlineStr">
        <is>
          <t>https://cardinalfoundationservices.com/</t>
        </is>
      </c>
      <c r="X102" s="12" t="inlineStr">
        <is>
          <t>https://www.linkedin.com/company/cardinal-foundation-services/</t>
        </is>
      </c>
      <c r="Y102" s="12" t="inlineStr">
        <is>
          <t>https://cardinalfoundationservices.com/</t>
        </is>
      </c>
      <c r="Z102" s="12" t="inlineStr"/>
      <c r="AA102" s="12" t="inlineStr">
        <is>
          <t>(972) 656-8251</t>
        </is>
      </c>
      <c r="AB102" s="12" t="inlineStr">
        <is>
          <t>Main line</t>
        </is>
      </c>
      <c r="AC102" s="12" t="inlineStr">
        <is>
          <t>https://cardinalfoundationservices.com/new-construction/concrete-flatwork/</t>
        </is>
      </c>
      <c r="AD102" s="12" t="inlineStr"/>
      <c r="AE102" s="12" t="inlineStr"/>
    </row>
    <row r="103">
      <c r="A103" s="6" t="inlineStr">
        <is>
          <t>Daneel Nortier</t>
        </is>
      </c>
      <c r="B103" s="6" t="inlineStr">
        <is>
          <t>Cardinal Foundation Services</t>
        </is>
      </c>
      <c r="C103" s="6" t="inlineStr">
        <is>
          <t>Owner and Principal Engineer</t>
        </is>
      </c>
      <c r="D103" s="7" t="inlineStr">
        <is>
          <t>Contractors and plants</t>
        </is>
      </c>
      <c r="E103" s="8" t="n">
        <v>2</v>
      </c>
      <c r="F103" s="6" t="inlineStr">
        <is>
          <t>Printer buyer</t>
        </is>
      </c>
      <c r="G103" s="6" t="inlineStr">
        <is>
          <t>Foundation contractor</t>
        </is>
      </c>
      <c r="H103" s="6" t="inlineStr">
        <is>
          <t>Fort Worth, serving DFW builders, with Houston also listed</t>
        </is>
      </c>
      <c r="I103" s="6" t="inlineStr">
        <is>
          <t>DFW slab and flatwork contractor for builders</t>
        </is>
      </c>
      <c r="J103" s="8" t="inlineStr">
        <is>
          <t>Yes</t>
        </is>
      </c>
      <c r="K103" s="9" t="inlineStr">
        <is>
          <t>Same slab and flatwork product repeated for DFW builders and homeowners.</t>
        </is>
      </c>
      <c r="L103" s="8" t="inlineStr">
        <is>
          <t>Partly</t>
        </is>
      </c>
      <c r="M103" s="9" t="inlineStr">
        <is>
          <t>No annual slab count published.</t>
        </is>
      </c>
      <c r="N103" s="8" t="inlineStr">
        <is>
          <t>No</t>
        </is>
      </c>
      <c r="O103" s="9" t="inlineStr">
        <is>
          <t>Nothing on record.</t>
        </is>
      </c>
      <c r="P103" s="10" t="inlineStr"/>
      <c r="Q103" s="6" t="inlineStr"/>
      <c r="R103" s="11">
        <f>IF(P103="","ADD LINKEDIN","ok")</f>
        <v/>
      </c>
      <c r="S103" s="6" t="inlineStr">
        <is>
          <t>https://cardinalfoundationservices.com/</t>
        </is>
      </c>
      <c r="T103" s="9" t="inlineStr">
        <is>
          <t>Pours slabs and flatwork for DFW builders and homeowners. Owned by Josh Lavelle and Daneel Nortier, PE.</t>
        </is>
      </c>
      <c r="U103" s="6" t="inlineStr">
        <is>
          <t>YES</t>
        </is>
      </c>
      <c r="V103" s="9" t="inlineStr">
        <is>
          <t>Firm's site. PE since 2012.</t>
        </is>
      </c>
      <c r="W103" s="6" t="inlineStr">
        <is>
          <t>https://cardinalfoundationservices.com/</t>
        </is>
      </c>
      <c r="X103" s="6" t="inlineStr">
        <is>
          <t>https://www.linkedin.com/company/cardinal-foundation-services/</t>
        </is>
      </c>
      <c r="Y103" s="6" t="inlineStr">
        <is>
          <t>https://cardinalfoundationservices.com/</t>
        </is>
      </c>
      <c r="Z103" s="6" t="inlineStr"/>
      <c r="AA103" s="6" t="inlineStr">
        <is>
          <t>(972) 656-8251</t>
        </is>
      </c>
      <c r="AB103" s="6" t="inlineStr">
        <is>
          <t>Main line</t>
        </is>
      </c>
      <c r="AC103" s="6" t="inlineStr">
        <is>
          <t>https://cardinalfoundationservices.com/new-construction/concrete-flatwork/</t>
        </is>
      </c>
      <c r="AD103" s="6" t="inlineStr"/>
      <c r="AE103" s="6" t="inlineStr"/>
    </row>
    <row r="104">
      <c r="A104" s="12" t="inlineStr">
        <is>
          <t>no contact identified</t>
        </is>
      </c>
      <c r="B104" s="12" t="inlineStr">
        <is>
          <t>Correa Masonry &amp; Stucco LLC</t>
        </is>
      </c>
      <c r="C104" s="12" t="inlineStr"/>
      <c r="D104" s="13" t="inlineStr">
        <is>
          <t>Contractors and plants</t>
        </is>
      </c>
      <c r="E104" s="14" t="n">
        <v>2</v>
      </c>
      <c r="F104" s="12" t="inlineStr">
        <is>
          <t>Printer buyer</t>
        </is>
      </c>
      <c r="G104" s="12" t="inlineStr">
        <is>
          <t>Masonry and stucco contractor</t>
        </is>
      </c>
      <c r="H104" s="12" t="inlineStr">
        <is>
          <t>Dallas, with residential, multifamily and commercial work across DFW</t>
        </is>
      </c>
      <c r="I104" s="12" t="inlineStr">
        <is>
          <t>Dallas masonry and stucco contractor since 2010</t>
        </is>
      </c>
      <c r="J104" s="14" t="inlineStr">
        <is>
          <t>Yes</t>
        </is>
      </c>
      <c r="K104" s="15" t="inlineStr">
        <is>
          <t>Masonry and stucco repeated across DFW residential and multifamily jobs.</t>
        </is>
      </c>
      <c r="L104" s="14" t="inlineStr">
        <is>
          <t>Partly</t>
        </is>
      </c>
      <c r="M104" s="15" t="inlineStr">
        <is>
          <t>Local specialty contractor, some multifamily. No annual square footage published.</t>
        </is>
      </c>
      <c r="N104" s="14" t="inlineStr">
        <is>
          <t>No</t>
        </is>
      </c>
      <c r="O104" s="15" t="inlineStr">
        <is>
          <t>Nothing on record.</t>
        </is>
      </c>
      <c r="P104" s="10" t="inlineStr"/>
      <c r="Q104" s="12" t="inlineStr"/>
      <c r="R104" s="16">
        <f>IF(P104="","ADD LINKEDIN","ok")</f>
        <v/>
      </c>
      <c r="S104" s="12" t="inlineStr">
        <is>
          <t>https://correamasonryllc.com/</t>
        </is>
      </c>
      <c r="T104" s="15" t="inlineStr">
        <is>
          <t>Lays brick, stone and CMU and applies stucco for residential, multifamily and commercial builders.</t>
        </is>
      </c>
      <c r="U104" s="12" t="inlineStr"/>
      <c r="V104" s="15" t="inlineStr"/>
      <c r="W104" s="12" t="inlineStr"/>
      <c r="X104" s="12" t="inlineStr">
        <is>
          <t>https://www.linkedin.com/company/correamasonry/</t>
        </is>
      </c>
      <c r="Y104" s="12" t="inlineStr"/>
      <c r="Z104" s="12" t="inlineStr"/>
      <c r="AA104" s="12" t="inlineStr">
        <is>
          <t>(469) 854-3445</t>
        </is>
      </c>
      <c r="AB104" s="12" t="inlineStr">
        <is>
          <t>Main office, Dallas</t>
        </is>
      </c>
      <c r="AC104" s="12" t="inlineStr">
        <is>
          <t>https://correamasonryllc.com/</t>
        </is>
      </c>
      <c r="AD104" s="12" t="inlineStr"/>
      <c r="AE104" s="12" t="inlineStr"/>
    </row>
    <row r="105">
      <c r="A105" s="6" t="inlineStr">
        <is>
          <t>no contact identified</t>
        </is>
      </c>
      <c r="B105" s="6" t="inlineStr">
        <is>
          <t>Dayd Masonry</t>
        </is>
      </c>
      <c r="C105" s="6" t="inlineStr"/>
      <c r="D105" s="7" t="inlineStr">
        <is>
          <t>Contractors and plants</t>
        </is>
      </c>
      <c r="E105" s="8" t="n">
        <v>2</v>
      </c>
      <c r="F105" s="6" t="inlineStr">
        <is>
          <t>Printer buyer</t>
        </is>
      </c>
      <c r="G105" s="6" t="inlineStr">
        <is>
          <t>Masonry and stucco contractor</t>
        </is>
      </c>
      <c r="H105" s="6" t="inlineStr">
        <is>
          <t>Dallas-Fort Worth and North Texas</t>
        </is>
      </c>
      <c r="I105" s="6" t="inlineStr">
        <is>
          <t>Masonry and stucco subcontractor to DFW builders</t>
        </is>
      </c>
      <c r="J105" s="8" t="inlineStr">
        <is>
          <t>Yes</t>
        </is>
      </c>
      <c r="K105" s="9" t="inlineStr">
        <is>
          <t>Repeats the same wall types across DFW.</t>
        </is>
      </c>
      <c r="L105" s="8" t="inlineStr">
        <is>
          <t>Partly</t>
        </is>
      </c>
      <c r="M105" s="9" t="inlineStr">
        <is>
          <t>Local specialty trade. No published job count.</t>
        </is>
      </c>
      <c r="N105" s="8" t="inlineStr">
        <is>
          <t>No</t>
        </is>
      </c>
      <c r="O105" s="9" t="inlineStr">
        <is>
          <t>Nothing on record. Conventional masonry.</t>
        </is>
      </c>
      <c r="P105" s="10" t="inlineStr"/>
      <c r="Q105" s="6" t="inlineStr"/>
      <c r="R105" s="11">
        <f>IF(P105="","ADD LINKEDIN","ok")</f>
        <v/>
      </c>
      <c r="S105" s="6" t="inlineStr">
        <is>
          <t>https://daydmasonry.com/</t>
        </is>
      </c>
      <c r="T105" s="9" t="inlineStr">
        <is>
          <t>Builds brick, stone, block and precast panel enclosures for builders and homeowners across DFW.</t>
        </is>
      </c>
      <c r="U105" s="6" t="inlineStr"/>
      <c r="V105" s="9" t="inlineStr"/>
      <c r="W105" s="6" t="inlineStr"/>
      <c r="X105" s="6" t="inlineStr"/>
      <c r="Y105" s="6" t="inlineStr">
        <is>
          <t>https://daydmasonry.com/</t>
        </is>
      </c>
      <c r="Z105" s="6" t="inlineStr"/>
      <c r="AA105" s="6" t="inlineStr">
        <is>
          <t>(817) 713-0046</t>
        </is>
      </c>
      <c r="AB105" s="6" t="inlineStr">
        <is>
          <t>North Texas office</t>
        </is>
      </c>
      <c r="AC105" s="6" t="inlineStr">
        <is>
          <t>https://daydmasonry.com/</t>
        </is>
      </c>
      <c r="AD105" s="6" t="inlineStr"/>
      <c r="AE105" s="6" t="inlineStr"/>
    </row>
    <row r="106">
      <c r="A106" s="12" t="inlineStr">
        <is>
          <t>Efren De Hoyos</t>
        </is>
      </c>
      <c r="B106" s="12" t="inlineStr">
        <is>
          <t>Efren Masonry</t>
        </is>
      </c>
      <c r="C106" s="12" t="inlineStr">
        <is>
          <t>Owner</t>
        </is>
      </c>
      <c r="D106" s="13" t="inlineStr">
        <is>
          <t>Contractors and plants</t>
        </is>
      </c>
      <c r="E106" s="14" t="n">
        <v>2</v>
      </c>
      <c r="F106" s="12" t="inlineStr">
        <is>
          <t>Printer buyer</t>
        </is>
      </c>
      <c r="G106" s="12" t="inlineStr">
        <is>
          <t>Masonry contractor</t>
        </is>
      </c>
      <c r="H106" s="12" t="inlineStr">
        <is>
          <t>Dallas County and nearby cities</t>
        </is>
      </c>
      <c r="I106" s="12" t="inlineStr">
        <is>
          <t>Dallas family masonry firm, new-home construction</t>
        </is>
      </c>
      <c r="J106" s="14" t="inlineStr">
        <is>
          <t>Yes</t>
        </is>
      </c>
      <c r="K106" s="15" t="inlineStr">
        <is>
          <t>Repeated brick and stone work on new homes.</t>
        </is>
      </c>
      <c r="L106" s="14" t="inlineStr">
        <is>
          <t>Partly</t>
        </is>
      </c>
      <c r="M106" s="15" t="inlineStr">
        <is>
          <t>Local family firm. No published annual volume.</t>
        </is>
      </c>
      <c r="N106" s="14" t="inlineStr">
        <is>
          <t>No</t>
        </is>
      </c>
      <c r="O106" s="15" t="inlineStr">
        <is>
          <t>Nothing on record.</t>
        </is>
      </c>
      <c r="P106" s="6" t="inlineStr">
        <is>
          <t>https://www.linkedin.com/in/efren-de-hoyos-a26434234/</t>
        </is>
      </c>
      <c r="Q106" s="12" t="inlineStr"/>
      <c r="R106" s="16">
        <f>IF(P106="","ADD LINKEDIN","ok")</f>
        <v/>
      </c>
      <c r="S106" s="12" t="inlineStr">
        <is>
          <t>https://www.efrenmasonry.com/</t>
        </is>
      </c>
      <c r="T106" s="15" t="inlineStr">
        <is>
          <t>Lays brick and stone on new homes in Dallas County and nearby cities.</t>
        </is>
      </c>
      <c r="U106" s="12" t="inlineStr">
        <is>
          <t>YES</t>
        </is>
      </c>
      <c r="V106" s="15" t="inlineStr">
        <is>
          <t>Indexed title: Efren De Hoyos, Efren Masonry. Firm's Google Sites page, same phone and email as efrenmasonry.com.</t>
        </is>
      </c>
      <c r="W106" s="12" t="inlineStr">
        <is>
          <t>https://sites.google.com/view/efrendehoyos/</t>
        </is>
      </c>
      <c r="X106" s="12" t="inlineStr"/>
      <c r="Y106" s="12" t="inlineStr">
        <is>
          <t>https://sites.google.com/view/efrendehoyos/</t>
        </is>
      </c>
      <c r="Z106" s="12" t="inlineStr"/>
      <c r="AA106" s="12" t="inlineStr">
        <is>
          <t>(214) 278-4005</t>
        </is>
      </c>
      <c r="AB106" s="12" t="inlineStr">
        <is>
          <t>Main line</t>
        </is>
      </c>
      <c r="AC106" s="12" t="inlineStr">
        <is>
          <t>https://www.efrenmasonry.com/</t>
        </is>
      </c>
      <c r="AD106" s="12" t="inlineStr"/>
      <c r="AE106" s="12" t="inlineStr"/>
    </row>
    <row r="107">
      <c r="A107" s="6" t="inlineStr">
        <is>
          <t>David Grzesiak</t>
        </is>
      </c>
      <c r="B107" s="6" t="inlineStr">
        <is>
          <t>Fenimore-Blythe Commercial Masonry</t>
        </is>
      </c>
      <c r="C107" s="6" t="inlineStr">
        <is>
          <t>President and Preconstruction Manager</t>
        </is>
      </c>
      <c r="D107" s="7" t="inlineStr">
        <is>
          <t>Contractors and plants</t>
        </is>
      </c>
      <c r="E107" s="8" t="n">
        <v>2</v>
      </c>
      <c r="F107" s="6" t="inlineStr">
        <is>
          <t>Printer buyer</t>
        </is>
      </c>
      <c r="G107" s="6" t="inlineStr">
        <is>
          <t>Masonry contractor</t>
        </is>
      </c>
      <c r="H107" s="6" t="inlineStr">
        <is>
          <t>Fort Worth</t>
        </is>
      </c>
      <c r="I107" s="6" t="inlineStr">
        <is>
          <t>Fort Worth commercial masonry since 1945</t>
        </is>
      </c>
      <c r="J107" s="8" t="inlineStr">
        <is>
          <t>Yes</t>
        </is>
      </c>
      <c r="K107" s="9" t="inlineStr">
        <is>
          <t>Since 1945, CMU, brick veneer, stone and structural masonry repeated across DFW jobs.</t>
        </is>
      </c>
      <c r="L107" s="8" t="inlineStr">
        <is>
          <t>Partly</t>
        </is>
      </c>
      <c r="M107" s="9" t="inlineStr">
        <is>
          <t>Work leans commercial and institutional over production housing.</t>
        </is>
      </c>
      <c r="N107" s="8" t="inlineStr">
        <is>
          <t>No</t>
        </is>
      </c>
      <c r="O107" s="9" t="inlineStr">
        <is>
          <t>Nothing on record.</t>
        </is>
      </c>
      <c r="P107" s="10" t="inlineStr"/>
      <c r="Q107" s="6" t="inlineStr"/>
      <c r="R107" s="11">
        <f>IF(P107="","ADD LINKEDIN","ok")</f>
        <v/>
      </c>
      <c r="S107" s="6" t="inlineStr">
        <is>
          <t>https://www.fenimoreblythe.com/</t>
        </is>
      </c>
      <c r="T107" s="9" t="inlineStr">
        <is>
          <t>Lays structural CMU, brick veneer and stone, mostly on commercial and institutional jobs. David Grzesiak is President.</t>
        </is>
      </c>
      <c r="U107" s="6" t="inlineStr">
        <is>
          <t>YES</t>
        </is>
      </c>
      <c r="V107" s="9" t="inlineStr">
        <is>
          <t>Firm's team page.</t>
        </is>
      </c>
      <c r="W107" s="6" t="inlineStr">
        <is>
          <t>https://www.fenimoreblythe.com/team/</t>
        </is>
      </c>
      <c r="X107" s="6" t="inlineStr">
        <is>
          <t>https://www.linkedin.com/company/fenimore-blythe-commercial-masonry/</t>
        </is>
      </c>
      <c r="Y107" s="6" t="inlineStr">
        <is>
          <t>https://www.fenimoreblythe.com/team/</t>
        </is>
      </c>
      <c r="Z107" s="6" t="inlineStr"/>
      <c r="AA107" s="6" t="inlineStr">
        <is>
          <t>(817) 834-6301</t>
        </is>
      </c>
      <c r="AB107" s="6" t="inlineStr">
        <is>
          <t>Main office, Fort Worth</t>
        </is>
      </c>
      <c r="AC107" s="6" t="inlineStr">
        <is>
          <t>https://www.fenimoreblythe.com/contact/</t>
        </is>
      </c>
      <c r="AD107" s="6" t="inlineStr"/>
      <c r="AE107" s="6" t="inlineStr"/>
    </row>
    <row r="108">
      <c r="A108" s="12" t="inlineStr">
        <is>
          <t>Mark Grzesiak</t>
        </is>
      </c>
      <c r="B108" s="12" t="inlineStr">
        <is>
          <t>Fenimore-Blythe Commercial Masonry</t>
        </is>
      </c>
      <c r="C108" s="12" t="inlineStr">
        <is>
          <t>Chief Financial Officer</t>
        </is>
      </c>
      <c r="D108" s="13" t="inlineStr">
        <is>
          <t>Contractors and plants</t>
        </is>
      </c>
      <c r="E108" s="14" t="n">
        <v>2</v>
      </c>
      <c r="F108" s="12" t="inlineStr">
        <is>
          <t>Printer buyer</t>
        </is>
      </c>
      <c r="G108" s="12" t="inlineStr">
        <is>
          <t>Masonry contractor</t>
        </is>
      </c>
      <c r="H108" s="12" t="inlineStr">
        <is>
          <t>Fort Worth</t>
        </is>
      </c>
      <c r="I108" s="12" t="inlineStr">
        <is>
          <t>Fort Worth commercial masonry since 1945</t>
        </is>
      </c>
      <c r="J108" s="14" t="inlineStr">
        <is>
          <t>Yes</t>
        </is>
      </c>
      <c r="K108" s="15" t="inlineStr">
        <is>
          <t>Since 1945, CMU, brick veneer, stone and structural masonry repeated across DFW jobs.</t>
        </is>
      </c>
      <c r="L108" s="14" t="inlineStr">
        <is>
          <t>Partly</t>
        </is>
      </c>
      <c r="M108" s="15" t="inlineStr">
        <is>
          <t>Work leans commercial and institutional over production housing.</t>
        </is>
      </c>
      <c r="N108" s="14" t="inlineStr">
        <is>
          <t>No</t>
        </is>
      </c>
      <c r="O108" s="15" t="inlineStr">
        <is>
          <t>Nothing on record.</t>
        </is>
      </c>
      <c r="P108" s="10" t="inlineStr"/>
      <c r="Q108" s="12" t="inlineStr"/>
      <c r="R108" s="16">
        <f>IF(P108="","ADD LINKEDIN","ok")</f>
        <v/>
      </c>
      <c r="S108" s="12" t="inlineStr">
        <is>
          <t>https://www.fenimoreblythe.com/</t>
        </is>
      </c>
      <c r="T108" s="15" t="inlineStr">
        <is>
          <t>Lays structural CMU, brick veneer and stone, mostly on commercial and institutional jobs. David Grzesiak is President.</t>
        </is>
      </c>
      <c r="U108" s="12" t="inlineStr"/>
      <c r="V108" s="15" t="inlineStr">
        <is>
          <t>Firm's team page.</t>
        </is>
      </c>
      <c r="W108" s="12" t="inlineStr">
        <is>
          <t>https://www.fenimoreblythe.com/team/</t>
        </is>
      </c>
      <c r="X108" s="12" t="inlineStr">
        <is>
          <t>https://www.linkedin.com/company/fenimore-blythe-commercial-masonry/</t>
        </is>
      </c>
      <c r="Y108" s="12" t="inlineStr">
        <is>
          <t>https://www.fenimoreblythe.com/team/</t>
        </is>
      </c>
      <c r="Z108" s="12" t="inlineStr"/>
      <c r="AA108" s="12" t="inlineStr">
        <is>
          <t>(817) 834-6301</t>
        </is>
      </c>
      <c r="AB108" s="12" t="inlineStr">
        <is>
          <t>Main office, Fort Worth</t>
        </is>
      </c>
      <c r="AC108" s="12" t="inlineStr">
        <is>
          <t>https://www.fenimoreblythe.com/contact/</t>
        </is>
      </c>
      <c r="AD108" s="12" t="inlineStr"/>
      <c r="AE108" s="12" t="inlineStr"/>
    </row>
    <row r="109">
      <c r="A109" s="6" t="inlineStr">
        <is>
          <t>no contact identified</t>
        </is>
      </c>
      <c r="B109" s="6" t="inlineStr">
        <is>
          <t>General Contractors of DFW</t>
        </is>
      </c>
      <c r="C109" s="6" t="inlineStr"/>
      <c r="D109" s="7" t="inlineStr">
        <is>
          <t>Contractors and plants</t>
        </is>
      </c>
      <c r="E109" s="8" t="n">
        <v>2</v>
      </c>
      <c r="F109" s="6" t="inlineStr">
        <is>
          <t>Printer buyer</t>
        </is>
      </c>
      <c r="G109" s="6" t="inlineStr">
        <is>
          <t>Tilt-up general contractor</t>
        </is>
      </c>
      <c r="H109" s="6" t="inlineStr">
        <is>
          <t>Dallas-Fort Worth</t>
        </is>
      </c>
      <c r="I109" s="6" t="inlineStr">
        <is>
          <t>DFW tilt-wall general contractor</t>
        </is>
      </c>
      <c r="J109" s="8" t="inlineStr">
        <is>
          <t>Yes</t>
        </is>
      </c>
      <c r="K109" s="9" t="inlineStr">
        <is>
          <t>Casts and erects tilt-wall panels as a repeated service.</t>
        </is>
      </c>
      <c r="L109" s="8" t="inlineStr">
        <is>
          <t>Partly</t>
        </is>
      </c>
      <c r="M109" s="9" t="inlineStr">
        <is>
          <t>No published volume figure.</t>
        </is>
      </c>
      <c r="N109" s="8" t="inlineStr">
        <is>
          <t>No</t>
        </is>
      </c>
      <c r="O109" s="9" t="inlineStr">
        <is>
          <t>Nothing on record beyond conventional tilt-wall.</t>
        </is>
      </c>
      <c r="P109" s="10" t="inlineStr"/>
      <c r="Q109" s="6" t="inlineStr"/>
      <c r="R109" s="11">
        <f>IF(P109="","ADD LINKEDIN","ok")</f>
        <v/>
      </c>
      <c r="S109" s="6" t="inlineStr">
        <is>
          <t>https://generalcontractorsofdfw.com/</t>
        </is>
      </c>
      <c r="T109" s="9" t="inlineStr">
        <is>
          <t>Casts and erects tilt-wall panels as one scope, from panel layout to envelope turnover.</t>
        </is>
      </c>
      <c r="U109" s="6" t="inlineStr"/>
      <c r="V109" s="9" t="inlineStr"/>
      <c r="W109" s="6" t="inlineStr"/>
      <c r="X109" s="6" t="inlineStr"/>
      <c r="Y109" s="6" t="inlineStr"/>
      <c r="Z109" s="6" t="inlineStr"/>
      <c r="AA109" s="6" t="inlineStr">
        <is>
          <t>(214) 307-9841</t>
        </is>
      </c>
      <c r="AB109" s="6" t="inlineStr">
        <is>
          <t>Main line</t>
        </is>
      </c>
      <c r="AC109" s="6" t="inlineStr">
        <is>
          <t>https://generalcontractorsofdfw.com/services/tilt-wall-construction</t>
        </is>
      </c>
      <c r="AD109" s="6" t="inlineStr"/>
      <c r="AE109" s="6" t="inlineStr"/>
    </row>
    <row r="110">
      <c r="A110" s="12" t="inlineStr">
        <is>
          <t>no contact identified</t>
        </is>
      </c>
      <c r="B110" s="12" t="inlineStr">
        <is>
          <t>Grapevine Masonry (HNS Masonry)</t>
        </is>
      </c>
      <c r="C110" s="12" t="inlineStr"/>
      <c r="D110" s="13" t="inlineStr">
        <is>
          <t>Contractors and plants</t>
        </is>
      </c>
      <c r="E110" s="14" t="n">
        <v>2</v>
      </c>
      <c r="F110" s="12" t="inlineStr">
        <is>
          <t>Printer buyer</t>
        </is>
      </c>
      <c r="G110" s="12" t="inlineStr">
        <is>
          <t>Residential masonry contractor</t>
        </is>
      </c>
      <c r="H110" s="12" t="inlineStr">
        <is>
          <t>Southlake, serving Grapevine and the mid-cities</t>
        </is>
      </c>
      <c r="I110" s="12" t="inlineStr">
        <is>
          <t>Mid-cities residential brick and stone, HNS division</t>
        </is>
      </c>
      <c r="J110" s="14" t="inlineStr">
        <is>
          <t>Yes</t>
        </is>
      </c>
      <c r="K110" s="15" t="inlineStr">
        <is>
          <t>Veneer and repair repeated across mid-cities homes.</t>
        </is>
      </c>
      <c r="L110" s="14" t="inlineStr">
        <is>
          <t>Partly</t>
        </is>
      </c>
      <c r="M110" s="15" t="inlineStr">
        <is>
          <t>No published volume. Mixes repair with new veneer.</t>
        </is>
      </c>
      <c r="N110" s="14" t="inlineStr">
        <is>
          <t>No</t>
        </is>
      </c>
      <c r="O110" s="15" t="inlineStr">
        <is>
          <t>Nothing on record.</t>
        </is>
      </c>
      <c r="P110" s="10" t="inlineStr"/>
      <c r="Q110" s="12" t="inlineStr"/>
      <c r="R110" s="16">
        <f>IF(P110="","ADD LINKEDIN","ok")</f>
        <v/>
      </c>
      <c r="S110" s="12" t="inlineStr">
        <is>
          <t>https://grapevine-masonry.com/</t>
        </is>
      </c>
      <c r="T110" s="15" t="inlineStr">
        <is>
          <t>Installs brick and stone veneer on new custom homes, alongside repair work, in Grapevine and Colleyville.</t>
        </is>
      </c>
      <c r="U110" s="12" t="inlineStr"/>
      <c r="V110" s="15" t="inlineStr"/>
      <c r="W110" s="12" t="inlineStr"/>
      <c r="X110" s="12" t="inlineStr"/>
      <c r="Y110" s="12" t="inlineStr"/>
      <c r="Z110" s="12" t="inlineStr"/>
      <c r="AA110" s="12" t="inlineStr">
        <is>
          <t>(682) 688-8436</t>
        </is>
      </c>
      <c r="AB110" s="12" t="inlineStr">
        <is>
          <t>Main office, Southlake</t>
        </is>
      </c>
      <c r="AC110" s="12" t="inlineStr">
        <is>
          <t>https://grapevine-masonry.com/</t>
        </is>
      </c>
      <c r="AD110" s="12" t="inlineStr"/>
      <c r="AE110" s="12" t="inlineStr"/>
    </row>
    <row r="111">
      <c r="A111" s="6" t="inlineStr">
        <is>
          <t>no contact identified</t>
        </is>
      </c>
      <c r="B111" s="6" t="inlineStr">
        <is>
          <t>Originally Masonry</t>
        </is>
      </c>
      <c r="C111" s="6" t="inlineStr"/>
      <c r="D111" s="7" t="inlineStr">
        <is>
          <t>Contractors and plants</t>
        </is>
      </c>
      <c r="E111" s="8" t="n">
        <v>2</v>
      </c>
      <c r="F111" s="6" t="inlineStr">
        <is>
          <t>Printer buyer</t>
        </is>
      </c>
      <c r="G111" s="6" t="inlineStr">
        <is>
          <t>Masonry contractor</t>
        </is>
      </c>
      <c r="H111" s="6" t="inlineStr">
        <is>
          <t>Grand Prairie, working across DFW</t>
        </is>
      </c>
      <c r="I111" s="6" t="inlineStr">
        <is>
          <t>Grand Prairie masonry, new-construction brick and stone exteriors</t>
        </is>
      </c>
      <c r="J111" s="8" t="inlineStr">
        <is>
          <t>Yes</t>
        </is>
      </c>
      <c r="K111" s="9" t="inlineStr">
        <is>
          <t>Brick, stone and block walls repeated on residential and light commercial jobs.</t>
        </is>
      </c>
      <c r="L111" s="8" t="inlineStr">
        <is>
          <t>Partly</t>
        </is>
      </c>
      <c r="M111" s="9" t="inlineStr">
        <is>
          <t>No annual count published.</t>
        </is>
      </c>
      <c r="N111" s="8" t="inlineStr">
        <is>
          <t>No</t>
        </is>
      </c>
      <c r="O111" s="9" t="inlineStr">
        <is>
          <t>Conventional masonry. Nothing on record.</t>
        </is>
      </c>
      <c r="P111" s="10" t="inlineStr"/>
      <c r="Q111" s="6" t="inlineStr"/>
      <c r="R111" s="11">
        <f>IF(P111="","ADD LINKEDIN","ok")</f>
        <v/>
      </c>
      <c r="S111" s="6" t="inlineStr">
        <is>
          <t>https://originallymasonry.com/</t>
        </is>
      </c>
      <c r="T111" s="9" t="inlineStr">
        <is>
          <t>Lays brick, stone and block exteriors on new homes and light commercial jobs across DFW.</t>
        </is>
      </c>
      <c r="U111" s="6" t="inlineStr"/>
      <c r="V111" s="9" t="inlineStr"/>
      <c r="W111" s="6" t="inlineStr"/>
      <c r="X111" s="6" t="inlineStr"/>
      <c r="Y111" s="6" t="inlineStr">
        <is>
          <t>https://originallymasonry.com/</t>
        </is>
      </c>
      <c r="Z111" s="6" t="inlineStr"/>
      <c r="AA111" s="6" t="inlineStr">
        <is>
          <t>(214) 609-6292</t>
        </is>
      </c>
      <c r="AB111" s="6" t="inlineStr">
        <is>
          <t>Grand Prairie office</t>
        </is>
      </c>
      <c r="AC111" s="6" t="inlineStr">
        <is>
          <t>https://originallymasonry.com/</t>
        </is>
      </c>
      <c r="AD111" s="6" t="inlineStr"/>
      <c r="AE111" s="6" t="inlineStr"/>
    </row>
    <row r="112">
      <c r="A112" s="12" t="inlineStr">
        <is>
          <t>Derek Tuttle</t>
        </is>
      </c>
      <c r="B112" s="12" t="inlineStr">
        <is>
          <t>Post-Tension Services</t>
        </is>
      </c>
      <c r="C112" s="12" t="inlineStr">
        <is>
          <t>President</t>
        </is>
      </c>
      <c r="D112" s="13" t="inlineStr">
        <is>
          <t>Contractors and plants</t>
        </is>
      </c>
      <c r="E112" s="14" t="n">
        <v>2</v>
      </c>
      <c r="F112" s="12" t="inlineStr">
        <is>
          <t>Printer buyer</t>
        </is>
      </c>
      <c r="G112" s="12" t="inlineStr">
        <is>
          <t>Post-tension foundation company</t>
        </is>
      </c>
      <c r="H112" s="12" t="inlineStr">
        <is>
          <t>Dallas headquarters, working across DFW and Texas</t>
        </is>
      </c>
      <c r="I112" s="12" t="inlineStr">
        <is>
          <t>Dallas post-tension headquarters, residential slabs</t>
        </is>
      </c>
      <c r="J112" s="14" t="inlineStr">
        <is>
          <t>Yes</t>
        </is>
      </c>
      <c r="K112" s="15" t="inlineStr">
        <is>
          <t>Slab packages repeated across DFW.</t>
        </is>
      </c>
      <c r="L112" s="14" t="inlineStr">
        <is>
          <t>Partly</t>
        </is>
      </c>
      <c r="M112" s="15" t="inlineStr">
        <is>
          <t>No published home count. Works across several states.</t>
        </is>
      </c>
      <c r="N112" s="14" t="inlineStr">
        <is>
          <t>No</t>
        </is>
      </c>
      <c r="O112" s="15" t="inlineStr">
        <is>
          <t>Nothing on record.</t>
        </is>
      </c>
      <c r="P112" s="10" t="inlineStr"/>
      <c r="Q112" s="12" t="inlineStr"/>
      <c r="R112" s="16">
        <f>IF(P112="","ADD LINKEDIN","ok")</f>
        <v/>
      </c>
      <c r="S112" s="12" t="inlineStr">
        <is>
          <t>https://post-tension.com/</t>
        </is>
      </c>
      <c r="T112" s="15" t="inlineStr">
        <is>
          <t>Supplies post-tension slabs for production and custom builders, with a Houston office. Derek Tuttle is President.</t>
        </is>
      </c>
      <c r="U112" s="12" t="inlineStr">
        <is>
          <t>YES</t>
        </is>
      </c>
      <c r="V112" s="15" t="inlineStr">
        <is>
          <t>Firm's Meet Our Team page.</t>
        </is>
      </c>
      <c r="W112" s="12" t="inlineStr">
        <is>
          <t>https://post-tension.com/about/</t>
        </is>
      </c>
      <c r="X112" s="12" t="inlineStr">
        <is>
          <t>https://www.linkedin.com/company/post-tension-services-of-texas/</t>
        </is>
      </c>
      <c r="Y112" s="12" t="inlineStr"/>
      <c r="Z112" s="12" t="inlineStr"/>
      <c r="AA112" s="12" t="inlineStr">
        <is>
          <t>(972) 845-5500</t>
        </is>
      </c>
      <c r="AB112" s="12" t="inlineStr">
        <is>
          <t>Headquarters, Dallas</t>
        </is>
      </c>
      <c r="AC112" s="12" t="inlineStr">
        <is>
          <t>https://post-tension.com/post-tension-concrete-slab-construction/</t>
        </is>
      </c>
      <c r="AD112" s="12" t="inlineStr"/>
      <c r="AE112" s="12" t="inlineStr"/>
    </row>
    <row r="113">
      <c r="A113" s="6" t="inlineStr">
        <is>
          <t>Justin Zuckerbrow</t>
        </is>
      </c>
      <c r="B113" s="6" t="inlineStr">
        <is>
          <t>Post-Tension Services</t>
        </is>
      </c>
      <c r="C113" s="6" t="inlineStr">
        <is>
          <t>Vice President</t>
        </is>
      </c>
      <c r="D113" s="7" t="inlineStr">
        <is>
          <t>Contractors and plants</t>
        </is>
      </c>
      <c r="E113" s="8" t="n">
        <v>2</v>
      </c>
      <c r="F113" s="6" t="inlineStr">
        <is>
          <t>Printer buyer</t>
        </is>
      </c>
      <c r="G113" s="6" t="inlineStr">
        <is>
          <t>Post-tension foundation company</t>
        </is>
      </c>
      <c r="H113" s="6" t="inlineStr">
        <is>
          <t>Dallas headquarters, working across DFW and Texas</t>
        </is>
      </c>
      <c r="I113" s="6" t="inlineStr">
        <is>
          <t>Dallas post-tension headquarters, residential slabs</t>
        </is>
      </c>
      <c r="J113" s="8" t="inlineStr">
        <is>
          <t>Yes</t>
        </is>
      </c>
      <c r="K113" s="9" t="inlineStr">
        <is>
          <t>Slab packages repeated across DFW.</t>
        </is>
      </c>
      <c r="L113" s="8" t="inlineStr">
        <is>
          <t>Partly</t>
        </is>
      </c>
      <c r="M113" s="9" t="inlineStr">
        <is>
          <t>No published home count. Works across several states.</t>
        </is>
      </c>
      <c r="N113" s="8" t="inlineStr">
        <is>
          <t>No</t>
        </is>
      </c>
      <c r="O113" s="9" t="inlineStr">
        <is>
          <t>Nothing on record.</t>
        </is>
      </c>
      <c r="P113" s="6" t="inlineStr">
        <is>
          <t>https://www.linkedin.com/in/justin-zuckerbrow-033a429/</t>
        </is>
      </c>
      <c r="Q113" s="6" t="inlineStr"/>
      <c r="R113" s="11">
        <f>IF(P113="","ADD LINKEDIN","ok")</f>
        <v/>
      </c>
      <c r="S113" s="6" t="inlineStr">
        <is>
          <t>https://post-tension.com/</t>
        </is>
      </c>
      <c r="T113" s="9" t="inlineStr">
        <is>
          <t>Supplies post-tension slabs for production and custom builders, with a Houston office. Derek Tuttle is President.</t>
        </is>
      </c>
      <c r="U113" s="6" t="inlineStr"/>
      <c r="V113" s="9" t="inlineStr">
        <is>
          <t>Indexed title: Vice President and Owner at Post-Tension Services. Firm's Meet Our Team page.</t>
        </is>
      </c>
      <c r="W113" s="6" t="inlineStr">
        <is>
          <t>https://post-tension.com/about/</t>
        </is>
      </c>
      <c r="X113" s="6" t="inlineStr">
        <is>
          <t>https://www.linkedin.com/company/post-tension-services-of-texas/</t>
        </is>
      </c>
      <c r="Y113" s="6" t="inlineStr"/>
      <c r="Z113" s="6" t="inlineStr"/>
      <c r="AA113" s="6" t="inlineStr">
        <is>
          <t>(972) 845-5500</t>
        </is>
      </c>
      <c r="AB113" s="6" t="inlineStr">
        <is>
          <t>Headquarters, Dallas</t>
        </is>
      </c>
      <c r="AC113" s="6" t="inlineStr">
        <is>
          <t>https://post-tension.com/post-tension-concrete-slab-construction/</t>
        </is>
      </c>
      <c r="AD113" s="6" t="inlineStr"/>
      <c r="AE113" s="6" t="inlineStr"/>
    </row>
    <row r="114">
      <c r="A114" s="12" t="inlineStr">
        <is>
          <t>Mike Freeman</t>
        </is>
      </c>
      <c r="B114" s="12" t="inlineStr">
        <is>
          <t>Steele &amp; Freeman, Inc.</t>
        </is>
      </c>
      <c r="C114" s="12" t="inlineStr">
        <is>
          <t>Chief Executive Officer</t>
        </is>
      </c>
      <c r="D114" s="13" t="inlineStr">
        <is>
          <t>Contractors and plants</t>
        </is>
      </c>
      <c r="E114" s="14" t="n">
        <v>2</v>
      </c>
      <c r="F114" s="12" t="inlineStr">
        <is>
          <t>Client</t>
        </is>
      </c>
      <c r="G114" s="12" t="inlineStr">
        <is>
          <t>General contractor</t>
        </is>
      </c>
      <c r="H114" s="12" t="inlineStr">
        <is>
          <t>Fort Worth, working across North Texas and southern Oklahoma</t>
        </is>
      </c>
      <c r="I114" s="12" t="inlineStr">
        <is>
          <t>$175.3 million in 2020 volume, its own figure</t>
        </is>
      </c>
      <c r="J114" s="14" t="inlineStr">
        <is>
          <t>Yes</t>
        </is>
      </c>
      <c r="K114" s="15" t="inlineStr">
        <is>
          <t>Commercial and institutional shells repeated across North Texas.</t>
        </is>
      </c>
      <c r="L114" s="14" t="inlineStr">
        <is>
          <t>Partly</t>
        </is>
      </c>
      <c r="M114" s="15" t="inlineStr">
        <is>
          <t>$175.3 million in 2020, commercial, not homes. Purchasing sits with local owners.</t>
        </is>
      </c>
      <c r="N114" s="14" t="inlineStr">
        <is>
          <t>No</t>
        </is>
      </c>
      <c r="O114" s="15" t="inlineStr">
        <is>
          <t>Nothing on record.</t>
        </is>
      </c>
      <c r="P114" s="10" t="inlineStr"/>
      <c r="Q114" s="12" t="inlineStr"/>
      <c r="R114" s="16">
        <f>IF(P114="","ADD LINKEDIN","ok")</f>
        <v/>
      </c>
      <c r="S114" s="12" t="inlineStr">
        <is>
          <t>https://steelefreeman.com/</t>
        </is>
      </c>
      <c r="T114" s="15" t="inlineStr">
        <is>
          <t>Builds K-12, municipal, medical and faith projects from Fort Worth. Mike Freeman bought the company in 2005, and purchasing sits with the family.</t>
        </is>
      </c>
      <c r="U114" s="12" t="inlineStr">
        <is>
          <t>YES</t>
        </is>
      </c>
      <c r="V114" s="15" t="inlineStr">
        <is>
          <t>Firm's about page. Second generation, bought the company in 2005.</t>
        </is>
      </c>
      <c r="W114" s="12" t="inlineStr">
        <is>
          <t>https://steelefreeman.com/about-us/</t>
        </is>
      </c>
      <c r="X114" s="12" t="inlineStr">
        <is>
          <t>https://www.linkedin.com/company/steele-freeman-inc/</t>
        </is>
      </c>
      <c r="Y114" s="12" t="inlineStr">
        <is>
          <t>https://steelefreeman.com/about-us/</t>
        </is>
      </c>
      <c r="Z114" s="12" t="inlineStr"/>
      <c r="AA114" s="12" t="inlineStr">
        <is>
          <t>(817) 232-4742</t>
        </is>
      </c>
      <c r="AB114" s="12" t="inlineStr">
        <is>
          <t>Main office, Fort Worth</t>
        </is>
      </c>
      <c r="AC114" s="12" t="inlineStr">
        <is>
          <t>https://steelefreeman.com/about-us/</t>
        </is>
      </c>
      <c r="AD114" s="12" t="inlineStr"/>
      <c r="AE114" s="12" t="inlineStr"/>
    </row>
    <row r="115">
      <c r="A115" s="6" t="inlineStr">
        <is>
          <t>Reilly Freeman</t>
        </is>
      </c>
      <c r="B115" s="6" t="inlineStr">
        <is>
          <t>Steele &amp; Freeman, Inc.</t>
        </is>
      </c>
      <c r="C115" s="6" t="inlineStr">
        <is>
          <t>President</t>
        </is>
      </c>
      <c r="D115" s="7" t="inlineStr">
        <is>
          <t>Contractors and plants</t>
        </is>
      </c>
      <c r="E115" s="8" t="n">
        <v>2</v>
      </c>
      <c r="F115" s="6" t="inlineStr">
        <is>
          <t>Client</t>
        </is>
      </c>
      <c r="G115" s="6" t="inlineStr">
        <is>
          <t>General contractor</t>
        </is>
      </c>
      <c r="H115" s="6" t="inlineStr">
        <is>
          <t>Fort Worth, working across North Texas and southern Oklahoma</t>
        </is>
      </c>
      <c r="I115" s="6" t="inlineStr">
        <is>
          <t>$175.3 million in 2020 volume, its own figure</t>
        </is>
      </c>
      <c r="J115" s="8" t="inlineStr">
        <is>
          <t>Yes</t>
        </is>
      </c>
      <c r="K115" s="9" t="inlineStr">
        <is>
          <t>Commercial and institutional shells repeated across North Texas.</t>
        </is>
      </c>
      <c r="L115" s="8" t="inlineStr">
        <is>
          <t>Partly</t>
        </is>
      </c>
      <c r="M115" s="9" t="inlineStr">
        <is>
          <t>$175.3 million in 2020, commercial, not homes. Purchasing sits with local owners.</t>
        </is>
      </c>
      <c r="N115" s="8" t="inlineStr">
        <is>
          <t>No</t>
        </is>
      </c>
      <c r="O115" s="9" t="inlineStr">
        <is>
          <t>Nothing on record.</t>
        </is>
      </c>
      <c r="P115" s="10" t="inlineStr"/>
      <c r="Q115" s="6" t="inlineStr"/>
      <c r="R115" s="11">
        <f>IF(P115="","ADD LINKEDIN","ok")</f>
        <v/>
      </c>
      <c r="S115" s="6" t="inlineStr">
        <is>
          <t>https://steelefreeman.com/</t>
        </is>
      </c>
      <c r="T115" s="9" t="inlineStr">
        <is>
          <t>Builds K-12, municipal, medical and faith projects from Fort Worth. Mike Freeman bought the company in 2005, and purchasing sits with the family.</t>
        </is>
      </c>
      <c r="U115" s="6" t="inlineStr">
        <is>
          <t>YES</t>
        </is>
      </c>
      <c r="V115" s="9" t="inlineStr">
        <is>
          <t>About page. Runs day-to-day operations and client relationships.</t>
        </is>
      </c>
      <c r="W115" s="6" t="inlineStr">
        <is>
          <t>https://steelefreeman.com/about-us/</t>
        </is>
      </c>
      <c r="X115" s="6" t="inlineStr">
        <is>
          <t>https://www.linkedin.com/company/steele-freeman-inc/</t>
        </is>
      </c>
      <c r="Y115" s="6" t="inlineStr">
        <is>
          <t>https://steelefreeman.com/about-us/</t>
        </is>
      </c>
      <c r="Z115" s="6" t="inlineStr"/>
      <c r="AA115" s="6" t="inlineStr">
        <is>
          <t>(817) 232-4742</t>
        </is>
      </c>
      <c r="AB115" s="6" t="inlineStr">
        <is>
          <t>Main office, Fort Worth</t>
        </is>
      </c>
      <c r="AC115" s="6" t="inlineStr">
        <is>
          <t>https://steelefreeman.com/about-us/</t>
        </is>
      </c>
      <c r="AD115" s="6" t="inlineStr"/>
      <c r="AE115" s="6" t="inlineStr"/>
    </row>
    <row r="116">
      <c r="A116" s="12" t="inlineStr">
        <is>
          <t>Warren Nugent</t>
        </is>
      </c>
      <c r="B116" s="12" t="inlineStr">
        <is>
          <t>Texcon, LLC</t>
        </is>
      </c>
      <c r="C116" s="12" t="inlineStr">
        <is>
          <t>Owner, Founder and CEO</t>
        </is>
      </c>
      <c r="D116" s="13" t="inlineStr">
        <is>
          <t>Contractors and plants</t>
        </is>
      </c>
      <c r="E116" s="14" t="n">
        <v>2</v>
      </c>
      <c r="F116" s="12" t="inlineStr">
        <is>
          <t>Printer buyer</t>
        </is>
      </c>
      <c r="G116" s="12" t="inlineStr">
        <is>
          <t>Tilt-up concrete contractor</t>
        </is>
      </c>
      <c r="H116" s="12" t="inlineStr">
        <is>
          <t>Dallas, tilt-wall and site paving across DFW</t>
        </is>
      </c>
      <c r="I116" s="12" t="inlineStr">
        <is>
          <t>Dallas tilt-wall and site-paving contractor</t>
        </is>
      </c>
      <c r="J116" s="14" t="inlineStr">
        <is>
          <t>Yes</t>
        </is>
      </c>
      <c r="K116" s="15" t="inlineStr">
        <is>
          <t>Repeated tilt-wall panel jobs across DFW.</t>
        </is>
      </c>
      <c r="L116" s="14" t="inlineStr">
        <is>
          <t>Partly</t>
        </is>
      </c>
      <c r="M116" s="15" t="inlineStr">
        <is>
          <t>No annual panel or square-footage figure published.</t>
        </is>
      </c>
      <c r="N116" s="14" t="inlineStr">
        <is>
          <t>No</t>
        </is>
      </c>
      <c r="O116" s="15" t="inlineStr">
        <is>
          <t>Nothing on record beyond conventional tilt-up.</t>
        </is>
      </c>
      <c r="P116" s="10" t="inlineStr"/>
      <c r="Q116" s="12" t="inlineStr"/>
      <c r="R116" s="16">
        <f>IF(P116="","ADD LINKEDIN","ok")</f>
        <v/>
      </c>
      <c r="S116" s="12" t="inlineStr">
        <is>
          <t>https://texconllc.com/</t>
        </is>
      </c>
      <c r="T116" s="15" t="inlineStr">
        <is>
          <t>Casts and erects tilt-wall panels on site for commercial and industrial shells. Warren Nugent is owner, founder and CEO.</t>
        </is>
      </c>
      <c r="U116" s="12" t="inlineStr">
        <is>
          <t>YES</t>
        </is>
      </c>
      <c r="V116" s="15" t="inlineStr">
        <is>
          <t>Firm's about page. Owner, founder and CEO.</t>
        </is>
      </c>
      <c r="W116" s="12" t="inlineStr">
        <is>
          <t>https://texconllc.com/about/</t>
        </is>
      </c>
      <c r="X116" s="12" t="inlineStr">
        <is>
          <t>https://www.linkedin.com/company/texcon-llc/</t>
        </is>
      </c>
      <c r="Y116" s="12" t="inlineStr">
        <is>
          <t>https://texconllc.com/about/</t>
        </is>
      </c>
      <c r="Z116" s="12" t="inlineStr"/>
      <c r="AA116" s="12" t="inlineStr">
        <is>
          <t>(972) 483-9266</t>
        </is>
      </c>
      <c r="AB116" s="12" t="inlineStr">
        <is>
          <t>Office, Dallas</t>
        </is>
      </c>
      <c r="AC116" s="12" t="inlineStr">
        <is>
          <t>https://texconllc.com/contact-us/</t>
        </is>
      </c>
      <c r="AD116" s="12" t="inlineStr"/>
      <c r="AE116" s="12" t="inlineStr"/>
    </row>
    <row r="117">
      <c r="A117" s="6" t="inlineStr">
        <is>
          <t>Farris Wilks</t>
        </is>
      </c>
      <c r="B117" s="6" t="inlineStr">
        <is>
          <t>Wilks Masonry</t>
        </is>
      </c>
      <c r="C117" s="6" t="inlineStr">
        <is>
          <t>Co-founder</t>
        </is>
      </c>
      <c r="D117" s="7" t="inlineStr">
        <is>
          <t>Contractors and plants</t>
        </is>
      </c>
      <c r="E117" s="8" t="n">
        <v>2</v>
      </c>
      <c r="F117" s="6" t="inlineStr">
        <is>
          <t>Printer buyer</t>
        </is>
      </c>
      <c r="G117" s="6" t="inlineStr">
        <is>
          <t>Masonry and precast installer</t>
        </is>
      </c>
      <c r="H117" s="6" t="inlineStr">
        <is>
          <t>Fort Worth, working across DFW</t>
        </is>
      </c>
      <c r="I117" s="6" t="inlineStr">
        <is>
          <t>Fort Worth commercial masonry and precast installer, founded 1995</t>
        </is>
      </c>
      <c r="J117" s="8" t="inlineStr">
        <is>
          <t>Yes</t>
        </is>
      </c>
      <c r="K117" s="9" t="inlineStr">
        <is>
          <t>Commercial masonry walls repeated across DFW jobs.</t>
        </is>
      </c>
      <c r="L117" s="8" t="inlineStr">
        <is>
          <t>Partly</t>
        </is>
      </c>
      <c r="M117" s="9" t="inlineStr">
        <is>
          <t>No published volume. Local commercial specialty firm.</t>
        </is>
      </c>
      <c r="N117" s="8" t="inlineStr">
        <is>
          <t>No</t>
        </is>
      </c>
      <c r="O117" s="9" t="inlineStr">
        <is>
          <t>Nothing on record.</t>
        </is>
      </c>
      <c r="P117" s="10" t="inlineStr"/>
      <c r="Q117" s="6" t="inlineStr"/>
      <c r="R117" s="11">
        <f>IF(P117="","ADD LINKEDIN","ok")</f>
        <v/>
      </c>
      <c r="S117" s="6" t="inlineStr">
        <is>
          <t>https://www.wilksmasonry.com/</t>
        </is>
      </c>
      <c r="T117" s="9" t="inlineStr">
        <is>
          <t>Installs masonry and precast on commercial projects across the Metroplex. Brothers Farris and Dan Wilks founded it.</t>
        </is>
      </c>
      <c r="U117" s="6" t="inlineStr">
        <is>
          <t>YES</t>
        </is>
      </c>
      <c r="V117" s="9" t="inlineStr">
        <is>
          <t>Firm's history page.</t>
        </is>
      </c>
      <c r="W117" s="6" t="inlineStr">
        <is>
          <t>https://www.wilksmasonry.com/history</t>
        </is>
      </c>
      <c r="X117" s="6" t="inlineStr">
        <is>
          <t>https://www.linkedin.com/company/wilks-masonry-corp/</t>
        </is>
      </c>
      <c r="Y117" s="6" t="inlineStr"/>
      <c r="Z117" s="6" t="inlineStr"/>
      <c r="AA117" s="6" t="inlineStr">
        <is>
          <t>(682) 587-8150</t>
        </is>
      </c>
      <c r="AB117" s="6" t="inlineStr">
        <is>
          <t>Front desk, Fort Worth</t>
        </is>
      </c>
      <c r="AC117" s="6" t="inlineStr">
        <is>
          <t>https://www.wilksmasonry.com/contact</t>
        </is>
      </c>
      <c r="AD117" s="6" t="inlineStr"/>
      <c r="AE117" s="6" t="inlineStr"/>
    </row>
    <row r="118">
      <c r="A118" s="12" t="inlineStr">
        <is>
          <t>Dan Wilks</t>
        </is>
      </c>
      <c r="B118" s="12" t="inlineStr">
        <is>
          <t>Wilks Masonry</t>
        </is>
      </c>
      <c r="C118" s="12" t="inlineStr">
        <is>
          <t>Co-founder</t>
        </is>
      </c>
      <c r="D118" s="13" t="inlineStr">
        <is>
          <t>Contractors and plants</t>
        </is>
      </c>
      <c r="E118" s="14" t="n">
        <v>2</v>
      </c>
      <c r="F118" s="12" t="inlineStr">
        <is>
          <t>Printer buyer</t>
        </is>
      </c>
      <c r="G118" s="12" t="inlineStr">
        <is>
          <t>Masonry and precast installer</t>
        </is>
      </c>
      <c r="H118" s="12" t="inlineStr">
        <is>
          <t>Fort Worth, working across DFW</t>
        </is>
      </c>
      <c r="I118" s="12" t="inlineStr">
        <is>
          <t>Fort Worth commercial masonry and precast installer, founded 1995</t>
        </is>
      </c>
      <c r="J118" s="14" t="inlineStr">
        <is>
          <t>Yes</t>
        </is>
      </c>
      <c r="K118" s="15" t="inlineStr">
        <is>
          <t>Commercial masonry walls repeated across DFW jobs.</t>
        </is>
      </c>
      <c r="L118" s="14" t="inlineStr">
        <is>
          <t>Partly</t>
        </is>
      </c>
      <c r="M118" s="15" t="inlineStr">
        <is>
          <t>No published volume. Local commercial specialty firm.</t>
        </is>
      </c>
      <c r="N118" s="14" t="inlineStr">
        <is>
          <t>No</t>
        </is>
      </c>
      <c r="O118" s="15" t="inlineStr">
        <is>
          <t>Nothing on record.</t>
        </is>
      </c>
      <c r="P118" s="10" t="inlineStr"/>
      <c r="Q118" s="12" t="inlineStr"/>
      <c r="R118" s="16">
        <f>IF(P118="","ADD LINKEDIN","ok")</f>
        <v/>
      </c>
      <c r="S118" s="12" t="inlineStr">
        <is>
          <t>https://www.wilksmasonry.com/</t>
        </is>
      </c>
      <c r="T118" s="15" t="inlineStr">
        <is>
          <t>Installs masonry and precast on commercial projects across the Metroplex. Brothers Farris and Dan Wilks founded it.</t>
        </is>
      </c>
      <c r="U118" s="12" t="inlineStr">
        <is>
          <t>YES</t>
        </is>
      </c>
      <c r="V118" s="15" t="inlineStr">
        <is>
          <t>Firm's history page.</t>
        </is>
      </c>
      <c r="W118" s="12" t="inlineStr">
        <is>
          <t>https://www.wilksmasonry.com/history</t>
        </is>
      </c>
      <c r="X118" s="12" t="inlineStr">
        <is>
          <t>https://www.linkedin.com/company/wilks-masonry-corp/</t>
        </is>
      </c>
      <c r="Y118" s="12" t="inlineStr"/>
      <c r="Z118" s="12" t="inlineStr"/>
      <c r="AA118" s="12" t="inlineStr">
        <is>
          <t>(682) 587-8150</t>
        </is>
      </c>
      <c r="AB118" s="12" t="inlineStr">
        <is>
          <t>Front desk, Fort Worth</t>
        </is>
      </c>
      <c r="AC118" s="12" t="inlineStr">
        <is>
          <t>https://www.wilksmasonry.com/contact</t>
        </is>
      </c>
      <c r="AD118" s="12" t="inlineStr"/>
      <c r="AE118" s="12" t="inlineStr"/>
    </row>
    <row r="119">
      <c r="A119" s="6" t="inlineStr">
        <is>
          <t>Dani V. Nicholas</t>
        </is>
      </c>
      <c r="B119" s="6" t="inlineStr">
        <is>
          <t>Austin Commercial (Austin Industries)</t>
        </is>
      </c>
      <c r="C119" s="6" t="inlineStr">
        <is>
          <t>Business Development Director</t>
        </is>
      </c>
      <c r="D119" s="7" t="inlineStr">
        <is>
          <t>Contractors and plants</t>
        </is>
      </c>
      <c r="E119" s="8" t="n">
        <v>1</v>
      </c>
      <c r="F119" s="6" t="inlineStr">
        <is>
          <t>Client</t>
        </is>
      </c>
      <c r="G119" s="6" t="inlineStr">
        <is>
          <t>Construction manager</t>
        </is>
      </c>
      <c r="H119" s="6" t="inlineStr">
        <is>
          <t>Dallas headquarters, working across North Texas</t>
        </is>
      </c>
      <c r="I119" s="6" t="inlineStr">
        <is>
          <t>Dallas construction manager, headquartered there since 1975</t>
        </is>
      </c>
      <c r="J119" s="8" t="inlineStr">
        <is>
          <t>Yes</t>
        </is>
      </c>
      <c r="K119" s="9" t="inlineStr">
        <is>
          <t>Commercial pipeline recurring across North Texas.</t>
        </is>
      </c>
      <c r="L119" s="8" t="inlineStr">
        <is>
          <t>No</t>
        </is>
      </c>
      <c r="M119" s="9" t="inlineStr">
        <is>
          <t>Portfolio too large for one or two printers. Purchasing is institutional.</t>
        </is>
      </c>
      <c r="N119" s="8" t="inlineStr">
        <is>
          <t>No</t>
        </is>
      </c>
      <c r="O119" s="9" t="inlineStr">
        <is>
          <t>Nothing on record.</t>
        </is>
      </c>
      <c r="P119" s="10" t="inlineStr"/>
      <c r="Q119" s="6" t="inlineStr"/>
      <c r="R119" s="11">
        <f>IF(P119="","ADD LINKEDIN","ok")</f>
        <v/>
      </c>
      <c r="S119" s="6" t="inlineStr">
        <is>
          <t>https://www.austin-ind.com/locations/dallas</t>
        </is>
      </c>
      <c r="T119" s="9" t="inlineStr">
        <is>
          <t>Manages commercial construction for Austin Industries. Its purchasing is institutional.</t>
        </is>
      </c>
      <c r="U119" s="6" t="inlineStr"/>
      <c r="V119" s="9" t="inlineStr">
        <is>
          <t>Austin Industries Dallas location page.</t>
        </is>
      </c>
      <c r="W119" s="6" t="inlineStr">
        <is>
          <t>https://www.austin-ind.com/locations/dallas</t>
        </is>
      </c>
      <c r="X119" s="6" t="inlineStr">
        <is>
          <t>https://www.linkedin.com/company/austin-commercial/</t>
        </is>
      </c>
      <c r="Y119" s="6" t="inlineStr"/>
      <c r="Z119" s="6" t="inlineStr"/>
      <c r="AA119" s="6" t="inlineStr">
        <is>
          <t>(214) 443-5700</t>
        </is>
      </c>
      <c r="AB119" s="6" t="inlineStr">
        <is>
          <t>Headquarters, Dallas</t>
        </is>
      </c>
      <c r="AC119" s="6" t="inlineStr">
        <is>
          <t>https://www.austin-ind.com/locations/dallas</t>
        </is>
      </c>
      <c r="AD119" s="6" t="inlineStr"/>
      <c r="AE119" s="6" t="inlineStr"/>
    </row>
    <row r="120">
      <c r="A120" s="12" t="inlineStr">
        <is>
          <t>Andrew Henry</t>
        </is>
      </c>
      <c r="B120" s="12" t="inlineStr">
        <is>
          <t>Austin Commercial (Austin Industries)</t>
        </is>
      </c>
      <c r="C120" s="12" t="inlineStr">
        <is>
          <t>Business Development Director</t>
        </is>
      </c>
      <c r="D120" s="13" t="inlineStr">
        <is>
          <t>Contractors and plants</t>
        </is>
      </c>
      <c r="E120" s="14" t="n">
        <v>1</v>
      </c>
      <c r="F120" s="12" t="inlineStr">
        <is>
          <t>Client</t>
        </is>
      </c>
      <c r="G120" s="12" t="inlineStr">
        <is>
          <t>Construction manager</t>
        </is>
      </c>
      <c r="H120" s="12" t="inlineStr">
        <is>
          <t>Dallas headquarters, working across North Texas</t>
        </is>
      </c>
      <c r="I120" s="12" t="inlineStr">
        <is>
          <t>Dallas construction manager, headquartered there since 1975</t>
        </is>
      </c>
      <c r="J120" s="14" t="inlineStr">
        <is>
          <t>Yes</t>
        </is>
      </c>
      <c r="K120" s="15" t="inlineStr">
        <is>
          <t>Commercial pipeline recurring across North Texas.</t>
        </is>
      </c>
      <c r="L120" s="14" t="inlineStr">
        <is>
          <t>No</t>
        </is>
      </c>
      <c r="M120" s="15" t="inlineStr">
        <is>
          <t>Portfolio too large for one or two printers. Purchasing is institutional.</t>
        </is>
      </c>
      <c r="N120" s="14" t="inlineStr">
        <is>
          <t>No</t>
        </is>
      </c>
      <c r="O120" s="15" t="inlineStr">
        <is>
          <t>Nothing on record.</t>
        </is>
      </c>
      <c r="P120" s="10" t="inlineStr"/>
      <c r="Q120" s="12" t="inlineStr"/>
      <c r="R120" s="16">
        <f>IF(P120="","ADD LINKEDIN","ok")</f>
        <v/>
      </c>
      <c r="S120" s="12" t="inlineStr">
        <is>
          <t>https://www.austin-ind.com/locations/dallas</t>
        </is>
      </c>
      <c r="T120" s="15" t="inlineStr">
        <is>
          <t>Manages commercial construction for Austin Industries. Its purchasing is institutional.</t>
        </is>
      </c>
      <c r="U120" s="12" t="inlineStr"/>
      <c r="V120" s="15" t="inlineStr">
        <is>
          <t>Austin Industries Dallas location page.</t>
        </is>
      </c>
      <c r="W120" s="12" t="inlineStr">
        <is>
          <t>https://www.austin-ind.com/locations/dallas</t>
        </is>
      </c>
      <c r="X120" s="12" t="inlineStr">
        <is>
          <t>https://www.linkedin.com/company/austin-commercial/</t>
        </is>
      </c>
      <c r="Y120" s="12" t="inlineStr"/>
      <c r="Z120" s="12" t="inlineStr"/>
      <c r="AA120" s="12" t="inlineStr">
        <is>
          <t>(214) 443-5700</t>
        </is>
      </c>
      <c r="AB120" s="12" t="inlineStr">
        <is>
          <t>Headquarters, Dallas</t>
        </is>
      </c>
      <c r="AC120" s="12" t="inlineStr">
        <is>
          <t>https://www.austin-ind.com/locations/dallas</t>
        </is>
      </c>
      <c r="AD120" s="12" t="inlineStr"/>
      <c r="AE120" s="12" t="inlineStr"/>
    </row>
    <row r="121">
      <c r="A121" s="6" t="inlineStr">
        <is>
          <t>David Yeagy</t>
        </is>
      </c>
      <c r="B121" s="6" t="inlineStr">
        <is>
          <t>Austin Commercial (Austin Industries)</t>
        </is>
      </c>
      <c r="C121" s="6" t="inlineStr">
        <is>
          <t>President, Austin Commercial</t>
        </is>
      </c>
      <c r="D121" s="7" t="inlineStr">
        <is>
          <t>Contractors and plants</t>
        </is>
      </c>
      <c r="E121" s="8" t="n">
        <v>1</v>
      </c>
      <c r="F121" s="6" t="inlineStr">
        <is>
          <t>Client</t>
        </is>
      </c>
      <c r="G121" s="6" t="inlineStr">
        <is>
          <t>Construction manager</t>
        </is>
      </c>
      <c r="H121" s="6" t="inlineStr">
        <is>
          <t>Dallas headquarters, working across North Texas</t>
        </is>
      </c>
      <c r="I121" s="6" t="inlineStr">
        <is>
          <t>Dallas construction manager, headquartered there since 1975</t>
        </is>
      </c>
      <c r="J121" s="8" t="inlineStr">
        <is>
          <t>Yes</t>
        </is>
      </c>
      <c r="K121" s="9" t="inlineStr">
        <is>
          <t>Commercial pipeline recurring across North Texas.</t>
        </is>
      </c>
      <c r="L121" s="8" t="inlineStr">
        <is>
          <t>No</t>
        </is>
      </c>
      <c r="M121" s="9" t="inlineStr">
        <is>
          <t>Portfolio too large for one or two printers. Purchasing is institutional.</t>
        </is>
      </c>
      <c r="N121" s="8" t="inlineStr">
        <is>
          <t>No</t>
        </is>
      </c>
      <c r="O121" s="9" t="inlineStr">
        <is>
          <t>Nothing on record.</t>
        </is>
      </c>
      <c r="P121" s="10" t="inlineStr"/>
      <c r="Q121" s="6" t="inlineStr"/>
      <c r="R121" s="11">
        <f>IF(P121="","ADD LINKEDIN","ok")</f>
        <v/>
      </c>
      <c r="S121" s="6" t="inlineStr">
        <is>
          <t>https://www.austin-ind.com/locations/dallas</t>
        </is>
      </c>
      <c r="T121" s="9" t="inlineStr">
        <is>
          <t>Manages commercial construction for Austin Industries. Its purchasing is institutional.</t>
        </is>
      </c>
      <c r="U121" s="6" t="inlineStr">
        <is>
          <t>YES</t>
        </is>
      </c>
      <c r="V121" s="9" t="inlineStr">
        <is>
          <t>Austin Industries news post, July 28, 2025.</t>
        </is>
      </c>
      <c r="W121" s="6" t="inlineStr">
        <is>
          <t>https://www.austin-ind.com/news/david-yeagy-named-president-of-austin-commercial-2</t>
        </is>
      </c>
      <c r="X121" s="6" t="inlineStr">
        <is>
          <t>https://www.linkedin.com/company/austin-commercial/</t>
        </is>
      </c>
      <c r="Y121" s="6" t="inlineStr"/>
      <c r="Z121" s="6" t="inlineStr"/>
      <c r="AA121" s="6" t="inlineStr">
        <is>
          <t>(214) 443-5700</t>
        </is>
      </c>
      <c r="AB121" s="6" t="inlineStr">
        <is>
          <t>Headquarters, Dallas</t>
        </is>
      </c>
      <c r="AC121" s="6" t="inlineStr">
        <is>
          <t>https://www.austin-ind.com/locations/dallas</t>
        </is>
      </c>
      <c r="AD121" s="6" t="inlineStr"/>
      <c r="AE121" s="6" t="inlineStr"/>
    </row>
    <row r="122">
      <c r="A122" s="12" t="inlineStr">
        <is>
          <t>Elliott Goodman</t>
        </is>
      </c>
      <c r="B122" s="12" t="inlineStr">
        <is>
          <t>Austin Commercial (Austin Industries)</t>
        </is>
      </c>
      <c r="C122" s="12" t="inlineStr">
        <is>
          <t>Senior Vice President, Dallas-Fort Worth</t>
        </is>
      </c>
      <c r="D122" s="13" t="inlineStr">
        <is>
          <t>Contractors and plants</t>
        </is>
      </c>
      <c r="E122" s="14" t="n">
        <v>1</v>
      </c>
      <c r="F122" s="12" t="inlineStr">
        <is>
          <t>Client</t>
        </is>
      </c>
      <c r="G122" s="12" t="inlineStr">
        <is>
          <t>Construction manager</t>
        </is>
      </c>
      <c r="H122" s="12" t="inlineStr">
        <is>
          <t>Dallas headquarters, working across North Texas</t>
        </is>
      </c>
      <c r="I122" s="12" t="inlineStr">
        <is>
          <t>Dallas construction manager, headquartered there since 1975</t>
        </is>
      </c>
      <c r="J122" s="14" t="inlineStr">
        <is>
          <t>Yes</t>
        </is>
      </c>
      <c r="K122" s="15" t="inlineStr">
        <is>
          <t>Commercial pipeline recurring across North Texas.</t>
        </is>
      </c>
      <c r="L122" s="14" t="inlineStr">
        <is>
          <t>No</t>
        </is>
      </c>
      <c r="M122" s="15" t="inlineStr">
        <is>
          <t>Portfolio too large for one or two printers. Purchasing is institutional.</t>
        </is>
      </c>
      <c r="N122" s="14" t="inlineStr">
        <is>
          <t>No</t>
        </is>
      </c>
      <c r="O122" s="15" t="inlineStr">
        <is>
          <t>Nothing on record.</t>
        </is>
      </c>
      <c r="P122" s="10" t="inlineStr"/>
      <c r="Q122" s="12" t="inlineStr"/>
      <c r="R122" s="16">
        <f>IF(P122="","ADD LINKEDIN","ok")</f>
        <v/>
      </c>
      <c r="S122" s="12" t="inlineStr">
        <is>
          <t>https://www.austin-ind.com/locations/dallas</t>
        </is>
      </c>
      <c r="T122" s="15" t="inlineStr">
        <is>
          <t>Manages commercial construction for Austin Industries. Its purchasing is institutional.</t>
        </is>
      </c>
      <c r="U122" s="12" t="inlineStr">
        <is>
          <t>YES</t>
        </is>
      </c>
      <c r="V122" s="15" t="inlineStr">
        <is>
          <t>Leadership page. Oversees large programs in North Texas.</t>
        </is>
      </c>
      <c r="W122" s="12" t="inlineStr">
        <is>
          <t>https://www.austin-ind.com/our-company/leadership</t>
        </is>
      </c>
      <c r="X122" s="12" t="inlineStr">
        <is>
          <t>https://www.linkedin.com/company/austin-commercial/</t>
        </is>
      </c>
      <c r="Y122" s="12" t="inlineStr"/>
      <c r="Z122" s="12" t="inlineStr"/>
      <c r="AA122" s="12" t="inlineStr">
        <is>
          <t>(214) 443-5700</t>
        </is>
      </c>
      <c r="AB122" s="12" t="inlineStr">
        <is>
          <t>Headquarters, Dallas</t>
        </is>
      </c>
      <c r="AC122" s="12" t="inlineStr">
        <is>
          <t>https://www.austin-ind.com/locations/dallas</t>
        </is>
      </c>
      <c r="AD122" s="12" t="inlineStr"/>
      <c r="AE122" s="12" t="inlineStr"/>
    </row>
    <row r="123">
      <c r="A123" s="6" t="inlineStr">
        <is>
          <t>Karl Watson</t>
        </is>
      </c>
      <c r="B123" s="6" t="inlineStr">
        <is>
          <t>Baker Construction</t>
        </is>
      </c>
      <c r="C123" s="6" t="inlineStr">
        <is>
          <t>Chief Executive Officer, Baker Construction Enterprises</t>
        </is>
      </c>
      <c r="D123" s="7" t="inlineStr">
        <is>
          <t>Contractors and plants</t>
        </is>
      </c>
      <c r="E123" s="8" t="n">
        <v>1</v>
      </c>
      <c r="F123" s="6" t="inlineStr">
        <is>
          <t>Printer buyer</t>
        </is>
      </c>
      <c r="G123" s="6" t="inlineStr">
        <is>
          <t>Tilt-up and structural concrete contractor</t>
        </is>
      </c>
      <c r="H123" s="6" t="inlineStr">
        <is>
          <t>National, with published Texas work mostly in Houston</t>
        </is>
      </c>
      <c r="I123" s="6" t="inlineStr">
        <is>
          <t>More than 12,500 co-workers across the U.S., its own count</t>
        </is>
      </c>
      <c r="J123" s="8" t="inlineStr">
        <is>
          <t>Yes</t>
        </is>
      </c>
      <c r="K123" s="9" t="inlineStr">
        <is>
          <t>Tilt panels and structural concrete repeated across US markets.</t>
        </is>
      </c>
      <c r="L123" s="8" t="inlineStr">
        <is>
          <t>No</t>
        </is>
      </c>
      <c r="M123" s="9" t="inlineStr">
        <is>
          <t>Machine purchases run through a national desk.</t>
        </is>
      </c>
      <c r="N123" s="8" t="inlineStr">
        <is>
          <t>No</t>
        </is>
      </c>
      <c r="O123" s="9" t="inlineStr">
        <is>
          <t>75-foot tilt panels at Harris Health use an existing method, not a new one.</t>
        </is>
      </c>
      <c r="P123" s="10" t="inlineStr"/>
      <c r="Q123" s="6" t="inlineStr"/>
      <c r="R123" s="11">
        <f>IF(P123="","ADD LINKEDIN","ok")</f>
        <v/>
      </c>
      <c r="S123" s="6" t="inlineStr">
        <is>
          <t>https://bakerconstruction.com/</t>
        </is>
      </c>
      <c r="T123" s="9" t="inlineStr">
        <is>
          <t>Pours tilt panels and structural concrete nationally, with its Texas jobs mostly in Houston. Machine purchases run through a national desk.</t>
        </is>
      </c>
      <c r="U123" s="6" t="inlineStr">
        <is>
          <t>YES</t>
        </is>
      </c>
      <c r="V123" s="9" t="inlineStr">
        <is>
          <t>Leadership page. CEO since June 2023.</t>
        </is>
      </c>
      <c r="W123" s="6" t="inlineStr">
        <is>
          <t>https://bakerconstruction.com/about-us/leadership/</t>
        </is>
      </c>
      <c r="X123" s="6" t="inlineStr">
        <is>
          <t>https://www.linkedin.com/company/bakerconstruction/</t>
        </is>
      </c>
      <c r="Y123" s="6" t="inlineStr">
        <is>
          <t>https://bakerconstruction.com/about-us/leadership/</t>
        </is>
      </c>
      <c r="Z123" s="6" t="inlineStr"/>
      <c r="AA123" s="6" t="inlineStr">
        <is>
          <t>(800) 539-2224</t>
        </is>
      </c>
      <c r="AB123" s="6" t="inlineStr">
        <is>
          <t>Headquarters</t>
        </is>
      </c>
      <c r="AC123" s="6" t="inlineStr">
        <is>
          <t>https://bakerconstruction.com/</t>
        </is>
      </c>
      <c r="AD123" s="6" t="inlineStr"/>
      <c r="AE123" s="6" t="inlineStr"/>
    </row>
    <row r="124">
      <c r="A124" s="12" t="inlineStr">
        <is>
          <t>Dan T. Baker</t>
        </is>
      </c>
      <c r="B124" s="12" t="inlineStr">
        <is>
          <t>Baker Construction</t>
        </is>
      </c>
      <c r="C124" s="12" t="inlineStr">
        <is>
          <t>Executive Vice Chair of the Board and President, Baker Construction Enterprises</t>
        </is>
      </c>
      <c r="D124" s="13" t="inlineStr">
        <is>
          <t>Contractors and plants</t>
        </is>
      </c>
      <c r="E124" s="14" t="n">
        <v>1</v>
      </c>
      <c r="F124" s="12" t="inlineStr">
        <is>
          <t>Printer buyer</t>
        </is>
      </c>
      <c r="G124" s="12" t="inlineStr">
        <is>
          <t>Tilt-up and structural concrete contractor</t>
        </is>
      </c>
      <c r="H124" s="12" t="inlineStr">
        <is>
          <t>National, with published Texas work mostly in Houston</t>
        </is>
      </c>
      <c r="I124" s="12" t="inlineStr">
        <is>
          <t>More than 12,500 co-workers across the U.S., its own count</t>
        </is>
      </c>
      <c r="J124" s="14" t="inlineStr">
        <is>
          <t>Yes</t>
        </is>
      </c>
      <c r="K124" s="15" t="inlineStr">
        <is>
          <t>Tilt panels and structural concrete repeated across US markets.</t>
        </is>
      </c>
      <c r="L124" s="14" t="inlineStr">
        <is>
          <t>No</t>
        </is>
      </c>
      <c r="M124" s="15" t="inlineStr">
        <is>
          <t>Machine purchases run through a national desk.</t>
        </is>
      </c>
      <c r="N124" s="14" t="inlineStr">
        <is>
          <t>No</t>
        </is>
      </c>
      <c r="O124" s="15" t="inlineStr">
        <is>
          <t>75-foot tilt panels at Harris Health use an existing method, not a new one.</t>
        </is>
      </c>
      <c r="P124" s="10" t="inlineStr"/>
      <c r="Q124" s="12" t="inlineStr"/>
      <c r="R124" s="16">
        <f>IF(P124="","ADD LINKEDIN","ok")</f>
        <v/>
      </c>
      <c r="S124" s="12" t="inlineStr">
        <is>
          <t>https://bakerconstruction.com/</t>
        </is>
      </c>
      <c r="T124" s="15" t="inlineStr">
        <is>
          <t>Pours tilt panels and structural concrete nationally, with its Texas jobs mostly in Houston. Machine purchases run through a national desk.</t>
        </is>
      </c>
      <c r="U124" s="12" t="inlineStr">
        <is>
          <t>YES</t>
        </is>
      </c>
      <c r="V124" s="15" t="inlineStr">
        <is>
          <t>Leadership page. In the role from June 2023.</t>
        </is>
      </c>
      <c r="W124" s="12" t="inlineStr">
        <is>
          <t>https://bakerconstruction.com/about-us/leadership/</t>
        </is>
      </c>
      <c r="X124" s="12" t="inlineStr">
        <is>
          <t>https://www.linkedin.com/company/bakerconstruction/</t>
        </is>
      </c>
      <c r="Y124" s="12" t="inlineStr">
        <is>
          <t>https://bakerconstruction.com/about-us/leadership/</t>
        </is>
      </c>
      <c r="Z124" s="12" t="inlineStr"/>
      <c r="AA124" s="12" t="inlineStr">
        <is>
          <t>(800) 539-2224</t>
        </is>
      </c>
      <c r="AB124" s="12" t="inlineStr">
        <is>
          <t>Headquarters</t>
        </is>
      </c>
      <c r="AC124" s="12" t="inlineStr">
        <is>
          <t>https://bakerconstruction.com/</t>
        </is>
      </c>
      <c r="AD124" s="12" t="inlineStr"/>
      <c r="AE124" s="12" t="inlineStr"/>
    </row>
    <row r="125">
      <c r="A125" s="6" t="inlineStr">
        <is>
          <t>Gary Benson</t>
        </is>
      </c>
      <c r="B125" s="6" t="inlineStr">
        <is>
          <t>Baker Construction</t>
        </is>
      </c>
      <c r="C125" s="6" t="inlineStr">
        <is>
          <t>Chief Operating Officer, Baker Construction Enterprises</t>
        </is>
      </c>
      <c r="D125" s="7" t="inlineStr">
        <is>
          <t>Contractors and plants</t>
        </is>
      </c>
      <c r="E125" s="8" t="n">
        <v>1</v>
      </c>
      <c r="F125" s="6" t="inlineStr">
        <is>
          <t>Printer buyer</t>
        </is>
      </c>
      <c r="G125" s="6" t="inlineStr">
        <is>
          <t>Tilt-up and structural concrete contractor</t>
        </is>
      </c>
      <c r="H125" s="6" t="inlineStr">
        <is>
          <t>National, with published Texas work mostly in Houston</t>
        </is>
      </c>
      <c r="I125" s="6" t="inlineStr">
        <is>
          <t>More than 12,500 co-workers across the U.S., its own count</t>
        </is>
      </c>
      <c r="J125" s="8" t="inlineStr">
        <is>
          <t>Yes</t>
        </is>
      </c>
      <c r="K125" s="9" t="inlineStr">
        <is>
          <t>Tilt panels and structural concrete repeated across US markets.</t>
        </is>
      </c>
      <c r="L125" s="8" t="inlineStr">
        <is>
          <t>No</t>
        </is>
      </c>
      <c r="M125" s="9" t="inlineStr">
        <is>
          <t>Machine purchases run through a national desk.</t>
        </is>
      </c>
      <c r="N125" s="8" t="inlineStr">
        <is>
          <t>No</t>
        </is>
      </c>
      <c r="O125" s="9" t="inlineStr">
        <is>
          <t>75-foot tilt panels at Harris Health use an existing method, not a new one.</t>
        </is>
      </c>
      <c r="P125" s="10" t="inlineStr"/>
      <c r="Q125" s="6" t="inlineStr"/>
      <c r="R125" s="11">
        <f>IF(P125="","ADD LINKEDIN","ok")</f>
        <v/>
      </c>
      <c r="S125" s="6" t="inlineStr">
        <is>
          <t>https://bakerconstruction.com/</t>
        </is>
      </c>
      <c r="T125" s="9" t="inlineStr">
        <is>
          <t>Pours tilt panels and structural concrete nationally, with its Texas jobs mostly in Houston. Machine purchases run through a national desk.</t>
        </is>
      </c>
      <c r="U125" s="6" t="inlineStr">
        <is>
          <t>YES</t>
        </is>
      </c>
      <c r="V125" s="9" t="inlineStr">
        <is>
          <t>Leadership page.</t>
        </is>
      </c>
      <c r="W125" s="6" t="inlineStr">
        <is>
          <t>https://bakerconstruction.com/about-us/leadership/</t>
        </is>
      </c>
      <c r="X125" s="6" t="inlineStr">
        <is>
          <t>https://www.linkedin.com/company/bakerconstruction/</t>
        </is>
      </c>
      <c r="Y125" s="6" t="inlineStr">
        <is>
          <t>https://bakerconstruction.com/about-us/leadership/</t>
        </is>
      </c>
      <c r="Z125" s="6" t="inlineStr"/>
      <c r="AA125" s="6" t="inlineStr">
        <is>
          <t>(800) 539-2224</t>
        </is>
      </c>
      <c r="AB125" s="6" t="inlineStr">
        <is>
          <t>Headquarters</t>
        </is>
      </c>
      <c r="AC125" s="6" t="inlineStr">
        <is>
          <t>https://bakerconstruction.com/</t>
        </is>
      </c>
      <c r="AD125" s="6" t="inlineStr"/>
      <c r="AE125" s="6" t="inlineStr"/>
    </row>
    <row r="126">
      <c r="A126" s="12" t="inlineStr">
        <is>
          <t>Martin Jordana</t>
        </is>
      </c>
      <c r="B126" s="12" t="inlineStr">
        <is>
          <t>Baker Construction</t>
        </is>
      </c>
      <c r="C126" s="12" t="inlineStr">
        <is>
          <t>President, Central and Great West Region</t>
        </is>
      </c>
      <c r="D126" s="13" t="inlineStr">
        <is>
          <t>Contractors and plants</t>
        </is>
      </c>
      <c r="E126" s="14" t="n">
        <v>1</v>
      </c>
      <c r="F126" s="12" t="inlineStr">
        <is>
          <t>Printer buyer</t>
        </is>
      </c>
      <c r="G126" s="12" t="inlineStr">
        <is>
          <t>Tilt-up and structural concrete contractor</t>
        </is>
      </c>
      <c r="H126" s="12" t="inlineStr">
        <is>
          <t>National, with published Texas work mostly in Houston</t>
        </is>
      </c>
      <c r="I126" s="12" t="inlineStr">
        <is>
          <t>More than 12,500 co-workers across the U.S., its own count</t>
        </is>
      </c>
      <c r="J126" s="14" t="inlineStr">
        <is>
          <t>Yes</t>
        </is>
      </c>
      <c r="K126" s="15" t="inlineStr">
        <is>
          <t>Tilt panels and structural concrete repeated across US markets.</t>
        </is>
      </c>
      <c r="L126" s="14" t="inlineStr">
        <is>
          <t>No</t>
        </is>
      </c>
      <c r="M126" s="15" t="inlineStr">
        <is>
          <t>Machine purchases run through a national desk.</t>
        </is>
      </c>
      <c r="N126" s="14" t="inlineStr">
        <is>
          <t>No</t>
        </is>
      </c>
      <c r="O126" s="15" t="inlineStr">
        <is>
          <t>75-foot tilt panels at Harris Health use an existing method, not a new one.</t>
        </is>
      </c>
      <c r="P126" s="10" t="inlineStr"/>
      <c r="Q126" s="12" t="inlineStr"/>
      <c r="R126" s="16">
        <f>IF(P126="","ADD LINKEDIN","ok")</f>
        <v/>
      </c>
      <c r="S126" s="12" t="inlineStr">
        <is>
          <t>https://bakerconstruction.com/</t>
        </is>
      </c>
      <c r="T126" s="15" t="inlineStr">
        <is>
          <t>Pours tilt panels and structural concrete nationally, with its Texas jobs mostly in Houston. Machine purchases run through a national desk.</t>
        </is>
      </c>
      <c r="U126" s="12" t="inlineStr">
        <is>
          <t>YES</t>
        </is>
      </c>
      <c r="V126" s="15" t="inlineStr">
        <is>
          <t>Leadership page. His region includes Texas.</t>
        </is>
      </c>
      <c r="W126" s="12" t="inlineStr">
        <is>
          <t>https://bakerconstruction.com/about-us/leadership/</t>
        </is>
      </c>
      <c r="X126" s="12" t="inlineStr">
        <is>
          <t>https://www.linkedin.com/company/bakerconstruction/</t>
        </is>
      </c>
      <c r="Y126" s="12" t="inlineStr">
        <is>
          <t>https://bakerconstruction.com/about-us/leadership/</t>
        </is>
      </c>
      <c r="Z126" s="12" t="inlineStr"/>
      <c r="AA126" s="12" t="inlineStr">
        <is>
          <t>(800) 539-2224</t>
        </is>
      </c>
      <c r="AB126" s="12" t="inlineStr">
        <is>
          <t>Headquarters</t>
        </is>
      </c>
      <c r="AC126" s="12" t="inlineStr">
        <is>
          <t>https://bakerconstruction.com/</t>
        </is>
      </c>
      <c r="AD126" s="12" t="inlineStr"/>
      <c r="AE126" s="12" t="inlineStr"/>
    </row>
    <row r="127">
      <c r="A127" s="6" t="inlineStr">
        <is>
          <t>Mark Young</t>
        </is>
      </c>
      <c r="B127" s="6" t="inlineStr">
        <is>
          <t>Brundage-Bone Concrete Pumping</t>
        </is>
      </c>
      <c r="C127" s="6" t="inlineStr">
        <is>
          <t>President, U.S. Concrete Pumping (Brundage-Bone)</t>
        </is>
      </c>
      <c r="D127" s="7" t="inlineStr">
        <is>
          <t>Contractors and plants</t>
        </is>
      </c>
      <c r="E127" s="8" t="n">
        <v>1</v>
      </c>
      <c r="F127" s="6" t="inlineStr">
        <is>
          <t>Printer buyer</t>
        </is>
      </c>
      <c r="G127" s="6" t="inlineStr">
        <is>
          <t>Concrete pumping company</t>
        </is>
      </c>
      <c r="H127" s="6" t="inlineStr">
        <is>
          <t>National, with a Dallas branch</t>
        </is>
      </c>
      <c r="I127" s="6" t="inlineStr">
        <is>
          <t>Over 750 mobile machines in its fleet, company-wide</t>
        </is>
      </c>
      <c r="J127" s="8" t="inlineStr">
        <is>
          <t>Yes</t>
        </is>
      </c>
      <c r="K127" s="9" t="inlineStr">
        <is>
          <t>Pumping and placement repeated across Texas metros.</t>
        </is>
      </c>
      <c r="L127" s="8" t="inlineStr">
        <is>
          <t>No</t>
        </is>
      </c>
      <c r="M127" s="9" t="inlineStr">
        <is>
          <t>National pump fleet, bought at a scale beyond one or two printers.</t>
        </is>
      </c>
      <c r="N127" s="8" t="inlineStr">
        <is>
          <t>No</t>
        </is>
      </c>
      <c r="O127" s="9" t="inlineStr">
        <is>
          <t>Standard pumping equipment. Nothing on record.</t>
        </is>
      </c>
      <c r="P127" s="10" t="inlineStr"/>
      <c r="Q127" s="6" t="inlineStr"/>
      <c r="R127" s="11">
        <f>IF(P127="","ADD LINKEDIN","ok")</f>
        <v/>
      </c>
      <c r="S127" s="6" t="inlineStr">
        <is>
          <t>https://www.brundagebone.com/</t>
        </is>
      </c>
      <c r="T127" s="9" t="inlineStr">
        <is>
          <t>Pumps and places concrete for other firms from a Dallas branch. Its parent is Concrete Pumping Holdings.</t>
        </is>
      </c>
      <c r="U127" s="6" t="inlineStr">
        <is>
          <t>YES</t>
        </is>
      </c>
      <c r="V127" s="9" t="inlineStr">
        <is>
          <t>Parent's management page. General manager of Brundage-Bone since 2018.</t>
        </is>
      </c>
      <c r="W127" s="6" t="inlineStr">
        <is>
          <t>https://www.concretepumpingholdings.com/team/management-team</t>
        </is>
      </c>
      <c r="X127" s="6" t="inlineStr">
        <is>
          <t>https://www.linkedin.com/company/brundage-bone-/</t>
        </is>
      </c>
      <c r="Y127" s="6" t="inlineStr"/>
      <c r="Z127" s="6" t="inlineStr"/>
      <c r="AA127" s="6" t="inlineStr">
        <is>
          <t>(972) 579-4444</t>
        </is>
      </c>
      <c r="AB127" s="6" t="inlineStr">
        <is>
          <t>Dallas branch</t>
        </is>
      </c>
      <c r="AC127" s="6" t="inlineStr">
        <is>
          <t>https://brundagebone.com/locations/dallas/</t>
        </is>
      </c>
      <c r="AD127" s="6" t="inlineStr"/>
      <c r="AE127" s="6" t="inlineStr"/>
    </row>
    <row r="128">
      <c r="A128" s="12" t="inlineStr">
        <is>
          <t>Bruce Young</t>
        </is>
      </c>
      <c r="B128" s="12" t="inlineStr">
        <is>
          <t>Brundage-Bone Concrete Pumping</t>
        </is>
      </c>
      <c r="C128" s="12" t="inlineStr">
        <is>
          <t>Chief Executive Officer, Concrete Pumping Holdings</t>
        </is>
      </c>
      <c r="D128" s="13" t="inlineStr">
        <is>
          <t>Contractors and plants</t>
        </is>
      </c>
      <c r="E128" s="14" t="n">
        <v>1</v>
      </c>
      <c r="F128" s="12" t="inlineStr">
        <is>
          <t>Printer buyer</t>
        </is>
      </c>
      <c r="G128" s="12" t="inlineStr">
        <is>
          <t>Concrete pumping company</t>
        </is>
      </c>
      <c r="H128" s="12" t="inlineStr">
        <is>
          <t>National, with a Dallas branch</t>
        </is>
      </c>
      <c r="I128" s="12" t="inlineStr">
        <is>
          <t>Over 750 mobile machines in its fleet, company-wide</t>
        </is>
      </c>
      <c r="J128" s="14" t="inlineStr">
        <is>
          <t>Yes</t>
        </is>
      </c>
      <c r="K128" s="15" t="inlineStr">
        <is>
          <t>Pumping and placement repeated across Texas metros.</t>
        </is>
      </c>
      <c r="L128" s="14" t="inlineStr">
        <is>
          <t>No</t>
        </is>
      </c>
      <c r="M128" s="15" t="inlineStr">
        <is>
          <t>National pump fleet, bought at a scale beyond one or two printers.</t>
        </is>
      </c>
      <c r="N128" s="14" t="inlineStr">
        <is>
          <t>No</t>
        </is>
      </c>
      <c r="O128" s="15" t="inlineStr">
        <is>
          <t>Standard pumping equipment. Nothing on record.</t>
        </is>
      </c>
      <c r="P128" s="10" t="inlineStr"/>
      <c r="Q128" s="12" t="inlineStr"/>
      <c r="R128" s="16">
        <f>IF(P128="","ADD LINKEDIN","ok")</f>
        <v/>
      </c>
      <c r="S128" s="12" t="inlineStr">
        <is>
          <t>https://www.brundagebone.com/</t>
        </is>
      </c>
      <c r="T128" s="15" t="inlineStr">
        <is>
          <t>Pumps and places concrete for other firms from a Dallas branch. Its parent is Concrete Pumping Holdings.</t>
        </is>
      </c>
      <c r="U128" s="12" t="inlineStr">
        <is>
          <t>YES</t>
        </is>
      </c>
      <c r="V128" s="15" t="inlineStr">
        <is>
          <t>Same page. With Brundage-Bone since 1985, CEO since 2008.</t>
        </is>
      </c>
      <c r="W128" s="12" t="inlineStr">
        <is>
          <t>https://www.concretepumpingholdings.com/team/management-team</t>
        </is>
      </c>
      <c r="X128" s="12" t="inlineStr">
        <is>
          <t>https://www.linkedin.com/company/brundage-bone-/</t>
        </is>
      </c>
      <c r="Y128" s="12" t="inlineStr"/>
      <c r="Z128" s="12" t="inlineStr"/>
      <c r="AA128" s="12" t="inlineStr">
        <is>
          <t>(972) 579-4444</t>
        </is>
      </c>
      <c r="AB128" s="12" t="inlineStr">
        <is>
          <t>Dallas branch</t>
        </is>
      </c>
      <c r="AC128" s="12" t="inlineStr">
        <is>
          <t>https://brundagebone.com/locations/dallas/</t>
        </is>
      </c>
      <c r="AD128" s="12" t="inlineStr"/>
      <c r="AE128" s="12" t="inlineStr"/>
    </row>
    <row r="129">
      <c r="A129" s="6" t="inlineStr">
        <is>
          <t>David Dozzo</t>
        </is>
      </c>
      <c r="B129" s="6" t="inlineStr">
        <is>
          <t>Capform Inc.</t>
        </is>
      </c>
      <c r="C129" s="6" t="inlineStr">
        <is>
          <t>President and Owner</t>
        </is>
      </c>
      <c r="D129" s="7" t="inlineStr">
        <is>
          <t>Contractors and plants</t>
        </is>
      </c>
      <c r="E129" s="8" t="n">
        <v>1</v>
      </c>
      <c r="F129" s="6" t="inlineStr">
        <is>
          <t>Printer buyer</t>
        </is>
      </c>
      <c r="G129" s="6" t="inlineStr">
        <is>
          <t>Structural concrete contractor</t>
        </is>
      </c>
      <c r="H129" s="6" t="inlineStr">
        <is>
          <t>Carrollton, with offices in Austin, Tampa and Miami</t>
        </is>
      </c>
      <c r="I129" s="6" t="inlineStr">
        <is>
          <t>More than $300 million a year, per its own site</t>
        </is>
      </c>
      <c r="J129" s="8" t="inlineStr">
        <is>
          <t>Yes</t>
        </is>
      </c>
      <c r="K129" s="9" t="inlineStr">
        <is>
          <t>Structural concrete and formwork repeated on DFW high-rise and specialty jobs.</t>
        </is>
      </c>
      <c r="L129" s="8" t="inlineStr">
        <is>
          <t>No</t>
        </is>
      </c>
      <c r="M129" s="9" t="inlineStr">
        <is>
          <t>About 1,800 hourly staff across several states. Buys through a commercial purchasing desk.</t>
        </is>
      </c>
      <c r="N129" s="8" t="inlineStr">
        <is>
          <t>No</t>
        </is>
      </c>
      <c r="O129" s="9" t="inlineStr">
        <is>
          <t>Its own formwork designs are equipment. No new wall method.</t>
        </is>
      </c>
      <c r="P129" s="10" t="inlineStr"/>
      <c r="Q129" s="6" t="inlineStr"/>
      <c r="R129" s="11">
        <f>IF(P129="","ADD LINKEDIN","ok")</f>
        <v/>
      </c>
      <c r="S129" s="6" t="inlineStr">
        <is>
          <t>https://capforminc.com/CFI2019/</t>
        </is>
      </c>
      <c r="T129" s="9" t="inlineStr">
        <is>
          <t>Self-performs concrete and formwork for high-rises, hotels and stadiums. Runs a 25-acre formwork yard in Dallas.</t>
        </is>
      </c>
      <c r="U129" s="6" t="inlineStr">
        <is>
          <t>YES</t>
        </is>
      </c>
      <c r="V129" s="9" t="inlineStr">
        <is>
          <t>Capform contact page.</t>
        </is>
      </c>
      <c r="W129" s="6" t="inlineStr">
        <is>
          <t>https://capforminc.com/CFI2019/contact/</t>
        </is>
      </c>
      <c r="X129" s="6" t="inlineStr">
        <is>
          <t>https://www.linkedin.com/company/capform-inc/</t>
        </is>
      </c>
      <c r="Y129" s="6" t="inlineStr">
        <is>
          <t>https://capforminc.com/CFI2019/contact/</t>
        </is>
      </c>
      <c r="Z129" s="6" t="inlineStr"/>
      <c r="AA129" s="6" t="inlineStr">
        <is>
          <t>(972) 245-7292</t>
        </is>
      </c>
      <c r="AB129" s="6" t="inlineStr">
        <is>
          <t>Corporate office, Carrollton</t>
        </is>
      </c>
      <c r="AC129" s="6" t="inlineStr">
        <is>
          <t>https://capforminc.com/CFI2019/</t>
        </is>
      </c>
      <c r="AD129" s="6" t="inlineStr"/>
      <c r="AE129" s="6" t="inlineStr"/>
    </row>
    <row r="130">
      <c r="A130" s="12" t="inlineStr">
        <is>
          <t>Luc Lafleur</t>
        </is>
      </c>
      <c r="B130" s="12" t="inlineStr">
        <is>
          <t>Capform Inc.</t>
        </is>
      </c>
      <c r="C130" s="12" t="inlineStr">
        <is>
          <t>Chief Executive Officer</t>
        </is>
      </c>
      <c r="D130" s="13" t="inlineStr">
        <is>
          <t>Contractors and plants</t>
        </is>
      </c>
      <c r="E130" s="14" t="n">
        <v>1</v>
      </c>
      <c r="F130" s="12" t="inlineStr">
        <is>
          <t>Printer buyer</t>
        </is>
      </c>
      <c r="G130" s="12" t="inlineStr">
        <is>
          <t>Structural concrete contractor</t>
        </is>
      </c>
      <c r="H130" s="12" t="inlineStr">
        <is>
          <t>Carrollton, with offices in Austin, Tampa and Miami</t>
        </is>
      </c>
      <c r="I130" s="12" t="inlineStr">
        <is>
          <t>More than $300 million a year, per its own site</t>
        </is>
      </c>
      <c r="J130" s="14" t="inlineStr">
        <is>
          <t>Yes</t>
        </is>
      </c>
      <c r="K130" s="15" t="inlineStr">
        <is>
          <t>Structural concrete and formwork repeated on DFW high-rise and specialty jobs.</t>
        </is>
      </c>
      <c r="L130" s="14" t="inlineStr">
        <is>
          <t>No</t>
        </is>
      </c>
      <c r="M130" s="15" t="inlineStr">
        <is>
          <t>About 1,800 hourly staff across several states. Buys through a commercial purchasing desk.</t>
        </is>
      </c>
      <c r="N130" s="14" t="inlineStr">
        <is>
          <t>No</t>
        </is>
      </c>
      <c r="O130" s="15" t="inlineStr">
        <is>
          <t>Its own formwork designs are equipment. No new wall method.</t>
        </is>
      </c>
      <c r="P130" s="10" t="inlineStr"/>
      <c r="Q130" s="12" t="inlineStr"/>
      <c r="R130" s="16">
        <f>IF(P130="","ADD LINKEDIN","ok")</f>
        <v/>
      </c>
      <c r="S130" s="12" t="inlineStr">
        <is>
          <t>https://capforminc.com/CFI2019/</t>
        </is>
      </c>
      <c r="T130" s="15" t="inlineStr">
        <is>
          <t>Self-performs concrete and formwork for high-rises, hotels and stadiums. Runs a 25-acre formwork yard in Dallas.</t>
        </is>
      </c>
      <c r="U130" s="12" t="inlineStr">
        <is>
          <t>YES</t>
        </is>
      </c>
      <c r="V130" s="15" t="inlineStr">
        <is>
          <t>Capform officers page.</t>
        </is>
      </c>
      <c r="W130" s="12" t="inlineStr">
        <is>
          <t>https://capforminc.com/CFI2019/contact/</t>
        </is>
      </c>
      <c r="X130" s="12" t="inlineStr">
        <is>
          <t>https://www.linkedin.com/company/capform-inc/</t>
        </is>
      </c>
      <c r="Y130" s="12" t="inlineStr">
        <is>
          <t>https://capforminc.com/CFI2019/contact/</t>
        </is>
      </c>
      <c r="Z130" s="12" t="inlineStr"/>
      <c r="AA130" s="12" t="inlineStr">
        <is>
          <t>(972) 245-7292</t>
        </is>
      </c>
      <c r="AB130" s="12" t="inlineStr">
        <is>
          <t>Corporate office, Carrollton</t>
        </is>
      </c>
      <c r="AC130" s="12" t="inlineStr">
        <is>
          <t>https://capforminc.com/CFI2019/</t>
        </is>
      </c>
      <c r="AD130" s="12" t="inlineStr"/>
      <c r="AE130" s="12" t="inlineStr"/>
    </row>
    <row r="131">
      <c r="A131" s="6" t="inlineStr">
        <is>
          <t>Tuan Pho</t>
        </is>
      </c>
      <c r="B131" s="6" t="inlineStr">
        <is>
          <t>Capform Inc.</t>
        </is>
      </c>
      <c r="C131" s="6" t="inlineStr">
        <is>
          <t>Vice President of Pre-Construction Services</t>
        </is>
      </c>
      <c r="D131" s="7" t="inlineStr">
        <is>
          <t>Contractors and plants</t>
        </is>
      </c>
      <c r="E131" s="8" t="n">
        <v>1</v>
      </c>
      <c r="F131" s="6" t="inlineStr">
        <is>
          <t>Printer buyer</t>
        </is>
      </c>
      <c r="G131" s="6" t="inlineStr">
        <is>
          <t>Structural concrete contractor</t>
        </is>
      </c>
      <c r="H131" s="6" t="inlineStr">
        <is>
          <t>Carrollton, with offices in Austin, Tampa and Miami</t>
        </is>
      </c>
      <c r="I131" s="6" t="inlineStr">
        <is>
          <t>More than $300 million a year, per its own site</t>
        </is>
      </c>
      <c r="J131" s="8" t="inlineStr">
        <is>
          <t>Yes</t>
        </is>
      </c>
      <c r="K131" s="9" t="inlineStr">
        <is>
          <t>Structural concrete and formwork repeated on DFW high-rise and specialty jobs.</t>
        </is>
      </c>
      <c r="L131" s="8" t="inlineStr">
        <is>
          <t>No</t>
        </is>
      </c>
      <c r="M131" s="9" t="inlineStr">
        <is>
          <t>About 1,800 hourly staff across several states. Buys through a commercial purchasing desk.</t>
        </is>
      </c>
      <c r="N131" s="8" t="inlineStr">
        <is>
          <t>No</t>
        </is>
      </c>
      <c r="O131" s="9" t="inlineStr">
        <is>
          <t>Its own formwork designs are equipment. No new wall method.</t>
        </is>
      </c>
      <c r="P131" s="10" t="inlineStr"/>
      <c r="Q131" s="6" t="inlineStr"/>
      <c r="R131" s="11">
        <f>IF(P131="","ADD LINKEDIN","ok")</f>
        <v/>
      </c>
      <c r="S131" s="6" t="inlineStr">
        <is>
          <t>https://capforminc.com/CFI2019/</t>
        </is>
      </c>
      <c r="T131" s="9" t="inlineStr">
        <is>
          <t>Self-performs concrete and formwork for high-rises, hotels and stadiums. Runs a 25-acre formwork yard in Dallas.</t>
        </is>
      </c>
      <c r="U131" s="6" t="inlineStr">
        <is>
          <t>YES</t>
        </is>
      </c>
      <c r="V131" s="9" t="inlineStr">
        <is>
          <t>Capform officers page.</t>
        </is>
      </c>
      <c r="W131" s="6" t="inlineStr">
        <is>
          <t>https://capforminc.com/CFI2019/contact/</t>
        </is>
      </c>
      <c r="X131" s="6" t="inlineStr">
        <is>
          <t>https://www.linkedin.com/company/capform-inc/</t>
        </is>
      </c>
      <c r="Y131" s="6" t="inlineStr">
        <is>
          <t>https://capforminc.com/CFI2019/contact/</t>
        </is>
      </c>
      <c r="Z131" s="6" t="inlineStr"/>
      <c r="AA131" s="6" t="inlineStr">
        <is>
          <t>(972) 245-7292</t>
        </is>
      </c>
      <c r="AB131" s="6" t="inlineStr">
        <is>
          <t>Corporate office, Carrollton</t>
        </is>
      </c>
      <c r="AC131" s="6" t="inlineStr">
        <is>
          <t>https://capforminc.com/CFI2019/</t>
        </is>
      </c>
      <c r="AD131" s="6" t="inlineStr"/>
      <c r="AE131" s="6" t="inlineStr"/>
    </row>
    <row r="132">
      <c r="A132" s="12" t="inlineStr">
        <is>
          <t>Travis Porter</t>
        </is>
      </c>
      <c r="B132" s="12" t="inlineStr">
        <is>
          <t>Manhattan Construction Company, Dallas</t>
        </is>
      </c>
      <c r="C132" s="12" t="inlineStr">
        <is>
          <t>Regional Leader</t>
        </is>
      </c>
      <c r="D132" s="13" t="inlineStr">
        <is>
          <t>Contractors and plants</t>
        </is>
      </c>
      <c r="E132" s="14" t="n">
        <v>1</v>
      </c>
      <c r="F132" s="12" t="inlineStr">
        <is>
          <t>Client</t>
        </is>
      </c>
      <c r="G132" s="12" t="inlineStr">
        <is>
          <t>General contractor</t>
        </is>
      </c>
      <c r="H132" s="12" t="inlineStr">
        <is>
          <t>Farmers Branch, serving North Texas</t>
        </is>
      </c>
      <c r="I132" s="12" t="inlineStr">
        <is>
          <t>Farmers Branch office, named preconstruction director</t>
        </is>
      </c>
      <c r="J132" s="14" t="inlineStr">
        <is>
          <t>Yes</t>
        </is>
      </c>
      <c r="K132" s="15" t="inlineStr">
        <is>
          <t>Commercial and institutional shells repeated across North Texas.</t>
        </is>
      </c>
      <c r="L132" s="14" t="inlineStr">
        <is>
          <t>No</t>
        </is>
      </c>
      <c r="M132" s="15" t="inlineStr">
        <is>
          <t>Regional arm of a national group. Machine purchases run through the group.</t>
        </is>
      </c>
      <c r="N132" s="14" t="inlineStr">
        <is>
          <t>No</t>
        </is>
      </c>
      <c r="O132" s="15" t="inlineStr">
        <is>
          <t>Nothing on record.</t>
        </is>
      </c>
      <c r="P132" s="10" t="inlineStr"/>
      <c r="Q132" s="12" t="inlineStr"/>
      <c r="R132" s="16">
        <f>IF(P132="","ADD LINKEDIN","ok")</f>
        <v/>
      </c>
      <c r="S132" s="12" t="inlineStr">
        <is>
          <t>https://manhattanconstructiongroup.com/manhattan-construction-company/locations/dallas/</t>
        </is>
      </c>
      <c r="T132" s="15" t="inlineStr">
        <is>
          <t>The Dallas arm of a national group, building commercial, institutional and sports work.</t>
        </is>
      </c>
      <c r="U132" s="12" t="inlineStr">
        <is>
          <t>YES</t>
        </is>
      </c>
      <c r="V132" s="15" t="inlineStr">
        <is>
          <t>Dallas location page.</t>
        </is>
      </c>
      <c r="W132" s="12" t="inlineStr">
        <is>
          <t>https://manhattanconstructiongroup.com/manhattan-construction-company/locations/dallas/</t>
        </is>
      </c>
      <c r="X132" s="12" t="inlineStr">
        <is>
          <t>https://www.linkedin.com/company/manhattan-construction-group/</t>
        </is>
      </c>
      <c r="Y132" s="12" t="inlineStr"/>
      <c r="Z132" s="12" t="inlineStr"/>
      <c r="AA132" s="12" t="inlineStr">
        <is>
          <t>(214) 357-7400</t>
        </is>
      </c>
      <c r="AB132" s="12" t="inlineStr">
        <is>
          <t>Dallas office, Farmers Branch</t>
        </is>
      </c>
      <c r="AC132" s="12" t="inlineStr">
        <is>
          <t>https://manhattanconstructiongroup.com/manhattan-construction-company/locations/dallas/</t>
        </is>
      </c>
      <c r="AD132" s="12" t="inlineStr"/>
      <c r="AE132" s="12" t="inlineStr"/>
    </row>
    <row r="133">
      <c r="A133" s="6" t="inlineStr">
        <is>
          <t>Tim Willson</t>
        </is>
      </c>
      <c r="B133" s="6" t="inlineStr">
        <is>
          <t>Manhattan Construction Company, Dallas</t>
        </is>
      </c>
      <c r="C133" s="6" t="inlineStr">
        <is>
          <t>Director of Preconstruction Services</t>
        </is>
      </c>
      <c r="D133" s="7" t="inlineStr">
        <is>
          <t>Contractors and plants</t>
        </is>
      </c>
      <c r="E133" s="8" t="n">
        <v>1</v>
      </c>
      <c r="F133" s="6" t="inlineStr">
        <is>
          <t>Client</t>
        </is>
      </c>
      <c r="G133" s="6" t="inlineStr">
        <is>
          <t>General contractor</t>
        </is>
      </c>
      <c r="H133" s="6" t="inlineStr">
        <is>
          <t>Farmers Branch, serving North Texas</t>
        </is>
      </c>
      <c r="I133" s="6" t="inlineStr">
        <is>
          <t>Farmers Branch office, named preconstruction director</t>
        </is>
      </c>
      <c r="J133" s="8" t="inlineStr">
        <is>
          <t>Yes</t>
        </is>
      </c>
      <c r="K133" s="9" t="inlineStr">
        <is>
          <t>Commercial and institutional shells repeated across North Texas.</t>
        </is>
      </c>
      <c r="L133" s="8" t="inlineStr">
        <is>
          <t>No</t>
        </is>
      </c>
      <c r="M133" s="9" t="inlineStr">
        <is>
          <t>Regional arm of a national group. Machine purchases run through the group.</t>
        </is>
      </c>
      <c r="N133" s="8" t="inlineStr">
        <is>
          <t>No</t>
        </is>
      </c>
      <c r="O133" s="9" t="inlineStr">
        <is>
          <t>Nothing on record.</t>
        </is>
      </c>
      <c r="P133" s="10" t="inlineStr"/>
      <c r="Q133" s="6" t="inlineStr"/>
      <c r="R133" s="11">
        <f>IF(P133="","ADD LINKEDIN","ok")</f>
        <v/>
      </c>
      <c r="S133" s="6" t="inlineStr">
        <is>
          <t>https://manhattanconstructiongroup.com/manhattan-construction-company/locations/dallas/</t>
        </is>
      </c>
      <c r="T133" s="9" t="inlineStr">
        <is>
          <t>The Dallas arm of a national group, building commercial, institutional and sports work.</t>
        </is>
      </c>
      <c r="U133" s="6" t="inlineStr">
        <is>
          <t>YES</t>
        </is>
      </c>
      <c r="V133" s="9" t="inlineStr">
        <is>
          <t>Dallas location page.</t>
        </is>
      </c>
      <c r="W133" s="6" t="inlineStr">
        <is>
          <t>https://manhattanconstructiongroup.com/manhattan-construction-company/locations/dallas/</t>
        </is>
      </c>
      <c r="X133" s="6" t="inlineStr">
        <is>
          <t>https://www.linkedin.com/company/manhattan-construction-group/</t>
        </is>
      </c>
      <c r="Y133" s="6" t="inlineStr"/>
      <c r="Z133" s="6" t="inlineStr"/>
      <c r="AA133" s="6" t="inlineStr">
        <is>
          <t>(214) 357-7400</t>
        </is>
      </c>
      <c r="AB133" s="6" t="inlineStr">
        <is>
          <t>Dallas office, Farmers Branch</t>
        </is>
      </c>
      <c r="AC133" s="6" t="inlineStr">
        <is>
          <t>https://manhattanconstructiongroup.com/manhattan-construction-company/locations/dallas/</t>
        </is>
      </c>
      <c r="AD133" s="6" t="inlineStr"/>
      <c r="AE133" s="6" t="inlineStr"/>
    </row>
    <row r="134">
      <c r="A134" s="12" t="inlineStr">
        <is>
          <t>Justin McAfee</t>
        </is>
      </c>
      <c r="B134" s="12" t="inlineStr">
        <is>
          <t>Rogers-O'Brien Construction</t>
        </is>
      </c>
      <c r="C134" s="12" t="inlineStr">
        <is>
          <t>Chief Executive Officer</t>
        </is>
      </c>
      <c r="D134" s="13" t="inlineStr">
        <is>
          <t>Contractors and plants</t>
        </is>
      </c>
      <c r="E134" s="14" t="n">
        <v>1</v>
      </c>
      <c r="F134" s="12" t="inlineStr">
        <is>
          <t>Client</t>
        </is>
      </c>
      <c r="G134" s="12" t="inlineStr">
        <is>
          <t>General contractor</t>
        </is>
      </c>
      <c r="H134" s="12" t="inlineStr">
        <is>
          <t>Dallas, with offices in Austin, Houston, San Antonio and Waco</t>
        </is>
      </c>
      <c r="I134" s="12" t="inlineStr">
        <is>
          <t>Dallas general contractor, Tilt-Up Concrete Association member</t>
        </is>
      </c>
      <c r="J134" s="14" t="inlineStr">
        <is>
          <t>Yes</t>
        </is>
      </c>
      <c r="K134" s="15" t="inlineStr">
        <is>
          <t>Tilt-wall and industrial shells repeated across Texas markets.</t>
        </is>
      </c>
      <c r="L134" s="14" t="inlineStr">
        <is>
          <t>No</t>
        </is>
      </c>
      <c r="M134" s="15" t="inlineStr">
        <is>
          <t>Volume above what one or two printers cover. Purchasing is corporate.</t>
        </is>
      </c>
      <c r="N134" s="14" t="inlineStr">
        <is>
          <t>No</t>
        </is>
      </c>
      <c r="O134" s="15" t="inlineStr">
        <is>
          <t>Nothing on record. Tilt-up is conventional.</t>
        </is>
      </c>
      <c r="P134" s="10" t="inlineStr"/>
      <c r="Q134" s="12" t="inlineStr"/>
      <c r="R134" s="16">
        <f>IF(P134="","ADD LINKEDIN","ok")</f>
        <v/>
      </c>
      <c r="S134" s="12" t="inlineStr">
        <is>
          <t>https://r-o.com/</t>
        </is>
      </c>
      <c r="T134" s="15" t="inlineStr">
        <is>
          <t>Builds tilt-wall and industrial shells across Texas. Purchasing is corporate.</t>
        </is>
      </c>
      <c r="U134" s="12" t="inlineStr">
        <is>
          <t>YES</t>
        </is>
      </c>
      <c r="V134" s="15" t="inlineStr">
        <is>
          <t>Corporate people page.</t>
        </is>
      </c>
      <c r="W134" s="12" t="inlineStr">
        <is>
          <t>https://r-o.com/people/corporate/</t>
        </is>
      </c>
      <c r="X134" s="12" t="inlineStr">
        <is>
          <t>https://www.linkedin.com/company/rogersobrien/</t>
        </is>
      </c>
      <c r="Y134" s="12" t="inlineStr">
        <is>
          <t>https://r-o.com/people/corporate/</t>
        </is>
      </c>
      <c r="Z134" s="12" t="inlineStr"/>
      <c r="AA134" s="12" t="inlineStr">
        <is>
          <t>(214) 962-3000</t>
        </is>
      </c>
      <c r="AB134" s="12" t="inlineStr">
        <is>
          <t>Headquarters, Dallas</t>
        </is>
      </c>
      <c r="AC134" s="12" t="inlineStr">
        <is>
          <t>https://r-o.com/contact-us/</t>
        </is>
      </c>
      <c r="AD134" s="12" t="inlineStr"/>
      <c r="AE134" s="12" t="inlineStr"/>
    </row>
    <row r="135">
      <c r="A135" s="6" t="inlineStr">
        <is>
          <t>Mike Dempsey</t>
        </is>
      </c>
      <c r="B135" s="6" t="inlineStr">
        <is>
          <t>Rogers-O'Brien Construction</t>
        </is>
      </c>
      <c r="C135" s="6" t="inlineStr">
        <is>
          <t>President and Chief Operating Officer</t>
        </is>
      </c>
      <c r="D135" s="7" t="inlineStr">
        <is>
          <t>Contractors and plants</t>
        </is>
      </c>
      <c r="E135" s="8" t="n">
        <v>1</v>
      </c>
      <c r="F135" s="6" t="inlineStr">
        <is>
          <t>Client</t>
        </is>
      </c>
      <c r="G135" s="6" t="inlineStr">
        <is>
          <t>General contractor</t>
        </is>
      </c>
      <c r="H135" s="6" t="inlineStr">
        <is>
          <t>Dallas, with offices in Austin, Houston, San Antonio and Waco</t>
        </is>
      </c>
      <c r="I135" s="6" t="inlineStr">
        <is>
          <t>Dallas general contractor, Tilt-Up Concrete Association member</t>
        </is>
      </c>
      <c r="J135" s="8" t="inlineStr">
        <is>
          <t>Yes</t>
        </is>
      </c>
      <c r="K135" s="9" t="inlineStr">
        <is>
          <t>Tilt-wall and industrial shells repeated across Texas markets.</t>
        </is>
      </c>
      <c r="L135" s="8" t="inlineStr">
        <is>
          <t>No</t>
        </is>
      </c>
      <c r="M135" s="9" t="inlineStr">
        <is>
          <t>Volume above what one or two printers cover. Purchasing is corporate.</t>
        </is>
      </c>
      <c r="N135" s="8" t="inlineStr">
        <is>
          <t>No</t>
        </is>
      </c>
      <c r="O135" s="9" t="inlineStr">
        <is>
          <t>Nothing on record. Tilt-up is conventional.</t>
        </is>
      </c>
      <c r="P135" s="10" t="inlineStr"/>
      <c r="Q135" s="6" t="inlineStr"/>
      <c r="R135" s="11">
        <f>IF(P135="","ADD LINKEDIN","ok")</f>
        <v/>
      </c>
      <c r="S135" s="6" t="inlineStr">
        <is>
          <t>https://r-o.com/</t>
        </is>
      </c>
      <c r="T135" s="9" t="inlineStr">
        <is>
          <t>Builds tilt-wall and industrial shells across Texas. Purchasing is corporate.</t>
        </is>
      </c>
      <c r="U135" s="6" t="inlineStr">
        <is>
          <t>YES</t>
        </is>
      </c>
      <c r="V135" s="9" t="inlineStr">
        <is>
          <t>Corporate people page.</t>
        </is>
      </c>
      <c r="W135" s="6" t="inlineStr">
        <is>
          <t>https://r-o.com/people/corporate/</t>
        </is>
      </c>
      <c r="X135" s="6" t="inlineStr">
        <is>
          <t>https://www.linkedin.com/company/rogersobrien/</t>
        </is>
      </c>
      <c r="Y135" s="6" t="inlineStr">
        <is>
          <t>https://r-o.com/people/corporate/</t>
        </is>
      </c>
      <c r="Z135" s="6" t="inlineStr"/>
      <c r="AA135" s="6" t="inlineStr">
        <is>
          <t>(214) 962-3000</t>
        </is>
      </c>
      <c r="AB135" s="6" t="inlineStr">
        <is>
          <t>Headquarters, Dallas</t>
        </is>
      </c>
      <c r="AC135" s="6" t="inlineStr">
        <is>
          <t>https://r-o.com/contact-us/</t>
        </is>
      </c>
      <c r="AD135" s="6" t="inlineStr"/>
      <c r="AE135" s="6" t="inlineStr"/>
    </row>
    <row r="136">
      <c r="A136" s="12" t="inlineStr">
        <is>
          <t>Rick Callihan</t>
        </is>
      </c>
      <c r="B136" s="12" t="inlineStr">
        <is>
          <t>Tealstone Residential Concrete</t>
        </is>
      </c>
      <c r="C136" s="12" t="inlineStr">
        <is>
          <t>Vice President</t>
        </is>
      </c>
      <c r="D136" s="13" t="inlineStr">
        <is>
          <t>Contractors and plants</t>
        </is>
      </c>
      <c r="E136" s="14" t="n">
        <v>1</v>
      </c>
      <c r="F136" s="12" t="inlineStr">
        <is>
          <t>Printer buyer</t>
        </is>
      </c>
      <c r="G136" s="12" t="inlineStr">
        <is>
          <t>Residential foundation contractor</t>
        </is>
      </c>
      <c r="H136" s="12" t="inlineStr">
        <is>
          <t>Denton, serving DFW, with work in Houston, Austin, San Antonio, Oklahoma and Arizona</t>
        </is>
      </c>
      <c r="I136" s="12" t="inlineStr">
        <is>
          <t>10,000+ slabs a year, on its own site</t>
        </is>
      </c>
      <c r="J136" s="14" t="inlineStr">
        <is>
          <t>Yes</t>
        </is>
      </c>
      <c r="K136" s="15" t="inlineStr">
        <is>
          <t>Foundations repeated across the same DFW communities.</t>
        </is>
      </c>
      <c r="L136" s="14" t="inlineStr">
        <is>
          <t>No</t>
        </is>
      </c>
      <c r="M136" s="15" t="inlineStr">
        <is>
          <t>10,000+ slabs a year on its own site, far beyond what one or two printers cover.</t>
        </is>
      </c>
      <c r="N136" s="14" t="inlineStr">
        <is>
          <t>No</t>
        </is>
      </c>
      <c r="O136" s="15" t="inlineStr">
        <is>
          <t>Nothing on record.</t>
        </is>
      </c>
      <c r="P136" s="10" t="inlineStr"/>
      <c r="Q136" s="12" t="inlineStr"/>
      <c r="R136" s="16">
        <f>IF(P136="","ADD LINKEDIN","ok")</f>
        <v/>
      </c>
      <c r="S136" s="12" t="inlineStr">
        <is>
          <t>https://tealstonelp.com/</t>
        </is>
      </c>
      <c r="T136" s="15" t="inlineStr">
        <is>
          <t>Pours foundations for DFW production builders in 20-plus communities. A subsidiary of Sterling Infrastructure.</t>
        </is>
      </c>
      <c r="U136" s="12" t="inlineStr"/>
      <c r="V136" s="15" t="inlineStr">
        <is>
          <t>Firm's Who We Are page.</t>
        </is>
      </c>
      <c r="W136" s="12" t="inlineStr">
        <is>
          <t>https://www.tealstonelp.com/who-we-are/</t>
        </is>
      </c>
      <c r="X136" s="12" t="inlineStr">
        <is>
          <t>https://www.linkedin.com/company/tealstone-residential-concrete-inc./</t>
        </is>
      </c>
      <c r="Y136" s="12" t="inlineStr">
        <is>
          <t>https://tealstonelp.com/what-we-do/</t>
        </is>
      </c>
      <c r="Z136" s="12" t="inlineStr"/>
      <c r="AA136" s="12" t="inlineStr">
        <is>
          <t>(940) 383-2887</t>
        </is>
      </c>
      <c r="AB136" s="12" t="inlineStr">
        <is>
          <t>Office, Denton</t>
        </is>
      </c>
      <c r="AC136" s="12" t="inlineStr">
        <is>
          <t>https://tealstonelp.com/contact-us/</t>
        </is>
      </c>
      <c r="AD136" s="12" t="inlineStr"/>
      <c r="AE136" s="12" t="inlineStr"/>
    </row>
    <row r="137">
      <c r="A137" s="6" t="inlineStr">
        <is>
          <t>Gary Engasser</t>
        </is>
      </c>
      <c r="B137" s="6" t="inlineStr">
        <is>
          <t>Tealstone Residential Concrete</t>
        </is>
      </c>
      <c r="C137" s="6" t="inlineStr">
        <is>
          <t>President</t>
        </is>
      </c>
      <c r="D137" s="7" t="inlineStr">
        <is>
          <t>Contractors and plants</t>
        </is>
      </c>
      <c r="E137" s="8" t="n">
        <v>1</v>
      </c>
      <c r="F137" s="6" t="inlineStr">
        <is>
          <t>Printer buyer</t>
        </is>
      </c>
      <c r="G137" s="6" t="inlineStr">
        <is>
          <t>Residential foundation contractor</t>
        </is>
      </c>
      <c r="H137" s="6" t="inlineStr">
        <is>
          <t>Denton, serving DFW, with work in Houston, Austin, San Antonio, Oklahoma and Arizona</t>
        </is>
      </c>
      <c r="I137" s="6" t="inlineStr">
        <is>
          <t>10,000+ slabs a year, on its own site</t>
        </is>
      </c>
      <c r="J137" s="8" t="inlineStr">
        <is>
          <t>Yes</t>
        </is>
      </c>
      <c r="K137" s="9" t="inlineStr">
        <is>
          <t>Foundations repeated across the same DFW communities.</t>
        </is>
      </c>
      <c r="L137" s="8" t="inlineStr">
        <is>
          <t>No</t>
        </is>
      </c>
      <c r="M137" s="9" t="inlineStr">
        <is>
          <t>10,000+ slabs a year on its own site, far beyond what one or two printers cover.</t>
        </is>
      </c>
      <c r="N137" s="8" t="inlineStr">
        <is>
          <t>No</t>
        </is>
      </c>
      <c r="O137" s="9" t="inlineStr">
        <is>
          <t>Nothing on record.</t>
        </is>
      </c>
      <c r="P137" s="10" t="inlineStr"/>
      <c r="Q137" s="6" t="inlineStr"/>
      <c r="R137" s="11">
        <f>IF(P137="","ADD LINKEDIN","ok")</f>
        <v/>
      </c>
      <c r="S137" s="6" t="inlineStr">
        <is>
          <t>https://tealstonelp.com/</t>
        </is>
      </c>
      <c r="T137" s="9" t="inlineStr">
        <is>
          <t>Pours foundations for DFW production builders in 20-plus communities. A subsidiary of Sterling Infrastructure.</t>
        </is>
      </c>
      <c r="U137" s="6" t="inlineStr">
        <is>
          <t>YES</t>
        </is>
      </c>
      <c r="V137" s="9" t="inlineStr">
        <is>
          <t>Firm's Who We Are page.</t>
        </is>
      </c>
      <c r="W137" s="6" t="inlineStr">
        <is>
          <t>https://www.tealstonelp.com/who-we-are/</t>
        </is>
      </c>
      <c r="X137" s="6" t="inlineStr">
        <is>
          <t>https://www.linkedin.com/company/tealstone-residential-concrete-inc./</t>
        </is>
      </c>
      <c r="Y137" s="6" t="inlineStr">
        <is>
          <t>https://tealstonelp.com/what-we-do/</t>
        </is>
      </c>
      <c r="Z137" s="6" t="inlineStr"/>
      <c r="AA137" s="6" t="inlineStr">
        <is>
          <t>(940) 383-2887</t>
        </is>
      </c>
      <c r="AB137" s="6" t="inlineStr">
        <is>
          <t>Office, Denton</t>
        </is>
      </c>
      <c r="AC137" s="6" t="inlineStr">
        <is>
          <t>https://tealstonelp.com/contact-us/</t>
        </is>
      </c>
      <c r="AD137" s="6" t="inlineStr"/>
      <c r="AE137" s="6" t="inlineStr"/>
    </row>
    <row r="138">
      <c r="A138" s="12" t="inlineStr">
        <is>
          <t>Dwain Hutton</t>
        </is>
      </c>
      <c r="B138" s="12" t="inlineStr">
        <is>
          <t>UFP Site Built, Hillsboro</t>
        </is>
      </c>
      <c r="C138" s="12" t="inlineStr">
        <is>
          <t>Executive Vice President, UFP Site Built</t>
        </is>
      </c>
      <c r="D138" s="13" t="inlineStr">
        <is>
          <t>Contractors and plants</t>
        </is>
      </c>
      <c r="E138" s="14" t="n">
        <v>1</v>
      </c>
      <c r="F138" s="12" t="inlineStr">
        <is>
          <t>Printer buyer</t>
        </is>
      </c>
      <c r="G138" s="12" t="inlineStr">
        <is>
          <t>Truss and wall panel plant</t>
        </is>
      </c>
      <c r="H138" s="12" t="inlineStr">
        <is>
          <t>Hillsboro, serving DFW</t>
        </is>
      </c>
      <c r="I138" s="12" t="inlineStr">
        <is>
          <t>Hillsboro plant, one of 25 UFP Site Built facilities</t>
        </is>
      </c>
      <c r="J138" s="14" t="inlineStr">
        <is>
          <t>Yes</t>
        </is>
      </c>
      <c r="K138" s="15" t="inlineStr">
        <is>
          <t>Trusses and components made repeatedly for Texas production builders.</t>
        </is>
      </c>
      <c r="L138" s="14" t="inlineStr">
        <is>
          <t>No</t>
        </is>
      </c>
      <c r="M138" s="15" t="inlineStr">
        <is>
          <t>Purchasing is corporate.</t>
        </is>
      </c>
      <c r="N138" s="14" t="inlineStr">
        <is>
          <t>No</t>
        </is>
      </c>
      <c r="O138" s="15" t="inlineStr">
        <is>
          <t>No record of paying for an unproven method. Wall panels are its ordinary business.</t>
        </is>
      </c>
      <c r="P138" s="10" t="inlineStr"/>
      <c r="Q138" s="12" t="inlineStr"/>
      <c r="R138" s="16">
        <f>IF(P138="","ADD LINKEDIN","ok")</f>
        <v/>
      </c>
      <c r="S138" s="12" t="inlineStr">
        <is>
          <t>https://ufpsitebuilt.com/our-locations/hillsboro-tx</t>
        </is>
      </c>
      <c r="T138" s="15" t="inlineStr">
        <is>
          <t>Makes trusses and wall panels for DFW builders. Part of UFP Industries, with corporate purchasing.</t>
        </is>
      </c>
      <c r="U138" s="12" t="inlineStr">
        <is>
          <t>YES</t>
        </is>
      </c>
      <c r="V138" s="15" t="inlineStr">
        <is>
          <t>UFP Site Built leadership page.</t>
        </is>
      </c>
      <c r="W138" s="12" t="inlineStr">
        <is>
          <t>https://ufpsitebuilt.com/leadershipteam/</t>
        </is>
      </c>
      <c r="X138" s="12" t="inlineStr">
        <is>
          <t>https://www.linkedin.com/company/ufpconstruction-sitebuilt/</t>
        </is>
      </c>
      <c r="Y138" s="12" t="inlineStr"/>
      <c r="Z138" s="12" t="inlineStr"/>
      <c r="AA138" s="12" t="inlineStr">
        <is>
          <t>(254) 580-2846</t>
        </is>
      </c>
      <c r="AB138" s="12" t="inlineStr">
        <is>
          <t>Hillsboro plant</t>
        </is>
      </c>
      <c r="AC138" s="12" t="inlineStr">
        <is>
          <t>https://ufpsitebuilt.com/our-locations/hillsboro-tx</t>
        </is>
      </c>
      <c r="AD138" s="12" t="inlineStr"/>
      <c r="AE138" s="12" t="inlineStr"/>
    </row>
    <row r="139">
      <c r="A139" s="6" t="inlineStr">
        <is>
          <t>Mike Mizell</t>
        </is>
      </c>
      <c r="B139" s="6" t="inlineStr">
        <is>
          <t>UFP Site Built, Hillsboro</t>
        </is>
      </c>
      <c r="C139" s="6" t="inlineStr">
        <is>
          <t>Vice President Operations West, UFP Site Built</t>
        </is>
      </c>
      <c r="D139" s="7" t="inlineStr">
        <is>
          <t>Contractors and plants</t>
        </is>
      </c>
      <c r="E139" s="8" t="n">
        <v>1</v>
      </c>
      <c r="F139" s="6" t="inlineStr">
        <is>
          <t>Printer buyer</t>
        </is>
      </c>
      <c r="G139" s="6" t="inlineStr">
        <is>
          <t>Truss and wall panel plant</t>
        </is>
      </c>
      <c r="H139" s="6" t="inlineStr">
        <is>
          <t>Hillsboro, serving DFW</t>
        </is>
      </c>
      <c r="I139" s="6" t="inlineStr">
        <is>
          <t>Hillsboro plant, one of 25 UFP Site Built facilities</t>
        </is>
      </c>
      <c r="J139" s="8" t="inlineStr">
        <is>
          <t>Yes</t>
        </is>
      </c>
      <c r="K139" s="9" t="inlineStr">
        <is>
          <t>Trusses and components made repeatedly for Texas production builders.</t>
        </is>
      </c>
      <c r="L139" s="8" t="inlineStr">
        <is>
          <t>No</t>
        </is>
      </c>
      <c r="M139" s="9" t="inlineStr">
        <is>
          <t>Purchasing is corporate.</t>
        </is>
      </c>
      <c r="N139" s="8" t="inlineStr">
        <is>
          <t>No</t>
        </is>
      </c>
      <c r="O139" s="9" t="inlineStr">
        <is>
          <t>No record of paying for an unproven method. Wall panels are its ordinary business.</t>
        </is>
      </c>
      <c r="P139" s="10" t="inlineStr"/>
      <c r="Q139" s="6" t="inlineStr"/>
      <c r="R139" s="11">
        <f>IF(P139="","ADD LINKEDIN","ok")</f>
        <v/>
      </c>
      <c r="S139" s="6" t="inlineStr">
        <is>
          <t>https://ufpsitebuilt.com/our-locations/hillsboro-tx</t>
        </is>
      </c>
      <c r="T139" s="9" t="inlineStr">
        <is>
          <t>Makes trusses and wall panels for DFW builders. Part of UFP Industries, with corporate purchasing.</t>
        </is>
      </c>
      <c r="U139" s="6" t="inlineStr">
        <is>
          <t>YES</t>
        </is>
      </c>
      <c r="V139" s="9" t="inlineStr">
        <is>
          <t>UFP Site Built leadership page.</t>
        </is>
      </c>
      <c r="W139" s="6" t="inlineStr">
        <is>
          <t>https://ufpsitebuilt.com/leadershipteam/</t>
        </is>
      </c>
      <c r="X139" s="6" t="inlineStr">
        <is>
          <t>https://www.linkedin.com/company/ufpconstruction-sitebuilt/</t>
        </is>
      </c>
      <c r="Y139" s="6" t="inlineStr"/>
      <c r="Z139" s="6" t="inlineStr"/>
      <c r="AA139" s="6" t="inlineStr">
        <is>
          <t>(254) 580-2846</t>
        </is>
      </c>
      <c r="AB139" s="6" t="inlineStr">
        <is>
          <t>Hillsboro plant</t>
        </is>
      </c>
      <c r="AC139" s="6" t="inlineStr">
        <is>
          <t>https://ufpsitebuilt.com/our-locations/hillsboro-tx</t>
        </is>
      </c>
      <c r="AD139" s="6" t="inlineStr"/>
      <c r="AE139" s="6" t="inlineStr"/>
    </row>
    <row r="140">
      <c r="A140" s="12" t="inlineStr">
        <is>
          <t>Steve Brown</t>
        </is>
      </c>
      <c r="B140" s="12" t="inlineStr">
        <is>
          <t>Carl Franklin Homes, L.C.</t>
        </is>
      </c>
      <c r="C140" s="12" t="inlineStr">
        <is>
          <t>Owner and President</t>
        </is>
      </c>
      <c r="D140" s="13" t="inlineStr">
        <is>
          <t>Custom and hybrid job</t>
        </is>
      </c>
      <c r="E140" s="14" t="n">
        <v>3</v>
      </c>
      <c r="F140" s="12" t="inlineStr">
        <is>
          <t>Printer buyer</t>
        </is>
      </c>
      <c r="G140" s="12" t="inlineStr">
        <is>
          <t>Custom homebuilder, SIP walls</t>
        </is>
      </c>
      <c r="H140" s="12" t="inlineStr">
        <is>
          <t>Lewisville and Plano area, with a DOE project in Garland</t>
        </is>
      </c>
      <c r="I140" s="12" t="inlineStr">
        <is>
          <t>Structural insulated panels on new homes since 1993</t>
        </is>
      </c>
      <c r="J140" s="14" t="inlineStr">
        <is>
          <t>Partly</t>
        </is>
      </c>
      <c r="K140" s="15" t="inlineStr">
        <is>
          <t>Custom homes, no production plan set.</t>
        </is>
      </c>
      <c r="L140" s="14" t="inlineStr">
        <is>
          <t>Partly</t>
        </is>
      </c>
      <c r="M140" s="15" t="inlineStr">
        <is>
          <t>Low-volume custom builder. No yearly home count.</t>
        </is>
      </c>
      <c r="N140" s="14" t="inlineStr">
        <is>
          <t>Yes</t>
        </is>
      </c>
      <c r="O140" s="15" t="inlineStr">
        <is>
          <t>Panels are its wall system, per the 2014 DOE case study.</t>
        </is>
      </c>
      <c r="P140" s="10" t="inlineStr"/>
      <c r="Q140" s="12" t="inlineStr"/>
      <c r="R140" s="16">
        <f>IF(P140="","ADD LINKEDIN","ok")</f>
        <v/>
      </c>
      <c r="S140" s="12" t="inlineStr"/>
      <c r="T140" s="15" t="inlineStr">
        <is>
          <t>Builds custom homes in the Lewisville and Plano area. A 2014 DOE case study names Steve Brown as its head.</t>
        </is>
      </c>
      <c r="U140" s="12" t="inlineStr">
        <is>
          <t>YES</t>
        </is>
      </c>
      <c r="V140" s="15" t="inlineStr">
        <is>
          <t>2014 DOE case study. Mitsubishi Comfort case study calls him president.</t>
        </is>
      </c>
      <c r="W140" s="12" t="inlineStr">
        <is>
          <t>https://www.energy.gov/sites/prod/files/2015/06/f22/DOE_ZEH_CarlFranklin_09-20-14.pdf</t>
        </is>
      </c>
      <c r="X140" s="12" t="inlineStr"/>
      <c r="Y140" s="12" t="inlineStr"/>
      <c r="Z140" s="12" t="inlineStr"/>
      <c r="AA140" s="12" t="inlineStr"/>
      <c r="AB140" s="12" t="inlineStr"/>
      <c r="AC140" s="12" t="inlineStr"/>
      <c r="AD140" s="12" t="inlineStr"/>
      <c r="AE140" s="12" t="inlineStr"/>
    </row>
    <row r="141">
      <c r="A141" s="6" t="inlineStr">
        <is>
          <t>Chris Lemming</t>
        </is>
      </c>
      <c r="B141" s="6" t="inlineStr">
        <is>
          <t>Partners in Building</t>
        </is>
      </c>
      <c r="C141" s="6" t="inlineStr">
        <is>
          <t>President</t>
        </is>
      </c>
      <c r="D141" s="7" t="inlineStr">
        <is>
          <t>Custom and hybrid job</t>
        </is>
      </c>
      <c r="E141" s="8" t="n">
        <v>1</v>
      </c>
      <c r="F141" s="6" t="inlineStr">
        <is>
          <t>Printer buyer</t>
        </is>
      </c>
      <c r="G141" s="6" t="inlineStr">
        <is>
          <t>Custom homebuilder, build on your lot</t>
        </is>
      </c>
      <c r="H141" s="6" t="inlineStr">
        <is>
          <t>Carrollton office, building across Texas and Tennessee</t>
        </is>
      </c>
      <c r="I141" s="6" t="inlineStr">
        <is>
          <t>286 company-wide closings in 2025, BUILDER's list rank 153</t>
        </is>
      </c>
      <c r="J141" s="8" t="inlineStr">
        <is>
          <t>No</t>
        </is>
      </c>
      <c r="K141" s="9" t="inlineStr">
        <is>
          <t>Every home is one-of-a-kind, by its own description.</t>
        </is>
      </c>
      <c r="L141" s="8" t="inlineStr">
        <is>
          <t>Yes</t>
        </is>
      </c>
      <c r="M141" s="9" t="inlineStr">
        <is>
          <t>286 closings in 2025 per BUILDER, company-wide across Texas and Tennessee.</t>
        </is>
      </c>
      <c r="N141" s="8" t="inlineStr">
        <is>
          <t>No</t>
        </is>
      </c>
      <c r="O141" s="9" t="inlineStr">
        <is>
          <t>Nothing on record.</t>
        </is>
      </c>
      <c r="P141" s="10" t="inlineStr"/>
      <c r="Q141" s="6" t="inlineStr"/>
      <c r="R141" s="11">
        <f>IF(P141="","ADD LINKEDIN","ok")</f>
        <v/>
      </c>
      <c r="S141" s="6" t="inlineStr">
        <is>
          <t>https://partnersinbuilding.com/</t>
        </is>
      </c>
      <c r="T141" s="9" t="inlineStr">
        <is>
          <t>Builds one-of-a-kind homes on buyers' lots. Entered Dallas in 2022 by buying Paul Taylor Homes.</t>
        </is>
      </c>
      <c r="U141" s="6" t="inlineStr">
        <is>
          <t>YES</t>
        </is>
      </c>
      <c r="V141" s="9" t="inlineStr">
        <is>
          <t>Realty News Report, June 11, 2026. Previously Division President for DFW.</t>
        </is>
      </c>
      <c r="W141" s="6" t="inlineStr">
        <is>
          <t>https://realtynewsreport.com/houston-home-builder-names-new-leader/</t>
        </is>
      </c>
      <c r="X141" s="6" t="inlineStr">
        <is>
          <t>https://www.linkedin.com/company/partners-in-building/</t>
        </is>
      </c>
      <c r="Y141" s="6" t="inlineStr"/>
      <c r="Z141" s="6" t="inlineStr">
        <is>
          <t>2026-06-11 Realty News Report. Houston Home Builder Names New Leader  https://realtynewsreport.com/houston-home-builder-names-new-leader/</t>
        </is>
      </c>
      <c r="AA141" s="6" t="inlineStr">
        <is>
          <t>(469) 902-3200</t>
        </is>
      </c>
      <c r="AB141" s="6" t="inlineStr">
        <is>
          <t>DFW office, Carrollton</t>
        </is>
      </c>
      <c r="AC141" s="6" t="inlineStr">
        <is>
          <t>https://partnersinbuilding.com/contact</t>
        </is>
      </c>
      <c r="AD141" s="6" t="inlineStr"/>
      <c r="AE141" s="6" t="inlineStr"/>
    </row>
    <row r="142">
      <c r="A142" s="12" t="inlineStr">
        <is>
          <t>Jim Lemming</t>
        </is>
      </c>
      <c r="B142" s="12" t="inlineStr">
        <is>
          <t>Partners in Building</t>
        </is>
      </c>
      <c r="C142" s="12" t="inlineStr">
        <is>
          <t>Chairman</t>
        </is>
      </c>
      <c r="D142" s="13" t="inlineStr">
        <is>
          <t>Custom and hybrid job</t>
        </is>
      </c>
      <c r="E142" s="14" t="n">
        <v>1</v>
      </c>
      <c r="F142" s="12" t="inlineStr">
        <is>
          <t>Printer buyer</t>
        </is>
      </c>
      <c r="G142" s="12" t="inlineStr">
        <is>
          <t>Custom homebuilder, build on your lot</t>
        </is>
      </c>
      <c r="H142" s="12" t="inlineStr">
        <is>
          <t>Carrollton office, building across Texas and Tennessee</t>
        </is>
      </c>
      <c r="I142" s="12" t="inlineStr">
        <is>
          <t>286 company-wide closings in 2025, BUILDER's list rank 153</t>
        </is>
      </c>
      <c r="J142" s="14" t="inlineStr">
        <is>
          <t>No</t>
        </is>
      </c>
      <c r="K142" s="15" t="inlineStr">
        <is>
          <t>Every home is one-of-a-kind, by its own description.</t>
        </is>
      </c>
      <c r="L142" s="14" t="inlineStr">
        <is>
          <t>Yes</t>
        </is>
      </c>
      <c r="M142" s="15" t="inlineStr">
        <is>
          <t>286 closings in 2025 per BUILDER, company-wide across Texas and Tennessee.</t>
        </is>
      </c>
      <c r="N142" s="14" t="inlineStr">
        <is>
          <t>No</t>
        </is>
      </c>
      <c r="O142" s="15" t="inlineStr">
        <is>
          <t>Nothing on record.</t>
        </is>
      </c>
      <c r="P142" s="10" t="inlineStr"/>
      <c r="Q142" s="12" t="inlineStr"/>
      <c r="R142" s="16">
        <f>IF(P142="","ADD LINKEDIN","ok")</f>
        <v/>
      </c>
      <c r="S142" s="12" t="inlineStr">
        <is>
          <t>https://partnersinbuilding.com/</t>
        </is>
      </c>
      <c r="T142" s="15" t="inlineStr">
        <is>
          <t>Builds one-of-a-kind homes on buyers' lots. Entered Dallas in 2022 by buying Paul Taylor Homes.</t>
        </is>
      </c>
      <c r="U142" s="12" t="inlineStr"/>
      <c r="V142" s="15" t="inlineStr">
        <is>
          <t>CEO from 2010, per story page. Moved to Chairman, June 2026.</t>
        </is>
      </c>
      <c r="W142" s="12" t="inlineStr">
        <is>
          <t>https://partnersinbuilding.com/our-story</t>
        </is>
      </c>
      <c r="X142" s="12" t="inlineStr">
        <is>
          <t>https://www.linkedin.com/company/partners-in-building/</t>
        </is>
      </c>
      <c r="Y142" s="12" t="inlineStr"/>
      <c r="Z142" s="12" t="inlineStr">
        <is>
          <t>2026-06-11 Realty News Report. Houston Home Builder Names New Leader  https://realtynewsreport.com/houston-home-builder-names-new-leader/</t>
        </is>
      </c>
      <c r="AA142" s="12" t="inlineStr">
        <is>
          <t>(469) 902-3200</t>
        </is>
      </c>
      <c r="AB142" s="12" t="inlineStr">
        <is>
          <t>DFW office, Carrollton</t>
        </is>
      </c>
      <c r="AC142" s="12" t="inlineStr">
        <is>
          <t>https://partnersinbuilding.com/contact</t>
        </is>
      </c>
      <c r="AD142" s="12" t="inlineStr"/>
      <c r="AE142" s="12" t="inlineStr"/>
    </row>
    <row r="143">
      <c r="A143" s="6" t="inlineStr">
        <is>
          <t>Paul J. Romanowski</t>
        </is>
      </c>
      <c r="B143" s="6" t="inlineStr">
        <is>
          <t>D.R. Horton, Inc.</t>
        </is>
      </c>
      <c r="C143" s="6" t="inlineStr">
        <is>
          <t>President and Chief Executive Officer</t>
        </is>
      </c>
      <c r="D143" s="7" t="inlineStr">
        <is>
          <t>National builder</t>
        </is>
      </c>
      <c r="E143" s="8" t="n">
        <v>2</v>
      </c>
      <c r="F143" s="6" t="inlineStr">
        <is>
          <t>Client</t>
        </is>
      </c>
      <c r="G143" s="6" t="inlineStr">
        <is>
          <t>National homebuilder</t>
        </is>
      </c>
      <c r="H143" s="6" t="inlineStr">
        <is>
          <t>Arlington headquarters, with DFW Central, East and West divisions</t>
        </is>
      </c>
      <c r="I143" s="6" t="inlineStr">
        <is>
          <t>7,058 DFW closings in 2025, first on BUILDER's Local Leaders</t>
        </is>
      </c>
      <c r="J143" s="8" t="inlineStr">
        <is>
          <t>Yes</t>
        </is>
      </c>
      <c r="K143" s="9" t="inlineStr">
        <is>
          <t>A production plan library across three DFW divisions, Central, East and West.</t>
        </is>
      </c>
      <c r="L143" s="8" t="inlineStr">
        <is>
          <t>No</t>
        </is>
      </c>
      <c r="M143" s="9" t="inlineStr">
        <is>
          <t>7,058 DFW closings. Purchasing and printer decisions sit above the metro.</t>
        </is>
      </c>
      <c r="N143" s="8" t="inlineStr">
        <is>
          <t>Yes</t>
        </is>
      </c>
      <c r="O143" s="9" t="inlineStr">
        <is>
          <t>Printing robot investment announced March 11, 2024. Brad Conlon spoke for the builder.</t>
        </is>
      </c>
      <c r="P143" s="10" t="inlineStr"/>
      <c r="Q143" s="6" t="inlineStr"/>
      <c r="R143" s="11">
        <f>IF(P143="","ADD LINKEDIN","ok")</f>
        <v/>
      </c>
      <c r="S143" s="6" t="inlineStr">
        <is>
          <t>https://www.drhorton.com/</t>
        </is>
      </c>
      <c r="T143" s="9" t="inlineStr">
        <is>
          <t>Invested in Apis Cor, a maker of construction printing robots, in March 2024. Runs three DFW divisions: Central, East and West.</t>
        </is>
      </c>
      <c r="U143" s="6" t="inlineStr"/>
      <c r="V143" s="9" t="inlineStr">
        <is>
          <t>Investor executive officers page.</t>
        </is>
      </c>
      <c r="W143" s="6" t="inlineStr">
        <is>
          <t>https://investor.drhorton.com/corporate-governance/executive-officers</t>
        </is>
      </c>
      <c r="X143" s="6" t="inlineStr">
        <is>
          <t>https://www.linkedin.com/company/dr-horton/</t>
        </is>
      </c>
      <c r="Y143" s="6" t="inlineStr">
        <is>
          <t>https://investor.drhorton.com/corporate-governance/executive-officers</t>
        </is>
      </c>
      <c r="Z143" s="6" t="inlineStr">
        <is>
          <t>2024-03-11 PR Newswire / Apis Cor. Apis Cor announces strategic investment by D.R. Horton  https://www.prnewswire.com/news-releases/apis-cor-a-manufacturer-of-construction-3d-printing-robots-announces-strategic-investment-by-dr-horton-302084850.html</t>
        </is>
      </c>
      <c r="AA143" s="6" t="inlineStr">
        <is>
          <t>(817) 390-8200</t>
        </is>
      </c>
      <c r="AB143" s="6" t="inlineStr">
        <is>
          <t>Headquarters, Arlington</t>
        </is>
      </c>
      <c r="AC143" s="6" t="inlineStr">
        <is>
          <t>https://www.drhorton.com/contact-us-page</t>
        </is>
      </c>
      <c r="AD143" s="6" t="inlineStr"/>
      <c r="AE143" s="6" t="inlineStr"/>
    </row>
    <row r="144">
      <c r="A144" s="12" t="inlineStr">
        <is>
          <t>Michael J. Murray</t>
        </is>
      </c>
      <c r="B144" s="12" t="inlineStr">
        <is>
          <t>D.R. Horton, Inc.</t>
        </is>
      </c>
      <c r="C144" s="12" t="inlineStr">
        <is>
          <t>Executive Vice President and Chief Operating Officer</t>
        </is>
      </c>
      <c r="D144" s="13" t="inlineStr">
        <is>
          <t>National builder</t>
        </is>
      </c>
      <c r="E144" s="14" t="n">
        <v>2</v>
      </c>
      <c r="F144" s="12" t="inlineStr">
        <is>
          <t>Client</t>
        </is>
      </c>
      <c r="G144" s="12" t="inlineStr">
        <is>
          <t>National homebuilder</t>
        </is>
      </c>
      <c r="H144" s="12" t="inlineStr">
        <is>
          <t>Arlington headquarters, with DFW Central, East and West divisions</t>
        </is>
      </c>
      <c r="I144" s="12" t="inlineStr">
        <is>
          <t>7,058 DFW closings in 2025, first on BUILDER's Local Leaders</t>
        </is>
      </c>
      <c r="J144" s="14" t="inlineStr">
        <is>
          <t>Yes</t>
        </is>
      </c>
      <c r="K144" s="15" t="inlineStr">
        <is>
          <t>A production plan library across three DFW divisions, Central, East and West.</t>
        </is>
      </c>
      <c r="L144" s="14" t="inlineStr">
        <is>
          <t>No</t>
        </is>
      </c>
      <c r="M144" s="15" t="inlineStr">
        <is>
          <t>7,058 DFW closings. Purchasing and printer decisions sit above the metro.</t>
        </is>
      </c>
      <c r="N144" s="14" t="inlineStr">
        <is>
          <t>Yes</t>
        </is>
      </c>
      <c r="O144" s="15" t="inlineStr">
        <is>
          <t>Printing robot investment announced March 11, 2024. Brad Conlon spoke for the builder.</t>
        </is>
      </c>
      <c r="P144" s="10" t="inlineStr"/>
      <c r="Q144" s="12" t="inlineStr"/>
      <c r="R144" s="16">
        <f>IF(P144="","ADD LINKEDIN","ok")</f>
        <v/>
      </c>
      <c r="S144" s="12" t="inlineStr">
        <is>
          <t>https://www.drhorton.com/</t>
        </is>
      </c>
      <c r="T144" s="15" t="inlineStr">
        <is>
          <t>Invested in Apis Cor, a maker of construction printing robots, in March 2024. Runs three DFW divisions: Central, East and West.</t>
        </is>
      </c>
      <c r="U144" s="12" t="inlineStr"/>
      <c r="V144" s="15" t="inlineStr">
        <is>
          <t>Investor executive officers page.</t>
        </is>
      </c>
      <c r="W144" s="12" t="inlineStr">
        <is>
          <t>https://investor.drhorton.com/corporate-governance/executive-officers</t>
        </is>
      </c>
      <c r="X144" s="12" t="inlineStr">
        <is>
          <t>https://www.linkedin.com/company/dr-horton/</t>
        </is>
      </c>
      <c r="Y144" s="12" t="inlineStr">
        <is>
          <t>https://investor.drhorton.com/corporate-governance/executive-officers</t>
        </is>
      </c>
      <c r="Z144" s="12" t="inlineStr">
        <is>
          <t>2024-03-11 PR Newswire / Apis Cor. Apis Cor announces strategic investment by D.R. Horton  https://www.prnewswire.com/news-releases/apis-cor-a-manufacturer-of-construction-3d-printing-robots-announces-strategic-investment-by-dr-horton-302084850.html</t>
        </is>
      </c>
      <c r="AA144" s="12" t="inlineStr">
        <is>
          <t>(817) 390-8200</t>
        </is>
      </c>
      <c r="AB144" s="12" t="inlineStr">
        <is>
          <t>Headquarters, Arlington</t>
        </is>
      </c>
      <c r="AC144" s="12" t="inlineStr">
        <is>
          <t>https://www.drhorton.com/contact-us-page</t>
        </is>
      </c>
      <c r="AD144" s="12" t="inlineStr"/>
      <c r="AE144" s="12" t="inlineStr"/>
    </row>
    <row r="145">
      <c r="A145" s="6" t="inlineStr">
        <is>
          <t>David V. Auld</t>
        </is>
      </c>
      <c r="B145" s="6" t="inlineStr">
        <is>
          <t>D.R. Horton, Inc.</t>
        </is>
      </c>
      <c r="C145" s="6" t="inlineStr">
        <is>
          <t>Executive Chairman</t>
        </is>
      </c>
      <c r="D145" s="7" t="inlineStr">
        <is>
          <t>National builder</t>
        </is>
      </c>
      <c r="E145" s="8" t="n">
        <v>2</v>
      </c>
      <c r="F145" s="6" t="inlineStr">
        <is>
          <t>Client</t>
        </is>
      </c>
      <c r="G145" s="6" t="inlineStr">
        <is>
          <t>National homebuilder</t>
        </is>
      </c>
      <c r="H145" s="6" t="inlineStr">
        <is>
          <t>Arlington headquarters, with DFW Central, East and West divisions</t>
        </is>
      </c>
      <c r="I145" s="6" t="inlineStr">
        <is>
          <t>7,058 DFW closings in 2025, first on BUILDER's Local Leaders</t>
        </is>
      </c>
      <c r="J145" s="8" t="inlineStr">
        <is>
          <t>Yes</t>
        </is>
      </c>
      <c r="K145" s="9" t="inlineStr">
        <is>
          <t>A production plan library across three DFW divisions, Central, East and West.</t>
        </is>
      </c>
      <c r="L145" s="8" t="inlineStr">
        <is>
          <t>No</t>
        </is>
      </c>
      <c r="M145" s="9" t="inlineStr">
        <is>
          <t>7,058 DFW closings. Purchasing and printer decisions sit above the metro.</t>
        </is>
      </c>
      <c r="N145" s="8" t="inlineStr">
        <is>
          <t>Yes</t>
        </is>
      </c>
      <c r="O145" s="9" t="inlineStr">
        <is>
          <t>Printing robot investment announced March 11, 2024. Brad Conlon spoke for the builder.</t>
        </is>
      </c>
      <c r="P145" s="10" t="inlineStr"/>
      <c r="Q145" s="6" t="inlineStr"/>
      <c r="R145" s="11">
        <f>IF(P145="","ADD LINKEDIN","ok")</f>
        <v/>
      </c>
      <c r="S145" s="6" t="inlineStr">
        <is>
          <t>https://www.drhorton.com/</t>
        </is>
      </c>
      <c r="T145" s="9" t="inlineStr">
        <is>
          <t>Invested in Apis Cor, a maker of construction printing robots, in March 2024. Runs three DFW divisions: Central, East and West.</t>
        </is>
      </c>
      <c r="U145" s="6" t="inlineStr"/>
      <c r="V145" s="9" t="inlineStr">
        <is>
          <t>Investor executive officers page.</t>
        </is>
      </c>
      <c r="W145" s="6" t="inlineStr">
        <is>
          <t>https://investor.drhorton.com/corporate-governance/executive-officers</t>
        </is>
      </c>
      <c r="X145" s="6" t="inlineStr">
        <is>
          <t>https://www.linkedin.com/company/dr-horton/</t>
        </is>
      </c>
      <c r="Y145" s="6" t="inlineStr">
        <is>
          <t>https://investor.drhorton.com/corporate-governance/executive-officers</t>
        </is>
      </c>
      <c r="Z145" s="6" t="inlineStr">
        <is>
          <t>2024-03-11 PR Newswire / Apis Cor. Apis Cor announces strategic investment by D.R. Horton  https://www.prnewswire.com/news-releases/apis-cor-a-manufacturer-of-construction-3d-printing-robots-announces-strategic-investment-by-dr-horton-302084850.html</t>
        </is>
      </c>
      <c r="AA145" s="6" t="inlineStr">
        <is>
          <t>(817) 390-8200</t>
        </is>
      </c>
      <c r="AB145" s="6" t="inlineStr">
        <is>
          <t>Headquarters, Arlington</t>
        </is>
      </c>
      <c r="AC145" s="6" t="inlineStr">
        <is>
          <t>https://www.drhorton.com/contact-us-page</t>
        </is>
      </c>
      <c r="AD145" s="6" t="inlineStr"/>
      <c r="AE145" s="6" t="inlineStr"/>
    </row>
    <row r="146">
      <c r="A146" s="12" t="inlineStr">
        <is>
          <t>Brad Conlon</t>
        </is>
      </c>
      <c r="B146" s="12" t="inlineStr">
        <is>
          <t>D.R. Horton, Inc.</t>
        </is>
      </c>
      <c r="C146" s="12" t="inlineStr">
        <is>
          <t>Senior Vice President of Business Development</t>
        </is>
      </c>
      <c r="D146" s="13" t="inlineStr">
        <is>
          <t>National builder</t>
        </is>
      </c>
      <c r="E146" s="14" t="n">
        <v>2</v>
      </c>
      <c r="F146" s="12" t="inlineStr">
        <is>
          <t>Client</t>
        </is>
      </c>
      <c r="G146" s="12" t="inlineStr">
        <is>
          <t>National homebuilder</t>
        </is>
      </c>
      <c r="H146" s="12" t="inlineStr">
        <is>
          <t>Arlington headquarters, with DFW Central, East and West divisions</t>
        </is>
      </c>
      <c r="I146" s="12" t="inlineStr">
        <is>
          <t>7,058 DFW closings in 2025, first on BUILDER's Local Leaders</t>
        </is>
      </c>
      <c r="J146" s="14" t="inlineStr">
        <is>
          <t>Yes</t>
        </is>
      </c>
      <c r="K146" s="15" t="inlineStr">
        <is>
          <t>A production plan library across three DFW divisions, Central, East and West.</t>
        </is>
      </c>
      <c r="L146" s="14" t="inlineStr">
        <is>
          <t>No</t>
        </is>
      </c>
      <c r="M146" s="15" t="inlineStr">
        <is>
          <t>7,058 DFW closings. Purchasing and printer decisions sit above the metro.</t>
        </is>
      </c>
      <c r="N146" s="14" t="inlineStr">
        <is>
          <t>Yes</t>
        </is>
      </c>
      <c r="O146" s="15" t="inlineStr">
        <is>
          <t>Printing robot investment announced March 11, 2024. Brad Conlon spoke for the builder.</t>
        </is>
      </c>
      <c r="P146" s="10" t="inlineStr"/>
      <c r="Q146" s="12" t="inlineStr"/>
      <c r="R146" s="16">
        <f>IF(P146="","ADD LINKEDIN","ok")</f>
        <v/>
      </c>
      <c r="S146" s="12" t="inlineStr">
        <is>
          <t>https://www.drhorton.com/</t>
        </is>
      </c>
      <c r="T146" s="15" t="inlineStr">
        <is>
          <t>Invested in Apis Cor, a maker of construction printing robots, in March 2024. Runs three DFW divisions: Central, East and West.</t>
        </is>
      </c>
      <c r="U146" s="12" t="inlineStr"/>
      <c r="V146" s="15" t="inlineStr">
        <is>
          <t>Quoted on the Apis Cor investment release.</t>
        </is>
      </c>
      <c r="W146" s="12" t="inlineStr">
        <is>
          <t>https://www.prnewswire.com/news-releases/apis-cor-a-manufacturer-of-construction-3d-printing-robots-announces-strategic-investment-by-dr-horton-302084850.html</t>
        </is>
      </c>
      <c r="X146" s="12" t="inlineStr">
        <is>
          <t>https://www.linkedin.com/company/dr-horton/</t>
        </is>
      </c>
      <c r="Y146" s="12" t="inlineStr">
        <is>
          <t>https://investor.drhorton.com/corporate-governance/executive-officers</t>
        </is>
      </c>
      <c r="Z146" s="12" t="inlineStr">
        <is>
          <t>2024-03-11 PR Newswire / Apis Cor. Apis Cor announces strategic investment by D.R. Horton  https://www.prnewswire.com/news-releases/apis-cor-a-manufacturer-of-construction-3d-printing-robots-announces-strategic-investment-by-dr-horton-302084850.html</t>
        </is>
      </c>
      <c r="AA146" s="12" t="inlineStr">
        <is>
          <t>(817) 390-8200</t>
        </is>
      </c>
      <c r="AB146" s="12" t="inlineStr">
        <is>
          <t>Headquarters, Arlington</t>
        </is>
      </c>
      <c r="AC146" s="12" t="inlineStr">
        <is>
          <t>https://www.drhorton.com/contact-us-page</t>
        </is>
      </c>
      <c r="AD146" s="12" t="inlineStr"/>
      <c r="AE146" s="12" t="inlineStr"/>
    </row>
    <row r="147">
      <c r="A147" s="6" t="inlineStr">
        <is>
          <t>Scott Bryson</t>
        </is>
      </c>
      <c r="B147" s="6" t="inlineStr">
        <is>
          <t>PulteGroup, Inc.</t>
        </is>
      </c>
      <c r="C147" s="6" t="inlineStr">
        <is>
          <t>Dallas Division President</t>
        </is>
      </c>
      <c r="D147" s="7" t="inlineStr">
        <is>
          <t>National builder</t>
        </is>
      </c>
      <c r="E147" s="8" t="n">
        <v>2</v>
      </c>
      <c r="F147" s="6" t="inlineStr">
        <is>
          <t>Client</t>
        </is>
      </c>
      <c r="G147" s="6" t="inlineStr">
        <is>
          <t>National homebuilder</t>
        </is>
      </c>
      <c r="H147" s="6" t="inlineStr">
        <is>
          <t>Dallas division, with communities in Forney and Fort Worth</t>
        </is>
      </c>
      <c r="I147" s="6" t="inlineStr">
        <is>
          <t>1,083 DFW closings in 2025, 2.7% share</t>
        </is>
      </c>
      <c r="J147" s="8" t="inlineStr">
        <is>
          <t>Yes</t>
        </is>
      </c>
      <c r="K147" s="9" t="inlineStr">
        <is>
          <t>Pulte, Centex and Del Webb plan libraries across Dallas.</t>
        </is>
      </c>
      <c r="L147" s="8" t="inlineStr">
        <is>
          <t>No</t>
        </is>
      </c>
      <c r="M147" s="9" t="inlineStr">
        <is>
          <t>1,083 DFW closings in 2025. Materials negotiated nationally or regionally make method change a corporate pilot.</t>
        </is>
      </c>
      <c r="N147" s="8" t="inlineStr">
        <is>
          <t>Yes</t>
        </is>
      </c>
      <c r="O147" s="9" t="inlineStr">
        <is>
          <t>Owned a framing plant and piloted a robotic wall.</t>
        </is>
      </c>
      <c r="P147" s="6" t="inlineStr">
        <is>
          <t>https://www.linkedin.com/in/scott-bryson-2909939/</t>
        </is>
      </c>
      <c r="Q147" s="6" t="inlineStr"/>
      <c r="R147" s="11">
        <f>IF(P147="","ADD LINKEDIN","ok")</f>
        <v/>
      </c>
      <c r="S147" s="6" t="inlineStr">
        <is>
          <t>https://www.pulte.com/homes/texas/dallas</t>
        </is>
      </c>
      <c r="T147" s="9" t="inlineStr">
        <is>
          <t>Owned a framing plant and piloted a robotic wall. Materials are negotiated nationally or regionally.</t>
        </is>
      </c>
      <c r="U147" s="6" t="inlineStr">
        <is>
          <t>YES</t>
        </is>
      </c>
      <c r="V147" s="9" t="inlineStr">
        <is>
          <t>Indexed title: Scott Bryson, PulteGroup. PulteGroup release, August 21, 2025.</t>
        </is>
      </c>
      <c r="W147" s="6" t="inlineStr">
        <is>
          <t>https://www.businesswire.com/news/home/20250821913928/en/PulteGroup-Promotes-Scott-Bryson-to-Dallas-Division-President</t>
        </is>
      </c>
      <c r="X147" s="6" t="inlineStr">
        <is>
          <t>https://www.linkedin.com/company/pultegroup/</t>
        </is>
      </c>
      <c r="Y147" s="6" t="inlineStr">
        <is>
          <t>https://www.businesswire.com/news/home/20250821913928/en/PulteGroup-Promotes-Scott-Bryson-to-Dallas-Division-President</t>
        </is>
      </c>
      <c r="Z147" s="6" t="inlineStr">
        <is>
          <t>2025-07-24 Dallas Morning News. The 10 biggest homebuilders in D-FW  https://www.dallasnews.com/business/real-estate/2025/07/24/list-who-are-the-10-biggest-homebuilders-in-d-fw/</t>
        </is>
      </c>
      <c r="AA147" s="6" t="inlineStr">
        <is>
          <t>(972) 200-3727</t>
        </is>
      </c>
      <c r="AB147" s="6" t="inlineStr">
        <is>
          <t>Dallas market line, Pulte Dallas homes page</t>
        </is>
      </c>
      <c r="AC147" s="6" t="inlineStr">
        <is>
          <t>https://www.pulte.com/homes/texas/dallas</t>
        </is>
      </c>
      <c r="AD147" s="6" t="inlineStr"/>
      <c r="AE147" s="6" t="inlineStr"/>
    </row>
    <row r="148">
      <c r="A148" s="12" t="inlineStr">
        <is>
          <t>Jay Brown</t>
        </is>
      </c>
      <c r="B148" s="12" t="inlineStr">
        <is>
          <t>David Weekley Homes</t>
        </is>
      </c>
      <c r="C148" s="12" t="inlineStr">
        <is>
          <t>Chief Executive Officer</t>
        </is>
      </c>
      <c r="D148" s="13" t="inlineStr">
        <is>
          <t>National builder</t>
        </is>
      </c>
      <c r="E148" s="14" t="n">
        <v>2</v>
      </c>
      <c r="F148" s="12" t="inlineStr">
        <is>
          <t>Client</t>
        </is>
      </c>
      <c r="G148" s="12" t="inlineStr">
        <is>
          <t>National homebuilder</t>
        </is>
      </c>
      <c r="H148" s="12" t="inlineStr">
        <is>
          <t>Carrollton division office, with communities across DFW</t>
        </is>
      </c>
      <c r="I148" s="12" t="inlineStr">
        <is>
          <t>943 Dallas-division closings in 2025, its own press kit</t>
        </is>
      </c>
      <c r="J148" s="14" t="inlineStr">
        <is>
          <t>Yes</t>
        </is>
      </c>
      <c r="K148" s="15" t="inlineStr">
        <is>
          <t>67 DFW communities on a national plan library, per the 2025 press kit.</t>
        </is>
      </c>
      <c r="L148" s="14" t="inlineStr">
        <is>
          <t>Partly</t>
        </is>
      </c>
      <c r="M148" s="15" t="inlineStr">
        <is>
          <t>943 Dallas-division closings in 2025, its own press kit.</t>
        </is>
      </c>
      <c r="N148" s="14" t="inlineStr">
        <is>
          <t>No</t>
        </is>
      </c>
      <c r="O148" s="15" t="inlineStr">
        <is>
          <t>ENERGY STAR recognition. Nothing structural on record.</t>
        </is>
      </c>
      <c r="P148" s="6" t="inlineStr">
        <is>
          <t>https://www.linkedin.com/in/jay-brown-14305a12/</t>
        </is>
      </c>
      <c r="Q148" s="12" t="inlineStr"/>
      <c r="R148" s="16">
        <f>IF(P148="","ADD LINKEDIN","ok")</f>
        <v/>
      </c>
      <c r="S148" s="12" t="inlineStr">
        <is>
          <t>https://www.davidweekleyhomes.com/new-homes/tx/dallas-ft-worth</t>
        </is>
      </c>
      <c r="T148" s="15" t="inlineStr">
        <is>
          <t>Repeats a national plan library across 67 DFW communities. Its chief operating officer once ran Dallas.</t>
        </is>
      </c>
      <c r="U148" s="12" t="inlineStr"/>
      <c r="V148" s="15" t="inlineStr">
        <is>
          <t>Indexed title: Jay Brown, David Weekley Homes. Firm's about page.</t>
        </is>
      </c>
      <c r="W148" s="12" t="inlineStr">
        <is>
          <t>https://www.davidweekleyhomes.com/about-us</t>
        </is>
      </c>
      <c r="X148" s="12" t="inlineStr">
        <is>
          <t>https://www.linkedin.com/company/david-weekley-homes/</t>
        </is>
      </c>
      <c r="Y148" s="12" t="inlineStr">
        <is>
          <t>https://www.davidweekleyhomes.com/about-us</t>
        </is>
      </c>
      <c r="Z148" s="12" t="inlineStr">
        <is>
          <t>2025-07-24 Dallas Morning News. The 10 biggest homebuilders in D-FW  https://www.dallasnews.com/business/real-estate/2025/07/24/list-who-are-the-10-biggest-homebuilders-in-d-fw/</t>
        </is>
      </c>
      <c r="AA148" s="12" t="inlineStr">
        <is>
          <t>(877) 933-5539</t>
        </is>
      </c>
      <c r="AB148" s="12" t="inlineStr">
        <is>
          <t>Dallas/Ft. Worth homes page line</t>
        </is>
      </c>
      <c r="AC148" s="12" t="inlineStr">
        <is>
          <t>https://www.davidweekleyhomes.com/new-homes/tx/dallas-ft-worth</t>
        </is>
      </c>
      <c r="AD148" s="12" t="inlineStr"/>
      <c r="AE148" s="12" t="inlineStr"/>
    </row>
    <row r="149">
      <c r="A149" s="6" t="inlineStr">
        <is>
          <t>Chris Weekley</t>
        </is>
      </c>
      <c r="B149" s="6" t="inlineStr">
        <is>
          <t>David Weekley Homes</t>
        </is>
      </c>
      <c r="C149" s="6" t="inlineStr">
        <is>
          <t>President and Vice Chairman</t>
        </is>
      </c>
      <c r="D149" s="7" t="inlineStr">
        <is>
          <t>National builder</t>
        </is>
      </c>
      <c r="E149" s="8" t="n">
        <v>2</v>
      </c>
      <c r="F149" s="6" t="inlineStr">
        <is>
          <t>Client</t>
        </is>
      </c>
      <c r="G149" s="6" t="inlineStr">
        <is>
          <t>National homebuilder</t>
        </is>
      </c>
      <c r="H149" s="6" t="inlineStr">
        <is>
          <t>Carrollton division office, with communities across DFW</t>
        </is>
      </c>
      <c r="I149" s="6" t="inlineStr">
        <is>
          <t>943 Dallas-division closings in 2025, its own press kit</t>
        </is>
      </c>
      <c r="J149" s="8" t="inlineStr">
        <is>
          <t>Yes</t>
        </is>
      </c>
      <c r="K149" s="9" t="inlineStr">
        <is>
          <t>67 DFW communities on a national plan library, per the 2025 press kit.</t>
        </is>
      </c>
      <c r="L149" s="8" t="inlineStr">
        <is>
          <t>Partly</t>
        </is>
      </c>
      <c r="M149" s="9" t="inlineStr">
        <is>
          <t>943 Dallas-division closings in 2025, its own press kit.</t>
        </is>
      </c>
      <c r="N149" s="8" t="inlineStr">
        <is>
          <t>No</t>
        </is>
      </c>
      <c r="O149" s="9" t="inlineStr">
        <is>
          <t>ENERGY STAR recognition. Nothing structural on record.</t>
        </is>
      </c>
      <c r="P149" s="10" t="inlineStr"/>
      <c r="Q149" s="6" t="inlineStr"/>
      <c r="R149" s="11">
        <f>IF(P149="","ADD LINKEDIN","ok")</f>
        <v/>
      </c>
      <c r="S149" s="6" t="inlineStr">
        <is>
          <t>https://www.davidweekleyhomes.com/new-homes/tx/dallas-ft-worth</t>
        </is>
      </c>
      <c r="T149" s="9" t="inlineStr">
        <is>
          <t>Repeats a national plan library across 67 DFW communities. Its chief operating officer once ran Dallas.</t>
        </is>
      </c>
      <c r="U149" s="6" t="inlineStr"/>
      <c r="V149" s="9" t="inlineStr">
        <is>
          <t>Firm's about page.</t>
        </is>
      </c>
      <c r="W149" s="6" t="inlineStr">
        <is>
          <t>https://www.davidweekleyhomes.com/about-us</t>
        </is>
      </c>
      <c r="X149" s="6" t="inlineStr">
        <is>
          <t>https://www.linkedin.com/company/david-weekley-homes/</t>
        </is>
      </c>
      <c r="Y149" s="6" t="inlineStr">
        <is>
          <t>https://www.davidweekleyhomes.com/about-us</t>
        </is>
      </c>
      <c r="Z149" s="6" t="inlineStr">
        <is>
          <t>2025-07-24 Dallas Morning News. The 10 biggest homebuilders in D-FW  https://www.dallasnews.com/business/real-estate/2025/07/24/list-who-are-the-10-biggest-homebuilders-in-d-fw/</t>
        </is>
      </c>
      <c r="AA149" s="6" t="inlineStr">
        <is>
          <t>(877) 933-5539</t>
        </is>
      </c>
      <c r="AB149" s="6" t="inlineStr">
        <is>
          <t>Dallas/Ft. Worth homes page line</t>
        </is>
      </c>
      <c r="AC149" s="6" t="inlineStr">
        <is>
          <t>https://www.davidweekleyhomes.com/new-homes/tx/dallas-ft-worth</t>
        </is>
      </c>
      <c r="AD149" s="6" t="inlineStr"/>
      <c r="AE149" s="6" t="inlineStr"/>
    </row>
    <row r="150">
      <c r="A150" s="12" t="inlineStr">
        <is>
          <t>David Weekley</t>
        </is>
      </c>
      <c r="B150" s="12" t="inlineStr">
        <is>
          <t>David Weekley Homes</t>
        </is>
      </c>
      <c r="C150" s="12" t="inlineStr">
        <is>
          <t>Chairman</t>
        </is>
      </c>
      <c r="D150" s="13" t="inlineStr">
        <is>
          <t>National builder</t>
        </is>
      </c>
      <c r="E150" s="14" t="n">
        <v>2</v>
      </c>
      <c r="F150" s="12" t="inlineStr">
        <is>
          <t>Client</t>
        </is>
      </c>
      <c r="G150" s="12" t="inlineStr">
        <is>
          <t>National homebuilder</t>
        </is>
      </c>
      <c r="H150" s="12" t="inlineStr">
        <is>
          <t>Carrollton division office, with communities across DFW</t>
        </is>
      </c>
      <c r="I150" s="12" t="inlineStr">
        <is>
          <t>943 Dallas-division closings in 2025, its own press kit</t>
        </is>
      </c>
      <c r="J150" s="14" t="inlineStr">
        <is>
          <t>Yes</t>
        </is>
      </c>
      <c r="K150" s="15" t="inlineStr">
        <is>
          <t>67 DFW communities on a national plan library, per the 2025 press kit.</t>
        </is>
      </c>
      <c r="L150" s="14" t="inlineStr">
        <is>
          <t>Partly</t>
        </is>
      </c>
      <c r="M150" s="15" t="inlineStr">
        <is>
          <t>943 Dallas-division closings in 2025, its own press kit.</t>
        </is>
      </c>
      <c r="N150" s="14" t="inlineStr">
        <is>
          <t>No</t>
        </is>
      </c>
      <c r="O150" s="15" t="inlineStr">
        <is>
          <t>ENERGY STAR recognition. Nothing structural on record.</t>
        </is>
      </c>
      <c r="P150" s="6" t="inlineStr">
        <is>
          <t>https://www.linkedin.com/in/david-weekley-507212149</t>
        </is>
      </c>
      <c r="Q150" s="12" t="inlineStr"/>
      <c r="R150" s="16">
        <f>IF(P150="","ADD LINKEDIN","ok")</f>
        <v/>
      </c>
      <c r="S150" s="12" t="inlineStr">
        <is>
          <t>https://www.davidweekleyhomes.com/new-homes/tx/dallas-ft-worth</t>
        </is>
      </c>
      <c r="T150" s="15" t="inlineStr">
        <is>
          <t>Repeats a national plan library across 67 DFW communities. Its chief operating officer once ran Dallas.</t>
        </is>
      </c>
      <c r="U150" s="12" t="inlineStr"/>
      <c r="V150" s="15" t="inlineStr">
        <is>
          <t>Indexed title: Chairman at David Weekley Homes. Firm's about page.</t>
        </is>
      </c>
      <c r="W150" s="12" t="inlineStr">
        <is>
          <t>https://www.davidweekleyhomes.com/about-us</t>
        </is>
      </c>
      <c r="X150" s="12" t="inlineStr">
        <is>
          <t>https://www.linkedin.com/company/david-weekley-homes/</t>
        </is>
      </c>
      <c r="Y150" s="12" t="inlineStr">
        <is>
          <t>https://www.davidweekleyhomes.com/about-us</t>
        </is>
      </c>
      <c r="Z150" s="12" t="inlineStr">
        <is>
          <t>2025-07-24 Dallas Morning News. The 10 biggest homebuilders in D-FW  https://www.dallasnews.com/business/real-estate/2025/07/24/list-who-are-the-10-biggest-homebuilders-in-d-fw/</t>
        </is>
      </c>
      <c r="AA150" s="12" t="inlineStr">
        <is>
          <t>(877) 933-5539</t>
        </is>
      </c>
      <c r="AB150" s="12" t="inlineStr">
        <is>
          <t>Dallas/Ft. Worth homes page line</t>
        </is>
      </c>
      <c r="AC150" s="12" t="inlineStr">
        <is>
          <t>https://www.davidweekleyhomes.com/new-homes/tx/dallas-ft-worth</t>
        </is>
      </c>
      <c r="AD150" s="12" t="inlineStr"/>
      <c r="AE150" s="12" t="inlineStr"/>
    </row>
    <row r="151">
      <c r="A151" s="6" t="inlineStr">
        <is>
          <t>Ladd Fargo</t>
        </is>
      </c>
      <c r="B151" s="6" t="inlineStr">
        <is>
          <t>David Weekley Homes</t>
        </is>
      </c>
      <c r="C151" s="6" t="inlineStr">
        <is>
          <t>Chief Operating Officer</t>
        </is>
      </c>
      <c r="D151" s="7" t="inlineStr">
        <is>
          <t>National builder</t>
        </is>
      </c>
      <c r="E151" s="8" t="n">
        <v>2</v>
      </c>
      <c r="F151" s="6" t="inlineStr">
        <is>
          <t>Client</t>
        </is>
      </c>
      <c r="G151" s="6" t="inlineStr">
        <is>
          <t>National homebuilder</t>
        </is>
      </c>
      <c r="H151" s="6" t="inlineStr">
        <is>
          <t>Carrollton division office, with communities across DFW</t>
        </is>
      </c>
      <c r="I151" s="6" t="inlineStr">
        <is>
          <t>943 Dallas-division closings in 2025, its own press kit</t>
        </is>
      </c>
      <c r="J151" s="8" t="inlineStr">
        <is>
          <t>Yes</t>
        </is>
      </c>
      <c r="K151" s="9" t="inlineStr">
        <is>
          <t>67 DFW communities on a national plan library, per the 2025 press kit.</t>
        </is>
      </c>
      <c r="L151" s="8" t="inlineStr">
        <is>
          <t>Partly</t>
        </is>
      </c>
      <c r="M151" s="9" t="inlineStr">
        <is>
          <t>943 Dallas-division closings in 2025, its own press kit.</t>
        </is>
      </c>
      <c r="N151" s="8" t="inlineStr">
        <is>
          <t>No</t>
        </is>
      </c>
      <c r="O151" s="9" t="inlineStr">
        <is>
          <t>ENERGY STAR recognition. Nothing structural on record.</t>
        </is>
      </c>
      <c r="P151" s="10" t="inlineStr"/>
      <c r="Q151" s="6" t="inlineStr"/>
      <c r="R151" s="11">
        <f>IF(P151="","ADD LINKEDIN","ok")</f>
        <v/>
      </c>
      <c r="S151" s="6" t="inlineStr">
        <is>
          <t>https://www.davidweekleyhomes.com/new-homes/tx/dallas-ft-worth</t>
        </is>
      </c>
      <c r="T151" s="9" t="inlineStr">
        <is>
          <t>Repeats a national plan library across 67 DFW communities. Its chief operating officer once ran Dallas.</t>
        </is>
      </c>
      <c r="U151" s="6" t="inlineStr"/>
      <c r="V151" s="9" t="inlineStr">
        <is>
          <t>About page. Over all division operations.</t>
        </is>
      </c>
      <c r="W151" s="6" t="inlineStr">
        <is>
          <t>https://www.davidweekleyhomes.com/about-us</t>
        </is>
      </c>
      <c r="X151" s="6" t="inlineStr">
        <is>
          <t>https://www.linkedin.com/company/david-weekley-homes/</t>
        </is>
      </c>
      <c r="Y151" s="6" t="inlineStr">
        <is>
          <t>https://www.davidweekleyhomes.com/about-us</t>
        </is>
      </c>
      <c r="Z151" s="6" t="inlineStr">
        <is>
          <t>2025-07-24 Dallas Morning News. The 10 biggest homebuilders in D-FW  https://www.dallasnews.com/business/real-estate/2025/07/24/list-who-are-the-10-biggest-homebuilders-in-d-fw/</t>
        </is>
      </c>
      <c r="AA151" s="6" t="inlineStr">
        <is>
          <t>(877) 933-5539</t>
        </is>
      </c>
      <c r="AB151" s="6" t="inlineStr">
        <is>
          <t>Dallas/Ft. Worth homes page line</t>
        </is>
      </c>
      <c r="AC151" s="6" t="inlineStr">
        <is>
          <t>https://www.davidweekleyhomes.com/new-homes/tx/dallas-ft-worth</t>
        </is>
      </c>
      <c r="AD151" s="6" t="inlineStr"/>
      <c r="AE151" s="6" t="inlineStr"/>
    </row>
    <row r="152">
      <c r="A152" s="12" t="inlineStr">
        <is>
          <t>Kathy Britton</t>
        </is>
      </c>
      <c r="B152" s="12" t="inlineStr">
        <is>
          <t>Perry Homes</t>
        </is>
      </c>
      <c r="C152" s="12" t="inlineStr">
        <is>
          <t>Owner and Executive Chair</t>
        </is>
      </c>
      <c r="D152" s="13" t="inlineStr">
        <is>
          <t>National builder</t>
        </is>
      </c>
      <c r="E152" s="14" t="n">
        <v>2</v>
      </c>
      <c r="F152" s="12" t="inlineStr">
        <is>
          <t>Client</t>
        </is>
      </c>
      <c r="G152" s="12" t="inlineStr">
        <is>
          <t>National homebuilder</t>
        </is>
      </c>
      <c r="H152" s="12" t="inlineStr">
        <is>
          <t>Houston headquarters, Dallas office in Plano</t>
        </is>
      </c>
      <c r="I152" s="12" t="inlineStr">
        <is>
          <t>1,132 DFW closings in 2024, 2.6% share</t>
        </is>
      </c>
      <c r="J152" s="14" t="inlineStr">
        <is>
          <t>Yes</t>
        </is>
      </c>
      <c r="K152" s="15" t="inlineStr">
        <is>
          <t>Repeated plans across Houston, Austin, Dallas-Fort Worth, San Antonio and Florida.</t>
        </is>
      </c>
      <c r="L152" s="14" t="inlineStr">
        <is>
          <t>Partly</t>
        </is>
      </c>
      <c r="M152" s="15" t="inlineStr">
        <is>
          <t>1,132 DFW closings in 2024. Purchasing spans several markets.</t>
        </is>
      </c>
      <c r="N152" s="14" t="inlineStr">
        <is>
          <t>No</t>
        </is>
      </c>
      <c r="O152" s="15" t="inlineStr">
        <is>
          <t>Stresses design, warranty and features. Nothing structural.</t>
        </is>
      </c>
      <c r="P152" s="10" t="inlineStr"/>
      <c r="Q152" s="12" t="inlineStr"/>
      <c r="R152" s="16">
        <f>IF(P152="","ADD LINKEDIN","ok")</f>
        <v/>
      </c>
      <c r="S152" s="12" t="inlineStr">
        <is>
          <t>https://www.perryhomes.com/</t>
        </is>
      </c>
      <c r="T152" s="15" t="inlineStr">
        <is>
          <t>Run from Houston, with purchasing across several markets. Builds in Houston, Austin, Dallas-Fort Worth and San Antonio.</t>
        </is>
      </c>
      <c r="U152" s="12" t="inlineStr"/>
      <c r="V152" s="15" t="inlineStr">
        <is>
          <t>Perry about page.</t>
        </is>
      </c>
      <c r="W152" s="12" t="inlineStr">
        <is>
          <t>https://www.perryhomes.com/about-perry-homes</t>
        </is>
      </c>
      <c r="X152" s="12" t="inlineStr">
        <is>
          <t>https://www.linkedin.com/company/perry-homes/</t>
        </is>
      </c>
      <c r="Y152" s="12" t="inlineStr">
        <is>
          <t>https://www.perryhomes.com/about-perry-homes</t>
        </is>
      </c>
      <c r="Z152" s="12" t="inlineStr">
        <is>
          <t>2025-07-24 Dallas Morning News. The 10 biggest homebuilders in D-FW  https://www.dallasnews.com/business/real-estate/2025/07/24/list-who-are-the-10-biggest-homebuilders-in-d-fw/</t>
        </is>
      </c>
      <c r="AA152" s="12" t="inlineStr">
        <is>
          <t>(800) 247-3779</t>
        </is>
      </c>
      <c r="AB152" s="12" t="inlineStr">
        <is>
          <t>Main line</t>
        </is>
      </c>
      <c r="AC152" s="12" t="inlineStr">
        <is>
          <t>https://www.perryhomes.com/contact-us</t>
        </is>
      </c>
      <c r="AD152" s="12" t="inlineStr"/>
      <c r="AE152" s="12" t="inlineStr"/>
    </row>
    <row r="153">
      <c r="A153" s="6" t="inlineStr">
        <is>
          <t>Todd Chachere</t>
        </is>
      </c>
      <c r="B153" s="6" t="inlineStr">
        <is>
          <t>Perry Homes</t>
        </is>
      </c>
      <c r="C153" s="6" t="inlineStr">
        <is>
          <t>Chief Executive Officer</t>
        </is>
      </c>
      <c r="D153" s="7" t="inlineStr">
        <is>
          <t>National builder</t>
        </is>
      </c>
      <c r="E153" s="8" t="n">
        <v>2</v>
      </c>
      <c r="F153" s="6" t="inlineStr">
        <is>
          <t>Client</t>
        </is>
      </c>
      <c r="G153" s="6" t="inlineStr">
        <is>
          <t>National homebuilder</t>
        </is>
      </c>
      <c r="H153" s="6" t="inlineStr">
        <is>
          <t>Houston headquarters, Dallas office in Plano</t>
        </is>
      </c>
      <c r="I153" s="6" t="inlineStr">
        <is>
          <t>1,132 DFW closings in 2024, 2.6% share</t>
        </is>
      </c>
      <c r="J153" s="8" t="inlineStr">
        <is>
          <t>Yes</t>
        </is>
      </c>
      <c r="K153" s="9" t="inlineStr">
        <is>
          <t>Repeated plans across Houston, Austin, Dallas-Fort Worth, San Antonio and Florida.</t>
        </is>
      </c>
      <c r="L153" s="8" t="inlineStr">
        <is>
          <t>Partly</t>
        </is>
      </c>
      <c r="M153" s="9" t="inlineStr">
        <is>
          <t>1,132 DFW closings in 2024. Purchasing spans several markets.</t>
        </is>
      </c>
      <c r="N153" s="8" t="inlineStr">
        <is>
          <t>No</t>
        </is>
      </c>
      <c r="O153" s="9" t="inlineStr">
        <is>
          <t>Stresses design, warranty and features. Nothing structural.</t>
        </is>
      </c>
      <c r="P153" s="6" t="inlineStr">
        <is>
          <t>https://www.linkedin.com/in/todd-chachere-9516193b/</t>
        </is>
      </c>
      <c r="Q153" s="6" t="inlineStr"/>
      <c r="R153" s="11">
        <f>IF(P153="","ADD LINKEDIN","ok")</f>
        <v/>
      </c>
      <c r="S153" s="6" t="inlineStr">
        <is>
          <t>https://www.perryhomes.com/</t>
        </is>
      </c>
      <c r="T153" s="9" t="inlineStr">
        <is>
          <t>Run from Houston, with purchasing across several markets. Builds in Houston, Austin, Dallas-Fort Worth and San Antonio.</t>
        </is>
      </c>
      <c r="U153" s="6" t="inlineStr"/>
      <c r="V153" s="9" t="inlineStr">
        <is>
          <t>Indexed title: Todd Chachere, Perry Homes. Perry about page.</t>
        </is>
      </c>
      <c r="W153" s="6" t="inlineStr">
        <is>
          <t>https://www.perryhomes.com/about-perry-homes</t>
        </is>
      </c>
      <c r="X153" s="6" t="inlineStr">
        <is>
          <t>https://www.linkedin.com/company/perry-homes/</t>
        </is>
      </c>
      <c r="Y153" s="6" t="inlineStr">
        <is>
          <t>https://www.perryhomes.com/about-perry-homes</t>
        </is>
      </c>
      <c r="Z153" s="6" t="inlineStr">
        <is>
          <t>2025-07-24 Dallas Morning News. The 10 biggest homebuilders in D-FW  https://www.dallasnews.com/business/real-estate/2025/07/24/list-who-are-the-10-biggest-homebuilders-in-d-fw/</t>
        </is>
      </c>
      <c r="AA153" s="6" t="inlineStr">
        <is>
          <t>(800) 247-3779</t>
        </is>
      </c>
      <c r="AB153" s="6" t="inlineStr">
        <is>
          <t>Main line</t>
        </is>
      </c>
      <c r="AC153" s="6" t="inlineStr">
        <is>
          <t>https://www.perryhomes.com/contact-us</t>
        </is>
      </c>
      <c r="AD153" s="6" t="inlineStr"/>
      <c r="AE153" s="6" t="inlineStr"/>
    </row>
    <row r="154">
      <c r="A154" s="12" t="inlineStr">
        <is>
          <t>Troy Radelat</t>
        </is>
      </c>
      <c r="B154" s="12" t="inlineStr">
        <is>
          <t>Beazer Homes</t>
        </is>
      </c>
      <c r="C154" s="12" t="inlineStr">
        <is>
          <t>Area President</t>
        </is>
      </c>
      <c r="D154" s="13" t="inlineStr">
        <is>
          <t>National builder</t>
        </is>
      </c>
      <c r="E154" s="14" t="n">
        <v>1</v>
      </c>
      <c r="F154" s="12" t="inlineStr">
        <is>
          <t>Client</t>
        </is>
      </c>
      <c r="G154" s="12" t="inlineStr">
        <is>
          <t>National homebuilder</t>
        </is>
      </c>
      <c r="H154" s="12" t="inlineStr">
        <is>
          <t>DFW suburbs from Fate and Forney to Celina and Justin</t>
        </is>
      </c>
      <c r="I154" s="12" t="inlineStr">
        <is>
          <t>Dallas page lists 17 DFW place names</t>
        </is>
      </c>
      <c r="J154" s="14" t="inlineStr">
        <is>
          <t>Yes</t>
        </is>
      </c>
      <c r="K154" s="15" t="inlineStr">
        <is>
          <t>Production plans repeated across 17 DFW places, per its Dallas page.</t>
        </is>
      </c>
      <c r="L154" s="14" t="inlineStr">
        <is>
          <t>No</t>
        </is>
      </c>
      <c r="M154" s="15" t="inlineStr">
        <is>
          <t>Purchasing sits at a national desk.</t>
        </is>
      </c>
      <c r="N154" s="14" t="inlineStr">
        <is>
          <t>No</t>
        </is>
      </c>
      <c r="O154" s="15" t="inlineStr">
        <is>
          <t>Nothing on record.</t>
        </is>
      </c>
      <c r="P154" s="10" t="inlineStr"/>
      <c r="Q154" s="12" t="inlineStr"/>
      <c r="R154" s="16">
        <f>IF(P154="","ADD LINKEDIN","ok")</f>
        <v/>
      </c>
      <c r="S154" s="12" t="inlineStr">
        <is>
          <t>https://www.beazer.com/dallas-tx</t>
        </is>
      </c>
      <c r="T154" s="15" t="inlineStr">
        <is>
          <t>A national public builder, buying at a national desk. Sells from Fate and Forney to Celina and Justin.</t>
        </is>
      </c>
      <c r="U154" s="12" t="inlineStr">
        <is>
          <t>YES</t>
        </is>
      </c>
      <c r="V154" s="15" t="inlineStr">
        <is>
          <t>SuperAging, April 25, 2024. Spoke on Gatherings communities in six metros.</t>
        </is>
      </c>
      <c r="W154" s="12" t="inlineStr">
        <is>
          <t>https://superagingnews.com/age-restricted-housing-developments-are-booming/</t>
        </is>
      </c>
      <c r="X154" s="12" t="inlineStr">
        <is>
          <t>https://www.linkedin.com/company/beazer-homes/</t>
        </is>
      </c>
      <c r="Y154" s="12" t="inlineStr"/>
      <c r="Z154" s="12" t="inlineStr"/>
      <c r="AA154" s="12" t="inlineStr">
        <is>
          <t>(469) 630-6077</t>
        </is>
      </c>
      <c r="AB154" s="12" t="inlineStr">
        <is>
          <t>Goodland community sales, Midlothian</t>
        </is>
      </c>
      <c r="AC154" s="12" t="inlineStr">
        <is>
          <t>https://www.beazer.com/dallas-TX/midlothian/goodland</t>
        </is>
      </c>
      <c r="AD154" s="12" t="inlineStr"/>
      <c r="AE154" s="12" t="inlineStr"/>
    </row>
    <row r="155">
      <c r="A155" s="6" t="inlineStr">
        <is>
          <t>Scott Bryson</t>
        </is>
      </c>
      <c r="B155" s="6" t="inlineStr">
        <is>
          <t>Centex (PulteGroup brand)</t>
        </is>
      </c>
      <c r="C155" s="6" t="inlineStr">
        <is>
          <t>Dallas Division President, PulteGroup</t>
        </is>
      </c>
      <c r="D155" s="7" t="inlineStr">
        <is>
          <t>National builder</t>
        </is>
      </c>
      <c r="E155" s="8" t="n">
        <v>1</v>
      </c>
      <c r="F155" s="6" t="inlineStr">
        <is>
          <t>Client</t>
        </is>
      </c>
      <c r="G155" s="6" t="inlineStr">
        <is>
          <t>National homebuilder, a PulteGroup brand</t>
        </is>
      </c>
      <c r="H155" s="6" t="inlineStr">
        <is>
          <t>DFW, with communities in Denton and Forney</t>
        </is>
      </c>
      <c r="I155" s="6" t="inlineStr">
        <is>
          <t>Inside PulteGroup's 1,083 DFW closings in 2025</t>
        </is>
      </c>
      <c r="J155" s="8" t="inlineStr">
        <is>
          <t>Yes</t>
        </is>
      </c>
      <c r="K155" s="9" t="inlineStr">
        <is>
          <t>Entry-level plan sets, including Townsend Green in Denton and Arbordale in Forney.</t>
        </is>
      </c>
      <c r="L155" s="8" t="inlineStr">
        <is>
          <t>No</t>
        </is>
      </c>
      <c r="M155" s="9" t="inlineStr">
        <is>
          <t>A brand, not a separate metro wall buyer.</t>
        </is>
      </c>
      <c r="N155" s="8" t="inlineStr">
        <is>
          <t>No</t>
        </is>
      </c>
      <c r="O155" s="9" t="inlineStr">
        <is>
          <t>Nothing on record. HERS content is PulteGroup platform material.</t>
        </is>
      </c>
      <c r="P155" s="6" t="inlineStr">
        <is>
          <t>https://www.linkedin.com/in/scott-bryson-2909939/</t>
        </is>
      </c>
      <c r="Q155" s="6" t="inlineStr"/>
      <c r="R155" s="11">
        <f>IF(P155="","ADD LINKEDIN","ok")</f>
        <v/>
      </c>
      <c r="S155" s="6" t="inlineStr">
        <is>
          <t>https://www.centex.com/homes/texas/dallas</t>
        </is>
      </c>
      <c r="T155" s="9" t="inlineStr">
        <is>
          <t>PulteGroup's affordable brand, buying through PulteGroup's national desk. Sells at Townsend Green in Denton and Arbordale in Forney.</t>
        </is>
      </c>
      <c r="U155" s="6" t="inlineStr">
        <is>
          <t>YES</t>
        </is>
      </c>
      <c r="V155" s="9" t="inlineStr">
        <is>
          <t>Indexed title: Scott Bryson, PulteGroup. PulteGroup release, August 21, 2025. It does not mention Centex.</t>
        </is>
      </c>
      <c r="W155" s="6" t="inlineStr">
        <is>
          <t>https://www.businesswire.com/news/home/20250821913928/en/PulteGroup-Promotes-Scott-Bryson-to-Dallas-Division-President</t>
        </is>
      </c>
      <c r="X155" s="6" t="inlineStr">
        <is>
          <t>https://www.linkedin.com/company/centex-homes/</t>
        </is>
      </c>
      <c r="Y155" s="6" t="inlineStr"/>
      <c r="Z155" s="6" t="inlineStr"/>
      <c r="AA155" s="6" t="inlineStr">
        <is>
          <t>(972) 634-1226</t>
        </is>
      </c>
      <c r="AB155" s="6" t="inlineStr">
        <is>
          <t>Arbordale community sales, Forney</t>
        </is>
      </c>
      <c r="AC155" s="6" t="inlineStr">
        <is>
          <t>https://www.centex.com/homes/texas/dallas/forney/arbordale-211042</t>
        </is>
      </c>
      <c r="AD155" s="6" t="inlineStr"/>
      <c r="AE155" s="6" t="inlineStr"/>
    </row>
    <row r="156">
      <c r="A156" s="12" t="inlineStr">
        <is>
          <t>Taylor Humphrey</t>
        </is>
      </c>
      <c r="B156" s="12" t="inlineStr">
        <is>
          <t>Century Communities</t>
        </is>
      </c>
      <c r="C156" s="12" t="inlineStr">
        <is>
          <t>Division President, Dallas-Fort Worth</t>
        </is>
      </c>
      <c r="D156" s="13" t="inlineStr">
        <is>
          <t>National builder</t>
        </is>
      </c>
      <c r="E156" s="14" t="n">
        <v>1</v>
      </c>
      <c r="F156" s="12" t="inlineStr">
        <is>
          <t>Client</t>
        </is>
      </c>
      <c r="G156" s="12" t="inlineStr">
        <is>
          <t>National homebuilder</t>
        </is>
      </c>
      <c r="H156" s="12" t="inlineStr">
        <is>
          <t>Dallas-Fort Worth, from Anna to Ferris</t>
        </is>
      </c>
      <c r="I156" s="12" t="inlineStr">
        <is>
          <t>New homes in eight DFW cities, per its own site</t>
        </is>
      </c>
      <c r="J156" s="14" t="inlineStr">
        <is>
          <t>Yes</t>
        </is>
      </c>
      <c r="K156" s="15" t="inlineStr">
        <is>
          <t>National plan collections, including Classic, repeated across DFW communities.</t>
        </is>
      </c>
      <c r="L156" s="14" t="inlineStr">
        <is>
          <t>No</t>
        </is>
      </c>
      <c r="M156" s="15" t="inlineStr">
        <is>
          <t>National builder.</t>
        </is>
      </c>
      <c r="N156" s="14" t="inlineStr">
        <is>
          <t>No</t>
        </is>
      </c>
      <c r="O156" s="15" t="inlineStr">
        <is>
          <t>112-day cycle and 5 percent direct-cost cut in Q2 2026, per HousingWire. No change of method.</t>
        </is>
      </c>
      <c r="P156" s="10" t="inlineStr"/>
      <c r="Q156" s="12" t="inlineStr"/>
      <c r="R156" s="16">
        <f>IF(P156="","ADD LINKEDIN","ok")</f>
        <v/>
      </c>
      <c r="S156" s="12" t="inlineStr">
        <is>
          <t>https://www.centurycommunities.com/</t>
        </is>
      </c>
      <c r="T156" s="15" t="inlineStr">
        <is>
          <t>Purchasing sits above the metro. Cut direct costs 5 percent in Q2 2026 with no change of method.</t>
        </is>
      </c>
      <c r="U156" s="12" t="inlineStr">
        <is>
          <t>YES</t>
        </is>
      </c>
      <c r="V156" s="15" t="inlineStr">
        <is>
          <t>Century release on PR Newswire, April 15, 2026.</t>
        </is>
      </c>
      <c r="W156" s="12" t="inlineStr">
        <is>
          <t>https://www.prnewswire.com/news-releases/century-communities-plans-april-grand-opening-in-fast-growing-anna-tx-302743467.html</t>
        </is>
      </c>
      <c r="X156" s="12" t="inlineStr">
        <is>
          <t>https://www.linkedin.com/company/century-communities/</t>
        </is>
      </c>
      <c r="Y156" s="12" t="inlineStr">
        <is>
          <t>https://www.prnewswire.com/news-releases/century-communities-plans-april-grand-opening-in-fast-growing-anna-tx-302743467.html</t>
        </is>
      </c>
      <c r="Z156" s="12" t="inlineStr"/>
      <c r="AA156" s="12" t="inlineStr">
        <is>
          <t>(817) 866-2980</t>
        </is>
      </c>
      <c r="AB156" s="12" t="inlineStr">
        <is>
          <t>DFW available-homes line</t>
        </is>
      </c>
      <c r="AC156" s="12" t="inlineStr">
        <is>
          <t>https://www.centurycommunities.com/find-your-new-home/texas/dallas-fort-worth-metro/</t>
        </is>
      </c>
      <c r="AD156" s="12" t="inlineStr"/>
      <c r="AE156" s="12" t="inlineStr"/>
    </row>
    <row r="157">
      <c r="A157" s="6" t="inlineStr">
        <is>
          <t>Scott Bryson</t>
        </is>
      </c>
      <c r="B157" s="6" t="inlineStr">
        <is>
          <t>Del Webb (PulteGroup brand)</t>
        </is>
      </c>
      <c r="C157" s="6" t="inlineStr">
        <is>
          <t>President, PulteGroup Dallas division</t>
        </is>
      </c>
      <c r="D157" s="7" t="inlineStr">
        <is>
          <t>National builder</t>
        </is>
      </c>
      <c r="E157" s="8" t="n">
        <v>1</v>
      </c>
      <c r="F157" s="6" t="inlineStr">
        <is>
          <t>Client</t>
        </is>
      </c>
      <c r="G157" s="6" t="inlineStr">
        <is>
          <t>Active-adult homebuilder, a PulteGroup brand</t>
        </is>
      </c>
      <c r="H157" s="6" t="inlineStr">
        <is>
          <t>McKinney, at Trinity Falls</t>
        </is>
      </c>
      <c r="I157" s="6" t="inlineStr">
        <is>
          <t>PulteGroup 55+ brand at Trinity Falls, McKinney</t>
        </is>
      </c>
      <c r="J157" s="8" t="inlineStr">
        <is>
          <t>Yes</t>
        </is>
      </c>
      <c r="K157" s="9" t="inlineStr">
        <is>
          <t>55+ plan collections repeated across its Dallas market page.</t>
        </is>
      </c>
      <c r="L157" s="8" t="inlineStr">
        <is>
          <t>No</t>
        </is>
      </c>
      <c r="M157" s="9" t="inlineStr">
        <is>
          <t>Purchasing at PulteGroup's national desk.</t>
        </is>
      </c>
      <c r="N157" s="8" t="inlineStr">
        <is>
          <t>No</t>
        </is>
      </c>
      <c r="O157" s="9" t="inlineStr">
        <is>
          <t>Nothing published for Del Webb in DFW.</t>
        </is>
      </c>
      <c r="P157" s="6" t="inlineStr">
        <is>
          <t>https://www.linkedin.com/in/scott-bryson-2909939/</t>
        </is>
      </c>
      <c r="Q157" s="6" t="inlineStr"/>
      <c r="R157" s="11">
        <f>IF(P157="","ADD LINKEDIN","ok")</f>
        <v/>
      </c>
      <c r="S157" s="6" t="inlineStr">
        <is>
          <t>https://www.delwebb.com/homes/texas/dallas</t>
        </is>
      </c>
      <c r="T157" s="9" t="inlineStr">
        <is>
          <t>Buys through PulteGroup's national desk. Repeats active-adult plan collections across its Dallas market page.</t>
        </is>
      </c>
      <c r="U157" s="6" t="inlineStr">
        <is>
          <t>YES</t>
        </is>
      </c>
      <c r="V157" s="9" t="inlineStr">
        <is>
          <t>Indexed title: PulteGroup. PulteGroup BusinessWire release, August 21, 2025.</t>
        </is>
      </c>
      <c r="W157" s="6" t="inlineStr">
        <is>
          <t>https://www.businesswire.com/news/home/20250821913928/en/PulteGroup-Promotes-Scott-Bryson-to-Dallas-Division-President</t>
        </is>
      </c>
      <c r="X157" s="6" t="inlineStr">
        <is>
          <t>https://www.linkedin.com/company/del-webb/</t>
        </is>
      </c>
      <c r="Y157" s="6" t="inlineStr"/>
      <c r="Z157" s="6" t="inlineStr"/>
      <c r="AA157" s="6" t="inlineStr">
        <is>
          <t>(972) 736-9368</t>
        </is>
      </c>
      <c r="AB157" s="6" t="inlineStr">
        <is>
          <t>Sales, Del Webb at Trinity Falls, McKinney</t>
        </is>
      </c>
      <c r="AC157" s="6" t="inlineStr">
        <is>
          <t>https://www.delwebb.com/homes/texas/dallas/mckinney/del-webb-at-trinity-falls-210272</t>
        </is>
      </c>
      <c r="AD157" s="6" t="inlineStr"/>
      <c r="AE157" s="6" t="inlineStr"/>
    </row>
    <row r="158">
      <c r="A158" s="12" t="inlineStr">
        <is>
          <t>James R. Brickman</t>
        </is>
      </c>
      <c r="B158" s="12" t="inlineStr">
        <is>
          <t>Green Brick Partners, Inc.</t>
        </is>
      </c>
      <c r="C158" s="12" t="inlineStr">
        <is>
          <t>Co-founder, Chief Executive Officer and Director</t>
        </is>
      </c>
      <c r="D158" s="13" t="inlineStr">
        <is>
          <t>National builder</t>
        </is>
      </c>
      <c r="E158" s="14" t="n">
        <v>1</v>
      </c>
      <c r="F158" s="12" t="inlineStr">
        <is>
          <t>Client</t>
        </is>
      </c>
      <c r="G158" s="12" t="inlineStr">
        <is>
          <t>National homebuilder and land developer</t>
        </is>
      </c>
      <c r="H158" s="12" t="inlineStr">
        <is>
          <t>Plano, with five brands across Dallas-Fort Worth</t>
        </is>
      </c>
      <c r="I158" s="12" t="inlineStr">
        <is>
          <t>3,196 DFW closings in 2025, 7.8% share</t>
        </is>
      </c>
      <c r="J158" s="14" t="inlineStr">
        <is>
          <t>Yes</t>
        </is>
      </c>
      <c r="K158" s="15" t="inlineStr">
        <is>
          <t>Five DFW production brands, with land acquisition and development run centrally.</t>
        </is>
      </c>
      <c r="L158" s="14" t="inlineStr">
        <is>
          <t>No</t>
        </is>
      </c>
      <c r="M158" s="15" t="inlineStr">
        <is>
          <t>Parent volume above 1,500 closings, per BUILDER.</t>
        </is>
      </c>
      <c r="N158" s="14" t="inlineStr">
        <is>
          <t>No</t>
        </is>
      </c>
      <c r="O158" s="15" t="inlineStr">
        <is>
          <t>Claims technological advancement and process integration. No payment for a new wall method.</t>
        </is>
      </c>
      <c r="P158" s="6" t="inlineStr">
        <is>
          <t>https://www.linkedin.com/in/james-brickman-10040316/</t>
        </is>
      </c>
      <c r="Q158" s="12" t="inlineStr"/>
      <c r="R158" s="16">
        <f>IF(P158="","ADD LINKEDIN","ok")</f>
        <v/>
      </c>
      <c r="S158" s="12" t="inlineStr">
        <is>
          <t>https://greenbrickpartners.com/</t>
        </is>
      </c>
      <c r="T158" s="15" t="inlineStr">
        <is>
          <t>Runs five DFW builder brands, Trophy Signature, CB JENI and Southgate among them, with land acquisition and development run centrally.</t>
        </is>
      </c>
      <c r="U158" s="12" t="inlineStr"/>
      <c r="V158" s="15" t="inlineStr">
        <is>
          <t>Indexed title: Green Brick Partners. Firm's leadership page.</t>
        </is>
      </c>
      <c r="W158" s="12" t="inlineStr">
        <is>
          <t>https://greenbrickpartners.com/leadership/</t>
        </is>
      </c>
      <c r="X158" s="12" t="inlineStr">
        <is>
          <t>https://www.linkedin.com/company/green-brick-partners/</t>
        </is>
      </c>
      <c r="Y158" s="12" t="inlineStr">
        <is>
          <t>https://greenbrickpartners.com/leadership/</t>
        </is>
      </c>
      <c r="Z158" s="12" t="inlineStr">
        <is>
          <t>2025-07-24 Dallas Morning News. The 10 biggest homebuilders in D-FW  https://www.dallasnews.com/business/real-estate/2025/07/24/list-who-are-the-10-biggest-homebuilders-in-d-fw/</t>
        </is>
      </c>
      <c r="AA158" s="12" t="inlineStr">
        <is>
          <t>(469) 573-6721</t>
        </is>
      </c>
      <c r="AB158" s="12" t="inlineStr">
        <is>
          <t>Corporate office, Plano</t>
        </is>
      </c>
      <c r="AC158" s="12" t="inlineStr">
        <is>
          <t>https://greenbrickpartners.com/about/</t>
        </is>
      </c>
      <c r="AD158" s="12" t="inlineStr"/>
      <c r="AE158" s="12" t="inlineStr"/>
    </row>
    <row r="159">
      <c r="A159" s="6" t="inlineStr">
        <is>
          <t>Jed Dolson</t>
        </is>
      </c>
      <c r="B159" s="6" t="inlineStr">
        <is>
          <t>Green Brick Partners, Inc.</t>
        </is>
      </c>
      <c r="C159" s="6" t="inlineStr">
        <is>
          <t>President and Chief Operating Officer. Co-Chief Executive Officer from 15 October 2026</t>
        </is>
      </c>
      <c r="D159" s="7" t="inlineStr">
        <is>
          <t>National builder</t>
        </is>
      </c>
      <c r="E159" s="8" t="n">
        <v>1</v>
      </c>
      <c r="F159" s="6" t="inlineStr">
        <is>
          <t>Client</t>
        </is>
      </c>
      <c r="G159" s="6" t="inlineStr">
        <is>
          <t>National homebuilder and land developer</t>
        </is>
      </c>
      <c r="H159" s="6" t="inlineStr">
        <is>
          <t>Plano, with five brands across Dallas-Fort Worth</t>
        </is>
      </c>
      <c r="I159" s="6" t="inlineStr">
        <is>
          <t>3,196 DFW closings in 2025, 7.8% share</t>
        </is>
      </c>
      <c r="J159" s="8" t="inlineStr">
        <is>
          <t>Yes</t>
        </is>
      </c>
      <c r="K159" s="9" t="inlineStr">
        <is>
          <t>Five DFW production brands, with land acquisition and development run centrally.</t>
        </is>
      </c>
      <c r="L159" s="8" t="inlineStr">
        <is>
          <t>No</t>
        </is>
      </c>
      <c r="M159" s="9" t="inlineStr">
        <is>
          <t>Parent volume above 1,500 closings, per BUILDER.</t>
        </is>
      </c>
      <c r="N159" s="8" t="inlineStr">
        <is>
          <t>No</t>
        </is>
      </c>
      <c r="O159" s="9" t="inlineStr">
        <is>
          <t>Claims technological advancement and process integration. No payment for a new wall method.</t>
        </is>
      </c>
      <c r="P159" s="6" t="inlineStr">
        <is>
          <t>https://www.linkedin.com/in/jed-dolson/</t>
        </is>
      </c>
      <c r="Q159" s="6" t="inlineStr"/>
      <c r="R159" s="11">
        <f>IF(P159="","ADD LINKEDIN","ok")</f>
        <v/>
      </c>
      <c r="S159" s="6" t="inlineStr">
        <is>
          <t>https://greenbrickpartners.com/</t>
        </is>
      </c>
      <c r="T159" s="9" t="inlineStr">
        <is>
          <t>Runs five DFW builder brands, Trophy Signature, CB JENI and Southgate among them, with land acquisition and development run centrally.</t>
        </is>
      </c>
      <c r="U159" s="6" t="inlineStr"/>
      <c r="V159" s="9" t="inlineStr">
        <is>
          <t>Indexed title: Chief Operating Officer and Executive Vice President. Leadership page. 30 July 2026 release, filed with the SEC.</t>
        </is>
      </c>
      <c r="W159" s="6" t="inlineStr">
        <is>
          <t>https://greenbrickpartners.com/leadership/</t>
        </is>
      </c>
      <c r="X159" s="6" t="inlineStr">
        <is>
          <t>https://www.linkedin.com/company/green-brick-partners/</t>
        </is>
      </c>
      <c r="Y159" s="6" t="inlineStr">
        <is>
          <t>https://greenbrickpartners.com/leadership/</t>
        </is>
      </c>
      <c r="Z159" s="6" t="inlineStr">
        <is>
          <t>2025-07-24 Dallas Morning News. The 10 biggest homebuilders in D-FW  https://www.dallasnews.com/business/real-estate/2025/07/24/list-who-are-the-10-biggest-homebuilders-in-d-fw/</t>
        </is>
      </c>
      <c r="AA159" s="6" t="inlineStr">
        <is>
          <t>(469) 573-6721</t>
        </is>
      </c>
      <c r="AB159" s="6" t="inlineStr">
        <is>
          <t>Corporate office, Plano</t>
        </is>
      </c>
      <c r="AC159" s="6" t="inlineStr">
        <is>
          <t>https://greenbrickpartners.com/about/</t>
        </is>
      </c>
      <c r="AD159" s="6" t="inlineStr"/>
      <c r="AE159" s="6" t="inlineStr"/>
    </row>
    <row r="160">
      <c r="A160" s="12" t="inlineStr">
        <is>
          <t>Bobby L. Samuel III</t>
        </is>
      </c>
      <c r="B160" s="12" t="inlineStr">
        <is>
          <t>Green Brick Partners, Inc.</t>
        </is>
      </c>
      <c r="C160" s="12" t="inlineStr">
        <is>
          <t>Executive Vice President of Land</t>
        </is>
      </c>
      <c r="D160" s="13" t="inlineStr">
        <is>
          <t>National builder</t>
        </is>
      </c>
      <c r="E160" s="14" t="n">
        <v>1</v>
      </c>
      <c r="F160" s="12" t="inlineStr">
        <is>
          <t>Client</t>
        </is>
      </c>
      <c r="G160" s="12" t="inlineStr">
        <is>
          <t>National homebuilder and land developer</t>
        </is>
      </c>
      <c r="H160" s="12" t="inlineStr">
        <is>
          <t>Plano, with five brands across Dallas-Fort Worth</t>
        </is>
      </c>
      <c r="I160" s="12" t="inlineStr">
        <is>
          <t>3,196 DFW closings in 2025, 7.8% share</t>
        </is>
      </c>
      <c r="J160" s="14" t="inlineStr">
        <is>
          <t>Yes</t>
        </is>
      </c>
      <c r="K160" s="15" t="inlineStr">
        <is>
          <t>Five DFW production brands, with land acquisition and development run centrally.</t>
        </is>
      </c>
      <c r="L160" s="14" t="inlineStr">
        <is>
          <t>No</t>
        </is>
      </c>
      <c r="M160" s="15" t="inlineStr">
        <is>
          <t>Parent volume above 1,500 closings, per BUILDER.</t>
        </is>
      </c>
      <c r="N160" s="14" t="inlineStr">
        <is>
          <t>No</t>
        </is>
      </c>
      <c r="O160" s="15" t="inlineStr">
        <is>
          <t>Claims technological advancement and process integration. No payment for a new wall method.</t>
        </is>
      </c>
      <c r="P160" s="10" t="inlineStr"/>
      <c r="Q160" s="12" t="inlineStr"/>
      <c r="R160" s="16">
        <f>IF(P160="","ADD LINKEDIN","ok")</f>
        <v/>
      </c>
      <c r="S160" s="12" t="inlineStr">
        <is>
          <t>https://greenbrickpartners.com/</t>
        </is>
      </c>
      <c r="T160" s="15" t="inlineStr">
        <is>
          <t>Runs five DFW builder brands, Trophy Signature, CB JENI and Southgate among them, with land acquisition and development run centrally.</t>
        </is>
      </c>
      <c r="U160" s="12" t="inlineStr"/>
      <c r="V160" s="15" t="inlineStr">
        <is>
          <t>Leadership page. Runs land for the parent and subsidiary builders.</t>
        </is>
      </c>
      <c r="W160" s="12" t="inlineStr">
        <is>
          <t>https://greenbrickpartners.com/leadership/</t>
        </is>
      </c>
      <c r="X160" s="12" t="inlineStr">
        <is>
          <t>https://www.linkedin.com/company/green-brick-partners/</t>
        </is>
      </c>
      <c r="Y160" s="12" t="inlineStr">
        <is>
          <t>https://greenbrickpartners.com/leadership/</t>
        </is>
      </c>
      <c r="Z160" s="12" t="inlineStr">
        <is>
          <t>2025-07-24 Dallas Morning News. The 10 biggest homebuilders in D-FW  https://www.dallasnews.com/business/real-estate/2025/07/24/list-who-are-the-10-biggest-homebuilders-in-d-fw/</t>
        </is>
      </c>
      <c r="AA160" s="12" t="inlineStr">
        <is>
          <t>(469) 573-6721</t>
        </is>
      </c>
      <c r="AB160" s="12" t="inlineStr">
        <is>
          <t>Corporate office, Plano</t>
        </is>
      </c>
      <c r="AC160" s="12" t="inlineStr">
        <is>
          <t>https://greenbrickpartners.com/about/</t>
        </is>
      </c>
      <c r="AD160" s="12" t="inlineStr"/>
      <c r="AE160" s="12" t="inlineStr"/>
    </row>
    <row r="161">
      <c r="A161" s="6" t="inlineStr">
        <is>
          <t>Jeffery Cox</t>
        </is>
      </c>
      <c r="B161" s="6" t="inlineStr">
        <is>
          <t>Green Brick Partners, Inc.</t>
        </is>
      </c>
      <c r="C161" s="6" t="inlineStr">
        <is>
          <t>Chief Financial Officer</t>
        </is>
      </c>
      <c r="D161" s="7" t="inlineStr">
        <is>
          <t>National builder</t>
        </is>
      </c>
      <c r="E161" s="8" t="n">
        <v>1</v>
      </c>
      <c r="F161" s="6" t="inlineStr">
        <is>
          <t>Client</t>
        </is>
      </c>
      <c r="G161" s="6" t="inlineStr">
        <is>
          <t>National homebuilder and land developer</t>
        </is>
      </c>
      <c r="H161" s="6" t="inlineStr">
        <is>
          <t>Plano, with five brands across Dallas-Fort Worth</t>
        </is>
      </c>
      <c r="I161" s="6" t="inlineStr">
        <is>
          <t>3,196 DFW closings in 2025, 7.8% share</t>
        </is>
      </c>
      <c r="J161" s="8" t="inlineStr">
        <is>
          <t>Yes</t>
        </is>
      </c>
      <c r="K161" s="9" t="inlineStr">
        <is>
          <t>Five DFW production brands, with land acquisition and development run centrally.</t>
        </is>
      </c>
      <c r="L161" s="8" t="inlineStr">
        <is>
          <t>No</t>
        </is>
      </c>
      <c r="M161" s="9" t="inlineStr">
        <is>
          <t>Parent volume above 1,500 closings, per BUILDER.</t>
        </is>
      </c>
      <c r="N161" s="8" t="inlineStr">
        <is>
          <t>No</t>
        </is>
      </c>
      <c r="O161" s="9" t="inlineStr">
        <is>
          <t>Claims technological advancement and process integration. No payment for a new wall method.</t>
        </is>
      </c>
      <c r="P161" s="6" t="inlineStr">
        <is>
          <t>https://www.linkedin.com/in/jefferycox/</t>
        </is>
      </c>
      <c r="Q161" s="6" t="inlineStr"/>
      <c r="R161" s="11">
        <f>IF(P161="","ADD LINKEDIN","ok")</f>
        <v/>
      </c>
      <c r="S161" s="6" t="inlineStr">
        <is>
          <t>https://greenbrickpartners.com/</t>
        </is>
      </c>
      <c r="T161" s="9" t="inlineStr">
        <is>
          <t>Runs five DFW builder brands, Trophy Signature, CB JENI and Southgate among them, with land acquisition and development run centrally.</t>
        </is>
      </c>
      <c r="U161" s="6" t="inlineStr"/>
      <c r="V161" s="9" t="inlineStr">
        <is>
          <t>Indexed title: Green Brick Partners. Leadership page. Appointed October 2025.</t>
        </is>
      </c>
      <c r="W161" s="6" t="inlineStr">
        <is>
          <t>https://greenbrickpartners.com/leadership/</t>
        </is>
      </c>
      <c r="X161" s="6" t="inlineStr">
        <is>
          <t>https://www.linkedin.com/company/green-brick-partners/</t>
        </is>
      </c>
      <c r="Y161" s="6" t="inlineStr">
        <is>
          <t>https://greenbrickpartners.com/leadership/</t>
        </is>
      </c>
      <c r="Z161" s="6" t="inlineStr">
        <is>
          <t>2025-07-24 Dallas Morning News. The 10 biggest homebuilders in D-FW  https://www.dallasnews.com/business/real-estate/2025/07/24/list-who-are-the-10-biggest-homebuilders-in-d-fw/</t>
        </is>
      </c>
      <c r="AA161" s="6" t="inlineStr">
        <is>
          <t>(469) 573-6721</t>
        </is>
      </c>
      <c r="AB161" s="6" t="inlineStr">
        <is>
          <t>Corporate office, Plano</t>
        </is>
      </c>
      <c r="AC161" s="6" t="inlineStr">
        <is>
          <t>https://greenbrickpartners.com/about/</t>
        </is>
      </c>
      <c r="AD161" s="6" t="inlineStr"/>
      <c r="AE161" s="6" t="inlineStr"/>
    </row>
    <row r="162">
      <c r="A162" s="12" t="inlineStr">
        <is>
          <t>Chris Hartley</t>
        </is>
      </c>
      <c r="B162" s="12" t="inlineStr">
        <is>
          <t>K. Hovnanian Homes</t>
        </is>
      </c>
      <c r="C162" s="12" t="inlineStr">
        <is>
          <t>Division President</t>
        </is>
      </c>
      <c r="D162" s="13" t="inlineStr">
        <is>
          <t>National builder</t>
        </is>
      </c>
      <c r="E162" s="14" t="n">
        <v>1</v>
      </c>
      <c r="F162" s="12" t="inlineStr">
        <is>
          <t>Client</t>
        </is>
      </c>
      <c r="G162" s="12" t="inlineStr">
        <is>
          <t>National homebuilder</t>
        </is>
      </c>
      <c r="H162" s="12" t="inlineStr">
        <is>
          <t>North Texas: Haslet, Fort Worth, Van Alstyne and Providence Village</t>
        </is>
      </c>
      <c r="I162" s="12" t="inlineStr">
        <is>
          <t>National public builder with North Texas communities</t>
        </is>
      </c>
      <c r="J162" s="14" t="inlineStr">
        <is>
          <t>Yes</t>
        </is>
      </c>
      <c r="K162" s="15" t="inlineStr">
        <is>
          <t>Production plans repeated across several North Texas communities.</t>
        </is>
      </c>
      <c r="L162" s="14" t="inlineStr">
        <is>
          <t>No</t>
        </is>
      </c>
      <c r="M162" s="15" t="inlineStr">
        <is>
          <t>Public builder with a national purchasing desk.</t>
        </is>
      </c>
      <c r="N162" s="14" t="inlineStr">
        <is>
          <t>No</t>
        </is>
      </c>
      <c r="O162" s="15" t="inlineStr">
        <is>
          <t>Nothing published on construction method.</t>
        </is>
      </c>
      <c r="P162" s="10" t="inlineStr"/>
      <c r="Q162" s="12" t="inlineStr"/>
      <c r="R162" s="16">
        <f>IF(P162="","ADD LINKEDIN","ok")</f>
        <v/>
      </c>
      <c r="S162" s="12" t="inlineStr">
        <is>
          <t>https://www.khov.com/</t>
        </is>
      </c>
      <c r="T162" s="15" t="inlineStr">
        <is>
          <t>Repeats production plans in Haslet, Fort Worth, Van Alstyne and Providence Village. Buys at a national desk.</t>
        </is>
      </c>
      <c r="U162" s="12" t="inlineStr">
        <is>
          <t>YES</t>
        </is>
      </c>
      <c r="V162" s="15" t="inlineStr">
        <is>
          <t>BUILDER's Dealmakers Dallas speaker page.</t>
        </is>
      </c>
      <c r="W162" s="12" t="inlineStr">
        <is>
          <t>https://dealmakers.builderonline.com/dallas/speaker/chris-hartley/</t>
        </is>
      </c>
      <c r="X162" s="12" t="inlineStr">
        <is>
          <t>https://www.linkedin.com/company/k--hovnanian-homes/</t>
        </is>
      </c>
      <c r="Y162" s="12" t="inlineStr"/>
      <c r="Z162" s="12" t="inlineStr"/>
      <c r="AA162" s="12" t="inlineStr">
        <is>
          <t>(888) 425-1427</t>
        </is>
      </c>
      <c r="AB162" s="12" t="inlineStr">
        <is>
          <t>Wellington Estates South sales, Fort Worth</t>
        </is>
      </c>
      <c r="AC162" s="12" t="inlineStr">
        <is>
          <t>https://www.khov.com/new-construction-homes/texas/fort-worth/wellington-estates-south/</t>
        </is>
      </c>
      <c r="AD162" s="12" t="inlineStr"/>
      <c r="AE162" s="12" t="inlineStr"/>
    </row>
    <row r="163">
      <c r="A163" s="6" t="inlineStr">
        <is>
          <t>Ben Clark</t>
        </is>
      </c>
      <c r="B163" s="6" t="inlineStr">
        <is>
          <t>KB Home</t>
        </is>
      </c>
      <c r="C163" s="6" t="inlineStr">
        <is>
          <t>President, Dallas Division</t>
        </is>
      </c>
      <c r="D163" s="7" t="inlineStr">
        <is>
          <t>National builder</t>
        </is>
      </c>
      <c r="E163" s="8" t="n">
        <v>1</v>
      </c>
      <c r="F163" s="6" t="inlineStr">
        <is>
          <t>Client</t>
        </is>
      </c>
      <c r="G163" s="6" t="inlineStr">
        <is>
          <t>National homebuilder</t>
        </is>
      </c>
      <c r="H163" s="6" t="inlineStr">
        <is>
          <t>Dallas-Fort Worth, including Denton, Lavon and Seagoville</t>
        </is>
      </c>
      <c r="I163" s="6" t="inlineStr">
        <is>
          <t>Eight DFW communities listed on its site</t>
        </is>
      </c>
      <c r="J163" s="8" t="inlineStr">
        <is>
          <t>Yes</t>
        </is>
      </c>
      <c r="K163" s="9" t="inlineStr">
        <is>
          <t>Production plans repeated across several DFW communities.</t>
        </is>
      </c>
      <c r="L163" s="8" t="inlineStr">
        <is>
          <t>No</t>
        </is>
      </c>
      <c r="M163" s="9" t="inlineStr">
        <is>
          <t>Public builder with a national purchasing desk.</t>
        </is>
      </c>
      <c r="N163" s="8" t="inlineStr">
        <is>
          <t>No</t>
        </is>
      </c>
      <c r="O163" s="9" t="inlineStr">
        <is>
          <t>Nothing published on wall method.</t>
        </is>
      </c>
      <c r="P163" s="10" t="inlineStr"/>
      <c r="Q163" s="6" t="inlineStr"/>
      <c r="R163" s="11">
        <f>IF(P163="","ADD LINKEDIN","ok")</f>
        <v/>
      </c>
      <c r="S163" s="6" t="inlineStr">
        <is>
          <t>https://www.kbhome.com/new-homes-dallas-fort-worth</t>
        </is>
      </c>
      <c r="T163" s="9" t="inlineStr">
        <is>
          <t>Opened Elevon in Lavon in June 2026. Buys at a national desk.</t>
        </is>
      </c>
      <c r="U163" s="6" t="inlineStr">
        <is>
          <t>YES</t>
        </is>
      </c>
      <c r="V163" s="9" t="inlineStr">
        <is>
          <t>KB Home release, June 3, 2026, on the Elevon opening.</t>
        </is>
      </c>
      <c r="W163" s="6" t="inlineStr">
        <is>
          <t>https://investor.kbhome.com/company-news/news-releases/press-release-details/2026/KB-HOME-OPENS-ELEVON-A-SOUGHT-AFTER-MASTER-PLANNED-COMMUNITY-IN-A-DESIRABLE-DALLAS-AREA-LOCATION/default.aspx</t>
        </is>
      </c>
      <c r="X163" s="6" t="inlineStr">
        <is>
          <t>https://www.linkedin.com/company/kb-home/</t>
        </is>
      </c>
      <c r="Y163" s="6" t="inlineStr">
        <is>
          <t>https://investor.kbhome.com/company-news/news-releases/press-release-details/2026/KB-HOME-OPENS-ELEVON-A-SOUGHT-AFTER-MASTER-PLANNED-COMMUNITY-IN-A-DESIRABLE-DALLAS-AREA-LOCATION/default.aspx</t>
        </is>
      </c>
      <c r="Z163" s="6" t="inlineStr"/>
      <c r="AA163" s="6" t="inlineStr">
        <is>
          <t>(469) 530-6107</t>
        </is>
      </c>
      <c r="AB163" s="6" t="inlineStr">
        <is>
          <t>Dallas/Fort Worth market line</t>
        </is>
      </c>
      <c r="AC163" s="6" t="inlineStr">
        <is>
          <t>https://www.kbhome.com/new-homes-dallas-fort-worth</t>
        </is>
      </c>
      <c r="AD163" s="6" t="inlineStr"/>
      <c r="AE163" s="6" t="inlineStr"/>
    </row>
    <row r="164">
      <c r="A164" s="12" t="inlineStr">
        <is>
          <t>Stacy Conley</t>
        </is>
      </c>
      <c r="B164" s="12" t="inlineStr">
        <is>
          <t>LGI Homes</t>
        </is>
      </c>
      <c r="C164" s="12" t="inlineStr">
        <is>
          <t>Division President, Dallas-Fort Worth</t>
        </is>
      </c>
      <c r="D164" s="13" t="inlineStr">
        <is>
          <t>National builder</t>
        </is>
      </c>
      <c r="E164" s="14" t="n">
        <v>1</v>
      </c>
      <c r="F164" s="12" t="inlineStr">
        <is>
          <t>Client</t>
        </is>
      </c>
      <c r="G164" s="12" t="inlineStr">
        <is>
          <t>National homebuilder</t>
        </is>
      </c>
      <c r="H164" s="12" t="inlineStr">
        <is>
          <t>Dallas-Fort Worth, including Forney and Dallas</t>
        </is>
      </c>
      <c r="I164" s="12" t="inlineStr">
        <is>
          <t>18 DFW communities listed on its site</t>
        </is>
      </c>
      <c r="J164" s="14" t="inlineStr">
        <is>
          <t>Yes</t>
        </is>
      </c>
      <c r="K164" s="15" t="inlineStr">
        <is>
          <t>Entry-level plans repeated across its DFW communities.</t>
        </is>
      </c>
      <c r="L164" s="14" t="inlineStr">
        <is>
          <t>No</t>
        </is>
      </c>
      <c r="M164" s="15" t="inlineStr">
        <is>
          <t>Public builder. Purchasing at the corporate desk.</t>
        </is>
      </c>
      <c r="N164" s="14" t="inlineStr">
        <is>
          <t>No</t>
        </is>
      </c>
      <c r="O164" s="15" t="inlineStr">
        <is>
          <t>Nothing published on wall method.</t>
        </is>
      </c>
      <c r="P164" s="10" t="inlineStr"/>
      <c r="Q164" s="12" t="inlineStr"/>
      <c r="R164" s="16">
        <f>IF(P164="","ADD LINKEDIN","ok")</f>
        <v/>
      </c>
      <c r="S164" s="12" t="inlineStr">
        <is>
          <t>https://www.lgihomes.com/texas/dallas-fort-worth</t>
        </is>
      </c>
      <c r="T164" s="15" t="inlineStr">
        <is>
          <t>Buys at its corporate desk in The Woodlands. Repeats entry-level plans in Forney and Dallas.</t>
        </is>
      </c>
      <c r="U164" s="12" t="inlineStr">
        <is>
          <t>YES</t>
        </is>
      </c>
      <c r="V164" s="15" t="inlineStr">
        <is>
          <t>LGI release, April 15, 2026, Sherman Heights grand opening.</t>
        </is>
      </c>
      <c r="W164" s="12" t="inlineStr">
        <is>
          <t>https://investor.lgihomes.com/news-releases/news-release-details/lgi-homes-expands-sherman-texas-grand-opening-sherman-heights</t>
        </is>
      </c>
      <c r="X164" s="12" t="inlineStr">
        <is>
          <t>https://www.linkedin.com/company/lgi-homes/</t>
        </is>
      </c>
      <c r="Y164" s="12" t="inlineStr"/>
      <c r="Z164" s="12" t="inlineStr"/>
      <c r="AA164" s="12" t="inlineStr">
        <is>
          <t>(855) 581-6400</t>
        </is>
      </c>
      <c r="AB164" s="12" t="inlineStr">
        <is>
          <t>College Park sales information center, Dallas</t>
        </is>
      </c>
      <c r="AC164" s="12" t="inlineStr">
        <is>
          <t>https://www.lgihomes.com/texas/dallas-fort-worth/college-park</t>
        </is>
      </c>
      <c r="AD164" s="12" t="inlineStr"/>
      <c r="AE164" s="12" t="inlineStr"/>
    </row>
    <row r="165">
      <c r="A165" s="6" t="inlineStr">
        <is>
          <t>Chad Tschetter</t>
        </is>
      </c>
      <c r="B165" s="6" t="inlineStr">
        <is>
          <t>M/I Homes</t>
        </is>
      </c>
      <c r="C165" s="6" t="inlineStr">
        <is>
          <t>Area President, Dallas-Fort Worth</t>
        </is>
      </c>
      <c r="D165" s="7" t="inlineStr">
        <is>
          <t>National builder</t>
        </is>
      </c>
      <c r="E165" s="8" t="n">
        <v>1</v>
      </c>
      <c r="F165" s="6" t="inlineStr">
        <is>
          <t>Client</t>
        </is>
      </c>
      <c r="G165" s="6" t="inlineStr">
        <is>
          <t>National homebuilder</t>
        </is>
      </c>
      <c r="H165" s="6" t="inlineStr">
        <is>
          <t>Dallas-Fort Worth, including Royse City</t>
        </is>
      </c>
      <c r="I165" s="6" t="inlineStr">
        <is>
          <t>889 DFW closings in 2025, 2.2% share</t>
        </is>
      </c>
      <c r="J165" s="8" t="inlineStr">
        <is>
          <t>Yes</t>
        </is>
      </c>
      <c r="K165" s="9" t="inlineStr">
        <is>
          <t>Production plans across its DFW Metroplex communities.</t>
        </is>
      </c>
      <c r="L165" s="8" t="inlineStr">
        <is>
          <t>No</t>
        </is>
      </c>
      <c r="M165" s="9" t="inlineStr">
        <is>
          <t>Volume inside 400 to 1,500, per BUILDER. Purchasing at a national desk.</t>
        </is>
      </c>
      <c r="N165" s="8" t="inlineStr">
        <is>
          <t>No</t>
        </is>
      </c>
      <c r="O165" s="9" t="inlineStr">
        <is>
          <t>Nothing published on wall method.</t>
        </is>
      </c>
      <c r="P165" s="10" t="inlineStr"/>
      <c r="Q165" s="6" t="inlineStr"/>
      <c r="R165" s="11">
        <f>IF(P165="","ADD LINKEDIN","ok")</f>
        <v/>
      </c>
      <c r="S165" s="6" t="inlineStr">
        <is>
          <t>https://www.mihomes.com/new-homes/texas/dallas-fort-worth-metroplex</t>
        </is>
      </c>
      <c r="T165" s="9" t="inlineStr">
        <is>
          <t>Buys at a national desk. Builds at Verandah in Royse City.</t>
        </is>
      </c>
      <c r="U165" s="6" t="inlineStr">
        <is>
          <t>YES</t>
        </is>
      </c>
      <c r="V165" s="9" t="inlineStr">
        <is>
          <t>Candy's Dirt article, February 27, 2022, citing NBC 5. Quoted as Area President.</t>
        </is>
      </c>
      <c r="W165" s="6" t="inlineStr">
        <is>
          <t>https://candysdirt.com/2022/02/27/collin-county-residential-building-permits/</t>
        </is>
      </c>
      <c r="X165" s="6" t="inlineStr">
        <is>
          <t>https://www.linkedin.com/company/mihomes/</t>
        </is>
      </c>
      <c r="Y165" s="6" t="inlineStr"/>
      <c r="Z165" s="6" t="inlineStr"/>
      <c r="AA165" s="6" t="inlineStr">
        <is>
          <t>(972) 619-4200</t>
        </is>
      </c>
      <c r="AB165" s="6" t="inlineStr">
        <is>
          <t>Line for real estate agents</t>
        </is>
      </c>
      <c r="AC165" s="6" t="inlineStr">
        <is>
          <t>https://www.mihomes.com/agent/dallas-fort-worth-metroplex/agent-info</t>
        </is>
      </c>
      <c r="AD165" s="6" t="inlineStr"/>
      <c r="AE165" s="6" t="inlineStr"/>
    </row>
    <row r="166">
      <c r="A166" s="12" t="inlineStr">
        <is>
          <t>John Kuntz</t>
        </is>
      </c>
      <c r="B166" s="12" t="inlineStr">
        <is>
          <t>Mattamy Homes</t>
        </is>
      </c>
      <c r="C166" s="12" t="inlineStr">
        <is>
          <t>President, Dallas Division</t>
        </is>
      </c>
      <c r="D166" s="13" t="inlineStr">
        <is>
          <t>National builder</t>
        </is>
      </c>
      <c r="E166" s="14" t="n">
        <v>1</v>
      </c>
      <c r="F166" s="12" t="inlineStr">
        <is>
          <t>Client</t>
        </is>
      </c>
      <c r="G166" s="12" t="inlineStr">
        <is>
          <t>National homebuilder</t>
        </is>
      </c>
      <c r="H166" s="12" t="inlineStr">
        <is>
          <t>Dallas-Fort Worth, from Justin to Forney</t>
        </is>
      </c>
      <c r="I166" s="12" t="inlineStr">
        <is>
          <t>Dallas Division launched 2020, President John Kuntz</t>
        </is>
      </c>
      <c r="J166" s="14" t="inlineStr">
        <is>
          <t>Yes</t>
        </is>
      </c>
      <c r="K166" s="15" t="inlineStr">
        <is>
          <t>Single-family and townhome plan sets repeated across DFW masterplans.</t>
        </is>
      </c>
      <c r="L166" s="14" t="inlineStr">
        <is>
          <t>No</t>
        </is>
      </c>
      <c r="M166" s="15" t="inlineStr">
        <is>
          <t>Builds across several US metros.</t>
        </is>
      </c>
      <c r="N166" s="14" t="inlineStr">
        <is>
          <t>No</t>
        </is>
      </c>
      <c r="O166" s="15" t="inlineStr">
        <is>
          <t>Markets a HERS Index average of 51 in a DFW community. Nothing structural on record.</t>
        </is>
      </c>
      <c r="P166" s="10" t="inlineStr"/>
      <c r="Q166" s="12" t="inlineStr"/>
      <c r="R166" s="16">
        <f>IF(P166="","ADD LINKEDIN","ok")</f>
        <v/>
      </c>
      <c r="S166" s="12" t="inlineStr">
        <is>
          <t>https://mattamyhomes.com/texas/dallas-fort-worth</t>
        </is>
      </c>
      <c r="T166" s="15" t="inlineStr">
        <is>
          <t>Builds across several US metros, buying above its Dallas Division. Sells in Justin, Celina, Forney and Gunter.</t>
        </is>
      </c>
      <c r="U166" s="12" t="inlineStr">
        <is>
          <t>YES</t>
        </is>
      </c>
      <c r="V166" s="15" t="inlineStr">
        <is>
          <t>PR Newswire release, 15 November 2023.</t>
        </is>
      </c>
      <c r="W166" s="12" t="inlineStr">
        <is>
          <t>https://www.prnewswire.com/news-releases/four-up-and-coming-mattamy-communities-unveil-new-model-homes-in-dallas-fort-worth-301988953.html</t>
        </is>
      </c>
      <c r="X166" s="12" t="inlineStr">
        <is>
          <t>https://www.linkedin.com/company/mattamy-homes/</t>
        </is>
      </c>
      <c r="Y166" s="12" t="inlineStr">
        <is>
          <t>https://www.prnewswire.com/news-releases/four-up-and-coming-mattamy-communities-unveil-new-model-homes-in-dallas-fort-worth-301988953.html</t>
        </is>
      </c>
      <c r="Z166" s="12" t="inlineStr">
        <is>
          <t>2023-11-15 PR Newswire. Four up-and-coming Mattamy communities unveil new model homes in Dallas-Fort Worth  https://www.prnewswire.com/news-releases/four-up-and-coming-mattamy-communities-unveil-new-model-homes-in-dallas-fort-worth-301988953.html</t>
        </is>
      </c>
      <c r="AA166" s="12" t="inlineStr">
        <is>
          <t>(469) 551-6812</t>
        </is>
      </c>
      <c r="AB166" s="12" t="inlineStr">
        <is>
          <t>Wildflower Ranch sales gallery, Justin</t>
        </is>
      </c>
      <c r="AC166" s="12" t="inlineStr">
        <is>
          <t>https://mattamyhomes.com/texas/dallas-fort-worth/justin/wildflower-ranch</t>
        </is>
      </c>
      <c r="AD166" s="12" t="inlineStr"/>
      <c r="AE166" s="12" t="inlineStr"/>
    </row>
    <row r="167">
      <c r="A167" s="6" t="inlineStr">
        <is>
          <t>Phillippe Lord</t>
        </is>
      </c>
      <c r="B167" s="6" t="inlineStr">
        <is>
          <t>Meritage Homes Corporation</t>
        </is>
      </c>
      <c r="C167" s="6" t="inlineStr">
        <is>
          <t>Chief Executive Officer</t>
        </is>
      </c>
      <c r="D167" s="7" t="inlineStr">
        <is>
          <t>National builder</t>
        </is>
      </c>
      <c r="E167" s="8" t="n">
        <v>1</v>
      </c>
      <c r="F167" s="6" t="inlineStr">
        <is>
          <t>Client</t>
        </is>
      </c>
      <c r="G167" s="6" t="inlineStr">
        <is>
          <t>National homebuilder</t>
        </is>
      </c>
      <c r="H167" s="6" t="inlineStr">
        <is>
          <t>Dallas-Fort Worth, part of a national builder</t>
        </is>
      </c>
      <c r="I167" s="6" t="inlineStr">
        <is>
          <t>1,833 DFW closings in 2025, 4.5% share</t>
        </is>
      </c>
      <c r="J167" s="8" t="inlineStr">
        <is>
          <t>Yes</t>
        </is>
      </c>
      <c r="K167" s="9" t="inlineStr">
        <is>
          <t>National energy-efficient plan library sold across DFW.</t>
        </is>
      </c>
      <c r="L167" s="8" t="inlineStr">
        <is>
          <t>No</t>
        </is>
      </c>
      <c r="M167" s="9" t="inlineStr">
        <is>
          <t>1,833 DFW closings in 2025.</t>
        </is>
      </c>
      <c r="N167" s="8" t="inlineStr">
        <is>
          <t>No</t>
        </is>
      </c>
      <c r="O167" s="9" t="inlineStr">
        <is>
          <t>Stresses energy efficiency and cycle time. Nothing structural on record.</t>
        </is>
      </c>
      <c r="P167" s="6" t="inlineStr">
        <is>
          <t>https://www.linkedin.com/in/phillippe-lord-72924012/</t>
        </is>
      </c>
      <c r="Q167" s="6" t="inlineStr"/>
      <c r="R167" s="11">
        <f>IF(P167="","ADD LINKEDIN","ok")</f>
        <v/>
      </c>
      <c r="S167" s="6" t="inlineStr">
        <is>
          <t>https://www.meritagehomes.com/state/tx/dallasft-worth</t>
        </is>
      </c>
      <c r="T167" s="9" t="inlineStr">
        <is>
          <t>Sells a national energy-efficient plan library across DFW. Its record stresses efficiency and cycle time.</t>
        </is>
      </c>
      <c r="U167" s="6" t="inlineStr"/>
      <c r="V167" s="9" t="inlineStr">
        <is>
          <t>Indexed title: Phillippe Lord, Meritage Homes. Investor management page.</t>
        </is>
      </c>
      <c r="W167" s="6" t="inlineStr">
        <is>
          <t>https://investors.meritagehomes.com/company-information/management-team</t>
        </is>
      </c>
      <c r="X167" s="6" t="inlineStr">
        <is>
          <t>https://www.linkedin.com/company/meritage-homes/</t>
        </is>
      </c>
      <c r="Y167" s="6" t="inlineStr">
        <is>
          <t>https://investors.meritagehomes.com/company-information/management-team</t>
        </is>
      </c>
      <c r="Z167" s="6" t="inlineStr">
        <is>
          <t>2025-07-24 Dallas Morning News. The 10 biggest homebuilders in D-FW  https://www.dallasnews.com/business/real-estate/2025/07/24/list-who-are-the-10-biggest-homebuilders-in-d-fw/</t>
        </is>
      </c>
      <c r="AA167" s="6" t="inlineStr">
        <is>
          <t>(469) 487-7973</t>
        </is>
      </c>
      <c r="AB167" s="6" t="inlineStr">
        <is>
          <t>Dallas/Ft. Worth sales team</t>
        </is>
      </c>
      <c r="AC167" s="6" t="inlineStr">
        <is>
          <t>https://www.meritagehomes.com/state/tx/dallasft-worth</t>
        </is>
      </c>
      <c r="AD167" s="6" t="inlineStr"/>
      <c r="AE167" s="6" t="inlineStr"/>
    </row>
    <row r="168">
      <c r="A168" s="12" t="inlineStr">
        <is>
          <t>Hilla Sferruzza</t>
        </is>
      </c>
      <c r="B168" s="12" t="inlineStr">
        <is>
          <t>Meritage Homes Corporation</t>
        </is>
      </c>
      <c r="C168" s="12" t="inlineStr">
        <is>
          <t>Executive Vice President and Chief Financial Officer</t>
        </is>
      </c>
      <c r="D168" s="13" t="inlineStr">
        <is>
          <t>National builder</t>
        </is>
      </c>
      <c r="E168" s="14" t="n">
        <v>1</v>
      </c>
      <c r="F168" s="12" t="inlineStr">
        <is>
          <t>Client</t>
        </is>
      </c>
      <c r="G168" s="12" t="inlineStr">
        <is>
          <t>National homebuilder</t>
        </is>
      </c>
      <c r="H168" s="12" t="inlineStr">
        <is>
          <t>Dallas-Fort Worth, part of a national builder</t>
        </is>
      </c>
      <c r="I168" s="12" t="inlineStr">
        <is>
          <t>1,833 DFW closings in 2025, 4.5% share</t>
        </is>
      </c>
      <c r="J168" s="14" t="inlineStr">
        <is>
          <t>Yes</t>
        </is>
      </c>
      <c r="K168" s="15" t="inlineStr">
        <is>
          <t>National energy-efficient plan library sold across DFW.</t>
        </is>
      </c>
      <c r="L168" s="14" t="inlineStr">
        <is>
          <t>No</t>
        </is>
      </c>
      <c r="M168" s="15" t="inlineStr">
        <is>
          <t>1,833 DFW closings in 2025.</t>
        </is>
      </c>
      <c r="N168" s="14" t="inlineStr">
        <is>
          <t>No</t>
        </is>
      </c>
      <c r="O168" s="15" t="inlineStr">
        <is>
          <t>Stresses energy efficiency and cycle time. Nothing structural on record.</t>
        </is>
      </c>
      <c r="P168" s="6" t="inlineStr">
        <is>
          <t>https://www.linkedin.com/in/hilla-sferruzza-cpa-mba-b3170b8/</t>
        </is>
      </c>
      <c r="Q168" s="12" t="inlineStr"/>
      <c r="R168" s="16">
        <f>IF(P168="","ADD LINKEDIN","ok")</f>
        <v/>
      </c>
      <c r="S168" s="12" t="inlineStr">
        <is>
          <t>https://www.meritagehomes.com/state/tx/dallasft-worth</t>
        </is>
      </c>
      <c r="T168" s="15" t="inlineStr">
        <is>
          <t>Sells a national energy-efficient plan library across DFW. Its record stresses efficiency and cycle time.</t>
        </is>
      </c>
      <c r="U168" s="12" t="inlineStr"/>
      <c r="V168" s="15" t="inlineStr">
        <is>
          <t>Indexed title: Hilla Sferruzza, CPA, MBA, Meritage Homes. Investor management page.</t>
        </is>
      </c>
      <c r="W168" s="12" t="inlineStr">
        <is>
          <t>https://investors.meritagehomes.com/company-information/management-team</t>
        </is>
      </c>
      <c r="X168" s="12" t="inlineStr">
        <is>
          <t>https://www.linkedin.com/company/meritage-homes/</t>
        </is>
      </c>
      <c r="Y168" s="12" t="inlineStr">
        <is>
          <t>https://investors.meritagehomes.com/company-information/management-team</t>
        </is>
      </c>
      <c r="Z168" s="12" t="inlineStr">
        <is>
          <t>2025-07-24 Dallas Morning News. The 10 biggest homebuilders in D-FW  https://www.dallasnews.com/business/real-estate/2025/07/24/list-who-are-the-10-biggest-homebuilders-in-d-fw/</t>
        </is>
      </c>
      <c r="AA168" s="12" t="inlineStr">
        <is>
          <t>(469) 487-7973</t>
        </is>
      </c>
      <c r="AB168" s="12" t="inlineStr">
        <is>
          <t>Dallas/Ft. Worth sales team</t>
        </is>
      </c>
      <c r="AC168" s="12" t="inlineStr">
        <is>
          <t>https://www.meritagehomes.com/state/tx/dallasft-worth</t>
        </is>
      </c>
      <c r="AD168" s="12" t="inlineStr"/>
      <c r="AE168" s="12" t="inlineStr"/>
    </row>
    <row r="169">
      <c r="A169" s="6" t="inlineStr">
        <is>
          <t>Austin Woffinden</t>
        </is>
      </c>
      <c r="B169" s="6" t="inlineStr">
        <is>
          <t>Meritage Homes Corporation</t>
        </is>
      </c>
      <c r="C169" s="6" t="inlineStr">
        <is>
          <t>Executive Vice President, Corporate Operations and Strategy</t>
        </is>
      </c>
      <c r="D169" s="7" t="inlineStr">
        <is>
          <t>National builder</t>
        </is>
      </c>
      <c r="E169" s="8" t="n">
        <v>1</v>
      </c>
      <c r="F169" s="6" t="inlineStr">
        <is>
          <t>Client</t>
        </is>
      </c>
      <c r="G169" s="6" t="inlineStr">
        <is>
          <t>National homebuilder</t>
        </is>
      </c>
      <c r="H169" s="6" t="inlineStr">
        <is>
          <t>Dallas-Fort Worth, part of a national builder</t>
        </is>
      </c>
      <c r="I169" s="6" t="inlineStr">
        <is>
          <t>1,833 DFW closings in 2025, 4.5% share</t>
        </is>
      </c>
      <c r="J169" s="8" t="inlineStr">
        <is>
          <t>Yes</t>
        </is>
      </c>
      <c r="K169" s="9" t="inlineStr">
        <is>
          <t>National energy-efficient plan library sold across DFW.</t>
        </is>
      </c>
      <c r="L169" s="8" t="inlineStr">
        <is>
          <t>No</t>
        </is>
      </c>
      <c r="M169" s="9" t="inlineStr">
        <is>
          <t>1,833 DFW closings in 2025.</t>
        </is>
      </c>
      <c r="N169" s="8" t="inlineStr">
        <is>
          <t>No</t>
        </is>
      </c>
      <c r="O169" s="9" t="inlineStr">
        <is>
          <t>Stresses energy efficiency and cycle time. Nothing structural on record.</t>
        </is>
      </c>
      <c r="P169" s="6" t="inlineStr">
        <is>
          <t>https://www.linkedin.com/in/austin-woffinden-692297b/</t>
        </is>
      </c>
      <c r="Q169" s="6" t="inlineStr"/>
      <c r="R169" s="11">
        <f>IF(P169="","ADD LINKEDIN","ok")</f>
        <v/>
      </c>
      <c r="S169" s="6" t="inlineStr">
        <is>
          <t>https://www.meritagehomes.com/state/tx/dallasft-worth</t>
        </is>
      </c>
      <c r="T169" s="9" t="inlineStr">
        <is>
          <t>Sells a national energy-efficient plan library across DFW. Its record stresses efficiency and cycle time.</t>
        </is>
      </c>
      <c r="U169" s="6" t="inlineStr"/>
      <c r="V169" s="9" t="inlineStr">
        <is>
          <t>Indexed title: Austin Woffinden, Meritage Homes. Management page bio. Area President, Dallas Fort Worth and Nashville, in 2025.</t>
        </is>
      </c>
      <c r="W169" s="6" t="inlineStr">
        <is>
          <t>https://investors.meritagehomes.com/company-information/management-team</t>
        </is>
      </c>
      <c r="X169" s="6" t="inlineStr">
        <is>
          <t>https://www.linkedin.com/company/meritage-homes/</t>
        </is>
      </c>
      <c r="Y169" s="6" t="inlineStr">
        <is>
          <t>https://investors.meritagehomes.com/company-information/management-team</t>
        </is>
      </c>
      <c r="Z169" s="6" t="inlineStr">
        <is>
          <t>2025-07-24 Dallas Morning News. The 10 biggest homebuilders in D-FW  https://www.dallasnews.com/business/real-estate/2025/07/24/list-who-are-the-10-biggest-homebuilders-in-d-fw/</t>
        </is>
      </c>
      <c r="AA169" s="6" t="inlineStr">
        <is>
          <t>(469) 487-7973</t>
        </is>
      </c>
      <c r="AB169" s="6" t="inlineStr">
        <is>
          <t>Dallas/Ft. Worth sales team</t>
        </is>
      </c>
      <c r="AC169" s="6" t="inlineStr">
        <is>
          <t>https://www.meritagehomes.com/state/tx/dallasft-worth</t>
        </is>
      </c>
      <c r="AD169" s="6" t="inlineStr"/>
      <c r="AE169" s="6" t="inlineStr"/>
    </row>
    <row r="170">
      <c r="A170" s="12" t="inlineStr">
        <is>
          <t>Tom Cawthon</t>
        </is>
      </c>
      <c r="B170" s="12" t="inlineStr">
        <is>
          <t>Taylor Morrison</t>
        </is>
      </c>
      <c r="C170" s="12" t="inlineStr">
        <is>
          <t>Dallas Division President (as of June 2025)</t>
        </is>
      </c>
      <c r="D170" s="13" t="inlineStr">
        <is>
          <t>National builder</t>
        </is>
      </c>
      <c r="E170" s="14" t="n">
        <v>1</v>
      </c>
      <c r="F170" s="12" t="inlineStr">
        <is>
          <t>Client</t>
        </is>
      </c>
      <c r="G170" s="12" t="inlineStr">
        <is>
          <t>National homebuilder</t>
        </is>
      </c>
      <c r="H170" s="12" t="inlineStr">
        <is>
          <t>Dallas division, Frisco office</t>
        </is>
      </c>
      <c r="I170" s="12" t="inlineStr">
        <is>
          <t>National public builder, Dallas division plus Yardly brand</t>
        </is>
      </c>
      <c r="J170" s="14" t="inlineStr">
        <is>
          <t>Yes</t>
        </is>
      </c>
      <c r="K170" s="15" t="inlineStr">
        <is>
          <t>One plan library repeated across its Dallas division communities.</t>
        </is>
      </c>
      <c r="L170" s="14" t="inlineStr">
        <is>
          <t>No</t>
        </is>
      </c>
      <c r="M170" s="15" t="inlineStr">
        <is>
          <t>Public builder with a national buying desk.</t>
        </is>
      </c>
      <c r="N170" s="14" t="inlineStr">
        <is>
          <t>No</t>
        </is>
      </c>
      <c r="O170" s="15" t="inlineStr">
        <is>
          <t>Nothing on its Dallas pages.</t>
        </is>
      </c>
      <c r="P170" s="10" t="inlineStr"/>
      <c r="Q170" s="12" t="inlineStr"/>
      <c r="R170" s="16">
        <f>IF(P170="","ADD LINKEDIN","ok")</f>
        <v/>
      </c>
      <c r="S170" s="12" t="inlineStr">
        <is>
          <t>https://www.taylormorrison.com/texas/dallas</t>
        </is>
      </c>
      <c r="T170" s="15" t="inlineStr">
        <is>
          <t>One plan library across its Dallas division, from Justin to Crandall. Buys at a national desk.</t>
        </is>
      </c>
      <c r="U170" s="12" t="inlineStr"/>
      <c r="V170" s="15" t="inlineStr">
        <is>
          <t>Local Profile, June 19, 2025, on Ranch at Uptown Celina.</t>
        </is>
      </c>
      <c r="W170" s="12" t="inlineStr">
        <is>
          <t>https://www.localprofile.com/real-estate/home-builders-betting-big-celina-10833314</t>
        </is>
      </c>
      <c r="X170" s="12" t="inlineStr">
        <is>
          <t>https://www.linkedin.com/company/taylor-morrison/</t>
        </is>
      </c>
      <c r="Y170" s="12" t="inlineStr"/>
      <c r="Z170" s="12" t="inlineStr"/>
      <c r="AA170" s="12" t="inlineStr">
        <is>
          <t>(469) 252-2306</t>
        </is>
      </c>
      <c r="AB170" s="12" t="inlineStr">
        <is>
          <t>Online sales manager, Dallas division</t>
        </is>
      </c>
      <c r="AC170" s="12" t="inlineStr">
        <is>
          <t>https://www.taylormorrison.com/contact-us</t>
        </is>
      </c>
      <c r="AD170" s="12" t="inlineStr"/>
      <c r="AE170" s="12" t="inlineStr"/>
    </row>
    <row r="171">
      <c r="A171" s="6" t="inlineStr">
        <is>
          <t>Jay Saunders</t>
        </is>
      </c>
      <c r="B171" s="6" t="inlineStr">
        <is>
          <t>Toll Brothers</t>
        </is>
      </c>
      <c r="C171" s="6" t="inlineStr">
        <is>
          <t>Division President, Dallas-Fort Worth</t>
        </is>
      </c>
      <c r="D171" s="7" t="inlineStr">
        <is>
          <t>National builder</t>
        </is>
      </c>
      <c r="E171" s="8" t="n">
        <v>1</v>
      </c>
      <c r="F171" s="6" t="inlineStr">
        <is>
          <t>Client</t>
        </is>
      </c>
      <c r="G171" s="6" t="inlineStr">
        <is>
          <t>National luxury homebuilder</t>
        </is>
      </c>
      <c r="H171" s="6" t="inlineStr">
        <is>
          <t>Frisco and Fort Worth, part of a national builder</t>
        </is>
      </c>
      <c r="I171" s="6" t="inlineStr">
        <is>
          <t>Two DFW communities, named Division President</t>
        </is>
      </c>
      <c r="J171" s="8" t="inlineStr">
        <is>
          <t>Yes</t>
        </is>
      </c>
      <c r="K171" s="9" t="inlineStr">
        <is>
          <t>Luxury plan collections repeated across DFW communities.</t>
        </is>
      </c>
      <c r="L171" s="8" t="inlineStr">
        <is>
          <t>No</t>
        </is>
      </c>
      <c r="M171" s="9" t="inlineStr">
        <is>
          <t>National public builder.</t>
        </is>
      </c>
      <c r="N171" s="8" t="inlineStr">
        <is>
          <t>No</t>
        </is>
      </c>
      <c r="O171" s="9" t="inlineStr">
        <is>
          <t>Nothing published.</t>
        </is>
      </c>
      <c r="P171" s="10" t="inlineStr"/>
      <c r="Q171" s="6" t="inlineStr"/>
      <c r="R171" s="11">
        <f>IF(P171="","ADD LINKEDIN","ok")</f>
        <v/>
      </c>
      <c r="S171" s="6" t="inlineStr">
        <is>
          <t>https://www.tollbrothers.com/</t>
        </is>
      </c>
      <c r="T171" s="9" t="inlineStr">
        <is>
          <t>Luxury plans repeat at Prestwick Grove in Frisco and Wildflower Ranch. Buys at a national or division desk.</t>
        </is>
      </c>
      <c r="U171" s="6" t="inlineStr">
        <is>
          <t>YES</t>
        </is>
      </c>
      <c r="V171" s="9" t="inlineStr">
        <is>
          <t>Toll release, 22 October 2025, Prestwick Grove grand opening.</t>
        </is>
      </c>
      <c r="W171" s="6" t="inlineStr">
        <is>
          <t>https://www.tollbrothers.com/blog/prestwick-grove-frisco-texas-grand-opening</t>
        </is>
      </c>
      <c r="X171" s="6" t="inlineStr">
        <is>
          <t>https://www.linkedin.com/company/toll-brothers/</t>
        </is>
      </c>
      <c r="Y171" s="6" t="inlineStr"/>
      <c r="Z171" s="6" t="inlineStr">
        <is>
          <t>2025-10-22 Toll Brothers / GlobeNewswire. Toll Brothers Announces Prestwick Grove Now Open in Frisco, Texas  https://www.tollbrothers.com/blog/prestwick-grove-frisco-texas-grand-opening</t>
        </is>
      </c>
      <c r="AA171" s="6" t="inlineStr">
        <is>
          <t>(855) 289-8656</t>
        </is>
      </c>
      <c r="AB171" s="6" t="inlineStr">
        <is>
          <t>Texas community line</t>
        </is>
      </c>
      <c r="AC171" s="6" t="inlineStr">
        <is>
          <t>https://www.tollbrothers.com/luxury-homes-for-sale/Texas/Prestwick-Grove</t>
        </is>
      </c>
      <c r="AD171" s="6" t="inlineStr"/>
      <c r="AE171" s="6" t="inlineStr"/>
    </row>
    <row r="172">
      <c r="A172" s="12" t="inlineStr">
        <is>
          <t>Ken Balogh</t>
        </is>
      </c>
      <c r="B172" s="12" t="inlineStr">
        <is>
          <t>Ashton Woods Homes</t>
        </is>
      </c>
      <c r="C172" s="12" t="inlineStr">
        <is>
          <t>President and Chief Executive Officer</t>
        </is>
      </c>
      <c r="D172" s="13" t="inlineStr">
        <is>
          <t>National builder</t>
        </is>
      </c>
      <c r="E172" s="14" t="n">
        <v>1</v>
      </c>
      <c r="F172" s="12" t="inlineStr">
        <is>
          <t>Client</t>
        </is>
      </c>
      <c r="G172" s="12" t="inlineStr">
        <is>
          <t>National homebuilder</t>
        </is>
      </c>
      <c r="H172" s="12" t="inlineStr">
        <is>
          <t>Dallas-Fort Worth, with communities in McKinney, Celina and Plano</t>
        </is>
      </c>
      <c r="I172" s="12" t="inlineStr">
        <is>
          <t>1,289 DFW closings in 2025, 3.2% share</t>
        </is>
      </c>
      <c r="J172" s="14" t="inlineStr">
        <is>
          <t>Yes</t>
        </is>
      </c>
      <c r="K172" s="15" t="inlineStr">
        <is>
          <t>A national plan library, with Texas markets under one regional president.</t>
        </is>
      </c>
      <c r="L172" s="14" t="inlineStr">
        <is>
          <t>No</t>
        </is>
      </c>
      <c r="M172" s="15" t="inlineStr">
        <is>
          <t>1,289 DFW closings in 2025. Purchasing is a corporate function.</t>
        </is>
      </c>
      <c r="N172" s="14" t="inlineStr">
        <is>
          <t>No</t>
        </is>
      </c>
      <c r="O172" s="15" t="inlineStr">
        <is>
          <t>Nothing on record.</t>
        </is>
      </c>
      <c r="P172" s="6" t="inlineStr">
        <is>
          <t>https://www.linkedin.com/in/ken-balogh-02964741/</t>
        </is>
      </c>
      <c r="Q172" s="12" t="inlineStr"/>
      <c r="R172" s="16">
        <f>IF(P172="","ADD LINKEDIN","ok")</f>
        <v/>
      </c>
      <c r="S172" s="12" t="inlineStr">
        <is>
          <t>https://www.ashtonwoods.com/</t>
        </is>
      </c>
      <c r="T172" s="15" t="inlineStr">
        <is>
          <t>Purchasing is a corporate function, under a named Senior Vice President of Purchasing. One regional president covers Texas.</t>
        </is>
      </c>
      <c r="U172" s="12" t="inlineStr"/>
      <c r="V172" s="15" t="inlineStr">
        <is>
          <t>Indexed title: Ken Balogh, Ashton Woods Homes. Corporate page.</t>
        </is>
      </c>
      <c r="W172" s="12" t="inlineStr">
        <is>
          <t>https://www.ashtonwoods.com/corporate-info</t>
        </is>
      </c>
      <c r="X172" s="12" t="inlineStr">
        <is>
          <t>https://www.linkedin.com/company/ashton-woods-homes/</t>
        </is>
      </c>
      <c r="Y172" s="12" t="inlineStr">
        <is>
          <t>https://www.ashtonwoods.com/corporate-info</t>
        </is>
      </c>
      <c r="Z172" s="12" t="inlineStr">
        <is>
          <t>2025-07-24 Dallas Morning News. The 10 biggest homebuilders in D-FW  https://www.dallasnews.com/business/real-estate/2025/07/24/list-who-are-the-10-biggest-homebuilders-in-d-fw/</t>
        </is>
      </c>
      <c r="AA172" s="12" t="inlineStr">
        <is>
          <t>(770) 998-9663</t>
        </is>
      </c>
      <c r="AB172" s="12" t="inlineStr">
        <is>
          <t>Corporate headquarters, Alpharetta, Georgia</t>
        </is>
      </c>
      <c r="AC172" s="12" t="inlineStr">
        <is>
          <t>https://www.ashtonwoods.com/corporate-info</t>
        </is>
      </c>
      <c r="AD172" s="12" t="inlineStr"/>
      <c r="AE172" s="12" t="inlineStr"/>
    </row>
    <row r="173">
      <c r="A173" s="6" t="inlineStr">
        <is>
          <t>Lindsay Motley</t>
        </is>
      </c>
      <c r="B173" s="6" t="inlineStr">
        <is>
          <t>Ashton Woods Homes</t>
        </is>
      </c>
      <c r="C173" s="6" t="inlineStr">
        <is>
          <t>Regional President, Texas</t>
        </is>
      </c>
      <c r="D173" s="7" t="inlineStr">
        <is>
          <t>National builder</t>
        </is>
      </c>
      <c r="E173" s="8" t="n">
        <v>1</v>
      </c>
      <c r="F173" s="6" t="inlineStr">
        <is>
          <t>Client</t>
        </is>
      </c>
      <c r="G173" s="6" t="inlineStr">
        <is>
          <t>National homebuilder</t>
        </is>
      </c>
      <c r="H173" s="6" t="inlineStr">
        <is>
          <t>Dallas-Fort Worth, with communities in McKinney, Celina and Plano</t>
        </is>
      </c>
      <c r="I173" s="6" t="inlineStr">
        <is>
          <t>1,289 DFW closings in 2025, 3.2% share</t>
        </is>
      </c>
      <c r="J173" s="8" t="inlineStr">
        <is>
          <t>Yes</t>
        </is>
      </c>
      <c r="K173" s="9" t="inlineStr">
        <is>
          <t>A national plan library, with Texas markets under one regional president.</t>
        </is>
      </c>
      <c r="L173" s="8" t="inlineStr">
        <is>
          <t>No</t>
        </is>
      </c>
      <c r="M173" s="9" t="inlineStr">
        <is>
          <t>1,289 DFW closings in 2025. Purchasing is a corporate function.</t>
        </is>
      </c>
      <c r="N173" s="8" t="inlineStr">
        <is>
          <t>No</t>
        </is>
      </c>
      <c r="O173" s="9" t="inlineStr">
        <is>
          <t>Nothing on record.</t>
        </is>
      </c>
      <c r="P173" s="6" t="inlineStr">
        <is>
          <t>https://www.linkedin.com/in/lindsay-motley-3553b614</t>
        </is>
      </c>
      <c r="Q173" s="6" t="inlineStr"/>
      <c r="R173" s="11">
        <f>IF(P173="","ADD LINKEDIN","ok")</f>
        <v/>
      </c>
      <c r="S173" s="6" t="inlineStr">
        <is>
          <t>https://www.ashtonwoods.com/</t>
        </is>
      </c>
      <c r="T173" s="9" t="inlineStr">
        <is>
          <t>Purchasing is a corporate function, under a named Senior Vice President of Purchasing. One regional president covers Texas.</t>
        </is>
      </c>
      <c r="U173" s="6" t="inlineStr">
        <is>
          <t>YES</t>
        </is>
      </c>
      <c r="V173" s="9" t="inlineStr">
        <is>
          <t>Indexed title: Regional President at Ashton Woods. Corporate page. Promoted to the role in 2022.</t>
        </is>
      </c>
      <c r="W173" s="6" t="inlineStr">
        <is>
          <t>https://www.ashtonwoods.com/corporate-info</t>
        </is>
      </c>
      <c r="X173" s="6" t="inlineStr">
        <is>
          <t>https://www.linkedin.com/company/ashton-woods-homes/</t>
        </is>
      </c>
      <c r="Y173" s="6" t="inlineStr">
        <is>
          <t>https://www.ashtonwoods.com/corporate-info</t>
        </is>
      </c>
      <c r="Z173" s="6" t="inlineStr">
        <is>
          <t>2025-07-24 Dallas Morning News. The 10 biggest homebuilders in D-FW  https://www.dallasnews.com/business/real-estate/2025/07/24/list-who-are-the-10-biggest-homebuilders-in-d-fw/</t>
        </is>
      </c>
      <c r="AA173" s="6" t="inlineStr">
        <is>
          <t>(770) 998-9663</t>
        </is>
      </c>
      <c r="AB173" s="6" t="inlineStr">
        <is>
          <t>Corporate headquarters, Alpharetta, Georgia</t>
        </is>
      </c>
      <c r="AC173" s="6" t="inlineStr">
        <is>
          <t>https://www.ashtonwoods.com/corporate-info</t>
        </is>
      </c>
      <c r="AD173" s="6" t="inlineStr"/>
      <c r="AE173" s="6" t="inlineStr"/>
    </row>
    <row r="174">
      <c r="A174" s="12" t="inlineStr">
        <is>
          <t>Adam Weaver</t>
        </is>
      </c>
      <c r="B174" s="12" t="inlineStr">
        <is>
          <t>Ashton Woods Homes</t>
        </is>
      </c>
      <c r="C174" s="12" t="inlineStr">
        <is>
          <t>Senior Vice President of Purchasing</t>
        </is>
      </c>
      <c r="D174" s="13" t="inlineStr">
        <is>
          <t>National builder</t>
        </is>
      </c>
      <c r="E174" s="14" t="n">
        <v>1</v>
      </c>
      <c r="F174" s="12" t="inlineStr">
        <is>
          <t>Client</t>
        </is>
      </c>
      <c r="G174" s="12" t="inlineStr">
        <is>
          <t>National homebuilder</t>
        </is>
      </c>
      <c r="H174" s="12" t="inlineStr">
        <is>
          <t>Dallas-Fort Worth, with communities in McKinney, Celina and Plano</t>
        </is>
      </c>
      <c r="I174" s="12" t="inlineStr">
        <is>
          <t>1,289 DFW closings in 2025, 3.2% share</t>
        </is>
      </c>
      <c r="J174" s="14" t="inlineStr">
        <is>
          <t>Yes</t>
        </is>
      </c>
      <c r="K174" s="15" t="inlineStr">
        <is>
          <t>A national plan library, with Texas markets under one regional president.</t>
        </is>
      </c>
      <c r="L174" s="14" t="inlineStr">
        <is>
          <t>No</t>
        </is>
      </c>
      <c r="M174" s="15" t="inlineStr">
        <is>
          <t>1,289 DFW closings in 2025. Purchasing is a corporate function.</t>
        </is>
      </c>
      <c r="N174" s="14" t="inlineStr">
        <is>
          <t>No</t>
        </is>
      </c>
      <c r="O174" s="15" t="inlineStr">
        <is>
          <t>Nothing on record.</t>
        </is>
      </c>
      <c r="P174" s="6" t="inlineStr">
        <is>
          <t>https://www.linkedin.com/in/adamweaver/</t>
        </is>
      </c>
      <c r="Q174" s="12" t="inlineStr"/>
      <c r="R174" s="16">
        <f>IF(P174="","ADD LINKEDIN","ok")</f>
        <v/>
      </c>
      <c r="S174" s="12" t="inlineStr">
        <is>
          <t>https://www.ashtonwoods.com/</t>
        </is>
      </c>
      <c r="T174" s="15" t="inlineStr">
        <is>
          <t>Purchasing is a corporate function, under a named Senior Vice President of Purchasing. One regional president covers Texas.</t>
        </is>
      </c>
      <c r="U174" s="12" t="inlineStr">
        <is>
          <t>YES</t>
        </is>
      </c>
      <c r="V174" s="15" t="inlineStr">
        <is>
          <t>Indexed title: Adam Weaver, Ashton Woods Homes. Corporate page executive team.</t>
        </is>
      </c>
      <c r="W174" s="12" t="inlineStr">
        <is>
          <t>https://www.ashtonwoods.com/corporate-info</t>
        </is>
      </c>
      <c r="X174" s="12" t="inlineStr">
        <is>
          <t>https://www.linkedin.com/company/ashton-woods-homes/</t>
        </is>
      </c>
      <c r="Y174" s="12" t="inlineStr">
        <is>
          <t>https://www.ashtonwoods.com/corporate-info</t>
        </is>
      </c>
      <c r="Z174" s="12" t="inlineStr">
        <is>
          <t>2025-07-24 Dallas Morning News. The 10 biggest homebuilders in D-FW  https://www.dallasnews.com/business/real-estate/2025/07/24/list-who-are-the-10-biggest-homebuilders-in-d-fw/</t>
        </is>
      </c>
      <c r="AA174" s="12" t="inlineStr">
        <is>
          <t>(770) 998-9663</t>
        </is>
      </c>
      <c r="AB174" s="12" t="inlineStr">
        <is>
          <t>Corporate headquarters, Alpharetta, Georgia</t>
        </is>
      </c>
      <c r="AC174" s="12" t="inlineStr">
        <is>
          <t>https://www.ashtonwoods.com/corporate-info</t>
        </is>
      </c>
      <c r="AD174" s="12" t="inlineStr"/>
      <c r="AE174" s="12" t="inlineStr"/>
    </row>
    <row r="175">
      <c r="A175" s="6" t="inlineStr">
        <is>
          <t>Ken Newman</t>
        </is>
      </c>
      <c r="B175" s="6" t="inlineStr">
        <is>
          <t>Ashton Woods Homes</t>
        </is>
      </c>
      <c r="C175" s="6" t="inlineStr">
        <is>
          <t>Senior Vice President of Construction Operations</t>
        </is>
      </c>
      <c r="D175" s="7" t="inlineStr">
        <is>
          <t>National builder</t>
        </is>
      </c>
      <c r="E175" s="8" t="n">
        <v>1</v>
      </c>
      <c r="F175" s="6" t="inlineStr">
        <is>
          <t>Client</t>
        </is>
      </c>
      <c r="G175" s="6" t="inlineStr">
        <is>
          <t>National homebuilder</t>
        </is>
      </c>
      <c r="H175" s="6" t="inlineStr">
        <is>
          <t>Dallas-Fort Worth, with communities in McKinney, Celina and Plano</t>
        </is>
      </c>
      <c r="I175" s="6" t="inlineStr">
        <is>
          <t>1,289 DFW closings in 2025, 3.2% share</t>
        </is>
      </c>
      <c r="J175" s="8" t="inlineStr">
        <is>
          <t>Yes</t>
        </is>
      </c>
      <c r="K175" s="9" t="inlineStr">
        <is>
          <t>A national plan library, with Texas markets under one regional president.</t>
        </is>
      </c>
      <c r="L175" s="8" t="inlineStr">
        <is>
          <t>No</t>
        </is>
      </c>
      <c r="M175" s="9" t="inlineStr">
        <is>
          <t>1,289 DFW closings in 2025. Purchasing is a corporate function.</t>
        </is>
      </c>
      <c r="N175" s="8" t="inlineStr">
        <is>
          <t>No</t>
        </is>
      </c>
      <c r="O175" s="9" t="inlineStr">
        <is>
          <t>Nothing on record.</t>
        </is>
      </c>
      <c r="P175" s="10" t="inlineStr"/>
      <c r="Q175" s="6" t="inlineStr"/>
      <c r="R175" s="11">
        <f>IF(P175="","ADD LINKEDIN","ok")</f>
        <v/>
      </c>
      <c r="S175" s="6" t="inlineStr">
        <is>
          <t>https://www.ashtonwoods.com/</t>
        </is>
      </c>
      <c r="T175" s="9" t="inlineStr">
        <is>
          <t>Purchasing is a corporate function, under a named Senior Vice President of Purchasing. One regional president covers Texas.</t>
        </is>
      </c>
      <c r="U175" s="6" t="inlineStr">
        <is>
          <t>YES</t>
        </is>
      </c>
      <c r="V175" s="9" t="inlineStr">
        <is>
          <t>Corporate page executive team.</t>
        </is>
      </c>
      <c r="W175" s="6" t="inlineStr">
        <is>
          <t>https://www.ashtonwoods.com/corporate-info</t>
        </is>
      </c>
      <c r="X175" s="6" t="inlineStr">
        <is>
          <t>https://www.linkedin.com/company/ashton-woods-homes/</t>
        </is>
      </c>
      <c r="Y175" s="6" t="inlineStr">
        <is>
          <t>https://www.ashtonwoods.com/corporate-info</t>
        </is>
      </c>
      <c r="Z175" s="6" t="inlineStr">
        <is>
          <t>2025-07-24 Dallas Morning News. The 10 biggest homebuilders in D-FW  https://www.dallasnews.com/business/real-estate/2025/07/24/list-who-are-the-10-biggest-homebuilders-in-d-fw/</t>
        </is>
      </c>
      <c r="AA175" s="6" t="inlineStr">
        <is>
          <t>(770) 998-9663</t>
        </is>
      </c>
      <c r="AB175" s="6" t="inlineStr">
        <is>
          <t>Corporate headquarters, Alpharetta, Georgia</t>
        </is>
      </c>
      <c r="AC175" s="6" t="inlineStr">
        <is>
          <t>https://www.ashtonwoods.com/corporate-info</t>
        </is>
      </c>
      <c r="AD175" s="6" t="inlineStr"/>
      <c r="AE175" s="6" t="inlineStr"/>
    </row>
    <row r="176">
      <c r="A176" s="12" t="inlineStr">
        <is>
          <t>Sean Ricks</t>
        </is>
      </c>
      <c r="B176" s="12" t="inlineStr">
        <is>
          <t>Tri Pointe Homes</t>
        </is>
      </c>
      <c r="C176" s="12" t="inlineStr">
        <is>
          <t>President, Dallas-Fort Worth Division</t>
        </is>
      </c>
      <c r="D176" s="13" t="inlineStr">
        <is>
          <t>National builder</t>
        </is>
      </c>
      <c r="E176" s="14" t="n">
        <v>1</v>
      </c>
      <c r="F176" s="12" t="inlineStr">
        <is>
          <t>Client</t>
        </is>
      </c>
      <c r="G176" s="12" t="inlineStr">
        <is>
          <t>National homebuilder</t>
        </is>
      </c>
      <c r="H176" s="12" t="inlineStr">
        <is>
          <t>Dallas-Fort Worth division of a national builder</t>
        </is>
      </c>
      <c r="I176" s="12" t="inlineStr">
        <is>
          <t>National public builder, 23 DFW communities on its page</t>
        </is>
      </c>
      <c r="J176" s="14" t="inlineStr">
        <is>
          <t>Partly</t>
        </is>
      </c>
      <c r="K176" s="15" t="inlineStr">
        <is>
          <t>DFW communities on a national plan platform shared across many metros.</t>
        </is>
      </c>
      <c r="L176" s="14" t="inlineStr">
        <is>
          <t>No</t>
        </is>
      </c>
      <c r="M176" s="15" t="inlineStr">
        <is>
          <t>Public builder with a national purchasing desk.</t>
        </is>
      </c>
      <c r="N176" s="14" t="inlineStr">
        <is>
          <t>No</t>
        </is>
      </c>
      <c r="O176" s="15" t="inlineStr">
        <is>
          <t>Nothing published.</t>
        </is>
      </c>
      <c r="P176" s="10" t="inlineStr"/>
      <c r="Q176" s="12" t="inlineStr"/>
      <c r="R176" s="16">
        <f>IF(P176="","ADD LINKEDIN","ok")</f>
        <v/>
      </c>
      <c r="S176" s="12" t="inlineStr">
        <is>
          <t>https://www.tripointehomes.com/</t>
        </is>
      </c>
      <c r="T176" s="15" t="inlineStr">
        <is>
          <t>Builds three districts at Painted Tree in McKinney. Buys at a national desk, on a platform shared across many metros.</t>
        </is>
      </c>
      <c r="U176" s="12" t="inlineStr">
        <is>
          <t>YES</t>
        </is>
      </c>
      <c r="V176" s="15" t="inlineStr">
        <is>
          <t>Tri Pointe investor divisions page.</t>
        </is>
      </c>
      <c r="W176" s="12" t="inlineStr">
        <is>
          <t>https://investors.tripointehomes.com/divisions/default.aspx</t>
        </is>
      </c>
      <c r="X176" s="12" t="inlineStr">
        <is>
          <t>https://www.linkedin.com/company/tri-pointe-homes/</t>
        </is>
      </c>
      <c r="Y176" s="12" t="inlineStr">
        <is>
          <t>https://www.tripointehomes.com/about/</t>
        </is>
      </c>
      <c r="Z176" s="12" t="inlineStr"/>
      <c r="AA176" s="12" t="inlineStr">
        <is>
          <t>(214) 765-0570</t>
        </is>
      </c>
      <c r="AB176" s="12" t="inlineStr">
        <is>
          <t>Dallas-Fort Worth division office</t>
        </is>
      </c>
      <c r="AC176" s="12" t="inlineStr">
        <is>
          <t>https://investors.tripointehomes.com/contact-us/</t>
        </is>
      </c>
      <c r="AD176" s="12" t="inlineStr"/>
      <c r="AE176" s="12" t="inlineStr"/>
    </row>
    <row r="177">
      <c r="A177" s="6" t="inlineStr">
        <is>
          <t>Debbie Wilson</t>
        </is>
      </c>
      <c r="B177" s="6" t="inlineStr">
        <is>
          <t>Cambridge Crossing (Celina, Cambridge Companies)</t>
        </is>
      </c>
      <c r="C177" s="6" t="inlineStr">
        <is>
          <t>Owner, Cambridge Companies</t>
        </is>
      </c>
      <c r="D177" s="7" t="inlineStr">
        <is>
          <t>Land owner, not the buyer</t>
        </is>
      </c>
      <c r="E177" s="8" t="n">
        <v>1</v>
      </c>
      <c r="F177" s="6" t="inlineStr">
        <is>
          <t>Land owner</t>
        </is>
      </c>
      <c r="G177" s="6" t="inlineStr">
        <is>
          <t>Masterplanned community</t>
        </is>
      </c>
      <c r="H177" s="6" t="inlineStr">
        <is>
          <t>Celina, near the Tollway and Outer Loop</t>
        </is>
      </c>
      <c r="I177" s="6" t="inlineStr">
        <is>
          <t>About 1,500 homes on 639 acres, four builders</t>
        </is>
      </c>
      <c r="J177" s="8" t="inlineStr">
        <is>
          <t>Yes</t>
        </is>
      </c>
      <c r="K177" s="9" t="inlineStr">
        <is>
          <t>Production builders on one 639-acre site.</t>
        </is>
      </c>
      <c r="L177" s="8" t="inlineStr">
        <is>
          <t>No</t>
        </is>
      </c>
      <c r="M177" s="9" t="inlineStr">
        <is>
          <t>It sells lots. The builders buy the wall.</t>
        </is>
      </c>
      <c r="N177" s="8" t="inlineStr">
        <is>
          <t>No</t>
        </is>
      </c>
      <c r="O177" s="9" t="inlineStr">
        <is>
          <t>Nothing published on construction method.</t>
        </is>
      </c>
      <c r="P177" s="10" t="inlineStr"/>
      <c r="Q177" s="6" t="inlineStr"/>
      <c r="R177" s="11">
        <f>IF(P177="","ADD LINKEDIN","ok")</f>
        <v/>
      </c>
      <c r="S177" s="6" t="inlineStr">
        <is>
          <t>https://cambridgecrossingcelina.com/</t>
        </is>
      </c>
      <c r="T177" s="9" t="inlineStr">
        <is>
          <t>Sells lots to Coventry, Highland, Perry and UnionMain. Cambridge Companies, owned by Debbie Wilson, develops it.</t>
        </is>
      </c>
      <c r="U177" s="6" t="inlineStr"/>
      <c r="V177" s="9" t="inlineStr">
        <is>
          <t>Cambridge Companies about page.</t>
        </is>
      </c>
      <c r="W177" s="6" t="inlineStr">
        <is>
          <t>https://cambridgecos.com/about/</t>
        </is>
      </c>
      <c r="X177" s="6" t="inlineStr"/>
      <c r="Y177" s="6" t="inlineStr">
        <is>
          <t>https://cambridgecos.com/about/</t>
        </is>
      </c>
      <c r="Z177" s="6" t="inlineStr"/>
      <c r="AA177" s="6" t="inlineStr">
        <is>
          <t>(214) 771-7305</t>
        </is>
      </c>
      <c r="AB177" s="6" t="inlineStr">
        <is>
          <t>Community office, Celina</t>
        </is>
      </c>
      <c r="AC177" s="6" t="inlineStr">
        <is>
          <t>https://cambridgecrossingcelina.com/builders/</t>
        </is>
      </c>
      <c r="AD177" s="6" t="inlineStr"/>
      <c r="AE177" s="6" t="inlineStr"/>
    </row>
    <row r="178">
      <c r="A178" s="12" t="inlineStr">
        <is>
          <t>Jim Melino</t>
        </is>
      </c>
      <c r="B178" s="12" t="inlineStr">
        <is>
          <t>Cambridge Crossing (Celina, Cambridge Companies)</t>
        </is>
      </c>
      <c r="C178" s="12" t="inlineStr">
        <is>
          <t>President and General Counsel</t>
        </is>
      </c>
      <c r="D178" s="13" t="inlineStr">
        <is>
          <t>Land owner, not the buyer</t>
        </is>
      </c>
      <c r="E178" s="14" t="n">
        <v>1</v>
      </c>
      <c r="F178" s="12" t="inlineStr">
        <is>
          <t>Land owner</t>
        </is>
      </c>
      <c r="G178" s="12" t="inlineStr">
        <is>
          <t>Masterplanned community</t>
        </is>
      </c>
      <c r="H178" s="12" t="inlineStr">
        <is>
          <t>Celina, near the Tollway and Outer Loop</t>
        </is>
      </c>
      <c r="I178" s="12" t="inlineStr">
        <is>
          <t>About 1,500 homes on 639 acres, four builders</t>
        </is>
      </c>
      <c r="J178" s="14" t="inlineStr">
        <is>
          <t>Yes</t>
        </is>
      </c>
      <c r="K178" s="15" t="inlineStr">
        <is>
          <t>Production builders on one 639-acre site.</t>
        </is>
      </c>
      <c r="L178" s="14" t="inlineStr">
        <is>
          <t>No</t>
        </is>
      </c>
      <c r="M178" s="15" t="inlineStr">
        <is>
          <t>It sells lots. The builders buy the wall.</t>
        </is>
      </c>
      <c r="N178" s="14" t="inlineStr">
        <is>
          <t>No</t>
        </is>
      </c>
      <c r="O178" s="15" t="inlineStr">
        <is>
          <t>Nothing published on construction method.</t>
        </is>
      </c>
      <c r="P178" s="10" t="inlineStr"/>
      <c r="Q178" s="12" t="inlineStr"/>
      <c r="R178" s="16">
        <f>IF(P178="","ADD LINKEDIN","ok")</f>
        <v/>
      </c>
      <c r="S178" s="12" t="inlineStr">
        <is>
          <t>https://cambridgecrossingcelina.com/</t>
        </is>
      </c>
      <c r="T178" s="15" t="inlineStr">
        <is>
          <t>Sells lots to Coventry, Highland, Perry and UnionMain. Cambridge Companies, owned by Debbie Wilson, develops it.</t>
        </is>
      </c>
      <c r="U178" s="12" t="inlineStr"/>
      <c r="V178" s="15" t="inlineStr">
        <is>
          <t>Cambridge Companies about page.</t>
        </is>
      </c>
      <c r="W178" s="12" t="inlineStr">
        <is>
          <t>https://cambridgecos.com/about/</t>
        </is>
      </c>
      <c r="X178" s="12" t="inlineStr"/>
      <c r="Y178" s="12" t="inlineStr">
        <is>
          <t>https://cambridgecos.com/about/</t>
        </is>
      </c>
      <c r="Z178" s="12" t="inlineStr"/>
      <c r="AA178" s="12" t="inlineStr">
        <is>
          <t>(214) 771-7305</t>
        </is>
      </c>
      <c r="AB178" s="12" t="inlineStr">
        <is>
          <t>Community office, Celina</t>
        </is>
      </c>
      <c r="AC178" s="12" t="inlineStr">
        <is>
          <t>https://cambridgecrossingcelina.com/builders/</t>
        </is>
      </c>
      <c r="AD178" s="12" t="inlineStr"/>
      <c r="AE178" s="12" t="inlineStr"/>
    </row>
    <row r="179">
      <c r="A179" s="6" t="inlineStr">
        <is>
          <t>Randy McCuistion</t>
        </is>
      </c>
      <c r="B179" s="6" t="inlineStr">
        <is>
          <t>Cambridge Crossing (Celina, Cambridge Companies)</t>
        </is>
      </c>
      <c r="C179" s="6" t="inlineStr">
        <is>
          <t>Chief Development Officer</t>
        </is>
      </c>
      <c r="D179" s="7" t="inlineStr">
        <is>
          <t>Land owner, not the buyer</t>
        </is>
      </c>
      <c r="E179" s="8" t="n">
        <v>1</v>
      </c>
      <c r="F179" s="6" t="inlineStr">
        <is>
          <t>Land owner</t>
        </is>
      </c>
      <c r="G179" s="6" t="inlineStr">
        <is>
          <t>Masterplanned community</t>
        </is>
      </c>
      <c r="H179" s="6" t="inlineStr">
        <is>
          <t>Celina, near the Tollway and Outer Loop</t>
        </is>
      </c>
      <c r="I179" s="6" t="inlineStr">
        <is>
          <t>About 1,500 homes on 639 acres, four builders</t>
        </is>
      </c>
      <c r="J179" s="8" t="inlineStr">
        <is>
          <t>Yes</t>
        </is>
      </c>
      <c r="K179" s="9" t="inlineStr">
        <is>
          <t>Production builders on one 639-acre site.</t>
        </is>
      </c>
      <c r="L179" s="8" t="inlineStr">
        <is>
          <t>No</t>
        </is>
      </c>
      <c r="M179" s="9" t="inlineStr">
        <is>
          <t>It sells lots. The builders buy the wall.</t>
        </is>
      </c>
      <c r="N179" s="8" t="inlineStr">
        <is>
          <t>No</t>
        </is>
      </c>
      <c r="O179" s="9" t="inlineStr">
        <is>
          <t>Nothing published on construction method.</t>
        </is>
      </c>
      <c r="P179" s="10" t="inlineStr"/>
      <c r="Q179" s="6" t="inlineStr"/>
      <c r="R179" s="11">
        <f>IF(P179="","ADD LINKEDIN","ok")</f>
        <v/>
      </c>
      <c r="S179" s="6" t="inlineStr">
        <is>
          <t>https://cambridgecrossingcelina.com/</t>
        </is>
      </c>
      <c r="T179" s="9" t="inlineStr">
        <is>
          <t>Sells lots to Coventry, Highland, Perry and UnionMain. Cambridge Companies, owned by Debbie Wilson, develops it.</t>
        </is>
      </c>
      <c r="U179" s="6" t="inlineStr"/>
      <c r="V179" s="9" t="inlineStr">
        <is>
          <t>Cambridge Companies about page.</t>
        </is>
      </c>
      <c r="W179" s="6" t="inlineStr">
        <is>
          <t>https://cambridgecos.com/about/</t>
        </is>
      </c>
      <c r="X179" s="6" t="inlineStr"/>
      <c r="Y179" s="6" t="inlineStr">
        <is>
          <t>https://cambridgecos.com/about/</t>
        </is>
      </c>
      <c r="Z179" s="6" t="inlineStr"/>
      <c r="AA179" s="6" t="inlineStr">
        <is>
          <t>(214) 771-7305</t>
        </is>
      </c>
      <c r="AB179" s="6" t="inlineStr">
        <is>
          <t>Community office, Celina</t>
        </is>
      </c>
      <c r="AC179" s="6" t="inlineStr">
        <is>
          <t>https://cambridgecrossingcelina.com/builders/</t>
        </is>
      </c>
      <c r="AD179" s="6" t="inlineStr"/>
      <c r="AE179" s="6" t="inlineStr"/>
    </row>
    <row r="180">
      <c r="A180" s="12" t="inlineStr">
        <is>
          <t>Mehrdad Moayedi</t>
        </is>
      </c>
      <c r="B180" s="12" t="inlineStr">
        <is>
          <t>Centurion American Development Group</t>
        </is>
      </c>
      <c r="C180" s="12" t="inlineStr">
        <is>
          <t>President and Chief Executive Officer</t>
        </is>
      </c>
      <c r="D180" s="13" t="inlineStr">
        <is>
          <t>Land owner, not the buyer</t>
        </is>
      </c>
      <c r="E180" s="14" t="n">
        <v>1</v>
      </c>
      <c r="F180" s="12" t="inlineStr">
        <is>
          <t>Land owner</t>
        </is>
      </c>
      <c r="G180" s="12" t="inlineStr">
        <is>
          <t>Masterplan developer</t>
        </is>
      </c>
      <c r="H180" s="12" t="inlineStr">
        <is>
          <t>Farmers Branch, with masterplans across North Texas</t>
        </is>
      </c>
      <c r="I180" s="12" t="inlineStr">
        <is>
          <t>Over 100,000 lots in more than 300 North Texas communities</t>
        </is>
      </c>
      <c r="J180" s="14" t="inlineStr">
        <is>
          <t>Yes</t>
        </is>
      </c>
      <c r="K180" s="15" t="inlineStr">
        <is>
          <t>Repeat builders across Legacy Hills, Creekview, Platinum Ranch and Cottonwood.</t>
        </is>
      </c>
      <c r="L180" s="14" t="inlineStr">
        <is>
          <t>No</t>
        </is>
      </c>
      <c r="M180" s="15" t="inlineStr">
        <is>
          <t>It sells lots. The builders buy the wall.</t>
        </is>
      </c>
      <c r="N180" s="14" t="inlineStr">
        <is>
          <t>No</t>
        </is>
      </c>
      <c r="O180" s="15" t="inlineStr">
        <is>
          <t>Nothing published.</t>
        </is>
      </c>
      <c r="P180" s="10" t="inlineStr"/>
      <c r="Q180" s="12" t="inlineStr"/>
      <c r="R180" s="16">
        <f>IF(P180="","ADD LINKEDIN","ok")</f>
        <v/>
      </c>
      <c r="S180" s="12" t="inlineStr">
        <is>
          <t>https://centurionamerican.com/</t>
        </is>
      </c>
      <c r="T180" s="15" t="inlineStr">
        <is>
          <t>Sells lots to production builders including Horton, Lennar, Pulte and Ashton Woods. Formed a build-to-rent joint venture with Wan Bridge in 2025.</t>
        </is>
      </c>
      <c r="U180" s="12" t="inlineStr"/>
      <c r="V180" s="15" t="inlineStr">
        <is>
          <t>Leadership page. Founded Centurion American Custom Homes in 1990.</t>
        </is>
      </c>
      <c r="W180" s="12" t="inlineStr">
        <is>
          <t>https://centurionamerican.com/about/leadership/</t>
        </is>
      </c>
      <c r="X180" s="12" t="inlineStr">
        <is>
          <t>https://www.linkedin.com/company/centurion-american/</t>
        </is>
      </c>
      <c r="Y180" s="12" t="inlineStr"/>
      <c r="Z180" s="12" t="inlineStr"/>
      <c r="AA180" s="12" t="inlineStr">
        <is>
          <t>(469) 892-7200</t>
        </is>
      </c>
      <c r="AB180" s="12" t="inlineStr">
        <is>
          <t>Headquarters, Farmers Branch</t>
        </is>
      </c>
      <c r="AC180" s="12" t="inlineStr">
        <is>
          <t>https://centurionamerican.com/contact/</t>
        </is>
      </c>
      <c r="AD180" s="12" t="inlineStr"/>
      <c r="AE180" s="12" t="inlineStr"/>
    </row>
    <row r="181">
      <c r="A181" s="6" t="inlineStr">
        <is>
          <t>Fred Balda</t>
        </is>
      </c>
      <c r="B181" s="6" t="inlineStr">
        <is>
          <t>Hillwood Communities</t>
        </is>
      </c>
      <c r="C181" s="6" t="inlineStr">
        <is>
          <t>President</t>
        </is>
      </c>
      <c r="D181" s="7" t="inlineStr">
        <is>
          <t>Land owner, not the buyer</t>
        </is>
      </c>
      <c r="E181" s="8" t="n">
        <v>1</v>
      </c>
      <c r="F181" s="6" t="inlineStr">
        <is>
          <t>Land owner</t>
        </is>
      </c>
      <c r="G181" s="6" t="inlineStr">
        <is>
          <t>Masterplan developer</t>
        </is>
      </c>
      <c r="H181" s="6" t="inlineStr">
        <is>
          <t>Dallas headquarters, with masterplans in Celina and Melissa</t>
        </is>
      </c>
      <c r="I181" s="6" t="inlineStr">
        <is>
          <t>Nine current DFW masterplans on its site, 13 in Texas</t>
        </is>
      </c>
      <c r="J181" s="8" t="inlineStr">
        <is>
          <t>Yes</t>
        </is>
      </c>
      <c r="K181" s="9" t="inlineStr">
        <is>
          <t>Several DFW masterplans at once, each with a multi-builder roster.</t>
        </is>
      </c>
      <c r="L181" s="8" t="inlineStr">
        <is>
          <t>No</t>
        </is>
      </c>
      <c r="M181" s="9" t="inlineStr">
        <is>
          <t>It sells lots. The builders buy the wall.</t>
        </is>
      </c>
      <c r="N181" s="8" t="inlineStr">
        <is>
          <t>No</t>
        </is>
      </c>
      <c r="O181" s="9" t="inlineStr">
        <is>
          <t>Its own blog calls Wolf Ranch a collaboration of ICON, Lennar, BIG and Hillwood.</t>
        </is>
      </c>
      <c r="P181" s="10" t="inlineStr"/>
      <c r="Q181" s="6" t="inlineStr"/>
      <c r="R181" s="11">
        <f>IF(P181="","ADD LINKEDIN","ok")</f>
        <v/>
      </c>
      <c r="S181" s="6" t="inlineStr">
        <is>
          <t>https://www.hillwoodcommunities.com/</t>
        </is>
      </c>
      <c r="T181" s="9" t="inlineStr">
        <is>
          <t>Developed Wolf Ranch in Georgetown, where ICON printed 100 homes for Lennar. Develops Liberty and Ramble in DFW.</t>
        </is>
      </c>
      <c r="U181" s="6" t="inlineStr"/>
      <c r="V181" s="9" t="inlineStr">
        <is>
          <t>Hillwood Communities leadership page.</t>
        </is>
      </c>
      <c r="W181" s="6" t="inlineStr">
        <is>
          <t>https://www.hillwoodcommunities.com/leadership/</t>
        </is>
      </c>
      <c r="X181" s="6" t="inlineStr">
        <is>
          <t>https://www.linkedin.com/company/hillwoodcommunities/</t>
        </is>
      </c>
      <c r="Y181" s="6" t="inlineStr">
        <is>
          <t>https://www.hillwoodcommunities.com/leadership/</t>
        </is>
      </c>
      <c r="Z181" s="6" t="inlineStr"/>
      <c r="AA181" s="6" t="inlineStr">
        <is>
          <t>(214) 449-0914</t>
        </is>
      </c>
      <c r="AB181" s="6" t="inlineStr">
        <is>
          <t>Main office, Dallas</t>
        </is>
      </c>
      <c r="AC181" s="6" t="inlineStr">
        <is>
          <t>https://www.hillwoodcommunities.com/contact/</t>
        </is>
      </c>
      <c r="AD181" s="6" t="inlineStr"/>
      <c r="AE181" s="6" t="inlineStr"/>
    </row>
    <row r="182">
      <c r="A182" s="12" t="inlineStr">
        <is>
          <t>Elaine Eatman</t>
        </is>
      </c>
      <c r="B182" s="12" t="inlineStr">
        <is>
          <t>Hillwood Communities</t>
        </is>
      </c>
      <c r="C182" s="12" t="inlineStr">
        <is>
          <t>Senior Vice President, DFW Project Manager for Ramble and Union Park</t>
        </is>
      </c>
      <c r="D182" s="13" t="inlineStr">
        <is>
          <t>Land owner, not the buyer</t>
        </is>
      </c>
      <c r="E182" s="14" t="n">
        <v>1</v>
      </c>
      <c r="F182" s="12" t="inlineStr">
        <is>
          <t>Land owner</t>
        </is>
      </c>
      <c r="G182" s="12" t="inlineStr">
        <is>
          <t>Masterplan developer</t>
        </is>
      </c>
      <c r="H182" s="12" t="inlineStr">
        <is>
          <t>Dallas headquarters, with masterplans in Celina and Melissa</t>
        </is>
      </c>
      <c r="I182" s="12" t="inlineStr">
        <is>
          <t>Nine current DFW masterplans on its site, 13 in Texas</t>
        </is>
      </c>
      <c r="J182" s="14" t="inlineStr">
        <is>
          <t>Yes</t>
        </is>
      </c>
      <c r="K182" s="15" t="inlineStr">
        <is>
          <t>Several DFW masterplans at once, each with a multi-builder roster.</t>
        </is>
      </c>
      <c r="L182" s="14" t="inlineStr">
        <is>
          <t>No</t>
        </is>
      </c>
      <c r="M182" s="15" t="inlineStr">
        <is>
          <t>It sells lots. The builders buy the wall.</t>
        </is>
      </c>
      <c r="N182" s="14" t="inlineStr">
        <is>
          <t>No</t>
        </is>
      </c>
      <c r="O182" s="15" t="inlineStr">
        <is>
          <t>Its own blog calls Wolf Ranch a collaboration of ICON, Lennar, BIG and Hillwood.</t>
        </is>
      </c>
      <c r="P182" s="6" t="inlineStr">
        <is>
          <t>https://www.linkedin.com/in/elaine-eatman-54596a10</t>
        </is>
      </c>
      <c r="Q182" s="12" t="inlineStr"/>
      <c r="R182" s="16">
        <f>IF(P182="","ADD LINKEDIN","ok")</f>
        <v/>
      </c>
      <c r="S182" s="12" t="inlineStr">
        <is>
          <t>https://www.hillwoodcommunities.com/</t>
        </is>
      </c>
      <c r="T182" s="15" t="inlineStr">
        <is>
          <t>Developed Wolf Ranch in Georgetown, where ICON printed 100 homes for Lennar. Develops Liberty and Ramble in DFW.</t>
        </is>
      </c>
      <c r="U182" s="12" t="inlineStr">
        <is>
          <t>YES</t>
        </is>
      </c>
      <c r="V182" s="15" t="inlineStr">
        <is>
          <t>Indexed title: Senior Vice President at Hillwood. Hillwood leadership page, DFW project managers.</t>
        </is>
      </c>
      <c r="W182" s="12" t="inlineStr">
        <is>
          <t>https://www.hillwoodcommunities.com/leadership/</t>
        </is>
      </c>
      <c r="X182" s="12" t="inlineStr">
        <is>
          <t>https://www.linkedin.com/company/hillwoodcommunities/</t>
        </is>
      </c>
      <c r="Y182" s="12" t="inlineStr">
        <is>
          <t>https://www.hillwoodcommunities.com/leadership/</t>
        </is>
      </c>
      <c r="Z182" s="12" t="inlineStr"/>
      <c r="AA182" s="12" t="inlineStr">
        <is>
          <t>(214) 449-0914</t>
        </is>
      </c>
      <c r="AB182" s="12" t="inlineStr">
        <is>
          <t>Main office, Dallas</t>
        </is>
      </c>
      <c r="AC182" s="12" t="inlineStr">
        <is>
          <t>https://www.hillwoodcommunities.com/contact/</t>
        </is>
      </c>
      <c r="AD182" s="12" t="inlineStr"/>
      <c r="AE182" s="12" t="inlineStr"/>
    </row>
    <row r="183">
      <c r="A183" s="6" t="inlineStr">
        <is>
          <t>Angie Mastrocola</t>
        </is>
      </c>
      <c r="B183" s="6" t="inlineStr">
        <is>
          <t>Hillwood Communities</t>
        </is>
      </c>
      <c r="C183" s="6" t="inlineStr">
        <is>
          <t>Senior Vice President, DFW Project Manager for Harvest</t>
        </is>
      </c>
      <c r="D183" s="7" t="inlineStr">
        <is>
          <t>Land owner, not the buyer</t>
        </is>
      </c>
      <c r="E183" s="8" t="n">
        <v>1</v>
      </c>
      <c r="F183" s="6" t="inlineStr">
        <is>
          <t>Land owner</t>
        </is>
      </c>
      <c r="G183" s="6" t="inlineStr">
        <is>
          <t>Masterplan developer</t>
        </is>
      </c>
      <c r="H183" s="6" t="inlineStr">
        <is>
          <t>Dallas headquarters, with masterplans in Celina and Melissa</t>
        </is>
      </c>
      <c r="I183" s="6" t="inlineStr">
        <is>
          <t>Nine current DFW masterplans on its site, 13 in Texas</t>
        </is>
      </c>
      <c r="J183" s="8" t="inlineStr">
        <is>
          <t>Yes</t>
        </is>
      </c>
      <c r="K183" s="9" t="inlineStr">
        <is>
          <t>Several DFW masterplans at once, each with a multi-builder roster.</t>
        </is>
      </c>
      <c r="L183" s="8" t="inlineStr">
        <is>
          <t>No</t>
        </is>
      </c>
      <c r="M183" s="9" t="inlineStr">
        <is>
          <t>It sells lots. The builders buy the wall.</t>
        </is>
      </c>
      <c r="N183" s="8" t="inlineStr">
        <is>
          <t>No</t>
        </is>
      </c>
      <c r="O183" s="9" t="inlineStr">
        <is>
          <t>Its own blog calls Wolf Ranch a collaboration of ICON, Lennar, BIG and Hillwood.</t>
        </is>
      </c>
      <c r="P183" s="6" t="inlineStr">
        <is>
          <t>https://www.linkedin.com/in/angie-waddle-mastrocola-94766213/</t>
        </is>
      </c>
      <c r="Q183" s="6" t="inlineStr"/>
      <c r="R183" s="11">
        <f>IF(P183="","ADD LINKEDIN","ok")</f>
        <v/>
      </c>
      <c r="S183" s="6" t="inlineStr">
        <is>
          <t>https://www.hillwoodcommunities.com/</t>
        </is>
      </c>
      <c r="T183" s="9" t="inlineStr">
        <is>
          <t>Developed Wolf Ranch in Georgetown, where ICON printed 100 homes for Lennar. Develops Liberty and Ramble in DFW.</t>
        </is>
      </c>
      <c r="U183" s="6" t="inlineStr">
        <is>
          <t>YES</t>
        </is>
      </c>
      <c r="V183" s="9" t="inlineStr">
        <is>
          <t>Indexed title: Angie (Waddle) Mastrocola, Hillwood Development. Hillwood leadership page, DFW project managers.</t>
        </is>
      </c>
      <c r="W183" s="6" t="inlineStr">
        <is>
          <t>https://www.hillwoodcommunities.com/leadership/</t>
        </is>
      </c>
      <c r="X183" s="6" t="inlineStr">
        <is>
          <t>https://www.linkedin.com/company/hillwoodcommunities/</t>
        </is>
      </c>
      <c r="Y183" s="6" t="inlineStr">
        <is>
          <t>https://www.hillwoodcommunities.com/leadership/</t>
        </is>
      </c>
      <c r="Z183" s="6" t="inlineStr"/>
      <c r="AA183" s="6" t="inlineStr">
        <is>
          <t>(214) 449-0914</t>
        </is>
      </c>
      <c r="AB183" s="6" t="inlineStr">
        <is>
          <t>Main office, Dallas</t>
        </is>
      </c>
      <c r="AC183" s="6" t="inlineStr">
        <is>
          <t>https://www.hillwoodcommunities.com/contact/</t>
        </is>
      </c>
      <c r="AD183" s="6" t="inlineStr"/>
      <c r="AE183" s="6" t="inlineStr"/>
    </row>
    <row r="184">
      <c r="A184" s="12" t="inlineStr">
        <is>
          <t>Phillip Huffines</t>
        </is>
      </c>
      <c r="B184" s="12" t="inlineStr">
        <is>
          <t>Huffines Communities</t>
        </is>
      </c>
      <c r="C184" s="12" t="inlineStr">
        <is>
          <t>President, CEO and Co-founder</t>
        </is>
      </c>
      <c r="D184" s="13" t="inlineStr">
        <is>
          <t>Land owner, not the buyer</t>
        </is>
      </c>
      <c r="E184" s="14" t="n">
        <v>1</v>
      </c>
      <c r="F184" s="12" t="inlineStr">
        <is>
          <t>Land owner</t>
        </is>
      </c>
      <c r="G184" s="12" t="inlineStr">
        <is>
          <t>Land developer</t>
        </is>
      </c>
      <c r="H184" s="12" t="inlineStr">
        <is>
          <t>Dallas, with masterplans in Celina, Mesquite, Midlothian and Grand Prairie</t>
        </is>
      </c>
      <c r="I184" s="12" t="inlineStr">
        <is>
          <t>Three masterplans: Serenade, Solterra, Lakesong</t>
        </is>
      </c>
      <c r="J184" s="14" t="inlineStr">
        <is>
          <t>Yes</t>
        </is>
      </c>
      <c r="K184" s="15" t="inlineStr">
        <is>
          <t>A family developer since 1985, with Serenade, Solterra and Lakesong active as multi-builder masterplans.</t>
        </is>
      </c>
      <c r="L184" s="14" t="inlineStr">
        <is>
          <t>No</t>
        </is>
      </c>
      <c r="M184" s="15" t="inlineStr">
        <is>
          <t>It develops lots and infrastructure. The builders buy the wall.</t>
        </is>
      </c>
      <c r="N184" s="14" t="inlineStr">
        <is>
          <t>No</t>
        </is>
      </c>
      <c r="O184" s="15" t="inlineStr">
        <is>
          <t>Nothing published on construction method.</t>
        </is>
      </c>
      <c r="P184" s="10" t="inlineStr"/>
      <c r="Q184" s="12" t="inlineStr"/>
      <c r="R184" s="16">
        <f>IF(P184="","ADD LINKEDIN","ok")</f>
        <v/>
      </c>
      <c r="S184" s="12" t="inlineStr">
        <is>
          <t>https://huffinescommunities.com/</t>
        </is>
      </c>
      <c r="T184" s="15" t="inlineStr">
        <is>
          <t>Sells lots to builders such as HistoryMaker, First Texas and Chesmar. Twin brothers Phillip and Don Huffines founded it in 1985.</t>
        </is>
      </c>
      <c r="U184" s="12" t="inlineStr"/>
      <c r="V184" s="15" t="inlineStr">
        <is>
          <t>Firm blog post, June 4, 2025.</t>
        </is>
      </c>
      <c r="W184" s="12" t="inlineStr">
        <is>
          <t>https://huffinescommunities.com/from-fireworks-to-foundations-phillip-huffines-on-dallas-dirt-with-candy-evans/</t>
        </is>
      </c>
      <c r="X184" s="12" t="inlineStr">
        <is>
          <t>https://www.linkedin.com/company/huffines-communities/</t>
        </is>
      </c>
      <c r="Y184" s="12" t="inlineStr">
        <is>
          <t>https://huffinescommunities.com/from-fireworks-to-foundations-phillip-huffines-on-dallas-dirt-with-candy-evans/</t>
        </is>
      </c>
      <c r="Z184" s="12" t="inlineStr"/>
      <c r="AA184" s="12" t="inlineStr">
        <is>
          <t>(214) 750-1800</t>
        </is>
      </c>
      <c r="AB184" s="12" t="inlineStr">
        <is>
          <t>Main office, Dallas</t>
        </is>
      </c>
      <c r="AC184" s="12" t="inlineStr">
        <is>
          <t>https://huffinescommunities.com/</t>
        </is>
      </c>
      <c r="AD184" s="12" t="inlineStr"/>
      <c r="AE184" s="12" t="inlineStr"/>
    </row>
    <row r="185">
      <c r="A185" s="6" t="inlineStr">
        <is>
          <t>Don Huffines</t>
        </is>
      </c>
      <c r="B185" s="6" t="inlineStr">
        <is>
          <t>Huffines Communities</t>
        </is>
      </c>
      <c r="C185" s="6" t="inlineStr">
        <is>
          <t>Co-founder</t>
        </is>
      </c>
      <c r="D185" s="7" t="inlineStr">
        <is>
          <t>Land owner, not the buyer</t>
        </is>
      </c>
      <c r="E185" s="8" t="n">
        <v>1</v>
      </c>
      <c r="F185" s="6" t="inlineStr">
        <is>
          <t>Land owner</t>
        </is>
      </c>
      <c r="G185" s="6" t="inlineStr">
        <is>
          <t>Land developer</t>
        </is>
      </c>
      <c r="H185" s="6" t="inlineStr">
        <is>
          <t>Dallas, with masterplans in Celina, Mesquite, Midlothian and Grand Prairie</t>
        </is>
      </c>
      <c r="I185" s="6" t="inlineStr">
        <is>
          <t>Three masterplans: Serenade, Solterra, Lakesong</t>
        </is>
      </c>
      <c r="J185" s="8" t="inlineStr">
        <is>
          <t>Yes</t>
        </is>
      </c>
      <c r="K185" s="9" t="inlineStr">
        <is>
          <t>A family developer since 1985, with Serenade, Solterra and Lakesong active as multi-builder masterplans.</t>
        </is>
      </c>
      <c r="L185" s="8" t="inlineStr">
        <is>
          <t>No</t>
        </is>
      </c>
      <c r="M185" s="9" t="inlineStr">
        <is>
          <t>It develops lots and infrastructure. The builders buy the wall.</t>
        </is>
      </c>
      <c r="N185" s="8" t="inlineStr">
        <is>
          <t>No</t>
        </is>
      </c>
      <c r="O185" s="9" t="inlineStr">
        <is>
          <t>Nothing published on construction method.</t>
        </is>
      </c>
      <c r="P185" s="10" t="inlineStr"/>
      <c r="Q185" s="6" t="inlineStr"/>
      <c r="R185" s="11">
        <f>IF(P185="","ADD LINKEDIN","ok")</f>
        <v/>
      </c>
      <c r="S185" s="6" t="inlineStr">
        <is>
          <t>https://huffinescommunities.com/</t>
        </is>
      </c>
      <c r="T185" s="9" t="inlineStr">
        <is>
          <t>Sells lots to builders such as HistoryMaker, First Texas and Chesmar. Twin brothers Phillip and Don Huffines founded it in 1985.</t>
        </is>
      </c>
      <c r="U185" s="6" t="inlineStr"/>
      <c r="V185" s="9" t="inlineStr">
        <is>
          <t>Firm's Who We Are page.</t>
        </is>
      </c>
      <c r="W185" s="6" t="inlineStr">
        <is>
          <t>https://huffinescommunities.com/who-we-are/</t>
        </is>
      </c>
      <c r="X185" s="6" t="inlineStr">
        <is>
          <t>https://www.linkedin.com/company/huffines-communities/</t>
        </is>
      </c>
      <c r="Y185" s="6" t="inlineStr">
        <is>
          <t>https://huffinescommunities.com/from-fireworks-to-foundations-phillip-huffines-on-dallas-dirt-with-candy-evans/</t>
        </is>
      </c>
      <c r="Z185" s="6" t="inlineStr"/>
      <c r="AA185" s="6" t="inlineStr">
        <is>
          <t>(214) 750-1800</t>
        </is>
      </c>
      <c r="AB185" s="6" t="inlineStr">
        <is>
          <t>Main office, Dallas</t>
        </is>
      </c>
      <c r="AC185" s="6" t="inlineStr">
        <is>
          <t>https://huffinescommunities.com/</t>
        </is>
      </c>
      <c r="AD185" s="6" t="inlineStr"/>
      <c r="AE185" s="6" t="inlineStr"/>
    </row>
    <row r="186">
      <c r="A186" s="12" t="inlineStr">
        <is>
          <t>Chris Kleinert</t>
        </is>
      </c>
      <c r="B186" s="12" t="inlineStr">
        <is>
          <t>Hunt Realty Investments</t>
        </is>
      </c>
      <c r="C186" s="12" t="inlineStr">
        <is>
          <t>Chief Executive Officer, Hunt Investment Holdings, and President, Hunt Realty Investments</t>
        </is>
      </c>
      <c r="D186" s="13" t="inlineStr">
        <is>
          <t>Land owner, not the buyer</t>
        </is>
      </c>
      <c r="E186" s="14" t="n">
        <v>1</v>
      </c>
      <c r="F186" s="12" t="inlineStr">
        <is>
          <t>Land owner</t>
        </is>
      </c>
      <c r="G186" s="12" t="inlineStr">
        <is>
          <t>Land developer</t>
        </is>
      </c>
      <c r="H186" s="12" t="inlineStr">
        <is>
          <t>Dallas office, with Fields in far north Frisco</t>
        </is>
      </c>
      <c r="I186" s="12" t="inlineStr">
        <is>
          <t>Fields, Frisco: 2,544 acres, 10,000+ homes planned</t>
        </is>
      </c>
      <c r="J186" s="14" t="inlineStr">
        <is>
          <t>Yes</t>
        </is>
      </c>
      <c r="K186" s="15" t="inlineStr">
        <is>
          <t>One 2,544-acre masterplan with several single-family neighborhoods, plus multifamily.</t>
        </is>
      </c>
      <c r="L186" s="14" t="inlineStr">
        <is>
          <t>No</t>
        </is>
      </c>
      <c r="M186" s="15" t="inlineStr">
        <is>
          <t>It develops and sells land. The builders buy the wall.</t>
        </is>
      </c>
      <c r="N186" s="14" t="inlineStr">
        <is>
          <t>No</t>
        </is>
      </c>
      <c r="O186" s="15" t="inlineStr">
        <is>
          <t>Nothing published on construction method.</t>
        </is>
      </c>
      <c r="P186" s="10" t="inlineStr"/>
      <c r="Q186" s="12" t="inlineStr"/>
      <c r="R186" s="16">
        <f>IF(P186="","ADD LINKEDIN","ok")</f>
        <v/>
      </c>
      <c r="S186" s="12" t="inlineStr">
        <is>
          <t>https://huntrealty.com/</t>
        </is>
      </c>
      <c r="T186" s="15" t="inlineStr">
        <is>
          <t>Sells lots at Fields to Landon Homes and to the custom builders at the Preserve. Co-develops Fields with Karahan Companies.</t>
        </is>
      </c>
      <c r="U186" s="12" t="inlineStr"/>
      <c r="V186" s="15" t="inlineStr">
        <is>
          <t>Firm's team page.</t>
        </is>
      </c>
      <c r="W186" s="12" t="inlineStr">
        <is>
          <t>https://huntrealty.com/team/</t>
        </is>
      </c>
      <c r="X186" s="12" t="inlineStr">
        <is>
          <t>https://www.linkedin.com/company/huntrealtyinvestments/</t>
        </is>
      </c>
      <c r="Y186" s="12" t="inlineStr">
        <is>
          <t>https://huntrealty.com/team/</t>
        </is>
      </c>
      <c r="Z186" s="12" t="inlineStr"/>
      <c r="AA186" s="12" t="inlineStr">
        <is>
          <t>(214) 978-8690</t>
        </is>
      </c>
      <c r="AB186" s="12" t="inlineStr">
        <is>
          <t>Main office, Dallas</t>
        </is>
      </c>
      <c r="AC186" s="12" t="inlineStr">
        <is>
          <t>https://huntrealty.com/contact/</t>
        </is>
      </c>
      <c r="AD186" s="12" t="inlineStr"/>
      <c r="AE186" s="12" t="inlineStr"/>
    </row>
    <row r="187">
      <c r="A187" s="6" t="inlineStr">
        <is>
          <t>Mike Wallace</t>
        </is>
      </c>
      <c r="B187" s="6" t="inlineStr">
        <is>
          <t>Hunt Realty Investments</t>
        </is>
      </c>
      <c r="C187" s="6" t="inlineStr">
        <is>
          <t>President, Investment Management and Development, Hunt Realty Investments</t>
        </is>
      </c>
      <c r="D187" s="7" t="inlineStr">
        <is>
          <t>Land owner, not the buyer</t>
        </is>
      </c>
      <c r="E187" s="8" t="n">
        <v>1</v>
      </c>
      <c r="F187" s="6" t="inlineStr">
        <is>
          <t>Land owner</t>
        </is>
      </c>
      <c r="G187" s="6" t="inlineStr">
        <is>
          <t>Land developer</t>
        </is>
      </c>
      <c r="H187" s="6" t="inlineStr">
        <is>
          <t>Dallas office, with Fields in far north Frisco</t>
        </is>
      </c>
      <c r="I187" s="6" t="inlineStr">
        <is>
          <t>Fields, Frisco: 2,544 acres, 10,000+ homes planned</t>
        </is>
      </c>
      <c r="J187" s="8" t="inlineStr">
        <is>
          <t>Yes</t>
        </is>
      </c>
      <c r="K187" s="9" t="inlineStr">
        <is>
          <t>One 2,544-acre masterplan with several single-family neighborhoods, plus multifamily.</t>
        </is>
      </c>
      <c r="L187" s="8" t="inlineStr">
        <is>
          <t>No</t>
        </is>
      </c>
      <c r="M187" s="9" t="inlineStr">
        <is>
          <t>It develops and sells land. The builders buy the wall.</t>
        </is>
      </c>
      <c r="N187" s="8" t="inlineStr">
        <is>
          <t>No</t>
        </is>
      </c>
      <c r="O187" s="9" t="inlineStr">
        <is>
          <t>Nothing published on construction method.</t>
        </is>
      </c>
      <c r="P187" s="10" t="inlineStr"/>
      <c r="Q187" s="6" t="inlineStr"/>
      <c r="R187" s="11">
        <f>IF(P187="","ADD LINKEDIN","ok")</f>
        <v/>
      </c>
      <c r="S187" s="6" t="inlineStr">
        <is>
          <t>https://huntrealty.com/</t>
        </is>
      </c>
      <c r="T187" s="9" t="inlineStr">
        <is>
          <t>Sells lots at Fields to Landon Homes and to the custom builders at the Preserve. Co-develops Fields with Karahan Companies.</t>
        </is>
      </c>
      <c r="U187" s="6" t="inlineStr"/>
      <c r="V187" s="9" t="inlineStr">
        <is>
          <t>Firm's team page.</t>
        </is>
      </c>
      <c r="W187" s="6" t="inlineStr">
        <is>
          <t>https://huntrealty.com/team/</t>
        </is>
      </c>
      <c r="X187" s="6" t="inlineStr">
        <is>
          <t>https://www.linkedin.com/company/huntrealtyinvestments/</t>
        </is>
      </c>
      <c r="Y187" s="6" t="inlineStr">
        <is>
          <t>https://huntrealty.com/team/</t>
        </is>
      </c>
      <c r="Z187" s="6" t="inlineStr"/>
      <c r="AA187" s="6" t="inlineStr">
        <is>
          <t>(214) 978-8690</t>
        </is>
      </c>
      <c r="AB187" s="6" t="inlineStr">
        <is>
          <t>Main office, Dallas</t>
        </is>
      </c>
      <c r="AC187" s="6" t="inlineStr">
        <is>
          <t>https://huntrealty.com/contact/</t>
        </is>
      </c>
      <c r="AD187" s="6" t="inlineStr"/>
      <c r="AE187" s="6" t="inlineStr"/>
    </row>
    <row r="188">
      <c r="A188" s="12" t="inlineStr">
        <is>
          <t>Todd Watson</t>
        </is>
      </c>
      <c r="B188" s="12" t="inlineStr">
        <is>
          <t>Hunt Realty Investments</t>
        </is>
      </c>
      <c r="C188" s="12" t="inlineStr">
        <is>
          <t>President, Land and Development, Hunt Realty Investments</t>
        </is>
      </c>
      <c r="D188" s="13" t="inlineStr">
        <is>
          <t>Land owner, not the buyer</t>
        </is>
      </c>
      <c r="E188" s="14" t="n">
        <v>1</v>
      </c>
      <c r="F188" s="12" t="inlineStr">
        <is>
          <t>Land owner</t>
        </is>
      </c>
      <c r="G188" s="12" t="inlineStr">
        <is>
          <t>Land developer</t>
        </is>
      </c>
      <c r="H188" s="12" t="inlineStr">
        <is>
          <t>Dallas office, with Fields in far north Frisco</t>
        </is>
      </c>
      <c r="I188" s="12" t="inlineStr">
        <is>
          <t>Fields, Frisco: 2,544 acres, 10,000+ homes planned</t>
        </is>
      </c>
      <c r="J188" s="14" t="inlineStr">
        <is>
          <t>Yes</t>
        </is>
      </c>
      <c r="K188" s="15" t="inlineStr">
        <is>
          <t>One 2,544-acre masterplan with several single-family neighborhoods, plus multifamily.</t>
        </is>
      </c>
      <c r="L188" s="14" t="inlineStr">
        <is>
          <t>No</t>
        </is>
      </c>
      <c r="M188" s="15" t="inlineStr">
        <is>
          <t>It develops and sells land. The builders buy the wall.</t>
        </is>
      </c>
      <c r="N188" s="14" t="inlineStr">
        <is>
          <t>No</t>
        </is>
      </c>
      <c r="O188" s="15" t="inlineStr">
        <is>
          <t>Nothing published on construction method.</t>
        </is>
      </c>
      <c r="P188" s="6" t="inlineStr">
        <is>
          <t>https://www.linkedin.com/in/todd-watson-94353349/</t>
        </is>
      </c>
      <c r="Q188" s="12" t="inlineStr"/>
      <c r="R188" s="16">
        <f>IF(P188="","ADD LINKEDIN","ok")</f>
        <v/>
      </c>
      <c r="S188" s="12" t="inlineStr">
        <is>
          <t>https://huntrealty.com/</t>
        </is>
      </c>
      <c r="T188" s="15" t="inlineStr">
        <is>
          <t>Sells lots at Fields to Landon Homes and to the custom builders at the Preserve. Co-develops Fields with Karahan Companies.</t>
        </is>
      </c>
      <c r="U188" s="12" t="inlineStr"/>
      <c r="V188" s="15" t="inlineStr">
        <is>
          <t>Indexed title: Hunt Realty Investments. Team page. Calls Fields his favorite Hunt asset.</t>
        </is>
      </c>
      <c r="W188" s="12" t="inlineStr">
        <is>
          <t>https://huntrealty.com/team/</t>
        </is>
      </c>
      <c r="X188" s="12" t="inlineStr">
        <is>
          <t>https://www.linkedin.com/company/huntrealtyinvestments/</t>
        </is>
      </c>
      <c r="Y188" s="12" t="inlineStr">
        <is>
          <t>https://huntrealty.com/team/</t>
        </is>
      </c>
      <c r="Z188" s="12" t="inlineStr"/>
      <c r="AA188" s="12" t="inlineStr">
        <is>
          <t>(214) 978-8690</t>
        </is>
      </c>
      <c r="AB188" s="12" t="inlineStr">
        <is>
          <t>Main office, Dallas</t>
        </is>
      </c>
      <c r="AC188" s="12" t="inlineStr">
        <is>
          <t>https://huntrealty.com/contact/</t>
        </is>
      </c>
      <c r="AD188" s="12" t="inlineStr"/>
      <c r="AE188" s="12" t="inlineStr"/>
    </row>
    <row r="189">
      <c r="A189" s="6" t="inlineStr">
        <is>
          <t>Michael J. Smith</t>
        </is>
      </c>
      <c r="B189" s="6" t="inlineStr">
        <is>
          <t>Johnson Development</t>
        </is>
      </c>
      <c r="C189" s="6" t="inlineStr">
        <is>
          <t>President and Chief Executive Officer</t>
        </is>
      </c>
      <c r="D189" s="7" t="inlineStr">
        <is>
          <t>Land owner, not the buyer</t>
        </is>
      </c>
      <c r="E189" s="8" t="n">
        <v>1</v>
      </c>
      <c r="F189" s="6" t="inlineStr">
        <is>
          <t>Land owner</t>
        </is>
      </c>
      <c r="G189" s="6" t="inlineStr">
        <is>
          <t>Masterplan developer</t>
        </is>
      </c>
      <c r="H189" s="6" t="inlineStr">
        <is>
          <t>Houston, with DFW masterplans in McKinney, Arlington and Denton</t>
        </is>
      </c>
      <c r="I189" s="6" t="inlineStr">
        <is>
          <t>22 active masterplans, its own count</t>
        </is>
      </c>
      <c r="J189" s="8" t="inlineStr">
        <is>
          <t>Yes</t>
        </is>
      </c>
      <c r="K189" s="9" t="inlineStr">
        <is>
          <t>22 active masterplans, including Trinity Falls in DFW, each with several builders.</t>
        </is>
      </c>
      <c r="L189" s="8" t="inlineStr">
        <is>
          <t>No</t>
        </is>
      </c>
      <c r="M189" s="9" t="inlineStr">
        <is>
          <t>It sells lots. The builders buy the wall.</t>
        </is>
      </c>
      <c r="N189" s="8" t="inlineStr">
        <is>
          <t>No</t>
        </is>
      </c>
      <c r="O189" s="9" t="inlineStr">
        <is>
          <t>Nothing published on construction method.</t>
        </is>
      </c>
      <c r="P189" s="10" t="inlineStr"/>
      <c r="Q189" s="6" t="inlineStr"/>
      <c r="R189" s="11">
        <f>IF(P189="","ADD LINKEDIN","ok")</f>
        <v/>
      </c>
      <c r="S189" s="6" t="inlineStr">
        <is>
          <t>https://www.johnsondevelopment.com/</t>
        </is>
      </c>
      <c r="T189" s="9" t="inlineStr">
        <is>
          <t>Sells lots at Trinity Falls, Viridian and Cole Ranch, each with several builders. Michael Smith is President and Chief Executive Officer.</t>
        </is>
      </c>
      <c r="U189" s="6" t="inlineStr"/>
      <c r="V189" s="9" t="inlineStr">
        <is>
          <t>Firm's leadership page.</t>
        </is>
      </c>
      <c r="W189" s="6" t="inlineStr">
        <is>
          <t>https://www.johnsondevelopment.com/our-leaders</t>
        </is>
      </c>
      <c r="X189" s="6" t="inlineStr">
        <is>
          <t>https://www.linkedin.com/company/the-johnson-development-corp/</t>
        </is>
      </c>
      <c r="Y189" s="6" t="inlineStr">
        <is>
          <t>https://www.johnsondevelopment.com/our-leaders</t>
        </is>
      </c>
      <c r="Z189" s="6" t="inlineStr"/>
      <c r="AA189" s="6" t="inlineStr">
        <is>
          <t>(713) 960-9977</t>
        </is>
      </c>
      <c r="AB189" s="6" t="inlineStr">
        <is>
          <t>Corporate office, Houston</t>
        </is>
      </c>
      <c r="AC189" s="6" t="inlineStr">
        <is>
          <t>https://www.johnsondevelopment.com/our-leaders</t>
        </is>
      </c>
      <c r="AD189" s="6" t="inlineStr"/>
      <c r="AE189" s="6" t="inlineStr"/>
    </row>
    <row r="190">
      <c r="A190" s="12" t="inlineStr">
        <is>
          <t>Tony Ruggeri</t>
        </is>
      </c>
      <c r="B190" s="12" t="inlineStr">
        <is>
          <t>Light Farms (Celina, Republic)</t>
        </is>
      </c>
      <c r="C190" s="12" t="inlineStr">
        <is>
          <t>Co-CEO and Partner, Republic Property Group</t>
        </is>
      </c>
      <c r="D190" s="13" t="inlineStr">
        <is>
          <t>Land owner, not the buyer</t>
        </is>
      </c>
      <c r="E190" s="14" t="n">
        <v>1</v>
      </c>
      <c r="F190" s="12" t="inlineStr">
        <is>
          <t>Land owner</t>
        </is>
      </c>
      <c r="G190" s="12" t="inlineStr">
        <is>
          <t>Masterplanned community</t>
        </is>
      </c>
      <c r="H190" s="12" t="inlineStr">
        <is>
          <t>Celina, Collin County</t>
        </is>
      </c>
      <c r="I190" s="12" t="inlineStr">
        <is>
          <t>1,070-acre Celina masterplan, Republic Property Group</t>
        </is>
      </c>
      <c r="J190" s="14" t="inlineStr">
        <is>
          <t>Yes</t>
        </is>
      </c>
      <c r="K190" s="15" t="inlineStr">
        <is>
          <t>Built out in repeated production phases.</t>
        </is>
      </c>
      <c r="L190" s="14" t="inlineStr">
        <is>
          <t>No</t>
        </is>
      </c>
      <c r="M190" s="15" t="inlineStr">
        <is>
          <t>Republic and LFC sell lots. The builders buy the wall.</t>
        </is>
      </c>
      <c r="N190" s="14" t="inlineStr">
        <is>
          <t>No</t>
        </is>
      </c>
      <c r="O190" s="15" t="inlineStr">
        <is>
          <t>Nothing published on construction method.</t>
        </is>
      </c>
      <c r="P190" s="6" t="inlineStr">
        <is>
          <t>https://www.linkedin.com/in/tony-ruggeri-8ba6308/</t>
        </is>
      </c>
      <c r="Q190" s="12" t="inlineStr"/>
      <c r="R190" s="16">
        <f>IF(P190="","ADD LINKEDIN","ok")</f>
        <v/>
      </c>
      <c r="S190" s="12" t="inlineStr">
        <is>
          <t>https://lightfarmstx.com/</t>
        </is>
      </c>
      <c r="T190" s="15" t="inlineStr">
        <is>
          <t>Shaddock is the builder remaining in its final opportunities. Republic develops it for LFC Land Company.</t>
        </is>
      </c>
      <c r="U190" s="12" t="inlineStr"/>
      <c r="V190" s="15" t="inlineStr">
        <is>
          <t>Indexed title: Republic Property Group. Republic Property Group team page.</t>
        </is>
      </c>
      <c r="W190" s="12" t="inlineStr">
        <is>
          <t>https://republicpropertygroup.com/team/</t>
        </is>
      </c>
      <c r="X190" s="12" t="inlineStr">
        <is>
          <t>https://www.linkedin.com/company/republic-property-group/</t>
        </is>
      </c>
      <c r="Y190" s="12" t="inlineStr"/>
      <c r="Z190" s="12" t="inlineStr"/>
      <c r="AA190" s="12" t="inlineStr">
        <is>
          <t>(214) 618-4542</t>
        </is>
      </c>
      <c r="AB190" s="12" t="inlineStr">
        <is>
          <t>Welcome center, Celina</t>
        </is>
      </c>
      <c r="AC190" s="12" t="inlineStr">
        <is>
          <t>https://republicpropertygroup.com/communities/light-farms/</t>
        </is>
      </c>
      <c r="AD190" s="12" t="inlineStr"/>
      <c r="AE190" s="12" t="inlineStr"/>
    </row>
    <row r="191">
      <c r="A191" s="6" t="inlineStr">
        <is>
          <t>Jake Wagner</t>
        </is>
      </c>
      <c r="B191" s="6" t="inlineStr">
        <is>
          <t>Light Farms (Celina, Republic)</t>
        </is>
      </c>
      <c r="C191" s="6" t="inlineStr">
        <is>
          <t>Co-CEO and Partner, Republic Property Group</t>
        </is>
      </c>
      <c r="D191" s="7" t="inlineStr">
        <is>
          <t>Land owner, not the buyer</t>
        </is>
      </c>
      <c r="E191" s="8" t="n">
        <v>1</v>
      </c>
      <c r="F191" s="6" t="inlineStr">
        <is>
          <t>Land owner</t>
        </is>
      </c>
      <c r="G191" s="6" t="inlineStr">
        <is>
          <t>Masterplanned community</t>
        </is>
      </c>
      <c r="H191" s="6" t="inlineStr">
        <is>
          <t>Celina, Collin County</t>
        </is>
      </c>
      <c r="I191" s="6" t="inlineStr">
        <is>
          <t>1,070-acre Celina masterplan, Republic Property Group</t>
        </is>
      </c>
      <c r="J191" s="8" t="inlineStr">
        <is>
          <t>Yes</t>
        </is>
      </c>
      <c r="K191" s="9" t="inlineStr">
        <is>
          <t>Built out in repeated production phases.</t>
        </is>
      </c>
      <c r="L191" s="8" t="inlineStr">
        <is>
          <t>No</t>
        </is>
      </c>
      <c r="M191" s="9" t="inlineStr">
        <is>
          <t>Republic and LFC sell lots. The builders buy the wall.</t>
        </is>
      </c>
      <c r="N191" s="8" t="inlineStr">
        <is>
          <t>No</t>
        </is>
      </c>
      <c r="O191" s="9" t="inlineStr">
        <is>
          <t>Nothing published on construction method.</t>
        </is>
      </c>
      <c r="P191" s="10" t="inlineStr"/>
      <c r="Q191" s="6" t="inlineStr"/>
      <c r="R191" s="11">
        <f>IF(P191="","ADD LINKEDIN","ok")</f>
        <v/>
      </c>
      <c r="S191" s="6" t="inlineStr">
        <is>
          <t>https://lightfarmstx.com/</t>
        </is>
      </c>
      <c r="T191" s="9" t="inlineStr">
        <is>
          <t>Shaddock is the builder remaining in its final opportunities. Republic develops it for LFC Land Company.</t>
        </is>
      </c>
      <c r="U191" s="6" t="inlineStr"/>
      <c r="V191" s="9" t="inlineStr">
        <is>
          <t>Republic Property Group team page.</t>
        </is>
      </c>
      <c r="W191" s="6" t="inlineStr">
        <is>
          <t>https://republicpropertygroup.com/team/</t>
        </is>
      </c>
      <c r="X191" s="6" t="inlineStr">
        <is>
          <t>https://www.linkedin.com/company/republic-property-group/</t>
        </is>
      </c>
      <c r="Y191" s="6" t="inlineStr"/>
      <c r="Z191" s="6" t="inlineStr"/>
      <c r="AA191" s="6" t="inlineStr">
        <is>
          <t>(214) 618-4542</t>
        </is>
      </c>
      <c r="AB191" s="6" t="inlineStr">
        <is>
          <t>Welcome center, Celina</t>
        </is>
      </c>
      <c r="AC191" s="6" t="inlineStr">
        <is>
          <t>https://republicpropertygroup.com/communities/light-farms/</t>
        </is>
      </c>
      <c r="AD191" s="6" t="inlineStr"/>
      <c r="AE191" s="6" t="inlineStr"/>
    </row>
    <row r="192">
      <c r="A192" s="12" t="inlineStr">
        <is>
          <t>Fred Balda</t>
        </is>
      </c>
      <c r="B192" s="12" t="inlineStr">
        <is>
          <t>Lilyana by Hillwood (Celina)</t>
        </is>
      </c>
      <c r="C192" s="12" t="inlineStr">
        <is>
          <t>President, Hillwood Communities</t>
        </is>
      </c>
      <c r="D192" s="13" t="inlineStr">
        <is>
          <t>Land owner, not the buyer</t>
        </is>
      </c>
      <c r="E192" s="14" t="n">
        <v>1</v>
      </c>
      <c r="F192" s="12" t="inlineStr">
        <is>
          <t>Land owner</t>
        </is>
      </c>
      <c r="G192" s="12" t="inlineStr">
        <is>
          <t>Masterplanned community</t>
        </is>
      </c>
      <c r="H192" s="12" t="inlineStr">
        <is>
          <t>Celina and Prosper area</t>
        </is>
      </c>
      <c r="I192" s="12" t="inlineStr">
        <is>
          <t>About 1,300 homes on 400 acres, Celina</t>
        </is>
      </c>
      <c r="J192" s="14" t="inlineStr">
        <is>
          <t>Yes</t>
        </is>
      </c>
      <c r="K192" s="15" t="inlineStr">
        <is>
          <t>About 1,300 planned homes on one 400-acre site.</t>
        </is>
      </c>
      <c r="L192" s="14" t="inlineStr">
        <is>
          <t>No</t>
        </is>
      </c>
      <c r="M192" s="15" t="inlineStr">
        <is>
          <t>Hillwood sells lots. The builders buy the wall.</t>
        </is>
      </c>
      <c r="N192" s="14" t="inlineStr">
        <is>
          <t>No</t>
        </is>
      </c>
      <c r="O192" s="15" t="inlineStr">
        <is>
          <t>Nothing published on construction method.</t>
        </is>
      </c>
      <c r="P192" s="10" t="inlineStr"/>
      <c r="Q192" s="12" t="inlineStr"/>
      <c r="R192" s="16">
        <f>IF(P192="","ADD LINKEDIN","ok")</f>
        <v/>
      </c>
      <c r="S192" s="12" t="inlineStr">
        <is>
          <t>https://www.lilyanabyhillwood.com/</t>
        </is>
      </c>
      <c r="T192" s="15" t="inlineStr">
        <is>
          <t>Its October 2025 fact sheet lists M/I Homes as the current builder. A Hillwood Communities masterplan.</t>
        </is>
      </c>
      <c r="U192" s="12" t="inlineStr"/>
      <c r="V192" s="15" t="inlineStr">
        <is>
          <t>Hillwood Communities leadership page. President since 1992.</t>
        </is>
      </c>
      <c r="W192" s="12" t="inlineStr">
        <is>
          <t>https://www.hillwoodcommunities.com/leadership/fred-balda/</t>
        </is>
      </c>
      <c r="X192" s="12" t="inlineStr">
        <is>
          <t>https://www.linkedin.com/company/hillwoodcommunities/</t>
        </is>
      </c>
      <c r="Y192" s="12" t="inlineStr"/>
      <c r="Z192" s="12" t="inlineStr"/>
      <c r="AA192" s="12" t="inlineStr">
        <is>
          <t>(214) 449-0914</t>
        </is>
      </c>
      <c r="AB192" s="12" t="inlineStr">
        <is>
          <t>Hillwood Communities main office</t>
        </is>
      </c>
      <c r="AC192" s="12" t="inlineStr">
        <is>
          <t>https://www.hillwoodcommunities.com/contact/</t>
        </is>
      </c>
      <c r="AD192" s="12" t="inlineStr"/>
      <c r="AE192" s="12" t="inlineStr"/>
    </row>
    <row r="193">
      <c r="A193" s="6" t="inlineStr">
        <is>
          <t>Huawei “Howie” Yin</t>
        </is>
      </c>
      <c r="B193" s="6" t="inlineStr">
        <is>
          <t>Lilyana by Hillwood (Celina)</t>
        </is>
      </c>
      <c r="C193" s="6" t="inlineStr">
        <is>
          <t>Vice President, DFW Project Manager for Ramble and Lilyana</t>
        </is>
      </c>
      <c r="D193" s="7" t="inlineStr">
        <is>
          <t>Land owner, not the buyer</t>
        </is>
      </c>
      <c r="E193" s="8" t="n">
        <v>1</v>
      </c>
      <c r="F193" s="6" t="inlineStr">
        <is>
          <t>Land owner</t>
        </is>
      </c>
      <c r="G193" s="6" t="inlineStr">
        <is>
          <t>Masterplanned community</t>
        </is>
      </c>
      <c r="H193" s="6" t="inlineStr">
        <is>
          <t>Celina and Prosper area</t>
        </is>
      </c>
      <c r="I193" s="6" t="inlineStr">
        <is>
          <t>About 1,300 homes on 400 acres, Celina</t>
        </is>
      </c>
      <c r="J193" s="8" t="inlineStr">
        <is>
          <t>Yes</t>
        </is>
      </c>
      <c r="K193" s="9" t="inlineStr">
        <is>
          <t>About 1,300 planned homes on one 400-acre site.</t>
        </is>
      </c>
      <c r="L193" s="8" t="inlineStr">
        <is>
          <t>No</t>
        </is>
      </c>
      <c r="M193" s="9" t="inlineStr">
        <is>
          <t>Hillwood sells lots. The builders buy the wall.</t>
        </is>
      </c>
      <c r="N193" s="8" t="inlineStr">
        <is>
          <t>No</t>
        </is>
      </c>
      <c r="O193" s="9" t="inlineStr">
        <is>
          <t>Nothing published on construction method.</t>
        </is>
      </c>
      <c r="P193" s="6" t="inlineStr">
        <is>
          <t>https://www.linkedin.com/in/huaweiyin/</t>
        </is>
      </c>
      <c r="Q193" s="6" t="inlineStr"/>
      <c r="R193" s="11">
        <f>IF(P193="","ADD LINKEDIN","ok")</f>
        <v/>
      </c>
      <c r="S193" s="6" t="inlineStr">
        <is>
          <t>https://www.lilyanabyhillwood.com/</t>
        </is>
      </c>
      <c r="T193" s="9" t="inlineStr">
        <is>
          <t>Its October 2025 fact sheet lists M/I Homes as the current builder. A Hillwood Communities masterplan.</t>
        </is>
      </c>
      <c r="U193" s="6" t="inlineStr">
        <is>
          <t>YES</t>
        </is>
      </c>
      <c r="V193" s="9" t="inlineStr">
        <is>
          <t>Indexed title: Hillwood Communities. Hillwood Communities leadership page.</t>
        </is>
      </c>
      <c r="W193" s="6" t="inlineStr">
        <is>
          <t>https://www.hillwoodcommunities.com/leadership/fred-balda/</t>
        </is>
      </c>
      <c r="X193" s="6" t="inlineStr">
        <is>
          <t>https://www.linkedin.com/company/hillwoodcommunities/</t>
        </is>
      </c>
      <c r="Y193" s="6" t="inlineStr"/>
      <c r="Z193" s="6" t="inlineStr"/>
      <c r="AA193" s="6" t="inlineStr">
        <is>
          <t>(214) 449-0914</t>
        </is>
      </c>
      <c r="AB193" s="6" t="inlineStr">
        <is>
          <t>Hillwood Communities main office</t>
        </is>
      </c>
      <c r="AC193" s="6" t="inlineStr">
        <is>
          <t>https://www.hillwoodcommunities.com/contact/</t>
        </is>
      </c>
      <c r="AD193" s="6" t="inlineStr"/>
      <c r="AE193" s="6" t="inlineStr"/>
    </row>
    <row r="194">
      <c r="A194" s="12" t="inlineStr">
        <is>
          <t>Craig Martin</t>
        </is>
      </c>
      <c r="B194" s="12" t="inlineStr">
        <is>
          <t>Mosaic (Celina, Tellus Group)</t>
        </is>
      </c>
      <c r="C194" s="12" t="inlineStr">
        <is>
          <t>Founder and Chief Executive Officer, Tellus Group</t>
        </is>
      </c>
      <c r="D194" s="13" t="inlineStr">
        <is>
          <t>Land owner, not the buyer</t>
        </is>
      </c>
      <c r="E194" s="14" t="n">
        <v>1</v>
      </c>
      <c r="F194" s="12" t="inlineStr">
        <is>
          <t>Land owner</t>
        </is>
      </c>
      <c r="G194" s="12" t="inlineStr">
        <is>
          <t>Masterplanned community</t>
        </is>
      </c>
      <c r="H194" s="12" t="inlineStr">
        <is>
          <t>Celina, on the Prosper edge</t>
        </is>
      </c>
      <c r="I194" s="12" t="inlineStr">
        <is>
          <t>760 acres, about 1,700 lots, eight builders</t>
        </is>
      </c>
      <c r="J194" s="14" t="inlineStr">
        <is>
          <t>Yes</t>
        </is>
      </c>
      <c r="K194" s="15" t="inlineStr">
        <is>
          <t>About 1,700 lots across eight builders.</t>
        </is>
      </c>
      <c r="L194" s="14" t="inlineStr">
        <is>
          <t>No</t>
        </is>
      </c>
      <c r="M194" s="15" t="inlineStr">
        <is>
          <t>Tellus develops lots. The builders buy the wall.</t>
        </is>
      </c>
      <c r="N194" s="14" t="inlineStr">
        <is>
          <t>No</t>
        </is>
      </c>
      <c r="O194" s="15" t="inlineStr">
        <is>
          <t>Nothing published on construction method.</t>
        </is>
      </c>
      <c r="P194" s="10" t="inlineStr"/>
      <c r="Q194" s="12" t="inlineStr"/>
      <c r="R194" s="16">
        <f>IF(P194="","ADD LINKEDIN","ok")</f>
        <v/>
      </c>
      <c r="S194" s="12" t="inlineStr">
        <is>
          <t>https://mosaiclivingtx.com/</t>
        </is>
      </c>
      <c r="T194" s="15" t="inlineStr">
        <is>
          <t>Its builders include Homebound. Tellus Group develops it, just north of Windsong Ranch.</t>
        </is>
      </c>
      <c r="U194" s="12" t="inlineStr"/>
      <c r="V194" s="15" t="inlineStr">
        <is>
          <t>Tellus Group team page.</t>
        </is>
      </c>
      <c r="W194" s="12" t="inlineStr">
        <is>
          <t>https://tellusgroupllc.com/team/</t>
        </is>
      </c>
      <c r="X194" s="12" t="inlineStr">
        <is>
          <t>https://www.linkedin.com/company/tellusgroupllc/</t>
        </is>
      </c>
      <c r="Y194" s="12" t="inlineStr"/>
      <c r="Z194" s="12" t="inlineStr"/>
      <c r="AA194" s="12" t="inlineStr">
        <is>
          <t>(469) 532-0689</t>
        </is>
      </c>
      <c r="AB194" s="12" t="inlineStr">
        <is>
          <t>Tellus Group, Plano</t>
        </is>
      </c>
      <c r="AC194" s="12" t="inlineStr">
        <is>
          <t>https://tellusgroupllc.com/contact/</t>
        </is>
      </c>
      <c r="AD194" s="12" t="inlineStr"/>
      <c r="AE194" s="12" t="inlineStr"/>
    </row>
    <row r="195">
      <c r="A195" s="6" t="inlineStr">
        <is>
          <t>no contact identified</t>
        </is>
      </c>
      <c r="B195" s="6" t="inlineStr">
        <is>
          <t>Painted Tree (Oxland / MPC)</t>
        </is>
      </c>
      <c r="C195" s="6" t="inlineStr"/>
      <c r="D195" s="7" t="inlineStr">
        <is>
          <t>Land owner, not the buyer</t>
        </is>
      </c>
      <c r="E195" s="8" t="n">
        <v>1</v>
      </c>
      <c r="F195" s="6" t="inlineStr">
        <is>
          <t>Land owner</t>
        </is>
      </c>
      <c r="G195" s="6" t="inlineStr">
        <is>
          <t>Masterplanned community</t>
        </is>
      </c>
      <c r="H195" s="6" t="inlineStr">
        <is>
          <t>McKinney</t>
        </is>
      </c>
      <c r="I195" s="6" t="inlineStr">
        <is>
          <t>Eleven names on its districts page, McKinney</t>
        </is>
      </c>
      <c r="J195" s="8" t="inlineStr">
        <is>
          <t>Yes</t>
        </is>
      </c>
      <c r="K195" s="9" t="inlineStr">
        <is>
          <t>Three districts, ten builders and one rental operator.</t>
        </is>
      </c>
      <c r="L195" s="8" t="inlineStr">
        <is>
          <t>No</t>
        </is>
      </c>
      <c r="M195" s="9" t="inlineStr">
        <is>
          <t>It sells lots. The builders, and Cyrene for its rentals, buy the wall.</t>
        </is>
      </c>
      <c r="N195" s="8" t="inlineStr">
        <is>
          <t>No</t>
        </is>
      </c>
      <c r="O195" s="9" t="inlineStr">
        <is>
          <t>Nothing published on construction method.</t>
        </is>
      </c>
      <c r="P195" s="10" t="inlineStr"/>
      <c r="Q195" s="6" t="inlineStr"/>
      <c r="R195" s="11">
        <f>IF(P195="","ADD LINKEDIN","ok")</f>
        <v/>
      </c>
      <c r="S195" s="6" t="inlineStr">
        <is>
          <t>https://paintedtreetx.com/</t>
        </is>
      </c>
      <c r="T195" s="9" t="inlineStr">
        <is>
          <t>Sells lots to David Weekley, Drees and Tri Pointe, among others, and to Cyrene for rentals.</t>
        </is>
      </c>
      <c r="U195" s="6" t="inlineStr"/>
      <c r="V195" s="9" t="inlineStr"/>
      <c r="W195" s="6" t="inlineStr"/>
      <c r="X195" s="6" t="inlineStr">
        <is>
          <t>https://www.linkedin.com/company/oxland-advisors-llc/</t>
        </is>
      </c>
      <c r="Y195" s="6" t="inlineStr"/>
      <c r="Z195" s="6" t="inlineStr"/>
      <c r="AA195" s="6" t="inlineStr"/>
      <c r="AB195" s="6" t="inlineStr"/>
      <c r="AC195" s="6" t="inlineStr"/>
      <c r="AD195" s="6" t="inlineStr"/>
      <c r="AE195" s="6" t="inlineStr"/>
    </row>
    <row r="196">
      <c r="A196" s="12" t="inlineStr">
        <is>
          <t>Fred Balda</t>
        </is>
      </c>
      <c r="B196" s="12" t="inlineStr">
        <is>
          <t>Ramble by Hillwood (Celina)</t>
        </is>
      </c>
      <c r="C196" s="12" t="inlineStr">
        <is>
          <t>President, Hillwood Communities</t>
        </is>
      </c>
      <c r="D196" s="13" t="inlineStr">
        <is>
          <t>Land owner, not the buyer</t>
        </is>
      </c>
      <c r="E196" s="14" t="n">
        <v>1</v>
      </c>
      <c r="F196" s="12" t="inlineStr">
        <is>
          <t>Land owner</t>
        </is>
      </c>
      <c r="G196" s="12" t="inlineStr">
        <is>
          <t>Masterplanned community</t>
        </is>
      </c>
      <c r="H196" s="12" t="inlineStr">
        <is>
          <t>Celina, Collin County</t>
        </is>
      </c>
      <c r="I196" s="12" t="inlineStr">
        <is>
          <t>4,200+ planned homes on its own site, five builders</t>
        </is>
      </c>
      <c r="J196" s="14" t="inlineStr">
        <is>
          <t>Yes</t>
        </is>
      </c>
      <c r="K196" s="15" t="inlineStr">
        <is>
          <t>A 1,380-acre Celina masterplan. Five production builders on a published roster, models open.</t>
        </is>
      </c>
      <c r="L196" s="14" t="inlineStr">
        <is>
          <t>No</t>
        </is>
      </c>
      <c r="M196" s="15" t="inlineStr">
        <is>
          <t>Hillwood develops the lots. The roster builders buy the wall.</t>
        </is>
      </c>
      <c r="N196" s="14" t="inlineStr">
        <is>
          <t>No</t>
        </is>
      </c>
      <c r="O196" s="15" t="inlineStr">
        <is>
          <t>Nothing published on construction method.</t>
        </is>
      </c>
      <c r="P196" s="10" t="inlineStr"/>
      <c r="Q196" s="12" t="inlineStr"/>
      <c r="R196" s="16">
        <f>IF(P196="","ADD LINKEDIN","ok")</f>
        <v/>
      </c>
      <c r="S196" s="12" t="inlineStr">
        <is>
          <t>https://www.ramblebyhillwood.com/</t>
        </is>
      </c>
      <c r="T196" s="15" t="inlineStr">
        <is>
          <t>Roster builders: American Legend, Coventry, Drees, Highland and Perry. Hillwood develops the lots.</t>
        </is>
      </c>
      <c r="U196" s="12" t="inlineStr"/>
      <c r="V196" s="15" t="inlineStr">
        <is>
          <t>Hillwood Communities leadership page.</t>
        </is>
      </c>
      <c r="W196" s="12" t="inlineStr">
        <is>
          <t>https://www.hillwoodcommunities.com/leadership/</t>
        </is>
      </c>
      <c r="X196" s="12" t="inlineStr">
        <is>
          <t>https://www.linkedin.com/company/hillwoodcommunities/</t>
        </is>
      </c>
      <c r="Y196" s="12" t="inlineStr"/>
      <c r="Z196" s="12" t="inlineStr"/>
      <c r="AA196" s="12" t="inlineStr">
        <is>
          <t>(469) 212-0524</t>
        </is>
      </c>
      <c r="AB196" s="12" t="inlineStr">
        <is>
          <t>Ramble contact line, Celina</t>
        </is>
      </c>
      <c r="AC196" s="12" t="inlineStr">
        <is>
          <t>https://www.ramblebyhillwood.com/</t>
        </is>
      </c>
      <c r="AD196" s="12" t="inlineStr"/>
      <c r="AE196" s="12" t="inlineStr"/>
    </row>
    <row r="197">
      <c r="A197" s="6" t="inlineStr">
        <is>
          <t>Elaine Eatman</t>
        </is>
      </c>
      <c r="B197" s="6" t="inlineStr">
        <is>
          <t>Ramble by Hillwood (Celina)</t>
        </is>
      </c>
      <c r="C197" s="6" t="inlineStr">
        <is>
          <t>Senior Vice President, DFW Project Manager for Ramble and Union Park, Hillwood</t>
        </is>
      </c>
      <c r="D197" s="7" t="inlineStr">
        <is>
          <t>Land owner, not the buyer</t>
        </is>
      </c>
      <c r="E197" s="8" t="n">
        <v>1</v>
      </c>
      <c r="F197" s="6" t="inlineStr">
        <is>
          <t>Land owner</t>
        </is>
      </c>
      <c r="G197" s="6" t="inlineStr">
        <is>
          <t>Masterplanned community</t>
        </is>
      </c>
      <c r="H197" s="6" t="inlineStr">
        <is>
          <t>Celina, Collin County</t>
        </is>
      </c>
      <c r="I197" s="6" t="inlineStr">
        <is>
          <t>4,200+ planned homes on its own site, five builders</t>
        </is>
      </c>
      <c r="J197" s="8" t="inlineStr">
        <is>
          <t>Yes</t>
        </is>
      </c>
      <c r="K197" s="9" t="inlineStr">
        <is>
          <t>A 1,380-acre Celina masterplan. Five production builders on a published roster, models open.</t>
        </is>
      </c>
      <c r="L197" s="8" t="inlineStr">
        <is>
          <t>No</t>
        </is>
      </c>
      <c r="M197" s="9" t="inlineStr">
        <is>
          <t>Hillwood develops the lots. The roster builders buy the wall.</t>
        </is>
      </c>
      <c r="N197" s="8" t="inlineStr">
        <is>
          <t>No</t>
        </is>
      </c>
      <c r="O197" s="9" t="inlineStr">
        <is>
          <t>Nothing published on construction method.</t>
        </is>
      </c>
      <c r="P197" s="6" t="inlineStr">
        <is>
          <t>https://www.linkedin.com/in/elaine-eatman-54596a10</t>
        </is>
      </c>
      <c r="Q197" s="6" t="inlineStr"/>
      <c r="R197" s="11">
        <f>IF(P197="","ADD LINKEDIN","ok")</f>
        <v/>
      </c>
      <c r="S197" s="6" t="inlineStr">
        <is>
          <t>https://www.ramblebyhillwood.com/</t>
        </is>
      </c>
      <c r="T197" s="9" t="inlineStr">
        <is>
          <t>Roster builders: American Legend, Coventry, Drees, Highland and Perry. Hillwood develops the lots.</t>
        </is>
      </c>
      <c r="U197" s="6" t="inlineStr">
        <is>
          <t>YES</t>
        </is>
      </c>
      <c r="V197" s="9" t="inlineStr">
        <is>
          <t>Indexed title: Senior Vice President at Hillwood. Hillwood leadership page.</t>
        </is>
      </c>
      <c r="W197" s="6" t="inlineStr">
        <is>
          <t>https://www.hillwoodcommunities.com/leadership/</t>
        </is>
      </c>
      <c r="X197" s="6" t="inlineStr">
        <is>
          <t>https://www.linkedin.com/company/hillwoodcommunities/</t>
        </is>
      </c>
      <c r="Y197" s="6" t="inlineStr"/>
      <c r="Z197" s="6" t="inlineStr"/>
      <c r="AA197" s="6" t="inlineStr">
        <is>
          <t>(469) 212-0524</t>
        </is>
      </c>
      <c r="AB197" s="6" t="inlineStr">
        <is>
          <t>Ramble contact line, Celina</t>
        </is>
      </c>
      <c r="AC197" s="6" t="inlineStr">
        <is>
          <t>https://www.ramblebyhillwood.com/</t>
        </is>
      </c>
      <c r="AD197" s="6" t="inlineStr"/>
      <c r="AE197" s="6" t="inlineStr"/>
    </row>
    <row r="198">
      <c r="A198" s="12" t="inlineStr">
        <is>
          <t>Tony Ruggeri</t>
        </is>
      </c>
      <c r="B198" s="12" t="inlineStr">
        <is>
          <t>Republic Property Group</t>
        </is>
      </c>
      <c r="C198" s="12" t="inlineStr">
        <is>
          <t>Co-CEO and Partner</t>
        </is>
      </c>
      <c r="D198" s="13" t="inlineStr">
        <is>
          <t>Land owner, not the buyer</t>
        </is>
      </c>
      <c r="E198" s="14" t="n">
        <v>1</v>
      </c>
      <c r="F198" s="12" t="inlineStr">
        <is>
          <t>Land owner</t>
        </is>
      </c>
      <c r="G198" s="12" t="inlineStr">
        <is>
          <t>Land developer</t>
        </is>
      </c>
      <c r="H198" s="12" t="inlineStr">
        <is>
          <t>Dallas, with masterplans in Fort Worth and Celina</t>
        </is>
      </c>
      <c r="I198" s="12" t="inlineStr">
        <is>
          <t>More than 15,000 homes planned at Walsh</t>
        </is>
      </c>
      <c r="J198" s="14" t="inlineStr">
        <is>
          <t>Yes</t>
        </is>
      </c>
      <c r="K198" s="15" t="inlineStr">
        <is>
          <t>Multi-phase masterplans with long buildouts.</t>
        </is>
      </c>
      <c r="L198" s="14" t="inlineStr">
        <is>
          <t>No</t>
        </is>
      </c>
      <c r="M198" s="15" t="inlineStr">
        <is>
          <t>It sells lots. The builders buy the wall.</t>
        </is>
      </c>
      <c r="N198" s="14" t="inlineStr">
        <is>
          <t>No</t>
        </is>
      </c>
      <c r="O198" s="15" t="inlineStr">
        <is>
          <t>Nothing published on construction method.</t>
        </is>
      </c>
      <c r="P198" s="6" t="inlineStr">
        <is>
          <t>https://www.linkedin.com/in/tony-ruggeri-8ba6308/</t>
        </is>
      </c>
      <c r="Q198" s="12" t="inlineStr"/>
      <c r="R198" s="16">
        <f>IF(P198="","ADD LINKEDIN","ok")</f>
        <v/>
      </c>
      <c r="S198" s="12" t="inlineStr">
        <is>
          <t>https://republicpropertygroup.com/</t>
        </is>
      </c>
      <c r="T198" s="15" t="inlineStr">
        <is>
          <t>Develops Walsh in Fort Worth and Light Farms in Celina, selling lots to roster builders. Co-CEOs Tony Ruggeri and Jake Wagner run it.</t>
        </is>
      </c>
      <c r="U198" s="12" t="inlineStr"/>
      <c r="V198" s="15" t="inlineStr">
        <is>
          <t>Indexed title: Republic Property Group. Firm's team page.</t>
        </is>
      </c>
      <c r="W198" s="12" t="inlineStr">
        <is>
          <t>https://republicpropertygroup.com/team/</t>
        </is>
      </c>
      <c r="X198" s="12" t="inlineStr">
        <is>
          <t>https://www.linkedin.com/company/republic-property-group/</t>
        </is>
      </c>
      <c r="Y198" s="12" t="inlineStr">
        <is>
          <t>https://republicpropertygroup.com/team/</t>
        </is>
      </c>
      <c r="Z198" s="12" t="inlineStr"/>
      <c r="AA198" s="12" t="inlineStr">
        <is>
          <t>(214) 292-3410</t>
        </is>
      </c>
      <c r="AB198" s="12" t="inlineStr">
        <is>
          <t>Corporate office, Dallas</t>
        </is>
      </c>
      <c r="AC198" s="12" t="inlineStr">
        <is>
          <t>https://republicpropertygroup.com/contact/</t>
        </is>
      </c>
      <c r="AD198" s="12" t="inlineStr"/>
      <c r="AE198" s="12" t="inlineStr"/>
    </row>
    <row r="199">
      <c r="A199" s="6" t="inlineStr">
        <is>
          <t>Jake Wagner</t>
        </is>
      </c>
      <c r="B199" s="6" t="inlineStr">
        <is>
          <t>Republic Property Group</t>
        </is>
      </c>
      <c r="C199" s="6" t="inlineStr">
        <is>
          <t>Co-CEO and Partner</t>
        </is>
      </c>
      <c r="D199" s="7" t="inlineStr">
        <is>
          <t>Land owner, not the buyer</t>
        </is>
      </c>
      <c r="E199" s="8" t="n">
        <v>1</v>
      </c>
      <c r="F199" s="6" t="inlineStr">
        <is>
          <t>Land owner</t>
        </is>
      </c>
      <c r="G199" s="6" t="inlineStr">
        <is>
          <t>Land developer</t>
        </is>
      </c>
      <c r="H199" s="6" t="inlineStr">
        <is>
          <t>Dallas, with masterplans in Fort Worth and Celina</t>
        </is>
      </c>
      <c r="I199" s="6" t="inlineStr">
        <is>
          <t>More than 15,000 homes planned at Walsh</t>
        </is>
      </c>
      <c r="J199" s="8" t="inlineStr">
        <is>
          <t>Yes</t>
        </is>
      </c>
      <c r="K199" s="9" t="inlineStr">
        <is>
          <t>Multi-phase masterplans with long buildouts.</t>
        </is>
      </c>
      <c r="L199" s="8" t="inlineStr">
        <is>
          <t>No</t>
        </is>
      </c>
      <c r="M199" s="9" t="inlineStr">
        <is>
          <t>It sells lots. The builders buy the wall.</t>
        </is>
      </c>
      <c r="N199" s="8" t="inlineStr">
        <is>
          <t>No</t>
        </is>
      </c>
      <c r="O199" s="9" t="inlineStr">
        <is>
          <t>Nothing published on construction method.</t>
        </is>
      </c>
      <c r="P199" s="10" t="inlineStr"/>
      <c r="Q199" s="6" t="inlineStr"/>
      <c r="R199" s="11">
        <f>IF(P199="","ADD LINKEDIN","ok")</f>
        <v/>
      </c>
      <c r="S199" s="6" t="inlineStr">
        <is>
          <t>https://republicpropertygroup.com/</t>
        </is>
      </c>
      <c r="T199" s="9" t="inlineStr">
        <is>
          <t>Develops Walsh in Fort Worth and Light Farms in Celina, selling lots to roster builders. Co-CEOs Tony Ruggeri and Jake Wagner run it.</t>
        </is>
      </c>
      <c r="U199" s="6" t="inlineStr"/>
      <c r="V199" s="9" t="inlineStr">
        <is>
          <t>Firm's team page.</t>
        </is>
      </c>
      <c r="W199" s="6" t="inlineStr">
        <is>
          <t>https://republicpropertygroup.com/team/</t>
        </is>
      </c>
      <c r="X199" s="6" t="inlineStr">
        <is>
          <t>https://www.linkedin.com/company/republic-property-group/</t>
        </is>
      </c>
      <c r="Y199" s="6" t="inlineStr">
        <is>
          <t>https://republicpropertygroup.com/team/</t>
        </is>
      </c>
      <c r="Z199" s="6" t="inlineStr"/>
      <c r="AA199" s="6" t="inlineStr">
        <is>
          <t>(214) 292-3410</t>
        </is>
      </c>
      <c r="AB199" s="6" t="inlineStr">
        <is>
          <t>Corporate office, Dallas</t>
        </is>
      </c>
      <c r="AC199" s="6" t="inlineStr">
        <is>
          <t>https://republicpropertygroup.com/contact/</t>
        </is>
      </c>
      <c r="AD199" s="6" t="inlineStr"/>
      <c r="AE199" s="6" t="inlineStr"/>
    </row>
    <row r="200">
      <c r="A200" s="12" t="inlineStr">
        <is>
          <t>Cheryl Turner</t>
        </is>
      </c>
      <c r="B200" s="12" t="inlineStr">
        <is>
          <t>Republic Property Group</t>
        </is>
      </c>
      <c r="C200" s="12" t="inlineStr">
        <is>
          <t>Chief Operating Officer</t>
        </is>
      </c>
      <c r="D200" s="13" t="inlineStr">
        <is>
          <t>Land owner, not the buyer</t>
        </is>
      </c>
      <c r="E200" s="14" t="n">
        <v>1</v>
      </c>
      <c r="F200" s="12" t="inlineStr">
        <is>
          <t>Land owner</t>
        </is>
      </c>
      <c r="G200" s="12" t="inlineStr">
        <is>
          <t>Land developer</t>
        </is>
      </c>
      <c r="H200" s="12" t="inlineStr">
        <is>
          <t>Dallas, with masterplans in Fort Worth and Celina</t>
        </is>
      </c>
      <c r="I200" s="12" t="inlineStr">
        <is>
          <t>More than 15,000 homes planned at Walsh</t>
        </is>
      </c>
      <c r="J200" s="14" t="inlineStr">
        <is>
          <t>Yes</t>
        </is>
      </c>
      <c r="K200" s="15" t="inlineStr">
        <is>
          <t>Multi-phase masterplans with long buildouts.</t>
        </is>
      </c>
      <c r="L200" s="14" t="inlineStr">
        <is>
          <t>No</t>
        </is>
      </c>
      <c r="M200" s="15" t="inlineStr">
        <is>
          <t>It sells lots. The builders buy the wall.</t>
        </is>
      </c>
      <c r="N200" s="14" t="inlineStr">
        <is>
          <t>No</t>
        </is>
      </c>
      <c r="O200" s="15" t="inlineStr">
        <is>
          <t>Nothing published on construction method.</t>
        </is>
      </c>
      <c r="P200" s="10" t="inlineStr"/>
      <c r="Q200" s="12" t="inlineStr"/>
      <c r="R200" s="16">
        <f>IF(P200="","ADD LINKEDIN","ok")</f>
        <v/>
      </c>
      <c r="S200" s="12" t="inlineStr">
        <is>
          <t>https://republicpropertygroup.com/</t>
        </is>
      </c>
      <c r="T200" s="15" t="inlineStr">
        <is>
          <t>Develops Walsh in Fort Worth and Light Farms in Celina, selling lots to roster builders. Co-CEOs Tony Ruggeri and Jake Wagner run it.</t>
        </is>
      </c>
      <c r="U200" s="12" t="inlineStr"/>
      <c r="V200" s="15" t="inlineStr">
        <is>
          <t>Firm's about page.</t>
        </is>
      </c>
      <c r="W200" s="12" t="inlineStr">
        <is>
          <t>https://republicpropertygroup.com/about-republic-property-group/</t>
        </is>
      </c>
      <c r="X200" s="12" t="inlineStr">
        <is>
          <t>https://www.linkedin.com/company/republic-property-group/</t>
        </is>
      </c>
      <c r="Y200" s="12" t="inlineStr">
        <is>
          <t>https://republicpropertygroup.com/team/</t>
        </is>
      </c>
      <c r="Z200" s="12" t="inlineStr"/>
      <c r="AA200" s="12" t="inlineStr">
        <is>
          <t>(214) 292-3410</t>
        </is>
      </c>
      <c r="AB200" s="12" t="inlineStr">
        <is>
          <t>Corporate office, Dallas</t>
        </is>
      </c>
      <c r="AC200" s="12" t="inlineStr">
        <is>
          <t>https://republicpropertygroup.com/contact/</t>
        </is>
      </c>
      <c r="AD200" s="12" t="inlineStr"/>
      <c r="AE200" s="12" t="inlineStr"/>
    </row>
    <row r="201">
      <c r="A201" s="6" t="inlineStr">
        <is>
          <t>Phillip Huffines</t>
        </is>
      </c>
      <c r="B201" s="6" t="inlineStr">
        <is>
          <t>Serenade (Celina, Huffines Communities)</t>
        </is>
      </c>
      <c r="C201" s="6" t="inlineStr">
        <is>
          <t>President, CEO and Co-Founder</t>
        </is>
      </c>
      <c r="D201" s="7" t="inlineStr">
        <is>
          <t>Land owner, not the buyer</t>
        </is>
      </c>
      <c r="E201" s="8" t="n">
        <v>1</v>
      </c>
      <c r="F201" s="6" t="inlineStr">
        <is>
          <t>Land owner</t>
        </is>
      </c>
      <c r="G201" s="6" t="inlineStr">
        <is>
          <t>Masterplanned community</t>
        </is>
      </c>
      <c r="H201" s="6" t="inlineStr">
        <is>
          <t>Celina, near Preston and Marilee</t>
        </is>
      </c>
      <c r="I201" s="6" t="inlineStr">
        <is>
          <t>468 acres and about 1,100 homes in Celina</t>
        </is>
      </c>
      <c r="J201" s="8" t="inlineStr">
        <is>
          <t>Yes</t>
        </is>
      </c>
      <c r="K201" s="9" t="inlineStr">
        <is>
          <t>Six-builder roster. Phase 1 lots open toward 2027.</t>
        </is>
      </c>
      <c r="L201" s="8" t="inlineStr">
        <is>
          <t>No</t>
        </is>
      </c>
      <c r="M201" s="9" t="inlineStr">
        <is>
          <t>Huffines develops lots. The builders buy the wall.</t>
        </is>
      </c>
      <c r="N201" s="8" t="inlineStr">
        <is>
          <t>No</t>
        </is>
      </c>
      <c r="O201" s="9" t="inlineStr">
        <is>
          <t>Nothing published on construction method.</t>
        </is>
      </c>
      <c r="P201" s="10" t="inlineStr"/>
      <c r="Q201" s="6" t="inlineStr"/>
      <c r="R201" s="11">
        <f>IF(P201="","ADD LINKEDIN","ok")</f>
        <v/>
      </c>
      <c r="S201" s="6" t="inlineStr">
        <is>
          <t>https://serenadetexas.com/</t>
        </is>
      </c>
      <c r="T201" s="9" t="inlineStr">
        <is>
          <t>Huffines sells lots to six builders, HistoryMaker and UnionMain among them. Broke ground on 24 March 2026.</t>
        </is>
      </c>
      <c r="U201" s="6" t="inlineStr"/>
      <c r="V201" s="9" t="inlineStr">
        <is>
          <t>Huffines Communities blog post, 4 June 2025.</t>
        </is>
      </c>
      <c r="W201" s="6" t="inlineStr">
        <is>
          <t>https://huffinescommunities.com/from-fireworks-to-foundations-phillip-huffines-on-dallas-dirt-with-candy-evans/</t>
        </is>
      </c>
      <c r="X201" s="6" t="inlineStr">
        <is>
          <t>https://www.linkedin.com/company/huffines-communities/</t>
        </is>
      </c>
      <c r="Y201" s="6" t="inlineStr">
        <is>
          <t>https://huffinescommunities.com/from-fireworks-to-foundations-phillip-huffines-on-dallas-dirt-with-candy-evans/</t>
        </is>
      </c>
      <c r="Z201" s="6" t="inlineStr"/>
      <c r="AA201" s="6" t="inlineStr">
        <is>
          <t>(214) 750-1800</t>
        </is>
      </c>
      <c r="AB201" s="6" t="inlineStr">
        <is>
          <t>Huffines Communities, Dallas</t>
        </is>
      </c>
      <c r="AC201" s="6" t="inlineStr">
        <is>
          <t>https://huffinescommunities.com/projects/serenade/</t>
        </is>
      </c>
      <c r="AD201" s="6" t="inlineStr"/>
      <c r="AE201" s="6" t="inlineStr"/>
    </row>
    <row r="202">
      <c r="A202" s="12" t="inlineStr">
        <is>
          <t>Don Huffines</t>
        </is>
      </c>
      <c r="B202" s="12" t="inlineStr">
        <is>
          <t>Serenade (Celina, Huffines Communities)</t>
        </is>
      </c>
      <c r="C202" s="12" t="inlineStr">
        <is>
          <t>Co-Founder</t>
        </is>
      </c>
      <c r="D202" s="13" t="inlineStr">
        <is>
          <t>Land owner, not the buyer</t>
        </is>
      </c>
      <c r="E202" s="14" t="n">
        <v>1</v>
      </c>
      <c r="F202" s="12" t="inlineStr">
        <is>
          <t>Land owner</t>
        </is>
      </c>
      <c r="G202" s="12" t="inlineStr">
        <is>
          <t>Masterplanned community</t>
        </is>
      </c>
      <c r="H202" s="12" t="inlineStr">
        <is>
          <t>Celina, near Preston and Marilee</t>
        </is>
      </c>
      <c r="I202" s="12" t="inlineStr">
        <is>
          <t>468 acres and about 1,100 homes in Celina</t>
        </is>
      </c>
      <c r="J202" s="14" t="inlineStr">
        <is>
          <t>Yes</t>
        </is>
      </c>
      <c r="K202" s="15" t="inlineStr">
        <is>
          <t>Six-builder roster. Phase 1 lots open toward 2027.</t>
        </is>
      </c>
      <c r="L202" s="14" t="inlineStr">
        <is>
          <t>No</t>
        </is>
      </c>
      <c r="M202" s="15" t="inlineStr">
        <is>
          <t>Huffines develops lots. The builders buy the wall.</t>
        </is>
      </c>
      <c r="N202" s="14" t="inlineStr">
        <is>
          <t>No</t>
        </is>
      </c>
      <c r="O202" s="15" t="inlineStr">
        <is>
          <t>Nothing published on construction method.</t>
        </is>
      </c>
      <c r="P202" s="10" t="inlineStr"/>
      <c r="Q202" s="12" t="inlineStr"/>
      <c r="R202" s="16">
        <f>IF(P202="","ADD LINKEDIN","ok")</f>
        <v/>
      </c>
      <c r="S202" s="12" t="inlineStr">
        <is>
          <t>https://serenadetexas.com/</t>
        </is>
      </c>
      <c r="T202" s="15" t="inlineStr">
        <is>
          <t>Huffines sells lots to six builders, HistoryMaker and UnionMain among them. Broke ground on 24 March 2026.</t>
        </is>
      </c>
      <c r="U202" s="12" t="inlineStr"/>
      <c r="V202" s="15" t="inlineStr">
        <is>
          <t>Firm's Who We Are page.</t>
        </is>
      </c>
      <c r="W202" s="12" t="inlineStr">
        <is>
          <t>https://huffinescommunities.com/who-we-are/</t>
        </is>
      </c>
      <c r="X202" s="12" t="inlineStr">
        <is>
          <t>https://www.linkedin.com/company/huffines-communities/</t>
        </is>
      </c>
      <c r="Y202" s="12" t="inlineStr">
        <is>
          <t>https://huffinescommunities.com/from-fireworks-to-foundations-phillip-huffines-on-dallas-dirt-with-candy-evans/</t>
        </is>
      </c>
      <c r="Z202" s="12" t="inlineStr"/>
      <c r="AA202" s="12" t="inlineStr">
        <is>
          <t>(214) 750-1800</t>
        </is>
      </c>
      <c r="AB202" s="12" t="inlineStr">
        <is>
          <t>Huffines Communities, Dallas</t>
        </is>
      </c>
      <c r="AC202" s="12" t="inlineStr">
        <is>
          <t>https://huffinescommunities.com/projects/serenade/</t>
        </is>
      </c>
      <c r="AD202" s="12" t="inlineStr"/>
      <c r="AE202" s="12" t="inlineStr"/>
    </row>
    <row r="203">
      <c r="A203" s="6" t="inlineStr">
        <is>
          <t>Phillip Huffines</t>
        </is>
      </c>
      <c r="B203" s="6" t="inlineStr">
        <is>
          <t>Solterra (Mesquite, Huffines Communities)</t>
        </is>
      </c>
      <c r="C203" s="6" t="inlineStr">
        <is>
          <t>President, Chief Executive Officer and Co-founder</t>
        </is>
      </c>
      <c r="D203" s="7" t="inlineStr">
        <is>
          <t>Land owner, not the buyer</t>
        </is>
      </c>
      <c r="E203" s="8" t="n">
        <v>1</v>
      </c>
      <c r="F203" s="6" t="inlineStr">
        <is>
          <t>Land owner</t>
        </is>
      </c>
      <c r="G203" s="6" t="inlineStr">
        <is>
          <t>Masterplanned community</t>
        </is>
      </c>
      <c r="H203" s="6" t="inlineStr">
        <is>
          <t>Mesquite, east of Dallas</t>
        </is>
      </c>
      <c r="I203" s="6" t="inlineStr">
        <is>
          <t>1,400 acres in Mesquite, 2025 McSAM Community of the Year</t>
        </is>
      </c>
      <c r="J203" s="8" t="inlineStr">
        <is>
          <t>Yes</t>
        </is>
      </c>
      <c r="K203" s="9" t="inlineStr">
        <is>
          <t>One 1,400-acre masterplan with several builders.</t>
        </is>
      </c>
      <c r="L203" s="8" t="inlineStr">
        <is>
          <t>No</t>
        </is>
      </c>
      <c r="M203" s="9" t="inlineStr">
        <is>
          <t>It develops lots. The builders buy the wall.</t>
        </is>
      </c>
      <c r="N203" s="8" t="inlineStr">
        <is>
          <t>No</t>
        </is>
      </c>
      <c r="O203" s="9" t="inlineStr">
        <is>
          <t>Nothing published on construction method.</t>
        </is>
      </c>
      <c r="P203" s="10" t="inlineStr"/>
      <c r="Q203" s="6" t="inlineStr"/>
      <c r="R203" s="11">
        <f>IF(P203="","ADD LINKEDIN","ok")</f>
        <v/>
      </c>
      <c r="S203" s="6" t="inlineStr">
        <is>
          <t>https://huffinescommunities.com/</t>
        </is>
      </c>
      <c r="T203" s="9" t="inlineStr">
        <is>
          <t>Huffines sells lots to several builders. Its Headquarters Club covers 8 acres.</t>
        </is>
      </c>
      <c r="U203" s="6" t="inlineStr"/>
      <c r="V203" s="9" t="inlineStr">
        <is>
          <t>Firm blog, June 4, 2025.</t>
        </is>
      </c>
      <c r="W203" s="6" t="inlineStr">
        <is>
          <t>https://huffinescommunities.com/from-fireworks-to-foundations-phillip-huffines-on-dallas-dirt-with-candy-evans/</t>
        </is>
      </c>
      <c r="X203" s="6" t="inlineStr">
        <is>
          <t>https://www.linkedin.com/company/huffines-communities/</t>
        </is>
      </c>
      <c r="Y203" s="6" t="inlineStr">
        <is>
          <t>https://huffinescommunities.com/from-fireworks-to-foundations-phillip-huffines-on-dallas-dirt-with-candy-evans/</t>
        </is>
      </c>
      <c r="Z203" s="6" t="inlineStr"/>
      <c r="AA203" s="6" t="inlineStr">
        <is>
          <t>(214) 750-1800</t>
        </is>
      </c>
      <c r="AB203" s="6" t="inlineStr">
        <is>
          <t>Huffines Communities, developer</t>
        </is>
      </c>
      <c r="AC203" s="6" t="inlineStr">
        <is>
          <t>https://huffinescommunities.com/</t>
        </is>
      </c>
      <c r="AD203" s="6" t="inlineStr"/>
      <c r="AE203" s="6" t="inlineStr"/>
    </row>
    <row r="204">
      <c r="A204" s="12" t="inlineStr">
        <is>
          <t>Don Huffines</t>
        </is>
      </c>
      <c r="B204" s="12" t="inlineStr">
        <is>
          <t>Solterra (Mesquite, Huffines Communities)</t>
        </is>
      </c>
      <c r="C204" s="12" t="inlineStr">
        <is>
          <t>Co-founder</t>
        </is>
      </c>
      <c r="D204" s="13" t="inlineStr">
        <is>
          <t>Land owner, not the buyer</t>
        </is>
      </c>
      <c r="E204" s="14" t="n">
        <v>1</v>
      </c>
      <c r="F204" s="12" t="inlineStr">
        <is>
          <t>Land owner</t>
        </is>
      </c>
      <c r="G204" s="12" t="inlineStr">
        <is>
          <t>Masterplanned community</t>
        </is>
      </c>
      <c r="H204" s="12" t="inlineStr">
        <is>
          <t>Mesquite, east of Dallas</t>
        </is>
      </c>
      <c r="I204" s="12" t="inlineStr">
        <is>
          <t>1,400 acres in Mesquite, 2025 McSAM Community of the Year</t>
        </is>
      </c>
      <c r="J204" s="14" t="inlineStr">
        <is>
          <t>Yes</t>
        </is>
      </c>
      <c r="K204" s="15" t="inlineStr">
        <is>
          <t>One 1,400-acre masterplan with several builders.</t>
        </is>
      </c>
      <c r="L204" s="14" t="inlineStr">
        <is>
          <t>No</t>
        </is>
      </c>
      <c r="M204" s="15" t="inlineStr">
        <is>
          <t>It develops lots. The builders buy the wall.</t>
        </is>
      </c>
      <c r="N204" s="14" t="inlineStr">
        <is>
          <t>No</t>
        </is>
      </c>
      <c r="O204" s="15" t="inlineStr">
        <is>
          <t>Nothing published on construction method.</t>
        </is>
      </c>
      <c r="P204" s="10" t="inlineStr"/>
      <c r="Q204" s="12" t="inlineStr"/>
      <c r="R204" s="16">
        <f>IF(P204="","ADD LINKEDIN","ok")</f>
        <v/>
      </c>
      <c r="S204" s="12" t="inlineStr">
        <is>
          <t>https://huffinescommunities.com/</t>
        </is>
      </c>
      <c r="T204" s="15" t="inlineStr">
        <is>
          <t>Huffines sells lots to several builders. Its Headquarters Club covers 8 acres.</t>
        </is>
      </c>
      <c r="U204" s="12" t="inlineStr"/>
      <c r="V204" s="15" t="inlineStr">
        <is>
          <t>Who-we-are page. Co-founded the firm with twin Phillip in 1985.</t>
        </is>
      </c>
      <c r="W204" s="12" t="inlineStr">
        <is>
          <t>https://huffinescommunities.com/who-we-are/</t>
        </is>
      </c>
      <c r="X204" s="12" t="inlineStr">
        <is>
          <t>https://www.linkedin.com/company/huffines-communities/</t>
        </is>
      </c>
      <c r="Y204" s="12" t="inlineStr">
        <is>
          <t>https://huffinescommunities.com/from-fireworks-to-foundations-phillip-huffines-on-dallas-dirt-with-candy-evans/</t>
        </is>
      </c>
      <c r="Z204" s="12" t="inlineStr"/>
      <c r="AA204" s="12" t="inlineStr">
        <is>
          <t>(214) 750-1800</t>
        </is>
      </c>
      <c r="AB204" s="12" t="inlineStr">
        <is>
          <t>Huffines Communities, developer</t>
        </is>
      </c>
      <c r="AC204" s="12" t="inlineStr">
        <is>
          <t>https://huffinescommunities.com/</t>
        </is>
      </c>
      <c r="AD204" s="12" t="inlineStr"/>
      <c r="AE204" s="12" t="inlineStr"/>
    </row>
    <row r="205">
      <c r="A205" s="6" t="inlineStr">
        <is>
          <t>Joe Hickman</t>
        </is>
      </c>
      <c r="B205" s="6" t="inlineStr">
        <is>
          <t>Star Trail (Prosper, Blue Star Land)</t>
        </is>
      </c>
      <c r="C205" s="6" t="inlineStr">
        <is>
          <t>Head, Blue Star Land</t>
        </is>
      </c>
      <c r="D205" s="7" t="inlineStr">
        <is>
          <t>Land owner, not the buyer</t>
        </is>
      </c>
      <c r="E205" s="8" t="n">
        <v>1</v>
      </c>
      <c r="F205" s="6" t="inlineStr">
        <is>
          <t>Land owner</t>
        </is>
      </c>
      <c r="G205" s="6" t="inlineStr">
        <is>
          <t>Masterplanned community</t>
        </is>
      </c>
      <c r="H205" s="6" t="inlineStr">
        <is>
          <t>Prosper</t>
        </is>
      </c>
      <c r="I205" s="6" t="inlineStr">
        <is>
          <t>About 900 acres in Prosper, 1,800+ homes planned</t>
        </is>
      </c>
      <c r="J205" s="8" t="inlineStr">
        <is>
          <t>Yes</t>
        </is>
      </c>
      <c r="K205" s="9" t="inlineStr">
        <is>
          <t>Repeated lot widths of 55, 65 and 86 feet.</t>
        </is>
      </c>
      <c r="L205" s="8" t="inlineStr">
        <is>
          <t>No</t>
        </is>
      </c>
      <c r="M205" s="9" t="inlineStr">
        <is>
          <t>It develops lots. The builders buy the wall.</t>
        </is>
      </c>
      <c r="N205" s="8" t="inlineStr">
        <is>
          <t>No</t>
        </is>
      </c>
      <c r="O205" s="9" t="inlineStr">
        <is>
          <t>Nothing published on construction method.</t>
        </is>
      </c>
      <c r="P205" s="10" t="inlineStr"/>
      <c r="Q205" s="6" t="inlineStr"/>
      <c r="R205" s="11">
        <f>IF(P205="","ADD LINKEDIN","ok")</f>
        <v/>
      </c>
      <c r="S205" s="6" t="inlineStr">
        <is>
          <t>https://startrailprosper.com/</t>
        </is>
      </c>
      <c r="T205" s="9" t="inlineStr">
        <is>
          <t>Five named builders, American Legend to Toll Brothers, on 55, 65 and 86-foot lots. Blue Star Land develops it.</t>
        </is>
      </c>
      <c r="U205" s="6" t="inlineStr"/>
      <c r="V205" s="9" t="inlineStr">
        <is>
          <t>Named by Jerry Jones in a Prosper EDC investor spotlight.</t>
        </is>
      </c>
      <c r="W205" s="6" t="inlineStr">
        <is>
          <t>https://prosperedc.com/connect/latest-news/spotlight-on-investors-jerry-jones-blue-star-land</t>
        </is>
      </c>
      <c r="X205" s="6" t="inlineStr"/>
      <c r="Y205" s="6" t="inlineStr"/>
      <c r="Z205" s="6" t="inlineStr"/>
      <c r="AA205" s="6" t="inlineStr">
        <is>
          <t>(972) 867-1886</t>
        </is>
      </c>
      <c r="AB205" s="6" t="inlineStr">
        <is>
          <t>Blue Star Land LP, developer</t>
        </is>
      </c>
      <c r="AC205" s="6" t="inlineStr">
        <is>
          <t>https://startrailprosper.com/developer/</t>
        </is>
      </c>
      <c r="AD205" s="6" t="inlineStr"/>
      <c r="AE205" s="6" t="inlineStr"/>
    </row>
    <row r="206">
      <c r="A206" s="12" t="inlineStr">
        <is>
          <t>Craig Martin</t>
        </is>
      </c>
      <c r="B206" s="12" t="inlineStr">
        <is>
          <t>Tellus Group LLC</t>
        </is>
      </c>
      <c r="C206" s="12" t="inlineStr">
        <is>
          <t>Founder and Chief Executive Officer</t>
        </is>
      </c>
      <c r="D206" s="13" t="inlineStr">
        <is>
          <t>Land owner, not the buyer</t>
        </is>
      </c>
      <c r="E206" s="14" t="n">
        <v>1</v>
      </c>
      <c r="F206" s="12" t="inlineStr">
        <is>
          <t>Land owner</t>
        </is>
      </c>
      <c r="G206" s="12" t="inlineStr">
        <is>
          <t>Masterplan developer</t>
        </is>
      </c>
      <c r="H206" s="12" t="inlineStr">
        <is>
          <t>Plano, with masterplans in Prosper, Celina, Forney and Anna</t>
        </is>
      </c>
      <c r="I206" s="12" t="inlineStr">
        <is>
          <t>Plano developer behind Windsong Ranch and Mosaic</t>
        </is>
      </c>
      <c r="J206" s="14" t="inlineStr">
        <is>
          <t>Yes</t>
        </is>
      </c>
      <c r="K206" s="15" t="inlineStr">
        <is>
          <t>Production-builder lot programs repeated across its masterplans.</t>
        </is>
      </c>
      <c r="L206" s="14" t="inlineStr">
        <is>
          <t>No</t>
        </is>
      </c>
      <c r="M206" s="15" t="inlineStr">
        <is>
          <t>It sells finished lots. The builders buy the wall.</t>
        </is>
      </c>
      <c r="N206" s="14" t="inlineStr">
        <is>
          <t>No</t>
        </is>
      </c>
      <c r="O206" s="15" t="inlineStr">
        <is>
          <t>Nothing published on construction method.</t>
        </is>
      </c>
      <c r="P206" s="10" t="inlineStr"/>
      <c r="Q206" s="12" t="inlineStr"/>
      <c r="R206" s="16">
        <f>IF(P206="","ADD LINKEDIN","ok")</f>
        <v/>
      </c>
      <c r="S206" s="12" t="inlineStr">
        <is>
          <t>https://tellusgroupllc.com/</t>
        </is>
      </c>
      <c r="T206" s="15" t="inlineStr">
        <is>
          <t>Sells finished lots to production builders such as Highland, Perry and Tradition. Develops Meraki, Sherley Farms and Mirabella.</t>
        </is>
      </c>
      <c r="U206" s="12" t="inlineStr"/>
      <c r="V206" s="15" t="inlineStr">
        <is>
          <t>Firm's team page.</t>
        </is>
      </c>
      <c r="W206" s="12" t="inlineStr">
        <is>
          <t>https://tellusgroupllc.com/team/</t>
        </is>
      </c>
      <c r="X206" s="12" t="inlineStr">
        <is>
          <t>https://www.linkedin.com/company/tellusgroupllc/</t>
        </is>
      </c>
      <c r="Y206" s="12" t="inlineStr">
        <is>
          <t>https://tellusgroupllc.com/team/</t>
        </is>
      </c>
      <c r="Z206" s="12" t="inlineStr"/>
      <c r="AA206" s="12" t="inlineStr">
        <is>
          <t>(469) 532-0689</t>
        </is>
      </c>
      <c r="AB206" s="12" t="inlineStr">
        <is>
          <t>Main office, Plano</t>
        </is>
      </c>
      <c r="AC206" s="12" t="inlineStr">
        <is>
          <t>https://tellusgroupllc.com/contact/</t>
        </is>
      </c>
      <c r="AD206" s="12" t="inlineStr"/>
      <c r="AE206" s="12" t="inlineStr"/>
    </row>
    <row r="207">
      <c r="A207" s="6" t="inlineStr">
        <is>
          <t>Andre Ferrari</t>
        </is>
      </c>
      <c r="B207" s="6" t="inlineStr">
        <is>
          <t>Tellus Group LLC</t>
        </is>
      </c>
      <c r="C207" s="6" t="inlineStr">
        <is>
          <t>Chief Operating Officer and General Counsel</t>
        </is>
      </c>
      <c r="D207" s="7" t="inlineStr">
        <is>
          <t>Land owner, not the buyer</t>
        </is>
      </c>
      <c r="E207" s="8" t="n">
        <v>1</v>
      </c>
      <c r="F207" s="6" t="inlineStr">
        <is>
          <t>Land owner</t>
        </is>
      </c>
      <c r="G207" s="6" t="inlineStr">
        <is>
          <t>Masterplan developer</t>
        </is>
      </c>
      <c r="H207" s="6" t="inlineStr">
        <is>
          <t>Plano, with masterplans in Prosper, Celina, Forney and Anna</t>
        </is>
      </c>
      <c r="I207" s="6" t="inlineStr">
        <is>
          <t>Plano developer behind Windsong Ranch and Mosaic</t>
        </is>
      </c>
      <c r="J207" s="8" t="inlineStr">
        <is>
          <t>Yes</t>
        </is>
      </c>
      <c r="K207" s="9" t="inlineStr">
        <is>
          <t>Production-builder lot programs repeated across its masterplans.</t>
        </is>
      </c>
      <c r="L207" s="8" t="inlineStr">
        <is>
          <t>No</t>
        </is>
      </c>
      <c r="M207" s="9" t="inlineStr">
        <is>
          <t>It sells finished lots. The builders buy the wall.</t>
        </is>
      </c>
      <c r="N207" s="8" t="inlineStr">
        <is>
          <t>No</t>
        </is>
      </c>
      <c r="O207" s="9" t="inlineStr">
        <is>
          <t>Nothing published on construction method.</t>
        </is>
      </c>
      <c r="P207" s="10" t="inlineStr"/>
      <c r="Q207" s="6" t="inlineStr"/>
      <c r="R207" s="11">
        <f>IF(P207="","ADD LINKEDIN","ok")</f>
        <v/>
      </c>
      <c r="S207" s="6" t="inlineStr">
        <is>
          <t>https://tellusgroupllc.com/</t>
        </is>
      </c>
      <c r="T207" s="9" t="inlineStr">
        <is>
          <t>Sells finished lots to production builders such as Highland, Perry and Tradition. Develops Meraki, Sherley Farms and Mirabella.</t>
        </is>
      </c>
      <c r="U207" s="6" t="inlineStr"/>
      <c r="V207" s="9" t="inlineStr">
        <is>
          <t>Firm's team page.</t>
        </is>
      </c>
      <c r="W207" s="6" t="inlineStr">
        <is>
          <t>https://tellusgroupllc.com/team/</t>
        </is>
      </c>
      <c r="X207" s="6" t="inlineStr">
        <is>
          <t>https://www.linkedin.com/company/tellusgroupllc/</t>
        </is>
      </c>
      <c r="Y207" s="6" t="inlineStr">
        <is>
          <t>https://tellusgroupllc.com/team/</t>
        </is>
      </c>
      <c r="Z207" s="6" t="inlineStr"/>
      <c r="AA207" s="6" t="inlineStr">
        <is>
          <t>(469) 532-0689</t>
        </is>
      </c>
      <c r="AB207" s="6" t="inlineStr">
        <is>
          <t>Main office, Plano</t>
        </is>
      </c>
      <c r="AC207" s="6" t="inlineStr">
        <is>
          <t>https://tellusgroupllc.com/contact/</t>
        </is>
      </c>
      <c r="AD207" s="6" t="inlineStr"/>
      <c r="AE207" s="6" t="inlineStr"/>
    </row>
    <row r="208">
      <c r="A208" s="12" t="inlineStr">
        <is>
          <t>Gary Berman</t>
        </is>
      </c>
      <c r="B208" s="12" t="inlineStr">
        <is>
          <t>Tricon Residential</t>
        </is>
      </c>
      <c r="C208" s="12" t="inlineStr">
        <is>
          <t>President and Chief Executive Officer</t>
        </is>
      </c>
      <c r="D208" s="13" t="inlineStr">
        <is>
          <t>Land owner, not the buyer</t>
        </is>
      </c>
      <c r="E208" s="14" t="n">
        <v>1</v>
      </c>
      <c r="F208" s="12" t="inlineStr">
        <is>
          <t>Client</t>
        </is>
      </c>
      <c r="G208" s="12" t="inlineStr">
        <is>
          <t>Single-family rental owner</t>
        </is>
      </c>
      <c r="H208" s="12" t="inlineStr">
        <is>
          <t>Arlington and Dallas, within a Texas rental portfolio</t>
        </is>
      </c>
      <c r="I208" s="12" t="inlineStr">
        <is>
          <t>Nearly 1,100 Texas build-to-rent homes, July 2025 release</t>
        </is>
      </c>
      <c r="J208" s="14" t="inlineStr">
        <is>
          <t>Yes</t>
        </is>
      </c>
      <c r="K208" s="15" t="inlineStr">
        <is>
          <t>Repeated rental plans across Texas, including DFW.</t>
        </is>
      </c>
      <c r="L208" s="14" t="inlineStr">
        <is>
          <t>No</t>
        </is>
      </c>
      <c r="M208" s="15" t="inlineStr">
        <is>
          <t>HHS Residential built the Viridian homes.</t>
        </is>
      </c>
      <c r="N208" s="14" t="inlineStr">
        <is>
          <t>No</t>
        </is>
      </c>
      <c r="O208" s="15" t="inlineStr">
        <is>
          <t>Nothing published on wall method.</t>
        </is>
      </c>
      <c r="P208" s="10" t="inlineStr"/>
      <c r="Q208" s="12" t="inlineStr"/>
      <c r="R208" s="16">
        <f>IF(P208="","ADD LINKEDIN","ok")</f>
        <v/>
      </c>
      <c r="S208" s="12" t="inlineStr">
        <is>
          <t>https://triconhomes.com/find/dallas/</t>
        </is>
      </c>
      <c r="T208" s="15" t="inlineStr">
        <is>
          <t>HHS Residential built its Viridian homes in Arlington. A Blackstone real estate portfolio company.</t>
        </is>
      </c>
      <c r="U208" s="12" t="inlineStr"/>
      <c r="V208" s="15" t="inlineStr">
        <is>
          <t>Tricon Our People page.</t>
        </is>
      </c>
      <c r="W208" s="12" t="inlineStr">
        <is>
          <t>https://triconhomes.com/about/our-people/</t>
        </is>
      </c>
      <c r="X208" s="12" t="inlineStr">
        <is>
          <t>https://www.linkedin.com/company/tricon-residential/</t>
        </is>
      </c>
      <c r="Y208" s="12" t="inlineStr">
        <is>
          <t>https://triconhomes.com/about/our-people/</t>
        </is>
      </c>
      <c r="Z208" s="12" t="inlineStr">
        <is>
          <t>2025-07-15 Tricon Residential. Tricon Residential Opens New Community in Arlington, Texas, Adds to Housing Supply  https://triconhomes.com/resources/insights/tricon-residential-opens-new-community-in-arlington-texas-add-to-housing-supply/</t>
        </is>
      </c>
      <c r="AA208" s="12" t="inlineStr">
        <is>
          <t>(844) 874-2661</t>
        </is>
      </c>
      <c r="AB208" s="12" t="inlineStr">
        <is>
          <t>Tricon Residential main line</t>
        </is>
      </c>
      <c r="AC208" s="12" t="inlineStr">
        <is>
          <t>https://triconhomes.com/resources/insights/tricon-residential-opens-new-community-in-arlington-texas-add-to-housing-supply/</t>
        </is>
      </c>
      <c r="AD208" s="12" t="inlineStr"/>
      <c r="AE208" s="12" t="inlineStr"/>
    </row>
    <row r="209">
      <c r="A209" s="6" t="inlineStr">
        <is>
          <t>Alan O'Brien</t>
        </is>
      </c>
      <c r="B209" s="6" t="inlineStr">
        <is>
          <t>Tricon Residential</t>
        </is>
      </c>
      <c r="C209" s="6" t="inlineStr">
        <is>
          <t>Executive Vice President and Chief Operating Officer</t>
        </is>
      </c>
      <c r="D209" s="7" t="inlineStr">
        <is>
          <t>Land owner, not the buyer</t>
        </is>
      </c>
      <c r="E209" s="8" t="n">
        <v>1</v>
      </c>
      <c r="F209" s="6" t="inlineStr">
        <is>
          <t>Client</t>
        </is>
      </c>
      <c r="G209" s="6" t="inlineStr">
        <is>
          <t>Single-family rental owner</t>
        </is>
      </c>
      <c r="H209" s="6" t="inlineStr">
        <is>
          <t>Arlington and Dallas, within a Texas rental portfolio</t>
        </is>
      </c>
      <c r="I209" s="6" t="inlineStr">
        <is>
          <t>Nearly 1,100 Texas build-to-rent homes, July 2025 release</t>
        </is>
      </c>
      <c r="J209" s="8" t="inlineStr">
        <is>
          <t>Yes</t>
        </is>
      </c>
      <c r="K209" s="9" t="inlineStr">
        <is>
          <t>Repeated rental plans across Texas, including DFW.</t>
        </is>
      </c>
      <c r="L209" s="8" t="inlineStr">
        <is>
          <t>No</t>
        </is>
      </c>
      <c r="M209" s="9" t="inlineStr">
        <is>
          <t>HHS Residential built the Viridian homes.</t>
        </is>
      </c>
      <c r="N209" s="8" t="inlineStr">
        <is>
          <t>No</t>
        </is>
      </c>
      <c r="O209" s="9" t="inlineStr">
        <is>
          <t>Nothing published on wall method.</t>
        </is>
      </c>
      <c r="P209" s="10" t="inlineStr"/>
      <c r="Q209" s="6" t="inlineStr"/>
      <c r="R209" s="11">
        <f>IF(P209="","ADD LINKEDIN","ok")</f>
        <v/>
      </c>
      <c r="S209" s="6" t="inlineStr">
        <is>
          <t>https://triconhomes.com/find/dallas/</t>
        </is>
      </c>
      <c r="T209" s="9" t="inlineStr">
        <is>
          <t>HHS Residential built its Viridian homes in Arlington. A Blackstone real estate portfolio company.</t>
        </is>
      </c>
      <c r="U209" s="6" t="inlineStr"/>
      <c r="V209" s="9" t="inlineStr">
        <is>
          <t>Tricon Our People page.</t>
        </is>
      </c>
      <c r="W209" s="6" t="inlineStr">
        <is>
          <t>https://triconhomes.com/about/our-people/</t>
        </is>
      </c>
      <c r="X209" s="6" t="inlineStr">
        <is>
          <t>https://www.linkedin.com/company/tricon-residential/</t>
        </is>
      </c>
      <c r="Y209" s="6" t="inlineStr">
        <is>
          <t>https://triconhomes.com/about/our-people/</t>
        </is>
      </c>
      <c r="Z209" s="6" t="inlineStr">
        <is>
          <t>2025-07-15 Tricon Residential. Tricon Residential Opens New Community in Arlington, Texas, Adds to Housing Supply  https://triconhomes.com/resources/insights/tricon-residential-opens-new-community-in-arlington-texas-add-to-housing-supply/</t>
        </is>
      </c>
      <c r="AA209" s="6" t="inlineStr">
        <is>
          <t>(844) 874-2661</t>
        </is>
      </c>
      <c r="AB209" s="6" t="inlineStr">
        <is>
          <t>Tricon Residential main line</t>
        </is>
      </c>
      <c r="AC209" s="6" t="inlineStr">
        <is>
          <t>https://triconhomes.com/resources/insights/tricon-residential-opens-new-community-in-arlington-texas-add-to-housing-supply/</t>
        </is>
      </c>
      <c r="AD209" s="6" t="inlineStr"/>
      <c r="AE209" s="6" t="inlineStr"/>
    </row>
    <row r="210">
      <c r="A210" s="12" t="inlineStr">
        <is>
          <t>Thomas Fichman</t>
        </is>
      </c>
      <c r="B210" s="12" t="inlineStr">
        <is>
          <t>Tricon Residential</t>
        </is>
      </c>
      <c r="C210" s="12" t="inlineStr">
        <is>
          <t>Senior Vice President, Investments</t>
        </is>
      </c>
      <c r="D210" s="13" t="inlineStr">
        <is>
          <t>Land owner, not the buyer</t>
        </is>
      </c>
      <c r="E210" s="14" t="n">
        <v>1</v>
      </c>
      <c r="F210" s="12" t="inlineStr">
        <is>
          <t>Client</t>
        </is>
      </c>
      <c r="G210" s="12" t="inlineStr">
        <is>
          <t>Single-family rental owner</t>
        </is>
      </c>
      <c r="H210" s="12" t="inlineStr">
        <is>
          <t>Arlington and Dallas, within a Texas rental portfolio</t>
        </is>
      </c>
      <c r="I210" s="12" t="inlineStr">
        <is>
          <t>Nearly 1,100 Texas build-to-rent homes, July 2025 release</t>
        </is>
      </c>
      <c r="J210" s="14" t="inlineStr">
        <is>
          <t>Yes</t>
        </is>
      </c>
      <c r="K210" s="15" t="inlineStr">
        <is>
          <t>Repeated rental plans across Texas, including DFW.</t>
        </is>
      </c>
      <c r="L210" s="14" t="inlineStr">
        <is>
          <t>No</t>
        </is>
      </c>
      <c r="M210" s="15" t="inlineStr">
        <is>
          <t>HHS Residential built the Viridian homes.</t>
        </is>
      </c>
      <c r="N210" s="14" t="inlineStr">
        <is>
          <t>No</t>
        </is>
      </c>
      <c r="O210" s="15" t="inlineStr">
        <is>
          <t>Nothing published on wall method.</t>
        </is>
      </c>
      <c r="P210" s="10" t="inlineStr"/>
      <c r="Q210" s="12" t="inlineStr"/>
      <c r="R210" s="16">
        <f>IF(P210="","ADD LINKEDIN","ok")</f>
        <v/>
      </c>
      <c r="S210" s="12" t="inlineStr">
        <is>
          <t>https://triconhomes.com/find/dallas/</t>
        </is>
      </c>
      <c r="T210" s="15" t="inlineStr">
        <is>
          <t>HHS Residential built its Viridian homes in Arlington. A Blackstone real estate portfolio company.</t>
        </is>
      </c>
      <c r="U210" s="12" t="inlineStr"/>
      <c r="V210" s="15" t="inlineStr">
        <is>
          <t>Our People page. Over U.S. residential development, including build-to-rent.</t>
        </is>
      </c>
      <c r="W210" s="12" t="inlineStr">
        <is>
          <t>https://triconhomes.com/about/our-people/</t>
        </is>
      </c>
      <c r="X210" s="12" t="inlineStr">
        <is>
          <t>https://www.linkedin.com/company/tricon-residential/</t>
        </is>
      </c>
      <c r="Y210" s="12" t="inlineStr">
        <is>
          <t>https://triconhomes.com/about/our-people/</t>
        </is>
      </c>
      <c r="Z210" s="12" t="inlineStr">
        <is>
          <t>2025-07-15 Tricon Residential. Tricon Residential Opens New Community in Arlington, Texas, Adds to Housing Supply  https://triconhomes.com/resources/insights/tricon-residential-opens-new-community-in-arlington-texas-add-to-housing-supply/</t>
        </is>
      </c>
      <c r="AA210" s="12" t="inlineStr">
        <is>
          <t>(844) 874-2661</t>
        </is>
      </c>
      <c r="AB210" s="12" t="inlineStr">
        <is>
          <t>Tricon Residential main line</t>
        </is>
      </c>
      <c r="AC210" s="12" t="inlineStr">
        <is>
          <t>https://triconhomes.com/resources/insights/tricon-residential-opens-new-community-in-arlington-texas-add-to-housing-supply/</t>
        </is>
      </c>
      <c r="AD210" s="12" t="inlineStr"/>
      <c r="AE210" s="12" t="inlineStr"/>
    </row>
    <row r="211">
      <c r="A211" s="6" t="inlineStr">
        <is>
          <t>Ralph DeMott</t>
        </is>
      </c>
      <c r="B211" s="6" t="inlineStr">
        <is>
          <t>Tricon Residential</t>
        </is>
      </c>
      <c r="C211" s="6" t="inlineStr">
        <is>
          <t>Vice President, Operations</t>
        </is>
      </c>
      <c r="D211" s="7" t="inlineStr">
        <is>
          <t>Land owner, not the buyer</t>
        </is>
      </c>
      <c r="E211" s="8" t="n">
        <v>1</v>
      </c>
      <c r="F211" s="6" t="inlineStr">
        <is>
          <t>Client</t>
        </is>
      </c>
      <c r="G211" s="6" t="inlineStr">
        <is>
          <t>Single-family rental owner</t>
        </is>
      </c>
      <c r="H211" s="6" t="inlineStr">
        <is>
          <t>Arlington and Dallas, within a Texas rental portfolio</t>
        </is>
      </c>
      <c r="I211" s="6" t="inlineStr">
        <is>
          <t>Nearly 1,100 Texas build-to-rent homes, July 2025 release</t>
        </is>
      </c>
      <c r="J211" s="8" t="inlineStr">
        <is>
          <t>Yes</t>
        </is>
      </c>
      <c r="K211" s="9" t="inlineStr">
        <is>
          <t>Repeated rental plans across Texas, including DFW.</t>
        </is>
      </c>
      <c r="L211" s="8" t="inlineStr">
        <is>
          <t>No</t>
        </is>
      </c>
      <c r="M211" s="9" t="inlineStr">
        <is>
          <t>HHS Residential built the Viridian homes.</t>
        </is>
      </c>
      <c r="N211" s="8" t="inlineStr">
        <is>
          <t>No</t>
        </is>
      </c>
      <c r="O211" s="9" t="inlineStr">
        <is>
          <t>Nothing published on wall method.</t>
        </is>
      </c>
      <c r="P211" s="10" t="inlineStr"/>
      <c r="Q211" s="6" t="inlineStr"/>
      <c r="R211" s="11">
        <f>IF(P211="","ADD LINKEDIN","ok")</f>
        <v/>
      </c>
      <c r="S211" s="6" t="inlineStr">
        <is>
          <t>https://triconhomes.com/find/dallas/</t>
        </is>
      </c>
      <c r="T211" s="9" t="inlineStr">
        <is>
          <t>HHS Residential built its Viridian homes in Arlington. A Blackstone real estate portfolio company.</t>
        </is>
      </c>
      <c r="U211" s="6" t="inlineStr"/>
      <c r="V211" s="9" t="inlineStr">
        <is>
          <t>Our People page. Also covers Minnesota, Illinois, Wisconsin and Iowa.</t>
        </is>
      </c>
      <c r="W211" s="6" t="inlineStr">
        <is>
          <t>https://triconhomes.com/about/our-people/</t>
        </is>
      </c>
      <c r="X211" s="6" t="inlineStr">
        <is>
          <t>https://www.linkedin.com/company/tricon-residential/</t>
        </is>
      </c>
      <c r="Y211" s="6" t="inlineStr">
        <is>
          <t>https://triconhomes.com/about/our-people/</t>
        </is>
      </c>
      <c r="Z211" s="6" t="inlineStr">
        <is>
          <t>2025-07-15 Tricon Residential. Tricon Residential Opens New Community in Arlington, Texas, Adds to Housing Supply  https://triconhomes.com/resources/insights/tricon-residential-opens-new-community-in-arlington-texas-add-to-housing-supply/</t>
        </is>
      </c>
      <c r="AA211" s="6" t="inlineStr">
        <is>
          <t>(844) 874-2661</t>
        </is>
      </c>
      <c r="AB211" s="6" t="inlineStr">
        <is>
          <t>Tricon Residential main line</t>
        </is>
      </c>
      <c r="AC211" s="6" t="inlineStr">
        <is>
          <t>https://triconhomes.com/resources/insights/tricon-residential-opens-new-community-in-arlington-texas-add-to-housing-supply/</t>
        </is>
      </c>
      <c r="AD211" s="6" t="inlineStr"/>
      <c r="AE211" s="6" t="inlineStr"/>
    </row>
    <row r="212">
      <c r="A212" s="12" t="inlineStr">
        <is>
          <t>Jerry Ulke</t>
        </is>
      </c>
      <c r="B212" s="12" t="inlineStr">
        <is>
          <t>Trinity Falls (McKinney, Johnson Development)</t>
        </is>
      </c>
      <c r="C212" s="12" t="inlineStr">
        <is>
          <t>General Manager and Vice President, Trinity Falls</t>
        </is>
      </c>
      <c r="D212" s="13" t="inlineStr">
        <is>
          <t>Land owner, not the buyer</t>
        </is>
      </c>
      <c r="E212" s="14" t="n">
        <v>1</v>
      </c>
      <c r="F212" s="12" t="inlineStr">
        <is>
          <t>Land owner</t>
        </is>
      </c>
      <c r="G212" s="12" t="inlineStr">
        <is>
          <t>Masterplanned community</t>
        </is>
      </c>
      <c r="H212" s="12" t="inlineStr">
        <is>
          <t>McKinney, Collin County</t>
        </is>
      </c>
      <c r="I212" s="12" t="inlineStr">
        <is>
          <t>2,000-acre McKinney masterplan, seven builders on its page</t>
        </is>
      </c>
      <c r="J212" s="14" t="inlineStr">
        <is>
          <t>Yes</t>
        </is>
      </c>
      <c r="K212" s="15" t="inlineStr">
        <is>
          <t>Seven builders selling at once.</t>
        </is>
      </c>
      <c r="L212" s="14" t="inlineStr">
        <is>
          <t>No</t>
        </is>
      </c>
      <c r="M212" s="15" t="inlineStr">
        <is>
          <t>Johnson Development sells lots. The builders buy the wall.</t>
        </is>
      </c>
      <c r="N212" s="14" t="inlineStr">
        <is>
          <t>No</t>
        </is>
      </c>
      <c r="O212" s="15" t="inlineStr">
        <is>
          <t>Nothing published on construction method.</t>
        </is>
      </c>
      <c r="P212" s="10" t="inlineStr"/>
      <c r="Q212" s="12" t="inlineStr"/>
      <c r="R212" s="16">
        <f>IF(P212="","ADD LINKEDIN","ok")</f>
        <v/>
      </c>
      <c r="S212" s="12" t="inlineStr">
        <is>
          <t>https://www.trinityfalls.com/</t>
        </is>
      </c>
      <c r="T212" s="15" t="inlineStr">
        <is>
          <t>Johnson Development sells lots to its builders, from Cadence townhomes to Del Webb for buyers 55 and over.</t>
        </is>
      </c>
      <c r="U212" s="12" t="inlineStr"/>
      <c r="V212" s="15" t="inlineStr">
        <is>
          <t>McKinney Today, September 15, 2026.</t>
        </is>
      </c>
      <c r="W212" s="12" t="inlineStr">
        <is>
          <t>https://mckinneytoday.com/how-trinity-falls-is-creating-community-in-a-growing-mckinney/</t>
        </is>
      </c>
      <c r="X212" s="12" t="inlineStr">
        <is>
          <t>https://www.linkedin.com/company/the-johnson-development-corp/</t>
        </is>
      </c>
      <c r="Y212" s="12" t="inlineStr"/>
      <c r="Z212" s="12" t="inlineStr"/>
      <c r="AA212" s="12" t="inlineStr">
        <is>
          <t>(713) 960-9977</t>
        </is>
      </c>
      <c r="AB212" s="12" t="inlineStr">
        <is>
          <t>Johnson Development corporate line, the developer</t>
        </is>
      </c>
      <c r="AC212" s="12" t="inlineStr">
        <is>
          <t>https://www.johnsondevelopment.com/mckinney-tx/mpc_trinity_falls</t>
        </is>
      </c>
      <c r="AD212" s="12" t="inlineStr"/>
      <c r="AE212" s="12" t="inlineStr"/>
    </row>
    <row r="213">
      <c r="A213" s="6" t="inlineStr">
        <is>
          <t>Fred Balda</t>
        </is>
      </c>
      <c r="B213" s="6" t="inlineStr">
        <is>
          <t>Union Park by Hillwood (Little Elm)</t>
        </is>
      </c>
      <c r="C213" s="6" t="inlineStr">
        <is>
          <t>President, Hillwood Communities</t>
        </is>
      </c>
      <c r="D213" s="7" t="inlineStr">
        <is>
          <t>Land owner, not the buyer</t>
        </is>
      </c>
      <c r="E213" s="8" t="n">
        <v>1</v>
      </c>
      <c r="F213" s="6" t="inlineStr">
        <is>
          <t>Land owner</t>
        </is>
      </c>
      <c r="G213" s="6" t="inlineStr">
        <is>
          <t>Masterplanned community</t>
        </is>
      </c>
      <c r="H213" s="6" t="inlineStr">
        <is>
          <t>Little Elm, on US 380</t>
        </is>
      </c>
      <c r="I213" s="6" t="inlineStr">
        <is>
          <t>About 3,400 homes on 1,100 acres, Little Elm</t>
        </is>
      </c>
      <c r="J213" s="8" t="inlineStr">
        <is>
          <t>Yes</t>
        </is>
      </c>
      <c r="K213" s="9" t="inlineStr">
        <is>
          <t>About 3,400 planned homes on one 1,100-acre site. Eight production builders named in community materials.</t>
        </is>
      </c>
      <c r="L213" s="8" t="inlineStr">
        <is>
          <t>No</t>
        </is>
      </c>
      <c r="M213" s="9" t="inlineStr">
        <is>
          <t>Hillwood sells lots. The builders buy the wall.</t>
        </is>
      </c>
      <c r="N213" s="8" t="inlineStr">
        <is>
          <t>No</t>
        </is>
      </c>
      <c r="O213" s="9" t="inlineStr">
        <is>
          <t>Nothing published on construction method.</t>
        </is>
      </c>
      <c r="P213" s="10" t="inlineStr"/>
      <c r="Q213" s="6" t="inlineStr"/>
      <c r="R213" s="11">
        <f>IF(P213="","ADD LINKEDIN","ok")</f>
        <v/>
      </c>
      <c r="S213" s="6" t="inlineStr">
        <is>
          <t>https://www.unionparkbyhillwood.com/</t>
        </is>
      </c>
      <c r="T213" s="9" t="inlineStr">
        <is>
          <t>Hillwood sells lots to eight production builders, including Bloomfield, Beazer, Highland and Tri Pointe.</t>
        </is>
      </c>
      <c r="U213" s="6" t="inlineStr"/>
      <c r="V213" s="9" t="inlineStr">
        <is>
          <t>Hillwood Communities leadership page.</t>
        </is>
      </c>
      <c r="W213" s="6" t="inlineStr">
        <is>
          <t>https://www.hillwoodcommunities.com/leadership/</t>
        </is>
      </c>
      <c r="X213" s="6" t="inlineStr">
        <is>
          <t>https://www.linkedin.com/company/hillwoodcommunities/</t>
        </is>
      </c>
      <c r="Y213" s="6" t="inlineStr"/>
      <c r="Z213" s="6" t="inlineStr"/>
      <c r="AA213" s="6" t="inlineStr">
        <is>
          <t>(972) 573-8781</t>
        </is>
      </c>
      <c r="AB213" s="6" t="inlineStr">
        <is>
          <t>Community office, Little Elm</t>
        </is>
      </c>
      <c r="AC213" s="6" t="inlineStr">
        <is>
          <t>https://www.unionparkbyhillwood.com/</t>
        </is>
      </c>
      <c r="AD213" s="6" t="inlineStr"/>
      <c r="AE213" s="6" t="inlineStr"/>
    </row>
    <row r="214">
      <c r="A214" s="12" t="inlineStr">
        <is>
          <t>Elaine Eatman</t>
        </is>
      </c>
      <c r="B214" s="12" t="inlineStr">
        <is>
          <t>Union Park by Hillwood (Little Elm)</t>
        </is>
      </c>
      <c r="C214" s="12" t="inlineStr">
        <is>
          <t>Senior Vice President, DFW Project Manager for Ramble and Union Park</t>
        </is>
      </c>
      <c r="D214" s="13" t="inlineStr">
        <is>
          <t>Land owner, not the buyer</t>
        </is>
      </c>
      <c r="E214" s="14" t="n">
        <v>1</v>
      </c>
      <c r="F214" s="12" t="inlineStr">
        <is>
          <t>Land owner</t>
        </is>
      </c>
      <c r="G214" s="12" t="inlineStr">
        <is>
          <t>Masterplanned community</t>
        </is>
      </c>
      <c r="H214" s="12" t="inlineStr">
        <is>
          <t>Little Elm, on US 380</t>
        </is>
      </c>
      <c r="I214" s="12" t="inlineStr">
        <is>
          <t>About 3,400 homes on 1,100 acres, Little Elm</t>
        </is>
      </c>
      <c r="J214" s="14" t="inlineStr">
        <is>
          <t>Yes</t>
        </is>
      </c>
      <c r="K214" s="15" t="inlineStr">
        <is>
          <t>About 3,400 planned homes on one 1,100-acre site. Eight production builders named in community materials.</t>
        </is>
      </c>
      <c r="L214" s="14" t="inlineStr">
        <is>
          <t>No</t>
        </is>
      </c>
      <c r="M214" s="15" t="inlineStr">
        <is>
          <t>Hillwood sells lots. The builders buy the wall.</t>
        </is>
      </c>
      <c r="N214" s="14" t="inlineStr">
        <is>
          <t>No</t>
        </is>
      </c>
      <c r="O214" s="15" t="inlineStr">
        <is>
          <t>Nothing published on construction method.</t>
        </is>
      </c>
      <c r="P214" s="6" t="inlineStr">
        <is>
          <t>https://www.linkedin.com/in/elaine-eatman-54596a10</t>
        </is>
      </c>
      <c r="Q214" s="12" t="inlineStr"/>
      <c r="R214" s="16">
        <f>IF(P214="","ADD LINKEDIN","ok")</f>
        <v/>
      </c>
      <c r="S214" s="12" t="inlineStr">
        <is>
          <t>https://www.unionparkbyhillwood.com/</t>
        </is>
      </c>
      <c r="T214" s="15" t="inlineStr">
        <is>
          <t>Hillwood sells lots to eight production builders, including Bloomfield, Beazer, Highland and Tri Pointe.</t>
        </is>
      </c>
      <c r="U214" s="12" t="inlineStr">
        <is>
          <t>YES</t>
        </is>
      </c>
      <c r="V214" s="15" t="inlineStr">
        <is>
          <t>Indexed title: Senior Vice President at Hillwood. Hillwood Communities leadership page.</t>
        </is>
      </c>
      <c r="W214" s="12" t="inlineStr">
        <is>
          <t>https://www.hillwoodcommunities.com/leadership/</t>
        </is>
      </c>
      <c r="X214" s="12" t="inlineStr">
        <is>
          <t>https://www.linkedin.com/company/hillwoodcommunities/</t>
        </is>
      </c>
      <c r="Y214" s="12" t="inlineStr"/>
      <c r="Z214" s="12" t="inlineStr"/>
      <c r="AA214" s="12" t="inlineStr">
        <is>
          <t>(972) 573-8781</t>
        </is>
      </c>
      <c r="AB214" s="12" t="inlineStr">
        <is>
          <t>Community office, Little Elm</t>
        </is>
      </c>
      <c r="AC214" s="12" t="inlineStr">
        <is>
          <t>https://www.unionparkbyhillwood.com/</t>
        </is>
      </c>
      <c r="AD214" s="12" t="inlineStr"/>
      <c r="AE214" s="12" t="inlineStr"/>
    </row>
    <row r="215">
      <c r="A215" s="6" t="inlineStr">
        <is>
          <t>Tony Ruggeri</t>
        </is>
      </c>
      <c r="B215" s="6" t="inlineStr">
        <is>
          <t>Walsh (Republic Property)</t>
        </is>
      </c>
      <c r="C215" s="6" t="inlineStr">
        <is>
          <t>Co-CEO and Partner, Republic Property Group</t>
        </is>
      </c>
      <c r="D215" s="7" t="inlineStr">
        <is>
          <t>Land owner, not the buyer</t>
        </is>
      </c>
      <c r="E215" s="8" t="n">
        <v>1</v>
      </c>
      <c r="F215" s="6" t="inlineStr">
        <is>
          <t>Land owner</t>
        </is>
      </c>
      <c r="G215" s="6" t="inlineStr">
        <is>
          <t>Masterplanned community</t>
        </is>
      </c>
      <c r="H215" s="6" t="inlineStr">
        <is>
          <t>West Fort Worth</t>
        </is>
      </c>
      <c r="I215" s="6" t="inlineStr">
        <is>
          <t>7,200 acres, about 15,000 single-family lots planned</t>
        </is>
      </c>
      <c r="J215" s="8" t="inlineStr">
        <is>
          <t>Yes</t>
        </is>
      </c>
      <c r="K215" s="9" t="inlineStr">
        <is>
          <t>About 15,000 production lots planned in a Fort Worth masterplan, buildout around 2050.</t>
        </is>
      </c>
      <c r="L215" s="8" t="inlineStr">
        <is>
          <t>No</t>
        </is>
      </c>
      <c r="M215" s="9" t="inlineStr">
        <is>
          <t>Republic develops and sells lots. The builders buy the wall.</t>
        </is>
      </c>
      <c r="N215" s="8" t="inlineStr">
        <is>
          <t>No</t>
        </is>
      </c>
      <c r="O215" s="9" t="inlineStr">
        <is>
          <t>Nothing published on construction method.</t>
        </is>
      </c>
      <c r="P215" s="6" t="inlineStr">
        <is>
          <t>https://www.linkedin.com/in/tony-ruggeri-8ba6308/</t>
        </is>
      </c>
      <c r="Q215" s="6" t="inlineStr"/>
      <c r="R215" s="11">
        <f>IF(P215="","ADD LINKEDIN","ok")</f>
        <v/>
      </c>
      <c r="S215" s="6" t="inlineStr">
        <is>
          <t>https://www.walshtexas.com/</t>
        </is>
      </c>
      <c r="T215" s="9" t="inlineStr">
        <is>
          <t>Republic Property Group sells lots to roster builders, David Weekley's Walsh Classic among them. Buildout around 2050.</t>
        </is>
      </c>
      <c r="U215" s="6" t="inlineStr"/>
      <c r="V215" s="9" t="inlineStr">
        <is>
          <t>Indexed title: Republic Property Group. Republic Property Group team page.</t>
        </is>
      </c>
      <c r="W215" s="6" t="inlineStr">
        <is>
          <t>https://republicpropertygroup.com/team/</t>
        </is>
      </c>
      <c r="X215" s="6" t="inlineStr">
        <is>
          <t>https://www.linkedin.com/company/republic-property-group/</t>
        </is>
      </c>
      <c r="Y215" s="6" t="inlineStr"/>
      <c r="Z215" s="6" t="inlineStr"/>
      <c r="AA215" s="6" t="inlineStr">
        <is>
          <t>(214) 292-3410</t>
        </is>
      </c>
      <c r="AB215" s="6" t="inlineStr">
        <is>
          <t>Republic Property Group corporate, the developer</t>
        </is>
      </c>
      <c r="AC215" s="6" t="inlineStr">
        <is>
          <t>https://republicpropertygroup.com/contact/</t>
        </is>
      </c>
      <c r="AD215" s="6" t="inlineStr"/>
      <c r="AE215" s="6" t="inlineStr"/>
    </row>
    <row r="216">
      <c r="A216" s="12" t="inlineStr">
        <is>
          <t>Jake Wagner</t>
        </is>
      </c>
      <c r="B216" s="12" t="inlineStr">
        <is>
          <t>Walsh (Republic Property)</t>
        </is>
      </c>
      <c r="C216" s="12" t="inlineStr">
        <is>
          <t>Co-CEO and Partner, Republic Property Group</t>
        </is>
      </c>
      <c r="D216" s="13" t="inlineStr">
        <is>
          <t>Land owner, not the buyer</t>
        </is>
      </c>
      <c r="E216" s="14" t="n">
        <v>1</v>
      </c>
      <c r="F216" s="12" t="inlineStr">
        <is>
          <t>Land owner</t>
        </is>
      </c>
      <c r="G216" s="12" t="inlineStr">
        <is>
          <t>Masterplanned community</t>
        </is>
      </c>
      <c r="H216" s="12" t="inlineStr">
        <is>
          <t>West Fort Worth</t>
        </is>
      </c>
      <c r="I216" s="12" t="inlineStr">
        <is>
          <t>7,200 acres, about 15,000 single-family lots planned</t>
        </is>
      </c>
      <c r="J216" s="14" t="inlineStr">
        <is>
          <t>Yes</t>
        </is>
      </c>
      <c r="K216" s="15" t="inlineStr">
        <is>
          <t>About 15,000 production lots planned in a Fort Worth masterplan, buildout around 2050.</t>
        </is>
      </c>
      <c r="L216" s="14" t="inlineStr">
        <is>
          <t>No</t>
        </is>
      </c>
      <c r="M216" s="15" t="inlineStr">
        <is>
          <t>Republic develops and sells lots. The builders buy the wall.</t>
        </is>
      </c>
      <c r="N216" s="14" t="inlineStr">
        <is>
          <t>No</t>
        </is>
      </c>
      <c r="O216" s="15" t="inlineStr">
        <is>
          <t>Nothing published on construction method.</t>
        </is>
      </c>
      <c r="P216" s="10" t="inlineStr"/>
      <c r="Q216" s="12" t="inlineStr"/>
      <c r="R216" s="16">
        <f>IF(P216="","ADD LINKEDIN","ok")</f>
        <v/>
      </c>
      <c r="S216" s="12" t="inlineStr">
        <is>
          <t>https://www.walshtexas.com/</t>
        </is>
      </c>
      <c r="T216" s="15" t="inlineStr">
        <is>
          <t>Republic Property Group sells lots to roster builders, David Weekley's Walsh Classic among them. Buildout around 2050.</t>
        </is>
      </c>
      <c r="U216" s="12" t="inlineStr"/>
      <c r="V216" s="15" t="inlineStr">
        <is>
          <t>Republic Property Group team page.</t>
        </is>
      </c>
      <c r="W216" s="12" t="inlineStr">
        <is>
          <t>https://republicpropertygroup.com/team/</t>
        </is>
      </c>
      <c r="X216" s="12" t="inlineStr">
        <is>
          <t>https://www.linkedin.com/company/republic-property-group/</t>
        </is>
      </c>
      <c r="Y216" s="12" t="inlineStr"/>
      <c r="Z216" s="12" t="inlineStr"/>
      <c r="AA216" s="12" t="inlineStr">
        <is>
          <t>(214) 292-3410</t>
        </is>
      </c>
      <c r="AB216" s="12" t="inlineStr">
        <is>
          <t>Republic Property Group corporate, the developer</t>
        </is>
      </c>
      <c r="AC216" s="12" t="inlineStr">
        <is>
          <t>https://republicpropertygroup.com/contact/</t>
        </is>
      </c>
      <c r="AD216" s="12" t="inlineStr"/>
      <c r="AE216" s="12" t="inlineStr"/>
    </row>
    <row r="217">
      <c r="A217" s="6" t="inlineStr">
        <is>
          <t>Craig Martin</t>
        </is>
      </c>
      <c r="B217" s="6" t="inlineStr">
        <is>
          <t>Windsong Ranch (Prosper, Tellus Group)</t>
        </is>
      </c>
      <c r="C217" s="6" t="inlineStr">
        <is>
          <t>Co-founder, Tellus Group</t>
        </is>
      </c>
      <c r="D217" s="7" t="inlineStr">
        <is>
          <t>Land owner, not the buyer</t>
        </is>
      </c>
      <c r="E217" s="8" t="n">
        <v>1</v>
      </c>
      <c r="F217" s="6" t="inlineStr">
        <is>
          <t>Land owner</t>
        </is>
      </c>
      <c r="G217" s="6" t="inlineStr">
        <is>
          <t>Masterplanned community</t>
        </is>
      </c>
      <c r="H217" s="6" t="inlineStr">
        <is>
          <t>Prosper</t>
        </is>
      </c>
      <c r="I217" s="6" t="inlineStr">
        <is>
          <t>Prosper masterplan, nine builders named on its own article</t>
        </is>
      </c>
      <c r="J217" s="8" t="inlineStr">
        <is>
          <t>Yes</t>
        </is>
      </c>
      <c r="K217" s="9" t="inlineStr">
        <is>
          <t>Nine builders on its Prosper roster, with phases still opening.</t>
        </is>
      </c>
      <c r="L217" s="8" t="inlineStr">
        <is>
          <t>No</t>
        </is>
      </c>
      <c r="M217" s="9" t="inlineStr">
        <is>
          <t>It sells lots. The builders buy the wall.</t>
        </is>
      </c>
      <c r="N217" s="8" t="inlineStr">
        <is>
          <t>No</t>
        </is>
      </c>
      <c r="O217" s="9" t="inlineStr">
        <is>
          <t>Nothing published on construction method.</t>
        </is>
      </c>
      <c r="P217" s="10" t="inlineStr"/>
      <c r="Q217" s="6" t="inlineStr"/>
      <c r="R217" s="11">
        <f>IF(P217="","ADD LINKEDIN","ok")</f>
        <v/>
      </c>
      <c r="S217" s="6" t="inlineStr">
        <is>
          <t>https://windsongranchliving.com/</t>
        </is>
      </c>
      <c r="T217" s="9" t="inlineStr">
        <is>
          <t>Sells lots to production builders, Shaddock Caldwell custom homes and Grenadier villas and townhomes. Tellus Group bought it in 2018.</t>
        </is>
      </c>
      <c r="U217" s="6" t="inlineStr"/>
      <c r="V217" s="9" t="inlineStr">
        <is>
          <t>2016 Windsong Ranch page, as founding partner, then with Terra Verde Group.</t>
        </is>
      </c>
      <c r="W217" s="6" t="inlineStr">
        <is>
          <t>https://windsongranchliving.com/craig-martin-dallas-500/</t>
        </is>
      </c>
      <c r="X217" s="6" t="inlineStr">
        <is>
          <t>https://www.linkedin.com/company/tellusgroupllc/</t>
        </is>
      </c>
      <c r="Y217" s="6" t="inlineStr">
        <is>
          <t>https://windsongranchliving.com/craig-martin-dallas-500/</t>
        </is>
      </c>
      <c r="Z217" s="6" t="inlineStr"/>
      <c r="AA217" s="6" t="inlineStr">
        <is>
          <t>(972) 347-9270</t>
        </is>
      </c>
      <c r="AB217" s="6" t="inlineStr">
        <is>
          <t>Welcome center, Prosper</t>
        </is>
      </c>
      <c r="AC217" s="6" t="inlineStr">
        <is>
          <t>https://windsongranchliving.com/</t>
        </is>
      </c>
      <c r="AD217" s="6" t="inlineStr"/>
      <c r="AE217" s="6" t="inlineStr"/>
    </row>
    <row r="218">
      <c r="A218" s="12" t="inlineStr">
        <is>
          <t>David Grove</t>
        </is>
      </c>
      <c r="B218" s="12" t="inlineStr">
        <is>
          <t>Lennar Corporation</t>
        </is>
      </c>
      <c r="C218" s="12" t="inlineStr">
        <is>
          <t>Executive Vice President, Homebuilding</t>
        </is>
      </c>
      <c r="D218" s="13" t="inlineStr">
        <is>
          <t>Lennar</t>
        </is>
      </c>
      <c r="E218" s="14" t="n">
        <v>2</v>
      </c>
      <c r="F218" s="12" t="inlineStr">
        <is>
          <t>Client</t>
        </is>
      </c>
      <c r="G218" s="12" t="inlineStr">
        <is>
          <t>National homebuilder</t>
        </is>
      </c>
      <c r="H218" s="12" t="inlineStr">
        <is>
          <t>Dallas-Fort Worth, with communities across the metro</t>
        </is>
      </c>
      <c r="I218" s="12" t="inlineStr">
        <is>
          <t>5,724 DFW closings in 2025, 14.1% share</t>
        </is>
      </c>
      <c r="J218" s="14" t="inlineStr">
        <is>
          <t>Yes</t>
        </is>
      </c>
      <c r="K218" s="15" t="inlineStr">
        <is>
          <t>One Everything's Included plan library across dozens of DFW communities.</t>
        </is>
      </c>
      <c r="L218" s="14" t="inlineStr">
        <is>
          <t>No</t>
        </is>
      </c>
      <c r="M218" s="15" t="inlineStr">
        <is>
          <t>Above 1,500 DFW closings on BUILDER's Local Leaders table.</t>
        </is>
      </c>
      <c r="N218" s="14" t="inlineStr">
        <is>
          <t>Yes</t>
        </is>
      </c>
      <c r="O218" s="15" t="inlineStr">
        <is>
          <t>Lennar built the 100-home Wolf Ranch with ICON. LEN X invested in ICON in August 2021 and again in February 2025.</t>
        </is>
      </c>
      <c r="P218" s="6" t="inlineStr">
        <is>
          <t>https://www.linkedin.com/in/david-grove-a8880511/</t>
        </is>
      </c>
      <c r="Q218" s="12" t="inlineStr"/>
      <c r="R218" s="16">
        <f>IF(P218="","ADD LINKEDIN","ok")</f>
        <v/>
      </c>
      <c r="S218" s="12" t="inlineStr">
        <is>
          <t>https://www.lennar.com/new-homes/texas/dallas-ft-worth</t>
        </is>
      </c>
      <c r="T218" s="15" t="inlineStr">
        <is>
          <t>Built the 100-home Wolf Ranch with ICON. Sells one Everything's Included plan library across DFW.</t>
        </is>
      </c>
      <c r="U218" s="12" t="inlineStr"/>
      <c r="V218" s="15" t="inlineStr">
        <is>
          <t>Indexed title: Division President, Lennar Homes. Lennar newsroom release, June 5, 2026, and company bio.</t>
        </is>
      </c>
      <c r="W218" s="12" t="inlineStr">
        <is>
          <t>https://newsroom.lennar.com/2026-06-05-Lennar-Names-Jim-Parker-Chief-Operating-Officer-and-David-Grove-EVP,-Homebuilding</t>
        </is>
      </c>
      <c r="X218" s="12" t="inlineStr">
        <is>
          <t>https://www.linkedin.com/company/lennar/</t>
        </is>
      </c>
      <c r="Y218" s="12" t="inlineStr">
        <is>
          <t>https://www.lennar.com/about/leadership/david-grove</t>
        </is>
      </c>
      <c r="Z218" s="12" t="inlineStr">
        <is>
          <t>2025-07-24 Dallas Morning News. The 10 biggest homebuilders in D-FW  https://www.dallasnews.com/business/real-estate/2025/07/24/list-who-are-the-10-biggest-homebuilders-in-d-fw/</t>
        </is>
      </c>
      <c r="AA218" s="12" t="inlineStr">
        <is>
          <t>(866) 314-4477</t>
        </is>
      </c>
      <c r="AB218" s="12" t="inlineStr">
        <is>
          <t>Sales consultant line, Dallas/Ft. Worth</t>
        </is>
      </c>
      <c r="AC218" s="12" t="inlineStr">
        <is>
          <t>https://www.lennar.com/contact?divisionNumber=DFWLEN&amp;market=DAL</t>
        </is>
      </c>
      <c r="AD218" s="12" t="inlineStr"/>
      <c r="AE218" s="12" t="inlineStr"/>
    </row>
    <row r="220">
      <c r="A220"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2026-09-26.</t>
        </is>
      </c>
    </row>
  </sheetData>
  <autoFilter ref="A6:AE2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Census Building Permits Survey, annual county files. An authorisation is not a start, a completion or a closing. Census counts townhouses and row houses as single family. The counties sum to the metro. The jurisdictions are the largest 50 and do not sum to the counties.</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2026-09-26T05:02:11Z</dcterms:created>
  <dcterms:modified xmlns:dcterms="http://purl.org/dc/terms/" xmlns:xsi="http://www.w3.org/2001/XMLSchema-instance" xsi:type="dcterms:W3CDTF">2026-09-26T05:02:12Z</dcterms:modified>
</cp:coreProperties>
</file>