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'Contacts'!$A$6:$Z$264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38 · 2026-09-11 · public render. Do not hand-edit the HTML deck; it regenerates from the same file.</t>
        </is>
      </c>
    </row>
    <row r="3">
      <c r="A3" s="2" t="inlineStr">
        <is>
          <t>Contacts</t>
        </is>
      </c>
      <c r="B3" s="3">
        <f>COUNTA($A$7:$A$264)</f>
        <v/>
      </c>
      <c r="C3" s="2" t="inlineStr">
        <is>
          <t>LinkedIn held</t>
        </is>
      </c>
      <c r="D3" s="3">
        <f>COUNTIF($R$7:$R$264,"ok")</f>
        <v/>
      </c>
      <c r="E3" s="2" t="inlineStr">
        <is>
          <t>Still to add</t>
        </is>
      </c>
      <c r="F3" s="3">
        <f>COUNTIF($R$7:$R$264,"ADD LINKEDIN")</f>
        <v/>
      </c>
      <c r="G3" s="2" t="inlineStr">
        <is>
          <t>Strong targets</t>
        </is>
      </c>
      <c r="H3" s="3">
        <f>SUMPRODUCT((COUNTIF(OFFSET($B$7,ROW($B$7:$B$264)-ROW($B$7),0,1,1),$B$7:$B$264)&gt;0)*($D$7:$D$264="Strong target")/COUNTIF($B$7:$B$264,$B$7:$B$264&amp;""))</f>
        <v/>
      </c>
      <c r="I3" s="2" t="inlineStr">
        <is>
          <t>Wall deciders</t>
        </is>
      </c>
      <c r="J3" s="3">
        <f>COUNTIF($V$7:$V$264,"YES")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1" s="6" t="inlineStr"/>
      <c r="W11" s="9" t="inlineStr">
        <is>
          <t>CEO of AiWB, Co-Founder at Wan Bridge. Bellaire, Texas.</t>
        </is>
      </c>
      <c r="X11" s="6" t="inlineStr"/>
      <c r="Y11" s="6" t="inlineStr">
        <is>
          <t>https://www.linkedin.com/company/wan-bridge-group/</t>
        </is>
      </c>
      <c r="Z11" s="6" t="inlineStr">
        <is>
          <t>https://wanbridge.com/leadership/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5"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2" s="12" t="inlineStr">
        <is>
          <t>YES</t>
        </is>
      </c>
      <c r="W12" s="15" t="inlineStr">
        <is>
          <t>Vice President of Construction Operations at AiWB. Greater Houston.</t>
        </is>
      </c>
      <c r="X12" s="12" t="inlineStr"/>
      <c r="Y12" s="12" t="inlineStr">
        <is>
          <t>https://www.linkedin.com/company/wan-bridge-group/</t>
        </is>
      </c>
      <c r="Z12" s="12" t="inlineStr">
        <is>
          <t>https://wanbridge.com/leadership/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3" s="6" t="inlineStr">
        <is>
          <t>YES</t>
        </is>
      </c>
      <c r="W13" s="9" t="inlineStr">
        <is>
          <t>Purchasing Manager at AiWB. Houston, Texas.</t>
        </is>
      </c>
      <c r="X13" s="6" t="inlineStr"/>
      <c r="Y13" s="6" t="inlineStr">
        <is>
          <t>https://www.linkedin.com/company/wan-bridge-group/</t>
        </is>
      </c>
      <c r="Z13" s="6" t="inlineStr">
        <is>
          <t>https://wanbridge.com/leadership/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5"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4" s="12" t="inlineStr"/>
      <c r="W14" s="15" t="inlineStr">
        <is>
          <t>President at Lovett. Houston, Texas. A second Frank Liu at Lovett Commercial is a real estate specialist, not the principal.</t>
        </is>
      </c>
      <c r="X14" s="12" t="inlineStr"/>
      <c r="Y14" s="12" t="inlineStr">
        <is>
          <t>https://www.linkedin.com/company/intown-homes</t>
        </is>
      </c>
      <c r="Z14" s="12" t="inlineStr">
        <is>
          <t>https://www.lovettcommercial.com/about</t>
        </is>
      </c>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10" t="inlineStr"/>
      <c r="Q15" s="6">
        <f>HYPERLINK("https://www.linkedin.com/search/results/people/?keywords=Andrew%20Segal%20Boxer%20Property","search")</f>
        <v/>
      </c>
      <c r="R15" s="11">
        <f>IF(P15="","ADD LINKEDIN","ok")</f>
        <v/>
      </c>
      <c r="S15" s="6" t="inlineStr">
        <is>
          <t>https://www.boxerproperty.com/</t>
        </is>
      </c>
      <c r="T15" s="9" t="inlineStr">
        <is>
          <t>A Houston owner with 15 million square feet that has paid for a printed building, in Fort Worth, and said in print why.</t>
        </is>
      </c>
      <c r="U15" s="9" t="inlineStr">
        <is>
          <t>The printed house is in Fort Worth, not Houston. The firm is Houston-headquartered; the project is not. | No coverage after June 2024 confirms the Fort Worth house was completed. Treat completion as unverified.</t>
        </is>
      </c>
      <c r="V15" s="6" t="inlineStr">
        <is>
          <t>YES</t>
        </is>
      </c>
      <c r="W15" s="9" t="inlineStr"/>
      <c r="X15" s="6" t="inlineStr"/>
      <c r="Y15" s="6" t="inlineStr"/>
      <c r="Z15" s="6" t="inlineStr"/>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10" t="inlineStr"/>
      <c r="Q16" s="12">
        <f>HYPERLINK("https://www.linkedin.com/search/results/people/?keywords=Justin%20Segal%20Boxer%20Property","search")</f>
        <v/>
      </c>
      <c r="R16" s="16">
        <f>IF(P16="","ADD LINKEDIN","ok")</f>
        <v/>
      </c>
      <c r="S16" s="12" t="inlineStr">
        <is>
          <t>https://www.boxerproperty.com/</t>
        </is>
      </c>
      <c r="T16" s="15" t="inlineStr">
        <is>
          <t>A Houston owner with 15 million square feet that has paid for a printed building, in Fort Worth, and said in print why.</t>
        </is>
      </c>
      <c r="U16" s="15" t="inlineStr">
        <is>
          <t>The printed house is in Fort Worth, not Houston. The firm is Houston-headquartered; the project is not. | No coverage after June 2024 confirms the Fort Worth house was completed. Treat completion as unverified.</t>
        </is>
      </c>
      <c r="V16" s="12" t="inlineStr">
        <is>
          <t>YES</t>
        </is>
      </c>
      <c r="W16" s="15" t="inlineStr"/>
      <c r="X16" s="12" t="inlineStr"/>
      <c r="Y16" s="12" t="inlineStr"/>
      <c r="Z16" s="12" t="inlineStr"/>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9" t="inlineStr">
        <is>
          <t>The printed house is in Fort Worth, not Houston. The firm is Houston-headquartered; the project is not. | No coverage after June 2024 confirms the Fort Worth house was completed. Treat completion as unverified.</t>
        </is>
      </c>
      <c r="V17" s="6" t="inlineStr"/>
      <c r="W17" s="9" t="inlineStr"/>
      <c r="X17" s="6" t="inlineStr"/>
      <c r="Y17" s="6" t="inlineStr"/>
      <c r="Z17" s="6" t="inlineStr"/>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5" t="inlineStr">
        <is>
          <t>The printed house is in Fort Worth, not Houston. The firm is Houston-headquartered; the project is not. | No coverage after June 2024 confirms the Fort Worth house was completed. Treat completion as unverified.</t>
        </is>
      </c>
      <c r="V18" s="12" t="inlineStr"/>
      <c r="W18" s="15" t="inlineStr"/>
      <c r="X18" s="12" t="inlineStr"/>
      <c r="Y18" s="12" t="inlineStr"/>
      <c r="Z18" s="12" t="inlineStr"/>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9"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9" s="6" t="inlineStr"/>
      <c r="W19" s="9" t="inlineStr">
        <is>
          <t>The firm's own post on the Houston launch names him Division President and quotes him on folding existing plans into Brohn's line.</t>
        </is>
      </c>
      <c r="X19" s="6" t="inlineStr">
        <is>
          <t>https://brohnhomes.com/community-impact-features-brohn-homes-houston-vision/</t>
        </is>
      </c>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0" s="12" t="inlineStr"/>
      <c r="W20" s="15" t="inlineStr">
        <is>
          <t>Century's own executive management page. He became sole Chief Executive Officer and President on 1 January 2025, having been co-chief executive.</t>
        </is>
      </c>
      <c r="X20" s="12" t="inlineStr">
        <is>
          <t>https://investors.centurycommunities.com/governance/executive-management/default.aspx</t>
        </is>
      </c>
      <c r="Y20" s="12" t="inlineStr">
        <is>
          <t>https://www.linkedin.com/company/century-communities</t>
        </is>
      </c>
      <c r="Z20" s="12" t="inlineStr">
        <is>
          <t>https://investors.centurycommunities.com/governance/executive-management/default.aspx</t>
        </is>
      </c>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1" s="6" t="inlineStr"/>
      <c r="W21" s="9" t="inlineStr">
        <is>
          <t>Profile opened. Activity shows her recruiting for Century Communities, Inc. (NYSE:CCS) in Houston. Title from September 2026 trade press.</t>
        </is>
      </c>
      <c r="X21" s="6" t="inlineStr"/>
      <c r="Y21" s="6" t="inlineStr">
        <is>
          <t>https://www.linkedin.com/company/century-communities</t>
        </is>
      </c>
      <c r="Z21" s="6" t="inlineStr">
        <is>
          <t>https://investors.centurycommunities.com/governance/executive-management/default.aspx</t>
        </is>
      </c>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2" s="12" t="inlineStr"/>
      <c r="W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22" s="12" t="inlineStr">
        <is>
          <t>https://www.signorellicompany.com/our-leadership/34/john-winniford</t>
        </is>
      </c>
      <c r="Y22" s="12" t="inlineStr">
        <is>
          <t>https://www.linkedin.com/company/first-america-homes</t>
        </is>
      </c>
      <c r="Z22" s="12" t="inlineStr">
        <is>
          <t>https://www.firstamericahomes.com/about/</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3" s="6" t="inlineStr"/>
      <c r="W23" s="9" t="inlineStr">
        <is>
          <t>CEO, President, The Signorelli Company. Greater Houston.</t>
        </is>
      </c>
      <c r="X23" s="6" t="inlineStr"/>
      <c r="Y23" s="6" t="inlineStr">
        <is>
          <t>https://www.linkedin.com/company/first-america-homes</t>
        </is>
      </c>
      <c r="Z23" s="6" t="inlineStr">
        <is>
          <t>https://www.firstamericahomes.com/about/</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4" s="12" t="inlineStr">
        <is>
          <t>YES</t>
        </is>
      </c>
      <c r="W24" s="15" t="inlineStr">
        <is>
          <t>VP of Construction for First America Homes. Willis, Texas.</t>
        </is>
      </c>
      <c r="X24" s="12" t="inlineStr"/>
      <c r="Y24" s="12" t="inlineStr">
        <is>
          <t>https://www.linkedin.com/company/first-america-homes</t>
        </is>
      </c>
      <c r="Z24" s="12" t="inlineStr">
        <is>
          <t>https://www.firstamericahomes.com/about/</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5" s="6" t="inlineStr">
        <is>
          <t>YES</t>
        </is>
      </c>
      <c r="W25" s="9" t="inlineStr">
        <is>
          <t>Profile opened. Company line reads First America Homes. Magnolia, Texas. He took the role this year, after a fifteen-year incumbent left in April 2026.</t>
        </is>
      </c>
      <c r="X25" s="6" t="inlineStr"/>
      <c r="Y25" s="6" t="inlineStr">
        <is>
          <t>https://www.linkedin.com/company/first-america-homes</t>
        </is>
      </c>
      <c r="Z25" s="6" t="inlineStr">
        <is>
          <t>https://www.firstamericahomes.com/about/</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6" s="12" t="inlineStr"/>
      <c r="W26" s="15" t="inlineStr">
        <is>
          <t>Division President, First America Homes. Houston, Texas.</t>
        </is>
      </c>
      <c r="X26" s="12" t="inlineStr"/>
      <c r="Y26" s="12" t="inlineStr">
        <is>
          <t>https://www.linkedin.com/company/first-america-homes</t>
        </is>
      </c>
      <c r="Z26" s="12" t="inlineStr">
        <is>
          <t>https://www.firstamericahomes.com/about/</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7" s="6" t="inlineStr"/>
      <c r="W27" s="9" t="inlineStr">
        <is>
          <t>Indexed title reads Doug French, Stylecraft Builders Inc. The firm's team page lists him as Owner, President and Chief Executive Officer. Team page lists Doug French, Owner, President and Chief Executive Officer.</t>
        </is>
      </c>
      <c r="X27" s="6" t="inlineStr">
        <is>
          <t>https://www.stylecraft.com/team/</t>
        </is>
      </c>
      <c r="Y27" s="6" t="inlineStr"/>
      <c r="Z27" s="6" t="inlineStr"/>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8" s="12" t="inlineStr">
        <is>
          <t>YES</t>
        </is>
      </c>
      <c r="W28" s="15" t="inlineStr">
        <is>
          <t>Team page lists Jordan York, Vice President of Construction. The only LinkedIn profile under the name is a charter pilot.</t>
        </is>
      </c>
      <c r="X28" s="12" t="inlineStr">
        <is>
          <t>https://www.stylecraft.com/team/</t>
        </is>
      </c>
      <c r="Y28" s="12" t="inlineStr"/>
      <c r="Z28" s="12" t="inlineStr"/>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9" s="6" t="inlineStr">
        <is>
          <t>YES</t>
        </is>
      </c>
      <c r="W29" s="9" t="inlineStr">
        <is>
          <t>Indexed title reads Bruce Hendren, Stylecraft. The firm's team page lists him as Vice President of Pre-Construction. Team page lists Bruce Hendren, Vice President of Pre-Construction.</t>
        </is>
      </c>
      <c r="X29" s="6" t="inlineStr">
        <is>
          <t>https://www.stylecraft.com/team/</t>
        </is>
      </c>
      <c r="Y29" s="6" t="inlineStr"/>
      <c r="Z29" s="6" t="inlineStr"/>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30" s="12" t="inlineStr"/>
      <c r="W30" s="15" t="inlineStr">
        <is>
          <t>Indexed title reads Emily Runnion, Stylecraft. The firm's team page lists her as Director of the South Six Construction Group. Team page lists Emily Runnion, Director of South Six Construction Group.</t>
        </is>
      </c>
      <c r="X30" s="12" t="inlineStr">
        <is>
          <t>https://www.stylecraft.com/team/</t>
        </is>
      </c>
      <c r="Y30" s="12" t="inlineStr"/>
      <c r="Z30" s="12" t="inlineStr"/>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1" s="6" t="inlineStr">
        <is>
          <t>YES</t>
        </is>
      </c>
      <c r="W31" s="9"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5"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2" s="12" t="inlineStr"/>
      <c r="W32" s="15"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3" s="6" t="inlineStr"/>
      <c r="W33" s="9"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5" t="inlineStr">
        <is>
          <t>Volumetric modular is a competing offsite method, so a printer would replace an investment rather than fill a gap. | No project name, location or completion date appears on the firm's own site. Built volume is unverified.</t>
        </is>
      </c>
      <c r="V34" s="12" t="inlineStr">
        <is>
          <t>YES</t>
        </is>
      </c>
      <c r="W34" s="15"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5" s="6" t="inlineStr"/>
      <c r="W35" s="9" t="inlineStr">
        <is>
          <t>Chief Executive Officer on Avenue's own board and staff page, marking twenty-five years of leadership.</t>
        </is>
      </c>
      <c r="X35" s="6" t="inlineStr">
        <is>
          <t>https://avenuecdc.org/about-us/board-staff/</t>
        </is>
      </c>
      <c r="Y35" s="6" t="inlineStr">
        <is>
          <t>https://www.linkedin.com/company/avenue-community-development-coporation</t>
        </is>
      </c>
      <c r="Z35" s="6" t="inlineStr">
        <is>
          <t>https://avenuecdc.org/about-us/board-staff/</t>
        </is>
      </c>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6" s="12" t="inlineStr"/>
      <c r="W36" s="15" t="inlineStr">
        <is>
          <t>Chief Strategy Officer, Housing &amp; Community Development. Surfaced on an Avenue CDC search.</t>
        </is>
      </c>
      <c r="X36" s="12" t="inlineStr"/>
      <c r="Y36" s="12" t="inlineStr">
        <is>
          <t>https://www.linkedin.com/company/avenue-community-development-coporation</t>
        </is>
      </c>
      <c r="Z36" s="12" t="inlineStr">
        <is>
          <t>https://avenuecdc.org/about-us/board-staff/</t>
        </is>
      </c>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7" s="6" t="inlineStr"/>
      <c r="W37" s="9" t="inlineStr">
        <is>
          <t>Chief Financial Officer, Avenue CDC. Greater Houston.</t>
        </is>
      </c>
      <c r="X37" s="6" t="inlineStr"/>
      <c r="Y37" s="6" t="inlineStr">
        <is>
          <t>https://www.linkedin.com/company/avenue-community-development-coporation</t>
        </is>
      </c>
      <c r="Z37" s="6" t="inlineStr">
        <is>
          <t>https://avenuecdc.org/about-us/board-staff/</t>
        </is>
      </c>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8" s="12" t="inlineStr">
        <is>
          <t>YES</t>
        </is>
      </c>
      <c r="W38" s="15" t="inlineStr">
        <is>
          <t>Director, Single Family Housing at Avenue Community Development Corporation. Houston, Texas. At a nonprofit developer this is the role that owns how the houses get built, not the chief executive.</t>
        </is>
      </c>
      <c r="X38" s="12" t="inlineStr"/>
      <c r="Y38" s="12" t="inlineStr">
        <is>
          <t>https://www.linkedin.com/company/avenue-community-development-coporation</t>
        </is>
      </c>
      <c r="Z38" s="12" t="inlineStr">
        <is>
          <t>https://avenuecdc.org/about-us/board-staff/</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9" s="6" t="inlineStr"/>
      <c r="W39" s="9" t="inlineStr">
        <is>
          <t>President at Sueba USA Corporation. Houston, Texas.</t>
        </is>
      </c>
      <c r="X39" s="6" t="inlineStr"/>
      <c r="Y39" s="6" t="inlineStr">
        <is>
          <t>https://www.linkedin.com/company/sueba-usa-corporation</t>
        </is>
      </c>
      <c r="Z39" s="6" t="inlineStr">
        <is>
          <t>https://suebausa.com/about-us/</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0" s="12" t="inlineStr"/>
      <c r="W40" s="15" t="inlineStr">
        <is>
          <t>Executive Vice President and Chief Operating Officer.</t>
        </is>
      </c>
      <c r="X40" s="12" t="inlineStr">
        <is>
          <t>https://suebausa.com/about-us/</t>
        </is>
      </c>
      <c r="Y40" s="12" t="inlineStr">
        <is>
          <t>https://www.linkedin.com/company/sueba-usa-corporation</t>
        </is>
      </c>
      <c r="Z40" s="12" t="inlineStr">
        <is>
          <t>https://suebausa.com/about-us/</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1" s="6" t="inlineStr">
        <is>
          <t>YES</t>
        </is>
      </c>
      <c r="W41" s="9" t="inlineStr">
        <is>
          <t>Real Estate Development, Sueba USA Corporation. Houston, Texas. Listed AIA, so he is the licensed architect inside the firm that designs and builds its own work.</t>
        </is>
      </c>
      <c r="X41" s="6" t="inlineStr"/>
      <c r="Y41" s="6" t="inlineStr">
        <is>
          <t>https://www.linkedin.com/company/sueba-usa-corporation</t>
        </is>
      </c>
      <c r="Z41" s="6" t="inlineStr">
        <is>
          <t>https://suebausa.com/about-us/</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2" s="12" t="inlineStr">
        <is>
          <t>YES</t>
        </is>
      </c>
      <c r="W42" s="15" t="inlineStr">
        <is>
          <t>VP of Construction Houston North, Chesmar Homes. Spring, Texas.</t>
        </is>
      </c>
      <c r="X42" s="12" t="inlineStr"/>
      <c r="Y42" s="12" t="inlineStr">
        <is>
          <t>https://www.linkedin.com/company/chesmar-homes</t>
        </is>
      </c>
      <c r="Z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3" s="6" t="inlineStr">
        <is>
          <t>YES</t>
        </is>
      </c>
      <c r="W43" s="9" t="inlineStr">
        <is>
          <t>Vice President of Construction Operations at Chesmar Homes. Houston, Texas.</t>
        </is>
      </c>
      <c r="X43" s="6" t="inlineStr"/>
      <c r="Y43" s="6" t="inlineStr">
        <is>
          <t>https://www.linkedin.com/company/chesmar-homes</t>
        </is>
      </c>
      <c r="Z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4" s="12" t="inlineStr">
        <is>
          <t>YES</t>
        </is>
      </c>
      <c r="W44" s="15" t="inlineStr">
        <is>
          <t>Vice President of Purchasing at Chesmar Home. Houston, Texas.</t>
        </is>
      </c>
      <c r="X44" s="12" t="inlineStr"/>
      <c r="Y44" s="12" t="inlineStr">
        <is>
          <t>https://www.linkedin.com/company/chesmar-homes</t>
        </is>
      </c>
      <c r="Z44" s="12" t="inlineStr"/>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9" t="inlineStr">
        <is>
          <t>Two people are named as leadership on the site without titles. Confirm which one owns construction before approaching. | No title is published for Kevin Holland or John Payson on the site, in the GHBA directory or on LinkedIn.</t>
        </is>
      </c>
      <c r="V45" s="6" t="inlineStr"/>
      <c r="W45" s="9" t="inlineStr">
        <is>
          <t>Homepage: the founder's standards carry forward under the guidance of Kevin Holland and John Payson. No title is published anywhere.</t>
        </is>
      </c>
      <c r="X45" s="6" t="inlineStr">
        <is>
          <t>https://www.cervellehomes.com/</t>
        </is>
      </c>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5" t="inlineStr">
        <is>
          <t>Two people are named as leadership on the site without titles. Confirm which one owns construction before approaching. | No title is published for Kevin Holland or John Payson on the site, in the GHBA directory or on LinkedIn.</t>
        </is>
      </c>
      <c r="V46" s="12" t="inlineStr"/>
      <c r="W46" s="15" t="inlineStr">
        <is>
          <t>Homepage names him alongside Kevin Holland as carrying the founder's standards forward. No title is published.</t>
        </is>
      </c>
      <c r="X46" s="12" t="inlineStr">
        <is>
          <t>https://www.cervellehomes.com/</t>
        </is>
      </c>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7" s="6" t="inlineStr"/>
      <c r="W47" s="9" t="inlineStr">
        <is>
          <t>About page: CEO, who signs off on every piece of land and secures the financing behind every community.</t>
        </is>
      </c>
      <c r="X47" s="6" t="inlineStr">
        <is>
          <t>https://www.myaltahomes.com/about</t>
        </is>
      </c>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8" s="12" t="inlineStr"/>
      <c r="W48" s="15" t="inlineStr">
        <is>
          <t>About page: President, focused on teams, vendor partnerships and efficient construction.</t>
        </is>
      </c>
      <c r="X48" s="12" t="inlineStr">
        <is>
          <t>https://www.myaltahomes.com/about</t>
        </is>
      </c>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9" s="6" t="inlineStr">
        <is>
          <t>YES</t>
        </is>
      </c>
      <c r="W49" s="9" t="inlineStr">
        <is>
          <t>About page: AP and Purchasing Manager.</t>
        </is>
      </c>
      <c r="X49" s="6" t="inlineStr">
        <is>
          <t>https://www.myaltahomes.com/about</t>
        </is>
      </c>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5" t="inlineStr">
        <is>
          <t>The cumulative figure is the firm's own. No single-year closings number is published, so the annual rate is an average rather than a current run rate.</t>
        </is>
      </c>
      <c r="V50" s="12" t="inlineStr"/>
      <c r="W50" s="15" t="inlineStr">
        <is>
          <t>Indexed title reads Glenn Briggs, President at Kendall Homes.</t>
        </is>
      </c>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9" t="inlineStr">
        <is>
          <t>The cumulative figure is the firm's own. No single-year closings number is published, so the annual rate is an average rather than a current run rate.</t>
        </is>
      </c>
      <c r="V51" s="6" t="inlineStr">
        <is>
          <t>YES</t>
        </is>
      </c>
      <c r="W51" s="9" t="inlineStr">
        <is>
          <t>Indexed title reads Jason Madden, Vice President of Construction at Kendall Homes.</t>
        </is>
      </c>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5" t="inlineStr">
        <is>
          <t>The firm's own site publishes no leadership and refuses automated retrieval. The owner is held on an indexed LinkedIn headline naming him with the firm, and on nothing else. | No named communities, unit counts or capital figures. | No innovation-appetite evidence.</t>
        </is>
      </c>
      <c r="V52" s="12" t="inlineStr"/>
      <c r="W52" s="15" t="inlineStr">
        <is>
          <t>Indexed title reads Vinod Ramani, Urban Living.</t>
        </is>
      </c>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9"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3" s="6" t="inlineStr"/>
      <c r="W53" s="9" t="inlineStr">
        <is>
          <t>Named President and Chief Executive Officer on the authority's own executive leadership page.</t>
        </is>
      </c>
      <c r="X53" s="6" t="inlineStr">
        <is>
          <t>https://housingforhouston.com/leadership/executive-leadership/</t>
        </is>
      </c>
      <c r="Y53" s="6" t="inlineStr">
        <is>
          <t>https://www.linkedin.com/company/houston-housing-authority</t>
        </is>
      </c>
      <c r="Z53" s="6" t="inlineStr">
        <is>
          <t>https://housingforhouston.com/leadership/executive-leadership/</t>
        </is>
      </c>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5"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4" s="12" t="inlineStr">
        <is>
          <t>YES</t>
        </is>
      </c>
      <c r="W54" s="15" t="inlineStr">
        <is>
          <t>Executive VP and COO Houston Housing Authority. Houston, Texas. The operating officer over a $600 million five-phase programme, and the office that answers for delivery rather than policy.</t>
        </is>
      </c>
      <c r="X54" s="12" t="inlineStr"/>
      <c r="Y54" s="12" t="inlineStr">
        <is>
          <t>https://www.linkedin.com/company/houston-housing-authority</t>
        </is>
      </c>
      <c r="Z54" s="12" t="inlineStr">
        <is>
          <t>https://housingforhouston.com/leadership/executive-leadership/</t>
        </is>
      </c>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 No wall-system statement on record.</t>
        </is>
      </c>
      <c r="U55"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5" s="6" t="inlineStr"/>
      <c r="W55" s="9" t="inlineStr">
        <is>
          <t>CEO, EVP at Meritage Homes.</t>
        </is>
      </c>
      <c r="X55" s="6" t="inlineStr"/>
      <c r="Y55" s="6" t="inlineStr">
        <is>
          <t>https://www.linkedin.com/company/meritage-homes</t>
        </is>
      </c>
      <c r="Z55" s="6" t="inlineStr">
        <is>
          <t>https://investors.meritagehomes.com/company-information/management-team</t>
        </is>
      </c>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 No wall-system statement on record.</t>
        </is>
      </c>
      <c r="U56"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6" s="12" t="inlineStr"/>
      <c r="W56" s="15" t="inlineStr">
        <is>
          <t>Executive Vice President and Chief Financial Officer on Meritage's own management page.</t>
        </is>
      </c>
      <c r="X56" s="12" t="inlineStr">
        <is>
          <t>https://investors.meritagehomes.com/company-information/management-team</t>
        </is>
      </c>
      <c r="Y56" s="12" t="inlineStr">
        <is>
          <t>https://www.linkedin.com/company/meritage-homes</t>
        </is>
      </c>
      <c r="Z56" s="12" t="inlineStr">
        <is>
          <t>https://investors.meritagehomes.com/company-information/management-team</t>
        </is>
      </c>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 No wall-system statement on record.</t>
        </is>
      </c>
      <c r="U57"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7" s="6" t="inlineStr"/>
      <c r="W57" s="9" t="inlineStr">
        <is>
          <t>Executive Chairman of the Board on Meritage's own management page.</t>
        </is>
      </c>
      <c r="X57" s="6" t="inlineStr">
        <is>
          <t>https://investors.meritagehomes.com/company-information/management-team</t>
        </is>
      </c>
      <c r="Y57" s="6" t="inlineStr">
        <is>
          <t>https://www.linkedin.com/company/meritage-homes</t>
        </is>
      </c>
      <c r="Z57" s="6" t="inlineStr">
        <is>
          <t>https://investors.meritagehomes.com/company-information/management-team</t>
        </is>
      </c>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 No wall-system statement on record.</t>
        </is>
      </c>
      <c r="U58"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8" s="12" t="inlineStr">
        <is>
          <t>YES</t>
        </is>
      </c>
      <c r="W58" s="15" t="inlineStr">
        <is>
          <t>Vice President of Operations at Meritage Homes (Houston). Houston, Texas. Operations at a production builder owns build cycle and trade scope.</t>
        </is>
      </c>
      <c r="X58" s="12" t="inlineStr"/>
      <c r="Y58" s="12" t="inlineStr">
        <is>
          <t>https://www.linkedin.com/company/meritage-homes</t>
        </is>
      </c>
      <c r="Z58" s="12" t="inlineStr">
        <is>
          <t>https://investors.meritagehomes.com/company-information/management-team</t>
        </is>
      </c>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 No wall-system statement on record.</t>
        </is>
      </c>
      <c r="U5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9" s="6" t="inlineStr"/>
      <c r="W59" s="9" t="inlineStr">
        <is>
          <t>Division President at Meritage Homes. Houston, Texas.</t>
        </is>
      </c>
      <c r="X59" s="6" t="inlineStr"/>
      <c r="Y59" s="6" t="inlineStr">
        <is>
          <t>https://www.linkedin.com/company/meritage-homes</t>
        </is>
      </c>
      <c r="Z59" s="6" t="inlineStr">
        <is>
          <t>https://investors.meritagehomes.com/company-information/management-team</t>
        </is>
      </c>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 No wall-system statement on record.</t>
        </is>
      </c>
      <c r="U6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60" s="12" t="inlineStr"/>
      <c r="W60" s="15" t="inlineStr">
        <is>
          <t>Central Region President at Meritage Homes (NYSE). Sugar Land, Texas.</t>
        </is>
      </c>
      <c r="X60" s="12" t="inlineStr"/>
      <c r="Y60" s="12" t="inlineStr">
        <is>
          <t>https://www.linkedin.com/company/meritage-homes</t>
        </is>
      </c>
      <c r="Z60" s="12" t="inlineStr">
        <is>
          <t>https://investors.meritagehomes.com/company-information/management-team</t>
        </is>
      </c>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61" s="6" t="inlineStr"/>
      <c r="W61" s="9" t="inlineStr">
        <is>
          <t>Smith Douglas's own announcement: Stephen Ray, Founder and President of Devon Street, will continue to lead the Houston division. No post-acquisition title is published.</t>
        </is>
      </c>
      <c r="X61" s="6" t="inlineStr">
        <is>
          <t>https://www.smithdouglas.com/blog/smith-douglas-homes-acquires-devon-street-homes-enters-houston-tx-market</t>
        </is>
      </c>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 No construction-method statement anywhere.</t>
        </is>
      </c>
      <c r="U62"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2" s="12" t="inlineStr"/>
      <c r="W62" s="15" t="inlineStr">
        <is>
          <t>Chief Executive Officer on Camillo's own about page.</t>
        </is>
      </c>
      <c r="X62" s="12" t="inlineStr">
        <is>
          <t>https://www.camillocompanies.com/about-us</t>
        </is>
      </c>
      <c r="Y62" s="12" t="inlineStr">
        <is>
          <t>https://www.linkedin.com/company/camillo-companies</t>
        </is>
      </c>
      <c r="Z62" s="12" t="inlineStr">
        <is>
          <t>https://www.camillocompanies.com/about-us</t>
        </is>
      </c>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 No construction-method statement anywhere.</t>
        </is>
      </c>
      <c r="U63"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3" s="6" t="inlineStr"/>
      <c r="W63" s="9" t="inlineStr">
        <is>
          <t>President, Legend Homes by Camillo, on the firm's own about page.</t>
        </is>
      </c>
      <c r="X63" s="6" t="inlineStr">
        <is>
          <t>https://www.camillocompanies.com/about-us</t>
        </is>
      </c>
      <c r="Y63" s="6" t="inlineStr">
        <is>
          <t>https://www.linkedin.com/company/camillo-companies</t>
        </is>
      </c>
      <c r="Z63" s="6" t="inlineStr">
        <is>
          <t>https://www.camillocompanies.com/about-us</t>
        </is>
      </c>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 No construction-method statement anywhere.</t>
        </is>
      </c>
      <c r="U64"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4" s="12" t="inlineStr"/>
      <c r="W64" s="15" t="inlineStr">
        <is>
          <t>President, Academy Development by Camillo, on the firm's own about page.</t>
        </is>
      </c>
      <c r="X64" s="12" t="inlineStr">
        <is>
          <t>https://www.camillocompanies.com/about-us</t>
        </is>
      </c>
      <c r="Y64" s="12" t="inlineStr">
        <is>
          <t>https://www.linkedin.com/company/camillo-companies</t>
        </is>
      </c>
      <c r="Z64" s="12" t="inlineStr">
        <is>
          <t>https://www.camillocompanies.com/about-us</t>
        </is>
      </c>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 No construction-method statement anywhere.</t>
        </is>
      </c>
      <c r="U65"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5" s="6" t="inlineStr"/>
      <c r="W65" s="9" t="inlineStr">
        <is>
          <t>Chief Financial Officer on the firm's own about page.</t>
        </is>
      </c>
      <c r="X65" s="6" t="inlineStr">
        <is>
          <t>https://www.camillocompanies.com/about-us</t>
        </is>
      </c>
      <c r="Y65" s="6" t="inlineStr">
        <is>
          <t>https://www.linkedin.com/company/camillo-companies</t>
        </is>
      </c>
      <c r="Z65" s="6" t="inlineStr">
        <is>
          <t>https://www.camillocompanies.com/about-us</t>
        </is>
      </c>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 No published method evidence.</t>
        </is>
      </c>
      <c r="U66"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6" s="12" t="inlineStr"/>
      <c r="W66" s="15" t="inlineStr">
        <is>
          <t>CastleRock's own about page: a founding partner, serving as chief executive.</t>
        </is>
      </c>
      <c r="X66" s="12" t="inlineStr">
        <is>
          <t>https://www.c-rock.com/about</t>
        </is>
      </c>
      <c r="Y66" s="12" t="inlineStr">
        <is>
          <t>https://www.linkedin.com/company/castlerock-communities</t>
        </is>
      </c>
      <c r="Z66" s="12" t="inlineStr">
        <is>
          <t>https://www.c-rock.com/about</t>
        </is>
      </c>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 No published method evidence.</t>
        </is>
      </c>
      <c r="U67"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7" s="6" t="inlineStr"/>
      <c r="W67" s="9" t="inlineStr">
        <is>
          <t>VP at Castlerock Communities. Houston, Texas. The headline gives no function.</t>
        </is>
      </c>
      <c r="X67" s="6" t="inlineStr"/>
      <c r="Y67" s="6" t="inlineStr">
        <is>
          <t>https://www.linkedin.com/company/castlerock-communities</t>
        </is>
      </c>
      <c r="Z67" s="6" t="inlineStr">
        <is>
          <t>https://www.c-rock.com/about</t>
        </is>
      </c>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 No published method evidence.</t>
        </is>
      </c>
      <c r="U6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8" s="12" t="inlineStr"/>
      <c r="W68" s="15" t="inlineStr">
        <is>
          <t>CFO at CastleRock Communities. Houston, Texas.</t>
        </is>
      </c>
      <c r="X68" s="12" t="inlineStr"/>
      <c r="Y68" s="12" t="inlineStr">
        <is>
          <t>https://www.linkedin.com/company/castlerock-communities</t>
        </is>
      </c>
      <c r="Z68" s="12" t="inlineStr">
        <is>
          <t>https://www.c-rock.com/about</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9" t="inlineStr">
        <is>
          <t>Conroe acquisition price not disclosed. | Cottage Living was acquired, not developed. Confirm forward self-development pipeline.</t>
        </is>
      </c>
      <c r="V69" s="6" t="inlineStr"/>
      <c r="W69" s="9" t="inlineStr">
        <is>
          <t>Founded Christopher Todd Communities in 2016, after selling an organic bakery.</t>
        </is>
      </c>
      <c r="X69" s="6" t="inlineStr">
        <is>
          <t>https://www.christophertodd.com/our-story/</t>
        </is>
      </c>
      <c r="Y69" s="6" t="inlineStr">
        <is>
          <t>https://www.linkedin.com/company/christopher-todd-communities</t>
        </is>
      </c>
      <c r="Z69" s="6" t="inlineStr">
        <is>
          <t>https://www.christophertodd.com/our-story/</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5" t="inlineStr">
        <is>
          <t>Conroe acquisition price not disclosed. | Cottage Living was acquired, not developed. Confirm forward self-development pipeline.</t>
        </is>
      </c>
      <c r="V70" s="12" t="inlineStr"/>
      <c r="W70" s="15" t="inlineStr">
        <is>
          <t>Joined as Director of Investment and Land with twenty-five years in multifamily.</t>
        </is>
      </c>
      <c r="X70" s="12" t="inlineStr">
        <is>
          <t>https://www.christophertodd.com/press-releases/brent-long-joins-christopher-todd-as-director-of-investment-and-land/</t>
        </is>
      </c>
      <c r="Y70" s="12" t="inlineStr">
        <is>
          <t>https://www.linkedin.com/company/christopher-todd-communities</t>
        </is>
      </c>
      <c r="Z70" s="12" t="inlineStr">
        <is>
          <t>https://www.christophertodd.com/our-story/</t>
        </is>
      </c>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9" t="inlineStr">
        <is>
          <t>It builds a concrete wall system already, so a printer would replace a method it has invested in rather than a method it dislikes. That cuts both ways on the call. | No annual volume, revenue or employee count is published.</t>
        </is>
      </c>
      <c r="V71" s="6" t="inlineStr">
        <is>
          <t>YES</t>
        </is>
      </c>
      <c r="W71" s="9"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5" t="inlineStr">
        <is>
          <t>It builds a concrete wall system already, so a printer would replace a method it has invested in rather than a method it dislikes. That cuts both ways on the call. | No annual volume, revenue or employee count is published.</t>
        </is>
      </c>
      <c r="V72" s="12" t="inlineStr">
        <is>
          <t>YES</t>
        </is>
      </c>
      <c r="W72" s="15"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9" t="inlineStr">
        <is>
          <t>It buys homes built to the federal manufactured housing code rather than building them on site. A printed site-built wall is a different regulatory product, not a substitute. | The community figures are from March 2023 and have not been refreshed. | No executive is named on the firm's own site or in the coverage.</t>
        </is>
      </c>
      <c r="V73" s="6" t="inlineStr"/>
      <c r="W73" s="9"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5"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4" s="12" t="inlineStr">
        <is>
          <t>YES</t>
        </is>
      </c>
      <c r="W74" s="15"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9"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5" s="6" t="inlineStr"/>
      <c r="W75" s="9"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5" t="inlineStr">
        <is>
          <t>No executive is named with a title on the firm's own site. One contact name appears without one. | No annual volume or completed-home count is published.</t>
        </is>
      </c>
      <c r="V76" s="12" t="inlineStr"/>
      <c r="W76" s="15"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7" s="6" t="inlineStr"/>
      <c r="W77" s="9" t="inlineStr">
        <is>
          <t>Indexed title reads Jason Golan, President at Westin Homes. The firm's own twentieth-anniversary release calls him Founder and Owner.</t>
        </is>
      </c>
      <c r="X77" s="6" t="inlineStr"/>
      <c r="Y77" s="6" t="inlineStr"/>
      <c r="Z77" s="6" t="inlineStr"/>
    </row>
    <row r="78">
      <c r="A78" s="12" t="inlineStr">
        <is>
          <t>Matthew Roland</t>
        </is>
      </c>
      <c r="B78" s="12" t="inlineStr">
        <is>
          <t>Westin Homes</t>
        </is>
      </c>
      <c r="C78" s="12" t="inlineStr">
        <is>
          <t>Vice President of Construction, Houston</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10" t="inlineStr"/>
      <c r="Q78" s="12">
        <f>HYPERLINK("https://www.linkedin.com/search/results/people/?keywords=Matthew%20Roland%20Westin%20Homes","search")</f>
        <v/>
      </c>
      <c r="R78" s="16">
        <f>IF(P78="","ADD LINKEDIN","ok")</f>
        <v/>
      </c>
      <c r="S78" s="12" t="inlineStr">
        <is>
          <t>https://www.westin-homes.com/</t>
        </is>
      </c>
      <c r="T78" s="15" t="inlineStr">
        <is>
          <t>1,062 closings in 2025 across the south suburban masterplans, with a named vice president of construction.</t>
        </is>
      </c>
      <c r="U78" s="15"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8" s="12" t="inlineStr">
        <is>
          <t>YES</t>
        </is>
      </c>
      <c r="W78" s="15" t="inlineStr"/>
      <c r="X78" s="12" t="inlineStr"/>
      <c r="Y78" s="12" t="inlineStr"/>
      <c r="Z78" s="12" t="inlineStr"/>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10" t="inlineStr"/>
      <c r="Q79" s="6">
        <f>HYPERLINK("https://www.linkedin.com/search/results/people/?keywords=Diane%20Danilov%20Westin%20Homes","search")</f>
        <v/>
      </c>
      <c r="R79" s="11">
        <f>IF(P79="","ADD LINKEDIN","ok")</f>
        <v/>
      </c>
      <c r="S79" s="6" t="inlineStr">
        <is>
          <t>https://www.westin-homes.com/</t>
        </is>
      </c>
      <c r="T79" s="9" t="inlineStr">
        <is>
          <t>1,062 closings in 2025 across the south suburban masterplans, with a named vice president of construction.</t>
        </is>
      </c>
      <c r="U79"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9" s="6" t="inlineStr"/>
      <c r="W79" s="9" t="inlineStr"/>
      <c r="X79" s="6" t="inlineStr"/>
      <c r="Y79" s="6" t="inlineStr"/>
      <c r="Z79" s="6" t="inlineStr"/>
    </row>
    <row r="80">
      <c r="A80" s="12" t="inlineStr">
        <is>
          <t>Ken Williams</t>
        </is>
      </c>
      <c r="B80" s="12" t="inlineStr">
        <is>
          <t>Colina Homes</t>
        </is>
      </c>
      <c r="C80" s="12" t="inlineStr">
        <is>
          <t>Founder</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10" t="inlineStr"/>
      <c r="Q80" s="12">
        <f>HYPERLINK("https://www.linkedin.com/search/results/people/?keywords=Ken%20Williams%20Colina%20Homes","search")</f>
        <v/>
      </c>
      <c r="R80" s="16">
        <f>IF(P80="","ADD LINKEDIN","ok")</f>
        <v/>
      </c>
      <c r="S80" s="12" t="inlineStr">
        <is>
          <t>https://www.colinahomes.com/</t>
        </is>
      </c>
      <c r="T80" s="15" t="inlineStr">
        <is>
          <t>540 closings in 2025 and 552 in 2024 on a no-haggle affordable model. A named director of construction.</t>
        </is>
      </c>
      <c r="U80"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0" s="12" t="inlineStr"/>
      <c r="W80" s="15" t="inlineStr">
        <is>
          <t>About page: Founder. Since 2007 he has helped over 4,500 families.</t>
        </is>
      </c>
      <c r="X80" s="12" t="inlineStr">
        <is>
          <t>https://www.colinahomes.com/about</t>
        </is>
      </c>
      <c r="Y80" s="12" t="inlineStr"/>
      <c r="Z80" s="12" t="inlineStr"/>
    </row>
    <row r="81">
      <c r="A81" s="6" t="inlineStr">
        <is>
          <t>Robert Davis</t>
        </is>
      </c>
      <c r="B81" s="6" t="inlineStr">
        <is>
          <t>Colina Homes</t>
        </is>
      </c>
      <c r="C81" s="6" t="inlineStr">
        <is>
          <t>Director of Construction</t>
        </is>
      </c>
      <c r="D81" s="7" t="inlineStr">
        <is>
          <t>Worth pursuing, one gap</t>
        </is>
      </c>
      <c r="E81" s="8" t="n">
        <v>2</v>
      </c>
      <c r="F81" s="6" t="inlineStr">
        <is>
          <t>Buys walls</t>
        </is>
      </c>
      <c r="G81" s="6" t="inlineStr">
        <is>
          <t>Houston, 20 communities</t>
        </is>
      </c>
      <c r="H81" s="6" t="inlineStr">
        <is>
          <t>540 closings in 2025, 552 in 2024</t>
        </is>
      </c>
      <c r="I81" s="8" t="inlineStr">
        <is>
          <t>Yes</t>
        </is>
      </c>
      <c r="J81" s="9" t="inlineStr">
        <is>
          <t>More than twenty communities, all inside Greater Houston, taking a standard plan set.</t>
        </is>
      </c>
      <c r="K81" s="8" t="inlineStr">
        <is>
          <t>Partly</t>
        </is>
      </c>
      <c r="L81" s="9" t="inlineStr">
        <is>
          <t>540 closings in 2025 and 552 in 2024 across about twenty communities. Two machines would carry a fifth of output at most.</t>
        </is>
      </c>
      <c r="M81" s="8" t="inlineStr">
        <is>
          <t>No</t>
        </is>
      </c>
      <c r="N81" s="9" t="inlineStr">
        <is>
          <t>No method evidence. The published positioning is price and floor plan, not construction.</t>
        </is>
      </c>
      <c r="O81" s="8" t="inlineStr">
        <is>
          <t>No</t>
        </is>
      </c>
      <c r="P81" s="6" t="inlineStr">
        <is>
          <t>https://www.linkedin.com/in/robert-davis-684517136/</t>
        </is>
      </c>
      <c r="Q81" s="6" t="inlineStr"/>
      <c r="R81" s="11">
        <f>IF(P81="","ADD LINKEDIN","ok")</f>
        <v/>
      </c>
      <c r="S81" s="6" t="inlineStr">
        <is>
          <t>https://www.colinahomes.com/</t>
        </is>
      </c>
      <c r="T81" s="9" t="inlineStr">
        <is>
          <t>540 closings in 2025 and 552 in 2024 on a no-haggle affordable model. A named director of construction.</t>
        </is>
      </c>
      <c r="U81"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1" s="6" t="inlineStr">
        <is>
          <t>YES</t>
        </is>
      </c>
      <c r="W81" s="9" t="inlineStr">
        <is>
          <t>Indexed title reads Robert Davis, Director of Construction, Colina Homes.</t>
        </is>
      </c>
      <c r="X81" s="6" t="inlineStr"/>
      <c r="Y81" s="6" t="inlineStr"/>
      <c r="Z81" s="6" t="inlineStr"/>
    </row>
    <row r="82">
      <c r="A82" s="12" t="inlineStr">
        <is>
          <t>Greg Grahmann</t>
        </is>
      </c>
      <c r="B82" s="12" t="inlineStr">
        <is>
          <t>Imagination Homes</t>
        </is>
      </c>
      <c r="C82" s="12" t="inlineStr">
        <is>
          <t>Director, Imagination Homes; Division President, David Weekley Homes</t>
        </is>
      </c>
      <c r="D82" s="13" t="inlineStr">
        <is>
          <t>Worth pursuing, one gap</t>
        </is>
      </c>
      <c r="E82" s="14" t="n">
        <v>2</v>
      </c>
      <c r="F82" s="12" t="inlineStr">
        <is>
          <t>Buys walls</t>
        </is>
      </c>
      <c r="G82" s="12" t="inlineStr">
        <is>
          <t>Meridiana, Rosharon</t>
        </is>
      </c>
      <c r="H82" s="12" t="inlineStr">
        <is>
          <t>Entry-level, launched 2025</t>
        </is>
      </c>
      <c r="I82" s="14" t="inlineStr">
        <is>
          <t>Yes</t>
        </is>
      </c>
      <c r="J82" s="15" t="inlineStr">
        <is>
          <t>A deliberately narrow curated plan set aimed at first-time buyers and right-sizers.</t>
        </is>
      </c>
      <c r="K82" s="14" t="inlineStr">
        <is>
          <t>Partly</t>
        </is>
      </c>
      <c r="L82" s="15" t="inlineStr">
        <is>
          <t>A David Weekley Homes line, so purchasing sits with a national builder. One machine would cover the brand's output; the decision would not be the brand's alone.</t>
        </is>
      </c>
      <c r="M82" s="14" t="inlineStr">
        <is>
          <t>No</t>
        </is>
      </c>
      <c r="N82" s="15" t="inlineStr">
        <is>
          <t>The strategy is explicitly about attainability, so a wall cost saving lands on the stated strategy.</t>
        </is>
      </c>
      <c r="O82" s="14" t="inlineStr">
        <is>
          <t>No</t>
        </is>
      </c>
      <c r="P82" s="10" t="inlineStr"/>
      <c r="Q82" s="12">
        <f>HYPERLINK("https://www.linkedin.com/search/results/people/?keywords=Greg%20Grahmann%20Imagination%20Homes","search")</f>
        <v/>
      </c>
      <c r="R82" s="16">
        <f>IF(P82="","ADD LINKEDIN","ok")</f>
        <v/>
      </c>
      <c r="S82" s="12" t="inlineStr">
        <is>
          <t>https://imaginationhomes.com/</t>
        </is>
      </c>
      <c r="T82" s="15" t="inlineStr">
        <is>
          <t>A 2025 David Weekley Homes line built around attainable entry-level product with a curated plan set, selling at Meridiana.</t>
        </is>
      </c>
      <c r="U82" s="15" t="inlineStr">
        <is>
          <t>Launched in 2025 and headquartered in Dallas. No volume figure exists yet, which is expected rather than a gap. | Imagination Homes is a David Weekley Homes line for entry-level product, and Greg Grahmann is a David Weekley division president. The wall decision runs through the parent.</t>
        </is>
      </c>
      <c r="V82" s="12" t="inlineStr"/>
      <c r="W82" s="15" t="inlineStr">
        <is>
          <t>Builder names him director at Imagination Homes. He joined David Weekley Homes in 2013 and is separately listed as a division president there.</t>
        </is>
      </c>
      <c r="X82" s="12" t="inlineStr">
        <is>
          <t>https://www.builderonline.com/builder-100/strategy/imagination-homes-targets-attainable-entry-level-housing-in-texas/</t>
        </is>
      </c>
      <c r="Y82" s="12" t="inlineStr"/>
      <c r="Z82" s="12" t="inlineStr"/>
    </row>
    <row r="83">
      <c r="A83" s="6" t="inlineStr">
        <is>
          <t>Greg Hawes</t>
        </is>
      </c>
      <c r="B83" s="6" t="inlineStr">
        <is>
          <t>Jamestown Estate Homes</t>
        </is>
      </c>
      <c r="C83" s="6" t="inlineStr">
        <is>
          <t>Founder; Manager on the firm's own page, President on LinkedIn</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6" t="inlineStr">
        <is>
          <t>https://www.linkedin.com/in/greg-hawes-86423023/</t>
        </is>
      </c>
      <c r="Q83" s="6" t="inlineStr"/>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3" s="6" t="inlineStr"/>
      <c r="W83"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83" s="6" t="inlineStr">
        <is>
          <t>https://jamestownestatehomes.com/team/greg-hawes/</t>
        </is>
      </c>
      <c r="Y83" s="6" t="inlineStr"/>
      <c r="Z83" s="6" t="inlineStr"/>
    </row>
    <row r="84">
      <c r="A84" s="12" t="inlineStr">
        <is>
          <t>Katy Hawes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HYPERLINK("https://www.linkedin.com/search/results/people/?keywords=Katy%20Hawes%20Jamestown%20Estate%20Homes","search")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4" s="12" t="inlineStr"/>
      <c r="W84" s="15" t="inlineStr">
        <is>
          <t>Team page: Co-President.</t>
        </is>
      </c>
      <c r="X84" s="12" t="inlineStr">
        <is>
          <t>https://jamestownestatehomes.com/team/katy-hawes/</t>
        </is>
      </c>
      <c r="Y84" s="12" t="inlineStr"/>
      <c r="Z84" s="12" t="inlineStr"/>
    </row>
    <row r="85">
      <c r="A85" s="6" t="inlineStr">
        <is>
          <t>Matt Norris</t>
        </is>
      </c>
      <c r="B85" s="6" t="inlineStr">
        <is>
          <t>Jamestown Estate Homes</t>
        </is>
      </c>
      <c r="C85" s="6" t="inlineStr">
        <is>
          <t>Co-President</t>
        </is>
      </c>
      <c r="D85" s="7" t="inlineStr">
        <is>
          <t>Worth pursuing, one gap</t>
        </is>
      </c>
      <c r="E85" s="8" t="n">
        <v>2</v>
      </c>
      <c r="F85" s="6" t="inlineStr">
        <is>
          <t>Buys walls</t>
        </is>
      </c>
      <c r="G85" s="6" t="inlineStr">
        <is>
          <t>Houston, 16 communities</t>
        </is>
      </c>
      <c r="H85" s="6" t="inlineStr">
        <is>
          <t>About 75 homes a year on the firm's own count</t>
        </is>
      </c>
      <c r="I85" s="8" t="inlineStr">
        <is>
          <t>Partly</t>
        </is>
      </c>
      <c r="J85" s="9" t="inlineStr">
        <is>
          <t>Eighty-two plans for about seventy-five houses a year. The catalogue is wider than the output.</t>
        </is>
      </c>
      <c r="K85" s="8" t="inlineStr">
        <is>
          <t>Yes</t>
        </is>
      </c>
      <c r="L85" s="9" t="inlineStr">
        <is>
          <t>About seventy-five homes a year, stated by the firm. One machine would carry most of it.</t>
        </is>
      </c>
      <c r="M85" s="8" t="inlineStr">
        <is>
          <t>No</t>
        </is>
      </c>
      <c r="N85" s="9" t="inlineStr">
        <is>
          <t>No method evidence. The published build time is eight to ten months, which is the number a printed wall argument would have to move.</t>
        </is>
      </c>
      <c r="O85" s="8" t="inlineStr">
        <is>
          <t>No</t>
        </is>
      </c>
      <c r="P85" s="10" t="inlineStr"/>
      <c r="Q85" s="6">
        <f>HYPERLINK("https://www.linkedin.com/search/results/people/?keywords=Matt%20Norris%20Jamestown%20Estate%20Homes","search")</f>
        <v/>
      </c>
      <c r="R85" s="11">
        <f>IF(P85="","ADD LINKEDIN","ok")</f>
        <v/>
      </c>
      <c r="S85" s="6" t="inlineStr">
        <is>
          <t>https://jamestownestatehomes.com/</t>
        </is>
      </c>
      <c r="T85" s="9" t="inlineStr">
        <is>
          <t>About seventy-five homes a year against eighty-two floor plans, which is close to one plan per house. Volume fits a machine; the catalogue does not.</t>
        </is>
      </c>
      <c r="U85"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5" s="6" t="inlineStr"/>
      <c r="W85" s="9" t="inlineStr">
        <is>
          <t>Team page: Co-President.</t>
        </is>
      </c>
      <c r="X85" s="6" t="inlineStr">
        <is>
          <t>https://jamestownestatehomes.com/team/matt-norris/</t>
        </is>
      </c>
      <c r="Y85" s="6" t="inlineStr"/>
      <c r="Z85" s="6" t="inlineStr"/>
    </row>
    <row r="86">
      <c r="A86" s="12" t="inlineStr">
        <is>
          <t>Mike Dishberger</t>
        </is>
      </c>
      <c r="B86" s="12" t="inlineStr">
        <is>
          <t>Sandcastle Homes</t>
        </is>
      </c>
      <c r="C86" s="12" t="inlineStr">
        <is>
          <t>Chief Executive Officer and Co-Owner; oversees construction and purchasing</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https://www.linkedin.com/in/mike-dishberger-01b66b9/</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6" s="12" t="inlineStr">
        <is>
          <t>YES</t>
        </is>
      </c>
      <c r="W86"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86" s="12" t="inlineStr">
        <is>
          <t>https://www.sandcastlehouston.com/about-sandcastle/meet-our-team/</t>
        </is>
      </c>
      <c r="Y86" s="12" t="inlineStr"/>
      <c r="Z86" s="12" t="inlineStr"/>
    </row>
    <row r="87">
      <c r="A87" s="6" t="inlineStr">
        <is>
          <t>Mike Salomon</t>
        </is>
      </c>
      <c r="B87" s="6" t="inlineStr">
        <is>
          <t>Sandcastle Homes</t>
        </is>
      </c>
      <c r="C87" s="6" t="inlineStr">
        <is>
          <t>President and Co-Owner</t>
        </is>
      </c>
      <c r="D87" s="7" t="inlineStr">
        <is>
          <t>Worth pursuing, one gap</t>
        </is>
      </c>
      <c r="E87" s="8" t="n">
        <v>2</v>
      </c>
      <c r="F87" s="6" t="inlineStr">
        <is>
          <t>Buys walls</t>
        </is>
      </c>
      <c r="G87" s="6" t="inlineStr">
        <is>
          <t>Inner Loop Houston</t>
        </is>
      </c>
      <c r="H87" s="6" t="inlineStr">
        <is>
          <t>40 to 60 homes a year on the firm's own count</t>
        </is>
      </c>
      <c r="I87" s="8" t="inlineStr">
        <is>
          <t>Partly</t>
        </is>
      </c>
      <c r="J87" s="9" t="inlineStr">
        <is>
          <t>Infill lots scattered across six inner-loop neighbourhoods rather than one site.</t>
        </is>
      </c>
      <c r="K87" s="8" t="inlineStr">
        <is>
          <t>Yes</t>
        </is>
      </c>
      <c r="L87" s="9" t="inlineStr">
        <is>
          <t>About fifty closings a year. One machine covers most of that, if it can be moved economically.</t>
        </is>
      </c>
      <c r="M87" s="8" t="inlineStr">
        <is>
          <t>No</t>
        </is>
      </c>
      <c r="N87" s="9" t="inlineStr">
        <is>
          <t>It runs land through final inspection in house, so no third party sits in a method decision.</t>
        </is>
      </c>
      <c r="O87" s="8" t="inlineStr">
        <is>
          <t>No</t>
        </is>
      </c>
      <c r="P87" s="6" t="inlineStr">
        <is>
          <t>https://www.linkedin.com/in/mike-salomon-389b902a/</t>
        </is>
      </c>
      <c r="Q87" s="6" t="inlineStr"/>
      <c r="R87" s="11">
        <f>IF(P87="","ADD LINKEDIN","ok")</f>
        <v/>
      </c>
      <c r="S87" s="6" t="inlineStr">
        <is>
          <t>https://www.sandcastlehouston.com/</t>
        </is>
      </c>
      <c r="T87" s="9" t="inlineStr">
        <is>
          <t>About fifty homes a year, stated by the firm, on small infill sites rather than in one community. The volume fits a machine; the sites are scattered.</t>
        </is>
      </c>
      <c r="U87"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7" s="6" t="inlineStr"/>
      <c r="W87" s="9" t="inlineStr">
        <is>
          <t>Indexed title reads Mike Salomon, Owner, Sandcastle Homes, Inc. The firm's team page: President and Co-Owner, over land, sales and business development. Team page: President and Co-Owner, managing land acquisition, sales and business development.</t>
        </is>
      </c>
      <c r="X87" s="6" t="inlineStr">
        <is>
          <t>https://www.sandcastlehouston.com/about-sandcastle/meet-our-team/</t>
        </is>
      </c>
      <c r="Y87" s="6" t="inlineStr"/>
      <c r="Z87" s="6" t="inlineStr"/>
    </row>
    <row r="88">
      <c r="A88" s="12" t="inlineStr">
        <is>
          <t>Christian Sommer</t>
        </is>
      </c>
      <c r="B88" s="12" t="inlineStr">
        <is>
          <t>Tricoast Homes</t>
        </is>
      </c>
      <c r="C88" s="12" t="inlineStr">
        <is>
          <t>President and Chief Executive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HYPERLINK("https://www.linkedin.com/search/results/people/?keywords=Christian%20Sommer%20Tricoast%20Homes","search")</f>
        <v/>
      </c>
      <c r="R88" s="16">
        <f>IF(P88="","ADD LINKEDIN","ok")</f>
        <v/>
      </c>
      <c r="S88" s="12" t="inlineStr">
        <is>
          <t>https://www.tricoasthomes.com/</t>
        </is>
      </c>
      <c r="T88" s="15" t="inlineStr">
        <is>
          <t>Seven plans, ten communities, founded 2020. No closings figure to size it against.</t>
        </is>
      </c>
      <c r="U88"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8" s="12" t="inlineStr"/>
      <c r="W88" s="15" t="inlineStr"/>
      <c r="X88" s="12" t="inlineStr"/>
      <c r="Y88" s="12" t="inlineStr"/>
      <c r="Z88" s="12" t="inlineStr"/>
    </row>
    <row r="89">
      <c r="A89" s="6" t="inlineStr">
        <is>
          <t>Keith Blum</t>
        </is>
      </c>
      <c r="B89" s="6" t="inlineStr">
        <is>
          <t>Tricoast Homes</t>
        </is>
      </c>
      <c r="C89" s="6" t="inlineStr">
        <is>
          <t>Executive Vice President and Chief Operating Officer</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10" t="inlineStr"/>
      <c r="Q89" s="6">
        <f>HYPERLINK("https://www.linkedin.com/search/results/people/?keywords=Keith%20Blum%20Tricoast%20Homes","search")</f>
        <v/>
      </c>
      <c r="R89" s="11">
        <f>IF(P89="","ADD LINKEDIN","ok")</f>
        <v/>
      </c>
      <c r="S89" s="6" t="inlineStr">
        <is>
          <t>https://www.tricoasthomes.com/</t>
        </is>
      </c>
      <c r="T89" s="9" t="inlineStr">
        <is>
          <t>Seven plans, ten communities, founded 2020. No closings figure to size it against.</t>
        </is>
      </c>
      <c r="U89"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9" s="6" t="inlineStr"/>
      <c r="W89" s="9" t="inlineStr"/>
      <c r="X89" s="6" t="inlineStr"/>
      <c r="Y89" s="6" t="inlineStr"/>
      <c r="Z89" s="6" t="inlineStr"/>
    </row>
    <row r="90">
      <c r="A90" s="12" t="inlineStr">
        <is>
          <t>Christina Wright</t>
        </is>
      </c>
      <c r="B90" s="12" t="inlineStr">
        <is>
          <t>Tricoast Homes</t>
        </is>
      </c>
      <c r="C90" s="12" t="inlineStr">
        <is>
          <t>Director of Purchasing</t>
        </is>
      </c>
      <c r="D90" s="13" t="inlineStr">
        <is>
          <t>Worth pursuing, one gap</t>
        </is>
      </c>
      <c r="E90" s="14" t="n">
        <v>2</v>
      </c>
      <c r="F90" s="12" t="inlineStr">
        <is>
          <t>Buys walls</t>
        </is>
      </c>
      <c r="G90" s="12" t="inlineStr">
        <is>
          <t>Houston, multi-county</t>
        </is>
      </c>
      <c r="H90" s="12" t="inlineStr">
        <is>
          <t>Seven floor plans across ten communities</t>
        </is>
      </c>
      <c r="I90" s="14" t="inlineStr">
        <is>
          <t>Yes</t>
        </is>
      </c>
      <c r="J90" s="15" t="inlineStr">
        <is>
          <t>Seven floor plans carried across ten communities. Plan repetition is the operating model.</t>
        </is>
      </c>
      <c r="K90" s="14" t="inlineStr">
        <is>
          <t>Partly</t>
        </is>
      </c>
      <c r="L90" s="15" t="inlineStr">
        <is>
          <t>No closings figure is published. A 2020 startup may not yet be at machine scale.</t>
        </is>
      </c>
      <c r="M90" s="14" t="inlineStr">
        <is>
          <t>No</t>
        </is>
      </c>
      <c r="N90" s="15" t="inlineStr">
        <is>
          <t>Every home gets internal and third-party energy verification, which is a process discipline rather than a method change.</t>
        </is>
      </c>
      <c r="O90" s="14" t="inlineStr">
        <is>
          <t>No</t>
        </is>
      </c>
      <c r="P90" s="6" t="inlineStr">
        <is>
          <t>https://www.linkedin.com/in/christina-wright-4786b223/</t>
        </is>
      </c>
      <c r="Q90" s="12" t="inlineStr"/>
      <c r="R90" s="16">
        <f>IF(P90="","ADD LINKEDIN","ok")</f>
        <v/>
      </c>
      <c r="S90" s="12" t="inlineStr">
        <is>
          <t>https://www.tricoasthomes.com/</t>
        </is>
      </c>
      <c r="T90" s="15" t="inlineStr">
        <is>
          <t>Seven plans, ten communities, founded 2020. No closings figure to size it against.</t>
        </is>
      </c>
      <c r="U90"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90" s="12" t="inlineStr">
        <is>
          <t>YES</t>
        </is>
      </c>
      <c r="W90" s="15" t="inlineStr">
        <is>
          <t>Indexed title reads Christina Wright, Director of Purchasing at Tricoast Homes.</t>
        </is>
      </c>
      <c r="X90" s="12" t="inlineStr"/>
      <c r="Y90" s="12" t="inlineStr"/>
      <c r="Z90" s="12" t="inlineStr"/>
    </row>
    <row r="91">
      <c r="A91" s="6" t="inlineStr">
        <is>
          <t>Leon J. Backes</t>
        </is>
      </c>
      <c r="B91" s="6" t="inlineStr">
        <is>
          <t>Provident Realty Advisors</t>
        </is>
      </c>
      <c r="C91" s="6" t="inlineStr">
        <is>
          <t>Founder and Chief Executive Officer</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HYPERLINK("https://www.linkedin.com/search/results/people/?keywords=Leon%20J.%20Backes%20Provident%20Realty%20Advisors","search")</f>
        <v/>
      </c>
      <c r="R91" s="11">
        <f>IF(P91="","ADD LINKEDIN","ok")</f>
        <v/>
      </c>
      <c r="S91" s="6" t="inlineStr">
        <is>
          <t>https://provident.net/</t>
        </is>
      </c>
      <c r="T91" s="9" t="inlineStr">
        <is>
          <t>$7.5B invested and parcHAUS funds seven rental communities under a named Houston director. No Houston site named.</t>
        </is>
      </c>
      <c r="U91" s="9" t="inlineStr">
        <is>
          <t>Portfolio figures are company-stated. | No parcHAUS Houston-area site named in public sources. Houston build-to-rent presence is programme-level only.</t>
        </is>
      </c>
      <c r="V91" s="6" t="inlineStr"/>
      <c r="W91" s="9" t="inlineStr">
        <is>
          <t>Founder and Chief Executive Officer, named on the firm's team page.</t>
        </is>
      </c>
      <c r="X91" s="6" t="inlineStr">
        <is>
          <t>https://provident.net/our-team/</t>
        </is>
      </c>
      <c r="Y91" s="6" t="inlineStr">
        <is>
          <t>https://www.linkedin.com/company/provident-realty-advisors</t>
        </is>
      </c>
      <c r="Z91" s="6" t="inlineStr">
        <is>
          <t>https://provident.net/our-team/</t>
        </is>
      </c>
    </row>
    <row r="92">
      <c r="A92" s="12" t="inlineStr">
        <is>
          <t>Christen Vestal</t>
        </is>
      </c>
      <c r="B92" s="12" t="inlineStr">
        <is>
          <t>Provident Realty Advisors</t>
        </is>
      </c>
      <c r="C92" s="12" t="inlineStr">
        <is>
          <t>Director of Development and Acquisitions, Houston</t>
        </is>
      </c>
      <c r="D92" s="13" t="inlineStr">
        <is>
          <t>Worth pursuing, one gap</t>
        </is>
      </c>
      <c r="E92" s="14" t="n">
        <v>2</v>
      </c>
      <c r="F92" s="12" t="inlineStr">
        <is>
          <t>Funds it</t>
        </is>
      </c>
      <c r="G92" s="12" t="inlineStr">
        <is>
          <t>Dallas HQ / Baytown, Harris-Chambers</t>
        </is>
      </c>
      <c r="H92" s="12" t="inlineStr">
        <is>
          <t>$7.5B invested since 1991</t>
        </is>
      </c>
      <c r="I92" s="14" t="inlineStr">
        <is>
          <t>Partly</t>
        </is>
      </c>
      <c r="J92" s="15" t="inlineStr">
        <is>
          <t>parcHAUS funds seven single-family rental communities across Texas.</t>
        </is>
      </c>
      <c r="K92" s="14" t="inlineStr">
        <is>
          <t>Partly</t>
        </is>
      </c>
      <c r="L92" s="15" t="inlineStr">
        <is>
          <t>Seven rental communities funded under one Houston director. The firm is run from Dallas.</t>
        </is>
      </c>
      <c r="M92" s="14" t="inlineStr">
        <is>
          <t>No</t>
        </is>
      </c>
      <c r="N92" s="15" t="inlineStr">
        <is>
          <t>No method evidence found.</t>
        </is>
      </c>
      <c r="O92" s="14" t="inlineStr">
        <is>
          <t>Yes</t>
        </is>
      </c>
      <c r="P92" s="10" t="inlineStr"/>
      <c r="Q92" s="12">
        <f>HYPERLINK("https://www.linkedin.com/search/results/people/?keywords=Christen%20Vestal%20Provident%20Realty%20Advisors","search")</f>
        <v/>
      </c>
      <c r="R92" s="16">
        <f>IF(P92="","ADD LINKEDIN","ok")</f>
        <v/>
      </c>
      <c r="S92" s="12" t="inlineStr">
        <is>
          <t>https://provident.net/</t>
        </is>
      </c>
      <c r="T92" s="15" t="inlineStr">
        <is>
          <t>$7.5B invested and parcHAUS funds seven rental communities under a named Houston director. No Houston site named.</t>
        </is>
      </c>
      <c r="U92" s="15" t="inlineStr">
        <is>
          <t>Portfolio figures are company-stated. | No parcHAUS Houston-area site named in public sources. Houston build-to-rent presence is programme-level only.</t>
        </is>
      </c>
      <c r="V92" s="12" t="inlineStr"/>
      <c r="W92" s="15" t="inlineStr">
        <is>
          <t>Hired to lead Provident's new Houston office as its first female development partner. She does not appear on the firm's current team page, so treat the role as needing confirmation.</t>
        </is>
      </c>
      <c r="X92" s="12" t="inlineStr">
        <is>
          <t>https://www.bisnow.com/houston/news/industrial/provident-realty-advisors-hires-christen-vestal-to-lead-forthcoming-houston-office-116393</t>
        </is>
      </c>
      <c r="Y92" s="12" t="inlineStr">
        <is>
          <t>https://www.linkedin.com/company/provident-realty-advisors</t>
        </is>
      </c>
      <c r="Z92" s="12" t="inlineStr">
        <is>
          <t>https://provident.net/our-team/</t>
        </is>
      </c>
    </row>
    <row r="93">
      <c r="A93" s="6" t="inlineStr">
        <is>
          <t>Jennifer Keller, P.E.</t>
        </is>
      </c>
      <c r="B93" s="6" t="inlineStr">
        <is>
          <t>Risewell Homes</t>
        </is>
      </c>
      <c r="C93" s="6" t="inlineStr">
        <is>
          <t>Division President, Houston</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https://www.linkedin.com/in/jenniferkeller/</t>
        </is>
      </c>
      <c r="Q93" s="6" t="inlineStr"/>
      <c r="R93" s="11">
        <f>IF(P93="","ADD LINKEDIN","ok")</f>
        <v/>
      </c>
      <c r="S93" s="6" t="inlineStr">
        <is>
          <t>https://risewellhomes.com/</t>
        </is>
      </c>
      <c r="T93" s="9" t="inlineStr">
        <is>
          <t>A national platform with a Houston division president who is a licensed engineer. One community identified so far.</t>
        </is>
      </c>
      <c r="U93"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3" s="6" t="inlineStr"/>
      <c r="W93" s="9" t="inlineStr">
        <is>
          <t>Indexed title reads Jennifer Keller, P.E., Division President, Risewell Homes. The firm's team page lists her as Houston Division President. Executive team page lists her under Division Presidents as Houston Division President.</t>
        </is>
      </c>
      <c r="X93" s="6" t="inlineStr">
        <is>
          <t>https://www.risewellhomes.com/team</t>
        </is>
      </c>
      <c r="Y93" s="6" t="inlineStr"/>
      <c r="Z93" s="6" t="inlineStr"/>
    </row>
    <row r="94">
      <c r="A94" s="12" t="inlineStr">
        <is>
          <t>Matthew R. Zaist</t>
        </is>
      </c>
      <c r="B94" s="12" t="inlineStr">
        <is>
          <t>Risewell Homes</t>
        </is>
      </c>
      <c r="C94" s="12" t="inlineStr">
        <is>
          <t>President and Chief Executive Officer</t>
        </is>
      </c>
      <c r="D94" s="13" t="inlineStr">
        <is>
          <t>Worth pursuing, one gap</t>
        </is>
      </c>
      <c r="E94" s="14" t="n">
        <v>2</v>
      </c>
      <c r="F94" s="12" t="inlineStr">
        <is>
          <t>Buys walls</t>
        </is>
      </c>
      <c r="G94" s="12" t="inlineStr">
        <is>
          <t>Sunterra, Katy</t>
        </is>
      </c>
      <c r="H94" s="12" t="inlineStr">
        <is>
          <t>Formerly The New Home Company</t>
        </is>
      </c>
      <c r="I94" s="14" t="inlineStr">
        <is>
          <t>Partly</t>
        </is>
      </c>
      <c r="J94" s="15" t="inlineStr">
        <is>
          <t>One Houston community confirmed, Sunterra. Too early to read the plan strategy.</t>
        </is>
      </c>
      <c r="K94" s="14" t="inlineStr">
        <is>
          <t>Partly</t>
        </is>
      </c>
      <c r="L94" s="15" t="inlineStr">
        <is>
          <t>Eleven divisions nationally means purchasing scale above the band a single machine serves.</t>
        </is>
      </c>
      <c r="M94" s="14" t="inlineStr">
        <is>
          <t>No</t>
        </is>
      </c>
      <c r="N94" s="15" t="inlineStr">
        <is>
          <t>The division president is a professional engineer, which is rare and matters for a method conversation.</t>
        </is>
      </c>
      <c r="O94" s="14" t="inlineStr">
        <is>
          <t>Yes</t>
        </is>
      </c>
      <c r="P94" s="6" t="inlineStr">
        <is>
          <t>https://www.linkedin.com/in/matthew-zaist-01949696/</t>
        </is>
      </c>
      <c r="Q94" s="12" t="inlineStr"/>
      <c r="R94" s="16">
        <f>IF(P94="","ADD LINKEDIN","ok")</f>
        <v/>
      </c>
      <c r="S94" s="12" t="inlineStr">
        <is>
          <t>https://risewellhomes.com/</t>
        </is>
      </c>
      <c r="T94" s="15" t="inlineStr">
        <is>
          <t>A national platform with a Houston division president who is a licensed engineer. One community identified so far.</t>
        </is>
      </c>
      <c r="U94"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4" s="12" t="inlineStr"/>
      <c r="W94" s="15" t="inlineStr">
        <is>
          <t>Indexed title reads Matthew Zaist, President and CEO at Risewell Homes. Confirmed on the firm's team page. Executive team page: President and Chief Executive Officer.</t>
        </is>
      </c>
      <c r="X94" s="12" t="inlineStr">
        <is>
          <t>https://www.risewellhomes.com/team</t>
        </is>
      </c>
      <c r="Y94" s="12" t="inlineStr"/>
      <c r="Z94" s="12" t="inlineStr"/>
    </row>
    <row r="95">
      <c r="A95" s="6" t="inlineStr">
        <is>
          <t>James Kotzur</t>
        </is>
      </c>
      <c r="B95" s="6" t="inlineStr">
        <is>
          <t>Coventry Homes</t>
        </is>
      </c>
      <c r="C95" s="6" t="inlineStr">
        <is>
          <t>Division President,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https://www.linkedin.com/in/james-kotzur-748107224/</t>
        </is>
      </c>
      <c r="Q95" s="6" t="inlineStr"/>
      <c r="R95" s="11">
        <f>IF(P95="","ADD LINKEDIN","ok")</f>
        <v/>
      </c>
      <c r="S95" s="6" t="inlineStr">
        <is>
          <t>https://www.coventryhomes.com/</t>
        </is>
      </c>
      <c r="T95" s="9" t="inlineStr">
        <is>
          <t>Close to 100 communities inside Dream Finders, which bought parent MHI in 2021. Two Houston division presidents are named.</t>
        </is>
      </c>
      <c r="U95" s="9"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5" s="6" t="inlineStr"/>
      <c r="W95" s="9" t="inlineStr">
        <is>
          <t>Division President at DFH - Coventry Homes. Houston, Texas. First named executive found for this firm, and the DFH prefix identifies the parent.</t>
        </is>
      </c>
      <c r="X95" s="6" t="inlineStr"/>
      <c r="Y95" s="6" t="inlineStr">
        <is>
          <t>https://www.linkedin.com/company/coventryhomes</t>
        </is>
      </c>
      <c r="Z95" s="6" t="inlineStr"/>
    </row>
    <row r="96">
      <c r="A96" s="12" t="inlineStr">
        <is>
          <t>Brian Grigsby</t>
        </is>
      </c>
      <c r="B96" s="12" t="inlineStr">
        <is>
          <t>Coventry Homes</t>
        </is>
      </c>
      <c r="C96" s="12" t="inlineStr">
        <is>
          <t>Division President, Houston South, Coventry Homes (Dream Finders Homes)</t>
        </is>
      </c>
      <c r="D96" s="13" t="inlineStr">
        <is>
          <t>Worth pursuing, one gap</t>
        </is>
      </c>
      <c r="E96" s="14" t="n">
        <v>2</v>
      </c>
      <c r="F96" s="12" t="inlineStr">
        <is>
          <t>Buys walls</t>
        </is>
      </c>
      <c r="G96" s="12" t="inlineStr">
        <is>
          <t>Houston HQ, Harris County</t>
        </is>
      </c>
      <c r="H96" s="12" t="inlineStr">
        <is>
          <t>~100 communities, 55,000+ homes closed</t>
        </is>
      </c>
      <c r="I96" s="14" t="inlineStr">
        <is>
          <t>Partly</t>
        </is>
      </c>
      <c r="J96" s="15" t="inlineStr">
        <is>
          <t>Close to 100 communities, 55,000 homes company-wide.</t>
        </is>
      </c>
      <c r="K96" s="14" t="inlineStr">
        <is>
          <t>Partly</t>
        </is>
      </c>
      <c r="L96" s="15" t="inlineStr">
        <is>
          <t>Two Houston divisions inside Dream Finders, so the volume fits and the purchasing may not be local.</t>
        </is>
      </c>
      <c r="M96" s="14" t="inlineStr">
        <is>
          <t>No</t>
        </is>
      </c>
      <c r="N96" s="15" t="inlineStr">
        <is>
          <t>No method evidence on record.</t>
        </is>
      </c>
      <c r="O96" s="14" t="inlineStr">
        <is>
          <t>Partly</t>
        </is>
      </c>
      <c r="P96" s="6" t="inlineStr">
        <is>
          <t>https://www.linkedin.com/in/brian-grigsby-859a97285/</t>
        </is>
      </c>
      <c r="Q96" s="12" t="inlineStr"/>
      <c r="R96" s="16">
        <f>IF(P96="","ADD LINKEDIN","ok")</f>
        <v/>
      </c>
      <c r="S96" s="12" t="inlineStr">
        <is>
          <t>https://www.coventryhomes.com/</t>
        </is>
      </c>
      <c r="T96" s="15" t="inlineStr">
        <is>
          <t>Close to 100 communities inside Dream Finders, which bought parent MHI in 2021. Two Houston division presidents are named.</t>
        </is>
      </c>
      <c r="U96" s="15"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6" s="12" t="inlineStr"/>
      <c r="W96" s="15" t="inlineStr">
        <is>
          <t>Division President - Houston South @ Dream Finders Homes - Coventry Homes.</t>
        </is>
      </c>
      <c r="X96" s="12" t="inlineStr"/>
      <c r="Y96" s="12" t="inlineStr">
        <is>
          <t>https://www.linkedin.com/company/coventryhomes</t>
        </is>
      </c>
      <c r="Z96" s="12" t="inlineStr"/>
    </row>
    <row r="97">
      <c r="A97" s="6" t="inlineStr">
        <is>
          <t>Jeff Dye</t>
        </is>
      </c>
      <c r="B97" s="6" t="inlineStr">
        <is>
          <t>Newmark Homes</t>
        </is>
      </c>
      <c r="C97" s="6" t="inlineStr">
        <is>
          <t>President</t>
        </is>
      </c>
      <c r="D97" s="7" t="inlineStr">
        <is>
          <t>Worth pursuing, one gap</t>
        </is>
      </c>
      <c r="E97" s="8" t="n">
        <v>2</v>
      </c>
      <c r="F97" s="6" t="inlineStr">
        <is>
          <t>Buys walls</t>
        </is>
      </c>
      <c r="G97" s="6" t="inlineStr">
        <is>
          <t>Katy</t>
        </is>
      </c>
      <c r="H97" s="6" t="inlineStr">
        <is>
          <t>483 closings and $306 million in 2025</t>
        </is>
      </c>
      <c r="I97" s="8" t="inlineStr">
        <is>
          <t>Partly</t>
        </is>
      </c>
      <c r="J97" s="9" t="inlineStr">
        <is>
          <t>More than 150 named plans across more than twenty communities. The plan set is the problem here.</t>
        </is>
      </c>
      <c r="K97" s="8" t="inlineStr">
        <is>
          <t>Partly</t>
        </is>
      </c>
      <c r="L97" s="9" t="inlineStr">
        <is>
          <t>483 closings in 2025 and 511 in 2024. The volume supports machines; the dispersion does not.</t>
        </is>
      </c>
      <c r="M97" s="8" t="inlineStr">
        <is>
          <t>No</t>
        </is>
      </c>
      <c r="N97" s="9" t="inlineStr">
        <is>
          <t>It runs a proprietary energy programme under its own name, and a separate custom division for one-off work, so the production line is deliberately kept separate.</t>
        </is>
      </c>
      <c r="O97" s="8" t="inlineStr">
        <is>
          <t>Partly</t>
        </is>
      </c>
      <c r="P97" s="10" t="inlineStr"/>
      <c r="Q97" s="6">
        <f>HYPERLINK("https://www.linkedin.com/search/results/people/?keywords=Jeff%20Dye%20Newmark%20Homes","search")</f>
        <v/>
      </c>
      <c r="R97" s="11">
        <f>IF(P97="","ADD LINKEDIN","ok")</f>
        <v/>
      </c>
      <c r="S97" s="6" t="inlineStr">
        <is>
          <t>https://newmarkhomes.com/</t>
        </is>
      </c>
      <c r="T97" s="9" t="inlineStr">
        <is>
          <t>483 closings in 2025 across more than twenty communities and more than 150 plans. A president is named; no construction or purchasing lead is published.</t>
        </is>
      </c>
      <c r="U97" s="9"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97" s="6" t="inlineStr"/>
      <c r="W97" s="9" t="inlineStr">
        <is>
          <t>Houston Agent, February 2020: Jeff Dye assumed the position of president after 21 years with the firm.</t>
        </is>
      </c>
      <c r="X97" s="6" t="inlineStr">
        <is>
          <t>https://houstonagentmagazine.com/2020/02/06/making-moves-newmark-homes-appoints-top-leaders-edward-jones-becomes-latest-tenant-bridgeland/</t>
        </is>
      </c>
      <c r="Y97" s="6" t="inlineStr"/>
      <c r="Z97" s="6" t="inlineStr"/>
    </row>
    <row r="98">
      <c r="A98" s="12" t="inlineStr">
        <is>
          <t>Frank Sitterle, Jr.</t>
        </is>
      </c>
      <c r="B98" s="12" t="inlineStr">
        <is>
          <t>Sitterle Homes</t>
        </is>
      </c>
      <c r="C98" s="12" t="inlineStr">
        <is>
          <t>President and co-owner</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https://www.linkedin.com/in/frank-sitterle-071b8246/</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8" s="12" t="inlineStr"/>
      <c r="W98" s="15" t="inlineStr">
        <is>
          <t>Indexed title reads Frank Sitterle, President, Sitterle Homes. The firm's about page has him acquiring the company in 2005 with Jeff Buell.</t>
        </is>
      </c>
      <c r="X98" s="12" t="inlineStr"/>
      <c r="Y98" s="12" t="inlineStr"/>
      <c r="Z98" s="12" t="inlineStr"/>
    </row>
    <row r="99">
      <c r="A99" s="6" t="inlineStr">
        <is>
          <t>India Kinslow</t>
        </is>
      </c>
      <c r="B99" s="6" t="inlineStr">
        <is>
          <t>Sitterle Homes</t>
        </is>
      </c>
      <c r="C99" s="6" t="inlineStr">
        <is>
          <t>Director of Purchasing</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10" t="inlineStr"/>
      <c r="Q99" s="6">
        <f>HYPERLINK("https://www.linkedin.com/search/results/people/?keywords=India%20Kinslow%20Sitterle%20Homes","search")</f>
        <v/>
      </c>
      <c r="R99" s="11">
        <f>IF(P99="","ADD LINKEDIN","ok")</f>
        <v/>
      </c>
      <c r="S99" s="6" t="inlineStr">
        <is>
          <t>https://www.sitterlehomes.com/</t>
        </is>
      </c>
      <c r="T99" s="9" t="inlineStr">
        <is>
          <t>Four Houston communities from a San Antonio base, with a named director of purchasing. Houston is the secondary market.</t>
        </is>
      </c>
      <c r="U99"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9" s="6" t="inlineStr"/>
      <c r="W99" s="9" t="inlineStr"/>
      <c r="X99" s="6" t="inlineStr"/>
      <c r="Y99" s="6" t="inlineStr"/>
      <c r="Z99" s="6" t="inlineStr"/>
    </row>
    <row r="100">
      <c r="A100" s="12" t="inlineStr">
        <is>
          <t>Chris Hightower</t>
        </is>
      </c>
      <c r="B100" s="12" t="inlineStr">
        <is>
          <t>Sitterle Homes</t>
        </is>
      </c>
      <c r="C100" s="12" t="inlineStr">
        <is>
          <t>Division President, Houston</t>
        </is>
      </c>
      <c r="D100" s="13" t="inlineStr">
        <is>
          <t>Worth pursuing, one gap</t>
        </is>
      </c>
      <c r="E100" s="14" t="n">
        <v>2</v>
      </c>
      <c r="F100" s="12" t="inlineStr">
        <is>
          <t>Buys walls</t>
        </is>
      </c>
      <c r="G100" s="12" t="inlineStr">
        <is>
          <t>San Antonio, building in Houston</t>
        </is>
      </c>
      <c r="H100" s="12" t="inlineStr">
        <is>
          <t>372 closings company-wide in 2022, no Houston figure</t>
        </is>
      </c>
      <c r="I100" s="14" t="inlineStr">
        <is>
          <t>Partly</t>
        </is>
      </c>
      <c r="J100" s="15" t="inlineStr">
        <is>
          <t>Four Houston communities out of a four-market footprint. The plan catalogue is shared across all four.</t>
        </is>
      </c>
      <c r="K100" s="14" t="inlineStr">
        <is>
          <t>Partly</t>
        </is>
      </c>
      <c r="L100" s="15" t="inlineStr">
        <is>
          <t>No volume figure. Houston is secondary to San Antonio, so the local share is small.</t>
        </is>
      </c>
      <c r="M100" s="14" t="inlineStr">
        <is>
          <t>No</t>
        </is>
      </c>
      <c r="N100" s="15" t="inlineStr">
        <is>
          <t>No method evidence.</t>
        </is>
      </c>
      <c r="O100" s="14" t="inlineStr">
        <is>
          <t>Partly</t>
        </is>
      </c>
      <c r="P100" s="6" t="inlineStr">
        <is>
          <t>https://www.linkedin.com/in/chris-hightower-029b45112/</t>
        </is>
      </c>
      <c r="Q100" s="12" t="inlineStr"/>
      <c r="R100" s="16">
        <f>IF(P100="","ADD LINKEDIN","ok")</f>
        <v/>
      </c>
      <c r="S100" s="12" t="inlineStr">
        <is>
          <t>https://www.sitterlehomes.com/</t>
        </is>
      </c>
      <c r="T100" s="15" t="inlineStr">
        <is>
          <t>Four Houston communities from a San Antonio base, with a named director of purchasing. Houston is the secondary market.</t>
        </is>
      </c>
      <c r="U100"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100" s="12" t="inlineStr"/>
      <c r="W100" s="15" t="inlineStr">
        <is>
          <t>Indexed title reads Chris Hightower, Division President at Sitterle Homes. The GHBA member directory lists him as Division President, Houston.</t>
        </is>
      </c>
      <c r="X100" s="12" t="inlineStr"/>
      <c r="Y100" s="12" t="inlineStr"/>
      <c r="Z100" s="12" t="inlineStr"/>
    </row>
    <row r="101">
      <c r="A101" s="6" t="inlineStr">
        <is>
          <t>Tim Drone</t>
        </is>
      </c>
      <c r="B101" s="6" t="inlineStr">
        <is>
          <t>J. Patrick Homes</t>
        </is>
      </c>
      <c r="C101" s="6" t="inlineStr">
        <is>
          <t>President</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10" t="inlineStr"/>
      <c r="Q101" s="6">
        <f>HYPERLINK("https://www.linkedin.com/search/results/people/?keywords=Tim%20Drone%20J.%20Patrick%20Homes","search")</f>
        <v/>
      </c>
      <c r="R101" s="11">
        <f>IF(P101="","ADD LINKEDIN","ok")</f>
        <v/>
      </c>
      <c r="S101" s="6" t="inlineStr">
        <is>
          <t>https://www.jpatrickhomes.com/</t>
        </is>
      </c>
      <c r="T101" s="9" t="inlineStr">
        <is>
          <t>A semi-custom builder that won a volume award and publishes no volume. Named purchasing and construction managers.</t>
        </is>
      </c>
      <c r="U101" s="9" t="inlineStr">
        <is>
          <t>The four names come from a contact-data aggregator rather than the firm's own site, which publishes no leadership page. Confirm each before use. | No annual volume is published. No LinkedIn profile is held for Patrick Mustoe or Art Maya.</t>
        </is>
      </c>
      <c r="V101" s="6" t="inlineStr"/>
      <c r="W101" s="9" t="inlineStr">
        <is>
          <t>Quoted as President Tim Drone in February 2026 coverage of the firm's small-lot product.</t>
        </is>
      </c>
      <c r="X101" s="6" t="inlineStr">
        <is>
          <t>https://houstonagentmagazine.com/2026/02/10/j-patrick-homes-small-lots-grange/</t>
        </is>
      </c>
      <c r="Y101" s="6" t="inlineStr"/>
      <c r="Z101" s="6" t="inlineStr"/>
    </row>
    <row r="102">
      <c r="A102" s="12" t="inlineStr">
        <is>
          <t>Patrick Mustoe</t>
        </is>
      </c>
      <c r="B102" s="12" t="inlineStr">
        <is>
          <t>J. Patrick Homes</t>
        </is>
      </c>
      <c r="C102" s="12" t="inlineStr">
        <is>
          <t>Owner</t>
        </is>
      </c>
      <c r="D102" s="13" t="inlineStr">
        <is>
          <t>Worth pursuing, one gap</t>
        </is>
      </c>
      <c r="E102" s="14" t="n">
        <v>2</v>
      </c>
      <c r="F102" s="12" t="inlineStr">
        <is>
          <t>Buys walls</t>
        </is>
      </c>
      <c r="G102" s="12" t="inlineStr">
        <is>
          <t>Houston, 12 submarkets</t>
        </is>
      </c>
      <c r="H102" s="12" t="inlineStr">
        <is>
          <t>Volume Builder of the Year, 12 submarkets</t>
        </is>
      </c>
      <c r="I102" s="14" t="inlineStr">
        <is>
          <t>Partly</t>
        </is>
      </c>
      <c r="J102" s="15" t="inlineStr">
        <is>
          <t>Twelve submarkets is wide for a builder this size, which spreads the plan set thin.</t>
        </is>
      </c>
      <c r="K102" s="14" t="inlineStr">
        <is>
          <t>Partly</t>
        </is>
      </c>
      <c r="L102" s="15" t="inlineStr">
        <is>
          <t>No closings figure is published anywhere, so the machine question cannot be sized.</t>
        </is>
      </c>
      <c r="M102" s="14" t="inlineStr">
        <is>
          <t>No</t>
        </is>
      </c>
      <c r="N102" s="15" t="inlineStr">
        <is>
          <t>Energy Star and Environments for Living certification, with whole-home dehumidifiers standard. A firm that pays for third-party verification has paid for something unproven before.</t>
        </is>
      </c>
      <c r="O102" s="14" t="inlineStr">
        <is>
          <t>No</t>
        </is>
      </c>
      <c r="P102" s="10" t="inlineStr"/>
      <c r="Q102" s="12">
        <f>HYPERLINK("https://www.linkedin.com/search/results/people/?keywords=Patrick%20Mustoe%20J.%20Patrick%20Homes","search")</f>
        <v/>
      </c>
      <c r="R102" s="16">
        <f>IF(P102="","ADD LINKEDIN","ok")</f>
        <v/>
      </c>
      <c r="S102" s="12" t="inlineStr">
        <is>
          <t>https://www.jpatrickhomes.com/</t>
        </is>
      </c>
      <c r="T102" s="15" t="inlineStr">
        <is>
          <t>A semi-custom builder that won a volume award and publishes no volume. Named purchasing and construction managers.</t>
        </is>
      </c>
      <c r="U102" s="15" t="inlineStr">
        <is>
          <t>The four names come from a contact-data aggregator rather than the firm's own site, which publishes no leadership page. Confirm each before use. | No annual volume is published. No LinkedIn profile is held for Patrick Mustoe or Art Maya.</t>
        </is>
      </c>
      <c r="V102" s="12" t="inlineStr"/>
      <c r="W102" s="15" t="inlineStr"/>
      <c r="X102" s="12" t="inlineStr"/>
      <c r="Y102" s="12" t="inlineStr"/>
      <c r="Z102" s="12" t="inlineStr"/>
    </row>
    <row r="103">
      <c r="A103" s="6" t="inlineStr">
        <is>
          <t>Bo Banowsky</t>
        </is>
      </c>
      <c r="B103" s="6" t="inlineStr">
        <is>
          <t>J. Patrick Homes</t>
        </is>
      </c>
      <c r="C103" s="6" t="inlineStr">
        <is>
          <t>Purchasing Manager</t>
        </is>
      </c>
      <c r="D103" s="7" t="inlineStr">
        <is>
          <t>Worth pursuing, one gap</t>
        </is>
      </c>
      <c r="E103" s="8" t="n">
        <v>2</v>
      </c>
      <c r="F103" s="6" t="inlineStr">
        <is>
          <t>Buys walls</t>
        </is>
      </c>
      <c r="G103" s="6" t="inlineStr">
        <is>
          <t>Houston, 12 submarkets</t>
        </is>
      </c>
      <c r="H103" s="6" t="inlineStr">
        <is>
          <t>Volume Builder of the Year, 12 submarkets</t>
        </is>
      </c>
      <c r="I103" s="8" t="inlineStr">
        <is>
          <t>Partly</t>
        </is>
      </c>
      <c r="J103" s="9" t="inlineStr">
        <is>
          <t>Twelve submarkets is wide for a builder this size, which spreads the plan set thin.</t>
        </is>
      </c>
      <c r="K103" s="8" t="inlineStr">
        <is>
          <t>Partly</t>
        </is>
      </c>
      <c r="L103" s="9" t="inlineStr">
        <is>
          <t>No closings figure is published anywhere, so the machine question cannot be sized.</t>
        </is>
      </c>
      <c r="M103" s="8" t="inlineStr">
        <is>
          <t>No</t>
        </is>
      </c>
      <c r="N103" s="9" t="inlineStr">
        <is>
          <t>Energy Star and Environments for Living certification, with whole-home dehumidifiers standard. A firm that pays for third-party verification has paid for something unproven before.</t>
        </is>
      </c>
      <c r="O103" s="8" t="inlineStr">
        <is>
          <t>No</t>
        </is>
      </c>
      <c r="P103" s="6" t="inlineStr">
        <is>
          <t>https://www.linkedin.com/in/bo-banowsky-3b11278/</t>
        </is>
      </c>
      <c r="Q103" s="6" t="inlineStr"/>
      <c r="R103" s="11">
        <f>IF(P103="","ADD LINKEDIN","ok")</f>
        <v/>
      </c>
      <c r="S103" s="6" t="inlineStr">
        <is>
          <t>https://www.jpatrickhomes.com/</t>
        </is>
      </c>
      <c r="T103" s="9" t="inlineStr">
        <is>
          <t>A semi-custom builder that won a volume award and publishes no volume. Named purchasing and construction managers.</t>
        </is>
      </c>
      <c r="U103" s="9" t="inlineStr">
        <is>
          <t>The four names come from a contact-data aggregator rather than the firm's own site, which publishes no leadership page. Confirm each before use. | No annual volume is published. No LinkedIn profile is held for Patrick Mustoe or Art Maya.</t>
        </is>
      </c>
      <c r="V103" s="6" t="inlineStr">
        <is>
          <t>YES</t>
        </is>
      </c>
      <c r="W103" s="9" t="inlineStr">
        <is>
          <t>Indexed title reads Bo Banowsky, Purchasing Manager, J. Patrick Homes.</t>
        </is>
      </c>
      <c r="X103" s="6" t="inlineStr"/>
      <c r="Y103" s="6" t="inlineStr"/>
      <c r="Z103" s="6" t="inlineStr"/>
    </row>
    <row r="104">
      <c r="A104" s="12" t="inlineStr">
        <is>
          <t>Art Maya</t>
        </is>
      </c>
      <c r="B104" s="12" t="inlineStr">
        <is>
          <t>J. Patrick Homes</t>
        </is>
      </c>
      <c r="C104" s="12" t="inlineStr">
        <is>
          <t>Construction Manager</t>
        </is>
      </c>
      <c r="D104" s="13" t="inlineStr">
        <is>
          <t>Worth pursuing, one gap</t>
        </is>
      </c>
      <c r="E104" s="14" t="n">
        <v>2</v>
      </c>
      <c r="F104" s="12" t="inlineStr">
        <is>
          <t>Buys walls</t>
        </is>
      </c>
      <c r="G104" s="12" t="inlineStr">
        <is>
          <t>Houston, 12 submarkets</t>
        </is>
      </c>
      <c r="H104" s="12" t="inlineStr">
        <is>
          <t>Volume Builder of the Year, 12 submarkets</t>
        </is>
      </c>
      <c r="I104" s="14" t="inlineStr">
        <is>
          <t>Partly</t>
        </is>
      </c>
      <c r="J104" s="15" t="inlineStr">
        <is>
          <t>Twelve submarkets is wide for a builder this size, which spreads the plan set thin.</t>
        </is>
      </c>
      <c r="K104" s="14" t="inlineStr">
        <is>
          <t>Partly</t>
        </is>
      </c>
      <c r="L104" s="15" t="inlineStr">
        <is>
          <t>No closings figure is published anywhere, so the machine question cannot be sized.</t>
        </is>
      </c>
      <c r="M104" s="14" t="inlineStr">
        <is>
          <t>No</t>
        </is>
      </c>
      <c r="N104" s="15" t="inlineStr">
        <is>
          <t>Energy Star and Environments for Living certification, with whole-home dehumidifiers standard. A firm that pays for third-party verification has paid for something unproven before.</t>
        </is>
      </c>
      <c r="O104" s="14" t="inlineStr">
        <is>
          <t>No</t>
        </is>
      </c>
      <c r="P104" s="10" t="inlineStr"/>
      <c r="Q104" s="12">
        <f>HYPERLINK("https://www.linkedin.com/search/results/people/?keywords=Art%20Maya%20J.%20Patrick%20Homes","search")</f>
        <v/>
      </c>
      <c r="R104" s="16">
        <f>IF(P104="","ADD LINKEDIN","ok")</f>
        <v/>
      </c>
      <c r="S104" s="12" t="inlineStr">
        <is>
          <t>https://www.jpatrickhomes.com/</t>
        </is>
      </c>
      <c r="T104" s="15" t="inlineStr">
        <is>
          <t>A semi-custom builder that won a volume award and publishes no volume. Named purchasing and construction managers.</t>
        </is>
      </c>
      <c r="U104" s="15" t="inlineStr">
        <is>
          <t>The four names come from a contact-data aggregator rather than the firm's own site, which publishes no leadership page. Confirm each before use. | No annual volume is published. No LinkedIn profile is held for Patrick Mustoe or Art Maya.</t>
        </is>
      </c>
      <c r="V104" s="12" t="inlineStr"/>
      <c r="W104" s="15" t="inlineStr"/>
      <c r="X104" s="12" t="inlineStr"/>
      <c r="Y104" s="12" t="inlineStr"/>
      <c r="Z104" s="12" t="inlineStr"/>
    </row>
    <row r="105">
      <c r="A105" s="6" t="inlineStr">
        <is>
          <t>Neil Joshi</t>
        </is>
      </c>
      <c r="B105" s="6" t="inlineStr">
        <is>
          <t>RSK Real Estate Partners</t>
        </is>
      </c>
      <c r="C105" s="6" t="inlineStr">
        <is>
          <t>Managing Member, RSK Real Estate Partners</t>
        </is>
      </c>
      <c r="D105" s="7" t="inlineStr">
        <is>
          <t>Worth pursuing, one gap</t>
        </is>
      </c>
      <c r="E105" s="8" t="n">
        <v>2</v>
      </c>
      <c r="F105" s="6" t="inlineStr">
        <is>
          <t>Buys walls</t>
        </is>
      </c>
      <c r="G105" s="6" t="inlineStr">
        <is>
          <t>Chicago HQ / Katy, Harris</t>
        </is>
      </c>
      <c r="H105" s="6" t="inlineStr">
        <is>
          <t>366 build-to-rent units across two Katy projects</t>
        </is>
      </c>
      <c r="I105" s="8" t="inlineStr">
        <is>
          <t>Partly</t>
        </is>
      </c>
      <c r="J105" s="9" t="inlineStr">
        <is>
          <t>156 and 210 units on two Katy sites about a mile apart.</t>
        </is>
      </c>
      <c r="K105" s="8" t="inlineStr">
        <is>
          <t>Partly</t>
        </is>
      </c>
      <c r="L105" s="9" t="inlineStr">
        <is>
          <t>A small developer with its own vice president of construction, and no published unit count to size it.</t>
        </is>
      </c>
      <c r="M105" s="8" t="inlineStr">
        <is>
          <t>No</t>
        </is>
      </c>
      <c r="N105" s="9" t="inlineStr">
        <is>
          <t>No method evidence found.</t>
        </is>
      </c>
      <c r="O105" s="8" t="inlineStr">
        <is>
          <t>No</t>
        </is>
      </c>
      <c r="P105" s="10" t="inlineStr"/>
      <c r="Q105" s="6">
        <f>HYPERLINK("https://www.linkedin.com/search/results/people/?keywords=Neil%20Joshi%20RSK%20Real%20Estate%20Partners","search")</f>
        <v/>
      </c>
      <c r="R105" s="11">
        <f>IF(P105="","ADD LINKEDIN","ok")</f>
        <v/>
      </c>
      <c r="S105" s="6" t="inlineStr">
        <is>
          <t>https://rskrealestatepartners.com/</t>
        </is>
      </c>
      <c r="T105" s="9" t="inlineStr">
        <is>
          <t>Two Katy duplex projects a mile apart, 366 units. No capital figure and no method evidence.</t>
        </is>
      </c>
      <c r="U105" s="9" t="inlineStr"/>
      <c r="V105" s="6" t="inlineStr"/>
      <c r="W105" s="9" t="inlineStr">
        <is>
          <t>Managing Member.</t>
        </is>
      </c>
      <c r="X105" s="6" t="inlineStr">
        <is>
          <t>https://rskrealestatepartners.com/our-team/</t>
        </is>
      </c>
      <c r="Y105" s="6" t="inlineStr">
        <is>
          <t>https://www.linkedin.com/company/rsk-real-estate-partners</t>
        </is>
      </c>
      <c r="Z105" s="6" t="inlineStr">
        <is>
          <t>https://rskrealestatepartners.com/our-team/</t>
        </is>
      </c>
    </row>
    <row r="106">
      <c r="A106" s="12" t="inlineStr">
        <is>
          <t>Gregg Erickson</t>
        </is>
      </c>
      <c r="B106" s="12" t="inlineStr">
        <is>
          <t>RSK Real Estate Partners</t>
        </is>
      </c>
      <c r="C106" s="12" t="inlineStr">
        <is>
          <t>Vice President of Construction, RSK Real Estate Partners</t>
        </is>
      </c>
      <c r="D106" s="13" t="inlineStr">
        <is>
          <t>Worth pursuing, one gap</t>
        </is>
      </c>
      <c r="E106" s="14" t="n">
        <v>2</v>
      </c>
      <c r="F106" s="12" t="inlineStr">
        <is>
          <t>Buys walls</t>
        </is>
      </c>
      <c r="G106" s="12" t="inlineStr">
        <is>
          <t>Chicago HQ / Katy, Harris</t>
        </is>
      </c>
      <c r="H106" s="12" t="inlineStr">
        <is>
          <t>366 build-to-rent units across two Katy projects</t>
        </is>
      </c>
      <c r="I106" s="14" t="inlineStr">
        <is>
          <t>Partly</t>
        </is>
      </c>
      <c r="J106" s="15" t="inlineStr">
        <is>
          <t>156 and 210 units on two Katy sites about a mile apart.</t>
        </is>
      </c>
      <c r="K106" s="14" t="inlineStr">
        <is>
          <t>Partly</t>
        </is>
      </c>
      <c r="L106" s="15" t="inlineStr">
        <is>
          <t>A small developer with its own vice president of construction, and no published unit count to size it.</t>
        </is>
      </c>
      <c r="M106" s="14" t="inlineStr">
        <is>
          <t>No</t>
        </is>
      </c>
      <c r="N106" s="15" t="inlineStr">
        <is>
          <t>No method evidence found.</t>
        </is>
      </c>
      <c r="O106" s="14" t="inlineStr">
        <is>
          <t>No</t>
        </is>
      </c>
      <c r="P106" s="10" t="inlineStr"/>
      <c r="Q106" s="12">
        <f>HYPERLINK("https://www.linkedin.com/search/results/people/?keywords=Gregg%20Erickson%20RSK%20Real%20Estate%20Partners","search")</f>
        <v/>
      </c>
      <c r="R106" s="16">
        <f>IF(P106="","ADD LINKEDIN","ok")</f>
        <v/>
      </c>
      <c r="S106" s="12" t="inlineStr">
        <is>
          <t>https://rskrealestatepartners.com/</t>
        </is>
      </c>
      <c r="T106" s="15" t="inlineStr">
        <is>
          <t>Two Katy duplex projects a mile apart, 366 units. No capital figure and no method evidence.</t>
        </is>
      </c>
      <c r="U106" s="15" t="inlineStr"/>
      <c r="V106" s="12" t="inlineStr">
        <is>
          <t>YES</t>
        </is>
      </c>
      <c r="W106" s="15" t="inlineStr">
        <is>
          <t>Vice President of Construction. RSK is a small firm that names its construction lead on its own team page, which larger builders do not.</t>
        </is>
      </c>
      <c r="X106" s="12" t="inlineStr">
        <is>
          <t>https://rskrealestatepartners.com/our-team/</t>
        </is>
      </c>
      <c r="Y106" s="12" t="inlineStr">
        <is>
          <t>https://www.linkedin.com/company/rsk-real-estate-partners</t>
        </is>
      </c>
      <c r="Z106" s="12" t="inlineStr">
        <is>
          <t>https://rskrealestatepartners.com/our-team/</t>
        </is>
      </c>
    </row>
    <row r="107">
      <c r="A107" s="6" t="inlineStr">
        <is>
          <t>Hannah Ripkey</t>
        </is>
      </c>
      <c r="B107" s="6" t="inlineStr">
        <is>
          <t>RSK Real Estate Partners</t>
        </is>
      </c>
      <c r="C107" s="6" t="inlineStr">
        <is>
          <t>Vice President of Development, RSK Real Estate Partners</t>
        </is>
      </c>
      <c r="D107" s="7" t="inlineStr">
        <is>
          <t>Worth pursuing, 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units on two Katy sites about a mile apart.</t>
        </is>
      </c>
      <c r="K107" s="8" t="inlineStr">
        <is>
          <t>Partly</t>
        </is>
      </c>
      <c r="L107" s="9" t="inlineStr">
        <is>
          <t>A small developer with its own vice president of construction, and no published unit count to size it.</t>
        </is>
      </c>
      <c r="M107" s="8" t="inlineStr">
        <is>
          <t>No</t>
        </is>
      </c>
      <c r="N107" s="9" t="inlineStr">
        <is>
          <t>No method evidence found.</t>
        </is>
      </c>
      <c r="O107" s="8" t="inlineStr">
        <is>
          <t>No</t>
        </is>
      </c>
      <c r="P107" s="10" t="inlineStr"/>
      <c r="Q107" s="6">
        <f>HYPERLINK("https://www.linkedin.com/search/results/people/?keywords=Hannah%20Ripkey%20RSK%20Real%20Estate%20Partners","search")</f>
        <v/>
      </c>
      <c r="R107" s="11">
        <f>IF(P107="","ADD LINKEDIN","ok")</f>
        <v/>
      </c>
      <c r="S107" s="6" t="inlineStr">
        <is>
          <t>https://rskrealestatepartners.com/</t>
        </is>
      </c>
      <c r="T107" s="9" t="inlineStr">
        <is>
          <t>Two Katy duplex projects a mile apart, 366 units. No capital figure and no method evidence.</t>
        </is>
      </c>
      <c r="U107" s="9" t="inlineStr"/>
      <c r="V107" s="6" t="inlineStr"/>
      <c r="W107" s="9" t="inlineStr">
        <is>
          <t>Vice President of Development.</t>
        </is>
      </c>
      <c r="X107" s="6" t="inlineStr">
        <is>
          <t>https://rskrealestatepartners.com/our-team/</t>
        </is>
      </c>
      <c r="Y107" s="6" t="inlineStr">
        <is>
          <t>https://www.linkedin.com/company/rsk-real-estate-partners</t>
        </is>
      </c>
      <c r="Z107" s="6" t="inlineStr">
        <is>
          <t>https://rskrealestatepartners.com/our-team/</t>
        </is>
      </c>
    </row>
    <row r="108">
      <c r="A108" s="12" t="inlineStr">
        <is>
          <t>Stephen Najvar</t>
        </is>
      </c>
      <c r="B108" s="12" t="inlineStr">
        <is>
          <t>Ravenna Homes</t>
        </is>
      </c>
      <c r="C108" s="12" t="inlineStr">
        <is>
          <t>President</t>
        </is>
      </c>
      <c r="D108" s="13" t="inlineStr">
        <is>
          <t>Worth pursuing, one gap</t>
        </is>
      </c>
      <c r="E108" s="14" t="n">
        <v>2</v>
      </c>
      <c r="F108" s="12" t="inlineStr">
        <is>
          <t>Buys walls</t>
        </is>
      </c>
      <c r="G108" s="12" t="inlineStr">
        <is>
          <t>Cypress</t>
        </is>
      </c>
      <c r="H108" s="12" t="inlineStr">
        <is>
          <t>Seven communities, from the $500,000s</t>
        </is>
      </c>
      <c r="I108" s="14" t="inlineStr">
        <is>
          <t>Partly</t>
        </is>
      </c>
      <c r="J108" s="15" t="inlineStr">
        <is>
          <t>Seven communities, all in the north and northwest corridor, which keeps the plan set together.</t>
        </is>
      </c>
      <c r="K108" s="14" t="inlineStr">
        <is>
          <t>Partly</t>
        </is>
      </c>
      <c r="L108" s="15" t="inlineStr">
        <is>
          <t>No closings figure is published. Price point above $500,000 implies volume below the machine band.</t>
        </is>
      </c>
      <c r="M108" s="14" t="inlineStr">
        <is>
          <t>No</t>
        </is>
      </c>
      <c r="N108" s="15" t="inlineStr">
        <is>
          <t>No method evidence beyond energy efficiency and smart home options.</t>
        </is>
      </c>
      <c r="O108" s="14" t="inlineStr">
        <is>
          <t>No</t>
        </is>
      </c>
      <c r="P108" s="6" t="inlineStr">
        <is>
          <t>https://www.linkedin.com/in/stephennajvar/</t>
        </is>
      </c>
      <c r="Q108" s="12" t="inlineStr"/>
      <c r="R108" s="16">
        <f>IF(P108="","ADD LINKEDIN","ok")</f>
        <v/>
      </c>
      <c r="S108" s="12" t="inlineStr">
        <is>
          <t>https://ravennahomes.com/</t>
        </is>
      </c>
      <c r="T108" s="15" t="inlineStr">
        <is>
          <t>Seven communities in the north and northwest growth corridor, from the $500,000s, with a named president and no published volume.</t>
        </is>
      </c>
      <c r="U108" s="15" t="inlineStr">
        <is>
          <t>A founder-run firm with no other executive published anywhere. No annual volume figure. | No volume figure and no construction or purchasing lead identified.</t>
        </is>
      </c>
      <c r="V108" s="12" t="inlineStr"/>
      <c r="W108" s="15" t="inlineStr">
        <is>
          <t>Indexed title reads Stephen Najvar, President at Ravenna Homes. A 2013 company release names him co-founder alongside his brother Kenneth Najvar, both formerly Perry Homes division presidents.</t>
        </is>
      </c>
      <c r="X108" s="12" t="inlineStr"/>
      <c r="Y108" s="12" t="inlineStr"/>
      <c r="Z108" s="12" t="inlineStr"/>
    </row>
    <row r="109">
      <c r="A109" s="6" t="inlineStr">
        <is>
          <t>Matt Zetlmeisl</t>
        </is>
      </c>
      <c r="B109" s="6" t="inlineStr">
        <is>
          <t>ICF Constructors</t>
        </is>
      </c>
      <c r="C109" s="6" t="inlineStr">
        <is>
          <t>Owner, named on the firm's own homepage as having owned and operated it since 2002</t>
        </is>
      </c>
      <c r="D109" s="7" t="inlineStr">
        <is>
          <t>Builds the wall, not the house</t>
        </is>
      </c>
      <c r="E109" s="8" t="n">
        <v>3</v>
      </c>
      <c r="F109" s="6" t="inlineStr">
        <is>
          <t>Builds the wall</t>
        </is>
      </c>
      <c r="G109" s="6" t="inlineStr">
        <is>
          <t>Katy, Harris and Fort Bend, and the Texas coast</t>
        </is>
      </c>
      <c r="H109" s="6" t="inlineStr">
        <is>
          <t>Crews trained on 12 form systems, ICF since 2002</t>
        </is>
      </c>
      <c r="I109" s="8" t="inlineStr">
        <is>
          <t>Yes</t>
        </is>
      </c>
      <c r="J109" s="9" t="inlineStr">
        <is>
          <t>The same wall system, installed again and again across Houston and the coast since 2002.</t>
        </is>
      </c>
      <c r="K109" s="8" t="inlineStr">
        <is>
          <t>Partly</t>
        </is>
      </c>
      <c r="L109" s="9" t="inlineStr">
        <is>
          <t>No crew count or homes-a-year figure is published. On the bands, a firm with no published figure is a Partly, and that is the first thing to establish on the call.</t>
        </is>
      </c>
      <c r="M109" s="8" t="inlineStr">
        <is>
          <t>Yes</t>
        </is>
      </c>
      <c r="N109" s="9" t="inlineStr">
        <is>
          <t>Its entire business is a wall method that was new when it adopted it. The crews are trained on twelve form systems and run a twenty-step checklist before every placement.</t>
        </is>
      </c>
      <c r="O109" s="8" t="inlineStr">
        <is>
          <t>No</t>
        </is>
      </c>
      <c r="P109" s="10" t="inlineStr"/>
      <c r="Q109" s="6">
        <f>HYPERLINK("https://www.linkedin.com/search/results/people/?keywords=Matt%20Zetlmeisl%20ICF%20Constructors","search")</f>
        <v/>
      </c>
      <c r="R109" s="11">
        <f>IF(P109="","ADD LINKEDIN","ok")</f>
        <v/>
      </c>
      <c r="S109" s="6" t="inlineStr">
        <is>
          <t>https://icfconstructors.com/</t>
        </is>
      </c>
      <c r="T109" s="9" t="inlineStr">
        <is>
          <t>Twenty-four years building concrete walls instead of wood ones, with its own crews. The only contractor screened whose whole business is a non-conventional wall.</t>
        </is>
      </c>
      <c r="U109" s="9" t="inlineStr">
        <is>
          <t>Its named markets run from Houston to Corpus Christi, Dallas and McAllen, so Houston is one of several. Confirm how much of the work is local. | No crew count, revenue or homes-a-year figure is published anywhere, including on the page about the firm's financial strength, which describes high business volume without a number.</t>
        </is>
      </c>
      <c r="V109" s="6" t="inlineStr">
        <is>
          <t>YES</t>
        </is>
      </c>
      <c r="W109" s="9" t="inlineStr"/>
      <c r="X109" s="6" t="inlineStr"/>
      <c r="Y109" s="6" t="inlineStr"/>
      <c r="Z109" s="6" t="inlineStr"/>
    </row>
    <row r="110">
      <c r="A110" s="12" t="inlineStr">
        <is>
          <t>Eleazar Botello</t>
        </is>
      </c>
      <c r="B110" s="12" t="inlineStr">
        <is>
          <t>Botello Builders</t>
        </is>
      </c>
      <c r="C110" s="12" t="inlineStr">
        <is>
          <t>Founder, named on the firm's own site</t>
        </is>
      </c>
      <c r="D110" s="13" t="inlineStr">
        <is>
          <t>Builds the wall, not the house</t>
        </is>
      </c>
      <c r="E110" s="14" t="n">
        <v>2</v>
      </c>
      <c r="F110" s="12" t="inlineStr">
        <is>
          <t>Builds the wall</t>
        </is>
      </c>
      <c r="G110" s="12" t="inlineStr">
        <is>
          <t>Houston, working Harris, Fort Bend, Brazoria and Montgomery</t>
        </is>
      </c>
      <c r="H110" s="12" t="inlineStr">
        <is>
          <t>150-plus employees, founded 2007 by three brothers</t>
        </is>
      </c>
      <c r="I110" s="14" t="inlineStr">
        <is>
          <t>Yes</t>
        </is>
      </c>
      <c r="J110" s="15" t="inlineStr">
        <is>
          <t>Tilt-up and foundation work repeating across four counties from one Houston yard.</t>
        </is>
      </c>
      <c r="K110" s="14" t="inlineStr">
        <is>
          <t>Yes</t>
        </is>
      </c>
      <c r="L110" s="15" t="inlineStr">
        <is>
          <t>150 office and field staff on the firm's own count. That is the only published size in this section, and at that size one or two printers cover a real share of a year's wall.</t>
        </is>
      </c>
      <c r="M110" s="14" t="inlineStr">
        <is>
          <t>No</t>
        </is>
      </c>
      <c r="N110" s="15" t="inlineStr">
        <is>
          <t>No method statement on record. Its published work is conventional tilt-up and foundations.</t>
        </is>
      </c>
      <c r="O110" s="14" t="inlineStr">
        <is>
          <t>Partly</t>
        </is>
      </c>
      <c r="P110" s="10" t="inlineStr"/>
      <c r="Q110" s="12">
        <f>HYPERLINK("https://www.linkedin.com/search/results/people/?keywords=Eleazar%20Botello%20Botello%20Builders","search")</f>
        <v/>
      </c>
      <c r="R110" s="16">
        <f>IF(P110="","ADD LINKEDIN","ok")</f>
        <v/>
      </c>
      <c r="S110" s="12" t="inlineStr">
        <is>
          <t>https://www.botellobuilders.com/</t>
        </is>
      </c>
      <c r="T110" s="15" t="inlineStr">
        <is>
          <t>A 150-person self-performing concrete sub, still owned by the three brothers who started it. One or two printers would cover a real share of the wall it puts up.</t>
        </is>
      </c>
      <c r="U110" s="15" t="inlineStr">
        <is>
          <t>The firm began on residential work and moved to commercial. A printed house wall would be a return to a market it left, not a new one. | No title is published for any of the three founders beyond founder.</t>
        </is>
      </c>
      <c r="V110" s="12" t="inlineStr">
        <is>
          <t>YES</t>
        </is>
      </c>
      <c r="W110" s="15" t="inlineStr"/>
      <c r="X110" s="12" t="inlineStr"/>
      <c r="Y110" s="12" t="inlineStr"/>
      <c r="Z110" s="12" t="inlineStr"/>
    </row>
    <row r="111">
      <c r="A111" s="6" t="inlineStr">
        <is>
          <t>Eden Botello</t>
        </is>
      </c>
      <c r="B111" s="6" t="inlineStr">
        <is>
          <t>Botello Builders</t>
        </is>
      </c>
      <c r="C111" s="6" t="inlineStr">
        <is>
          <t>Founder, named on the firm's own site</t>
        </is>
      </c>
      <c r="D111" s="7" t="inlineStr">
        <is>
          <t>Builds the wall, not the house</t>
        </is>
      </c>
      <c r="E111" s="8" t="n">
        <v>2</v>
      </c>
      <c r="F111" s="6" t="inlineStr">
        <is>
          <t>Builds the wall</t>
        </is>
      </c>
      <c r="G111" s="6" t="inlineStr">
        <is>
          <t>Houston, working Harris, Fort Bend, Brazoria and Montgomery</t>
        </is>
      </c>
      <c r="H111" s="6" t="inlineStr">
        <is>
          <t>150-plus employees, founded 2007 by three brothers</t>
        </is>
      </c>
      <c r="I111" s="8" t="inlineStr">
        <is>
          <t>Yes</t>
        </is>
      </c>
      <c r="J111" s="9" t="inlineStr">
        <is>
          <t>Tilt-up and foundation work repeating across four counties from one Houston yard.</t>
        </is>
      </c>
      <c r="K111" s="8" t="inlineStr">
        <is>
          <t>Yes</t>
        </is>
      </c>
      <c r="L111" s="9" t="inlineStr">
        <is>
          <t>150 office and field staff on the firm's own count. That is the only published size in this section, and at that size one or two printers cover a real share of a year's wall.</t>
        </is>
      </c>
      <c r="M111" s="8" t="inlineStr">
        <is>
          <t>No</t>
        </is>
      </c>
      <c r="N111" s="9" t="inlineStr">
        <is>
          <t>No method statement on record. Its published work is conventional tilt-up and foundations.</t>
        </is>
      </c>
      <c r="O111" s="8" t="inlineStr">
        <is>
          <t>Partly</t>
        </is>
      </c>
      <c r="P111" s="10" t="inlineStr"/>
      <c r="Q111" s="6">
        <f>HYPERLINK("https://www.linkedin.com/search/results/people/?keywords=Eden%20Botello%20Botello%20Builders","search")</f>
        <v/>
      </c>
      <c r="R111" s="11">
        <f>IF(P111="","ADD LINKEDIN","ok")</f>
        <v/>
      </c>
      <c r="S111" s="6" t="inlineStr">
        <is>
          <t>https://www.botellobuilders.com/</t>
        </is>
      </c>
      <c r="T111" s="9" t="inlineStr">
        <is>
          <t>A 150-person self-performing concrete sub, still owned by the three brothers who started it. One or two printers would cover a real share of the wall it puts up.</t>
        </is>
      </c>
      <c r="U111" s="9" t="inlineStr">
        <is>
          <t>The firm began on residential work and moved to commercial. A printed house wall would be a return to a market it left, not a new one. | No title is published for any of the three founders beyond founder.</t>
        </is>
      </c>
      <c r="V111" s="6" t="inlineStr">
        <is>
          <t>YES</t>
        </is>
      </c>
      <c r="W111" s="9" t="inlineStr"/>
      <c r="X111" s="6" t="inlineStr"/>
      <c r="Y111" s="6" t="inlineStr"/>
      <c r="Z111" s="6" t="inlineStr"/>
    </row>
    <row r="112">
      <c r="A112" s="12" t="inlineStr">
        <is>
          <t>Jose Botello</t>
        </is>
      </c>
      <c r="B112" s="12" t="inlineStr">
        <is>
          <t>Botello Builders</t>
        </is>
      </c>
      <c r="C112" s="12" t="inlineStr">
        <is>
          <t>Founder, named on the firm's own site</t>
        </is>
      </c>
      <c r="D112" s="13" t="inlineStr">
        <is>
          <t>Builds the wall, not the house</t>
        </is>
      </c>
      <c r="E112" s="14" t="n">
        <v>2</v>
      </c>
      <c r="F112" s="12" t="inlineStr">
        <is>
          <t>Builds the wall</t>
        </is>
      </c>
      <c r="G112" s="12" t="inlineStr">
        <is>
          <t>Houston, working Harris, Fort Bend, Brazoria and Montgomery</t>
        </is>
      </c>
      <c r="H112" s="12" t="inlineStr">
        <is>
          <t>150-plus employees, founded 2007 by three brothers</t>
        </is>
      </c>
      <c r="I112" s="14" t="inlineStr">
        <is>
          <t>Yes</t>
        </is>
      </c>
      <c r="J112" s="15" t="inlineStr">
        <is>
          <t>Tilt-up and foundation work repeating across four counties from one Houston yard.</t>
        </is>
      </c>
      <c r="K112" s="14" t="inlineStr">
        <is>
          <t>Yes</t>
        </is>
      </c>
      <c r="L112" s="15" t="inlineStr">
        <is>
          <t>150 office and field staff on the firm's own count. That is the only published size in this section, and at that size one or two printers cover a real share of a year's wall.</t>
        </is>
      </c>
      <c r="M112" s="14" t="inlineStr">
        <is>
          <t>No</t>
        </is>
      </c>
      <c r="N112" s="15" t="inlineStr">
        <is>
          <t>No method statement on record. Its published work is conventional tilt-up and foundations.</t>
        </is>
      </c>
      <c r="O112" s="14" t="inlineStr">
        <is>
          <t>Partly</t>
        </is>
      </c>
      <c r="P112" s="10" t="inlineStr"/>
      <c r="Q112" s="12">
        <f>HYPERLINK("https://www.linkedin.com/search/results/people/?keywords=Jose%20Botello%20Botello%20Builders","search")</f>
        <v/>
      </c>
      <c r="R112" s="16">
        <f>IF(P112="","ADD LINKEDIN","ok")</f>
        <v/>
      </c>
      <c r="S112" s="12" t="inlineStr">
        <is>
          <t>https://www.botellobuilders.com/</t>
        </is>
      </c>
      <c r="T112" s="15" t="inlineStr">
        <is>
          <t>A 150-person self-performing concrete sub, still owned by the three brothers who started it. One or two printers would cover a real share of the wall it puts up.</t>
        </is>
      </c>
      <c r="U112" s="15" t="inlineStr">
        <is>
          <t>The firm began on residential work and moved to commercial. A printed house wall would be a return to a market it left, not a new one. | No title is published for any of the three founders beyond founder.</t>
        </is>
      </c>
      <c r="V112" s="12" t="inlineStr">
        <is>
          <t>YES</t>
        </is>
      </c>
      <c r="W112" s="15" t="inlineStr"/>
      <c r="X112" s="12" t="inlineStr"/>
      <c r="Y112" s="12" t="inlineStr"/>
      <c r="Z112" s="12" t="inlineStr"/>
    </row>
    <row r="113">
      <c r="A113" s="6" t="inlineStr">
        <is>
          <t>Mark Scully</t>
        </is>
      </c>
      <c r="B113" s="6" t="inlineStr">
        <is>
          <t>Encore Concrete Construction</t>
        </is>
      </c>
      <c r="C113" s="6" t="inlineStr">
        <is>
          <t>President</t>
        </is>
      </c>
      <c r="D113" s="7" t="inlineStr">
        <is>
          <t>Builds the wall, not the house</t>
        </is>
      </c>
      <c r="E113" s="8" t="n">
        <v>2</v>
      </c>
      <c r="F113" s="6" t="inlineStr">
        <is>
          <t>Builds the wall</t>
        </is>
      </c>
      <c r="G113" s="6" t="inlineStr">
        <is>
          <t>Spring, Harris and Montgomery</t>
        </is>
      </c>
      <c r="H113" s="6" t="inlineStr">
        <is>
          <t>Employee-owned, and lists elevated multifamily as a project type</t>
        </is>
      </c>
      <c r="I113" s="8" t="inlineStr">
        <is>
          <t>Yes</t>
        </is>
      </c>
      <c r="J113" s="9" t="inlineStr">
        <is>
          <t>Tilt-up warehouses, retail centres and schools repeating inside the Houston market.</t>
        </is>
      </c>
      <c r="K113" s="8" t="inlineStr">
        <is>
          <t>Yes</t>
        </is>
      </c>
      <c r="L113" s="9" t="inlineStr">
        <is>
          <t>No crew count or annual volume is published. The one published job runs to 32 panels across four floors. On the bands, a firm with no annual figure is a Partly.</t>
        </is>
      </c>
      <c r="M113" s="8" t="inlineStr">
        <is>
          <t>No</t>
        </is>
      </c>
      <c r="N113" s="9" t="inlineStr">
        <is>
          <t>No method statement on record. The 2025 tilt-up award is for execution, not for a new method.</t>
        </is>
      </c>
      <c r="O113" s="8" t="inlineStr">
        <is>
          <t>Partly</t>
        </is>
      </c>
      <c r="P113" s="6" t="inlineStr">
        <is>
          <t>https://www.linkedin.com/in/mark-scully-596648201/</t>
        </is>
      </c>
      <c r="Q113" s="6" t="inlineStr"/>
      <c r="R113" s="11">
        <f>IF(P113="","ADD LINKEDIN","ok")</f>
        <v/>
      </c>
      <c r="S113" s="6" t="inlineStr">
        <is>
          <t>https://www.encoreconcrete.com/</t>
        </is>
      </c>
      <c r="T113" s="9" t="inlineStr">
        <is>
          <t>Employee-owned, so the capital decision is made inside the company. Elevated multifamily is one of the seven project types it publishes.</t>
        </is>
      </c>
      <c r="U113" s="9" t="inlineStr">
        <is>
          <t>Established 2017, so the track record is nine years. | No executive is named on the firm's own site. | No multifamily project is named. The project type is published; a built example is not.</t>
        </is>
      </c>
      <c r="V113" s="6" t="inlineStr">
        <is>
          <t>YES</t>
        </is>
      </c>
      <c r="W113" s="9" t="inlineStr">
        <is>
          <t>Headline reads President at Encore Concrete Construction. Spring, Texas.</t>
        </is>
      </c>
      <c r="X113" s="6" t="inlineStr"/>
      <c r="Y113" s="6" t="inlineStr"/>
      <c r="Z113" s="6" t="inlineStr"/>
    </row>
    <row r="114">
      <c r="A114" s="12" t="inlineStr">
        <is>
          <t>Tim Manherz</t>
        </is>
      </c>
      <c r="B114" s="12" t="inlineStr">
        <is>
          <t>Encore Concrete Construction</t>
        </is>
      </c>
      <c r="C114" s="12" t="inlineStr">
        <is>
          <t>Vice President</t>
        </is>
      </c>
      <c r="D114" s="13" t="inlineStr">
        <is>
          <t>Builds the wall, not the house</t>
        </is>
      </c>
      <c r="E114" s="14" t="n">
        <v>2</v>
      </c>
      <c r="F114" s="12" t="inlineStr">
        <is>
          <t>Builds the wall</t>
        </is>
      </c>
      <c r="G114" s="12" t="inlineStr">
        <is>
          <t>Spring, Harris and Montgomery</t>
        </is>
      </c>
      <c r="H114" s="12" t="inlineStr">
        <is>
          <t>Employee-owned, and lists elevated multifamily as a project type</t>
        </is>
      </c>
      <c r="I114" s="14" t="inlineStr">
        <is>
          <t>Yes</t>
        </is>
      </c>
      <c r="J114" s="15" t="inlineStr">
        <is>
          <t>Tilt-up warehouses, retail centres and schools repeating inside the Houston market.</t>
        </is>
      </c>
      <c r="K114" s="14" t="inlineStr">
        <is>
          <t>Yes</t>
        </is>
      </c>
      <c r="L114" s="15" t="inlineStr">
        <is>
          <t>No crew count or annual volume is published. The one published job runs to 32 panels across four floors. On the bands, a firm with no annual figure is a Partly.</t>
        </is>
      </c>
      <c r="M114" s="14" t="inlineStr">
        <is>
          <t>No</t>
        </is>
      </c>
      <c r="N114" s="15" t="inlineStr">
        <is>
          <t>No method statement on record. The 2025 tilt-up award is for execution, not for a new method.</t>
        </is>
      </c>
      <c r="O114" s="14" t="inlineStr">
        <is>
          <t>Partly</t>
        </is>
      </c>
      <c r="P114" s="6" t="inlineStr">
        <is>
          <t>https://www.linkedin.com/in/tim-manherz-9a2b62148/</t>
        </is>
      </c>
      <c r="Q114" s="12" t="inlineStr"/>
      <c r="R114" s="16">
        <f>IF(P114="","ADD LINKEDIN","ok")</f>
        <v/>
      </c>
      <c r="S114" s="12" t="inlineStr">
        <is>
          <t>https://www.encoreconcrete.com/</t>
        </is>
      </c>
      <c r="T114" s="15" t="inlineStr">
        <is>
          <t>Employee-owned, so the capital decision is made inside the company. Elevated multifamily is one of the seven project types it publishes.</t>
        </is>
      </c>
      <c r="U114" s="15" t="inlineStr">
        <is>
          <t>Established 2017, so the track record is nine years. | No executive is named on the firm's own site. | No multifamily project is named. The project type is published; a built example is not.</t>
        </is>
      </c>
      <c r="V114" s="12" t="inlineStr">
        <is>
          <t>YES</t>
        </is>
      </c>
      <c r="W114" s="15" t="inlineStr">
        <is>
          <t>Headline reads Vice President at Encore Concrete Construction. Greater Houston.</t>
        </is>
      </c>
      <c r="X114" s="12" t="inlineStr"/>
      <c r="Y114" s="12" t="inlineStr"/>
      <c r="Z114" s="12" t="inlineStr"/>
    </row>
    <row r="115">
      <c r="A115" s="6" t="inlineStr">
        <is>
          <t>Scott Anderson</t>
        </is>
      </c>
      <c r="B115" s="6" t="inlineStr">
        <is>
          <t>Keystone Concrete Placement</t>
        </is>
      </c>
      <c r="C115" s="6" t="inlineStr">
        <is>
          <t>Vice President, Keystone Structural Concrete</t>
        </is>
      </c>
      <c r="D115" s="7" t="inlineStr">
        <is>
          <t>Builds the wall, not the house</t>
        </is>
      </c>
      <c r="E115" s="8" t="n">
        <v>3</v>
      </c>
      <c r="F115" s="6" t="inlineStr">
        <is>
          <t>Builds the wall</t>
        </is>
      </c>
      <c r="G115" s="6" t="inlineStr">
        <is>
          <t>Houston, with Austin, San Antonio and College Station</t>
        </is>
      </c>
      <c r="H115" s="6" t="inlineStr">
        <is>
          <t>1,500 craftsmen, 975,000 cubic yards a year</t>
        </is>
      </c>
      <c r="I115" s="8" t="inlineStr">
        <is>
          <t>Yes</t>
        </is>
      </c>
      <c r="J115" s="9" t="inlineStr">
        <is>
          <t>Three standing placement divisions in one metro, so the same work recurs rather than arriving one project at a time.</t>
        </is>
      </c>
      <c r="K115" s="8" t="inlineStr">
        <is>
          <t>Partly</t>
        </is>
      </c>
      <c r="L115" s="9" t="inlineStr">
        <is>
          <t>1,500 craftsmen and 975,000 cubic yards a year on the firm's own count. One or two printers would be a line inside the business rather than the business.</t>
        </is>
      </c>
      <c r="M115" s="8" t="inlineStr">
        <is>
          <t>Partly</t>
        </is>
      </c>
      <c r="N115" s="9" t="inlineStr">
        <is>
          <t>It owns a fleet of placing booms and multiple complete hydraulic self-jacking formwork systems on its own account. Buying capital equipment to change how concrete gets placed is the habit this count is looking for, though formwork is not a new method.</t>
        </is>
      </c>
      <c r="O115" s="8" t="inlineStr">
        <is>
          <t>Yes</t>
        </is>
      </c>
      <c r="P115" s="6" t="inlineStr">
        <is>
          <t>https://www.linkedin.com/in/scott-anderson-266878141/</t>
        </is>
      </c>
      <c r="Q115" s="6" t="inlineStr"/>
      <c r="R115" s="11">
        <f>IF(P115="","ADD LINKEDIN","ok")</f>
        <v/>
      </c>
      <c r="S115" s="6" t="inlineStr">
        <is>
          <t>https://www.keystoneconcrete.com/</t>
        </is>
      </c>
      <c r="T115" s="9" t="inlineStr">
        <is>
          <t>The only concrete contractor screened that publishes a standing residential division. It already buys its own formwork systems and placing booms.</t>
        </is>
      </c>
      <c r="U115" s="9" t="inlineStr">
        <is>
          <t>The residential page names no client and no project, so the size of that division is unknown. | It states that it owns its pump fleet and runs a yard in every location, which is the equipment posture a machine purchase would sit inside. | No executive is named anywhere on the firm's own site. Its contact page says only that it is a member of the Stewart family of companies.</t>
        </is>
      </c>
      <c r="V115" s="6" t="inlineStr">
        <is>
          <t>YES</t>
        </is>
      </c>
      <c r="W115" s="9" t="inlineStr">
        <is>
          <t>Headline reads Vice President at Keystone Structural Concrete. Houston, Texas.</t>
        </is>
      </c>
      <c r="X115" s="6" t="inlineStr"/>
      <c r="Y115" s="6" t="inlineStr"/>
      <c r="Z115" s="6" t="inlineStr"/>
    </row>
    <row r="116">
      <c r="A116" s="12" t="inlineStr">
        <is>
          <t>Rodney Horn</t>
        </is>
      </c>
      <c r="B116" s="12" t="inlineStr">
        <is>
          <t>Keystone Concrete Placement</t>
        </is>
      </c>
      <c r="C116" s="12" t="inlineStr">
        <is>
          <t>Vice President, Keystone Concrete and Key-Scape</t>
        </is>
      </c>
      <c r="D116" s="13" t="inlineStr">
        <is>
          <t>Builds the wall, not the house</t>
        </is>
      </c>
      <c r="E116" s="14" t="n">
        <v>3</v>
      </c>
      <c r="F116" s="12" t="inlineStr">
        <is>
          <t>Builds the wall</t>
        </is>
      </c>
      <c r="G116" s="12" t="inlineStr">
        <is>
          <t>Houston, with Austin, San Antonio and College Station</t>
        </is>
      </c>
      <c r="H116" s="12" t="inlineStr">
        <is>
          <t>1,500 craftsmen, 975,000 cubic yards a year</t>
        </is>
      </c>
      <c r="I116" s="14" t="inlineStr">
        <is>
          <t>Yes</t>
        </is>
      </c>
      <c r="J116" s="15" t="inlineStr">
        <is>
          <t>Three standing placement divisions in one metro, so the same work recurs rather than arriving one project at a time.</t>
        </is>
      </c>
      <c r="K116" s="14" t="inlineStr">
        <is>
          <t>Partly</t>
        </is>
      </c>
      <c r="L116" s="15" t="inlineStr">
        <is>
          <t>1,500 craftsmen and 975,000 cubic yards a year on the firm's own count. One or two printers would be a line inside the business rather than the business.</t>
        </is>
      </c>
      <c r="M116" s="14" t="inlineStr">
        <is>
          <t>Partly</t>
        </is>
      </c>
      <c r="N116"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6" s="14" t="inlineStr">
        <is>
          <t>Yes</t>
        </is>
      </c>
      <c r="P116" s="6" t="inlineStr">
        <is>
          <t>https://www.linkedin.com/in/rodney-horn-963a8048/</t>
        </is>
      </c>
      <c r="Q116" s="12" t="inlineStr"/>
      <c r="R116" s="16">
        <f>IF(P116="","ADD LINKEDIN","ok")</f>
        <v/>
      </c>
      <c r="S116" s="12" t="inlineStr">
        <is>
          <t>https://www.keystoneconcrete.com/</t>
        </is>
      </c>
      <c r="T116" s="15" t="inlineStr">
        <is>
          <t>The only concrete contractor screened that publishes a standing residential division. It already buys its own formwork systems and placing booms.</t>
        </is>
      </c>
      <c r="U116" s="15" t="inlineStr">
        <is>
          <t>The residential page names no client and no project, so the size of that division is unknown. | It states that it owns its pump fleet and runs a yard in every location, which is the equipment posture a machine purchase would sit inside. | No executive is named anywhere on the firm's own site. Its contact page says only that it is a member of the Stewart family of companies.</t>
        </is>
      </c>
      <c r="V116" s="12" t="inlineStr">
        <is>
          <t>YES</t>
        </is>
      </c>
      <c r="W116" s="15" t="inlineStr">
        <is>
          <t>Headline reads Vice President at Keystone Concrete, LLC/Key-Scape Landscaping. Houston, Texas. Keyscape is the landscaping arm named on the firm's own site.</t>
        </is>
      </c>
      <c r="X116" s="12" t="inlineStr"/>
      <c r="Y116" s="12" t="inlineStr"/>
      <c r="Z116" s="12" t="inlineStr"/>
    </row>
    <row r="117">
      <c r="A117" s="6" t="inlineStr">
        <is>
          <t>Phil Nevlud</t>
        </is>
      </c>
      <c r="B117" s="6" t="inlineStr">
        <is>
          <t>MAREK</t>
        </is>
      </c>
      <c r="C117" s="6" t="inlineStr">
        <is>
          <t>Division President</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HYPERLINK("https://www.linkedin.com/search/results/people/?keywords=Phil%20Nevlud%20MAREK","search")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9" t="inlineStr">
        <is>
          <t>Its walls are interior and non-structural. A printed exterior wall would be a new trade for the firm, not an extension of the one it holds. Say so rather than glossing it. | No employee count or annual unit figure is published.</t>
        </is>
      </c>
      <c r="V117" s="6" t="inlineStr">
        <is>
          <t>YES</t>
        </is>
      </c>
      <c r="W117" s="9" t="inlineStr"/>
      <c r="X117" s="6" t="inlineStr"/>
      <c r="Y117" s="6" t="inlineStr"/>
      <c r="Z117" s="6" t="inlineStr"/>
    </row>
    <row r="118">
      <c r="A118" s="12" t="inlineStr">
        <is>
          <t>Ronald Marek</t>
        </is>
      </c>
      <c r="B118" s="12" t="inlineStr">
        <is>
          <t>MAREK</t>
        </is>
      </c>
      <c r="C118" s="12" t="inlineStr">
        <is>
          <t>Multifamily Director</t>
        </is>
      </c>
      <c r="D118" s="13" t="inlineStr">
        <is>
          <t>Builds the wall, not the house</t>
        </is>
      </c>
      <c r="E118" s="14" t="n">
        <v>3</v>
      </c>
      <c r="F118" s="12" t="inlineStr">
        <is>
          <t>Builds the wall</t>
        </is>
      </c>
      <c r="G118" s="12" t="inlineStr">
        <is>
          <t>Houston, Harris, with Austin, Dallas and Fort Worth</t>
        </is>
      </c>
      <c r="H118" s="12" t="inlineStr">
        <is>
          <t>Runs its own prefabrication plant, founded 1938</t>
        </is>
      </c>
      <c r="I118" s="14" t="inlineStr">
        <is>
          <t>Yes</t>
        </is>
      </c>
      <c r="J118" s="15" t="inlineStr">
        <is>
          <t>Interior wall and ceiling packages repeating across multifamily and single family work in one metro.</t>
        </is>
      </c>
      <c r="K118" s="14" t="inlineStr">
        <is>
          <t>Partly</t>
        </is>
      </c>
      <c r="L118" s="15" t="inlineStr">
        <is>
          <t>No employee count or annual unit figure is published. On the bands, a firm with no published figure is a Partly.</t>
        </is>
      </c>
      <c r="M118" s="14" t="inlineStr">
        <is>
          <t>Partly</t>
        </is>
      </c>
      <c r="N118"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8" s="14" t="inlineStr">
        <is>
          <t>Yes</t>
        </is>
      </c>
      <c r="P118" s="10" t="inlineStr"/>
      <c r="Q118" s="12">
        <f>HYPERLINK("https://www.linkedin.com/search/results/people/?keywords=Ronald%20Marek%20MAREK","search")</f>
        <v/>
      </c>
      <c r="R118" s="16">
        <f>IF(P118="","ADD LINKEDIN","ok")</f>
        <v/>
      </c>
      <c r="S118" s="12" t="inlineStr">
        <is>
          <t>https://www.marekbros.com/houston/</t>
        </is>
      </c>
      <c r="T118" s="15" t="inlineStr">
        <is>
          <t>It already owns a prefabrication plant and runs separate multifamily and single family divisions, with a named leader on each. The walls it builds are interior, not structural.</t>
        </is>
      </c>
      <c r="U118" s="15" t="inlineStr">
        <is>
          <t>Its walls are interior and non-structural. A printed exterior wall would be a new trade for the firm, not an extension of the one it holds. Say so rather than glossing it. | No employee count or annual unit figure is published.</t>
        </is>
      </c>
      <c r="V118" s="12" t="inlineStr">
        <is>
          <t>YES</t>
        </is>
      </c>
      <c r="W118" s="15" t="inlineStr"/>
      <c r="X118" s="12" t="inlineStr"/>
      <c r="Y118" s="12" t="inlineStr"/>
      <c r="Z118" s="12" t="inlineStr"/>
    </row>
    <row r="119">
      <c r="A119" s="6" t="inlineStr">
        <is>
          <t>Chris Trojanowsky</t>
        </is>
      </c>
      <c r="B119" s="6" t="inlineStr">
        <is>
          <t>MAREK</t>
        </is>
      </c>
      <c r="C119" s="6" t="inlineStr">
        <is>
          <t>Single Family Division Manager</t>
        </is>
      </c>
      <c r="D119" s="7" t="inlineStr">
        <is>
          <t>Builds the wall, not the house</t>
        </is>
      </c>
      <c r="E119" s="8" t="n">
        <v>3</v>
      </c>
      <c r="F119" s="6" t="inlineStr">
        <is>
          <t>Builds the wall</t>
        </is>
      </c>
      <c r="G119" s="6" t="inlineStr">
        <is>
          <t>Houston, Harris, with Austin, Dallas and Fort Worth</t>
        </is>
      </c>
      <c r="H119" s="6" t="inlineStr">
        <is>
          <t>Runs its own prefabrication plant, founded 1938</t>
        </is>
      </c>
      <c r="I119" s="8" t="inlineStr">
        <is>
          <t>Yes</t>
        </is>
      </c>
      <c r="J119" s="9" t="inlineStr">
        <is>
          <t>Interior wall and ceiling packages repeating across multifamily and single family work in one metro.</t>
        </is>
      </c>
      <c r="K119" s="8" t="inlineStr">
        <is>
          <t>Partly</t>
        </is>
      </c>
      <c r="L119" s="9" t="inlineStr">
        <is>
          <t>No employee count or annual unit figure is published. On the bands, a firm with no published figure is a Partly.</t>
        </is>
      </c>
      <c r="M119" s="8" t="inlineStr">
        <is>
          <t>Partly</t>
        </is>
      </c>
      <c r="N119"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9" s="8" t="inlineStr">
        <is>
          <t>Yes</t>
        </is>
      </c>
      <c r="P119" s="10" t="inlineStr"/>
      <c r="Q119" s="6">
        <f>HYPERLINK("https://www.linkedin.com/search/results/people/?keywords=Chris%20Trojanowsky%20MAREK","search")</f>
        <v/>
      </c>
      <c r="R119" s="11">
        <f>IF(P119="","ADD LINKEDIN","ok")</f>
        <v/>
      </c>
      <c r="S119" s="6" t="inlineStr">
        <is>
          <t>https://www.marekbros.com/houston/</t>
        </is>
      </c>
      <c r="T119" s="9" t="inlineStr">
        <is>
          <t>It already owns a prefabrication plant and runs separate multifamily and single family divisions, with a named leader on each. The walls it builds are interior, not structural.</t>
        </is>
      </c>
      <c r="U119" s="9" t="inlineStr">
        <is>
          <t>Its walls are interior and non-structural. A printed exterior wall would be a new trade for the firm, not an extension of the one it holds. Say so rather than glossing it. | No employee count or annual unit figure is published.</t>
        </is>
      </c>
      <c r="V119" s="6" t="inlineStr">
        <is>
          <t>YES</t>
        </is>
      </c>
      <c r="W119" s="9" t="inlineStr"/>
      <c r="X119" s="6" t="inlineStr"/>
      <c r="Y119" s="6" t="inlineStr"/>
      <c r="Z119" s="6" t="inlineStr"/>
    </row>
    <row r="120">
      <c r="A120" s="12" t="inlineStr">
        <is>
          <t>Jorge Rodriguez</t>
        </is>
      </c>
      <c r="B120" s="12" t="inlineStr">
        <is>
          <t>MAREK</t>
        </is>
      </c>
      <c r="C120" s="12" t="inlineStr">
        <is>
          <t>Managing Director, Field Operations</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10" t="inlineStr"/>
      <c r="Q120" s="12">
        <f>HYPERLINK("https://www.linkedin.com/search/results/people/?keywords=Jorge%20Rodriguez%20MAREK","search")</f>
        <v/>
      </c>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5" t="inlineStr">
        <is>
          <t>Its walls are interior and non-structural. A printed exterior wall would be a new trade for the firm, not an extension of the one it holds. Say so rather than glossing it. | No employee count or annual unit figure is published.</t>
        </is>
      </c>
      <c r="V120" s="12" t="inlineStr"/>
      <c r="W120" s="15" t="inlineStr"/>
      <c r="X120" s="12" t="inlineStr"/>
      <c r="Y120" s="12" t="inlineStr"/>
      <c r="Z120" s="12" t="inlineStr"/>
    </row>
    <row r="121">
      <c r="A121" s="6" t="inlineStr">
        <is>
          <t>Trent Tellepsen</t>
        </is>
      </c>
      <c r="B121" s="6" t="inlineStr">
        <is>
          <t>Building Concrete Solutions</t>
        </is>
      </c>
      <c r="C121" s="6" t="inlineStr">
        <is>
          <t>President</t>
        </is>
      </c>
      <c r="D121" s="7" t="inlineStr">
        <is>
          <t>Builds the wall, not the house</t>
        </is>
      </c>
      <c r="E121" s="8" t="n">
        <v>3</v>
      </c>
      <c r="F121" s="6" t="inlineStr">
        <is>
          <t>Builds the wall</t>
        </is>
      </c>
      <c r="G121" s="6" t="inlineStr">
        <is>
          <t>Houston, Harris</t>
        </is>
      </c>
      <c r="H121" s="6" t="inlineStr">
        <is>
          <t>Runs Revit, Tekla, AutoCAD and Navisworks in house</t>
        </is>
      </c>
      <c r="I121" s="8" t="inlineStr">
        <is>
          <t>Partly</t>
        </is>
      </c>
      <c r="J121" s="9" t="inlineStr">
        <is>
          <t>Concrete packages recurring across Houston projects under both delivery models.</t>
        </is>
      </c>
      <c r="K121" s="8" t="inlineStr">
        <is>
          <t>Yes</t>
        </is>
      </c>
      <c r="L121" s="9" t="inlineStr">
        <is>
          <t>No crew count, revenue or project size is published. Nothing on the site sizes the work, so on the bands this is a Partly.</t>
        </is>
      </c>
      <c r="M121" s="8" t="inlineStr">
        <is>
          <t>Partly</t>
        </is>
      </c>
      <c r="N121" s="9" t="inlineStr">
        <is>
          <t>It bought and staffed a modelling stack, Revit, Tekla, AutoCAD and Navisworks, to plan its pours. A printed wall arrives as a model first, so the habit transfers, though modelling is not itself a building method.</t>
        </is>
      </c>
      <c r="O121" s="8" t="inlineStr">
        <is>
          <t>Partly</t>
        </is>
      </c>
      <c r="P121" s="6" t="inlineStr">
        <is>
          <t>https://www.linkedin.com/in/trent-tellepsen-b8608024/</t>
        </is>
      </c>
      <c r="Q121" s="6" t="inlineStr"/>
      <c r="R121" s="11">
        <f>IF(P121="","ADD LINKEDIN","ok")</f>
        <v/>
      </c>
      <c r="S121" s="6" t="inlineStr">
        <is>
          <t>https://www.bcshouston.com/</t>
        </is>
      </c>
      <c r="T121" s="9" t="inlineStr">
        <is>
          <t>A concrete subcontractor that models its own work in three dimensions before pouring it. A printed wall arrives as a model too.</t>
        </is>
      </c>
      <c r="U121" s="9" t="inlineStr">
        <is>
          <t>Its about pages do not exist. Nothing on the site sizes the business. | No executive is named on the firm's own site and no crew count, revenue or project size is published. The president and vice president here are held from LinkedIn alone.</t>
        </is>
      </c>
      <c r="V121" s="6" t="inlineStr">
        <is>
          <t>YES</t>
        </is>
      </c>
      <c r="W121" s="9" t="inlineStr">
        <is>
          <t>Headline reads President at Building Concrete Solutions. Houston, Texas.</t>
        </is>
      </c>
      <c r="X121" s="6" t="inlineStr"/>
      <c r="Y121" s="6" t="inlineStr"/>
      <c r="Z121" s="6" t="inlineStr"/>
    </row>
    <row r="122">
      <c r="A122" s="12" t="inlineStr">
        <is>
          <t>Daniel Lara</t>
        </is>
      </c>
      <c r="B122" s="12" t="inlineStr">
        <is>
          <t>Building Concrete Solutions</t>
        </is>
      </c>
      <c r="C122" s="12" t="inlineStr">
        <is>
          <t>Vice President</t>
        </is>
      </c>
      <c r="D122" s="13" t="inlineStr">
        <is>
          <t>Builds the wall, not the house</t>
        </is>
      </c>
      <c r="E122" s="14" t="n">
        <v>3</v>
      </c>
      <c r="F122" s="12" t="inlineStr">
        <is>
          <t>Builds the wall</t>
        </is>
      </c>
      <c r="G122" s="12" t="inlineStr">
        <is>
          <t>Houston, Harris</t>
        </is>
      </c>
      <c r="H122" s="12" t="inlineStr">
        <is>
          <t>Runs Revit, Tekla, AutoCAD and Navisworks in house</t>
        </is>
      </c>
      <c r="I122" s="14" t="inlineStr">
        <is>
          <t>Partly</t>
        </is>
      </c>
      <c r="J122" s="15" t="inlineStr">
        <is>
          <t>Concrete packages recurring across Houston projects under both delivery models.</t>
        </is>
      </c>
      <c r="K122" s="14" t="inlineStr">
        <is>
          <t>Yes</t>
        </is>
      </c>
      <c r="L122" s="15" t="inlineStr">
        <is>
          <t>No crew count, revenue or project size is published. Nothing on the site sizes the work, so on the bands this is a Partly.</t>
        </is>
      </c>
      <c r="M122" s="14" t="inlineStr">
        <is>
          <t>Partly</t>
        </is>
      </c>
      <c r="N122" s="15" t="inlineStr">
        <is>
          <t>It bought and staffed a modelling stack, Revit, Tekla, AutoCAD and Navisworks, to plan its pours. A printed wall arrives as a model first, so the habit transfers, though modelling is not itself a building method.</t>
        </is>
      </c>
      <c r="O122" s="14" t="inlineStr">
        <is>
          <t>Partly</t>
        </is>
      </c>
      <c r="P122" s="6" t="inlineStr">
        <is>
          <t>https://www.linkedin.com/in/daniel-lara-24329570/</t>
        </is>
      </c>
      <c r="Q122" s="12" t="inlineStr"/>
      <c r="R122" s="16">
        <f>IF(P122="","ADD LINKEDIN","ok")</f>
        <v/>
      </c>
      <c r="S122" s="12" t="inlineStr">
        <is>
          <t>https://www.bcshouston.com/</t>
        </is>
      </c>
      <c r="T122" s="15" t="inlineStr">
        <is>
          <t>A concrete subcontractor that models its own work in three dimensions before pouring it. A printed wall arrives as a model too.</t>
        </is>
      </c>
      <c r="U122" s="15" t="inlineStr">
        <is>
          <t>Its about pages do not exist. Nothing on the site sizes the business. | No executive is named on the firm's own site and no crew count, revenue or project size is published. The president and vice president here are held from LinkedIn alone.</t>
        </is>
      </c>
      <c r="V122" s="12" t="inlineStr">
        <is>
          <t>YES</t>
        </is>
      </c>
      <c r="W122" s="15" t="inlineStr">
        <is>
          <t>Headline reads Vice President at Building Concrete Solutions. Houston, Texas.</t>
        </is>
      </c>
      <c r="X122" s="12" t="inlineStr"/>
      <c r="Y122" s="12" t="inlineStr"/>
      <c r="Z122" s="12" t="inlineStr"/>
    </row>
    <row r="123">
      <c r="A123" s="6" t="inlineStr">
        <is>
          <t>Jorge Hernandez</t>
        </is>
      </c>
      <c r="B123" s="6" t="inlineStr">
        <is>
          <t>Building Concrete Solutions</t>
        </is>
      </c>
      <c r="C123" s="6" t="inlineStr">
        <is>
          <t>Manager of Operations</t>
        </is>
      </c>
      <c r="D123" s="7" t="inlineStr">
        <is>
          <t>Builds the wall, not the house</t>
        </is>
      </c>
      <c r="E123" s="8" t="n">
        <v>3</v>
      </c>
      <c r="F123" s="6" t="inlineStr">
        <is>
          <t>Builds the wall</t>
        </is>
      </c>
      <c r="G123" s="6" t="inlineStr">
        <is>
          <t>Houston, Harris</t>
        </is>
      </c>
      <c r="H123" s="6" t="inlineStr">
        <is>
          <t>Runs Revit, Tekla, AutoCAD and Navisworks in house</t>
        </is>
      </c>
      <c r="I123" s="8" t="inlineStr">
        <is>
          <t>Partly</t>
        </is>
      </c>
      <c r="J123" s="9" t="inlineStr">
        <is>
          <t>Concrete packages recurring across Houston projects under both delivery models.</t>
        </is>
      </c>
      <c r="K123" s="8" t="inlineStr">
        <is>
          <t>Yes</t>
        </is>
      </c>
      <c r="L123" s="9" t="inlineStr">
        <is>
          <t>No crew count, revenue or project size is published. Nothing on the site sizes the work, so on the bands this is a Partly.</t>
        </is>
      </c>
      <c r="M123" s="8" t="inlineStr">
        <is>
          <t>Partly</t>
        </is>
      </c>
      <c r="N123" s="9" t="inlineStr">
        <is>
          <t>It bought and staffed a modelling stack, Revit, Tekla, AutoCAD and Navisworks, to plan its pours. A printed wall arrives as a model first, so the habit transfers, though modelling is not itself a building method.</t>
        </is>
      </c>
      <c r="O123" s="8" t="inlineStr">
        <is>
          <t>Partly</t>
        </is>
      </c>
      <c r="P123" s="6" t="inlineStr">
        <is>
          <t>https://www.linkedin.com/in/jorge-hern%C3%A1ndez-614616204/</t>
        </is>
      </c>
      <c r="Q123" s="6" t="inlineStr"/>
      <c r="R123" s="11">
        <f>IF(P123="","ADD LINKEDIN","ok")</f>
        <v/>
      </c>
      <c r="S123" s="6" t="inlineStr">
        <is>
          <t>https://www.bcshouston.com/</t>
        </is>
      </c>
      <c r="T123" s="9" t="inlineStr">
        <is>
          <t>A concrete subcontractor that models its own work in three dimensions before pouring it. A printed wall arrives as a model too.</t>
        </is>
      </c>
      <c r="U123" s="9" t="inlineStr">
        <is>
          <t>Its about pages do not exist. Nothing on the site sizes the business. | No executive is named on the firm's own site and no crew count, revenue or project size is published. The president and vice president here are held from LinkedIn alone.</t>
        </is>
      </c>
      <c r="V123" s="6" t="inlineStr"/>
      <c r="W123" s="9" t="inlineStr">
        <is>
          <t>Headline reads Manager of Operations at Building Concrete Solutions. Houston, Texas.</t>
        </is>
      </c>
      <c r="X123" s="6" t="inlineStr"/>
      <c r="Y123" s="6" t="inlineStr"/>
      <c r="Z123" s="6" t="inlineStr"/>
    </row>
    <row r="124">
      <c r="A124" s="12" t="inlineStr">
        <is>
          <t>Hugo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4" s="12" t="inlineStr">
        <is>
          <t>YES</t>
        </is>
      </c>
      <c r="W124" s="15" t="inlineStr">
        <is>
          <t>Headline reads Founder &amp; CEO at CIVE, Inc. Houston, Texas.</t>
        </is>
      </c>
      <c r="X124" s="12" t="inlineStr"/>
      <c r="Y124" s="12" t="inlineStr"/>
      <c r="Z124" s="12" t="inlineStr"/>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9"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5" s="6" t="inlineStr">
        <is>
          <t>YES</t>
        </is>
      </c>
      <c r="W125" s="9" t="inlineStr">
        <is>
          <t>Headline reads Head of Structural Engineering at CIVE. Houston, Texas. He is the person broadcast coverage quoted on the printed house in Spring Branch.</t>
        </is>
      </c>
      <c r="X125" s="6" t="inlineStr"/>
      <c r="Y125" s="6" t="inlineStr"/>
      <c r="Z125" s="6" t="inlineStr"/>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6" s="12" t="inlineStr"/>
      <c r="W126" s="15" t="inlineStr">
        <is>
          <t>Headline reads Vice President of Construction at CIVE. Houston, Texas. No profile URL was captured in the pass.</t>
        </is>
      </c>
      <c r="X126" s="12" t="inlineStr"/>
      <c r="Y126" s="12" t="inlineStr"/>
      <c r="Z126" s="12" t="inlineStr"/>
    </row>
    <row r="127">
      <c r="A127" s="6" t="inlineStr">
        <is>
          <t>Todd Riedel</t>
        </is>
      </c>
      <c r="B127" s="6" t="inlineStr">
        <is>
          <t>M.L. Deer Construction</t>
        </is>
      </c>
      <c r="C127" s="6" t="inlineStr">
        <is>
          <t>Chief Operating Officer</t>
        </is>
      </c>
      <c r="D127" s="7" t="inlineStr">
        <is>
          <t>Builds the wall, not the house</t>
        </is>
      </c>
      <c r="E127" s="8" t="n">
        <v>3</v>
      </c>
      <c r="F127" s="6" t="inlineStr">
        <is>
          <t>Builds the wall</t>
        </is>
      </c>
      <c r="G127" s="6" t="inlineStr">
        <is>
          <t>Houston, Harris, and the Texas Gulf Coast</t>
        </is>
      </c>
      <c r="H127" s="6" t="inlineStr">
        <is>
          <t>Carries insulated concrete form buildings as a standard offering</t>
        </is>
      </c>
      <c r="I127" s="8" t="inlineStr">
        <is>
          <t>Partly</t>
        </is>
      </c>
      <c r="J127" s="9" t="inlineStr">
        <is>
          <t>Commercial buildings across the Gulf Coast. The structures differ project to project.</t>
        </is>
      </c>
      <c r="K127" s="8" t="inlineStr">
        <is>
          <t>Yes</t>
        </is>
      </c>
      <c r="L127" s="9" t="inlineStr">
        <is>
          <t>No revenue, crew count or project count is published. On the bands, a firm with no published figure is a Partly.</t>
        </is>
      </c>
      <c r="M127" s="8" t="inlineStr">
        <is>
          <t>Partly</t>
        </is>
      </c>
      <c r="N127" s="9" t="inlineStr">
        <is>
          <t>It carries insulated concrete form construction in its standard menu alongside tilt-wall and masonry, so it has sold and built a concrete wall system rather than only a wood one. No named project is published to date it.</t>
        </is>
      </c>
      <c r="O127" s="8" t="inlineStr">
        <is>
          <t>Partly</t>
        </is>
      </c>
      <c r="P127" s="6" t="inlineStr">
        <is>
          <t>https://www.linkedin.com/in/todd-riedel-2b37185/</t>
        </is>
      </c>
      <c r="Q127" s="6" t="inlineStr"/>
      <c r="R127" s="11">
        <f>IF(P127="","ADD LINKEDIN","ok")</f>
        <v/>
      </c>
      <c r="S127" s="6" t="inlineStr">
        <is>
          <t>https://www.mldeer.com/</t>
        </is>
      </c>
      <c r="T127" s="9" t="inlineStr">
        <is>
          <t>It already sells a concrete wall system to commercial clients, and it installs gantry cranes. A printer is a gantry that places concrete.</t>
        </is>
      </c>
      <c r="U127" s="9"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7" s="6" t="inlineStr">
        <is>
          <t>YES</t>
        </is>
      </c>
      <c r="W127" s="9" t="inlineStr">
        <is>
          <t>Headline reads COO at ML Deer Construction. Houston, Texas.</t>
        </is>
      </c>
      <c r="X127" s="6" t="inlineStr"/>
      <c r="Y127" s="6" t="inlineStr"/>
      <c r="Z127" s="6" t="inlineStr"/>
    </row>
    <row r="128">
      <c r="A128" s="12" t="inlineStr">
        <is>
          <t>Jeff Raymer</t>
        </is>
      </c>
      <c r="B128" s="12" t="inlineStr">
        <is>
          <t>M.L. Deer Construction</t>
        </is>
      </c>
      <c r="C128" s="12" t="inlineStr">
        <is>
          <t>Executive Vice President</t>
        </is>
      </c>
      <c r="D128" s="13" t="inlineStr">
        <is>
          <t>Builds the wall, not the house</t>
        </is>
      </c>
      <c r="E128" s="14" t="n">
        <v>3</v>
      </c>
      <c r="F128" s="12" t="inlineStr">
        <is>
          <t>Builds the wall</t>
        </is>
      </c>
      <c r="G128" s="12" t="inlineStr">
        <is>
          <t>Houston, Harris, and the Texas Gulf Coast</t>
        </is>
      </c>
      <c r="H128" s="12" t="inlineStr">
        <is>
          <t>Carries insulated concrete form buildings as a standard offering</t>
        </is>
      </c>
      <c r="I128" s="14" t="inlineStr">
        <is>
          <t>Partly</t>
        </is>
      </c>
      <c r="J128" s="15" t="inlineStr">
        <is>
          <t>Commercial buildings across the Gulf Coast. The structures differ project to project.</t>
        </is>
      </c>
      <c r="K128" s="14" t="inlineStr">
        <is>
          <t>Yes</t>
        </is>
      </c>
      <c r="L128" s="15" t="inlineStr">
        <is>
          <t>No revenue, crew count or project count is published. On the bands, a firm with no published figure is a Partly.</t>
        </is>
      </c>
      <c r="M128" s="14" t="inlineStr">
        <is>
          <t>Partly</t>
        </is>
      </c>
      <c r="N128" s="15" t="inlineStr">
        <is>
          <t>It carries insulated concrete form construction in its standard menu alongside tilt-wall and masonry, so it has sold and built a concrete wall system rather than only a wood one. No named project is published to date it.</t>
        </is>
      </c>
      <c r="O128" s="14" t="inlineStr">
        <is>
          <t>Partly</t>
        </is>
      </c>
      <c r="P128" s="6" t="inlineStr">
        <is>
          <t>https://www.linkedin.com/in/jeff-raymer-b29060a/</t>
        </is>
      </c>
      <c r="Q128" s="12" t="inlineStr"/>
      <c r="R128" s="16">
        <f>IF(P128="","ADD LINKEDIN","ok")</f>
        <v/>
      </c>
      <c r="S128" s="12" t="inlineStr">
        <is>
          <t>https://www.mldeer.com/</t>
        </is>
      </c>
      <c r="T128" s="15" t="inlineStr">
        <is>
          <t>It already sells a concrete wall system to commercial clients, and it installs gantry cranes. A printer is a gantry that places concrete.</t>
        </is>
      </c>
      <c r="U128" s="15"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8" s="12" t="inlineStr">
        <is>
          <t>YES</t>
        </is>
      </c>
      <c r="W128" s="15" t="inlineStr">
        <is>
          <t>Headline reads Executive Vice President at ML Deer Construction. Houston, Texas.</t>
        </is>
      </c>
      <c r="X128" s="12" t="inlineStr"/>
      <c r="Y128" s="12" t="inlineStr"/>
      <c r="Z128" s="12" t="inlineStr"/>
    </row>
    <row r="129">
      <c r="A129" s="6" t="inlineStr">
        <is>
          <t>Ryan Taylor</t>
        </is>
      </c>
      <c r="B129" s="6" t="inlineStr">
        <is>
          <t>T&amp;T Construction</t>
        </is>
      </c>
      <c r="C129" s="6" t="inlineStr">
        <is>
          <t>Third generation, took leadership in 2001, named on the firm's own about page</t>
        </is>
      </c>
      <c r="D129" s="7" t="inlineStr">
        <is>
          <t>Builds the wall, not the house</t>
        </is>
      </c>
      <c r="E129" s="8" t="n">
        <v>3</v>
      </c>
      <c r="F129" s="6" t="inlineStr">
        <is>
          <t>Builds the wall</t>
        </is>
      </c>
      <c r="G129" s="6" t="inlineStr">
        <is>
          <t>Pasadena, Harris</t>
        </is>
      </c>
      <c r="H129" s="6" t="inlineStr">
        <is>
          <t>65 employees, 1,000-plus Houston projects since 1969</t>
        </is>
      </c>
      <c r="I129" s="8" t="inlineStr">
        <is>
          <t>Partly</t>
        </is>
      </c>
      <c r="J129" s="9" t="inlineStr">
        <is>
          <t>Industrial and commercial concrete recurring across the east side of the metro.</t>
        </is>
      </c>
      <c r="K129" s="8" t="inlineStr">
        <is>
          <t>Yes</t>
        </is>
      </c>
      <c r="L129" s="9" t="inlineStr">
        <is>
          <t>65 employees on average and more than 1,000 Greater Houston projects since 1969, on the firm's own count. No annual wall figure is published, so this sits at a Partly.</t>
        </is>
      </c>
      <c r="M129" s="8" t="inlineStr">
        <is>
          <t>Partly</t>
        </is>
      </c>
      <c r="N129" s="9" t="inlineStr">
        <is>
          <t>It bought volumetric mixers and stood up its own delivery arm rather than buying ready-mix from a plant. That is paying for a different way to get concrete to a site, though it is not a wall method.</t>
        </is>
      </c>
      <c r="O129" s="8" t="inlineStr">
        <is>
          <t>Partly</t>
        </is>
      </c>
      <c r="P129" s="10" t="inlineStr"/>
      <c r="Q129" s="6">
        <f>HYPERLINK("https://www.linkedin.com/search/results/people/?keywords=Ryan%20Taylor%20T%26T%20Construction","search")</f>
        <v/>
      </c>
      <c r="R129" s="11">
        <f>IF(P129="","ADD LINKEDIN","ok")</f>
        <v/>
      </c>
      <c r="S129" s="6" t="inlineStr">
        <is>
          <t>https://tandtconstruction.com/</t>
        </is>
      </c>
      <c r="T129" s="9" t="inlineStr">
        <is>
          <t>It owns the mix as well as the placing. A printer is fed concrete continuously, and this firm delivers its own.</t>
        </is>
      </c>
      <c r="U129" s="9" t="inlineStr">
        <is>
          <t>Two people carry T&amp;T alongside RD DevCo and E&amp;S Construction in one LinkedIn headline. Neither name appears anywhere on T&amp;T's own site, so the group question is open. | No residential or multifamily work appears on its own site. | Neither RD DevCo nor E&amp;S Construction appears anywhere on T&amp;T's own site, so the group the LinkedIn headlines imply is unconfirmed.</t>
        </is>
      </c>
      <c r="V129" s="6" t="inlineStr"/>
      <c r="W129" s="9" t="inlineStr"/>
      <c r="X129" s="6" t="inlineStr"/>
      <c r="Y129" s="6" t="inlineStr"/>
      <c r="Z129" s="6" t="inlineStr"/>
    </row>
    <row r="130">
      <c r="A130" s="12" t="inlineStr">
        <is>
          <t>Jeff Taylor</t>
        </is>
      </c>
      <c r="B130" s="12" t="inlineStr">
        <is>
          <t>T&amp;T Construction</t>
        </is>
      </c>
      <c r="C130" s="12" t="inlineStr">
        <is>
          <t>Second-generation co-owner, named on the firm's own about page</t>
        </is>
      </c>
      <c r="D130" s="13" t="inlineStr">
        <is>
          <t>Builds the wall, not the house</t>
        </is>
      </c>
      <c r="E130" s="14" t="n">
        <v>3</v>
      </c>
      <c r="F130" s="12" t="inlineStr">
        <is>
          <t>Builds the wall</t>
        </is>
      </c>
      <c r="G130" s="12" t="inlineStr">
        <is>
          <t>Pasadena, Harris</t>
        </is>
      </c>
      <c r="H130" s="12" t="inlineStr">
        <is>
          <t>65 employees, 1,000-plus Houston projects since 1969</t>
        </is>
      </c>
      <c r="I130" s="14" t="inlineStr">
        <is>
          <t>Partly</t>
        </is>
      </c>
      <c r="J130" s="15" t="inlineStr">
        <is>
          <t>Industrial and commercial concrete recurring across the east side of the metro.</t>
        </is>
      </c>
      <c r="K130" s="14" t="inlineStr">
        <is>
          <t>Yes</t>
        </is>
      </c>
      <c r="L130" s="15" t="inlineStr">
        <is>
          <t>65 employees on average and more than 1,000 Greater Houston projects since 1969, on the firm's own count. No annual wall figure is published, so this sits at a Partly.</t>
        </is>
      </c>
      <c r="M130" s="14" t="inlineStr">
        <is>
          <t>Partly</t>
        </is>
      </c>
      <c r="N130" s="15" t="inlineStr">
        <is>
          <t>It bought volumetric mixers and stood up its own delivery arm rather than buying ready-mix from a plant. That is paying for a different way to get concrete to a site, though it is not a wall method.</t>
        </is>
      </c>
      <c r="O130" s="14" t="inlineStr">
        <is>
          <t>Partly</t>
        </is>
      </c>
      <c r="P130" s="10" t="inlineStr"/>
      <c r="Q130" s="12">
        <f>HYPERLINK("https://www.linkedin.com/search/results/people/?keywords=Jeff%20Taylor%20T%26T%20Construction","search")</f>
        <v/>
      </c>
      <c r="R130" s="16">
        <f>IF(P130="","ADD LINKEDIN","ok")</f>
        <v/>
      </c>
      <c r="S130" s="12" t="inlineStr">
        <is>
          <t>https://tandtconstruction.com/</t>
        </is>
      </c>
      <c r="T130" s="15" t="inlineStr">
        <is>
          <t>It owns the mix as well as the placing. A printer is fed concrete continuously, and this firm delivers its own.</t>
        </is>
      </c>
      <c r="U130" s="15" t="inlineStr">
        <is>
          <t>Two people carry T&amp;T alongside RD DevCo and E&amp;S Construction in one LinkedIn headline. Neither name appears anywhere on T&amp;T's own site, so the group question is open. | No residential or multifamily work appears on its own site. | Neither RD DevCo nor E&amp;S Construction appears anywhere on T&amp;T's own site, so the group the LinkedIn headlines imply is unconfirmed.</t>
        </is>
      </c>
      <c r="V130" s="12" t="inlineStr"/>
      <c r="W130" s="15" t="inlineStr"/>
      <c r="X130" s="12" t="inlineStr"/>
      <c r="Y130" s="12" t="inlineStr"/>
      <c r="Z130" s="12" t="inlineStr"/>
    </row>
    <row r="131">
      <c r="A131" s="6" t="inlineStr">
        <is>
          <t>Dianna Taylor</t>
        </is>
      </c>
      <c r="B131" s="6" t="inlineStr">
        <is>
          <t>T&amp;T Construction</t>
        </is>
      </c>
      <c r="C131" s="6" t="inlineStr">
        <is>
          <t>Second-generation co-owner, named on the firm's own about page</t>
        </is>
      </c>
      <c r="D131" s="7" t="inlineStr">
        <is>
          <t>Builds the wall, not the house</t>
        </is>
      </c>
      <c r="E131" s="8" t="n">
        <v>3</v>
      </c>
      <c r="F131" s="6" t="inlineStr">
        <is>
          <t>Builds the wall</t>
        </is>
      </c>
      <c r="G131" s="6" t="inlineStr">
        <is>
          <t>Pasadena, Harris</t>
        </is>
      </c>
      <c r="H131" s="6" t="inlineStr">
        <is>
          <t>65 employees, 1,000-plus Houston projects since 1969</t>
        </is>
      </c>
      <c r="I131" s="8" t="inlineStr">
        <is>
          <t>Partly</t>
        </is>
      </c>
      <c r="J131" s="9" t="inlineStr">
        <is>
          <t>Industrial and commercial concrete recurring across the east side of the metro.</t>
        </is>
      </c>
      <c r="K131" s="8" t="inlineStr">
        <is>
          <t>Yes</t>
        </is>
      </c>
      <c r="L131" s="9" t="inlineStr">
        <is>
          <t>65 employees on average and more than 1,000 Greater Houston projects since 1969, on the firm's own count. No annual wall figure is published, so this sits at a Partly.</t>
        </is>
      </c>
      <c r="M131" s="8" t="inlineStr">
        <is>
          <t>Partly</t>
        </is>
      </c>
      <c r="N131" s="9" t="inlineStr">
        <is>
          <t>It bought volumetric mixers and stood up its own delivery arm rather than buying ready-mix from a plant. That is paying for a different way to get concrete to a site, though it is not a wall method.</t>
        </is>
      </c>
      <c r="O131" s="8" t="inlineStr">
        <is>
          <t>Partly</t>
        </is>
      </c>
      <c r="P131" s="10" t="inlineStr"/>
      <c r="Q131" s="6">
        <f>HYPERLINK("https://www.linkedin.com/search/results/people/?keywords=Dianna%20Taylor%20T%26T%20Construction","search")</f>
        <v/>
      </c>
      <c r="R131" s="11">
        <f>IF(P131="","ADD LINKEDIN","ok")</f>
        <v/>
      </c>
      <c r="S131" s="6" t="inlineStr">
        <is>
          <t>https://tandtconstruction.com/</t>
        </is>
      </c>
      <c r="T131" s="9" t="inlineStr">
        <is>
          <t>It owns the mix as well as the placing. A printer is fed concrete continuously, and this firm delivers its own.</t>
        </is>
      </c>
      <c r="U131" s="9" t="inlineStr">
        <is>
          <t>Two people carry T&amp;T alongside RD DevCo and E&amp;S Construction in one LinkedIn headline. Neither name appears anywhere on T&amp;T's own site, so the group question is open. | No residential or multifamily work appears on its own site. | Neither RD DevCo nor E&amp;S Construction appears anywhere on T&amp;T's own site, so the group the LinkedIn headlines imply is unconfirmed.</t>
        </is>
      </c>
      <c r="V131" s="6" t="inlineStr"/>
      <c r="W131" s="9" t="inlineStr"/>
      <c r="X131" s="6" t="inlineStr"/>
      <c r="Y131" s="6" t="inlineStr"/>
      <c r="Z131" s="6" t="inlineStr"/>
    </row>
    <row r="132">
      <c r="A132" s="12" t="inlineStr">
        <is>
          <t>Chris Richardson</t>
        </is>
      </c>
      <c r="B132" s="12" t="inlineStr">
        <is>
          <t>Blazer Building</t>
        </is>
      </c>
      <c r="C132" s="12" t="inlineStr">
        <is>
          <t>Listed under Senior Leadership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HYPERLINK("https://www.linkedin.com/search/results/people/?keywords=Chris%20Richardson%20Blazer%20Building","search")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2" s="12" t="inlineStr"/>
      <c r="W132" s="15" t="inlineStr"/>
      <c r="X132" s="12" t="inlineStr"/>
      <c r="Y132" s="12" t="inlineStr"/>
      <c r="Z132" s="12" t="inlineStr"/>
    </row>
    <row r="133">
      <c r="A133" s="6" t="inlineStr">
        <is>
          <t>Chad Hillman</t>
        </is>
      </c>
      <c r="B133" s="6" t="inlineStr">
        <is>
          <t>Blazer Building</t>
        </is>
      </c>
      <c r="C133" s="6" t="inlineStr">
        <is>
          <t>Listed under Senior Leadership on the firm's own team page</t>
        </is>
      </c>
      <c r="D133" s="7" t="inlineStr">
        <is>
          <t>Builds the wall, not the house</t>
        </is>
      </c>
      <c r="E133" s="8" t="n">
        <v>2</v>
      </c>
      <c r="F133" s="6" t="inlineStr">
        <is>
          <t>Builds the wall</t>
        </is>
      </c>
      <c r="G133" s="6" t="inlineStr">
        <is>
          <t>Houston, Harris, with Texas growth markets</t>
        </is>
      </c>
      <c r="H133" s="6" t="inlineStr">
        <is>
          <t>Over 44,000 apartment homes in 45-plus years</t>
        </is>
      </c>
      <c r="I133" s="8" t="inlineStr">
        <is>
          <t>Yes</t>
        </is>
      </c>
      <c r="J133" s="9" t="inlineStr">
        <is>
          <t>Garden-style and mid-rise apartment buildings repeating across Texas markets from a Houston office.</t>
        </is>
      </c>
      <c r="K133" s="8" t="inlineStr">
        <is>
          <t>Partly</t>
        </is>
      </c>
      <c r="L133" s="9" t="inlineStr">
        <is>
          <t>Over 44,000 apartment homes in 45 years, so the wall volume is there. It states that it works through trade partners rather than self-performing, so the machine would sit with a subcontractor rather than with Blazer.</t>
        </is>
      </c>
      <c r="M133" s="8" t="inlineStr">
        <is>
          <t>No</t>
        </is>
      </c>
      <c r="N133" s="9" t="inlineStr">
        <is>
          <t>No method statement on record. The only construction-method language on the site is the list of building types it builds.</t>
        </is>
      </c>
      <c r="O133" s="8" t="inlineStr">
        <is>
          <t>Yes</t>
        </is>
      </c>
      <c r="P133" s="10" t="inlineStr"/>
      <c r="Q133" s="6">
        <f>HYPERLINK("https://www.linkedin.com/search/results/people/?keywords=Chad%20Hillman%20Blazer%20Building","search")</f>
        <v/>
      </c>
      <c r="R133" s="11">
        <f>IF(P133="","ADD LINKEDIN","ok")</f>
        <v/>
      </c>
      <c r="S133" s="6" t="inlineStr">
        <is>
          <t>https://www.blazerbuilding.com/</t>
        </is>
      </c>
      <c r="T133" s="9" t="inlineStr">
        <is>
          <t>Over 44,000 apartment homes and 200-plus projects. Garden-style apartments repeat the same wall more than any other product here.</t>
        </is>
      </c>
      <c r="U133"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3" s="6" t="inlineStr"/>
      <c r="W133" s="9" t="inlineStr"/>
      <c r="X133" s="6" t="inlineStr"/>
      <c r="Y133" s="6" t="inlineStr"/>
      <c r="Z133" s="6" t="inlineStr"/>
    </row>
    <row r="134">
      <c r="A134" s="12" t="inlineStr">
        <is>
          <t>Matt Fuqua</t>
        </is>
      </c>
      <c r="B134" s="12" t="inlineStr">
        <is>
          <t>Blazer Building</t>
        </is>
      </c>
      <c r="C134" s="12" t="inlineStr">
        <is>
          <t>Listed under Senior Leadership on the firm's own team page</t>
        </is>
      </c>
      <c r="D134" s="13" t="inlineStr">
        <is>
          <t>Builds the wall, not the house</t>
        </is>
      </c>
      <c r="E134" s="14" t="n">
        <v>2</v>
      </c>
      <c r="F134" s="12" t="inlineStr">
        <is>
          <t>Builds the wall</t>
        </is>
      </c>
      <c r="G134" s="12" t="inlineStr">
        <is>
          <t>Houston, Harris, with Texas growth markets</t>
        </is>
      </c>
      <c r="H134" s="12" t="inlineStr">
        <is>
          <t>Over 44,000 apartment homes in 45-plus years</t>
        </is>
      </c>
      <c r="I134" s="14" t="inlineStr">
        <is>
          <t>Yes</t>
        </is>
      </c>
      <c r="J134" s="15" t="inlineStr">
        <is>
          <t>Garden-style and mid-rise apartment buildings repeating across Texas markets from a Houston office.</t>
        </is>
      </c>
      <c r="K134" s="14" t="inlineStr">
        <is>
          <t>Partly</t>
        </is>
      </c>
      <c r="L134" s="15" t="inlineStr">
        <is>
          <t>Over 44,000 apartment homes in 45 years, so the wall volume is there. It states that it works through trade partners rather than self-performing, so the machine would sit with a subcontractor rather than with Blazer.</t>
        </is>
      </c>
      <c r="M134" s="14" t="inlineStr">
        <is>
          <t>No</t>
        </is>
      </c>
      <c r="N134" s="15" t="inlineStr">
        <is>
          <t>No method statement on record. The only construction-method language on the site is the list of building types it builds.</t>
        </is>
      </c>
      <c r="O134" s="14" t="inlineStr">
        <is>
          <t>Yes</t>
        </is>
      </c>
      <c r="P134" s="10" t="inlineStr"/>
      <c r="Q134" s="12">
        <f>HYPERLINK("https://www.linkedin.com/search/results/people/?keywords=Matt%20Fuqua%20Blazer%20Building","search")</f>
        <v/>
      </c>
      <c r="R134" s="16">
        <f>IF(P134="","ADD LINKEDIN","ok")</f>
        <v/>
      </c>
      <c r="S134" s="12" t="inlineStr">
        <is>
          <t>https://www.blazerbuilding.com/</t>
        </is>
      </c>
      <c r="T134" s="15" t="inlineStr">
        <is>
          <t>Over 44,000 apartment homes and 200-plus projects. Garden-style apartments repeat the same wall more than any other product here.</t>
        </is>
      </c>
      <c r="U134"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4" s="12" t="inlineStr"/>
      <c r="W134" s="15" t="inlineStr"/>
      <c r="X134" s="12" t="inlineStr"/>
      <c r="Y134" s="12" t="inlineStr"/>
      <c r="Z134" s="12" t="inlineStr"/>
    </row>
    <row r="135">
      <c r="A135" s="6" t="inlineStr">
        <is>
          <t>Brian Henderson</t>
        </is>
      </c>
      <c r="B135" s="6" t="inlineStr">
        <is>
          <t>Blazer Building</t>
        </is>
      </c>
      <c r="C135" s="6" t="inlineStr">
        <is>
          <t>Listed under Senior Leadership and Construction Supervision on the firm's own team page</t>
        </is>
      </c>
      <c r="D135" s="7" t="inlineStr">
        <is>
          <t>Builds the wall, not the house</t>
        </is>
      </c>
      <c r="E135" s="8" t="n">
        <v>2</v>
      </c>
      <c r="F135" s="6" t="inlineStr">
        <is>
          <t>Builds the wall</t>
        </is>
      </c>
      <c r="G135" s="6" t="inlineStr">
        <is>
          <t>Houston, Harris, with Texas growth markets</t>
        </is>
      </c>
      <c r="H135" s="6" t="inlineStr">
        <is>
          <t>Over 44,000 apartment homes in 45-plus years</t>
        </is>
      </c>
      <c r="I135" s="8" t="inlineStr">
        <is>
          <t>Yes</t>
        </is>
      </c>
      <c r="J135" s="9" t="inlineStr">
        <is>
          <t>Garden-style and mid-rise apartment buildings repeating across Texas markets from a Houston office.</t>
        </is>
      </c>
      <c r="K135" s="8" t="inlineStr">
        <is>
          <t>Partly</t>
        </is>
      </c>
      <c r="L135" s="9" t="inlineStr">
        <is>
          <t>Over 44,000 apartment homes in 45 years, so the wall volume is there. It states that it works through trade partners rather than self-performing, so the machine would sit with a subcontractor rather than with Blazer.</t>
        </is>
      </c>
      <c r="M135" s="8" t="inlineStr">
        <is>
          <t>No</t>
        </is>
      </c>
      <c r="N135" s="9" t="inlineStr">
        <is>
          <t>No method statement on record. The only construction-method language on the site is the list of building types it builds.</t>
        </is>
      </c>
      <c r="O135" s="8" t="inlineStr">
        <is>
          <t>Yes</t>
        </is>
      </c>
      <c r="P135" s="10" t="inlineStr"/>
      <c r="Q135" s="6">
        <f>HYPERLINK("https://www.linkedin.com/search/results/people/?keywords=Brian%20Henderson%20Blazer%20Building","search")</f>
        <v/>
      </c>
      <c r="R135" s="11">
        <f>IF(P135="","ADD LINKEDIN","ok")</f>
        <v/>
      </c>
      <c r="S135" s="6" t="inlineStr">
        <is>
          <t>https://www.blazerbuilding.com/</t>
        </is>
      </c>
      <c r="T135" s="9" t="inlineStr">
        <is>
          <t>Over 44,000 apartment homes and 200-plus projects. Garden-style apartments repeat the same wall more than any other product here.</t>
        </is>
      </c>
      <c r="U135"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5" s="6" t="inlineStr"/>
      <c r="W135" s="9" t="inlineStr"/>
      <c r="X135" s="6" t="inlineStr"/>
      <c r="Y135" s="6" t="inlineStr"/>
      <c r="Z135" s="6" t="inlineStr"/>
    </row>
    <row r="136">
      <c r="A136" s="12" t="inlineStr">
        <is>
          <t>Trey Green</t>
        </is>
      </c>
      <c r="B136" s="12" t="inlineStr">
        <is>
          <t>Greco Structures</t>
        </is>
      </c>
      <c r="C136" s="12" t="inlineStr">
        <is>
          <t>Senior Vice President, Self Perform Group, Satterfield and Pontikes, named on the parent's own team page as overseeing Greco Structures, Rollcon, Rocket Pumping and Westway</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10" t="inlineStr"/>
      <c r="Q136" s="12">
        <f>HYPERLINK("https://www.linkedin.com/search/results/people/?keywords=Trey%20Green%20Greco%20Structures","search")</f>
        <v/>
      </c>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5"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The parent's own site names Greco among the Satterfield and Pontikes family of companies, so the LinkedIn signal was right. The person who signs sits at the parent, in the self-perform group.</t>
        </is>
      </c>
      <c r="V136" s="12" t="inlineStr">
        <is>
          <t>YES</t>
        </is>
      </c>
      <c r="W136" s="15" t="inlineStr"/>
      <c r="X136" s="12" t="inlineStr"/>
      <c r="Y136" s="12" t="inlineStr"/>
      <c r="Z136" s="12" t="inlineStr"/>
    </row>
    <row r="137">
      <c r="A137" s="6" t="inlineStr">
        <is>
          <t>George A. Pontikes Jr.</t>
        </is>
      </c>
      <c r="B137" s="6" t="inlineStr">
        <is>
          <t>Greco Structures</t>
        </is>
      </c>
      <c r="C137" s="6" t="inlineStr">
        <is>
          <t>Chief Executive Officer and Chairman, Satterfield and Pontikes</t>
        </is>
      </c>
      <c r="D137" s="7" t="inlineStr">
        <is>
          <t>Builds the wall, not the house</t>
        </is>
      </c>
      <c r="E137" s="8" t="n">
        <v>2</v>
      </c>
      <c r="F137" s="6" t="inlineStr">
        <is>
          <t>Builds the wall</t>
        </is>
      </c>
      <c r="G137" s="6" t="inlineStr">
        <is>
          <t>Houston, working Harris and Fort Bend</t>
        </is>
      </c>
      <c r="H137" s="6" t="inlineStr">
        <is>
          <t>49 panels, tallest 52 feet 7 inches, on one job</t>
        </is>
      </c>
      <c r="I137" s="8" t="inlineStr">
        <is>
          <t>Yes</t>
        </is>
      </c>
      <c r="J137" s="9" t="inlineStr">
        <is>
          <t>Panel and deck work recurring across Houston projects for a standing set of general contractors.</t>
        </is>
      </c>
      <c r="K137" s="8" t="inlineStr">
        <is>
          <t>Partly</t>
        </is>
      </c>
      <c r="L137" s="9" t="inlineStr">
        <is>
          <t>No crew count or annual volume is published, and the purchase would clear through the parent's self-perform group rather than through Greco. On the bands, both of those are a Partly.</t>
        </is>
      </c>
      <c r="M137" s="8" t="inlineStr">
        <is>
          <t>No</t>
        </is>
      </c>
      <c r="N137" s="9" t="inlineStr">
        <is>
          <t>No method statement on record.</t>
        </is>
      </c>
      <c r="O137" s="8" t="inlineStr">
        <is>
          <t>Yes</t>
        </is>
      </c>
      <c r="P137" s="10" t="inlineStr"/>
      <c r="Q137" s="6">
        <f>HYPERLINK("https://www.linkedin.com/search/results/people/?keywords=George%20A.%20Pontikes%20Jr.%20Greco%20Structures","search")</f>
        <v/>
      </c>
      <c r="R137" s="11">
        <f>IF(P137="","ADD LINKEDIN","ok")</f>
        <v/>
      </c>
      <c r="S137" s="6" t="inlineStr">
        <is>
          <t>https://grecostructures.com/</t>
        </is>
      </c>
      <c r="T137" s="9" t="inlineStr">
        <is>
          <t>Panels at 52 feet and elevated post-tensioned decks. The work repeats inside one metro and is bought by general contractors rather than by owners.</t>
        </is>
      </c>
      <c r="U137" s="9"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The parent's own site names Greco among the Satterfield and Pontikes family of companies, so the LinkedIn signal was right. The person who signs sits at the parent, in the self-perform group.</t>
        </is>
      </c>
      <c r="V137" s="6" t="inlineStr"/>
      <c r="W137" s="9" t="inlineStr"/>
      <c r="X137" s="6" t="inlineStr"/>
      <c r="Y137" s="6" t="inlineStr"/>
      <c r="Z137" s="6" t="inlineStr"/>
    </row>
    <row r="138">
      <c r="A138" s="12" t="inlineStr">
        <is>
          <t>Thomas Valentine</t>
        </is>
      </c>
      <c r="B138" s="12" t="inlineStr">
        <is>
          <t>Greco Structures</t>
        </is>
      </c>
      <c r="C138" s="12" t="inlineStr">
        <is>
          <t>Operations Manager</t>
        </is>
      </c>
      <c r="D138" s="13" t="inlineStr">
        <is>
          <t>Builds the wall, not the house</t>
        </is>
      </c>
      <c r="E138" s="14" t="n">
        <v>2</v>
      </c>
      <c r="F138" s="12" t="inlineStr">
        <is>
          <t>Builds the wall</t>
        </is>
      </c>
      <c r="G138" s="12" t="inlineStr">
        <is>
          <t>Houston, working Harris and Fort Bend</t>
        </is>
      </c>
      <c r="H138" s="12" t="inlineStr">
        <is>
          <t>49 panels, tallest 52 feet 7 inches, on one job</t>
        </is>
      </c>
      <c r="I138" s="14" t="inlineStr">
        <is>
          <t>Yes</t>
        </is>
      </c>
      <c r="J138" s="15" t="inlineStr">
        <is>
          <t>Panel and deck work recurring across Houston projects for a standing set of general contractors.</t>
        </is>
      </c>
      <c r="K138" s="14" t="inlineStr">
        <is>
          <t>Partly</t>
        </is>
      </c>
      <c r="L138" s="15" t="inlineStr">
        <is>
          <t>No crew count or annual volume is published, and the purchase would clear through the parent's self-perform group rather than through Greco. On the bands, both of those are a Partly.</t>
        </is>
      </c>
      <c r="M138" s="14" t="inlineStr">
        <is>
          <t>No</t>
        </is>
      </c>
      <c r="N138" s="15" t="inlineStr">
        <is>
          <t>No method statement on record.</t>
        </is>
      </c>
      <c r="O138" s="14" t="inlineStr">
        <is>
          <t>Yes</t>
        </is>
      </c>
      <c r="P138" s="6" t="inlineStr">
        <is>
          <t>https://www.linkedin.com/in/thomas-valentine-6b1a7b117/</t>
        </is>
      </c>
      <c r="Q138" s="12" t="inlineStr"/>
      <c r="R138" s="16">
        <f>IF(P138="","ADD LINKEDIN","ok")</f>
        <v/>
      </c>
      <c r="S138" s="12" t="inlineStr">
        <is>
          <t>https://grecostructures.com/</t>
        </is>
      </c>
      <c r="T138" s="15" t="inlineStr">
        <is>
          <t>Panels at 52 feet and elevated post-tensioned decks. The work repeats inside one metro and is bought by general contractors rather than by owners.</t>
        </is>
      </c>
      <c r="U138" s="15"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The parent's own site names Greco among the Satterfield and Pontikes family of companies, so the LinkedIn signal was right. The person who signs sits at the parent, in the self-perform group.</t>
        </is>
      </c>
      <c r="V138" s="12" t="inlineStr"/>
      <c r="W138" s="15" t="inlineStr">
        <is>
          <t>Headline reads Operations Manager at Greco Structures. Spring, Texas.</t>
        </is>
      </c>
      <c r="X138" s="12" t="inlineStr"/>
      <c r="Y138" s="12" t="inlineStr"/>
      <c r="Z138" s="12" t="inlineStr"/>
    </row>
    <row r="139">
      <c r="A139" s="6" t="inlineStr">
        <is>
          <t>Jordan Lopez</t>
        </is>
      </c>
      <c r="B139" s="6" t="inlineStr">
        <is>
          <t>Greco Structures</t>
        </is>
      </c>
      <c r="C139" s="6" t="inlineStr">
        <is>
          <t>Business Development, Greco Structures and Rollcon</t>
        </is>
      </c>
      <c r="D139" s="7" t="inlineStr">
        <is>
          <t>Builds the wall, not the house</t>
        </is>
      </c>
      <c r="E139" s="8" t="n">
        <v>2</v>
      </c>
      <c r="F139" s="6" t="inlineStr">
        <is>
          <t>Builds the wall</t>
        </is>
      </c>
      <c r="G139" s="6" t="inlineStr">
        <is>
          <t>Houston, working Harris and Fort Bend</t>
        </is>
      </c>
      <c r="H139" s="6" t="inlineStr">
        <is>
          <t>49 panels, tallest 52 feet 7 inches, on one job</t>
        </is>
      </c>
      <c r="I139" s="8" t="inlineStr">
        <is>
          <t>Yes</t>
        </is>
      </c>
      <c r="J139" s="9" t="inlineStr">
        <is>
          <t>Panel and deck work recurring across Houston projects for a standing set of general contractors.</t>
        </is>
      </c>
      <c r="K139" s="8" t="inlineStr">
        <is>
          <t>Partly</t>
        </is>
      </c>
      <c r="L139" s="9" t="inlineStr">
        <is>
          <t>No crew count or annual volume is published, and the purchase would clear through the parent's self-perform group rather than through Greco. On the bands, both of those are a Partly.</t>
        </is>
      </c>
      <c r="M139" s="8" t="inlineStr">
        <is>
          <t>No</t>
        </is>
      </c>
      <c r="N139" s="9" t="inlineStr">
        <is>
          <t>No method statement on record.</t>
        </is>
      </c>
      <c r="O139" s="8" t="inlineStr">
        <is>
          <t>Yes</t>
        </is>
      </c>
      <c r="P139" s="6" t="inlineStr">
        <is>
          <t>https://www.linkedin.com/in/jordan-lopez-528225229/</t>
        </is>
      </c>
      <c r="Q139" s="6" t="inlineStr"/>
      <c r="R139" s="11">
        <f>IF(P139="","ADD LINKEDIN","ok")</f>
        <v/>
      </c>
      <c r="S139" s="6" t="inlineStr">
        <is>
          <t>https://grecostructures.com/</t>
        </is>
      </c>
      <c r="T139" s="9" t="inlineStr">
        <is>
          <t>Panels at 52 feet and elevated post-tensioned decks. The work repeats inside one metro and is bought by general contractors rather than by owners.</t>
        </is>
      </c>
      <c r="U139" s="9"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The parent's own site names Greco among the Satterfield and Pontikes family of companies, so the LinkedIn signal was right. The person who signs sits at the parent, in the self-perform group.</t>
        </is>
      </c>
      <c r="V139" s="6" t="inlineStr"/>
      <c r="W139" s="9" t="inlineStr">
        <is>
          <t>Headline reads Business Development Specialist for Greco Structures &amp; Rollcon. Houston, Texas.</t>
        </is>
      </c>
      <c r="X139" s="6" t="inlineStr"/>
      <c r="Y139" s="6" t="inlineStr"/>
      <c r="Z139" s="6" t="inlineStr"/>
    </row>
    <row r="140">
      <c r="A140" s="12" t="inlineStr">
        <is>
          <t>David E. Harvey Sr.</t>
        </is>
      </c>
      <c r="B140" s="12" t="inlineStr">
        <is>
          <t>Harvey Cleary</t>
        </is>
      </c>
      <c r="C140" s="12" t="inlineStr">
        <is>
          <t>Founder, named on the firm's own about page</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10" t="inlineStr"/>
      <c r="Q140" s="12">
        <f>HYPERLINK("https://www.linkedin.com/search/results/people/?keywords=David%20E.%20Harvey%20Sr.%20Harvey%20Cleary","search")</f>
        <v/>
      </c>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5"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0" s="12" t="inlineStr"/>
      <c r="W140" s="15" t="inlineStr"/>
      <c r="X140" s="12" t="inlineStr"/>
      <c r="Y140" s="12" t="inlineStr"/>
      <c r="Z140" s="12" t="inlineStr"/>
    </row>
    <row r="141">
      <c r="A141" s="6" t="inlineStr">
        <is>
          <t>David Harvey Jr.</t>
        </is>
      </c>
      <c r="B141" s="6" t="inlineStr">
        <is>
          <t>Harvey Cleary</t>
        </is>
      </c>
      <c r="C141" s="6" t="inlineStr">
        <is>
          <t>Took ownership in 1987, named on the firm's own about page</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10" t="inlineStr"/>
      <c r="Q141" s="6">
        <f>HYPERLINK("https://www.linkedin.com/search/results/people/?keywords=David%20Harvey%20Jr.%20Harvey%20Cleary","search")</f>
        <v/>
      </c>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9"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1" s="6" t="inlineStr"/>
      <c r="W141" s="9" t="inlineStr"/>
      <c r="X141" s="6" t="inlineStr"/>
      <c r="Y141" s="6" t="inlineStr"/>
      <c r="Z141" s="6" t="inlineStr"/>
    </row>
    <row r="142">
      <c r="A142" s="12" t="inlineStr">
        <is>
          <t>Joseph Cleary</t>
        </is>
      </c>
      <c r="B142" s="12" t="inlineStr">
        <is>
          <t>Harvey Cleary</t>
        </is>
      </c>
      <c r="C142" s="12" t="inlineStr">
        <is>
          <t>Took ownership in 1987, named on the firm's own about page</t>
        </is>
      </c>
      <c r="D142" s="13" t="inlineStr">
        <is>
          <t>Builds the wall, not the house</t>
        </is>
      </c>
      <c r="E142" s="14" t="n">
        <v>2</v>
      </c>
      <c r="F142" s="12" t="inlineStr">
        <is>
          <t>Builds the wall</t>
        </is>
      </c>
      <c r="G142" s="12" t="inlineStr">
        <is>
          <t>Houston, with Austin, San Antonio, Denver and Washington</t>
        </is>
      </c>
      <c r="H142" s="12" t="inlineStr">
        <is>
          <t>$2 billion in volume, 700-plus employees, founded 1957</t>
        </is>
      </c>
      <c r="I142" s="14" t="inlineStr">
        <is>
          <t>Yes</t>
        </is>
      </c>
      <c r="J142" s="15" t="inlineStr">
        <is>
          <t>A standing residential market inside the firm, with multifamily buildings delivered repeatedly alongside the commercial work.</t>
        </is>
      </c>
      <c r="K142" s="14" t="inlineStr">
        <is>
          <t>Partly</t>
        </is>
      </c>
      <c r="L142" s="15" t="inlineStr">
        <is>
          <t>$2 billion in construction volume and more than 700 employees on the firm's own count. One or two printers would be a line inside a business that size rather than the business.</t>
        </is>
      </c>
      <c r="M142" s="14" t="inlineStr">
        <is>
          <t>No</t>
        </is>
      </c>
      <c r="N142" s="15" t="inlineStr">
        <is>
          <t>No method statement on record. Owning the equipment and the crews is not the same as having paid for a method that was new at the time.</t>
        </is>
      </c>
      <c r="O142" s="14" t="inlineStr">
        <is>
          <t>Yes</t>
        </is>
      </c>
      <c r="P142" s="10" t="inlineStr"/>
      <c r="Q142" s="12">
        <f>HYPERLINK("https://www.linkedin.com/search/results/people/?keywords=Joseph%20Cleary%20Harvey%20Cleary","search")</f>
        <v/>
      </c>
      <c r="R142" s="16">
        <f>IF(P142="","ADD LINKEDIN","ok")</f>
        <v/>
      </c>
      <c r="S142" s="12" t="inlineStr">
        <is>
          <t>https://www.harveycleary.com/</t>
        </is>
      </c>
      <c r="T142" s="15" t="inlineStr">
        <is>
          <t>It owns formwork, rebar, place and finish, tiltwall erection, architectural precast and tower crane erection, and it builds apartments. No other firm screened discloses that much owned trade.</t>
        </is>
      </c>
      <c r="U142" s="15"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2" s="12" t="inlineStr"/>
      <c r="W142" s="15" t="inlineStr"/>
      <c r="X142" s="12" t="inlineStr"/>
      <c r="Y142" s="12" t="inlineStr"/>
      <c r="Z142" s="12" t="inlineStr"/>
    </row>
    <row r="143">
      <c r="A143" s="6" t="inlineStr">
        <is>
          <t>Scott Clarke</t>
        </is>
      </c>
      <c r="B143" s="6" t="inlineStr">
        <is>
          <t>Harvey Cleary</t>
        </is>
      </c>
      <c r="C143" s="6" t="inlineStr">
        <is>
          <t>Chief Operating Officer</t>
        </is>
      </c>
      <c r="D143" s="7" t="inlineStr">
        <is>
          <t>Builds the wall, not the house</t>
        </is>
      </c>
      <c r="E143" s="8" t="n">
        <v>2</v>
      </c>
      <c r="F143" s="6" t="inlineStr">
        <is>
          <t>Builds the wall</t>
        </is>
      </c>
      <c r="G143" s="6" t="inlineStr">
        <is>
          <t>Houston, with Austin, San Antonio, Denver and Washington</t>
        </is>
      </c>
      <c r="H143" s="6" t="inlineStr">
        <is>
          <t>$2 billion in volume, 700-plus employees, founded 1957</t>
        </is>
      </c>
      <c r="I143" s="8" t="inlineStr">
        <is>
          <t>Yes</t>
        </is>
      </c>
      <c r="J143" s="9" t="inlineStr">
        <is>
          <t>A standing residential market inside the firm, with multifamily buildings delivered repeatedly alongside the commercial work.</t>
        </is>
      </c>
      <c r="K143" s="8" t="inlineStr">
        <is>
          <t>Partly</t>
        </is>
      </c>
      <c r="L143" s="9" t="inlineStr">
        <is>
          <t>$2 billion in construction volume and more than 700 employees on the firm's own count. One or two printers would be a line inside a business that size rather than the business.</t>
        </is>
      </c>
      <c r="M143" s="8" t="inlineStr">
        <is>
          <t>No</t>
        </is>
      </c>
      <c r="N143" s="9" t="inlineStr">
        <is>
          <t>No method statement on record. Owning the equipment and the crews is not the same as having paid for a method that was new at the time.</t>
        </is>
      </c>
      <c r="O143" s="8" t="inlineStr">
        <is>
          <t>Yes</t>
        </is>
      </c>
      <c r="P143" s="6" t="inlineStr">
        <is>
          <t>https://www.linkedin.com/in/scott-clarke-a2a1a521/</t>
        </is>
      </c>
      <c r="Q143" s="6" t="inlineStr"/>
      <c r="R143" s="11">
        <f>IF(P143="","ADD LINKEDIN","ok")</f>
        <v/>
      </c>
      <c r="S143" s="6" t="inlineStr">
        <is>
          <t>https://www.harveycleary.com/</t>
        </is>
      </c>
      <c r="T143" s="9" t="inlineStr">
        <is>
          <t>It owns formwork, rebar, place and finish, tiltwall erection, architectural precast and tower crane erection, and it builds apartments. No other firm screened discloses that much owned trade.</t>
        </is>
      </c>
      <c r="U143" s="9"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3" s="6" t="inlineStr">
        <is>
          <t>YES</t>
        </is>
      </c>
      <c r="W143" s="9" t="inlineStr">
        <is>
          <t>Headline reads Chief Operating Officer at Harvey | Harvey-Cleary Builders. Houston, Texas.</t>
        </is>
      </c>
      <c r="X143" s="6" t="inlineStr"/>
      <c r="Y143" s="6" t="inlineStr"/>
      <c r="Z143" s="6" t="inlineStr"/>
    </row>
    <row r="144">
      <c r="A144" s="12" t="inlineStr">
        <is>
          <t>Jarrod Portelance</t>
        </is>
      </c>
      <c r="B144" s="12" t="inlineStr">
        <is>
          <t>Harvey Cleary</t>
        </is>
      </c>
      <c r="C144" s="12" t="inlineStr">
        <is>
          <t>Project Director</t>
        </is>
      </c>
      <c r="D144" s="13" t="inlineStr">
        <is>
          <t>Builds the wall, not the house</t>
        </is>
      </c>
      <c r="E144" s="14" t="n">
        <v>2</v>
      </c>
      <c r="F144" s="12" t="inlineStr">
        <is>
          <t>Builds the wall</t>
        </is>
      </c>
      <c r="G144" s="12" t="inlineStr">
        <is>
          <t>Houston, with Austin, San Antonio, Denver and Washington</t>
        </is>
      </c>
      <c r="H144" s="12" t="inlineStr">
        <is>
          <t>$2 billion in volume, 700-plus employees, founded 1957</t>
        </is>
      </c>
      <c r="I144" s="14" t="inlineStr">
        <is>
          <t>Yes</t>
        </is>
      </c>
      <c r="J144" s="15" t="inlineStr">
        <is>
          <t>A standing residential market inside the firm, with multifamily buildings delivered repeatedly alongside the commercial work.</t>
        </is>
      </c>
      <c r="K144" s="14" t="inlineStr">
        <is>
          <t>Partly</t>
        </is>
      </c>
      <c r="L144" s="15" t="inlineStr">
        <is>
          <t>$2 billion in construction volume and more than 700 employees on the firm's own count. One or two printers would be a line inside a business that size rather than the business.</t>
        </is>
      </c>
      <c r="M144" s="14" t="inlineStr">
        <is>
          <t>No</t>
        </is>
      </c>
      <c r="N144" s="15" t="inlineStr">
        <is>
          <t>No method statement on record. Owning the equipment and the crews is not the same as having paid for a method that was new at the time.</t>
        </is>
      </c>
      <c r="O144" s="14" t="inlineStr">
        <is>
          <t>Yes</t>
        </is>
      </c>
      <c r="P144" s="6" t="inlineStr">
        <is>
          <t>https://www.linkedin.com/in/jarrodportelance/</t>
        </is>
      </c>
      <c r="Q144" s="12" t="inlineStr"/>
      <c r="R144" s="16">
        <f>IF(P144="","ADD LINKEDIN","ok")</f>
        <v/>
      </c>
      <c r="S144" s="12" t="inlineStr">
        <is>
          <t>https://www.harveycleary.com/</t>
        </is>
      </c>
      <c r="T144" s="15" t="inlineStr">
        <is>
          <t>It owns formwork, rebar, place and finish, tiltwall erection, architectural precast and tower crane erection, and it builds apartments. No other firm screened discloses that much owned trade.</t>
        </is>
      </c>
      <c r="U144" s="15"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4" s="12" t="inlineStr"/>
      <c r="W144" s="15" t="inlineStr">
        <is>
          <t>Headline reads Project Director at Harvey | Harvey-Cleary Builders. Houston, Texas.</t>
        </is>
      </c>
      <c r="X144" s="12" t="inlineStr"/>
      <c r="Y144" s="12" t="inlineStr"/>
      <c r="Z144" s="12" t="inlineStr"/>
    </row>
    <row r="145">
      <c r="A145" s="6" t="inlineStr">
        <is>
          <t>Travis Boone</t>
        </is>
      </c>
      <c r="B145" s="6" t="inlineStr">
        <is>
          <t>ORION</t>
        </is>
      </c>
      <c r="C145" s="6" t="inlineStr">
        <is>
          <t>Chief Executive Officer, Orion Group Holdings, quoted in the firm's own release of 29 January 2024</t>
        </is>
      </c>
      <c r="D145" s="7" t="inlineStr">
        <is>
          <t>Builds the wall, not the house</t>
        </is>
      </c>
      <c r="E145" s="8" t="n">
        <v>2</v>
      </c>
      <c r="F145" s="6" t="inlineStr">
        <is>
          <t>Builds the wall</t>
        </is>
      </c>
      <c r="G145" s="6" t="inlineStr">
        <is>
          <t>Houston, Harris</t>
        </is>
      </c>
      <c r="H145" s="6" t="inlineStr">
        <is>
          <t>257 panels and 175,820 square feet of wall on one job</t>
        </is>
      </c>
      <c r="I145" s="8" t="inlineStr">
        <is>
          <t>Yes</t>
        </is>
      </c>
      <c r="J145" s="9" t="inlineStr">
        <is>
          <t>Panel production at the top of the metro's range, recurring across institutional and commercial work.</t>
        </is>
      </c>
      <c r="K145" s="8" t="inlineStr">
        <is>
          <t>Partly</t>
        </is>
      </c>
      <c r="L145" s="9" t="inlineStr">
        <is>
          <t>The concrete business is large enough that a printer is a line item, and the capital decision sits with a listed parent rather than in Houston.</t>
        </is>
      </c>
      <c r="M145" s="8" t="inlineStr">
        <is>
          <t>No</t>
        </is>
      </c>
      <c r="N145" s="9" t="inlineStr">
        <is>
          <t>No method statement on record.</t>
        </is>
      </c>
      <c r="O145" s="8" t="inlineStr">
        <is>
          <t>Yes</t>
        </is>
      </c>
      <c r="P145" s="10" t="inlineStr"/>
      <c r="Q145" s="6">
        <f>HYPERLINK("https://www.linkedin.com/search/results/people/?keywords=Travis%20Boone%20ORION","search")</f>
        <v/>
      </c>
      <c r="R145" s="11">
        <f>IF(P145="","ADD LINKEDIN","ok")</f>
        <v/>
      </c>
      <c r="S145" s="6" t="inlineStr">
        <is>
          <t>https://www.oriongroupholdingsinc.com/</t>
        </is>
      </c>
      <c r="T145" s="9" t="inlineStr">
        <is>
          <t>The largest single panel production found in the metro, at 257 panels on one school. Purchasing now runs through a listed parent.</t>
        </is>
      </c>
      <c r="U145" s="9" t="inlineStr">
        <is>
          <t>The award-listed panel record was set under the TAS name before the rebrand. | Purchasing sits inside a listed parent, so expect a corporate capital process rather than an owner's decision. | Travis Boone runs the listed parent, not the Houston concrete business. The capital decision would sit with him; the work does not. | No residential or multifamily work is published.</t>
        </is>
      </c>
      <c r="V145" s="6" t="inlineStr">
        <is>
          <t>YES</t>
        </is>
      </c>
      <c r="W145" s="9" t="inlineStr"/>
      <c r="X145" s="6" t="inlineStr"/>
      <c r="Y145" s="6" t="inlineStr"/>
      <c r="Z145" s="6" t="inlineStr"/>
    </row>
    <row r="146">
      <c r="A146" s="12" t="inlineStr">
        <is>
          <t>Victor Andrade</t>
        </is>
      </c>
      <c r="B146" s="12" t="inlineStr">
        <is>
          <t>Andrade Construction Companies</t>
        </is>
      </c>
      <c r="C146" s="12" t="inlineStr">
        <is>
          <t>Founder, named on the firm's own about page as having started the firm in 2003</t>
        </is>
      </c>
      <c r="D146" s="13" t="inlineStr">
        <is>
          <t>Builds the wall, not the house</t>
        </is>
      </c>
      <c r="E146" s="14" t="n">
        <v>2</v>
      </c>
      <c r="F146" s="12" t="inlineStr">
        <is>
          <t>Builds the wall</t>
        </is>
      </c>
      <c r="G146" s="12" t="inlineStr">
        <is>
          <t>Houston, working Harris and Brazoria</t>
        </is>
      </c>
      <c r="H146" s="12" t="inlineStr">
        <is>
          <t>Owns earthwork, utilities and concrete</t>
        </is>
      </c>
      <c r="I146" s="14" t="inlineStr">
        <is>
          <t>Partly</t>
        </is>
      </c>
      <c r="J146" s="15" t="inlineStr">
        <is>
          <t>Site and concrete packages recurring across Houston jobs, though the buildings themselves differ.</t>
        </is>
      </c>
      <c r="K146" s="14" t="inlineStr">
        <is>
          <t>Yes</t>
        </is>
      </c>
      <c r="L146" s="15" t="inlineStr">
        <is>
          <t>No crew count, revenue or annual volume is published. On the bands, a firm with no published figure is a Partly.</t>
        </is>
      </c>
      <c r="M146" s="14" t="inlineStr">
        <is>
          <t>No</t>
        </is>
      </c>
      <c r="N146" s="15" t="inlineStr">
        <is>
          <t>No method statement on record.</t>
        </is>
      </c>
      <c r="O146" s="14" t="inlineStr">
        <is>
          <t>Partly</t>
        </is>
      </c>
      <c r="P146" s="10" t="inlineStr"/>
      <c r="Q146" s="12">
        <f>HYPERLINK("https://www.linkedin.com/search/results/people/?keywords=Victor%20Andrade%20Andrade%20Construction%20Companies","search")</f>
        <v/>
      </c>
      <c r="R146" s="16">
        <f>IF(P146="","ADD LINKEDIN","ok")</f>
        <v/>
      </c>
      <c r="S146" s="12" t="inlineStr">
        <is>
          <t>https://andradeconstructioncompanies.com/</t>
        </is>
      </c>
      <c r="T146" s="15" t="inlineStr">
        <is>
          <t>It owns the earthwork, the utilities and the concrete on the same site, so a printer would stand on a slab its own crews poured.</t>
        </is>
      </c>
      <c r="U146" s="15" t="inlineStr">
        <is>
          <t>Its published housing exposure is site utilities, not wall work. | A second web presence, andradeconcrete.com, carries the name Andrade Concrete and Construction and is a placeholder page with no address, services or people. A chief operating officer is held on LinkedIn under that second name. Whether the two are one business is unsettled. | No crew count or revenue is published.</t>
        </is>
      </c>
      <c r="V146" s="12" t="inlineStr"/>
      <c r="W146" s="15" t="inlineStr"/>
      <c r="X146" s="12" t="inlineStr"/>
      <c r="Y146" s="12" t="inlineStr"/>
      <c r="Z146" s="12" t="inlineStr"/>
    </row>
    <row r="147">
      <c r="A147" s="6" t="inlineStr">
        <is>
          <t>Eric Rice</t>
        </is>
      </c>
      <c r="B147" s="6" t="inlineStr">
        <is>
          <t>Andrade Construction Companies</t>
        </is>
      </c>
      <c r="C147" s="6" t="inlineStr">
        <is>
          <t>Business Development Manager</t>
        </is>
      </c>
      <c r="D147" s="7" t="inlineStr">
        <is>
          <t>Builds the wall, not the house</t>
        </is>
      </c>
      <c r="E147" s="8" t="n">
        <v>2</v>
      </c>
      <c r="F147" s="6" t="inlineStr">
        <is>
          <t>Builds the wall</t>
        </is>
      </c>
      <c r="G147" s="6" t="inlineStr">
        <is>
          <t>Houston, working Harris and Brazoria</t>
        </is>
      </c>
      <c r="H147" s="6" t="inlineStr">
        <is>
          <t>Owns earthwork, utilities and concrete</t>
        </is>
      </c>
      <c r="I147" s="8" t="inlineStr">
        <is>
          <t>Partly</t>
        </is>
      </c>
      <c r="J147" s="9" t="inlineStr">
        <is>
          <t>Site and concrete packages recurring across Houston jobs, though the buildings themselves differ.</t>
        </is>
      </c>
      <c r="K147" s="8" t="inlineStr">
        <is>
          <t>Yes</t>
        </is>
      </c>
      <c r="L147" s="9" t="inlineStr">
        <is>
          <t>No crew count, revenue or annual volume is published. On the bands, a firm with no published figure is a Partly.</t>
        </is>
      </c>
      <c r="M147" s="8" t="inlineStr">
        <is>
          <t>No</t>
        </is>
      </c>
      <c r="N147" s="9" t="inlineStr">
        <is>
          <t>No method statement on record.</t>
        </is>
      </c>
      <c r="O147" s="8" t="inlineStr">
        <is>
          <t>Partly</t>
        </is>
      </c>
      <c r="P147" s="6" t="inlineStr">
        <is>
          <t>https://www.linkedin.com/in/eric-rice-177124352/</t>
        </is>
      </c>
      <c r="Q147" s="6" t="inlineStr"/>
      <c r="R147" s="11">
        <f>IF(P147="","ADD LINKEDIN","ok")</f>
        <v/>
      </c>
      <c r="S147" s="6" t="inlineStr">
        <is>
          <t>https://andradeconstructioncompanies.com/</t>
        </is>
      </c>
      <c r="T147" s="9" t="inlineStr">
        <is>
          <t>It owns the earthwork, the utilities and the concrete on the same site, so a printer would stand on a slab its own crews poured.</t>
        </is>
      </c>
      <c r="U147" s="9" t="inlineStr">
        <is>
          <t>Its published housing exposure is site utilities, not wall work. | A second web presence, andradeconcrete.com, carries the name Andrade Concrete and Construction and is a placeholder page with no address, services or people. A chief operating officer is held on LinkedIn under that second name. Whether the two are one business is unsettled. | No crew count or revenue is published.</t>
        </is>
      </c>
      <c r="V147" s="6" t="inlineStr"/>
      <c r="W147" s="9" t="inlineStr">
        <is>
          <t>Headline reads Business Development Manager at Andrade Construction Companies. Houston, Texas.</t>
        </is>
      </c>
      <c r="X147" s="6" t="inlineStr"/>
      <c r="Y147" s="6" t="inlineStr"/>
      <c r="Z147" s="6" t="inlineStr"/>
    </row>
    <row r="148">
      <c r="A148" s="12" t="inlineStr">
        <is>
          <t>Luis Andrade</t>
        </is>
      </c>
      <c r="B148" s="12" t="inlineStr">
        <is>
          <t>Andrade Construction Companies</t>
        </is>
      </c>
      <c r="C148" s="12" t="inlineStr">
        <is>
          <t>Chief Operating Officer, Andrade Concrete and Construction</t>
        </is>
      </c>
      <c r="D148" s="13" t="inlineStr">
        <is>
          <t>Builds the wall, not the house</t>
        </is>
      </c>
      <c r="E148" s="14" t="n">
        <v>2</v>
      </c>
      <c r="F148" s="12" t="inlineStr">
        <is>
          <t>Builds the wall</t>
        </is>
      </c>
      <c r="G148" s="12" t="inlineStr">
        <is>
          <t>Houston, working Harris and Brazoria</t>
        </is>
      </c>
      <c r="H148" s="12" t="inlineStr">
        <is>
          <t>Owns earthwork, utilities and concrete</t>
        </is>
      </c>
      <c r="I148" s="14" t="inlineStr">
        <is>
          <t>Partly</t>
        </is>
      </c>
      <c r="J148" s="15" t="inlineStr">
        <is>
          <t>Site and concrete packages recurring across Houston jobs, though the buildings themselves differ.</t>
        </is>
      </c>
      <c r="K148" s="14" t="inlineStr">
        <is>
          <t>Yes</t>
        </is>
      </c>
      <c r="L148" s="15" t="inlineStr">
        <is>
          <t>No crew count, revenue or annual volume is published. On the bands, a firm with no published figure is a Partly.</t>
        </is>
      </c>
      <c r="M148" s="14" t="inlineStr">
        <is>
          <t>No</t>
        </is>
      </c>
      <c r="N148" s="15" t="inlineStr">
        <is>
          <t>No method statement on record.</t>
        </is>
      </c>
      <c r="O148" s="14" t="inlineStr">
        <is>
          <t>Partly</t>
        </is>
      </c>
      <c r="P148" s="6" t="inlineStr">
        <is>
          <t>https://www.linkedin.com/in/luis-andrade-128317159/</t>
        </is>
      </c>
      <c r="Q148" s="12" t="inlineStr"/>
      <c r="R148" s="16">
        <f>IF(P148="","ADD LINKEDIN","ok")</f>
        <v/>
      </c>
      <c r="S148" s="12" t="inlineStr">
        <is>
          <t>https://andradeconstructioncompanies.com/</t>
        </is>
      </c>
      <c r="T148" s="15" t="inlineStr">
        <is>
          <t>It owns the earthwork, the utilities and the concrete on the same site, so a printer would stand on a slab its own crews poured.</t>
        </is>
      </c>
      <c r="U148" s="15" t="inlineStr">
        <is>
          <t>Its published housing exposure is site utilities, not wall work. | A second web presence, andradeconcrete.com, carries the name Andrade Concrete and Construction and is a placeholder page with no address, services or people. A chief operating officer is held on LinkedIn under that second name. Whether the two are one business is unsettled. | No crew count or revenue is published.</t>
        </is>
      </c>
      <c r="V148" s="12" t="inlineStr"/>
      <c r="W148" s="15" t="inlineStr">
        <is>
          <t>Headline reads COO at Andrade Concrete &amp; Construction Inc., which is a different registered name from Andrade Construction Companies. Confirm the two are the same business.</t>
        </is>
      </c>
      <c r="X148" s="12" t="inlineStr"/>
      <c r="Y148" s="12" t="inlineStr"/>
      <c r="Z148" s="12" t="inlineStr"/>
    </row>
    <row r="149">
      <c r="A149" s="6" t="inlineStr">
        <is>
          <t>J. Cameron Guinn</t>
        </is>
      </c>
      <c r="B149" s="6" t="inlineStr">
        <is>
          <t>HTX Concrete</t>
        </is>
      </c>
      <c r="C149" s="6" t="inlineStr">
        <is>
          <t>Vice President, Business Development</t>
        </is>
      </c>
      <c r="D149" s="7" t="inlineStr">
        <is>
          <t>Builds the wall, not the house</t>
        </is>
      </c>
      <c r="E149" s="8" t="n">
        <v>2</v>
      </c>
      <c r="F149" s="6" t="inlineStr">
        <is>
          <t>Builds the wall</t>
        </is>
      </c>
      <c r="G149" s="6" t="inlineStr">
        <is>
          <t>Houston, working Harris, Fort Bend and Brazoria</t>
        </is>
      </c>
      <c r="H149" s="6" t="inlineStr">
        <is>
          <t>Names a garden-style multifamily project on its own site</t>
        </is>
      </c>
      <c r="I149" s="8" t="inlineStr">
        <is>
          <t>Partly</t>
        </is>
      </c>
      <c r="J149" s="9" t="inlineStr">
        <is>
          <t>Commercial shells and paving across the metro. The published square footages are weighted to paving rather than to wall.</t>
        </is>
      </c>
      <c r="K149" s="8" t="inlineStr">
        <is>
          <t>Yes</t>
        </is>
      </c>
      <c r="L149" s="9" t="inlineStr">
        <is>
          <t>No annual volume is published. The one published wall figure is 12,000 square feet of tilt wall against 155,000 gross square feet of paving on the same job.</t>
        </is>
      </c>
      <c r="M149" s="8" t="inlineStr">
        <is>
          <t>No</t>
        </is>
      </c>
      <c r="N149" s="9" t="inlineStr">
        <is>
          <t>No method statement on record.</t>
        </is>
      </c>
      <c r="O149" s="8" t="inlineStr">
        <is>
          <t>Partly</t>
        </is>
      </c>
      <c r="P149" s="6" t="inlineStr">
        <is>
          <t>https://www.linkedin.com/in/j-cameron-guinn-2047686/</t>
        </is>
      </c>
      <c r="Q149" s="6" t="inlineStr"/>
      <c r="R149" s="11">
        <f>IF(P149="","ADD LINKEDIN","ok")</f>
        <v/>
      </c>
      <c r="S149" s="6" t="inlineStr">
        <is>
          <t>https://htxconcrete.com/</t>
        </is>
      </c>
      <c r="T149" s="9" t="inlineStr">
        <is>
          <t>One of two contractors screened that names an actual multifamily project on its own site. The published work is paving-heavy.</t>
        </is>
      </c>
      <c r="U149" s="9" t="inlineStr">
        <is>
          <t>Across the published projects the paving square footage is many times the tilt wall square footage. Confirm how much wall it actually puts up in a year. | No executive is named on the firm's own site.</t>
        </is>
      </c>
      <c r="V149" s="6" t="inlineStr"/>
      <c r="W149" s="9" t="inlineStr">
        <is>
          <t>Headline reads Vice President Business Development at HTX Concrete. Houston, Texas.</t>
        </is>
      </c>
      <c r="X149" s="6" t="inlineStr"/>
      <c r="Y149" s="6" t="inlineStr"/>
      <c r="Z149" s="6" t="inlineStr"/>
    </row>
    <row r="150">
      <c r="A150" s="12" t="inlineStr">
        <is>
          <t>Tony Le</t>
        </is>
      </c>
      <c r="B150" s="12" t="inlineStr">
        <is>
          <t>HTX Concrete</t>
        </is>
      </c>
      <c r="C150" s="12" t="inlineStr">
        <is>
          <t>Chief Estimator</t>
        </is>
      </c>
      <c r="D150" s="13" t="inlineStr">
        <is>
          <t>Builds the wall, not the house</t>
        </is>
      </c>
      <c r="E150" s="14" t="n">
        <v>2</v>
      </c>
      <c r="F150" s="12" t="inlineStr">
        <is>
          <t>Builds the wall</t>
        </is>
      </c>
      <c r="G150" s="12" t="inlineStr">
        <is>
          <t>Houston, working Harris, Fort Bend and Brazoria</t>
        </is>
      </c>
      <c r="H150" s="12" t="inlineStr">
        <is>
          <t>Names a garden-style multifamily project on its own site</t>
        </is>
      </c>
      <c r="I150" s="14" t="inlineStr">
        <is>
          <t>Partly</t>
        </is>
      </c>
      <c r="J150" s="15" t="inlineStr">
        <is>
          <t>Commercial shells and paving across the metro. The published square footages are weighted to paving rather than to wall.</t>
        </is>
      </c>
      <c r="K150" s="14" t="inlineStr">
        <is>
          <t>Yes</t>
        </is>
      </c>
      <c r="L150" s="15" t="inlineStr">
        <is>
          <t>No annual volume is published. The one published wall figure is 12,000 square feet of tilt wall against 155,000 gross square feet of paving on the same job.</t>
        </is>
      </c>
      <c r="M150" s="14" t="inlineStr">
        <is>
          <t>No</t>
        </is>
      </c>
      <c r="N150" s="15" t="inlineStr">
        <is>
          <t>No method statement on record.</t>
        </is>
      </c>
      <c r="O150" s="14" t="inlineStr">
        <is>
          <t>Partly</t>
        </is>
      </c>
      <c r="P150" s="6" t="inlineStr">
        <is>
          <t>https://www.linkedin.com/in/tony-le-81ba0032/</t>
        </is>
      </c>
      <c r="Q150" s="12" t="inlineStr"/>
      <c r="R150" s="16">
        <f>IF(P150="","ADD LINKEDIN","ok")</f>
        <v/>
      </c>
      <c r="S150" s="12" t="inlineStr">
        <is>
          <t>https://htxconcrete.com/</t>
        </is>
      </c>
      <c r="T150" s="15" t="inlineStr">
        <is>
          <t>One of two contractors screened that names an actual multifamily project on its own site. The published work is paving-heavy.</t>
        </is>
      </c>
      <c r="U150" s="15" t="inlineStr">
        <is>
          <t>Across the published projects the paving square footage is many times the tilt wall square footage. Confirm how much wall it actually puts up in a year. | No executive is named on the firm's own site.</t>
        </is>
      </c>
      <c r="V150" s="12" t="inlineStr"/>
      <c r="W150" s="15" t="inlineStr">
        <is>
          <t>Headline reads Chief Estimator at HTX Concrete. Houston, Texas.</t>
        </is>
      </c>
      <c r="X150" s="12" t="inlineStr"/>
      <c r="Y150" s="12" t="inlineStr"/>
      <c r="Z150" s="12" t="inlineStr"/>
    </row>
    <row r="151">
      <c r="A151" s="6" t="inlineStr">
        <is>
          <t>Steve Salverino</t>
        </is>
      </c>
      <c r="B151" s="6" t="inlineStr">
        <is>
          <t>Rino Construction</t>
        </is>
      </c>
      <c r="C151" s="6" t="inlineStr">
        <is>
          <t>Chief Executive Officer, named on the firm's own leadership page</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10" t="inlineStr"/>
      <c r="Q151" s="6">
        <f>HYPERLINK("https://www.linkedin.com/search/results/people/?keywords=Steve%20Salverino%20Rino%20Construction","search")</f>
        <v/>
      </c>
      <c r="R151" s="11">
        <f>IF(P151="","ADD LINKEDIN","ok")</f>
        <v/>
      </c>
      <c r="S151" s="6" t="inlineStr">
        <is>
          <t>https://rino-con.com/</t>
        </is>
      </c>
      <c r="T151" s="9" t="inlineStr">
        <is>
          <t>Thirty-five years of tilt-up as the stated specialty. Its own site puts the self-performed concrete in the past tense.</t>
        </is>
      </c>
      <c r="U151" s="9"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1" s="6" t="inlineStr"/>
      <c r="W151" s="9" t="inlineStr"/>
      <c r="X151" s="6" t="inlineStr"/>
      <c r="Y151" s="6" t="inlineStr"/>
      <c r="Z151" s="6" t="inlineStr"/>
    </row>
    <row r="152">
      <c r="A152" s="12" t="inlineStr">
        <is>
          <t>Jacob Aswad</t>
        </is>
      </c>
      <c r="B152" s="12" t="inlineStr">
        <is>
          <t>Rino Construction</t>
        </is>
      </c>
      <c r="C152" s="12" t="inlineStr">
        <is>
          <t>President, named on the firm's own leadership page</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10" t="inlineStr"/>
      <c r="Q152" s="12">
        <f>HYPERLINK("https://www.linkedin.com/search/results/people/?keywords=Jacob%20Aswad%20Rino%20Construction","search")</f>
        <v/>
      </c>
      <c r="R152" s="16">
        <f>IF(P152="","ADD LINKEDIN","ok")</f>
        <v/>
      </c>
      <c r="S152" s="12" t="inlineStr">
        <is>
          <t>https://rino-con.com/</t>
        </is>
      </c>
      <c r="T152" s="15" t="inlineStr">
        <is>
          <t>Thirty-five years of tilt-up as the stated specialty. Its own site puts the self-performed concrete in the past tense.</t>
        </is>
      </c>
      <c r="U152" s="15"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2" s="12" t="inlineStr"/>
      <c r="W152" s="15" t="inlineStr"/>
      <c r="X152" s="12" t="inlineStr"/>
      <c r="Y152" s="12" t="inlineStr"/>
      <c r="Z152" s="12" t="inlineStr"/>
    </row>
    <row r="153">
      <c r="A153" s="6" t="inlineStr">
        <is>
          <t>Justin Henderson</t>
        </is>
      </c>
      <c r="B153" s="6" t="inlineStr">
        <is>
          <t>Rino Construction</t>
        </is>
      </c>
      <c r="C153" s="6" t="inlineStr">
        <is>
          <t>Vice President, named on the firm's own leadership page</t>
        </is>
      </c>
      <c r="D153" s="7" t="inlineStr">
        <is>
          <t>Builds the wall, not the house</t>
        </is>
      </c>
      <c r="E153" s="8" t="n">
        <v>2</v>
      </c>
      <c r="F153" s="6" t="inlineStr">
        <is>
          <t>Builds the wall</t>
        </is>
      </c>
      <c r="G153" s="6" t="inlineStr">
        <is>
          <t>Katy, Harris and Fort Bend, with Austin</t>
        </is>
      </c>
      <c r="H153" s="6" t="inlineStr">
        <is>
          <t>Operating since 1991, tilt-up its stated specialty</t>
        </is>
      </c>
      <c r="I153" s="8" t="inlineStr">
        <is>
          <t>Yes</t>
        </is>
      </c>
      <c r="J153" s="9" t="inlineStr">
        <is>
          <t>Tilt-up buildings recurring across two Texas metros since 1991, at 48 million square feet on its own count.</t>
        </is>
      </c>
      <c r="K153" s="8" t="inlineStr">
        <is>
          <t>Partly</t>
        </is>
      </c>
      <c r="L153" s="9" t="inlineStr">
        <is>
          <t>48 million square feet since 1991 on the firm's own homepage. A second page still carries an older 38 million. No annual figure is published, so this sits at a Partly.</t>
        </is>
      </c>
      <c r="M153" s="8" t="inlineStr">
        <is>
          <t>No</t>
        </is>
      </c>
      <c r="N153" s="9" t="inlineStr">
        <is>
          <t>No method statement on record.</t>
        </is>
      </c>
      <c r="O153" s="8" t="inlineStr">
        <is>
          <t>Partly</t>
        </is>
      </c>
      <c r="P153" s="10" t="inlineStr"/>
      <c r="Q153" s="6">
        <f>HYPERLINK("https://www.linkedin.com/search/results/people/?keywords=Justin%20Henderson%20Rino%20Construction","search")</f>
        <v/>
      </c>
      <c r="R153" s="11">
        <f>IF(P153="","ADD LINKEDIN","ok")</f>
        <v/>
      </c>
      <c r="S153" s="6" t="inlineStr">
        <is>
          <t>https://rino-con.com/</t>
        </is>
      </c>
      <c r="T153" s="9" t="inlineStr">
        <is>
          <t>Thirty-five years of tilt-up as the stated specialty. Its own site puts the self-performed concrete in the past tense.</t>
        </is>
      </c>
      <c r="U153" s="9"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3" s="6" t="inlineStr"/>
      <c r="W153" s="9" t="inlineStr"/>
      <c r="X153" s="6" t="inlineStr"/>
      <c r="Y153" s="6" t="inlineStr"/>
      <c r="Z153" s="6" t="inlineStr"/>
    </row>
    <row r="154">
      <c r="A154" s="12" t="inlineStr">
        <is>
          <t>Jeff Rager</t>
        </is>
      </c>
      <c r="B154" s="12" t="inlineStr">
        <is>
          <t>Rino Construction</t>
        </is>
      </c>
      <c r="C154" s="12" t="inlineStr">
        <is>
          <t>Senior Project Manager</t>
        </is>
      </c>
      <c r="D154" s="13" t="inlineStr">
        <is>
          <t>Builds the wall, not the house</t>
        </is>
      </c>
      <c r="E154" s="14" t="n">
        <v>2</v>
      </c>
      <c r="F154" s="12" t="inlineStr">
        <is>
          <t>Builds the wall</t>
        </is>
      </c>
      <c r="G154" s="12" t="inlineStr">
        <is>
          <t>Katy, Harris and Fort Bend, with Austin</t>
        </is>
      </c>
      <c r="H154" s="12" t="inlineStr">
        <is>
          <t>Operating since 1991, tilt-up its stated specialty</t>
        </is>
      </c>
      <c r="I154" s="14" t="inlineStr">
        <is>
          <t>Yes</t>
        </is>
      </c>
      <c r="J154" s="15" t="inlineStr">
        <is>
          <t>Tilt-up buildings recurring across two Texas metros since 1991, at 48 million square feet on its own count.</t>
        </is>
      </c>
      <c r="K154" s="14" t="inlineStr">
        <is>
          <t>Partly</t>
        </is>
      </c>
      <c r="L154" s="15" t="inlineStr">
        <is>
          <t>48 million square feet since 1991 on the firm's own homepage. A second page still carries an older 38 million. No annual figure is published, so this sits at a Partly.</t>
        </is>
      </c>
      <c r="M154" s="14" t="inlineStr">
        <is>
          <t>No</t>
        </is>
      </c>
      <c r="N154" s="15" t="inlineStr">
        <is>
          <t>No method statement on record.</t>
        </is>
      </c>
      <c r="O154" s="14" t="inlineStr">
        <is>
          <t>Partly</t>
        </is>
      </c>
      <c r="P154" s="6" t="inlineStr">
        <is>
          <t>https://www.linkedin.com/in/jeff-rager-b0ab6a380/</t>
        </is>
      </c>
      <c r="Q154" s="12" t="inlineStr"/>
      <c r="R154" s="16">
        <f>IF(P154="","ADD LINKEDIN","ok")</f>
        <v/>
      </c>
      <c r="S154" s="12" t="inlineStr">
        <is>
          <t>https://rino-con.com/</t>
        </is>
      </c>
      <c r="T154" s="15" t="inlineStr">
        <is>
          <t>Thirty-five years of tilt-up as the stated specialty. Its own site puts the self-performed concrete in the past tense.</t>
        </is>
      </c>
      <c r="U154" s="15"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4" s="12" t="inlineStr"/>
      <c r="W154" s="15" t="inlineStr">
        <is>
          <t>Headline reads Senior Project Manager, Rino (Rosenberger) Construction. Spring, Texas, and it carries both names, which confirms the rename.</t>
        </is>
      </c>
      <c r="X154" s="12" t="inlineStr"/>
      <c r="Y154" s="12" t="inlineStr"/>
      <c r="Z154" s="12" t="inlineStr"/>
    </row>
    <row r="155">
      <c r="A155" s="6" t="inlineStr">
        <is>
          <t>James Abbate</t>
        </is>
      </c>
      <c r="B155" s="6" t="inlineStr">
        <is>
          <t>Rino Construction</t>
        </is>
      </c>
      <c r="C155" s="6" t="inlineStr">
        <is>
          <t>Controller</t>
        </is>
      </c>
      <c r="D155" s="7" t="inlineStr">
        <is>
          <t>Builds the wall, not the house</t>
        </is>
      </c>
      <c r="E155" s="8" t="n">
        <v>2</v>
      </c>
      <c r="F155" s="6" t="inlineStr">
        <is>
          <t>Builds the wall</t>
        </is>
      </c>
      <c r="G155" s="6" t="inlineStr">
        <is>
          <t>Katy, Harris and Fort Bend, with Austin</t>
        </is>
      </c>
      <c r="H155" s="6" t="inlineStr">
        <is>
          <t>Operating since 1991, tilt-up its stated specialty</t>
        </is>
      </c>
      <c r="I155" s="8" t="inlineStr">
        <is>
          <t>Yes</t>
        </is>
      </c>
      <c r="J155" s="9" t="inlineStr">
        <is>
          <t>Tilt-up buildings recurring across two Texas metros since 1991, at 48 million square feet on its own count.</t>
        </is>
      </c>
      <c r="K155" s="8" t="inlineStr">
        <is>
          <t>Partly</t>
        </is>
      </c>
      <c r="L155" s="9" t="inlineStr">
        <is>
          <t>48 million square feet since 1991 on the firm's own homepage. A second page still carries an older 38 million. No annual figure is published, so this sits at a Partly.</t>
        </is>
      </c>
      <c r="M155" s="8" t="inlineStr">
        <is>
          <t>No</t>
        </is>
      </c>
      <c r="N155" s="9" t="inlineStr">
        <is>
          <t>No method statement on record.</t>
        </is>
      </c>
      <c r="O155" s="8" t="inlineStr">
        <is>
          <t>Partly</t>
        </is>
      </c>
      <c r="P155" s="6" t="inlineStr">
        <is>
          <t>https://www.linkedin.com/in/james-abbate/</t>
        </is>
      </c>
      <c r="Q155" s="6" t="inlineStr"/>
      <c r="R155" s="11">
        <f>IF(P155="","ADD LINKEDIN","ok")</f>
        <v/>
      </c>
      <c r="S155" s="6" t="inlineStr">
        <is>
          <t>https://rino-con.com/</t>
        </is>
      </c>
      <c r="T155" s="9" t="inlineStr">
        <is>
          <t>Thirty-five years of tilt-up as the stated specialty. Its own site puts the self-performed concrete in the past tense.</t>
        </is>
      </c>
      <c r="U155" s="9"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5" s="6" t="inlineStr"/>
      <c r="W155" s="9" t="inlineStr">
        <is>
          <t>Headline reads Controller at Rosenberger Construction. Katy, Texas.</t>
        </is>
      </c>
      <c r="X155" s="6" t="inlineStr"/>
      <c r="Y155" s="6" t="inlineStr"/>
      <c r="Z155" s="6" t="inlineStr"/>
    </row>
    <row r="156">
      <c r="A156" s="12" t="inlineStr">
        <is>
          <t>Trent Mitchell</t>
        </is>
      </c>
      <c r="B156" s="12" t="inlineStr">
        <is>
          <t>Silver Spur Concrete Contractors</t>
        </is>
      </c>
      <c r="C156" s="12" t="inlineStr">
        <is>
          <t>Owner, named on the firm's own about page, after eighteen years selling ready-mix to the largest general contractors in Houston</t>
        </is>
      </c>
      <c r="D156" s="13" t="inlineStr">
        <is>
          <t>Builds the wall, not the house</t>
        </is>
      </c>
      <c r="E156" s="14" t="n">
        <v>2</v>
      </c>
      <c r="F156" s="12" t="inlineStr">
        <is>
          <t>Builds the wall</t>
        </is>
      </c>
      <c r="G156" s="12" t="inlineStr">
        <is>
          <t>Tomball and north Houston, Harris and Montgomery</t>
        </is>
      </c>
      <c r="H156" s="12" t="inlineStr">
        <is>
          <t>Publishes a custom residential concrete line</t>
        </is>
      </c>
      <c r="I156" s="14" t="inlineStr">
        <is>
          <t>Partly</t>
        </is>
      </c>
      <c r="J156" s="15" t="inlineStr">
        <is>
          <t>Commercial concrete and metal buildings recurring across the north side of the metro.</t>
        </is>
      </c>
      <c r="K156" s="14" t="inlineStr">
        <is>
          <t>Yes</t>
        </is>
      </c>
      <c r="L156" s="15" t="inlineStr">
        <is>
          <t>No crew count, revenue or project size is published anywhere on the site. On the bands, a firm with no published figure is a Partly.</t>
        </is>
      </c>
      <c r="M156" s="14" t="inlineStr">
        <is>
          <t>No</t>
        </is>
      </c>
      <c r="N156" s="15" t="inlineStr">
        <is>
          <t>No method statement on record.</t>
        </is>
      </c>
      <c r="O156" s="14" t="inlineStr">
        <is>
          <t>Partly</t>
        </is>
      </c>
      <c r="P156" s="10" t="inlineStr"/>
      <c r="Q156" s="12">
        <f>HYPERLINK("https://www.linkedin.com/search/results/people/?keywords=Trent%20Mitchell%20Silver%20Spur%20Concrete%20Contractors","search")</f>
        <v/>
      </c>
      <c r="R156" s="16">
        <f>IF(P156="","ADD LINKEDIN","ok")</f>
        <v/>
      </c>
      <c r="S156" s="12" t="inlineStr">
        <is>
          <t>https://silverspurconcrete.com/</t>
        </is>
      </c>
      <c r="T156" s="15" t="inlineStr">
        <is>
          <t>The only contractor screened that pairs tilt-wall with a published residential concrete line, including engineered slabs.</t>
        </is>
      </c>
      <c r="U156" s="15" t="inlineStr">
        <is>
          <t>The residential concrete pages would not load. The line is named in the navigation, with driveways, engineered slabs, barndominiums and retaining walls under it, but the detail is unread. | No crew count, revenue or project size is published. The completed-projects counter on the about page has a label and no number in it. The scale is unverified.</t>
        </is>
      </c>
      <c r="V156" s="12" t="inlineStr">
        <is>
          <t>YES</t>
        </is>
      </c>
      <c r="W156" s="15" t="inlineStr"/>
      <c r="X156" s="12" t="inlineStr"/>
      <c r="Y156" s="12" t="inlineStr"/>
      <c r="Z156" s="12" t="inlineStr"/>
    </row>
    <row r="157">
      <c r="A157" s="6" t="inlineStr">
        <is>
          <t>David Buzzelli</t>
        </is>
      </c>
      <c r="B157" s="6" t="inlineStr">
        <is>
          <t>Texas A&amp;M Concrete</t>
        </is>
      </c>
      <c r="C157" s="6" t="inlineStr">
        <is>
          <t>Vice President</t>
        </is>
      </c>
      <c r="D157" s="7" t="inlineStr">
        <is>
          <t>Builds the wall, not the house</t>
        </is>
      </c>
      <c r="E157" s="8" t="n">
        <v>2</v>
      </c>
      <c r="F157" s="6" t="inlineStr">
        <is>
          <t>Builds the wall</t>
        </is>
      </c>
      <c r="G157" s="6" t="inlineStr">
        <is>
          <t>Houston, Harris</t>
        </is>
      </c>
      <c r="H157" s="6" t="inlineStr">
        <is>
          <t>79 panels and 52,116 square feet of tilt-up wall on one job</t>
        </is>
      </c>
      <c r="I157" s="8" t="inlineStr">
        <is>
          <t>Yes</t>
        </is>
      </c>
      <c r="J157" s="9" t="inlineStr">
        <is>
          <t>Tilt-up panel production repeats inside one metro even when the buildings differ.</t>
        </is>
      </c>
      <c r="K157" s="8" t="inlineStr">
        <is>
          <t>Partly</t>
        </is>
      </c>
      <c r="L157" s="9" t="inlineStr">
        <is>
          <t>The firm's own site gives a job range of $500,000 to $15 million. A printer would be one line in a book that size.</t>
        </is>
      </c>
      <c r="M157" s="8" t="inlineStr">
        <is>
          <t>No</t>
        </is>
      </c>
      <c r="N157" s="9" t="inlineStr">
        <is>
          <t>No method statement on record. Its published involvement is in concrete standards committees, not in new methods.</t>
        </is>
      </c>
      <c r="O157" s="8" t="inlineStr">
        <is>
          <t>Partly</t>
        </is>
      </c>
      <c r="P157" s="6" t="inlineStr">
        <is>
          <t>https://www.linkedin.com/in/david-buzzelli-faci-77109b29/</t>
        </is>
      </c>
      <c r="Q157" s="6" t="inlineStr"/>
      <c r="R157" s="11">
        <f>IF(P157="","ADD LINKEDIN","ok")</f>
        <v/>
      </c>
      <c r="S157" s="6" t="inlineStr">
        <is>
          <t>https://www.texasamconcrete.com/</t>
        </is>
      </c>
      <c r="T157" s="9" t="inlineStr">
        <is>
          <t>Two award-listed tilt-up jobs in Houston, one at 79 panels and 52,116 square feet of wall. Panels repeat; the buildings behind them do not.</t>
        </is>
      </c>
      <c r="U157" s="9" t="inlineStr">
        <is>
          <t>The firm's own site names no executive and no employee count. Earlier trade coverage carried both; those figures are from 2014 and are not repeated here. | No residential or multifamily work appears anywhere on its own site.</t>
        </is>
      </c>
      <c r="V157" s="6" t="inlineStr">
        <is>
          <t>YES</t>
        </is>
      </c>
      <c r="W157" s="9" t="inlineStr">
        <is>
          <t>Headline reads Vice President of Texas A&amp;M Concrete, LLC. Houston, Texas. He is also named as a founder in the firm's own dated news post.</t>
        </is>
      </c>
      <c r="X157" s="6" t="inlineStr"/>
      <c r="Y157" s="6" t="inlineStr"/>
      <c r="Z157" s="6" t="inlineStr"/>
    </row>
    <row r="158">
      <c r="A158" s="12" t="inlineStr">
        <is>
          <t>no contact identified</t>
        </is>
      </c>
      <c r="B158" s="12" t="inlineStr">
        <is>
          <t>Baker Construction</t>
        </is>
      </c>
      <c r="C158" s="12" t="inlineStr"/>
      <c r="D158" s="13" t="inlineStr">
        <is>
          <t>Builds the wall, not the house</t>
        </is>
      </c>
      <c r="E158" s="14" t="n">
        <v>1</v>
      </c>
      <c r="F158" s="12" t="inlineStr">
        <is>
          <t>Builds the wall</t>
        </is>
      </c>
      <c r="G158" s="12" t="inlineStr">
        <is>
          <t>Houston industrial office, Harris, inside a national firm</t>
        </is>
      </c>
      <c r="H158" s="12" t="inlineStr">
        <is>
          <t>61 panels at 70 feet, the heaviest about 87 tons</t>
        </is>
      </c>
      <c r="I158" s="14" t="inlineStr">
        <is>
          <t>Yes</t>
        </is>
      </c>
      <c r="J158" s="15" t="inlineStr">
        <is>
          <t>Panel and structural concrete work recurring across the Houston market.</t>
        </is>
      </c>
      <c r="K158" s="14" t="inlineStr">
        <is>
          <t>No</t>
        </is>
      </c>
      <c r="L158" s="15" t="inlineStr">
        <is>
          <t>More than 12,500 people across the United States on the firm's own count, and first on a national ranking of concrete specialty contractors. A machine purchase at that size runs through a national desk, which the bands score as a No.</t>
        </is>
      </c>
      <c r="M158" s="14" t="inlineStr">
        <is>
          <t>No</t>
        </is>
      </c>
      <c r="N158" s="15" t="inlineStr">
        <is>
          <t>No method statement on record. Working at the top of the panel size range is difficulty, not a new method.</t>
        </is>
      </c>
      <c r="O158" s="14" t="inlineStr">
        <is>
          <t>Yes</t>
        </is>
      </c>
      <c r="P158" s="10" t="inlineStr"/>
      <c r="Q158" s="12" t="inlineStr"/>
      <c r="R158" s="16">
        <f>IF(P158="","ADD LINKEDIN","ok")</f>
        <v/>
      </c>
      <c r="S158" s="12" t="inlineStr">
        <is>
          <t>https://bakerconstruction.com/</t>
        </is>
      </c>
      <c r="T158" s="15" t="inlineStr">
        <is>
          <t>Named on a 61-panel job at 70 feet, with the heaviest panel at about 87 tons. That is the top of what the trade attempts here. The firm is national.</t>
        </is>
      </c>
      <c r="U158" s="15" t="inlineStr">
        <is>
          <t>The firm's own site names no executive and no Houston office. The Houston address comes from a trade association listing. | It is on the deck as the contractor on the metro's tallest tilt-wall job, not as a likely buyer. A firm of 12,500 people decides equipment centrally.</t>
        </is>
      </c>
      <c r="V158" s="12" t="inlineStr"/>
      <c r="W158" s="15" t="inlineStr"/>
      <c r="X158" s="12" t="inlineStr"/>
      <c r="Y158" s="12" t="inlineStr"/>
      <c r="Z158" s="12" t="inlineStr"/>
    </row>
    <row r="159">
      <c r="A159" s="6" t="inlineStr">
        <is>
          <t>Chris Vogler</t>
        </is>
      </c>
      <c r="B159" s="6" t="inlineStr">
        <is>
          <t>Leola Construction</t>
        </is>
      </c>
      <c r="C159" s="6" t="inlineStr">
        <is>
          <t>Business Development Manager</t>
        </is>
      </c>
      <c r="D159" s="7" t="inlineStr">
        <is>
          <t>Builds the wall, not the house</t>
        </is>
      </c>
      <c r="E159" s="8" t="n">
        <v>1</v>
      </c>
      <c r="F159" s="6" t="inlineStr">
        <is>
          <t>Builds the wall</t>
        </is>
      </c>
      <c r="G159" s="6" t="inlineStr">
        <is>
          <t>Houston division, working Harris, Fort Bend, Montgomery and Waller</t>
        </is>
      </c>
      <c r="H159" s="6" t="inlineStr">
        <is>
          <t>9,900 homes a year company-wide, across 300 communities</t>
        </is>
      </c>
      <c r="I159" s="8" t="inlineStr">
        <is>
          <t>Yes</t>
        </is>
      </c>
      <c r="J159" s="9" t="inlineStr">
        <is>
          <t>Single family and townhome communities across the north and west of the metro, taking the same wall package community after community.</t>
        </is>
      </c>
      <c r="K159" s="8" t="inlineStr">
        <is>
          <t>No</t>
        </is>
      </c>
      <c r="L159" s="9" t="inlineStr">
        <is>
          <t>9,900 homes a year on the firm's own count, company-wide across Florida and Texas, far above what one or two printers cover. It also counts more than 900 subcontractors and no direct field crew, so there is nobody inside the firm to put on a machine.</t>
        </is>
      </c>
      <c r="M159" s="8" t="inlineStr">
        <is>
          <t>No</t>
        </is>
      </c>
      <c r="N159" s="9" t="inlineStr">
        <is>
          <t>No method statement on record.</t>
        </is>
      </c>
      <c r="O159" s="8" t="inlineStr">
        <is>
          <t>Partly</t>
        </is>
      </c>
      <c r="P159" s="6" t="inlineStr">
        <is>
          <t>https://www.linkedin.com/in/chris-vogler-56239a52/</t>
        </is>
      </c>
      <c r="Q159" s="6" t="inlineStr"/>
      <c r="R159" s="11">
        <f>IF(P159="","ADD LINKEDIN","ok")</f>
        <v/>
      </c>
      <c r="S159" s="6" t="inlineStr">
        <is>
          <t>https://leolaconstruction.com/houston/</t>
        </is>
      </c>
      <c r="T159" s="9" t="inlineStr">
        <is>
          <t>It sells the entire wall package to production builders, which is the procurement a printed wall would displace. It owns almost no direct field labour.</t>
        </is>
      </c>
      <c r="U159" s="9" t="inlineStr">
        <is>
          <t>It counts more than 900 subcontractors and no direct field crew, so there is no crew to redeploy onto a machine. | Headquarters and ownership sit in Florida, so a Houston equipment decision would be made elsewhere. | About thirty names appear on the firm's own about page without titles beside them. None is recorded here. | Only one Leola person in Greater Houston surfaces at all, in business development. The firm is Florida-owned and the leadership sits there.</t>
        </is>
      </c>
      <c r="V159" s="6" t="inlineStr"/>
      <c r="W159" s="9" t="inlineStr">
        <is>
          <t>Headline reads Business Development Manager at Leola Construction. Spring, Texas. He is the only Leola person in Greater Houston that a search returns.</t>
        </is>
      </c>
      <c r="X159" s="6" t="inlineStr"/>
      <c r="Y159" s="6" t="inlineStr"/>
      <c r="Z159" s="6" t="inlineStr"/>
    </row>
    <row r="160">
      <c r="A160" s="12" t="inlineStr">
        <is>
          <t>Michael G. Scheurich</t>
        </is>
      </c>
      <c r="B160" s="12" t="inlineStr">
        <is>
          <t>Arch-Con Corporation</t>
        </is>
      </c>
      <c r="C160" s="12" t="inlineStr">
        <is>
          <t>Founder and Chief Executive Officer</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10" t="inlineStr"/>
      <c r="Q160" s="12">
        <f>HYPERLINK("https://www.linkedin.com/search/results/people/?keywords=Michael%20G.%20Scheurich%20Arch-Con%20Corporation","search")</f>
        <v/>
      </c>
      <c r="R160" s="16">
        <f>IF(P160="","ADD LINKEDIN","ok")</f>
        <v/>
      </c>
      <c r="S160" s="12" t="inlineStr">
        <is>
          <t>https://www.arch-con.com/</t>
        </is>
      </c>
      <c r="T160" s="15" t="inlineStr">
        <is>
          <t>It published how it reordered a standard method to win a month of schedule. It buys its concrete rather than pouring it.</t>
        </is>
      </c>
      <c r="U160" s="15" t="inlineStr">
        <is>
          <t>It does not own concrete crews. On its award-listed tilt-up job the panels were poured by Encore Concrete Construction, also screened here. | No multifamily project size is published.</t>
        </is>
      </c>
      <c r="V160" s="12" t="inlineStr">
        <is>
          <t>YES</t>
        </is>
      </c>
      <c r="W160" s="15" t="inlineStr"/>
      <c r="X160" s="12" t="inlineStr"/>
      <c r="Y160" s="12" t="inlineStr"/>
      <c r="Z160" s="12" t="inlineStr"/>
    </row>
    <row r="161">
      <c r="A161" s="6" t="inlineStr">
        <is>
          <t>Jason M. Cooper</t>
        </is>
      </c>
      <c r="B161" s="6" t="inlineStr">
        <is>
          <t>Arch-Con Corporation</t>
        </is>
      </c>
      <c r="C161" s="6" t="inlineStr">
        <is>
          <t>President</t>
        </is>
      </c>
      <c r="D161" s="7" t="inlineStr">
        <is>
          <t>Builds the wall, not the house</t>
        </is>
      </c>
      <c r="E161" s="8" t="n">
        <v>3</v>
      </c>
      <c r="F161" s="6" t="inlineStr">
        <is>
          <t>Builds the wall</t>
        </is>
      </c>
      <c r="G161" s="6" t="inlineStr">
        <is>
          <t>Houston, Harris</t>
        </is>
      </c>
      <c r="H161" s="6" t="inlineStr">
        <is>
          <t>Reversed the standard tilt-wall sequence to save a month</t>
        </is>
      </c>
      <c r="I161" s="8" t="inlineStr">
        <is>
          <t>Partly</t>
        </is>
      </c>
      <c r="J161" s="9" t="inlineStr">
        <is>
          <t>Eight divisions across commercial, retail, healthcare and multifamily. The buildings differ project to project.</t>
        </is>
      </c>
      <c r="K161" s="8" t="inlineStr">
        <is>
          <t>Partly</t>
        </is>
      </c>
      <c r="L161" s="9" t="inlineStr">
        <is>
          <t>No annual volume is published. The one published job runs to 770,640 square feet, and the panels on it were poured by somebody else.</t>
        </is>
      </c>
      <c r="M161" s="8" t="inlineStr">
        <is>
          <t>Partly</t>
        </is>
      </c>
      <c r="N161" s="9" t="inlineStr">
        <is>
          <t>It reordered the standard tilt-wall sequence on a 770,640 square foot job, setting a 275-ton lattice boom crane on the perimeter to avoid the slab, and published the result. That is method appetite rather than the purchase of a new method.</t>
        </is>
      </c>
      <c r="O161" s="8" t="inlineStr">
        <is>
          <t>Yes</t>
        </is>
      </c>
      <c r="P161" s="10" t="inlineStr"/>
      <c r="Q161" s="6">
        <f>HYPERLINK("https://www.linkedin.com/search/results/people/?keywords=Jason%20M.%20Cooper%20Arch-Con%20Corporation","search")</f>
        <v/>
      </c>
      <c r="R161" s="11">
        <f>IF(P161="","ADD LINKEDIN","ok")</f>
        <v/>
      </c>
      <c r="S161" s="6" t="inlineStr">
        <is>
          <t>https://www.arch-con.com/</t>
        </is>
      </c>
      <c r="T161" s="9" t="inlineStr">
        <is>
          <t>It published how it reordered a standard method to win a month of schedule. It buys its concrete rather than pouring it.</t>
        </is>
      </c>
      <c r="U161" s="9" t="inlineStr">
        <is>
          <t>It does not own concrete crews. On its award-listed tilt-up job the panels were poured by Encore Concrete Construction, also screened here. | No multifamily project size is published.</t>
        </is>
      </c>
      <c r="V161" s="6" t="inlineStr">
        <is>
          <t>YES</t>
        </is>
      </c>
      <c r="W161" s="9" t="inlineStr"/>
      <c r="X161" s="6" t="inlineStr"/>
      <c r="Y161" s="6" t="inlineStr"/>
      <c r="Z161" s="6" t="inlineStr"/>
    </row>
    <row r="162">
      <c r="A162" s="12" t="inlineStr">
        <is>
          <t>Daniel J. O'Hare</t>
        </is>
      </c>
      <c r="B162" s="12" t="inlineStr">
        <is>
          <t>Arch-Con Corporation</t>
        </is>
      </c>
      <c r="C162" s="12" t="inlineStr">
        <is>
          <t>Chief Financial Officer</t>
        </is>
      </c>
      <c r="D162" s="13" t="inlineStr">
        <is>
          <t>Builds the wall, not the house</t>
        </is>
      </c>
      <c r="E162" s="14" t="n">
        <v>3</v>
      </c>
      <c r="F162" s="12" t="inlineStr">
        <is>
          <t>Builds the wall</t>
        </is>
      </c>
      <c r="G162" s="12" t="inlineStr">
        <is>
          <t>Houston, Harris</t>
        </is>
      </c>
      <c r="H162" s="12" t="inlineStr">
        <is>
          <t>Reversed the standard tilt-wall sequence to save a month</t>
        </is>
      </c>
      <c r="I162" s="14" t="inlineStr">
        <is>
          <t>Partly</t>
        </is>
      </c>
      <c r="J162" s="15" t="inlineStr">
        <is>
          <t>Eight divisions across commercial, retail, healthcare and multifamily. The buildings differ project to project.</t>
        </is>
      </c>
      <c r="K162" s="14" t="inlineStr">
        <is>
          <t>Partly</t>
        </is>
      </c>
      <c r="L162" s="15" t="inlineStr">
        <is>
          <t>No annual volume is published. The one published job runs to 770,640 square feet, and the panels on it were poured by somebody else.</t>
        </is>
      </c>
      <c r="M162" s="14" t="inlineStr">
        <is>
          <t>Partly</t>
        </is>
      </c>
      <c r="N162" s="15" t="inlineStr">
        <is>
          <t>It reordered the standard tilt-wall sequence on a 770,640 square foot job, setting a 275-ton lattice boom crane on the perimeter to avoid the slab, and published the result. That is method appetite rather than the purchase of a new method.</t>
        </is>
      </c>
      <c r="O162" s="14" t="inlineStr">
        <is>
          <t>Yes</t>
        </is>
      </c>
      <c r="P162" s="10" t="inlineStr"/>
      <c r="Q162" s="12">
        <f>HYPERLINK("https://www.linkedin.com/search/results/people/?keywords=Daniel%20J.%20O%27Hare%20Arch-Con%20Corporation","search")</f>
        <v/>
      </c>
      <c r="R162" s="16">
        <f>IF(P162="","ADD LINKEDIN","ok")</f>
        <v/>
      </c>
      <c r="S162" s="12" t="inlineStr">
        <is>
          <t>https://www.arch-con.com/</t>
        </is>
      </c>
      <c r="T162" s="15" t="inlineStr">
        <is>
          <t>It published how it reordered a standard method to win a month of schedule. It buys its concrete rather than pouring it.</t>
        </is>
      </c>
      <c r="U162" s="15" t="inlineStr">
        <is>
          <t>It does not own concrete crews. On its award-listed tilt-up job the panels were poured by Encore Concrete Construction, also screened here. | No multifamily project size is published.</t>
        </is>
      </c>
      <c r="V162" s="12" t="inlineStr"/>
      <c r="W162" s="15" t="inlineStr"/>
      <c r="X162" s="12" t="inlineStr"/>
      <c r="Y162" s="12" t="inlineStr"/>
      <c r="Z162" s="12" t="inlineStr"/>
    </row>
    <row r="163">
      <c r="A163" s="6" t="inlineStr">
        <is>
          <t>Brad Burton</t>
        </is>
      </c>
      <c r="B163" s="6" t="inlineStr">
        <is>
          <t>Burton Construction</t>
        </is>
      </c>
      <c r="C163" s="6" t="inlineStr">
        <is>
          <t>Founder, named on the firm's own about page</t>
        </is>
      </c>
      <c r="D163" s="7" t="inlineStr">
        <is>
          <t>Builds the wall, not the house</t>
        </is>
      </c>
      <c r="E163" s="8" t="n">
        <v>2</v>
      </c>
      <c r="F163" s="6" t="inlineStr">
        <is>
          <t>Builds the wall</t>
        </is>
      </c>
      <c r="G163" s="6" t="inlineStr">
        <is>
          <t>Houston, with Austin, San Antonio and Phoenix</t>
        </is>
      </c>
      <c r="H163" s="6" t="inlineStr">
        <is>
          <t>Founded 2004, with multifamily in its published portfolio</t>
        </is>
      </c>
      <c r="I163" s="8" t="inlineStr">
        <is>
          <t>Partly</t>
        </is>
      </c>
      <c r="J163" s="9" t="inlineStr">
        <is>
          <t>Commercial and multifamily work across four metros. The buildings differ project to project.</t>
        </is>
      </c>
      <c r="K163" s="8" t="inlineStr">
        <is>
          <t>Partly</t>
        </is>
      </c>
      <c r="L163" s="9" t="inlineStr">
        <is>
          <t>No revenue, crew count or project size is published. On the bands, a firm with no published figure is a Partly.</t>
        </is>
      </c>
      <c r="M163" s="8" t="inlineStr">
        <is>
          <t>No</t>
        </is>
      </c>
      <c r="N163" s="9" t="inlineStr">
        <is>
          <t>No method statement on record. The tilt-up award is for execution.</t>
        </is>
      </c>
      <c r="O163" s="8" t="inlineStr">
        <is>
          <t>Partly</t>
        </is>
      </c>
      <c r="P163" s="10" t="inlineStr"/>
      <c r="Q163" s="6">
        <f>HYPERLINK("https://www.linkedin.com/search/results/people/?keywords=Brad%20Burton%20Burton%20Construction","search")</f>
        <v/>
      </c>
      <c r="R163" s="11">
        <f>IF(P163="","ADD LINKEDIN","ok")</f>
        <v/>
      </c>
      <c r="S163" s="6" t="inlineStr">
        <is>
          <t>https://burtonconstruction.com/</t>
        </is>
      </c>
      <c r="T163" s="9" t="inlineStr">
        <is>
          <t>Twenty-two years old, founder still named, a tilt-up award in 2024 and multifamily in the published portfolio.</t>
        </is>
      </c>
      <c r="U163" s="9" t="inlineStr">
        <is>
          <t>Self-perform scope is not stated on the firm's own site, so whether it owns concrete crews is unconfirmed. | No multifamily project is named and no revenue or crew count is published.</t>
        </is>
      </c>
      <c r="V163" s="6" t="inlineStr">
        <is>
          <t>YES</t>
        </is>
      </c>
      <c r="W163" s="9" t="inlineStr"/>
      <c r="X163" s="6" t="inlineStr"/>
      <c r="Y163" s="6" t="inlineStr"/>
      <c r="Z163" s="6" t="inlineStr"/>
    </row>
    <row r="164">
      <c r="A164" s="12" t="inlineStr">
        <is>
          <t>Scott Arnoldy</t>
        </is>
      </c>
      <c r="B164" s="12" t="inlineStr">
        <is>
          <t>Triten Real Estate Partners</t>
        </is>
      </c>
      <c r="C164" s="12" t="inlineStr">
        <is>
          <t>Chief Executive Officer, Founder</t>
        </is>
      </c>
      <c r="D164" s="13" t="inlineStr">
        <is>
          <t>Creative project, hybrid job</t>
        </is>
      </c>
      <c r="E164" s="14" t="n">
        <v>2</v>
      </c>
      <c r="F164" s="12" t="inlineStr">
        <is>
          <t>Buys walls</t>
        </is>
      </c>
      <c r="G164" s="12" t="inlineStr">
        <is>
          <t>East End / Fort Bend, Harris County</t>
        </is>
      </c>
      <c r="H164" s="12" t="inlineStr">
        <is>
          <t>340 units, mass timber frame</t>
        </is>
      </c>
      <c r="I164" s="14" t="inlineStr">
        <is>
          <t>Yes</t>
        </is>
      </c>
      <c r="J164" s="15" t="inlineStr">
        <is>
          <t>340 units at The Mill, 294 more at Aliana opening 2027.</t>
        </is>
      </c>
      <c r="K164" s="14" t="inlineStr">
        <is>
          <t>No</t>
        </is>
      </c>
      <c r="L164" s="15" t="inlineStr">
        <is>
          <t>Industrial and outdoor storage. There is no repeated house here.</t>
        </is>
      </c>
      <c r="M164" s="14" t="inlineStr">
        <is>
          <t>Yes</t>
        </is>
      </c>
      <c r="N164" s="15" t="inlineStr">
        <is>
          <t>Financed a cross-laminated timber frame and calls it a rare alternative to steel and concrete.</t>
        </is>
      </c>
      <c r="O164" s="14" t="inlineStr">
        <is>
          <t>Partly</t>
        </is>
      </c>
      <c r="P164" s="6" t="inlineStr">
        <is>
          <t>https://www.linkedin.com/in/scottarnoldy/</t>
        </is>
      </c>
      <c r="Q164" s="12" t="inlineStr"/>
      <c r="R164" s="16">
        <f>IF(P164="","ADD LINKEDIN","ok")</f>
        <v/>
      </c>
      <c r="S164" s="12" t="inlineStr">
        <is>
          <t>https://www.tritenre.com/</t>
        </is>
      </c>
      <c r="T164" s="15" t="inlineStr">
        <is>
          <t>Financed a cross-laminated timber frame at The Mill. 294 units at Aliana land in Titan's first delivery window.</t>
        </is>
      </c>
      <c r="U164"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64" s="12" t="inlineStr"/>
      <c r="W164" s="15" t="inlineStr">
        <is>
          <t>Founder and CEO, Triten Real Estate Partners. Houston, Texas.</t>
        </is>
      </c>
      <c r="X164" s="12" t="inlineStr"/>
      <c r="Y164" s="12" t="inlineStr">
        <is>
          <t>https://www.linkedin.com/company/triten-real-estate-partners</t>
        </is>
      </c>
      <c r="Z164" s="12" t="inlineStr">
        <is>
          <t>https://www.tritenre.com/team</t>
        </is>
      </c>
    </row>
    <row r="165">
      <c r="A165" s="6" t="inlineStr">
        <is>
          <t>Larry Sloan</t>
        </is>
      </c>
      <c r="B165" s="6" t="inlineStr">
        <is>
          <t>Triten Real Estate Partners</t>
        </is>
      </c>
      <c r="C165" s="6" t="inlineStr">
        <is>
          <t>Partner, Chief Development Officer</t>
        </is>
      </c>
      <c r="D165" s="7" t="inlineStr">
        <is>
          <t>Creative project, hybrid job</t>
        </is>
      </c>
      <c r="E165" s="8" t="n">
        <v>2</v>
      </c>
      <c r="F165" s="6" t="inlineStr">
        <is>
          <t>Buys walls</t>
        </is>
      </c>
      <c r="G165" s="6" t="inlineStr">
        <is>
          <t>East End / Fort Bend, Harris County</t>
        </is>
      </c>
      <c r="H165" s="6" t="inlineStr">
        <is>
          <t>340 units, mass timber frame</t>
        </is>
      </c>
      <c r="I165" s="8" t="inlineStr">
        <is>
          <t>Yes</t>
        </is>
      </c>
      <c r="J165" s="9" t="inlineStr">
        <is>
          <t>340 units at The Mill, 294 more at Aliana opening 2027.</t>
        </is>
      </c>
      <c r="K165" s="8" t="inlineStr">
        <is>
          <t>No</t>
        </is>
      </c>
      <c r="L165" s="9" t="inlineStr">
        <is>
          <t>Industrial and outdoor storage. There is no repeated house here.</t>
        </is>
      </c>
      <c r="M165" s="8" t="inlineStr">
        <is>
          <t>Yes</t>
        </is>
      </c>
      <c r="N165" s="9" t="inlineStr">
        <is>
          <t>Financed a cross-laminated timber frame and calls it a rare alternative to steel and concrete.</t>
        </is>
      </c>
      <c r="O165" s="8" t="inlineStr">
        <is>
          <t>Partly</t>
        </is>
      </c>
      <c r="P165" s="6" t="inlineStr">
        <is>
          <t>https://www.linkedin.com/in/larry-sloan-894204b/</t>
        </is>
      </c>
      <c r="Q165" s="6" t="inlineStr"/>
      <c r="R165" s="11">
        <f>IF(P165="","ADD LINKEDIN","ok")</f>
        <v/>
      </c>
      <c r="S165" s="6" t="inlineStr">
        <is>
          <t>https://www.tritenre.com/</t>
        </is>
      </c>
      <c r="T165" s="9" t="inlineStr">
        <is>
          <t>Financed a cross-laminated timber frame at The Mill. 294 units at Aliana land in Titan's first delivery window.</t>
        </is>
      </c>
      <c r="U165"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65" s="6" t="inlineStr"/>
      <c r="W165" s="9" t="inlineStr">
        <is>
          <t>Chief Development Officer (CDO) at Triten Real Estate Partners. Houston, Texas. The same person who left Midway as EVP of investment and development in November 2023.</t>
        </is>
      </c>
      <c r="X165" s="6" t="inlineStr"/>
      <c r="Y165" s="6" t="inlineStr">
        <is>
          <t>https://www.linkedin.com/company/triten-real-estate-partners</t>
        </is>
      </c>
      <c r="Z165" s="6" t="inlineStr">
        <is>
          <t>https://www.tritenre.com/team</t>
        </is>
      </c>
    </row>
    <row r="166">
      <c r="A166" s="12" t="inlineStr">
        <is>
          <t>Brent Ozenbaugh</t>
        </is>
      </c>
      <c r="B166" s="12" t="inlineStr">
        <is>
          <t>Triten Real Estate Partners</t>
        </is>
      </c>
      <c r="C166" s="12" t="inlineStr">
        <is>
          <t>Partner, Chief Operating Officer</t>
        </is>
      </c>
      <c r="D166" s="13" t="inlineStr">
        <is>
          <t>Creative project, hybrid job</t>
        </is>
      </c>
      <c r="E166" s="14" t="n">
        <v>2</v>
      </c>
      <c r="F166" s="12" t="inlineStr">
        <is>
          <t>Buys walls</t>
        </is>
      </c>
      <c r="G166" s="12" t="inlineStr">
        <is>
          <t>East End / Fort Bend, Harris County</t>
        </is>
      </c>
      <c r="H166" s="12" t="inlineStr">
        <is>
          <t>340 units, mass timber frame</t>
        </is>
      </c>
      <c r="I166" s="14" t="inlineStr">
        <is>
          <t>Yes</t>
        </is>
      </c>
      <c r="J166" s="15" t="inlineStr">
        <is>
          <t>340 units at The Mill, 294 more at Aliana opening 2027.</t>
        </is>
      </c>
      <c r="K166" s="14" t="inlineStr">
        <is>
          <t>No</t>
        </is>
      </c>
      <c r="L166" s="15" t="inlineStr">
        <is>
          <t>Industrial and outdoor storage. There is no repeated house here.</t>
        </is>
      </c>
      <c r="M166" s="14" t="inlineStr">
        <is>
          <t>Yes</t>
        </is>
      </c>
      <c r="N166" s="15" t="inlineStr">
        <is>
          <t>Financed a cross-laminated timber frame and calls it a rare alternative to steel and concrete.</t>
        </is>
      </c>
      <c r="O166" s="14" t="inlineStr">
        <is>
          <t>Partly</t>
        </is>
      </c>
      <c r="P166" s="6" t="inlineStr">
        <is>
          <t>https://www.linkedin.com/in/brent-ozenbaugh-b99872/</t>
        </is>
      </c>
      <c r="Q166" s="12" t="inlineStr"/>
      <c r="R166" s="16">
        <f>IF(P166="","ADD LINKEDIN","ok")</f>
        <v/>
      </c>
      <c r="S166" s="12" t="inlineStr">
        <is>
          <t>https://www.tritenre.com/</t>
        </is>
      </c>
      <c r="T166" s="15" t="inlineStr">
        <is>
          <t>Financed a cross-laminated timber frame at The Mill. 294 units at Aliana land in Titan's first delivery window.</t>
        </is>
      </c>
      <c r="U166"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66" s="12" t="inlineStr"/>
      <c r="W166" s="15" t="inlineStr">
        <is>
          <t>COO at Triten Real Estate Partners. Greater Houston.</t>
        </is>
      </c>
      <c r="X166" s="12" t="inlineStr"/>
      <c r="Y166" s="12" t="inlineStr">
        <is>
          <t>https://www.linkedin.com/company/triten-real-estate-partners</t>
        </is>
      </c>
      <c r="Z166" s="12" t="inlineStr">
        <is>
          <t>https://www.tritenre.com/team</t>
        </is>
      </c>
    </row>
    <row r="167">
      <c r="A167" s="6" t="inlineStr">
        <is>
          <t>Carter Bechtol</t>
        </is>
      </c>
      <c r="B167" s="6" t="inlineStr">
        <is>
          <t>Triten Real Estate Partners</t>
        </is>
      </c>
      <c r="C167" s="6" t="inlineStr">
        <is>
          <t>Partner, Head of Triten Residential</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10" t="inlineStr"/>
      <c r="Q167" s="6">
        <f>HYPERLINK("https://www.linkedin.com/search/results/people/?keywords=Carter%20Bechtol%20Triten%20Real%20Estate%20Partners","search")</f>
        <v/>
      </c>
      <c r="R167" s="11">
        <f>IF(P167="","ADD LINKEDIN","ok")</f>
        <v/>
      </c>
      <c r="S167" s="6" t="inlineStr">
        <is>
          <t>https://www.tritenre.com/</t>
        </is>
      </c>
      <c r="T167" s="9" t="inlineStr">
        <is>
          <t>Financed a cross-laminated timber frame at The Mill. 294 units at Aliana land in Titan's first delivery window.</t>
        </is>
      </c>
      <c r="U167"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67" s="6" t="inlineStr"/>
      <c r="W167" s="9" t="inlineStr">
        <is>
          <t>Triten's own bio page. Partner, Head of Triten Residential. The residential platform is the part of Triten that would buy a repeated wall.</t>
        </is>
      </c>
      <c r="X167" s="6" t="inlineStr">
        <is>
          <t>https://www.tritenre.com/team/carter-becthol</t>
        </is>
      </c>
      <c r="Y167" s="6" t="inlineStr">
        <is>
          <t>https://www.linkedin.com/company/triten-real-estate-partners</t>
        </is>
      </c>
      <c r="Z167" s="6" t="inlineStr">
        <is>
          <t>https://www.tritenre.com/team</t>
        </is>
      </c>
    </row>
    <row r="168">
      <c r="A168" s="12" t="inlineStr">
        <is>
          <t>Steve Radom</t>
        </is>
      </c>
      <c r="B168" s="12" t="inlineStr">
        <is>
          <t>Radom Capital</t>
        </is>
      </c>
      <c r="C168" s="12" t="inlineStr">
        <is>
          <t>Managing Principal</t>
        </is>
      </c>
      <c r="D168" s="13" t="inlineStr">
        <is>
          <t>Creative project, hybrid job</t>
        </is>
      </c>
      <c r="E168" s="14" t="n">
        <v>2</v>
      </c>
      <c r="F168" s="12" t="inlineStr">
        <is>
          <t>Buys walls</t>
        </is>
      </c>
      <c r="G168" s="12" t="inlineStr">
        <is>
          <t>Heights / Montrose, Harris County</t>
        </is>
      </c>
      <c r="H168" s="12" t="inlineStr">
        <is>
          <t>$104.75M Montrose Collective financing</t>
        </is>
      </c>
      <c r="I168" s="14" t="inlineStr">
        <is>
          <t>Partly</t>
        </is>
      </c>
      <c r="J168" s="15" t="inlineStr">
        <is>
          <t>Fifteen projects in one district, 218 units at Clock Tower.</t>
        </is>
      </c>
      <c r="K168" s="14" t="inlineStr">
        <is>
          <t>No</t>
        </is>
      </c>
      <c r="L168" s="15" t="inlineStr">
        <is>
          <t>Adaptive reuse and retail. Every project is its own building.</t>
        </is>
      </c>
      <c r="M168" s="14" t="inlineStr">
        <is>
          <t>Yes</t>
        </is>
      </c>
      <c r="N168" s="15" t="inlineStr">
        <is>
          <t>Commissioned Michael Hsu for Montrose Collective, four-street frontage, $104.75M financed.</t>
        </is>
      </c>
      <c r="O168" s="14" t="inlineStr">
        <is>
          <t>Yes</t>
        </is>
      </c>
      <c r="P168" s="6" t="inlineStr">
        <is>
          <t>https://www.linkedin.com/in/steveradom/</t>
        </is>
      </c>
      <c r="Q168" s="12" t="inlineStr"/>
      <c r="R168" s="16">
        <f>IF(P168="","ADD LINKEDIN","ok")</f>
        <v/>
      </c>
      <c r="S168" s="12" t="inlineStr">
        <is>
          <t>https://www.radomcapital.com/</t>
        </is>
      </c>
      <c r="T168" s="15" t="inlineStr">
        <is>
          <t>Michael Hsu at Montrose Collective, $104.75M financed. Fifteen projects in one district, so volume is concentrated rather than deep.</t>
        </is>
      </c>
      <c r="U168"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68" s="12" t="inlineStr"/>
      <c r="W168" s="15" t="inlineStr">
        <is>
          <t>Managing Principal at Radom Capital.</t>
        </is>
      </c>
      <c r="X168" s="12" t="inlineStr"/>
      <c r="Y168" s="12" t="inlineStr">
        <is>
          <t>https://www.linkedin.com/company/radom-capital-llc</t>
        </is>
      </c>
      <c r="Z168" s="12" t="inlineStr">
        <is>
          <t>https://www.radomcapital.com/team</t>
        </is>
      </c>
    </row>
    <row r="169">
      <c r="A169" s="6" t="inlineStr">
        <is>
          <t>Barton Kelly</t>
        </is>
      </c>
      <c r="B169" s="6" t="inlineStr">
        <is>
          <t>Radom Capital</t>
        </is>
      </c>
      <c r="C169" s="6" t="inlineStr">
        <is>
          <t>Principal</t>
        </is>
      </c>
      <c r="D169" s="7" t="inlineStr">
        <is>
          <t>Creative project, hybrid job</t>
        </is>
      </c>
      <c r="E169" s="8" t="n">
        <v>2</v>
      </c>
      <c r="F169" s="6" t="inlineStr">
        <is>
          <t>Buys walls</t>
        </is>
      </c>
      <c r="G169" s="6" t="inlineStr">
        <is>
          <t>Heights / Montrose, Harris County</t>
        </is>
      </c>
      <c r="H169" s="6" t="inlineStr">
        <is>
          <t>$104.75M Montrose Collective financing</t>
        </is>
      </c>
      <c r="I169" s="8" t="inlineStr">
        <is>
          <t>Partly</t>
        </is>
      </c>
      <c r="J169" s="9" t="inlineStr">
        <is>
          <t>Fifteen projects in one district, 218 units at Clock Tower.</t>
        </is>
      </c>
      <c r="K169" s="8" t="inlineStr">
        <is>
          <t>No</t>
        </is>
      </c>
      <c r="L169" s="9" t="inlineStr">
        <is>
          <t>Adaptive reuse and retail. Every project is its own building.</t>
        </is>
      </c>
      <c r="M169" s="8" t="inlineStr">
        <is>
          <t>Yes</t>
        </is>
      </c>
      <c r="N169" s="9" t="inlineStr">
        <is>
          <t>Commissioned Michael Hsu for Montrose Collective, four-street frontage, $104.75M financed.</t>
        </is>
      </c>
      <c r="O169" s="8" t="inlineStr">
        <is>
          <t>Yes</t>
        </is>
      </c>
      <c r="P169" s="6" t="inlineStr">
        <is>
          <t>https://www.linkedin.com/in/bartonk/</t>
        </is>
      </c>
      <c r="Q169" s="6" t="inlineStr"/>
      <c r="R169" s="11">
        <f>IF(P169="","ADD LINKEDIN","ok")</f>
        <v/>
      </c>
      <c r="S169" s="6" t="inlineStr">
        <is>
          <t>https://www.radomcapital.com/</t>
        </is>
      </c>
      <c r="T169" s="9" t="inlineStr">
        <is>
          <t>Michael Hsu at Montrose Collective, $104.75M financed. Fifteen projects in one district, so volume is concentrated rather than deep.</t>
        </is>
      </c>
      <c r="U169"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69" s="6" t="inlineStr"/>
      <c r="W169" s="9" t="inlineStr">
        <is>
          <t>Vice President at Radom Capital LLC, Houston.</t>
        </is>
      </c>
      <c r="X169" s="6" t="inlineStr"/>
      <c r="Y169" s="6" t="inlineStr">
        <is>
          <t>https://www.linkedin.com/company/radom-capital-llc</t>
        </is>
      </c>
      <c r="Z169" s="6" t="inlineStr">
        <is>
          <t>https://www.radomcapital.com/team</t>
        </is>
      </c>
    </row>
    <row r="170">
      <c r="A170" s="12" t="inlineStr">
        <is>
          <t>Evan Peterson</t>
        </is>
      </c>
      <c r="B170" s="12" t="inlineStr">
        <is>
          <t>Radom Capital</t>
        </is>
      </c>
      <c r="C170" s="12" t="inlineStr">
        <is>
          <t>Principal</t>
        </is>
      </c>
      <c r="D170" s="13" t="inlineStr">
        <is>
          <t>Creative project, hybrid job</t>
        </is>
      </c>
      <c r="E170" s="14" t="n">
        <v>2</v>
      </c>
      <c r="F170" s="12" t="inlineStr">
        <is>
          <t>Buys walls</t>
        </is>
      </c>
      <c r="G170" s="12" t="inlineStr">
        <is>
          <t>Heights / Montrose, Harris County</t>
        </is>
      </c>
      <c r="H170" s="12" t="inlineStr">
        <is>
          <t>$104.75M Montrose Collective financing</t>
        </is>
      </c>
      <c r="I170" s="14" t="inlineStr">
        <is>
          <t>Partly</t>
        </is>
      </c>
      <c r="J170" s="15" t="inlineStr">
        <is>
          <t>Fifteen projects in one district, 218 units at Clock Tower.</t>
        </is>
      </c>
      <c r="K170" s="14" t="inlineStr">
        <is>
          <t>No</t>
        </is>
      </c>
      <c r="L170" s="15" t="inlineStr">
        <is>
          <t>Adaptive reuse and retail. Every project is its own building.</t>
        </is>
      </c>
      <c r="M170" s="14" t="inlineStr">
        <is>
          <t>Yes</t>
        </is>
      </c>
      <c r="N170" s="15" t="inlineStr">
        <is>
          <t>Commissioned Michael Hsu for Montrose Collective, four-street frontage, $104.75M financed.</t>
        </is>
      </c>
      <c r="O170" s="14" t="inlineStr">
        <is>
          <t>Yes</t>
        </is>
      </c>
      <c r="P170" s="6" t="inlineStr">
        <is>
          <t>https://www.linkedin.com/in/evan-peterson-19656548/</t>
        </is>
      </c>
      <c r="Q170" s="12" t="inlineStr"/>
      <c r="R170" s="16">
        <f>IF(P170="","ADD LINKEDIN","ok")</f>
        <v/>
      </c>
      <c r="S170" s="12" t="inlineStr">
        <is>
          <t>https://www.radomcapital.com/</t>
        </is>
      </c>
      <c r="T170" s="15" t="inlineStr">
        <is>
          <t>Michael Hsu at Montrose Collective, $104.75M financed. Fifteen projects in one district, so volume is concentrated rather than deep.</t>
        </is>
      </c>
      <c r="U170"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70" s="12" t="inlineStr"/>
      <c r="W170" s="15" t="inlineStr">
        <is>
          <t>Principal at Radom Capital LLC. Houston, Texas.</t>
        </is>
      </c>
      <c r="X170" s="12" t="inlineStr"/>
      <c r="Y170" s="12" t="inlineStr">
        <is>
          <t>https://www.linkedin.com/company/radom-capital-llc</t>
        </is>
      </c>
      <c r="Z170" s="12" t="inlineStr">
        <is>
          <t>https://www.radomcapital.com/team</t>
        </is>
      </c>
    </row>
    <row r="171">
      <c r="A171" s="6" t="inlineStr">
        <is>
          <t>Jon Deal</t>
        </is>
      </c>
      <c r="B171" s="6" t="inlineStr">
        <is>
          <t>The Deal Company (Sawyer Yards)</t>
        </is>
      </c>
      <c r="C171" s="6" t="inlineStr">
        <is>
          <t>Founder and Chief Executive Officer</t>
        </is>
      </c>
      <c r="D171" s="7" t="inlineStr">
        <is>
          <t>Creative project, hybrid job</t>
        </is>
      </c>
      <c r="E171" s="8" t="n">
        <v>2</v>
      </c>
      <c r="F171" s="6" t="inlineStr">
        <is>
          <t>Buys walls</t>
        </is>
      </c>
      <c r="G171" s="6" t="inlineStr">
        <is>
          <t>Washington Corridor, Harris County</t>
        </is>
      </c>
      <c r="H171" s="6" t="inlineStr">
        <is>
          <t>55 acres, 27 buildings, 2M+ sf</t>
        </is>
      </c>
      <c r="I171" s="8" t="inlineStr">
        <is>
          <t>Partly</t>
        </is>
      </c>
      <c r="J171" s="9" t="inlineStr">
        <is>
          <t>27 buildings across 55 acres since 2005.</t>
        </is>
      </c>
      <c r="K171" s="8" t="inlineStr">
        <is>
          <t>No</t>
        </is>
      </c>
      <c r="L171" s="9" t="inlineStr">
        <is>
          <t>Converting industrial buildings leaves almost no new wall to print.</t>
        </is>
      </c>
      <c r="M171" s="8" t="inlineStr">
        <is>
          <t>Yes</t>
        </is>
      </c>
      <c r="N171" s="9" t="inlineStr">
        <is>
          <t>Twenty years of building inside awkward industrial structures.</t>
        </is>
      </c>
      <c r="O171" s="8" t="inlineStr">
        <is>
          <t>No</t>
        </is>
      </c>
      <c r="P171" s="10" t="inlineStr"/>
      <c r="Q171" s="6">
        <f>HYPERLINK("https://www.linkedin.com/search/results/people/?keywords=Jon%20Deal%20The%20Deal%20Company","search")</f>
        <v/>
      </c>
      <c r="R171" s="11">
        <f>IF(P171="","ADD LINKEDIN","ok")</f>
        <v/>
      </c>
      <c r="S171" s="6" t="inlineStr">
        <is>
          <t>https://www.dealco.net/</t>
        </is>
      </c>
      <c r="T171" s="9" t="inlineStr">
        <is>
          <t>Twenty years converting industrial buildings, 27 of them. Adaptive reuse leaves little new wall to print.</t>
        </is>
      </c>
      <c r="U171" s="9"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71" s="6" t="inlineStr"/>
      <c r="W171" s="9" t="inlineStr">
        <is>
          <t>Founder and Chief Executive Officer, and co-developer of Sawyer Yards.</t>
        </is>
      </c>
      <c r="X171" s="6" t="inlineStr">
        <is>
          <t>https://www.dealco.net/about/</t>
        </is>
      </c>
      <c r="Y171" s="6" t="inlineStr"/>
      <c r="Z171" s="6" t="inlineStr">
        <is>
          <t>https://www.dealco.net/about/</t>
        </is>
      </c>
    </row>
    <row r="172">
      <c r="A172" s="12" t="inlineStr">
        <is>
          <t>Dougal A. Cameron</t>
        </is>
      </c>
      <c r="B172" s="12" t="inlineStr">
        <is>
          <t>Cameron Management</t>
        </is>
      </c>
      <c r="C172" s="12" t="inlineStr">
        <is>
          <t>President and Owner</t>
        </is>
      </c>
      <c r="D172" s="13" t="inlineStr">
        <is>
          <t>Creative project, hybrid job</t>
        </is>
      </c>
      <c r="E172" s="14" t="n">
        <v>1</v>
      </c>
      <c r="F172" s="12" t="inlineStr">
        <is>
          <t>Buys walls</t>
        </is>
      </c>
      <c r="G172" s="12" t="inlineStr">
        <is>
          <t>Downtown Houston, Harris County</t>
        </is>
      </c>
      <c r="H172" s="12" t="inlineStr">
        <is>
          <t>$50M conversion, up to 100 units</t>
        </is>
      </c>
      <c r="I172" s="14" t="inlineStr">
        <is>
          <t>No</t>
        </is>
      </c>
      <c r="J172" s="15" t="inlineStr">
        <is>
          <t>Two towers, one conversion each. Nothing repeats.</t>
        </is>
      </c>
      <c r="K172" s="14" t="inlineStr">
        <is>
          <t>No</t>
        </is>
      </c>
      <c r="L172" s="15" t="inlineStr">
        <is>
          <t>Converting two 1927 and 1941 office towers to residential. No new exterior wall.</t>
        </is>
      </c>
      <c r="M172" s="14" t="inlineStr">
        <is>
          <t>Yes</t>
        </is>
      </c>
      <c r="N172" s="15" t="inlineStr">
        <is>
          <t>It is taking on a $50 million conversion of two landmark towers from 1927 and 1941, which is a harder build than anything a printer would be asked to do.</t>
        </is>
      </c>
      <c r="O172" s="14" t="inlineStr">
        <is>
          <t>Partly</t>
        </is>
      </c>
      <c r="P172" s="10" t="inlineStr"/>
      <c r="Q172" s="12">
        <f>HYPERLINK("https://www.linkedin.com/search/results/people/?keywords=Dougal%20A.%20Cameron%20Cameron%20Management","search")</f>
        <v/>
      </c>
      <c r="R172" s="16">
        <f>IF(P172="","ADD LINKEDIN","ok")</f>
        <v/>
      </c>
      <c r="S172" s="12" t="inlineStr">
        <is>
          <t>https://cameronmanagement.com/</t>
        </is>
      </c>
      <c r="T172" s="15" t="inlineStr">
        <is>
          <t>Interior conversion of a 1927 tower. Willing to take on a hard build, but almost no new exterior wall.</t>
        </is>
      </c>
      <c r="U172"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72" s="12" t="inlineStr"/>
      <c r="W172" s="15" t="inlineStr">
        <is>
          <t>President. Founded the firm in 1995 after asset and project management at Hines.</t>
        </is>
      </c>
      <c r="X172" s="12" t="inlineStr">
        <is>
          <t>https://cameronmanagement.com/team_member/dougal-a-cameron</t>
        </is>
      </c>
      <c r="Y172" s="12" t="inlineStr">
        <is>
          <t>https://www.linkedin.com/company/cameron-management</t>
        </is>
      </c>
      <c r="Z172" s="12" t="inlineStr">
        <is>
          <t>https://cameronmanagement.com/about</t>
        </is>
      </c>
    </row>
    <row r="173">
      <c r="A173" s="6" t="inlineStr">
        <is>
          <t>William T. Dom</t>
        </is>
      </c>
      <c r="B173" s="6" t="inlineStr">
        <is>
          <t>Cameron Management</t>
        </is>
      </c>
      <c r="C173" s="6" t="inlineStr">
        <is>
          <t>Chief Operating Officer</t>
        </is>
      </c>
      <c r="D173" s="7" t="inlineStr">
        <is>
          <t>Creative project, hybrid job</t>
        </is>
      </c>
      <c r="E173" s="8" t="n">
        <v>1</v>
      </c>
      <c r="F173" s="6" t="inlineStr">
        <is>
          <t>Buys walls</t>
        </is>
      </c>
      <c r="G173" s="6" t="inlineStr">
        <is>
          <t>Downtown Houston, Harris County</t>
        </is>
      </c>
      <c r="H173" s="6" t="inlineStr">
        <is>
          <t>$50M conversion, up to 100 units</t>
        </is>
      </c>
      <c r="I173" s="8" t="inlineStr">
        <is>
          <t>No</t>
        </is>
      </c>
      <c r="J173" s="9" t="inlineStr">
        <is>
          <t>Two towers, one conversion each. Nothing repeats.</t>
        </is>
      </c>
      <c r="K173" s="8" t="inlineStr">
        <is>
          <t>No</t>
        </is>
      </c>
      <c r="L173" s="9" t="inlineStr">
        <is>
          <t>Converting two 1927 and 1941 office towers to residential. No new exterior wall.</t>
        </is>
      </c>
      <c r="M173" s="8" t="inlineStr">
        <is>
          <t>Yes</t>
        </is>
      </c>
      <c r="N173" s="9" t="inlineStr">
        <is>
          <t>It is taking on a $50 million conversion of two landmark towers from 1927 and 1941, which is a harder build than anything a printer would be asked to do.</t>
        </is>
      </c>
      <c r="O173" s="8" t="inlineStr">
        <is>
          <t>Partly</t>
        </is>
      </c>
      <c r="P173" s="10" t="inlineStr"/>
      <c r="Q173" s="6">
        <f>HYPERLINK("https://www.linkedin.com/search/results/people/?keywords=William%20T.%20Dom%20Cameron%20Management","search")</f>
        <v/>
      </c>
      <c r="R173" s="11">
        <f>IF(P173="","ADD LINKEDIN","ok")</f>
        <v/>
      </c>
      <c r="S173" s="6" t="inlineStr">
        <is>
          <t>https://cameronmanagement.com/</t>
        </is>
      </c>
      <c r="T173" s="9" t="inlineStr">
        <is>
          <t>Interior conversion of a 1927 tower. Willing to take on a hard build, but almost no new exterior wall.</t>
        </is>
      </c>
      <c r="U173"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73" s="6" t="inlineStr"/>
      <c r="W173" s="9" t="inlineStr">
        <is>
          <t>Chief Operating Officer and partner since 2000, formerly an asset manager at Hines.</t>
        </is>
      </c>
      <c r="X173" s="6" t="inlineStr">
        <is>
          <t>https://cameronmanagement.com/team_member/william-t-ted-dom</t>
        </is>
      </c>
      <c r="Y173" s="6" t="inlineStr">
        <is>
          <t>https://www.linkedin.com/company/cameron-management</t>
        </is>
      </c>
      <c r="Z173" s="6" t="inlineStr">
        <is>
          <t>https://cameronmanagement.com/about</t>
        </is>
      </c>
    </row>
    <row r="174">
      <c r="A174" s="12" t="inlineStr">
        <is>
          <t>Jim Lemming</t>
        </is>
      </c>
      <c r="B174" s="12" t="inlineStr">
        <is>
          <t>Partners in Building</t>
        </is>
      </c>
      <c r="C174" s="12" t="inlineStr">
        <is>
          <t>Chairman, formerly President and Chief Executive Officer until June 2026</t>
        </is>
      </c>
      <c r="D174" s="13" t="inlineStr">
        <is>
          <t>Creative project, hybrid job</t>
        </is>
      </c>
      <c r="E174" s="14" t="n">
        <v>1</v>
      </c>
      <c r="F174" s="12" t="inlineStr">
        <is>
          <t>Buys walls</t>
        </is>
      </c>
      <c r="G174" s="12" t="inlineStr">
        <is>
          <t>Houston, build on your lot</t>
        </is>
      </c>
      <c r="H174" s="12" t="inlineStr">
        <is>
          <t>More than 300 homes a year in Texas and Tennessee</t>
        </is>
      </c>
      <c r="I174" s="14" t="inlineStr">
        <is>
          <t>No</t>
        </is>
      </c>
      <c r="J174" s="15" t="inlineStr">
        <is>
          <t>Build on your lot, one-of-a-kind by its own description. There is no plan set to repeat.</t>
        </is>
      </c>
      <c r="K174" s="14" t="inlineStr">
        <is>
          <t>Yes</t>
        </is>
      </c>
      <c r="L174" s="15" t="inlineStr">
        <is>
          <t>More than 300 homes a year on the firm's own count, across Texas and Tennessee.</t>
        </is>
      </c>
      <c r="M174" s="14" t="inlineStr">
        <is>
          <t>No</t>
        </is>
      </c>
      <c r="N174" s="15" t="inlineStr">
        <is>
          <t>No method evidence.</t>
        </is>
      </c>
      <c r="O174" s="14" t="inlineStr">
        <is>
          <t>Partly</t>
        </is>
      </c>
      <c r="P174" s="10" t="inlineStr"/>
      <c r="Q174" s="12">
        <f>HYPERLINK("https://www.linkedin.com/search/results/people/?keywords=Jim%20Lemming%20Partners%20in%20Building","search")</f>
        <v/>
      </c>
      <c r="R174" s="16">
        <f>IF(P174="","ADD LINKEDIN","ok")</f>
        <v/>
      </c>
      <c r="S174" s="12" t="inlineStr">
        <is>
          <t>https://partnersinbuilding.com/</t>
        </is>
      </c>
      <c r="T174" s="15" t="inlineStr">
        <is>
          <t>More than 300 homes a year and a vice president of purchasing. Every house is one-of-a-kind. The presidency passed from Jim to Chris Lemming in June 2026.</t>
        </is>
      </c>
      <c r="U174"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74" s="12" t="inlineStr"/>
      <c r="W174" s="15" t="inlineStr">
        <is>
          <t>HousingWire, 15 June 2026: President and CEO Jim Lemming will transition to chairman, and his son Chris Lemming will assume the presidency.</t>
        </is>
      </c>
      <c r="X174" s="12" t="inlineStr">
        <is>
          <t>https://www.housingwire.com/articles/partners-building-succession-plan/</t>
        </is>
      </c>
      <c r="Y174" s="12" t="inlineStr"/>
      <c r="Z174" s="12" t="inlineStr"/>
    </row>
    <row r="175">
      <c r="A175" s="6" t="inlineStr">
        <is>
          <t>Dewey Hennessee</t>
        </is>
      </c>
      <c r="B175" s="6" t="inlineStr">
        <is>
          <t>Partners in Building</t>
        </is>
      </c>
      <c r="C175" s="6" t="inlineStr">
        <is>
          <t>Vice President of Purchasing</t>
        </is>
      </c>
      <c r="D175" s="7" t="inlineStr">
        <is>
          <t>Creative project, hybrid job</t>
        </is>
      </c>
      <c r="E175" s="8" t="n">
        <v>1</v>
      </c>
      <c r="F175" s="6" t="inlineStr">
        <is>
          <t>Buys walls</t>
        </is>
      </c>
      <c r="G175" s="6" t="inlineStr">
        <is>
          <t>Houston, build on your lot</t>
        </is>
      </c>
      <c r="H175" s="6" t="inlineStr">
        <is>
          <t>More than 300 homes a year in Texas and Tennessee</t>
        </is>
      </c>
      <c r="I175" s="8" t="inlineStr">
        <is>
          <t>No</t>
        </is>
      </c>
      <c r="J175" s="9" t="inlineStr">
        <is>
          <t>Build on your lot, one-of-a-kind by its own description. There is no plan set to repeat.</t>
        </is>
      </c>
      <c r="K175" s="8" t="inlineStr">
        <is>
          <t>Yes</t>
        </is>
      </c>
      <c r="L175" s="9" t="inlineStr">
        <is>
          <t>More than 300 homes a year on the firm's own count, across Texas and Tennessee.</t>
        </is>
      </c>
      <c r="M175" s="8" t="inlineStr">
        <is>
          <t>No</t>
        </is>
      </c>
      <c r="N175" s="9" t="inlineStr">
        <is>
          <t>No method evidence.</t>
        </is>
      </c>
      <c r="O175" s="8" t="inlineStr">
        <is>
          <t>Partly</t>
        </is>
      </c>
      <c r="P175" s="6" t="inlineStr">
        <is>
          <t>https://www.linkedin.com/in/dewey-hennessee-gmb-caps-cgp-95418531</t>
        </is>
      </c>
      <c r="Q175" s="6" t="inlineStr"/>
      <c r="R175" s="11">
        <f>IF(P175="","ADD LINKEDIN","ok")</f>
        <v/>
      </c>
      <c r="S175" s="6" t="inlineStr">
        <is>
          <t>https://partnersinbuilding.com/</t>
        </is>
      </c>
      <c r="T175" s="9" t="inlineStr">
        <is>
          <t>More than 300 homes a year and a vice president of purchasing. Every house is one-of-a-kind. The presidency passed from Jim to Chris Lemming in June 2026.</t>
        </is>
      </c>
      <c r="U175"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75" s="6" t="inlineStr">
        <is>
          <t>YES</t>
        </is>
      </c>
      <c r="W175" s="9" t="inlineStr">
        <is>
          <t>Indexed title reads Dewey Hennessee GMB CAPS CGP, Partners in Building. The title on file comes from the first pass and is not repeated in the index entry.</t>
        </is>
      </c>
      <c r="X175" s="6" t="inlineStr"/>
      <c r="Y175" s="6" t="inlineStr"/>
      <c r="Z175" s="6" t="inlineStr"/>
    </row>
    <row r="176">
      <c r="A176" s="12" t="inlineStr">
        <is>
          <t>Chris Lemming</t>
        </is>
      </c>
      <c r="B176" s="12" t="inlineStr">
        <is>
          <t>Partners in Building</t>
        </is>
      </c>
      <c r="C176" s="12" t="inlineStr">
        <is>
          <t>President, since June 2026</t>
        </is>
      </c>
      <c r="D176" s="13" t="inlineStr">
        <is>
          <t>Creative project, hybrid job</t>
        </is>
      </c>
      <c r="E176" s="14" t="n">
        <v>1</v>
      </c>
      <c r="F176" s="12" t="inlineStr">
        <is>
          <t>Buys walls</t>
        </is>
      </c>
      <c r="G176" s="12" t="inlineStr">
        <is>
          <t>Houston, build on your lot</t>
        </is>
      </c>
      <c r="H176" s="12" t="inlineStr">
        <is>
          <t>More than 300 homes a year in Texas and Tennessee</t>
        </is>
      </c>
      <c r="I176" s="14" t="inlineStr">
        <is>
          <t>No</t>
        </is>
      </c>
      <c r="J176" s="15" t="inlineStr">
        <is>
          <t>Build on your lot, one-of-a-kind by its own description. There is no plan set to repeat.</t>
        </is>
      </c>
      <c r="K176" s="14" t="inlineStr">
        <is>
          <t>Yes</t>
        </is>
      </c>
      <c r="L176" s="15" t="inlineStr">
        <is>
          <t>More than 300 homes a year on the firm's own count, across Texas and Tennessee.</t>
        </is>
      </c>
      <c r="M176" s="14" t="inlineStr">
        <is>
          <t>No</t>
        </is>
      </c>
      <c r="N176" s="15" t="inlineStr">
        <is>
          <t>No method evidence.</t>
        </is>
      </c>
      <c r="O176" s="14" t="inlineStr">
        <is>
          <t>Partly</t>
        </is>
      </c>
      <c r="P176" s="10" t="inlineStr"/>
      <c r="Q176" s="12">
        <f>HYPERLINK("https://www.linkedin.com/search/results/people/?keywords=Chris%20Lemming%20Partners%20in%20Building","search")</f>
        <v/>
      </c>
      <c r="R176" s="16">
        <f>IF(P176="","ADD LINKEDIN","ok")</f>
        <v/>
      </c>
      <c r="S176" s="12" t="inlineStr">
        <is>
          <t>https://partnersinbuilding.com/</t>
        </is>
      </c>
      <c r="T176" s="15" t="inlineStr">
        <is>
          <t>More than 300 homes a year and a vice president of purchasing. Every house is one-of-a-kind. The presidency passed from Jim to Chris Lemming in June 2026.</t>
        </is>
      </c>
      <c r="U176"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76" s="12" t="inlineStr"/>
      <c r="W176" s="15" t="inlineStr">
        <is>
          <t>HousingWire, 15 June 2026: Chris Lemming assumes the presidency after an eighteen-month succession.</t>
        </is>
      </c>
      <c r="X176" s="12" t="inlineStr">
        <is>
          <t>https://www.housingwire.com/articles/partners-building-succession-plan/</t>
        </is>
      </c>
      <c r="Y176" s="12" t="inlineStr"/>
      <c r="Z176" s="12" t="inlineStr"/>
    </row>
    <row r="177">
      <c r="A177" s="6" t="inlineStr">
        <is>
          <t>Dan Braun</t>
        </is>
      </c>
      <c r="B177" s="6" t="inlineStr">
        <is>
          <t>Braun Enterprises</t>
        </is>
      </c>
      <c r="C177" s="6" t="inlineStr">
        <is>
          <t>President</t>
        </is>
      </c>
      <c r="D177" s="7" t="inlineStr">
        <is>
          <t>Creative project, hybrid job</t>
        </is>
      </c>
      <c r="E177" s="8" t="n">
        <v>2</v>
      </c>
      <c r="F177" s="6" t="inlineStr">
        <is>
          <t>Buys walls</t>
        </is>
      </c>
      <c r="G177" s="6" t="inlineStr">
        <is>
          <t>Houston, San Antonio and Austin</t>
        </is>
      </c>
      <c r="H177" s="6" t="inlineStr">
        <is>
          <t>Ground-up retail in the Heights and small flex industrial</t>
        </is>
      </c>
      <c r="I177" s="8" t="inlineStr">
        <is>
          <t>Partly</t>
        </is>
      </c>
      <c r="J177" s="9" t="inlineStr">
        <is>
          <t>Small retail buildings repeated across three cities, which is more repetition than anyone else in this category.</t>
        </is>
      </c>
      <c r="K177" s="8" t="inlineStr">
        <is>
          <t>Partly</t>
        </is>
      </c>
      <c r="L177" s="9" t="inlineStr">
        <is>
          <t>Retail shells at 20,000 to 25,000 square feet. A printed wall competes with tilt-wall here, not with stick framing.</t>
        </is>
      </c>
      <c r="M177" s="8" t="inlineStr">
        <is>
          <t>No</t>
        </is>
      </c>
      <c r="N177" s="9" t="inlineStr">
        <is>
          <t>No method evidence on record.</t>
        </is>
      </c>
      <c r="O177" s="8" t="inlineStr">
        <is>
          <t>No</t>
        </is>
      </c>
      <c r="P177" s="6" t="inlineStr">
        <is>
          <t>https://www.linkedin.com/in/dan-braun-36451a15/</t>
        </is>
      </c>
      <c r="Q177" s="6" t="inlineStr"/>
      <c r="R177" s="11">
        <f>IF(P177="","ADD LINKEDIN","ok")</f>
        <v/>
      </c>
      <c r="S177" s="6" t="inlineStr">
        <is>
          <t>https://braunenterprises.com/</t>
        </is>
      </c>
      <c r="T177" s="9" t="inlineStr">
        <is>
          <t>Builds new rather than converting: small-format ground-up retail in the Heights.</t>
        </is>
      </c>
      <c r="U177" s="9" t="inlineStr">
        <is>
          <t>The firm's team page returns a 404. The president's title comes from his own LinkedIn.</t>
        </is>
      </c>
      <c r="V177" s="6" t="inlineStr"/>
      <c r="W177" s="9" t="inlineStr">
        <is>
          <t>Indexed title reads Dan Braun, President at Braun Enterprises. The firm's team page returns a 404, so this is the only link.</t>
        </is>
      </c>
      <c r="X177" s="6" t="inlineStr"/>
      <c r="Y177" s="6" t="inlineStr"/>
      <c r="Z177" s="6" t="inlineStr"/>
    </row>
    <row r="178">
      <c r="A178" s="12" t="inlineStr">
        <is>
          <t>Bradley Freels</t>
        </is>
      </c>
      <c r="B178" s="12" t="inlineStr">
        <is>
          <t>Midway</t>
        </is>
      </c>
      <c r="C178" s="12" t="inlineStr">
        <is>
          <t>Chairman and Chief Executive Officer</t>
        </is>
      </c>
      <c r="D178" s="13" t="inlineStr">
        <is>
          <t>Creative project, hybrid job</t>
        </is>
      </c>
      <c r="E178" s="14" t="n">
        <v>2</v>
      </c>
      <c r="F178" s="12" t="inlineStr">
        <is>
          <t>Buys walls</t>
        </is>
      </c>
      <c r="G178" s="12" t="inlineStr">
        <is>
          <t>Houston HQ / East End, Harris County</t>
        </is>
      </c>
      <c r="H178" s="12" t="inlineStr">
        <is>
          <t>East River: 150 acres, 60 city blocks</t>
        </is>
      </c>
      <c r="I178" s="14" t="inlineStr">
        <is>
          <t>Partly</t>
        </is>
      </c>
      <c r="J178" s="15" t="inlineStr">
        <is>
          <t>East River is 60 city blocks on one site, phased over decades.</t>
        </is>
      </c>
      <c r="K178" s="14" t="inlineStr">
        <is>
          <t>No</t>
        </is>
      </c>
      <c r="L178" s="15" t="inlineStr">
        <is>
          <t>Sixty blocks of mixed-use. The buildings are one-offs, whatever the acreage.</t>
        </is>
      </c>
      <c r="M178" s="14" t="inlineStr">
        <is>
          <t>Partly</t>
        </is>
      </c>
      <c r="N178" s="15" t="inlineStr">
        <is>
          <t>District-scale design ambition, but no specific method precedent was found.</t>
        </is>
      </c>
      <c r="O178" s="14" t="inlineStr">
        <is>
          <t>No</t>
        </is>
      </c>
      <c r="P178" s="10" t="inlineStr"/>
      <c r="Q178" s="12">
        <f>HYPERLINK("https://www.linkedin.com/search/results/people/?keywords=Bradley%20Freels%20Midway","search")</f>
        <v/>
      </c>
      <c r="R178" s="16">
        <f>IF(P178="","ADD LINKEDIN","ok")</f>
        <v/>
      </c>
      <c r="S178" s="12" t="inlineStr">
        <is>
          <t>https://www.midway.team/</t>
        </is>
      </c>
      <c r="T178" s="15" t="inlineStr">
        <is>
          <t>East River is 60 blocks on one site. No capital figure disclosed and the Parkway relationship is unresolved.</t>
        </is>
      </c>
      <c r="U178"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78" s="12" t="inlineStr"/>
      <c r="W178" s="15" t="inlineStr">
        <is>
          <t>Chairman and Chief Executive Officer on Midway's own people page. He has no findable LinkedIn profile, so this is the citation.</t>
        </is>
      </c>
      <c r="X178" s="12" t="inlineStr">
        <is>
          <t>https://www.midway.team/our-people</t>
        </is>
      </c>
      <c r="Y178" s="12" t="inlineStr">
        <is>
          <t>https://www.linkedin.com/company/midway</t>
        </is>
      </c>
      <c r="Z178" s="12" t="inlineStr">
        <is>
          <t>https://www.midway.team/our-people</t>
        </is>
      </c>
    </row>
    <row r="179">
      <c r="A179" s="6" t="inlineStr">
        <is>
          <t>David Hightower</t>
        </is>
      </c>
      <c r="B179" s="6" t="inlineStr">
        <is>
          <t>Midway</t>
        </is>
      </c>
      <c r="C179" s="6" t="inlineStr">
        <is>
          <t>Executive Vice President</t>
        </is>
      </c>
      <c r="D179" s="7" t="inlineStr">
        <is>
          <t>Creative project, hybrid job</t>
        </is>
      </c>
      <c r="E179" s="8" t="n">
        <v>2</v>
      </c>
      <c r="F179" s="6" t="inlineStr">
        <is>
          <t>Buys walls</t>
        </is>
      </c>
      <c r="G179" s="6" t="inlineStr">
        <is>
          <t>Houston HQ / East End, Harris County</t>
        </is>
      </c>
      <c r="H179" s="6" t="inlineStr">
        <is>
          <t>East River: 150 acres, 60 city blocks</t>
        </is>
      </c>
      <c r="I179" s="8" t="inlineStr">
        <is>
          <t>Partly</t>
        </is>
      </c>
      <c r="J179" s="9" t="inlineStr">
        <is>
          <t>East River is 60 city blocks on one site, phased over decades.</t>
        </is>
      </c>
      <c r="K179" s="8" t="inlineStr">
        <is>
          <t>No</t>
        </is>
      </c>
      <c r="L179" s="9" t="inlineStr">
        <is>
          <t>Sixty blocks of mixed-use. The buildings are one-offs, whatever the acreage.</t>
        </is>
      </c>
      <c r="M179" s="8" t="inlineStr">
        <is>
          <t>Partly</t>
        </is>
      </c>
      <c r="N179" s="9" t="inlineStr">
        <is>
          <t>District-scale design ambition, but no specific method precedent was found.</t>
        </is>
      </c>
      <c r="O179" s="8" t="inlineStr">
        <is>
          <t>No</t>
        </is>
      </c>
      <c r="P179" s="6" t="inlineStr">
        <is>
          <t>https://www.linkedin.com/in/dahightower/</t>
        </is>
      </c>
      <c r="Q179" s="6" t="inlineStr"/>
      <c r="R179" s="11">
        <f>IF(P179="","ADD LINKEDIN","ok")</f>
        <v/>
      </c>
      <c r="S179" s="6" t="inlineStr">
        <is>
          <t>https://www.midway.team/</t>
        </is>
      </c>
      <c r="T179" s="9" t="inlineStr">
        <is>
          <t>East River is 60 blocks on one site. No capital figure disclosed and the Parkway relationship is unresolved.</t>
        </is>
      </c>
      <c r="U179"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79" s="6" t="inlineStr"/>
      <c r="W179" s="9" t="inlineStr">
        <is>
          <t>Executive Vice President, Development at Midway Companies. Houston, Texas.</t>
        </is>
      </c>
      <c r="X179" s="6" t="inlineStr"/>
      <c r="Y179" s="6" t="inlineStr">
        <is>
          <t>https://www.linkedin.com/company/midway</t>
        </is>
      </c>
      <c r="Z179" s="6" t="inlineStr">
        <is>
          <t>https://www.midway.team/our-people</t>
        </is>
      </c>
    </row>
    <row r="180">
      <c r="A180" s="12" t="inlineStr">
        <is>
          <t>Clark Thompson</t>
        </is>
      </c>
      <c r="B180" s="12" t="inlineStr">
        <is>
          <t>Midway</t>
        </is>
      </c>
      <c r="C180" s="12" t="inlineStr">
        <is>
          <t>Executive Vice President and General Counsel</t>
        </is>
      </c>
      <c r="D180" s="13" t="inlineStr">
        <is>
          <t>Creative project, hybrid job</t>
        </is>
      </c>
      <c r="E180" s="14" t="n">
        <v>2</v>
      </c>
      <c r="F180" s="12" t="inlineStr">
        <is>
          <t>Buys walls</t>
        </is>
      </c>
      <c r="G180" s="12" t="inlineStr">
        <is>
          <t>Houston HQ / East End, Harris County</t>
        </is>
      </c>
      <c r="H180" s="12" t="inlineStr">
        <is>
          <t>East River: 150 acres, 60 city blocks</t>
        </is>
      </c>
      <c r="I180" s="14" t="inlineStr">
        <is>
          <t>Partly</t>
        </is>
      </c>
      <c r="J180" s="15" t="inlineStr">
        <is>
          <t>East River is 60 city blocks on one site, phased over decades.</t>
        </is>
      </c>
      <c r="K180" s="14" t="inlineStr">
        <is>
          <t>No</t>
        </is>
      </c>
      <c r="L180" s="15" t="inlineStr">
        <is>
          <t>Sixty blocks of mixed-use. The buildings are one-offs, whatever the acreage.</t>
        </is>
      </c>
      <c r="M180" s="14" t="inlineStr">
        <is>
          <t>Partly</t>
        </is>
      </c>
      <c r="N180" s="15" t="inlineStr">
        <is>
          <t>District-scale design ambition, but no specific method precedent was found.</t>
        </is>
      </c>
      <c r="O180" s="14" t="inlineStr">
        <is>
          <t>No</t>
        </is>
      </c>
      <c r="P180" s="10" t="inlineStr"/>
      <c r="Q180" s="12">
        <f>HYPERLINK("https://www.linkedin.com/search/results/people/?keywords=Clark%20Thompson%20Midway","search")</f>
        <v/>
      </c>
      <c r="R180" s="16">
        <f>IF(P180="","ADD LINKEDIN","ok")</f>
        <v/>
      </c>
      <c r="S180" s="12" t="inlineStr">
        <is>
          <t>https://www.midway.team/</t>
        </is>
      </c>
      <c r="T180" s="15" t="inlineStr">
        <is>
          <t>East River is 60 blocks on one site. No capital figure disclosed and the Parkway relationship is unresolved.</t>
        </is>
      </c>
      <c r="U180"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0" s="12" t="inlineStr"/>
      <c r="W180" s="15" t="inlineStr">
        <is>
          <t>Executive Vice President and General Counsel.</t>
        </is>
      </c>
      <c r="X180" s="12" t="inlineStr">
        <is>
          <t>https://www.midway.team/our-people</t>
        </is>
      </c>
      <c r="Y180" s="12" t="inlineStr">
        <is>
          <t>https://www.linkedin.com/company/midway</t>
        </is>
      </c>
      <c r="Z180" s="12" t="inlineStr">
        <is>
          <t>https://www.midway.team/our-people</t>
        </is>
      </c>
    </row>
    <row r="181">
      <c r="A181" s="6" t="inlineStr">
        <is>
          <t>Rob Sigler</t>
        </is>
      </c>
      <c r="B181" s="6" t="inlineStr">
        <is>
          <t>Midway</t>
        </is>
      </c>
      <c r="C181" s="6" t="inlineStr">
        <is>
          <t>Executive Vice President, Construction, Investment and Development, Midway</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6" t="inlineStr">
        <is>
          <t>https://www.linkedin.com/in/robsigler/</t>
        </is>
      </c>
      <c r="Q181" s="6" t="inlineStr"/>
      <c r="R181" s="11">
        <f>IF(P181="","ADD LINKEDIN","ok")</f>
        <v/>
      </c>
      <c r="S181" s="6" t="inlineStr">
        <is>
          <t>https://www.midway.team/</t>
        </is>
      </c>
      <c r="T181" s="9" t="inlineStr">
        <is>
          <t>East River is 60 blocks on one site. No capital figure disclosed and the Parkway relationship is unresolved.</t>
        </is>
      </c>
      <c r="U181"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1" s="6" t="inlineStr">
        <is>
          <t>YES</t>
        </is>
      </c>
      <c r="W181"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81" s="6" t="inlineStr"/>
      <c r="Y181" s="6" t="inlineStr">
        <is>
          <t>https://www.linkedin.com/company/midway</t>
        </is>
      </c>
      <c r="Z181" s="6" t="inlineStr">
        <is>
          <t>https://www.midway.team/our-people</t>
        </is>
      </c>
    </row>
    <row r="182">
      <c r="A182" s="12" t="inlineStr">
        <is>
          <t>Anna Deans</t>
        </is>
      </c>
      <c r="B182" s="12" t="inlineStr">
        <is>
          <t>Midway</t>
        </is>
      </c>
      <c r="C182" s="12" t="inlineStr">
        <is>
          <t>Executive Vice President, Midway</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https://www.linkedin.com/in/anna-deans-bbbab03/</t>
        </is>
      </c>
      <c r="Q182" s="12" t="inlineStr"/>
      <c r="R182" s="16">
        <f>IF(P182="","ADD LINKEDIN","ok")</f>
        <v/>
      </c>
      <c r="S182" s="12" t="inlineStr">
        <is>
          <t>https://www.midway.team/</t>
        </is>
      </c>
      <c r="T182" s="15" t="inlineStr">
        <is>
          <t>East River is 60 blocks on one site. No capital figure disclosed and the Parkway relationship is unresolved.</t>
        </is>
      </c>
      <c r="U182"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2" s="12" t="inlineStr"/>
      <c r="W182" s="15" t="inlineStr">
        <is>
          <t>Executive Vice President, Midway. Houston, Texas.</t>
        </is>
      </c>
      <c r="X182" s="12" t="inlineStr"/>
      <c r="Y182" s="12" t="inlineStr">
        <is>
          <t>https://www.linkedin.com/company/midway</t>
        </is>
      </c>
      <c r="Z182" s="12" t="inlineStr">
        <is>
          <t>https://www.midway.team/our-people</t>
        </is>
      </c>
    </row>
    <row r="183">
      <c r="A183" s="6" t="inlineStr">
        <is>
          <t>Paul Coonrod</t>
        </is>
      </c>
      <c r="B183" s="6" t="inlineStr">
        <is>
          <t>Pagewood</t>
        </is>
      </c>
      <c r="C183" s="6" t="inlineStr">
        <is>
          <t>Founder and Managing Principal</t>
        </is>
      </c>
      <c r="D183" s="7" t="inlineStr">
        <is>
          <t>Creative project, hybrid job</t>
        </is>
      </c>
      <c r="E183" s="8" t="n">
        <v>1</v>
      </c>
      <c r="F183" s="6" t="inlineStr">
        <is>
          <t>Buys walls</t>
        </is>
      </c>
      <c r="G183" s="6" t="inlineStr">
        <is>
          <t>Houston</t>
        </is>
      </c>
      <c r="H183" s="6" t="inlineStr">
        <is>
          <t>East Blocks, 513,000 sf across ten EaDo blocks</t>
        </is>
      </c>
      <c r="I183" s="8" t="inlineStr">
        <is>
          <t>Partly</t>
        </is>
      </c>
      <c r="J183" s="9" t="inlineStr">
        <is>
          <t>Ten blocks under one plan is concentration, but every building is its own problem.</t>
        </is>
      </c>
      <c r="K183" s="8" t="inlineStr">
        <is>
          <t>No</t>
        </is>
      </c>
      <c r="L183" s="9" t="inlineStr">
        <is>
          <t>The phase-one programme is retail, office and parking rather than repeated units.</t>
        </is>
      </c>
      <c r="M183" s="8" t="inlineStr">
        <is>
          <t>No</t>
        </is>
      </c>
      <c r="N183" s="9" t="inlineStr">
        <is>
          <t>It chose to keep eighty-year-old warehouses that would have been cheaper to demolish. The partner said so on the record.</t>
        </is>
      </c>
      <c r="O183" s="8" t="inlineStr">
        <is>
          <t>Partly</t>
        </is>
      </c>
      <c r="P183" s="10" t="inlineStr"/>
      <c r="Q183" s="6">
        <f>HYPERLINK("https://www.linkedin.com/search/results/people/?keywords=Paul%20Coonrod%20Pagewood","search")</f>
        <v/>
      </c>
      <c r="R183" s="11">
        <f>IF(P183="","ADD LINKEDIN","ok")</f>
        <v/>
      </c>
      <c r="S183" s="6" t="inlineStr">
        <is>
          <t>https://www.pagewood.com/</t>
        </is>
      </c>
      <c r="T183" s="9" t="inlineStr">
        <is>
          <t>Ten contiguous EaDo blocks, 513,000 square feet in phase one, Gensler on design and SWA on landscape. It builds ground-up industrial elsewhere, so it is not conversion-only.</t>
        </is>
      </c>
      <c r="U183"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83" s="6" t="inlineStr"/>
      <c r="W183" s="9" t="inlineStr">
        <is>
          <t>Team page: Founder and Managing Principal.</t>
        </is>
      </c>
      <c r="X183" s="6" t="inlineStr">
        <is>
          <t>https://www.pagewood.com/team</t>
        </is>
      </c>
      <c r="Y183" s="6" t="inlineStr"/>
      <c r="Z183" s="6" t="inlineStr"/>
    </row>
    <row r="184">
      <c r="A184" s="12" t="inlineStr">
        <is>
          <t>Mat Volz</t>
        </is>
      </c>
      <c r="B184" s="12" t="inlineStr">
        <is>
          <t>Pagewood</t>
        </is>
      </c>
      <c r="C184" s="12" t="inlineStr">
        <is>
          <t>Managing Principal</t>
        </is>
      </c>
      <c r="D184" s="13" t="inlineStr">
        <is>
          <t>Creative project, hybrid job</t>
        </is>
      </c>
      <c r="E184" s="14" t="n">
        <v>1</v>
      </c>
      <c r="F184" s="12" t="inlineStr">
        <is>
          <t>Buys walls</t>
        </is>
      </c>
      <c r="G184" s="12" t="inlineStr">
        <is>
          <t>Houston</t>
        </is>
      </c>
      <c r="H184" s="12" t="inlineStr">
        <is>
          <t>East Blocks, 513,000 sf across ten EaDo blocks</t>
        </is>
      </c>
      <c r="I184" s="14" t="inlineStr">
        <is>
          <t>Partly</t>
        </is>
      </c>
      <c r="J184" s="15" t="inlineStr">
        <is>
          <t>Ten blocks under one plan is concentration, but every building is its own problem.</t>
        </is>
      </c>
      <c r="K184" s="14" t="inlineStr">
        <is>
          <t>No</t>
        </is>
      </c>
      <c r="L184" s="15" t="inlineStr">
        <is>
          <t>The phase-one programme is retail, office and parking rather than repeated units.</t>
        </is>
      </c>
      <c r="M184" s="14" t="inlineStr">
        <is>
          <t>No</t>
        </is>
      </c>
      <c r="N184" s="15" t="inlineStr">
        <is>
          <t>It chose to keep eighty-year-old warehouses that would have been cheaper to demolish. The partner said so on the record.</t>
        </is>
      </c>
      <c r="O184" s="14" t="inlineStr">
        <is>
          <t>Partly</t>
        </is>
      </c>
      <c r="P184" s="6" t="inlineStr">
        <is>
          <t>https://www.linkedin.com/in/mathew-volz-14684850/</t>
        </is>
      </c>
      <c r="Q184" s="12" t="inlineStr"/>
      <c r="R184" s="16">
        <f>IF(P184="","ADD LINKEDIN","ok")</f>
        <v/>
      </c>
      <c r="S184" s="12" t="inlineStr">
        <is>
          <t>https://www.pagewood.com/</t>
        </is>
      </c>
      <c r="T184" s="15" t="inlineStr">
        <is>
          <t>Ten contiguous EaDo blocks, 513,000 square feet in phase one, Gensler on design and SWA on landscape. It builds ground-up industrial elsewhere, so it is not conversion-only.</t>
        </is>
      </c>
      <c r="U184"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84" s="12" t="inlineStr"/>
      <c r="W184" s="15" t="inlineStr">
        <is>
          <t>Indexed title reads Mathew Volz, Managing Principal at Pagewood. The firm's team page spells the name Mat. Team page: Managing Principal.</t>
        </is>
      </c>
      <c r="X184" s="12" t="inlineStr">
        <is>
          <t>https://www.pagewood.com/team</t>
        </is>
      </c>
      <c r="Y184" s="12" t="inlineStr"/>
      <c r="Z184" s="12" t="inlineStr"/>
    </row>
    <row r="185">
      <c r="A185" s="6" t="inlineStr">
        <is>
          <t>Preston Luster</t>
        </is>
      </c>
      <c r="B185" s="6" t="inlineStr">
        <is>
          <t>Pagewood</t>
        </is>
      </c>
      <c r="C185" s="6" t="inlineStr">
        <is>
          <t>Senior Construction Manager</t>
        </is>
      </c>
      <c r="D185" s="7" t="inlineStr">
        <is>
          <t>Creative project, hybrid job</t>
        </is>
      </c>
      <c r="E185" s="8" t="n">
        <v>1</v>
      </c>
      <c r="F185" s="6" t="inlineStr">
        <is>
          <t>Buys walls</t>
        </is>
      </c>
      <c r="G185" s="6" t="inlineStr">
        <is>
          <t>Houston</t>
        </is>
      </c>
      <c r="H185" s="6" t="inlineStr">
        <is>
          <t>East Blocks, 513,000 sf across ten EaDo blocks</t>
        </is>
      </c>
      <c r="I185" s="8" t="inlineStr">
        <is>
          <t>Partly</t>
        </is>
      </c>
      <c r="J185" s="9" t="inlineStr">
        <is>
          <t>Ten blocks under one plan is concentration, but every building is its own problem.</t>
        </is>
      </c>
      <c r="K185" s="8" t="inlineStr">
        <is>
          <t>No</t>
        </is>
      </c>
      <c r="L185" s="9" t="inlineStr">
        <is>
          <t>The phase-one programme is retail, office and parking rather than repeated units.</t>
        </is>
      </c>
      <c r="M185" s="8" t="inlineStr">
        <is>
          <t>No</t>
        </is>
      </c>
      <c r="N185" s="9" t="inlineStr">
        <is>
          <t>It chose to keep eighty-year-old warehouses that would have been cheaper to demolish. The partner said so on the record.</t>
        </is>
      </c>
      <c r="O185" s="8" t="inlineStr">
        <is>
          <t>Partly</t>
        </is>
      </c>
      <c r="P185" s="10" t="inlineStr"/>
      <c r="Q185" s="6">
        <f>HYPERLINK("https://www.linkedin.com/search/results/people/?keywords=Preston%20Luster%20Pagewood","search")</f>
        <v/>
      </c>
      <c r="R185" s="11">
        <f>IF(P185="","ADD LINKEDIN","ok")</f>
        <v/>
      </c>
      <c r="S185" s="6" t="inlineStr">
        <is>
          <t>https://www.pagewood.com/</t>
        </is>
      </c>
      <c r="T185" s="9" t="inlineStr">
        <is>
          <t>Ten contiguous EaDo blocks, 513,000 square feet in phase one, Gensler on design and SWA on landscape. It builds ground-up industrial elsewhere, so it is not conversion-only.</t>
        </is>
      </c>
      <c r="U185"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85" s="6" t="inlineStr"/>
      <c r="W185" s="9" t="inlineStr">
        <is>
          <t>Team page: Senior Construction Manager.</t>
        </is>
      </c>
      <c r="X185" s="6" t="inlineStr">
        <is>
          <t>https://www.pagewood.com/team</t>
        </is>
      </c>
      <c r="Y185" s="6" t="inlineStr"/>
      <c r="Z185" s="6" t="inlineStr"/>
    </row>
    <row r="186">
      <c r="A186" s="12" t="inlineStr">
        <is>
          <t>David Kelley</t>
        </is>
      </c>
      <c r="B186" s="12" t="inlineStr">
        <is>
          <t>Concept Neighborhood</t>
        </is>
      </c>
      <c r="C186" s="12" t="inlineStr">
        <is>
          <t>Managing Partner, Projects and Finance</t>
        </is>
      </c>
      <c r="D186" s="13" t="inlineStr">
        <is>
          <t>Creative project, hybrid job</t>
        </is>
      </c>
      <c r="E186" s="14" t="n">
        <v>1</v>
      </c>
      <c r="F186" s="12" t="inlineStr">
        <is>
          <t>Buys walls</t>
        </is>
      </c>
      <c r="G186" s="12" t="inlineStr">
        <is>
          <t>East End, Harris</t>
        </is>
      </c>
      <c r="H186" s="12" t="inlineStr">
        <is>
          <t>17 acres at The Plant, Second Ward</t>
        </is>
      </c>
      <c r="I186" s="14" t="inlineStr">
        <is>
          <t>No</t>
        </is>
      </c>
      <c r="J186" s="15" t="inlineStr">
        <is>
          <t>Four blocks of eighty-year-old industrial buildings, each one different. There is no plan to repeat.</t>
        </is>
      </c>
      <c r="K186" s="14" t="inlineStr">
        <is>
          <t>No</t>
        </is>
      </c>
      <c r="L186" s="15" t="inlineStr">
        <is>
          <t>Conversion work leaves little new wall. A printed element would have to be an addition rather than the building.</t>
        </is>
      </c>
      <c r="M186" s="14" t="inlineStr">
        <is>
          <t>Partly</t>
        </is>
      </c>
      <c r="N186" s="15" t="inlineStr">
        <is>
          <t>They restored an 1890s building to open Axelrad and took a National Register industrial basilica on at The Factory. This is a team that chooses the harder build on purpose.</t>
        </is>
      </c>
      <c r="O186" s="14" t="inlineStr">
        <is>
          <t>No</t>
        </is>
      </c>
      <c r="P186" s="6" t="inlineStr">
        <is>
          <t>https://www.linkedin.com/in/david-kelley-275240105/</t>
        </is>
      </c>
      <c r="Q186" s="12" t="inlineStr"/>
      <c r="R186" s="16">
        <f>IF(P186="","ADD LINKEDIN","ok")</f>
        <v/>
      </c>
      <c r="S186" s="12" t="inlineStr">
        <is>
          <t>https://www.conceptneighborhood.com/</t>
        </is>
      </c>
      <c r="T186" s="15" t="inlineStr">
        <is>
          <t>The only firm screened whose founders operate hospitality themselves rather than leasing to operators. Seventeen acres of industrial conversion in the East End.</t>
        </is>
      </c>
      <c r="U186" s="15" t="inlineStr">
        <is>
          <t>No outside architect is credited on any project. Design sits with a partner in house, which means a method conversation goes straight to a decision-maker rather than through a consultant.</t>
        </is>
      </c>
      <c r="V186" s="12" t="inlineStr"/>
      <c r="W186" s="15" t="inlineStr">
        <is>
          <t>Linked from conceptneighborhood.com/team, which lists him as Managing Partner, Projects and Finance. Team page: Managing Partner, Projects and Finance.</t>
        </is>
      </c>
      <c r="X186" s="12" t="inlineStr">
        <is>
          <t>https://www.conceptneighborhood.com/team</t>
        </is>
      </c>
      <c r="Y186" s="12" t="inlineStr"/>
      <c r="Z186" s="12" t="inlineStr"/>
    </row>
    <row r="187">
      <c r="A187" s="6" t="inlineStr">
        <is>
          <t>Jeffrey Kaplan</t>
        </is>
      </c>
      <c r="B187" s="6" t="inlineStr">
        <is>
          <t>Concept Neighborhood</t>
        </is>
      </c>
      <c r="C187" s="6" t="inlineStr">
        <is>
          <t>Managing Partner, Brokerage and Placemaking, co-founder of Axelrad</t>
        </is>
      </c>
      <c r="D187" s="7" t="inlineStr">
        <is>
          <t>Creative project, hybrid job</t>
        </is>
      </c>
      <c r="E187" s="8" t="n">
        <v>1</v>
      </c>
      <c r="F187" s="6" t="inlineStr">
        <is>
          <t>Buys walls</t>
        </is>
      </c>
      <c r="G187" s="6" t="inlineStr">
        <is>
          <t>East End, Harris</t>
        </is>
      </c>
      <c r="H187" s="6" t="inlineStr">
        <is>
          <t>17 acres at The Plant, Second Ward</t>
        </is>
      </c>
      <c r="I187" s="8" t="inlineStr">
        <is>
          <t>No</t>
        </is>
      </c>
      <c r="J187" s="9" t="inlineStr">
        <is>
          <t>Four blocks of eighty-year-old industrial buildings, each one different. There is no plan to repeat.</t>
        </is>
      </c>
      <c r="K187" s="8" t="inlineStr">
        <is>
          <t>No</t>
        </is>
      </c>
      <c r="L187" s="9" t="inlineStr">
        <is>
          <t>Conversion work leaves little new wall. A printed element would have to be an addition rather than the building.</t>
        </is>
      </c>
      <c r="M187" s="8" t="inlineStr">
        <is>
          <t>Partly</t>
        </is>
      </c>
      <c r="N187" s="9" t="inlineStr">
        <is>
          <t>They restored an 1890s building to open Axelrad and took a National Register industrial basilica on at The Factory. This is a team that chooses the harder build on purpose.</t>
        </is>
      </c>
      <c r="O187" s="8" t="inlineStr">
        <is>
          <t>No</t>
        </is>
      </c>
      <c r="P187" s="6" t="inlineStr">
        <is>
          <t>https://www.linkedin.com/in/jeffrey-kaplan-71190150/</t>
        </is>
      </c>
      <c r="Q187" s="6" t="inlineStr"/>
      <c r="R187" s="11">
        <f>IF(P187="","ADD LINKEDIN","ok")</f>
        <v/>
      </c>
      <c r="S187" s="6" t="inlineStr">
        <is>
          <t>https://www.conceptneighborhood.com/</t>
        </is>
      </c>
      <c r="T187" s="9" t="inlineStr">
        <is>
          <t>The only firm screened whose founders operate hospitality themselves rather than leasing to operators. Seventeen acres of industrial conversion in the East End.</t>
        </is>
      </c>
      <c r="U187" s="9" t="inlineStr">
        <is>
          <t>No outside architect is credited on any project. Design sits with a partner in house, which means a method conversation goes straight to a decision-maker rather than through a consultant.</t>
        </is>
      </c>
      <c r="V187" s="6" t="inlineStr"/>
      <c r="W187" s="9" t="inlineStr">
        <is>
          <t>Linked from conceptneighborhood.com/team, which lists him as Managing Partner, Brokerage and Placemaking. Team page: Managing Partner, Brokerage and Placemaking.</t>
        </is>
      </c>
      <c r="X187" s="6" t="inlineStr">
        <is>
          <t>https://www.conceptneighborhood.com/team</t>
        </is>
      </c>
      <c r="Y187" s="6" t="inlineStr"/>
      <c r="Z187" s="6" t="inlineStr"/>
    </row>
    <row r="188">
      <c r="A188" s="12" t="inlineStr">
        <is>
          <t>Monte Large</t>
        </is>
      </c>
      <c r="B188" s="12" t="inlineStr">
        <is>
          <t>Concept Neighborhood</t>
        </is>
      </c>
      <c r="C188" s="12" t="inlineStr">
        <is>
          <t>Partner, Design and Placemaking</t>
        </is>
      </c>
      <c r="D188" s="13" t="inlineStr">
        <is>
          <t>Creative project, hybrid job</t>
        </is>
      </c>
      <c r="E188" s="14" t="n">
        <v>1</v>
      </c>
      <c r="F188" s="12" t="inlineStr">
        <is>
          <t>Buys walls</t>
        </is>
      </c>
      <c r="G188" s="12" t="inlineStr">
        <is>
          <t>East End, Harris</t>
        </is>
      </c>
      <c r="H188" s="12" t="inlineStr">
        <is>
          <t>17 acres at The Plant, Second Ward</t>
        </is>
      </c>
      <c r="I188" s="14" t="inlineStr">
        <is>
          <t>No</t>
        </is>
      </c>
      <c r="J188" s="15" t="inlineStr">
        <is>
          <t>Four blocks of eighty-year-old industrial buildings, each one different. There is no plan to repeat.</t>
        </is>
      </c>
      <c r="K188" s="14" t="inlineStr">
        <is>
          <t>No</t>
        </is>
      </c>
      <c r="L188" s="15" t="inlineStr">
        <is>
          <t>Conversion work leaves little new wall. A printed element would have to be an addition rather than the building.</t>
        </is>
      </c>
      <c r="M188" s="14" t="inlineStr">
        <is>
          <t>Partly</t>
        </is>
      </c>
      <c r="N188" s="15" t="inlineStr">
        <is>
          <t>They restored an 1890s building to open Axelrad and took a National Register industrial basilica on at The Factory. This is a team that chooses the harder build on purpose.</t>
        </is>
      </c>
      <c r="O188" s="14" t="inlineStr">
        <is>
          <t>No</t>
        </is>
      </c>
      <c r="P188" s="6" t="inlineStr">
        <is>
          <t>https://www.linkedin.com/in/montelarge/</t>
        </is>
      </c>
      <c r="Q188" s="12" t="inlineStr"/>
      <c r="R188" s="16">
        <f>IF(P188="","ADD LINKEDIN","ok")</f>
        <v/>
      </c>
      <c r="S188" s="12" t="inlineStr">
        <is>
          <t>https://www.conceptneighborhood.com/</t>
        </is>
      </c>
      <c r="T188" s="15" t="inlineStr">
        <is>
          <t>The only firm screened whose founders operate hospitality themselves rather than leasing to operators. Seventeen acres of industrial conversion in the East End.</t>
        </is>
      </c>
      <c r="U188" s="15" t="inlineStr">
        <is>
          <t>No outside architect is credited on any project. Design sits with a partner in house, which means a method conversation goes straight to a decision-maker rather than through a consultant.</t>
        </is>
      </c>
      <c r="V188" s="12" t="inlineStr"/>
      <c r="W188" s="15" t="inlineStr">
        <is>
          <t>Linked from conceptneighborhood.com/team, which lists him as Partner, Design and Placemaking. Team page: Partner, Design and Placemaking.</t>
        </is>
      </c>
      <c r="X188" s="12" t="inlineStr">
        <is>
          <t>https://www.conceptneighborhood.com/team</t>
        </is>
      </c>
      <c r="Y188" s="12" t="inlineStr"/>
      <c r="Z188" s="12" t="inlineStr"/>
    </row>
    <row r="189">
      <c r="A189" s="6" t="inlineStr">
        <is>
          <t>Jeremy Roberts</t>
        </is>
      </c>
      <c r="B189" s="6" t="inlineStr">
        <is>
          <t>Concept Neighborhood</t>
        </is>
      </c>
      <c r="C189" s="6" t="inlineStr">
        <is>
          <t>Managing Partner, Projects and Legal</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https://www.linkedin.com/in/jeremyaaronroberts/</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9" t="inlineStr">
        <is>
          <t>No outside architect is credited on any project. Design sits with a partner in house, which means a method conversation goes straight to a decision-maker rather than through a consultant.</t>
        </is>
      </c>
      <c r="V189" s="6" t="inlineStr"/>
      <c r="W189" s="9" t="inlineStr">
        <is>
          <t>Linked from conceptneighborhood.com/team, which lists him as Managing Partner, Projects and Legal. Team page: Managing Partner, Projects and Legal.</t>
        </is>
      </c>
      <c r="X189" s="6" t="inlineStr">
        <is>
          <t>https://www.conceptneighborhood.com/team</t>
        </is>
      </c>
      <c r="Y189" s="6" t="inlineStr"/>
      <c r="Z189" s="6" t="inlineStr"/>
    </row>
    <row r="190">
      <c r="A190" s="12" t="inlineStr">
        <is>
          <t>Randolph Wile</t>
        </is>
      </c>
      <c r="B190" s="12" t="inlineStr">
        <is>
          <t>Wile Interests</t>
        </is>
      </c>
      <c r="C190" s="12" t="inlineStr">
        <is>
          <t>Founder and President</t>
        </is>
      </c>
      <c r="D190" s="13" t="inlineStr">
        <is>
          <t>Creative project, hybrid job</t>
        </is>
      </c>
      <c r="E190" s="14" t="n">
        <v>1</v>
      </c>
      <c r="F190" s="12" t="inlineStr">
        <is>
          <t>Buys walls</t>
        </is>
      </c>
      <c r="G190" s="12" t="inlineStr">
        <is>
          <t>Houston and Katy</t>
        </is>
      </c>
      <c r="H190" s="12" t="inlineStr">
        <is>
          <t>Ground-up in Katy, adaptive reuse in EaDo</t>
        </is>
      </c>
      <c r="I190" s="14" t="inlineStr">
        <is>
          <t>Partly</t>
        </is>
      </c>
      <c r="J190" s="15" t="inlineStr">
        <is>
          <t>Two quite different programmes in two submarkets. No repeated unit.</t>
        </is>
      </c>
      <c r="K190" s="14" t="inlineStr">
        <is>
          <t>No</t>
        </is>
      </c>
      <c r="L190" s="15" t="inlineStr">
        <is>
          <t>Medical office and retail shells rather than houses.</t>
        </is>
      </c>
      <c r="M190" s="14" t="inlineStr">
        <is>
          <t>No</t>
        </is>
      </c>
      <c r="N190" s="15" t="inlineStr">
        <is>
          <t>Its president is the one quoted explaining why the firm kept the old warehouses instead of clearing the site.</t>
        </is>
      </c>
      <c r="O190" s="14" t="inlineStr">
        <is>
          <t>No</t>
        </is>
      </c>
      <c r="P190" s="6" t="inlineStr">
        <is>
          <t>https://www.linkedin.com/in/randolph-wile/</t>
        </is>
      </c>
      <c r="Q190" s="12" t="inlineStr"/>
      <c r="R190" s="16">
        <f>IF(P190="","ADD LINKEDIN","ok")</f>
        <v/>
      </c>
      <c r="S190" s="12" t="inlineStr">
        <is>
          <t>https://www.pagewood.com/</t>
        </is>
      </c>
      <c r="T190" s="15" t="inlineStr">
        <is>
          <t>Ground-up medical and retail in Katy, conversion in EaDo.</t>
        </is>
      </c>
      <c r="U190" s="15" t="inlineStr">
        <is>
          <t>The firm's own website is a placeholder with no content, so everything here comes from press. Reach the firm through the Pagewood relationship.</t>
        </is>
      </c>
      <c r="V190" s="12" t="inlineStr"/>
      <c r="W190" s="15" t="inlineStr">
        <is>
          <t>Indexed title reads Randolph Wile, Wile Interests, Inc. The Real Deal, November 2023, quotes Wile Interests president Randolph Wile.</t>
        </is>
      </c>
      <c r="X190" s="12" t="inlineStr">
        <is>
          <t>https://therealdeal.com/texas/houston/2023/11/13/pagewood-wile-to-convert-eado-houston-warehouses/</t>
        </is>
      </c>
      <c r="Y190" s="12" t="inlineStr"/>
      <c r="Z190" s="12" t="inlineStr"/>
    </row>
    <row r="191">
      <c r="A191" s="6" t="inlineStr">
        <is>
          <t>Eric Lipar</t>
        </is>
      </c>
      <c r="B191" s="6" t="inlineStr">
        <is>
          <t>LGI Homes, Inc.</t>
        </is>
      </c>
      <c r="C191" s="6" t="inlineStr">
        <is>
          <t>Chief Executive Officer and Chairman of the Board</t>
        </is>
      </c>
      <c r="D191" s="7" t="inlineStr">
        <is>
          <t>National scale, pilot not purchase</t>
        </is>
      </c>
      <c r="E191" s="8" t="n">
        <v>1</v>
      </c>
      <c r="F191" s="6" t="inlineStr">
        <is>
          <t>Buys walls</t>
        </is>
      </c>
      <c r="G191" s="6" t="inlineStr">
        <is>
          <t>The Woodlands HQ, Montgomery County</t>
        </is>
      </c>
      <c r="H191" s="6" t="inlineStr">
        <is>
          <t>185+ communities, Houston-area HQ</t>
        </is>
      </c>
      <c r="I191" s="8" t="inlineStr">
        <is>
          <t>Yes</t>
        </is>
      </c>
      <c r="J191" s="9" t="inlineStr">
        <is>
          <t>More than 185 communities, entry-level product, head office in the metro.</t>
        </is>
      </c>
      <c r="K191" s="8" t="inlineStr">
        <is>
          <t>No</t>
        </is>
      </c>
      <c r="L191" s="9" t="inlineStr">
        <is>
          <t>Thousands of closings a year across a dozen states, bought from one office.</t>
        </is>
      </c>
      <c r="M191" s="8" t="inlineStr">
        <is>
          <t>No</t>
        </is>
      </c>
      <c r="N191" s="9" t="inlineStr">
        <is>
          <t>Its Q2 2026 earnings call mentions method, labour and cycle time zero times.</t>
        </is>
      </c>
      <c r="O191" s="8" t="inlineStr">
        <is>
          <t>Yes</t>
        </is>
      </c>
      <c r="P191" s="10" t="inlineStr"/>
      <c r="Q191" s="6">
        <f>HYPERLINK("https://www.linkedin.com/search/results/people/?keywords=Eric%20Lipar%20LGI%20Homes%2C%20Inc.","search")</f>
        <v/>
      </c>
      <c r="R191" s="11">
        <f>IF(P191="","ADD LINKEDIN","ok")</f>
        <v/>
      </c>
      <c r="S191" s="6" t="inlineStr">
        <is>
          <t>https://www.lgihomes.com/</t>
        </is>
      </c>
      <c r="T191" s="9" t="inlineStr">
        <is>
          <t>The most standardised product here, headquartered in the metro. Its Q2 2026 call mentions method, labour and cycle time zero times.</t>
        </is>
      </c>
      <c r="U191"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1" s="6" t="inlineStr"/>
      <c r="W191" s="9" t="inlineStr">
        <is>
          <t>Chief Executive Officer and Chairman on LGI's own management page.</t>
        </is>
      </c>
      <c r="X191" s="6" t="inlineStr">
        <is>
          <t>https://investor.lgihomes.com/corporate-governance/management</t>
        </is>
      </c>
      <c r="Y191" s="6" t="inlineStr">
        <is>
          <t>https://www.linkedin.com/company/lgi-homes</t>
        </is>
      </c>
      <c r="Z191" s="6" t="inlineStr">
        <is>
          <t>https://investor.lgihomes.com/corporate-governance/management</t>
        </is>
      </c>
    </row>
    <row r="192">
      <c r="A192" s="12" t="inlineStr">
        <is>
          <t>Mike Snider</t>
        </is>
      </c>
      <c r="B192" s="12" t="inlineStr">
        <is>
          <t>LGI Homes, Inc.</t>
        </is>
      </c>
      <c r="C192" s="12" t="inlineStr">
        <is>
          <t>President and Chief Operating Officer</t>
        </is>
      </c>
      <c r="D192" s="13" t="inlineStr">
        <is>
          <t>National scale, pilot not purchase</t>
        </is>
      </c>
      <c r="E192" s="14" t="n">
        <v>1</v>
      </c>
      <c r="F192" s="12" t="inlineStr">
        <is>
          <t>Buys walls</t>
        </is>
      </c>
      <c r="G192" s="12" t="inlineStr">
        <is>
          <t>The Woodlands HQ, Montgomery County</t>
        </is>
      </c>
      <c r="H192" s="12" t="inlineStr">
        <is>
          <t>185+ communities, Houston-area HQ</t>
        </is>
      </c>
      <c r="I192" s="14" t="inlineStr">
        <is>
          <t>Yes</t>
        </is>
      </c>
      <c r="J192" s="15" t="inlineStr">
        <is>
          <t>More than 185 communities, entry-level product, head office in the metro.</t>
        </is>
      </c>
      <c r="K192" s="14" t="inlineStr">
        <is>
          <t>No</t>
        </is>
      </c>
      <c r="L192" s="15" t="inlineStr">
        <is>
          <t>Thousands of closings a year across a dozen states, bought from one office.</t>
        </is>
      </c>
      <c r="M192" s="14" t="inlineStr">
        <is>
          <t>No</t>
        </is>
      </c>
      <c r="N192" s="15" t="inlineStr">
        <is>
          <t>Its Q2 2026 earnings call mentions method, labour and cycle time zero times.</t>
        </is>
      </c>
      <c r="O192" s="14" t="inlineStr">
        <is>
          <t>Yes</t>
        </is>
      </c>
      <c r="P192" s="10" t="inlineStr"/>
      <c r="Q192" s="12">
        <f>HYPERLINK("https://www.linkedin.com/search/results/people/?keywords=Mike%20Snider%20LGI%20Homes%2C%20Inc.","search")</f>
        <v/>
      </c>
      <c r="R192" s="16">
        <f>IF(P192="","ADD LINKEDIN","ok")</f>
        <v/>
      </c>
      <c r="S192" s="12" t="inlineStr">
        <is>
          <t>https://www.lgihomes.com/</t>
        </is>
      </c>
      <c r="T192" s="15" t="inlineStr">
        <is>
          <t>The most standardised product here, headquartered in the metro. Its Q2 2026 call mentions method, labour and cycle time zero times.</t>
        </is>
      </c>
      <c r="U192"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2" s="12" t="inlineStr"/>
      <c r="W192" s="15" t="inlineStr">
        <is>
          <t>President and Chief Operating Officer on LGI's own management page.</t>
        </is>
      </c>
      <c r="X192" s="12" t="inlineStr">
        <is>
          <t>https://investor.lgihomes.com/corporate-governance/management</t>
        </is>
      </c>
      <c r="Y192" s="12" t="inlineStr">
        <is>
          <t>https://www.linkedin.com/company/lgi-homes</t>
        </is>
      </c>
      <c r="Z192" s="12" t="inlineStr">
        <is>
          <t>https://investor.lgihomes.com/corporate-governance/management</t>
        </is>
      </c>
    </row>
    <row r="193">
      <c r="A193" s="6" t="inlineStr">
        <is>
          <t>Charles Merdian</t>
        </is>
      </c>
      <c r="B193" s="6" t="inlineStr">
        <is>
          <t>LGI Homes, Inc.</t>
        </is>
      </c>
      <c r="C193" s="6" t="inlineStr">
        <is>
          <t>Chief Financial Officer and Treasurer</t>
        </is>
      </c>
      <c r="D193" s="7" t="inlineStr">
        <is>
          <t>National scale, pilot not purchase</t>
        </is>
      </c>
      <c r="E193" s="8" t="n">
        <v>1</v>
      </c>
      <c r="F193" s="6" t="inlineStr">
        <is>
          <t>Buys walls</t>
        </is>
      </c>
      <c r="G193" s="6" t="inlineStr">
        <is>
          <t>The Woodlands HQ, Montgomery County</t>
        </is>
      </c>
      <c r="H193" s="6" t="inlineStr">
        <is>
          <t>185+ communities, Houston-area HQ</t>
        </is>
      </c>
      <c r="I193" s="8" t="inlineStr">
        <is>
          <t>Yes</t>
        </is>
      </c>
      <c r="J193" s="9" t="inlineStr">
        <is>
          <t>More than 185 communities, entry-level product, head office in the metro.</t>
        </is>
      </c>
      <c r="K193" s="8" t="inlineStr">
        <is>
          <t>No</t>
        </is>
      </c>
      <c r="L193" s="9" t="inlineStr">
        <is>
          <t>Thousands of closings a year across a dozen states, bought from one office.</t>
        </is>
      </c>
      <c r="M193" s="8" t="inlineStr">
        <is>
          <t>No</t>
        </is>
      </c>
      <c r="N193" s="9" t="inlineStr">
        <is>
          <t>Its Q2 2026 earnings call mentions method, labour and cycle time zero times.</t>
        </is>
      </c>
      <c r="O193" s="8" t="inlineStr">
        <is>
          <t>Yes</t>
        </is>
      </c>
      <c r="P193" s="10" t="inlineStr"/>
      <c r="Q193" s="6">
        <f>HYPERLINK("https://www.linkedin.com/search/results/people/?keywords=Charles%20Merdian%20LGI%20Homes%2C%20Inc.","search")</f>
        <v/>
      </c>
      <c r="R193" s="11">
        <f>IF(P193="","ADD LINKEDIN","ok")</f>
        <v/>
      </c>
      <c r="S193" s="6" t="inlineStr">
        <is>
          <t>https://www.lgihomes.com/</t>
        </is>
      </c>
      <c r="T193" s="9" t="inlineStr">
        <is>
          <t>The most standardised product here, headquartered in the metro. Its Q2 2026 call mentions method, labour and cycle time zero times.</t>
        </is>
      </c>
      <c r="U193"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3" s="6" t="inlineStr"/>
      <c r="W193" s="9" t="inlineStr">
        <is>
          <t>Chief Financial Officer and Treasurer on LGI's own management page.</t>
        </is>
      </c>
      <c r="X193" s="6" t="inlineStr">
        <is>
          <t>https://investor.lgihomes.com/corporate-governance/management</t>
        </is>
      </c>
      <c r="Y193" s="6" t="inlineStr">
        <is>
          <t>https://www.linkedin.com/company/lgi-homes</t>
        </is>
      </c>
      <c r="Z193" s="6" t="inlineStr">
        <is>
          <t>https://investor.lgihomes.com/corporate-governance/management</t>
        </is>
      </c>
    </row>
    <row r="194">
      <c r="A194" s="12" t="inlineStr">
        <is>
          <t>Chuck Collier</t>
        </is>
      </c>
      <c r="B194" s="12" t="inlineStr">
        <is>
          <t>LGI Homes, Inc.</t>
        </is>
      </c>
      <c r="C194" s="12" t="inlineStr">
        <is>
          <t>Vice President of Construction, Houston, LGI Homes</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6" t="inlineStr">
        <is>
          <t>https://www.linkedin.com/in/chuck-collier-48286829/</t>
        </is>
      </c>
      <c r="Q194" s="12" t="inlineStr"/>
      <c r="R194" s="16">
        <f>IF(P194="","ADD LINKEDIN","ok")</f>
        <v/>
      </c>
      <c r="S194" s="12" t="inlineStr">
        <is>
          <t>https://www.lgihomes.com/</t>
        </is>
      </c>
      <c r="T194" s="15" t="inlineStr">
        <is>
          <t>The most standardised product here, headquartered in the metro. Its Q2 2026 call mentions method, labour and cycle time zero times.</t>
        </is>
      </c>
      <c r="U194"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4" s="12" t="inlineStr">
        <is>
          <t>YES</t>
        </is>
      </c>
      <c r="W194" s="15" t="inlineStr">
        <is>
          <t>VP of Construction, Houston, LGI Homes, stated in his own headline. Location shows only United States.</t>
        </is>
      </c>
      <c r="X194" s="12" t="inlineStr"/>
      <c r="Y194" s="12" t="inlineStr">
        <is>
          <t>https://www.linkedin.com/company/lgi-homes</t>
        </is>
      </c>
      <c r="Z194" s="12" t="inlineStr">
        <is>
          <t>https://investor.lgihomes.com/corporate-governance/management</t>
        </is>
      </c>
    </row>
    <row r="195">
      <c r="A195" s="6" t="inlineStr">
        <is>
          <t>Kyle Hanna</t>
        </is>
      </c>
      <c r="B195" s="6" t="inlineStr">
        <is>
          <t>LGI Homes, Inc.</t>
        </is>
      </c>
      <c r="C195" s="6" t="inlineStr">
        <is>
          <t>Vice President of Purchasing, LGI Homes</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6" t="inlineStr">
        <is>
          <t>https://www.linkedin.com/in/kylemhanna/</t>
        </is>
      </c>
      <c r="Q195" s="6" t="inlineStr"/>
      <c r="R195" s="11">
        <f>IF(P195="","ADD LINKEDIN","ok")</f>
        <v/>
      </c>
      <c r="S195" s="6" t="inlineStr">
        <is>
          <t>https://www.lgihomes.com/</t>
        </is>
      </c>
      <c r="T195" s="9" t="inlineStr">
        <is>
          <t>The most standardised product here, headquartered in the metro. Its Q2 2026 call mentions method, labour and cycle time zero times.</t>
        </is>
      </c>
      <c r="U195"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5" s="6" t="inlineStr">
        <is>
          <t>YES</t>
        </is>
      </c>
      <c r="W195" s="9" t="inlineStr">
        <is>
          <t>Vice President of Purchasing at LGI Homes. Conroe, Texas, which is the head office. The construction vice presidents sit in the markets, Austin, San Antonio, Nashville, Denver, Seattle; purchasing is the one that sits in Greater Houston.</t>
        </is>
      </c>
      <c r="X195" s="6" t="inlineStr"/>
      <c r="Y195" s="6" t="inlineStr">
        <is>
          <t>https://www.linkedin.com/company/lgi-homes</t>
        </is>
      </c>
      <c r="Z195" s="6" t="inlineStr">
        <is>
          <t>https://investor.lgihomes.com/corporate-governance/management</t>
        </is>
      </c>
    </row>
    <row r="196">
      <c r="A196" s="12" t="inlineStr">
        <is>
          <t>Bob Schottenstein</t>
        </is>
      </c>
      <c r="B196" s="12" t="inlineStr">
        <is>
          <t>M/I Homes, Inc.</t>
        </is>
      </c>
      <c r="C196" s="12" t="inlineStr">
        <is>
          <t>Chief Executive Officer</t>
        </is>
      </c>
      <c r="D196" s="13" t="inlineStr">
        <is>
          <t>National scale, pilot not purchase</t>
        </is>
      </c>
      <c r="E196" s="14" t="n">
        <v>1</v>
      </c>
      <c r="F196" s="12" t="inlineStr">
        <is>
          <t>Buys walls</t>
        </is>
      </c>
      <c r="G196" s="12" t="inlineStr">
        <is>
          <t>Columbus HQ / Liberty, Harris</t>
        </is>
      </c>
      <c r="H196" s="12" t="inlineStr">
        <is>
          <t>3 Houston land deals in 6 months</t>
        </is>
      </c>
      <c r="I196" s="14" t="inlineStr">
        <is>
          <t>Yes</t>
        </is>
      </c>
      <c r="J196" s="15" t="inlineStr">
        <is>
          <t>1,000 homes at Trinity Landing, three Houston land deals in six months.</t>
        </is>
      </c>
      <c r="K196" s="14" t="inlineStr">
        <is>
          <t>No</t>
        </is>
      </c>
      <c r="L196" s="15" t="inlineStr">
        <is>
          <t>A national builder, bought centrally, however good the Houston division is.</t>
        </is>
      </c>
      <c r="M196" s="14" t="inlineStr">
        <is>
          <t>No</t>
        </is>
      </c>
      <c r="N196" s="15" t="inlineStr">
        <is>
          <t>The CEO cites shorter cycle time but not what enabled it.</t>
        </is>
      </c>
      <c r="O196" s="14" t="inlineStr">
        <is>
          <t>Yes</t>
        </is>
      </c>
      <c r="P196" s="10" t="inlineStr"/>
      <c r="Q196" s="12">
        <f>HYPERLINK("https://www.linkedin.com/search/results/people/?keywords=Bob%20Schottenstein%20M/I%20Homes%2C%20Inc.","search")</f>
        <v/>
      </c>
      <c r="R196" s="16">
        <f>IF(P196="","ADD LINKEDIN","ok")</f>
        <v/>
      </c>
      <c r="S196" s="12" t="inlineStr">
        <is>
          <t>https://www.mihomes.com/</t>
        </is>
      </c>
      <c r="T196" s="15" t="inlineStr">
        <is>
          <t>1,000 homes at Trinity Landing and three Houston land deals in six months under a named division president.</t>
        </is>
      </c>
      <c r="U196" s="15" t="inlineStr">
        <is>
          <t>Trinity Landing land price not disclosed. | No method or wall-system statement located.</t>
        </is>
      </c>
      <c r="V196" s="12" t="inlineStr"/>
      <c r="W196" s="15" t="inlineStr">
        <is>
          <t>Chairman, and Chief Executive Officer since January 2004, on M/I's own officers page.</t>
        </is>
      </c>
      <c r="X196" s="12" t="inlineStr">
        <is>
          <t>https://investors.mihomes.com/investor-relations/officers-directors/default.aspx</t>
        </is>
      </c>
      <c r="Y196" s="12" t="inlineStr">
        <is>
          <t>https://www.linkedin.com/company/mihomes/</t>
        </is>
      </c>
      <c r="Z196" s="12" t="inlineStr">
        <is>
          <t>https://investors.mihomes.com/investor-relations/officers-directors/default.aspx</t>
        </is>
      </c>
    </row>
    <row r="197">
      <c r="A197" s="6" t="inlineStr">
        <is>
          <t>Jay McManus</t>
        </is>
      </c>
      <c r="B197" s="6" t="inlineStr">
        <is>
          <t>M/I Homes, Inc.</t>
        </is>
      </c>
      <c r="C197" s="6" t="inlineStr">
        <is>
          <t>Houston Division President</t>
        </is>
      </c>
      <c r="D197" s="7" t="inlineStr">
        <is>
          <t>National scale, pilot not purchase</t>
        </is>
      </c>
      <c r="E197" s="8" t="n">
        <v>1</v>
      </c>
      <c r="F197" s="6" t="inlineStr">
        <is>
          <t>Buys walls</t>
        </is>
      </c>
      <c r="G197" s="6" t="inlineStr">
        <is>
          <t>Columbus HQ / Liberty, Harris</t>
        </is>
      </c>
      <c r="H197" s="6" t="inlineStr">
        <is>
          <t>3 Houston land deals in 6 months</t>
        </is>
      </c>
      <c r="I197" s="8" t="inlineStr">
        <is>
          <t>Yes</t>
        </is>
      </c>
      <c r="J197" s="9" t="inlineStr">
        <is>
          <t>1,000 homes at Trinity Landing, three Houston land deals in six months.</t>
        </is>
      </c>
      <c r="K197" s="8" t="inlineStr">
        <is>
          <t>No</t>
        </is>
      </c>
      <c r="L197" s="9" t="inlineStr">
        <is>
          <t>A national builder, bought centrally, however good the Houston division is.</t>
        </is>
      </c>
      <c r="M197" s="8" t="inlineStr">
        <is>
          <t>No</t>
        </is>
      </c>
      <c r="N197" s="9" t="inlineStr">
        <is>
          <t>The CEO cites shorter cycle time but not what enabled it.</t>
        </is>
      </c>
      <c r="O197" s="8" t="inlineStr">
        <is>
          <t>Yes</t>
        </is>
      </c>
      <c r="P197" s="10" t="inlineStr"/>
      <c r="Q197" s="6">
        <f>HYPERLINK("https://www.linkedin.com/search/results/people/?keywords=Jay%20McManus%20M/I%20Homes%2C%20Inc.","search")</f>
        <v/>
      </c>
      <c r="R197" s="11">
        <f>IF(P197="","ADD LINKEDIN","ok")</f>
        <v/>
      </c>
      <c r="S197" s="6" t="inlineStr">
        <is>
          <t>https://www.mihomes.com/</t>
        </is>
      </c>
      <c r="T197" s="9" t="inlineStr">
        <is>
          <t>1,000 homes at Trinity Landing and three Houston land deals in six months under a named division president.</t>
        </is>
      </c>
      <c r="U197" s="9" t="inlineStr">
        <is>
          <t>Trinity Landing land price not disclosed. | No method or wall-system statement located.</t>
        </is>
      </c>
      <c r="V197" s="6" t="inlineStr"/>
      <c r="W197" s="9" t="inlineStr">
        <is>
          <t>Named Houston division president for M/I Homes in trade coverage of the division's expansion. M/I's own site names corporate officers only.</t>
        </is>
      </c>
      <c r="X197" s="6" t="inlineStr">
        <is>
          <t>https://houstonagentmagazine.com/2021/08/23/m-i-homes-to-double-presence-in-houston-area/</t>
        </is>
      </c>
      <c r="Y197" s="6" t="inlineStr">
        <is>
          <t>https://www.linkedin.com/company/mihomes/</t>
        </is>
      </c>
      <c r="Z197" s="6" t="inlineStr">
        <is>
          <t>https://investors.mihomes.com/investor-relations/officers-directors/default.aspx</t>
        </is>
      </c>
    </row>
    <row r="198">
      <c r="A198" s="12" t="inlineStr">
        <is>
          <t>Patrick Mayhan</t>
        </is>
      </c>
      <c r="B198" s="12" t="inlineStr">
        <is>
          <t>M/I Homes, Inc.</t>
        </is>
      </c>
      <c r="C198" s="12" t="inlineStr">
        <is>
          <t>Vice President of Purchasing, M/I Homes</t>
        </is>
      </c>
      <c r="D198" s="13" t="inlineStr">
        <is>
          <t>National scale, pilot not purchase</t>
        </is>
      </c>
      <c r="E198" s="14" t="n">
        <v>1</v>
      </c>
      <c r="F198" s="12" t="inlineStr">
        <is>
          <t>Buys walls</t>
        </is>
      </c>
      <c r="G198" s="12" t="inlineStr">
        <is>
          <t>Columbus HQ / Liberty, Harris</t>
        </is>
      </c>
      <c r="H198" s="12" t="inlineStr">
        <is>
          <t>3 Houston land deals in 6 months</t>
        </is>
      </c>
      <c r="I198" s="14" t="inlineStr">
        <is>
          <t>Yes</t>
        </is>
      </c>
      <c r="J198" s="15" t="inlineStr">
        <is>
          <t>1,000 homes at Trinity Landing, three Houston land deals in six months.</t>
        </is>
      </c>
      <c r="K198" s="14" t="inlineStr">
        <is>
          <t>No</t>
        </is>
      </c>
      <c r="L198" s="15" t="inlineStr">
        <is>
          <t>A national builder, bought centrally, however good the Houston division is.</t>
        </is>
      </c>
      <c r="M198" s="14" t="inlineStr">
        <is>
          <t>No</t>
        </is>
      </c>
      <c r="N198" s="15" t="inlineStr">
        <is>
          <t>The CEO cites shorter cycle time but not what enabled it.</t>
        </is>
      </c>
      <c r="O198" s="14" t="inlineStr">
        <is>
          <t>Yes</t>
        </is>
      </c>
      <c r="P198" s="6" t="inlineStr">
        <is>
          <t>https://www.linkedin.com/in/patrick-mayhan-5591478/</t>
        </is>
      </c>
      <c r="Q198" s="12" t="inlineStr"/>
      <c r="R198" s="16">
        <f>IF(P198="","ADD LINKEDIN","ok")</f>
        <v/>
      </c>
      <c r="S198" s="12" t="inlineStr">
        <is>
          <t>https://www.mihomes.com/</t>
        </is>
      </c>
      <c r="T198" s="15" t="inlineStr">
        <is>
          <t>1,000 homes at Trinity Landing and three Houston land deals in six months under a named division president.</t>
        </is>
      </c>
      <c r="U198" s="15" t="inlineStr">
        <is>
          <t>Trinity Landing land price not disclosed. | No method or wall-system statement located.</t>
        </is>
      </c>
      <c r="V198" s="12" t="inlineStr">
        <is>
          <t>YES</t>
        </is>
      </c>
      <c r="W198" s="15" t="inlineStr">
        <is>
          <t>Vice President of Purchasing at M/I Homes, Inc. Houston, Texas. M/I lists two purchasing vice presidents in Houston; his title carries the corporate entity and Randy Barras's carries the Houston division.</t>
        </is>
      </c>
      <c r="X198" s="12" t="inlineStr"/>
      <c r="Y198" s="12" t="inlineStr">
        <is>
          <t>https://www.linkedin.com/company/mihomes/</t>
        </is>
      </c>
      <c r="Z198" s="12" t="inlineStr">
        <is>
          <t>https://investors.mihomes.com/investor-relations/officers-directors/default.aspx</t>
        </is>
      </c>
    </row>
    <row r="199">
      <c r="A199" s="6" t="inlineStr">
        <is>
          <t>Randy Barras</t>
        </is>
      </c>
      <c r="B199" s="6" t="inlineStr">
        <is>
          <t>M/I Homes, Inc.</t>
        </is>
      </c>
      <c r="C199" s="6" t="inlineStr">
        <is>
          <t>Vice President of Purchasing, M/I Homes Houston</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6" t="inlineStr">
        <is>
          <t>https://www.linkedin.com/in/rbarras/</t>
        </is>
      </c>
      <c r="Q199" s="6" t="inlineStr"/>
      <c r="R199" s="11">
        <f>IF(P199="","ADD LINKEDIN","ok")</f>
        <v/>
      </c>
      <c r="S199" s="6" t="inlineStr">
        <is>
          <t>https://www.mihomes.com/</t>
        </is>
      </c>
      <c r="T199" s="9" t="inlineStr">
        <is>
          <t>1,000 homes at Trinity Landing and three Houston land deals in six months under a named division president.</t>
        </is>
      </c>
      <c r="U199" s="9" t="inlineStr">
        <is>
          <t>Trinity Landing land price not disclosed. | No method or wall-system statement located.</t>
        </is>
      </c>
      <c r="V199" s="6" t="inlineStr">
        <is>
          <t>YES</t>
        </is>
      </c>
      <c r="W199" s="9" t="inlineStr">
        <is>
          <t>Vice President of Purchasing, M/I Homes - Houston. Houston, Texas.</t>
        </is>
      </c>
      <c r="X199" s="6" t="inlineStr"/>
      <c r="Y199" s="6" t="inlineStr">
        <is>
          <t>https://www.linkedin.com/company/mihomes/</t>
        </is>
      </c>
      <c r="Z199" s="6" t="inlineStr">
        <is>
          <t>https://investors.mihomes.com/investor-relations/officers-directors/default.aspx</t>
        </is>
      </c>
    </row>
    <row r="200">
      <c r="A200" s="12" t="inlineStr">
        <is>
          <t>Darin Rowe</t>
        </is>
      </c>
      <c r="B200" s="12" t="inlineStr">
        <is>
          <t>Taylor Morrison Home Corporation</t>
        </is>
      </c>
      <c r="C200" s="12" t="inlineStr">
        <is>
          <t>National President, Build-to-Rent</t>
        </is>
      </c>
      <c r="D200" s="13" t="inlineStr">
        <is>
          <t>National scale, pilot not purchase</t>
        </is>
      </c>
      <c r="E200" s="14" t="n">
        <v>1</v>
      </c>
      <c r="F200" s="12" t="inlineStr">
        <is>
          <t>Buys walls</t>
        </is>
      </c>
      <c r="G200" s="12" t="inlineStr">
        <is>
          <t>Scottsdale HQ / Harris County</t>
        </is>
      </c>
      <c r="H200" s="12" t="inlineStr">
        <is>
          <t>240-home Houston BTR community</t>
        </is>
      </c>
      <c r="I200" s="14" t="inlineStr">
        <is>
          <t>Yes</t>
        </is>
      </c>
      <c r="J200" s="15" t="inlineStr">
        <is>
          <t>A 240-home Houston build-to-rent community and a dedicated brand.</t>
        </is>
      </c>
      <c r="K200" s="14" t="inlineStr">
        <is>
          <t>No</t>
        </is>
      </c>
      <c r="L200" s="15" t="inlineStr">
        <is>
          <t>A national builder with a national build-to-rent brand.</t>
        </is>
      </c>
      <c r="M200" s="14" t="inlineStr">
        <is>
          <t>No</t>
        </is>
      </c>
      <c r="N200" s="15" t="inlineStr">
        <is>
          <t>Its Yardly retrospective cites input costs with no method detail.</t>
        </is>
      </c>
      <c r="O200" s="14" t="inlineStr">
        <is>
          <t>Yes</t>
        </is>
      </c>
      <c r="P200" s="10" t="inlineStr"/>
      <c r="Q200" s="12">
        <f>HYPERLINK("https://www.linkedin.com/search/results/people/?keywords=Darin%20Rowe%20Taylor%20Morrison%20Home%20Corporation","search")</f>
        <v/>
      </c>
      <c r="R200" s="16">
        <f>IF(P200="","ADD LINKEDIN","ok")</f>
        <v/>
      </c>
      <c r="S200" s="12" t="inlineStr">
        <is>
          <t>https://www.taylormorrison.com/</t>
        </is>
      </c>
      <c r="T200" s="15" t="inlineStr">
        <is>
          <t>A 240-home Houston build-to-rent community and a dedicated brand. The division president role dates to 2018 and is unconfirmed.</t>
        </is>
      </c>
      <c r="U200"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200" s="12" t="inlineStr"/>
      <c r="W200" s="15" t="inlineStr">
        <is>
          <t>Build-to-Rent President, quoted on the launch of the Yardly brand. National, not Houston.</t>
        </is>
      </c>
      <c r="X200" s="12" t="inlineStr">
        <is>
          <t>https://newsroom.taylormorrison.com/2022-11-14-Taylor-Morrison-Unveils-New-Build-To-Rent-Brand,-Yardly</t>
        </is>
      </c>
      <c r="Y200" s="12" t="inlineStr">
        <is>
          <t>https://www.linkedin.com/company/taylor-morrison</t>
        </is>
      </c>
      <c r="Z200" s="12" t="inlineStr">
        <is>
          <t>https://newsroom.taylormorrison.com/Leadership</t>
        </is>
      </c>
    </row>
    <row r="201">
      <c r="A201" s="6" t="inlineStr">
        <is>
          <t>Amy Rino</t>
        </is>
      </c>
      <c r="B201" s="6" t="inlineStr">
        <is>
          <t>Taylor Morrison Home Corporation</t>
        </is>
      </c>
      <c r="C201" s="6" t="inlineStr">
        <is>
          <t>Chief Customer Officer, Taylor Morrison, Scottsdale (2026); ex-Houston Division President</t>
        </is>
      </c>
      <c r="D201" s="7" t="inlineStr">
        <is>
          <t>National scale, pilot not purchase</t>
        </is>
      </c>
      <c r="E201" s="8" t="n">
        <v>1</v>
      </c>
      <c r="F201" s="6" t="inlineStr">
        <is>
          <t>Buys walls</t>
        </is>
      </c>
      <c r="G201" s="6" t="inlineStr">
        <is>
          <t>Scottsdale HQ / Harris County</t>
        </is>
      </c>
      <c r="H201" s="6" t="inlineStr">
        <is>
          <t>240-home Houston BTR community</t>
        </is>
      </c>
      <c r="I201" s="8" t="inlineStr">
        <is>
          <t>Yes</t>
        </is>
      </c>
      <c r="J201" s="9" t="inlineStr">
        <is>
          <t>A 240-home Houston build-to-rent community and a dedicated brand.</t>
        </is>
      </c>
      <c r="K201" s="8" t="inlineStr">
        <is>
          <t>No</t>
        </is>
      </c>
      <c r="L201" s="9" t="inlineStr">
        <is>
          <t>A national builder with a national build-to-rent brand.</t>
        </is>
      </c>
      <c r="M201" s="8" t="inlineStr">
        <is>
          <t>No</t>
        </is>
      </c>
      <c r="N201" s="9" t="inlineStr">
        <is>
          <t>Its Yardly retrospective cites input costs with no method detail.</t>
        </is>
      </c>
      <c r="O201" s="8" t="inlineStr">
        <is>
          <t>Yes</t>
        </is>
      </c>
      <c r="P201" s="6" t="inlineStr">
        <is>
          <t>https://www.linkedin.com/in/amy-rino-5152b111/</t>
        </is>
      </c>
      <c r="Q201" s="6" t="inlineStr"/>
      <c r="R201" s="11">
        <f>IF(P201="","ADD LINKEDIN","ok")</f>
        <v/>
      </c>
      <c r="S201" s="6" t="inlineStr">
        <is>
          <t>https://www.taylormorrison.com/</t>
        </is>
      </c>
      <c r="T201" s="9" t="inlineStr">
        <is>
          <t>A 240-home Houston build-to-rent community and a dedicated brand. The division president role dates to 2018 and is unconfirmed.</t>
        </is>
      </c>
      <c r="U201"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201" s="6" t="inlineStr"/>
      <c r="W201" s="9" t="inlineStr"/>
      <c r="X201" s="6" t="inlineStr"/>
      <c r="Y201" s="6" t="inlineStr">
        <is>
          <t>https://www.linkedin.com/company/taylor-morrison</t>
        </is>
      </c>
      <c r="Z201" s="6" t="inlineStr">
        <is>
          <t>https://newsroom.taylormorrison.com/Leadership</t>
        </is>
      </c>
    </row>
    <row r="202">
      <c r="A202" s="12" t="inlineStr">
        <is>
          <t>Ken Balogh</t>
        </is>
      </c>
      <c r="B202" s="12" t="inlineStr">
        <is>
          <t>Ashton Woods Homes</t>
        </is>
      </c>
      <c r="C202" s="12" t="inlineStr">
        <is>
          <t>President and Chief Executive Officer</t>
        </is>
      </c>
      <c r="D202" s="13" t="inlineStr">
        <is>
          <t>National scale, pilot not purchase</t>
        </is>
      </c>
      <c r="E202" s="14" t="n">
        <v>1</v>
      </c>
      <c r="F202" s="12" t="inlineStr">
        <is>
          <t>Buys walls</t>
        </is>
      </c>
      <c r="G202" s="12" t="inlineStr">
        <is>
          <t>Alpharetta HQ / Harris, Fort Bend</t>
        </is>
      </c>
      <c r="H202" s="12" t="inlineStr">
        <is>
          <t>14+ named Houston communities</t>
        </is>
      </c>
      <c r="I202" s="14" t="inlineStr">
        <is>
          <t>Yes</t>
        </is>
      </c>
      <c r="J202" s="15" t="inlineStr">
        <is>
          <t>Fourteen named Houston communities.</t>
        </is>
      </c>
      <c r="K202" s="14" t="inlineStr">
        <is>
          <t>No</t>
        </is>
      </c>
      <c r="L202" s="15" t="inlineStr">
        <is>
          <t>A national builder with a corporate purchasing function.</t>
        </is>
      </c>
      <c r="M202" s="14" t="inlineStr">
        <is>
          <t>No</t>
        </is>
      </c>
      <c r="N202" s="15" t="inlineStr">
        <is>
          <t>No firm-specific method evidence found.</t>
        </is>
      </c>
      <c r="O202" s="14" t="inlineStr">
        <is>
          <t>Partly</t>
        </is>
      </c>
      <c r="P202" s="10" t="inlineStr"/>
      <c r="Q202" s="12">
        <f>HYPERLINK("https://www.linkedin.com/search/results/people/?keywords=Ken%20Balogh%20Ashton%20Woods%20Homes","search")</f>
        <v/>
      </c>
      <c r="R202" s="16">
        <f>IF(P202="","ADD LINKEDIN","ok")</f>
        <v/>
      </c>
      <c r="S202" s="12" t="inlineStr">
        <is>
          <t>https://www.ashtonwoods.com/</t>
        </is>
      </c>
      <c r="T202" s="15" t="inlineStr">
        <is>
          <t>14 named Houston communities and a Texas regional president. No firm-specific method evidence found.</t>
        </is>
      </c>
      <c r="U202" s="15" t="inlineStr">
        <is>
          <t>Community-level unit counts not sourced. | No firm-specific innovation content found. | No capital signal with a figure.</t>
        </is>
      </c>
      <c r="V202" s="12" t="inlineStr"/>
      <c r="W202" s="15" t="inlineStr">
        <is>
          <t>President and Chief Executive Officer.</t>
        </is>
      </c>
      <c r="X202" s="12" t="inlineStr">
        <is>
          <t>https://www.ashtonwoods.com/corporate-info</t>
        </is>
      </c>
      <c r="Y202" s="12" t="inlineStr">
        <is>
          <t>https://www.linkedin.com/company/ashton-woods-homes</t>
        </is>
      </c>
      <c r="Z202" s="12" t="inlineStr">
        <is>
          <t>https://www.ashtonwoods.com/corporate-info</t>
        </is>
      </c>
    </row>
    <row r="203">
      <c r="A203" s="6" t="inlineStr">
        <is>
          <t>Lindsay Motley</t>
        </is>
      </c>
      <c r="B203" s="6" t="inlineStr">
        <is>
          <t>Ashton Woods Homes</t>
        </is>
      </c>
      <c r="C203" s="6" t="inlineStr">
        <is>
          <t>Regional President, Texas</t>
        </is>
      </c>
      <c r="D203" s="7" t="inlineStr">
        <is>
          <t>National scale, pilot not purchase</t>
        </is>
      </c>
      <c r="E203" s="8" t="n">
        <v>1</v>
      </c>
      <c r="F203" s="6" t="inlineStr">
        <is>
          <t>Buys walls</t>
        </is>
      </c>
      <c r="G203" s="6" t="inlineStr">
        <is>
          <t>Alpharetta HQ / Harris, Fort Bend</t>
        </is>
      </c>
      <c r="H203" s="6" t="inlineStr">
        <is>
          <t>14+ named Houston communities</t>
        </is>
      </c>
      <c r="I203" s="8" t="inlineStr">
        <is>
          <t>Yes</t>
        </is>
      </c>
      <c r="J203" s="9" t="inlineStr">
        <is>
          <t>Fourteen named Houston communities.</t>
        </is>
      </c>
      <c r="K203" s="8" t="inlineStr">
        <is>
          <t>No</t>
        </is>
      </c>
      <c r="L203" s="9" t="inlineStr">
        <is>
          <t>A national builder with a corporate purchasing function.</t>
        </is>
      </c>
      <c r="M203" s="8" t="inlineStr">
        <is>
          <t>No</t>
        </is>
      </c>
      <c r="N203" s="9" t="inlineStr">
        <is>
          <t>No firm-specific method evidence found.</t>
        </is>
      </c>
      <c r="O203" s="8" t="inlineStr">
        <is>
          <t>Partly</t>
        </is>
      </c>
      <c r="P203" s="10" t="inlineStr"/>
      <c r="Q203" s="6">
        <f>HYPERLINK("https://www.linkedin.com/search/results/people/?keywords=Lindsay%20Motley%20Ashton%20Woods%20Homes","search")</f>
        <v/>
      </c>
      <c r="R203" s="11">
        <f>IF(P203="","ADD LINKEDIN","ok")</f>
        <v/>
      </c>
      <c r="S203" s="6" t="inlineStr">
        <is>
          <t>https://www.ashtonwoods.com/</t>
        </is>
      </c>
      <c r="T203" s="9" t="inlineStr">
        <is>
          <t>14 named Houston communities and a Texas regional president. No firm-specific method evidence found.</t>
        </is>
      </c>
      <c r="U203" s="9" t="inlineStr">
        <is>
          <t>Community-level unit counts not sourced. | No firm-specific innovation content found. | No capital signal with a figure.</t>
        </is>
      </c>
      <c r="V203" s="6" t="inlineStr"/>
      <c r="W203" s="9" t="inlineStr">
        <is>
          <t>Regional President. The firm's own announcement names her Austin division president.</t>
        </is>
      </c>
      <c r="X203" s="6" t="inlineStr">
        <is>
          <t>https://www.ashtonwoods.com/corporate-info</t>
        </is>
      </c>
      <c r="Y203" s="6" t="inlineStr">
        <is>
          <t>https://www.linkedin.com/company/ashton-woods-homes</t>
        </is>
      </c>
      <c r="Z203" s="6" t="inlineStr">
        <is>
          <t>https://www.ashtonwoods.com/corporate-info</t>
        </is>
      </c>
    </row>
    <row r="204">
      <c r="A204" s="12" t="inlineStr">
        <is>
          <t>Ryan Lewis</t>
        </is>
      </c>
      <c r="B204" s="12" t="inlineStr">
        <is>
          <t>Ashton Woods Homes</t>
        </is>
      </c>
      <c r="C204" s="12" t="inlineStr">
        <is>
          <t>Chief Operating Officer</t>
        </is>
      </c>
      <c r="D204" s="13" t="inlineStr">
        <is>
          <t>National scale, pilot not purchase</t>
        </is>
      </c>
      <c r="E204" s="14" t="n">
        <v>1</v>
      </c>
      <c r="F204" s="12" t="inlineStr">
        <is>
          <t>Buys walls</t>
        </is>
      </c>
      <c r="G204" s="12" t="inlineStr">
        <is>
          <t>Alpharetta HQ / Harris, Fort Bend</t>
        </is>
      </c>
      <c r="H204" s="12" t="inlineStr">
        <is>
          <t>14+ named Houston communities</t>
        </is>
      </c>
      <c r="I204" s="14" t="inlineStr">
        <is>
          <t>Yes</t>
        </is>
      </c>
      <c r="J204" s="15" t="inlineStr">
        <is>
          <t>Fourteen named Houston communities.</t>
        </is>
      </c>
      <c r="K204" s="14" t="inlineStr">
        <is>
          <t>No</t>
        </is>
      </c>
      <c r="L204" s="15" t="inlineStr">
        <is>
          <t>A national builder with a corporate purchasing function.</t>
        </is>
      </c>
      <c r="M204" s="14" t="inlineStr">
        <is>
          <t>No</t>
        </is>
      </c>
      <c r="N204" s="15" t="inlineStr">
        <is>
          <t>No firm-specific method evidence found.</t>
        </is>
      </c>
      <c r="O204" s="14" t="inlineStr">
        <is>
          <t>Partly</t>
        </is>
      </c>
      <c r="P204" s="10" t="inlineStr"/>
      <c r="Q204" s="12">
        <f>HYPERLINK("https://www.linkedin.com/search/results/people/?keywords=Ryan%20Lewis%20Ashton%20Woods%20Homes","search")</f>
        <v/>
      </c>
      <c r="R204" s="16">
        <f>IF(P204="","ADD LINKEDIN","ok")</f>
        <v/>
      </c>
      <c r="S204" s="12" t="inlineStr">
        <is>
          <t>https://www.ashtonwoods.com/</t>
        </is>
      </c>
      <c r="T204" s="15" t="inlineStr">
        <is>
          <t>14 named Houston communities and a Texas regional president. No firm-specific method evidence found.</t>
        </is>
      </c>
      <c r="U204" s="15" t="inlineStr">
        <is>
          <t>Community-level unit counts not sourced. | No firm-specific innovation content found. | No capital signal with a figure.</t>
        </is>
      </c>
      <c r="V204" s="12" t="inlineStr"/>
      <c r="W204" s="15" t="inlineStr">
        <is>
          <t>Chief Operating Officer.</t>
        </is>
      </c>
      <c r="X204" s="12" t="inlineStr">
        <is>
          <t>https://www.ashtonwoods.com/corporate-info</t>
        </is>
      </c>
      <c r="Y204" s="12" t="inlineStr">
        <is>
          <t>https://www.linkedin.com/company/ashton-woods-homes</t>
        </is>
      </c>
      <c r="Z204" s="12" t="inlineStr">
        <is>
          <t>https://www.ashtonwoods.com/corporate-info</t>
        </is>
      </c>
    </row>
    <row r="205">
      <c r="A205" s="6" t="inlineStr">
        <is>
          <t>DeKendrick Vidito</t>
        </is>
      </c>
      <c r="B205" s="6" t="inlineStr">
        <is>
          <t>Ashton Woods Homes</t>
        </is>
      </c>
      <c r="C205" s="6" t="inlineStr">
        <is>
          <t>Vice President of Purchasing, Ashton Woods Homes</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6" t="inlineStr">
        <is>
          <t>https://www.linkedin.com/in/dekendrick-vidito-58087766/</t>
        </is>
      </c>
      <c r="Q205" s="6" t="inlineStr"/>
      <c r="R205" s="11">
        <f>IF(P205="","ADD LINKEDIN","ok")</f>
        <v/>
      </c>
      <c r="S205" s="6" t="inlineStr">
        <is>
          <t>https://www.ashtonwoods.com/</t>
        </is>
      </c>
      <c r="T205" s="9" t="inlineStr">
        <is>
          <t>14 named Houston communities and a Texas regional president. No firm-specific method evidence found.</t>
        </is>
      </c>
      <c r="U205" s="9" t="inlineStr">
        <is>
          <t>Community-level unit counts not sourced. | No firm-specific innovation content found. | No capital signal with a figure.</t>
        </is>
      </c>
      <c r="V205" s="6" t="inlineStr">
        <is>
          <t>YES</t>
        </is>
      </c>
      <c r="W205" s="9" t="inlineStr">
        <is>
          <t>Vice President of Purchasing at Ashton Woods Homes. Houston, Texas.</t>
        </is>
      </c>
      <c r="X205" s="6" t="inlineStr"/>
      <c r="Y205" s="6" t="inlineStr">
        <is>
          <t>https://www.linkedin.com/company/ashton-woods-homes</t>
        </is>
      </c>
      <c r="Z205" s="6" t="inlineStr">
        <is>
          <t>https://www.ashtonwoods.com/corporate-info</t>
        </is>
      </c>
    </row>
    <row r="206">
      <c r="A206" s="12" t="inlineStr">
        <is>
          <t>Jay Brown</t>
        </is>
      </c>
      <c r="B206" s="12" t="inlineStr">
        <is>
          <t>David Weekley Homes</t>
        </is>
      </c>
      <c r="C206" s="12" t="inlineStr">
        <is>
          <t>Chief Executive Officer</t>
        </is>
      </c>
      <c r="D206" s="13" t="inlineStr">
        <is>
          <t>National scale, pilot not purchase</t>
        </is>
      </c>
      <c r="E206" s="14" t="n">
        <v>1</v>
      </c>
      <c r="F206" s="12" t="inlineStr">
        <is>
          <t>Buys walls</t>
        </is>
      </c>
      <c r="G206" s="12" t="inlineStr">
        <is>
          <t>Houston HQ, Harris County</t>
        </is>
      </c>
      <c r="H206" s="12" t="inlineStr">
        <is>
          <t>125,000+ homes, 19 markets, Houston HQ</t>
        </is>
      </c>
      <c r="I206" s="14" t="inlineStr">
        <is>
          <t>Yes</t>
        </is>
      </c>
      <c r="J206" s="15" t="inlineStr">
        <is>
          <t>125,000 homes across 19 markets, Houston head office, 50 years.</t>
        </is>
      </c>
      <c r="K206" s="14" t="inlineStr">
        <is>
          <t>No</t>
        </is>
      </c>
      <c r="L206" s="15" t="inlineStr">
        <is>
          <t>125,000 homes and a national purchasing and supply chain function.</t>
        </is>
      </c>
      <c r="M206" s="14" t="inlineStr">
        <is>
          <t>No</t>
        </is>
      </c>
      <c r="N206" s="15" t="inlineStr">
        <is>
          <t>Its 2026 supplier recognition covers insulation and fire-stopping, not the envelope.</t>
        </is>
      </c>
      <c r="O206" s="14" t="inlineStr">
        <is>
          <t>Partly</t>
        </is>
      </c>
      <c r="P206" s="6" t="inlineStr">
        <is>
          <t>https://www.linkedin.com/in/jay-brown-14305a12/</t>
        </is>
      </c>
      <c r="Q206" s="12" t="inlineStr"/>
      <c r="R206" s="16">
        <f>IF(P206="","ADD LINKEDIN","ok")</f>
        <v/>
      </c>
      <c r="S206" s="12" t="inlineStr">
        <is>
          <t>https://www.davidweekleyhomes.com/</t>
        </is>
      </c>
      <c r="T206" s="15" t="inlineStr">
        <is>
          <t>125,000 homes, Houston HQ, 50 years. Its supplier recognition covers insulation and fire-stopping, not the envelope.</t>
        </is>
      </c>
      <c r="U206" s="15" t="inlineStr">
        <is>
          <t>No construction-method or technology statement located. | No Houston community unit counts sourced.</t>
        </is>
      </c>
      <c r="V206" s="12" t="inlineStr"/>
      <c r="W206" s="15" t="inlineStr">
        <is>
          <t>Chief Executive Officer at David Weekley Homes. Houston, Texas.</t>
        </is>
      </c>
      <c r="X206" s="12" t="inlineStr"/>
      <c r="Y206" s="12" t="inlineStr">
        <is>
          <t>https://www.linkedin.com/company/david-weekley-homes</t>
        </is>
      </c>
      <c r="Z206" s="12" t="inlineStr">
        <is>
          <t>https://www.davidweekleyhomes.com/about-us/meet-the-team</t>
        </is>
      </c>
    </row>
    <row r="207">
      <c r="A207" s="6" t="inlineStr">
        <is>
          <t>Chris Weekley</t>
        </is>
      </c>
      <c r="B207" s="6" t="inlineStr">
        <is>
          <t>David Weekley Homes</t>
        </is>
      </c>
      <c r="C207" s="6" t="inlineStr">
        <is>
          <t>President and Vice Chairman</t>
        </is>
      </c>
      <c r="D207" s="7" t="inlineStr">
        <is>
          <t>National scale, pilot not purchase</t>
        </is>
      </c>
      <c r="E207" s="8" t="n">
        <v>1</v>
      </c>
      <c r="F207" s="6" t="inlineStr">
        <is>
          <t>Buys walls</t>
        </is>
      </c>
      <c r="G207" s="6" t="inlineStr">
        <is>
          <t>Houston HQ, Harris County</t>
        </is>
      </c>
      <c r="H207" s="6" t="inlineStr">
        <is>
          <t>125,000+ homes, 19 markets, Houston HQ</t>
        </is>
      </c>
      <c r="I207" s="8" t="inlineStr">
        <is>
          <t>Yes</t>
        </is>
      </c>
      <c r="J207" s="9" t="inlineStr">
        <is>
          <t>125,000 homes across 19 markets, Houston head office, 50 years.</t>
        </is>
      </c>
      <c r="K207" s="8" t="inlineStr">
        <is>
          <t>No</t>
        </is>
      </c>
      <c r="L207" s="9" t="inlineStr">
        <is>
          <t>125,000 homes and a national purchasing and supply chain function.</t>
        </is>
      </c>
      <c r="M207" s="8" t="inlineStr">
        <is>
          <t>No</t>
        </is>
      </c>
      <c r="N207" s="9" t="inlineStr">
        <is>
          <t>Its 2026 supplier recognition covers insulation and fire-stopping, not the envelope.</t>
        </is>
      </c>
      <c r="O207" s="8" t="inlineStr">
        <is>
          <t>Partly</t>
        </is>
      </c>
      <c r="P207" s="10" t="inlineStr"/>
      <c r="Q207" s="6">
        <f>HYPERLINK("https://www.linkedin.com/search/results/people/?keywords=Chris%20Weekley%20David%20Weekley%20Homes","search")</f>
        <v/>
      </c>
      <c r="R207" s="11">
        <f>IF(P207="","ADD LINKEDIN","ok")</f>
        <v/>
      </c>
      <c r="S207" s="6" t="inlineStr">
        <is>
          <t>https://www.davidweekleyhomes.com/</t>
        </is>
      </c>
      <c r="T207" s="9" t="inlineStr">
        <is>
          <t>125,000 homes, Houston HQ, 50 years. Its supplier recognition covers insulation and fire-stopping, not the envelope.</t>
        </is>
      </c>
      <c r="U207" s="9" t="inlineStr">
        <is>
          <t>No construction-method or technology statement located. | No Houston community unit counts sourced.</t>
        </is>
      </c>
      <c r="V207" s="6" t="inlineStr"/>
      <c r="W207" s="9" t="inlineStr">
        <is>
          <t>President and Vice Chairman. The firm's own page credits him with innovation and developer relationships, which is the brief a printed wall would land in.</t>
        </is>
      </c>
      <c r="X207" s="6" t="inlineStr">
        <is>
          <t>https://www.davidweekleyhomes.com/about-us/meet-the-team</t>
        </is>
      </c>
      <c r="Y207" s="6" t="inlineStr">
        <is>
          <t>https://www.linkedin.com/company/david-weekley-homes</t>
        </is>
      </c>
      <c r="Z207" s="6" t="inlineStr">
        <is>
          <t>https://www.davidweekleyhomes.com/about-us/meet-the-team</t>
        </is>
      </c>
    </row>
    <row r="208">
      <c r="A208" s="12" t="inlineStr">
        <is>
          <t>David Weekley</t>
        </is>
      </c>
      <c r="B208" s="12" t="inlineStr">
        <is>
          <t>David Weekley Homes</t>
        </is>
      </c>
      <c r="C208" s="12" t="inlineStr">
        <is>
          <t>Chairman and Founder</t>
        </is>
      </c>
      <c r="D208" s="13" t="inlineStr">
        <is>
          <t>National scale, pilot not purchase</t>
        </is>
      </c>
      <c r="E208" s="14" t="n">
        <v>1</v>
      </c>
      <c r="F208" s="12" t="inlineStr">
        <is>
          <t>Buys walls</t>
        </is>
      </c>
      <c r="G208" s="12" t="inlineStr">
        <is>
          <t>Houston HQ, Harris County</t>
        </is>
      </c>
      <c r="H208" s="12" t="inlineStr">
        <is>
          <t>125,000+ homes, 19 markets, Houston HQ</t>
        </is>
      </c>
      <c r="I208" s="14" t="inlineStr">
        <is>
          <t>Yes</t>
        </is>
      </c>
      <c r="J208" s="15" t="inlineStr">
        <is>
          <t>125,000 homes across 19 markets, Houston head office, 50 years.</t>
        </is>
      </c>
      <c r="K208" s="14" t="inlineStr">
        <is>
          <t>No</t>
        </is>
      </c>
      <c r="L208" s="15" t="inlineStr">
        <is>
          <t>125,000 homes and a national purchasing and supply chain function.</t>
        </is>
      </c>
      <c r="M208" s="14" t="inlineStr">
        <is>
          <t>No</t>
        </is>
      </c>
      <c r="N208" s="15" t="inlineStr">
        <is>
          <t>Its 2026 supplier recognition covers insulation and fire-stopping, not the envelope.</t>
        </is>
      </c>
      <c r="O208" s="14" t="inlineStr">
        <is>
          <t>Partly</t>
        </is>
      </c>
      <c r="P208" s="10" t="inlineStr"/>
      <c r="Q208" s="12">
        <f>HYPERLINK("https://www.linkedin.com/search/results/people/?keywords=David%20Weekley%20David%20Weekley%20Homes","search")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5" t="inlineStr">
        <is>
          <t>No construction-method or technology statement located. | No Houston community unit counts sourced.</t>
        </is>
      </c>
      <c r="V208" s="12" t="inlineStr"/>
      <c r="W208" s="15" t="inlineStr">
        <is>
          <t>Chairman, who started the company in 1976 at twenty-three.</t>
        </is>
      </c>
      <c r="X208" s="12" t="inlineStr">
        <is>
          <t>https://www.davidweekleyhomes.com/about-us/meet-the-team</t>
        </is>
      </c>
      <c r="Y208" s="12" t="inlineStr">
        <is>
          <t>https://www.linkedin.com/company/david-weekley-homes</t>
        </is>
      </c>
      <c r="Z208" s="12" t="inlineStr">
        <is>
          <t>https://www.davidweekleyhomes.com/about-us/meet-the-team</t>
        </is>
      </c>
    </row>
    <row r="209">
      <c r="A209" s="6" t="inlineStr">
        <is>
          <t>John Schiegg</t>
        </is>
      </c>
      <c r="B209" s="6" t="inlineStr">
        <is>
          <t>David Weekley Homes</t>
        </is>
      </c>
      <c r="C209" s="6" t="inlineStr">
        <is>
          <t>Vice President of Purchasing and Supply Chain, David Weekley Homes</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https://www.linkedin.com/in/john-schiegg-7593996/</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9" t="inlineStr">
        <is>
          <t>No construction-method or technology statement located. | No Houston community unit counts sourced.</t>
        </is>
      </c>
      <c r="V209" s="6" t="inlineStr">
        <is>
          <t>YES</t>
        </is>
      </c>
      <c r="W209" s="9" t="inlineStr">
        <is>
          <t>Profile opened. Company line reads David Weekley Homes, Houston, Texas. He owns purchasing and supply chain for the largest privately held builder in the country.</t>
        </is>
      </c>
      <c r="X209" s="6" t="inlineStr"/>
      <c r="Y209" s="6" t="inlineStr">
        <is>
          <t>https://www.linkedin.com/company/david-weekley-homes</t>
        </is>
      </c>
      <c r="Z209" s="6" t="inlineStr">
        <is>
          <t>https://www.davidweekleyhomes.com/about-us/meet-the-team</t>
        </is>
      </c>
    </row>
    <row r="210">
      <c r="A210" s="12" t="inlineStr">
        <is>
          <t>Ladd Fargo</t>
        </is>
      </c>
      <c r="B210" s="12" t="inlineStr">
        <is>
          <t>David Weekley Homes</t>
        </is>
      </c>
      <c r="C210" s="12" t="inlineStr">
        <is>
          <t>Chief Operating Officer, David Weekley Homes</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6" t="inlineStr">
        <is>
          <t>https://www.linkedin.com/in/ladd-fargo-241a47259/</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5" t="inlineStr">
        <is>
          <t>No construction-method or technology statement located. | No Houston community unit counts sourced.</t>
        </is>
      </c>
      <c r="V210" s="12" t="inlineStr"/>
      <c r="W210" s="15" t="inlineStr">
        <is>
          <t>Chief Operating Officer at David Weekley Homes. Houston, Texas.</t>
        </is>
      </c>
      <c r="X210" s="12" t="inlineStr"/>
      <c r="Y210" s="12" t="inlineStr">
        <is>
          <t>https://www.linkedin.com/company/david-weekley-homes</t>
        </is>
      </c>
      <c r="Z210" s="12" t="inlineStr">
        <is>
          <t>https://www.davidweekleyhomes.com/about-us/meet-the-team</t>
        </is>
      </c>
    </row>
    <row r="211">
      <c r="A211" s="6" t="inlineStr">
        <is>
          <t>Chad Durham</t>
        </is>
      </c>
      <c r="B211" s="6" t="inlineStr">
        <is>
          <t>David Weekley Homes</t>
        </is>
      </c>
      <c r="C211" s="6" t="inlineStr">
        <is>
          <t>Vice President of Build-to-Rent, David Weekley Homes</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6" t="inlineStr">
        <is>
          <t>https://www.linkedin.com/in/chad-durham-1227bb74/</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9" t="inlineStr">
        <is>
          <t>No construction-method or technology statement located. | No Houston community unit counts sourced.</t>
        </is>
      </c>
      <c r="V211" s="6" t="inlineStr"/>
      <c r="W211" s="9" t="inlineStr">
        <is>
          <t>Vice President of Build-To-Rent at David Weekley Homes. Austin, Texas, which is ICON's own city. Build-to-rent is the product line where a repeated wall pays back fastest.</t>
        </is>
      </c>
      <c r="X211" s="6" t="inlineStr"/>
      <c r="Y211" s="6" t="inlineStr">
        <is>
          <t>https://www.linkedin.com/company/david-weekley-homes</t>
        </is>
      </c>
      <c r="Z211" s="6" t="inlineStr">
        <is>
          <t>https://www.davidweekleyhomes.com/about-us/meet-the-team</t>
        </is>
      </c>
    </row>
    <row r="212">
      <c r="A212" s="12" t="inlineStr">
        <is>
          <t>Kathy Britton</t>
        </is>
      </c>
      <c r="B212" s="12" t="inlineStr">
        <is>
          <t>Perry Homes</t>
        </is>
      </c>
      <c r="C212" s="12" t="inlineStr">
        <is>
          <t>Owner and Executive Chair</t>
        </is>
      </c>
      <c r="D212" s="13" t="inlineStr">
        <is>
          <t>National scale, pilot not purchase</t>
        </is>
      </c>
      <c r="E212" s="14" t="n">
        <v>1</v>
      </c>
      <c r="F212" s="12" t="inlineStr">
        <is>
          <t>Buys walls</t>
        </is>
      </c>
      <c r="G212" s="12" t="inlineStr">
        <is>
          <t>Houston HQ, Harris County</t>
        </is>
      </c>
      <c r="H212" s="12" t="inlineStr">
        <is>
          <t>120+ communities, 65,000+ homes sold</t>
        </is>
      </c>
      <c r="I212" s="14" t="inlineStr">
        <is>
          <t>Yes</t>
        </is>
      </c>
      <c r="J212" s="15" t="inlineStr">
        <is>
          <t>More than 120 communities and 65,000 homes, locally owned.</t>
        </is>
      </c>
      <c r="K212" s="14" t="inlineStr">
        <is>
          <t>No</t>
        </is>
      </c>
      <c r="L212" s="15" t="inlineStr">
        <is>
          <t>120 communities and thousands of closings a year, bought centrally.</t>
        </is>
      </c>
      <c r="M212" s="14" t="inlineStr">
        <is>
          <t>No</t>
        </is>
      </c>
      <c r="N212" s="15" t="inlineStr">
        <is>
          <t>Its own published definition of innovation is smart-home features and floor plans.</t>
        </is>
      </c>
      <c r="O212" s="14" t="inlineStr">
        <is>
          <t>Partly</t>
        </is>
      </c>
      <c r="P212" s="10" t="inlineStr"/>
      <c r="Q212" s="12">
        <f>HYPERLINK("https://www.linkedin.com/search/results/people/?keywords=Kathy%20Britton%20Perry%20Homes","search")</f>
        <v/>
      </c>
      <c r="R212" s="16">
        <f>IF(P212="","ADD LINKEDIN","ok")</f>
        <v/>
      </c>
      <c r="S212" s="12" t="inlineStr">
        <is>
          <t>https://www.perryhomes.com/</t>
        </is>
      </c>
      <c r="T212" s="15" t="inlineStr">
        <is>
          <t>120 communities and local ownership. Its published innovation page covers smart-home features and floor plans.</t>
        </is>
      </c>
      <c r="U212" s="15" t="inlineStr">
        <is>
          <t>No Houston-specific community unit counts or acreage sourced. | No capital signal with a figure.</t>
        </is>
      </c>
      <c r="V212" s="12" t="inlineStr"/>
      <c r="W212" s="15" t="inlineStr">
        <is>
          <t>Perry's own page: Owner and Executive Chair, having succeeded her father Bob Perry as chief executive.</t>
        </is>
      </c>
      <c r="X212" s="12" t="inlineStr">
        <is>
          <t>https://www.perryhomes.com/about-perry-homes</t>
        </is>
      </c>
      <c r="Y212" s="12" t="inlineStr">
        <is>
          <t>https://www.linkedin.com/company/perry-homes</t>
        </is>
      </c>
      <c r="Z212" s="12" t="inlineStr">
        <is>
          <t>https://www.perryhomes.com/about-perry-homes</t>
        </is>
      </c>
    </row>
    <row r="213">
      <c r="A213" s="6" t="inlineStr">
        <is>
          <t>Todd Chachere</t>
        </is>
      </c>
      <c r="B213" s="6" t="inlineStr">
        <is>
          <t>Perry Homes</t>
        </is>
      </c>
      <c r="C213" s="6" t="inlineStr">
        <is>
          <t>Chief Executive Officer</t>
        </is>
      </c>
      <c r="D213" s="7" t="inlineStr">
        <is>
          <t>National scale, pilot not purchase</t>
        </is>
      </c>
      <c r="E213" s="8" t="n">
        <v>1</v>
      </c>
      <c r="F213" s="6" t="inlineStr">
        <is>
          <t>Buys walls</t>
        </is>
      </c>
      <c r="G213" s="6" t="inlineStr">
        <is>
          <t>Houston HQ, Harris County</t>
        </is>
      </c>
      <c r="H213" s="6" t="inlineStr">
        <is>
          <t>120+ communities, 65,000+ homes sold</t>
        </is>
      </c>
      <c r="I213" s="8" t="inlineStr">
        <is>
          <t>Yes</t>
        </is>
      </c>
      <c r="J213" s="9" t="inlineStr">
        <is>
          <t>More than 120 communities and 65,000 homes, locally owned.</t>
        </is>
      </c>
      <c r="K213" s="8" t="inlineStr">
        <is>
          <t>No</t>
        </is>
      </c>
      <c r="L213" s="9" t="inlineStr">
        <is>
          <t>120 communities and thousands of closings a year, bought centrally.</t>
        </is>
      </c>
      <c r="M213" s="8" t="inlineStr">
        <is>
          <t>No</t>
        </is>
      </c>
      <c r="N213" s="9" t="inlineStr">
        <is>
          <t>Its own published definition of innovation is smart-home features and floor plans.</t>
        </is>
      </c>
      <c r="O213" s="8" t="inlineStr">
        <is>
          <t>Partly</t>
        </is>
      </c>
      <c r="P213" s="10" t="inlineStr"/>
      <c r="Q213" s="6">
        <f>HYPERLINK("https://www.linkedin.com/search/results/people/?keywords=Todd%20Chachere%20Perry%20Homes","search")</f>
        <v/>
      </c>
      <c r="R213" s="11">
        <f>IF(P213="","ADD LINKEDIN","ok")</f>
        <v/>
      </c>
      <c r="S213" s="6" t="inlineStr">
        <is>
          <t>https://www.perryhomes.com/</t>
        </is>
      </c>
      <c r="T213" s="9" t="inlineStr">
        <is>
          <t>120 communities and local ownership. Its published innovation page covers smart-home features and floor plans.</t>
        </is>
      </c>
      <c r="U213" s="9" t="inlineStr">
        <is>
          <t>No Houston-specific community unit counts or acreage sourced. | No capital signal with a figure.</t>
        </is>
      </c>
      <c r="V213" s="6" t="inlineStr"/>
      <c r="W213" s="9" t="inlineStr">
        <is>
          <t>Chief Executive Officer on Perry's own page.</t>
        </is>
      </c>
      <c r="X213" s="6" t="inlineStr">
        <is>
          <t>https://www.perryhomes.com/about-perry-homes</t>
        </is>
      </c>
      <c r="Y213" s="6" t="inlineStr">
        <is>
          <t>https://www.linkedin.com/company/perry-homes</t>
        </is>
      </c>
      <c r="Z213" s="6" t="inlineStr">
        <is>
          <t>https://www.perryhomes.com/about-perry-homes</t>
        </is>
      </c>
    </row>
    <row r="214">
      <c r="A214" s="12" t="inlineStr">
        <is>
          <t>Shane Huhn</t>
        </is>
      </c>
      <c r="B214" s="12" t="inlineStr">
        <is>
          <t>Perry Homes</t>
        </is>
      </c>
      <c r="C214" s="12" t="inlineStr">
        <is>
          <t>Vice President of Construction, Perry Homes</t>
        </is>
      </c>
      <c r="D214" s="13" t="inlineStr">
        <is>
          <t>National scale, pilot not purchase</t>
        </is>
      </c>
      <c r="E214" s="14" t="n">
        <v>1</v>
      </c>
      <c r="F214" s="12" t="inlineStr">
        <is>
          <t>Buys walls</t>
        </is>
      </c>
      <c r="G214" s="12" t="inlineStr">
        <is>
          <t>Houston HQ, Harris County</t>
        </is>
      </c>
      <c r="H214" s="12" t="inlineStr">
        <is>
          <t>120+ communities, 65,000+ homes sold</t>
        </is>
      </c>
      <c r="I214" s="14" t="inlineStr">
        <is>
          <t>Yes</t>
        </is>
      </c>
      <c r="J214" s="15" t="inlineStr">
        <is>
          <t>More than 120 communities and 65,000 homes, locally owned.</t>
        </is>
      </c>
      <c r="K214" s="14" t="inlineStr">
        <is>
          <t>No</t>
        </is>
      </c>
      <c r="L214" s="15" t="inlineStr">
        <is>
          <t>120 communities and thousands of closings a year, bought centrally.</t>
        </is>
      </c>
      <c r="M214" s="14" t="inlineStr">
        <is>
          <t>No</t>
        </is>
      </c>
      <c r="N214" s="15" t="inlineStr">
        <is>
          <t>Its own published definition of innovation is smart-home features and floor plans.</t>
        </is>
      </c>
      <c r="O214" s="14" t="inlineStr">
        <is>
          <t>Partly</t>
        </is>
      </c>
      <c r="P214" s="6" t="inlineStr">
        <is>
          <t>https://www.linkedin.com/in/shane-huhn-645270161/</t>
        </is>
      </c>
      <c r="Q214" s="12" t="inlineStr"/>
      <c r="R214" s="16">
        <f>IF(P214="","ADD LINKEDIN","ok")</f>
        <v/>
      </c>
      <c r="S214" s="12" t="inlineStr">
        <is>
          <t>https://www.perryhomes.com/</t>
        </is>
      </c>
      <c r="T214" s="15" t="inlineStr">
        <is>
          <t>120 communities and local ownership. Its published innovation page covers smart-home features and floor plans.</t>
        </is>
      </c>
      <c r="U214" s="15" t="inlineStr">
        <is>
          <t>No Houston-specific community unit counts or acreage sourced. | No capital signal with a figure.</t>
        </is>
      </c>
      <c r="V214" s="12" t="inlineStr">
        <is>
          <t>YES</t>
        </is>
      </c>
      <c r="W214" s="15" t="inlineStr">
        <is>
          <t>Vice President of Construction at Perry Homes. Location shows only United States; Perry is headquartered in Houston.</t>
        </is>
      </c>
      <c r="X214" s="12" t="inlineStr"/>
      <c r="Y214" s="12" t="inlineStr">
        <is>
          <t>https://www.linkedin.com/company/perry-homes</t>
        </is>
      </c>
      <c r="Z214" s="12" t="inlineStr">
        <is>
          <t>https://www.perryhomes.com/about-perry-homes</t>
        </is>
      </c>
    </row>
    <row r="215">
      <c r="A215" s="6" t="inlineStr">
        <is>
          <t>Lauren Chachere</t>
        </is>
      </c>
      <c r="B215" s="6" t="inlineStr">
        <is>
          <t>Perry Homes</t>
        </is>
      </c>
      <c r="C215" s="6" t="inlineStr">
        <is>
          <t>Vice President of Purchasing, Perry Homes</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6" t="inlineStr">
        <is>
          <t>https://www.linkedin.com/in/laurenchachere/</t>
        </is>
      </c>
      <c r="Q215" s="6" t="inlineStr"/>
      <c r="R215" s="11">
        <f>IF(P215="","ADD LINKEDIN","ok")</f>
        <v/>
      </c>
      <c r="S215" s="6" t="inlineStr">
        <is>
          <t>https://www.perryhomes.com/</t>
        </is>
      </c>
      <c r="T215" s="9" t="inlineStr">
        <is>
          <t>120 communities and local ownership. Its published innovation page covers smart-home features and floor plans.</t>
        </is>
      </c>
      <c r="U215" s="9" t="inlineStr">
        <is>
          <t>No Houston-specific community unit counts or acreage sourced. | No capital signal with a figure.</t>
        </is>
      </c>
      <c r="V215" s="6" t="inlineStr">
        <is>
          <t>YES</t>
        </is>
      </c>
      <c r="W215" s="9" t="inlineStr">
        <is>
          <t>Vice President of Purchasing at Perry Homes. Houston, Texas.</t>
        </is>
      </c>
      <c r="X215" s="6" t="inlineStr"/>
      <c r="Y215" s="6" t="inlineStr">
        <is>
          <t>https://www.linkedin.com/company/perry-homes</t>
        </is>
      </c>
      <c r="Z215" s="6" t="inlineStr">
        <is>
          <t>https://www.perryhomes.com/about-perry-homes</t>
        </is>
      </c>
    </row>
    <row r="216">
      <c r="A216" s="12" t="inlineStr">
        <is>
          <t>Ronny Salameh</t>
        </is>
      </c>
      <c r="B216" s="12" t="inlineStr">
        <is>
          <t>Brightland Homes</t>
        </is>
      </c>
      <c r="C216" s="12" t="inlineStr">
        <is>
          <t>President and Chief Executive Officer, The DRB Group</t>
        </is>
      </c>
      <c r="D216" s="13" t="inlineStr">
        <is>
          <t>National scale, pilot not purchase</t>
        </is>
      </c>
      <c r="E216" s="14" t="n">
        <v>1</v>
      </c>
      <c r="F216" s="12" t="inlineStr">
        <is>
          <t>Buys walls</t>
        </is>
      </c>
      <c r="G216" s="12" t="inlineStr">
        <is>
          <t>Addison HQ / Montgomery, Harris</t>
        </is>
      </c>
      <c r="H216" s="12" t="inlineStr">
        <is>
          <t>110 communities, 17,000+ homes delivered</t>
        </is>
      </c>
      <c r="I216" s="14" t="inlineStr">
        <is>
          <t>Partly</t>
        </is>
      </c>
      <c r="J216" s="15" t="inlineStr">
        <is>
          <t>110 active communities.</t>
        </is>
      </c>
      <c r="K216" s="14" t="inlineStr">
        <is>
          <t>No</t>
        </is>
      </c>
      <c r="L216" s="15" t="inlineStr">
        <is>
          <t>110 communities inside the DRB platform, bought by a parent that has put capital into wood.</t>
        </is>
      </c>
      <c r="M216" s="14" t="inlineStr">
        <is>
          <t>No</t>
        </is>
      </c>
      <c r="N216" s="15" t="inlineStr">
        <is>
          <t>Owner Sumitomo Forestry is a timber group, which may cut against a concrete wall.</t>
        </is>
      </c>
      <c r="O216" s="14" t="inlineStr">
        <is>
          <t>Partly</t>
        </is>
      </c>
      <c r="P216" s="10" t="inlineStr"/>
      <c r="Q216" s="12">
        <f>HYPERLINK("https://www.linkedin.com/search/results/people/?keywords=Ronny%20Salameh%20Brightland%20Homes","search")</f>
        <v/>
      </c>
      <c r="R216" s="16">
        <f>IF(P216="","ADD LINKEDIN","ok")</f>
        <v/>
      </c>
      <c r="S216" s="12" t="inlineStr">
        <is>
          <t>https://www.brightlandhomes.com/</t>
        </is>
      </c>
      <c r="T216" s="15" t="inlineStr">
        <is>
          <t>110 communities, but parent Sumitomo Forestry bought a sawmill and is integrating wood framing across the platform Brightland sits in.</t>
        </is>
      </c>
      <c r="U216"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216" s="12" t="inlineStr"/>
      <c r="W216" s="15" t="inlineStr">
        <is>
          <t>President and Chief Executive Officer of The DRB Group, which has owned Brightland since April 2025.</t>
        </is>
      </c>
      <c r="X216" s="12" t="inlineStr">
        <is>
          <t>https://www.drbgroup.com/about</t>
        </is>
      </c>
      <c r="Y216" s="12" t="inlineStr">
        <is>
          <t>https://www.linkedin.com/company/brightlandhomes</t>
        </is>
      </c>
      <c r="Z216" s="12" t="inlineStr">
        <is>
          <t>https://www.drbgroup.com/about</t>
        </is>
      </c>
    </row>
    <row r="217">
      <c r="A217" s="6" t="inlineStr">
        <is>
          <t>Young Nam</t>
        </is>
      </c>
      <c r="B217" s="6" t="inlineStr">
        <is>
          <t>Brightland Homes</t>
        </is>
      </c>
      <c r="C217" s="6" t="inlineStr">
        <is>
          <t>Senior Vice President of Purchasing, The DRB Group</t>
        </is>
      </c>
      <c r="D217" s="7" t="inlineStr">
        <is>
          <t>National scale, pilot not purchase</t>
        </is>
      </c>
      <c r="E217" s="8" t="n">
        <v>1</v>
      </c>
      <c r="F217" s="6" t="inlineStr">
        <is>
          <t>Buys walls</t>
        </is>
      </c>
      <c r="G217" s="6" t="inlineStr">
        <is>
          <t>Addison HQ / Montgomery, Harris</t>
        </is>
      </c>
      <c r="H217" s="6" t="inlineStr">
        <is>
          <t>110 communities, 17,000+ homes delivered</t>
        </is>
      </c>
      <c r="I217" s="8" t="inlineStr">
        <is>
          <t>Partly</t>
        </is>
      </c>
      <c r="J217" s="9" t="inlineStr">
        <is>
          <t>110 active communities.</t>
        </is>
      </c>
      <c r="K217" s="8" t="inlineStr">
        <is>
          <t>No</t>
        </is>
      </c>
      <c r="L217" s="9" t="inlineStr">
        <is>
          <t>110 communities inside the DRB platform, bought by a parent that has put capital into wood.</t>
        </is>
      </c>
      <c r="M217" s="8" t="inlineStr">
        <is>
          <t>No</t>
        </is>
      </c>
      <c r="N217" s="9" t="inlineStr">
        <is>
          <t>Owner Sumitomo Forestry is a timber group, which may cut against a concrete wall.</t>
        </is>
      </c>
      <c r="O217" s="8" t="inlineStr">
        <is>
          <t>Partly</t>
        </is>
      </c>
      <c r="P217" s="6" t="inlineStr">
        <is>
          <t>https://www.linkedin.com/in/young-nam-78b36229/</t>
        </is>
      </c>
      <c r="Q217" s="6" t="inlineStr"/>
      <c r="R217" s="11">
        <f>IF(P217="","ADD LINKEDIN","ok")</f>
        <v/>
      </c>
      <c r="S217" s="6" t="inlineStr">
        <is>
          <t>https://www.brightlandhomes.com/</t>
        </is>
      </c>
      <c r="T217" s="9" t="inlineStr">
        <is>
          <t>110 communities, but parent Sumitomo Forestry bought a sawmill and is integrating wood framing across the platform Brightland sits in.</t>
        </is>
      </c>
      <c r="U217"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217" s="6" t="inlineStr">
        <is>
          <t>YES</t>
        </is>
      </c>
      <c r="W21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217" s="6" t="inlineStr">
        <is>
          <t>https://www.drbgroup.com/about</t>
        </is>
      </c>
      <c r="Y217" s="6" t="inlineStr">
        <is>
          <t>https://www.linkedin.com/company/brightlandhomes</t>
        </is>
      </c>
      <c r="Z217" s="6" t="inlineStr">
        <is>
          <t>https://www.drbgroup.com/about</t>
        </is>
      </c>
    </row>
    <row r="218">
      <c r="A218" s="12" t="inlineStr">
        <is>
          <t>Danny Signorelli</t>
        </is>
      </c>
      <c r="B218" s="12" t="inlineStr">
        <is>
          <t>The Signorelli Company</t>
        </is>
      </c>
      <c r="C218" s="12" t="inlineStr">
        <is>
          <t>Founder and Chief Executive Officer</t>
        </is>
      </c>
      <c r="D218" s="13" t="inlineStr">
        <is>
          <t>Masterplan owner</t>
        </is>
      </c>
      <c r="E218" s="14" t="n">
        <v>2</v>
      </c>
      <c r="F218" s="12" t="inlineStr">
        <is>
          <t>Sells lots</t>
        </is>
      </c>
      <c r="G218" s="12" t="inlineStr">
        <is>
          <t>The Woodlands HQ / Fort Bend, Liberty</t>
        </is>
      </c>
      <c r="H218" s="12" t="inlineStr">
        <is>
          <t>23,000+ paper lots in pipeline</t>
        </is>
      </c>
      <c r="I218" s="14" t="inlineStr">
        <is>
          <t>Yes</t>
        </is>
      </c>
      <c r="J218" s="15" t="inlineStr"/>
      <c r="K218" s="14" t="inlineStr">
        <is>
          <t>Partly</t>
        </is>
      </c>
      <c r="L218" s="15" t="inlineStr"/>
      <c r="M218" s="14" t="inlineStr">
        <is>
          <t>No</t>
        </is>
      </c>
      <c r="N218" s="15" t="inlineStr"/>
      <c r="O218" s="14" t="inlineStr">
        <is>
          <t>Partly</t>
        </is>
      </c>
      <c r="P218" s="6" t="inlineStr">
        <is>
          <t>https://www.linkedin.com/in/danny-signorelli-6284461b/</t>
        </is>
      </c>
      <c r="Q218" s="12" t="inlineStr"/>
      <c r="R218" s="16">
        <f>IF(P218="","ADD LINKEDIN","ok")</f>
        <v/>
      </c>
      <c r="S218" s="12" t="inlineStr">
        <is>
          <t>https://www.signorellicompany.com/</t>
        </is>
      </c>
      <c r="T218" s="15" t="inlineStr">
        <is>
          <t>Sells lots, but owns First America Homes, which holds all three counts. One president runs both.</t>
        </is>
      </c>
      <c r="U218"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18" s="12" t="inlineStr"/>
      <c r="W218" s="15" t="inlineStr">
        <is>
          <t>CEO, President, The Signorelli Company. Greater Houston.</t>
        </is>
      </c>
      <c r="X218" s="12" t="inlineStr"/>
      <c r="Y218" s="12" t="inlineStr">
        <is>
          <t>https://www.linkedin.com/company/signorelli-company</t>
        </is>
      </c>
      <c r="Z218" s="12" t="inlineStr">
        <is>
          <t>https://www.signorellicompany.com/our-leadership</t>
        </is>
      </c>
    </row>
    <row r="219">
      <c r="A219" s="6" t="inlineStr">
        <is>
          <t>Jeff Dewese</t>
        </is>
      </c>
      <c r="B219" s="6" t="inlineStr">
        <is>
          <t>The Signorelli Company</t>
        </is>
      </c>
      <c r="C219" s="6" t="inlineStr">
        <is>
          <t>President, Land Division</t>
        </is>
      </c>
      <c r="D219" s="7" t="inlineStr">
        <is>
          <t>Masterplan owner</t>
        </is>
      </c>
      <c r="E219" s="8" t="n">
        <v>2</v>
      </c>
      <c r="F219" s="6" t="inlineStr">
        <is>
          <t>Sells lots</t>
        </is>
      </c>
      <c r="G219" s="6" t="inlineStr">
        <is>
          <t>The Woodlands HQ / Fort Bend, Liberty</t>
        </is>
      </c>
      <c r="H219" s="6" t="inlineStr">
        <is>
          <t>23,000+ paper lots in pipeline</t>
        </is>
      </c>
      <c r="I219" s="8" t="inlineStr">
        <is>
          <t>Yes</t>
        </is>
      </c>
      <c r="J219" s="9" t="inlineStr"/>
      <c r="K219" s="8" t="inlineStr">
        <is>
          <t>Partly</t>
        </is>
      </c>
      <c r="L219" s="9" t="inlineStr"/>
      <c r="M219" s="8" t="inlineStr">
        <is>
          <t>No</t>
        </is>
      </c>
      <c r="N219" s="9" t="inlineStr"/>
      <c r="O219" s="8" t="inlineStr">
        <is>
          <t>Partly</t>
        </is>
      </c>
      <c r="P219" s="10" t="inlineStr"/>
      <c r="Q219" s="6">
        <f>HYPERLINK("https://www.linkedin.com/search/results/people/?keywords=Jeff%20Dewese%20The%20Signorelli%20Company","search")</f>
        <v/>
      </c>
      <c r="R219" s="11">
        <f>IF(P219="","ADD LINKEDIN","ok")</f>
        <v/>
      </c>
      <c r="S219" s="6" t="inlineStr">
        <is>
          <t>https://www.signorellicompany.com/</t>
        </is>
      </c>
      <c r="T219" s="9" t="inlineStr">
        <is>
          <t>Sells lots, but owns First America Homes, which holds all three counts. One president runs both.</t>
        </is>
      </c>
      <c r="U219"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19" s="6" t="inlineStr"/>
      <c r="W219" s="9" t="inlineStr">
        <is>
          <t>Signorelli's own bio page. President, Land Division, overseeing land acquisition, planning and construction management for Granger Pines, Cielo and Austin Point.</t>
        </is>
      </c>
      <c r="X219" s="6" t="inlineStr">
        <is>
          <t>https://www.signorellicompany.com/our-leadership/15/jeff-dewese</t>
        </is>
      </c>
      <c r="Y219" s="6" t="inlineStr">
        <is>
          <t>https://www.linkedin.com/company/signorelli-company</t>
        </is>
      </c>
      <c r="Z219" s="6" t="inlineStr">
        <is>
          <t>https://www.signorellicompany.com/our-leadership</t>
        </is>
      </c>
    </row>
    <row r="220">
      <c r="A220" s="12" t="inlineStr">
        <is>
          <t>Harry Dinham</t>
        </is>
      </c>
      <c r="B220" s="12" t="inlineStr">
        <is>
          <t>The Signorelli Company</t>
        </is>
      </c>
      <c r="C220" s="12" t="inlineStr">
        <is>
          <t>Chief Financial Officer</t>
        </is>
      </c>
      <c r="D220" s="13" t="inlineStr">
        <is>
          <t>Masterplan owner</t>
        </is>
      </c>
      <c r="E220" s="14" t="n">
        <v>2</v>
      </c>
      <c r="F220" s="12" t="inlineStr">
        <is>
          <t>Sells lots</t>
        </is>
      </c>
      <c r="G220" s="12" t="inlineStr">
        <is>
          <t>The Woodlands HQ / Fort Bend, Liberty</t>
        </is>
      </c>
      <c r="H220" s="12" t="inlineStr">
        <is>
          <t>23,000+ paper lots in pipeline</t>
        </is>
      </c>
      <c r="I220" s="14" t="inlineStr">
        <is>
          <t>Yes</t>
        </is>
      </c>
      <c r="J220" s="15" t="inlineStr"/>
      <c r="K220" s="14" t="inlineStr">
        <is>
          <t>Partly</t>
        </is>
      </c>
      <c r="L220" s="15" t="inlineStr"/>
      <c r="M220" s="14" t="inlineStr">
        <is>
          <t>No</t>
        </is>
      </c>
      <c r="N220" s="15" t="inlineStr"/>
      <c r="O220" s="14" t="inlineStr">
        <is>
          <t>Partly</t>
        </is>
      </c>
      <c r="P220" s="10" t="inlineStr"/>
      <c r="Q220" s="12">
        <f>HYPERLINK("https://www.linkedin.com/search/results/people/?keywords=Harry%20Dinham%20The%20Signorelli%20Company","search")</f>
        <v/>
      </c>
      <c r="R220" s="16">
        <f>IF(P220="","ADD LINKEDIN","ok")</f>
        <v/>
      </c>
      <c r="S220" s="12" t="inlineStr">
        <is>
          <t>https://www.signorellicompany.com/</t>
        </is>
      </c>
      <c r="T220" s="15" t="inlineStr">
        <is>
          <t>Sells lots, but owns First America Homes, which holds all three counts. One president runs both.</t>
        </is>
      </c>
      <c r="U220"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20" s="12" t="inlineStr"/>
      <c r="W220" s="15" t="inlineStr">
        <is>
          <t>Signorelli's own bio page. Chief Financial Officer on the executive leadership team.</t>
        </is>
      </c>
      <c r="X220" s="12" t="inlineStr">
        <is>
          <t>https://www.signorellicompany.com/our-leadership/30/harry-dinham</t>
        </is>
      </c>
      <c r="Y220" s="12" t="inlineStr">
        <is>
          <t>https://www.linkedin.com/company/signorelli-company</t>
        </is>
      </c>
      <c r="Z220" s="12" t="inlineStr">
        <is>
          <t>https://www.signorellicompany.com/our-leadership</t>
        </is>
      </c>
    </row>
    <row r="221">
      <c r="A221" s="6" t="inlineStr">
        <is>
          <t>John Winniford</t>
        </is>
      </c>
      <c r="B221" s="6" t="inlineStr">
        <is>
          <t>The Signorelli Company</t>
        </is>
      </c>
      <c r="C221" s="6" t="inlineStr">
        <is>
          <t>President, Homebuilding, The Signorelli Company</t>
        </is>
      </c>
      <c r="D221" s="7" t="inlineStr">
        <is>
          <t>Masterplan owner</t>
        </is>
      </c>
      <c r="E221" s="8" t="n">
        <v>2</v>
      </c>
      <c r="F221" s="6" t="inlineStr">
        <is>
          <t>Sells lots</t>
        </is>
      </c>
      <c r="G221" s="6" t="inlineStr">
        <is>
          <t>The Woodlands HQ / Fort Bend, Liberty</t>
        </is>
      </c>
      <c r="H221" s="6" t="inlineStr">
        <is>
          <t>23,000+ paper lots in pipeline</t>
        </is>
      </c>
      <c r="I221" s="8" t="inlineStr">
        <is>
          <t>Yes</t>
        </is>
      </c>
      <c r="J221" s="9" t="inlineStr"/>
      <c r="K221" s="8" t="inlineStr">
        <is>
          <t>Partly</t>
        </is>
      </c>
      <c r="L221" s="9" t="inlineStr"/>
      <c r="M221" s="8" t="inlineStr">
        <is>
          <t>No</t>
        </is>
      </c>
      <c r="N221" s="9" t="inlineStr"/>
      <c r="O221" s="8" t="inlineStr">
        <is>
          <t>Partly</t>
        </is>
      </c>
      <c r="P221" s="10" t="inlineStr"/>
      <c r="Q221" s="6">
        <f>HYPERLINK("https://www.linkedin.com/search/results/people/?keywords=John%20Winniford%20The%20Signorelli%20Company","search")</f>
        <v/>
      </c>
      <c r="R221" s="11">
        <f>IF(P221="","ADD LINKEDIN","ok")</f>
        <v/>
      </c>
      <c r="S221" s="6" t="inlineStr">
        <is>
          <t>https://www.signorellicompany.com/</t>
        </is>
      </c>
      <c r="T221" s="9" t="inlineStr">
        <is>
          <t>Sells lots, but owns First America Homes, which holds all three counts. One president runs both.</t>
        </is>
      </c>
      <c r="U221"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21" s="6" t="inlineStr"/>
      <c r="W221" s="9" t="inlineStr">
        <is>
          <t>President, Homebuilding. The same person who runs First America, which Signorelli owns, so a single approach reaches both the land position and the builder.</t>
        </is>
      </c>
      <c r="X221" s="6" t="inlineStr">
        <is>
          <t>https://www.signorellicompany.com/our-leadership/34/john-winniford</t>
        </is>
      </c>
      <c r="Y221" s="6" t="inlineStr">
        <is>
          <t>https://www.linkedin.com/company/signorelli-company</t>
        </is>
      </c>
      <c r="Z221" s="6" t="inlineStr">
        <is>
          <t>https://www.signorellicompany.com/our-leadership</t>
        </is>
      </c>
    </row>
    <row r="222">
      <c r="A222" s="12" t="inlineStr">
        <is>
          <t>David O'Reilly</t>
        </is>
      </c>
      <c r="B222" s="12" t="inlineStr">
        <is>
          <t>Howard Hughes Holdings Inc.</t>
        </is>
      </c>
      <c r="C222" s="12" t="inlineStr">
        <is>
          <t>Chief Executive Officer</t>
        </is>
      </c>
      <c r="D222" s="13" t="inlineStr">
        <is>
          <t>Masterplan owner</t>
        </is>
      </c>
      <c r="E222" s="14" t="n">
        <v>1</v>
      </c>
      <c r="F222" s="12" t="inlineStr">
        <is>
          <t>Sells lots</t>
        </is>
      </c>
      <c r="G222" s="12" t="inlineStr">
        <is>
          <t>The Woodlands HQ / Harris, Montgomery</t>
        </is>
      </c>
      <c r="H222" s="12" t="inlineStr">
        <is>
          <t>$900M Pershing Square investment, 46.9%</t>
        </is>
      </c>
      <c r="I222" s="14" t="inlineStr">
        <is>
          <t>Yes</t>
        </is>
      </c>
      <c r="J222" s="15" t="inlineStr"/>
      <c r="K222" s="14" t="inlineStr">
        <is>
          <t>No</t>
        </is>
      </c>
      <c r="L222" s="15" t="inlineStr"/>
      <c r="M222" s="14" t="inlineStr">
        <is>
          <t>No</t>
        </is>
      </c>
      <c r="N222" s="15" t="inlineStr"/>
      <c r="O222" s="14" t="inlineStr">
        <is>
          <t>Yes</t>
        </is>
      </c>
      <c r="P222" s="10" t="inlineStr"/>
      <c r="Q222" s="12">
        <f>HYPERLINK("https://www.linkedin.com/search/results/people/?keywords=David%20O%27Reilly%20Howard%20Hughes%20Holdings%20Inc.","search")</f>
        <v/>
      </c>
      <c r="R222" s="16">
        <f>IF(P222="","ADD LINKEDIN","ok")</f>
        <v/>
      </c>
      <c r="S222" s="12" t="inlineStr">
        <is>
          <t>https://www.howardhughes.com/</t>
        </is>
      </c>
      <c r="T222" s="15" t="inlineStr">
        <is>
          <t>11,400 acres and $900M from Pershing Square, but it sells lots, so the builder buys the wall rather than Howard Hughes.</t>
        </is>
      </c>
      <c r="U222"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2" s="12" t="inlineStr"/>
      <c r="W222" s="15" t="inlineStr">
        <is>
          <t>Chief Executive Officer on Howard Hughes's own leadership page.</t>
        </is>
      </c>
      <c r="X222" s="12" t="inlineStr">
        <is>
          <t>https://investor.howardhughes.com/governance/leadership</t>
        </is>
      </c>
      <c r="Y222" s="12" t="inlineStr">
        <is>
          <t>https://www.linkedin.com/company/the-howard-hughes-corporation</t>
        </is>
      </c>
      <c r="Z222" s="12" t="inlineStr">
        <is>
          <t>https://investor.howardhughes.com/governance/leadership</t>
        </is>
      </c>
    </row>
    <row r="223">
      <c r="A223" s="6" t="inlineStr">
        <is>
          <t>Bill Ackman</t>
        </is>
      </c>
      <c r="B223" s="6" t="inlineStr">
        <is>
          <t>Howard Hughes Holdings Inc.</t>
        </is>
      </c>
      <c r="C223" s="6" t="inlineStr">
        <is>
          <t>Executive Chairman of the Board</t>
        </is>
      </c>
      <c r="D223" s="7" t="inlineStr">
        <is>
          <t>Masterplan owner</t>
        </is>
      </c>
      <c r="E223" s="8" t="n">
        <v>1</v>
      </c>
      <c r="F223" s="6" t="inlineStr">
        <is>
          <t>Sells lots</t>
        </is>
      </c>
      <c r="G223" s="6" t="inlineStr">
        <is>
          <t>The Woodlands HQ / Harris, Montgomery</t>
        </is>
      </c>
      <c r="H223" s="6" t="inlineStr">
        <is>
          <t>$900M Pershing Square investment, 46.9%</t>
        </is>
      </c>
      <c r="I223" s="8" t="inlineStr">
        <is>
          <t>Yes</t>
        </is>
      </c>
      <c r="J223" s="9" t="inlineStr"/>
      <c r="K223" s="8" t="inlineStr">
        <is>
          <t>No</t>
        </is>
      </c>
      <c r="L223" s="9" t="inlineStr"/>
      <c r="M223" s="8" t="inlineStr">
        <is>
          <t>No</t>
        </is>
      </c>
      <c r="N223" s="9" t="inlineStr"/>
      <c r="O223" s="8" t="inlineStr">
        <is>
          <t>Yes</t>
        </is>
      </c>
      <c r="P223" s="10" t="inlineStr"/>
      <c r="Q223" s="6">
        <f>HYPERLINK("https://www.linkedin.com/search/results/people/?keywords=Bill%20Ackman%20Howard%20Hughes%20Holdings%20Inc.","search")</f>
        <v/>
      </c>
      <c r="R223" s="11">
        <f>IF(P223="","ADD LINKEDIN","ok")</f>
        <v/>
      </c>
      <c r="S223" s="6" t="inlineStr">
        <is>
          <t>https://www.howardhughes.com/</t>
        </is>
      </c>
      <c r="T223" s="9" t="inlineStr">
        <is>
          <t>11,400 acres and $900M from Pershing Square, but it sells lots, so the builder buys the wall rather than Howard Hughes.</t>
        </is>
      </c>
      <c r="U223"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3" s="6" t="inlineStr"/>
      <c r="W223" s="9" t="inlineStr">
        <is>
          <t>Executive Chairman on Howard Hughes's own leadership page.</t>
        </is>
      </c>
      <c r="X223" s="6" t="inlineStr">
        <is>
          <t>https://investor.howardhughes.com/governance/leadership</t>
        </is>
      </c>
      <c r="Y223" s="6" t="inlineStr">
        <is>
          <t>https://www.linkedin.com/company/the-howard-hughes-corporation</t>
        </is>
      </c>
      <c r="Z223" s="6" t="inlineStr">
        <is>
          <t>https://investor.howardhughes.com/governance/leadership</t>
        </is>
      </c>
    </row>
    <row r="224">
      <c r="A224" s="12" t="inlineStr">
        <is>
          <t>Ryan Israel</t>
        </is>
      </c>
      <c r="B224" s="12" t="inlineStr">
        <is>
          <t>Howard Hughes Holdings Inc.</t>
        </is>
      </c>
      <c r="C224" s="12" t="inlineStr">
        <is>
          <t>Chief Investment Officer</t>
        </is>
      </c>
      <c r="D224" s="13" t="inlineStr">
        <is>
          <t>Masterplan owner</t>
        </is>
      </c>
      <c r="E224" s="14" t="n">
        <v>1</v>
      </c>
      <c r="F224" s="12" t="inlineStr">
        <is>
          <t>Sells lots</t>
        </is>
      </c>
      <c r="G224" s="12" t="inlineStr">
        <is>
          <t>The Woodlands HQ / Harris, Montgomery</t>
        </is>
      </c>
      <c r="H224" s="12" t="inlineStr">
        <is>
          <t>$900M Pershing Square investment, 46.9%</t>
        </is>
      </c>
      <c r="I224" s="14" t="inlineStr">
        <is>
          <t>Yes</t>
        </is>
      </c>
      <c r="J224" s="15" t="inlineStr"/>
      <c r="K224" s="14" t="inlineStr">
        <is>
          <t>No</t>
        </is>
      </c>
      <c r="L224" s="15" t="inlineStr"/>
      <c r="M224" s="14" t="inlineStr">
        <is>
          <t>No</t>
        </is>
      </c>
      <c r="N224" s="15" t="inlineStr"/>
      <c r="O224" s="14" t="inlineStr">
        <is>
          <t>Yes</t>
        </is>
      </c>
      <c r="P224" s="10" t="inlineStr"/>
      <c r="Q224" s="12">
        <f>HYPERLINK("https://www.linkedin.com/search/results/people/?keywords=Ryan%20Israel%20Howard%20Hughes%20Holdings%20Inc.","search")</f>
        <v/>
      </c>
      <c r="R224" s="16">
        <f>IF(P224="","ADD LINKEDIN","ok")</f>
        <v/>
      </c>
      <c r="S224" s="12" t="inlineStr">
        <is>
          <t>https://www.howardhughes.com/</t>
        </is>
      </c>
      <c r="T224" s="15" t="inlineStr">
        <is>
          <t>11,400 acres and $900M from Pershing Square, but it sells lots, so the builder buys the wall rather than Howard Hughes.</t>
        </is>
      </c>
      <c r="U224"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4" s="12" t="inlineStr"/>
      <c r="W224" s="15" t="inlineStr">
        <is>
          <t>Chief Investment Officer on Howard Hughes's own leadership page.</t>
        </is>
      </c>
      <c r="X224" s="12" t="inlineStr">
        <is>
          <t>https://investor.howardhughes.com/governance/leadership</t>
        </is>
      </c>
      <c r="Y224" s="12" t="inlineStr">
        <is>
          <t>https://www.linkedin.com/company/the-howard-hughes-corporation</t>
        </is>
      </c>
      <c r="Z224" s="12" t="inlineStr">
        <is>
          <t>https://investor.howardhughes.com/governance/leadership</t>
        </is>
      </c>
    </row>
    <row r="225">
      <c r="A225" s="6" t="inlineStr">
        <is>
          <t>Jim Carman</t>
        </is>
      </c>
      <c r="B225" s="6" t="inlineStr">
        <is>
          <t>Howard Hughes Holdings Inc.</t>
        </is>
      </c>
      <c r="C225" s="6" t="inlineStr">
        <is>
          <t>President, Houston Region</t>
        </is>
      </c>
      <c r="D225" s="7" t="inlineStr">
        <is>
          <t>Masterplan owner</t>
        </is>
      </c>
      <c r="E225" s="8" t="n">
        <v>1</v>
      </c>
      <c r="F225" s="6" t="inlineStr">
        <is>
          <t>Sells lots</t>
        </is>
      </c>
      <c r="G225" s="6" t="inlineStr">
        <is>
          <t>The Woodlands HQ / Harris, Montgomery</t>
        </is>
      </c>
      <c r="H225" s="6" t="inlineStr">
        <is>
          <t>$900M Pershing Square investment, 46.9%</t>
        </is>
      </c>
      <c r="I225" s="8" t="inlineStr">
        <is>
          <t>Yes</t>
        </is>
      </c>
      <c r="J225" s="9" t="inlineStr"/>
      <c r="K225" s="8" t="inlineStr">
        <is>
          <t>No</t>
        </is>
      </c>
      <c r="L225" s="9" t="inlineStr"/>
      <c r="M225" s="8" t="inlineStr">
        <is>
          <t>No</t>
        </is>
      </c>
      <c r="N225" s="9" t="inlineStr"/>
      <c r="O225" s="8" t="inlineStr">
        <is>
          <t>Yes</t>
        </is>
      </c>
      <c r="P225" s="6" t="inlineStr">
        <is>
          <t>https://www.linkedin.com/in/carmanjim/</t>
        </is>
      </c>
      <c r="Q225" s="6" t="inlineStr"/>
      <c r="R225" s="11">
        <f>IF(P225="","ADD LINKEDIN","ok")</f>
        <v/>
      </c>
      <c r="S225" s="6" t="inlineStr">
        <is>
          <t>https://www.howardhughes.com/</t>
        </is>
      </c>
      <c r="T225" s="9" t="inlineStr">
        <is>
          <t>11,400 acres and $900M from Pershing Square, but it sells lots, so the builder buys the wall rather than Howard Hughes.</t>
        </is>
      </c>
      <c r="U225"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5" s="6" t="inlineStr"/>
      <c r="W225" s="9" t="inlineStr">
        <is>
          <t>Profile opened. President, Texas Region at Howard Hughes Communities. Greater Houston. His own feed carries Bridgeland's number nine national ranking at 500 home sales by mid-2026 and the 83-acre Toro District with the Houston Texans headquarters.</t>
        </is>
      </c>
      <c r="X225" s="6" t="inlineStr"/>
      <c r="Y225" s="6" t="inlineStr">
        <is>
          <t>https://www.linkedin.com/company/the-howard-hughes-corporation</t>
        </is>
      </c>
      <c r="Z225" s="6" t="inlineStr">
        <is>
          <t>https://investor.howardhughes.com/governance/leadership</t>
        </is>
      </c>
    </row>
    <row r="226">
      <c r="A226" s="12" t="inlineStr">
        <is>
          <t>Alan Brende</t>
        </is>
      </c>
      <c r="B226" s="12" t="inlineStr">
        <is>
          <t>Land Tejas</t>
        </is>
      </c>
      <c r="C226" s="12" t="inlineStr">
        <is>
          <t>Co-President, Land Tejas</t>
        </is>
      </c>
      <c r="D226" s="13" t="inlineStr">
        <is>
          <t>Masterplan owner</t>
        </is>
      </c>
      <c r="E226" s="14" t="n">
        <v>1</v>
      </c>
      <c r="F226" s="12" t="inlineStr">
        <is>
          <t>Sells lots</t>
        </is>
      </c>
      <c r="G226" s="12" t="inlineStr">
        <is>
          <t>Houston / Katy, Harris-Waller</t>
        </is>
      </c>
      <c r="H226" s="12" t="inlineStr">
        <is>
          <t>Sunterra, 2,303 acres in Katy, fifteen builders</t>
        </is>
      </c>
      <c r="I226" s="14" t="inlineStr">
        <is>
          <t>Yes</t>
        </is>
      </c>
      <c r="J226" s="15" t="inlineStr"/>
      <c r="K226" s="14" t="inlineStr">
        <is>
          <t>No</t>
        </is>
      </c>
      <c r="L226" s="15" t="inlineStr"/>
      <c r="M226" s="14" t="inlineStr">
        <is>
          <t>No</t>
        </is>
      </c>
      <c r="N226" s="15" t="inlineStr"/>
      <c r="O226" s="14" t="inlineStr">
        <is>
          <t>Yes</t>
        </is>
      </c>
      <c r="P226" s="10" t="inlineStr"/>
      <c r="Q226" s="12">
        <f>HYPERLINK("https://www.linkedin.com/search/results/people/?keywords=Alan%20Brende%20Land%20Tejas","search")</f>
        <v/>
      </c>
      <c r="R226" s="16">
        <f>IF(P226="","ADD LINKEDIN","ok")</f>
        <v/>
      </c>
      <c r="S226" s="12" t="inlineStr">
        <is>
          <t>https://landtejas.com/</t>
        </is>
      </c>
      <c r="T226" s="15" t="inlineStr">
        <is>
          <t>Sells lots. Sunterra carries 2,303 acres and 15 builders.</t>
        </is>
      </c>
      <c r="U226" s="15" t="inlineStr"/>
      <c r="V226" s="12" t="inlineStr"/>
      <c r="W226" s="15" t="inlineStr">
        <is>
          <t>Co-President.</t>
        </is>
      </c>
      <c r="X226" s="12" t="inlineStr">
        <is>
          <t>https://landtejas.com/about-us/our-leadership/</t>
        </is>
      </c>
      <c r="Y226" s="12" t="inlineStr">
        <is>
          <t>https://www.linkedin.com/company/land-tejas-companies</t>
        </is>
      </c>
      <c r="Z226" s="12" t="inlineStr">
        <is>
          <t>https://landtejas.com/about-us/our-leadership/</t>
        </is>
      </c>
    </row>
    <row r="227">
      <c r="A227" s="6" t="inlineStr">
        <is>
          <t>Melanie Ohl</t>
        </is>
      </c>
      <c r="B227" s="6" t="inlineStr">
        <is>
          <t>Land Tejas</t>
        </is>
      </c>
      <c r="C227" s="6" t="inlineStr">
        <is>
          <t>Co-President, Land Tejas</t>
        </is>
      </c>
      <c r="D227" s="7" t="inlineStr">
        <is>
          <t>Masterplan owner</t>
        </is>
      </c>
      <c r="E227" s="8" t="n">
        <v>1</v>
      </c>
      <c r="F227" s="6" t="inlineStr">
        <is>
          <t>Sells lots</t>
        </is>
      </c>
      <c r="G227" s="6" t="inlineStr">
        <is>
          <t>Houston / Katy, Harris-Waller</t>
        </is>
      </c>
      <c r="H227" s="6" t="inlineStr">
        <is>
          <t>Sunterra, 2,303 acres in Katy, fifteen builders</t>
        </is>
      </c>
      <c r="I227" s="8" t="inlineStr">
        <is>
          <t>Yes</t>
        </is>
      </c>
      <c r="J227" s="9" t="inlineStr"/>
      <c r="K227" s="8" t="inlineStr">
        <is>
          <t>No</t>
        </is>
      </c>
      <c r="L227" s="9" t="inlineStr"/>
      <c r="M227" s="8" t="inlineStr">
        <is>
          <t>No</t>
        </is>
      </c>
      <c r="N227" s="9" t="inlineStr"/>
      <c r="O227" s="8" t="inlineStr">
        <is>
          <t>Yes</t>
        </is>
      </c>
      <c r="P227" s="10" t="inlineStr"/>
      <c r="Q227" s="6">
        <f>HYPERLINK("https://www.linkedin.com/search/results/people/?keywords=Melanie%20Ohl%20Land%20Tejas","search")</f>
        <v/>
      </c>
      <c r="R227" s="11">
        <f>IF(P227="","ADD LINKEDIN","ok")</f>
        <v/>
      </c>
      <c r="S227" s="6" t="inlineStr">
        <is>
          <t>https://landtejas.com/</t>
        </is>
      </c>
      <c r="T227" s="9" t="inlineStr">
        <is>
          <t>Sells lots. Sunterra carries 2,303 acres and 15 builders.</t>
        </is>
      </c>
      <c r="U227" s="9" t="inlineStr"/>
      <c r="V227" s="6" t="inlineStr"/>
      <c r="W227" s="9" t="inlineStr">
        <is>
          <t>Co-President.</t>
        </is>
      </c>
      <c r="X227" s="6" t="inlineStr">
        <is>
          <t>https://landtejas.com/about-us/our-leadership/</t>
        </is>
      </c>
      <c r="Y227" s="6" t="inlineStr">
        <is>
          <t>https://www.linkedin.com/company/land-tejas-companies</t>
        </is>
      </c>
      <c r="Z227" s="6" t="inlineStr">
        <is>
          <t>https://landtejas.com/about-us/our-leadership/</t>
        </is>
      </c>
    </row>
    <row r="228">
      <c r="A228" s="12" t="inlineStr">
        <is>
          <t>Fred Caldwell</t>
        </is>
      </c>
      <c r="B228" s="12" t="inlineStr">
        <is>
          <t>Caldwell Companies</t>
        </is>
      </c>
      <c r="C228" s="12" t="inlineStr">
        <is>
          <t>Chief Executive Officer, Caldwell Companies</t>
        </is>
      </c>
      <c r="D228" s="13" t="inlineStr">
        <is>
          <t>Masterplan owner</t>
        </is>
      </c>
      <c r="E228" s="14" t="n">
        <v>1</v>
      </c>
      <c r="F228" s="12" t="inlineStr">
        <is>
          <t>Sells lots</t>
        </is>
      </c>
      <c r="G228" s="12" t="inlineStr">
        <is>
          <t>Cypress / Montgomery, Harris</t>
        </is>
      </c>
      <c r="H228" s="12" t="inlineStr">
        <is>
          <t>Towne Lake and The Highlands, about 4,000 homes</t>
        </is>
      </c>
      <c r="I228" s="14" t="inlineStr">
        <is>
          <t>Yes</t>
        </is>
      </c>
      <c r="J228" s="15" t="inlineStr"/>
      <c r="K228" s="14" t="inlineStr">
        <is>
          <t>No</t>
        </is>
      </c>
      <c r="L228" s="15" t="inlineStr"/>
      <c r="M228" s="14" t="inlineStr">
        <is>
          <t>No</t>
        </is>
      </c>
      <c r="N228" s="15" t="inlineStr"/>
      <c r="O228" s="14" t="inlineStr">
        <is>
          <t>No</t>
        </is>
      </c>
      <c r="P228" s="10" t="inlineStr"/>
      <c r="Q228" s="12">
        <f>HYPERLINK("https://www.linkedin.com/search/results/people/?keywords=Fred%20Caldwell%20Caldwell%20Companies","search")</f>
        <v/>
      </c>
      <c r="R228" s="16">
        <f>IF(P228="","ADD LINKEDIN","ok")</f>
        <v/>
      </c>
      <c r="S228" s="12" t="inlineStr">
        <is>
          <t>https://caldwellcos.com/</t>
        </is>
      </c>
      <c r="T228" s="15" t="inlineStr">
        <is>
          <t>Sells lots. Towne Lake and The Highlands carry 4,000 homes across 12 builders. No published method evidence.</t>
        </is>
      </c>
      <c r="U228" s="15" t="inlineStr">
        <is>
          <t>Caldwell publishes no construction-method content. The count reflects an absent record.</t>
        </is>
      </c>
      <c r="V228" s="12" t="inlineStr"/>
      <c r="W228" s="15" t="inlineStr">
        <is>
          <t>Chief Executive Officer.</t>
        </is>
      </c>
      <c r="X228" s="12" t="inlineStr">
        <is>
          <t>https://caldwellcos.com/our-team</t>
        </is>
      </c>
      <c r="Y228" s="12" t="inlineStr">
        <is>
          <t>https://www.linkedin.com/company/caldwell-companies</t>
        </is>
      </c>
      <c r="Z228" s="12" t="inlineStr">
        <is>
          <t>https://caldwellcos.com/our-team</t>
        </is>
      </c>
    </row>
    <row r="229">
      <c r="A229" s="6" t="inlineStr">
        <is>
          <t>Michael J. Smith</t>
        </is>
      </c>
      <c r="B229" s="6" t="inlineStr">
        <is>
          <t>Johnson Development Corp</t>
        </is>
      </c>
      <c r="C229" s="6" t="inlineStr">
        <is>
          <t>President and Chief Executive Officer, Johnson Development</t>
        </is>
      </c>
      <c r="D229" s="7" t="inlineStr">
        <is>
          <t>Masterplan owner</t>
        </is>
      </c>
      <c r="E229" s="8" t="n">
        <v>1</v>
      </c>
      <c r="F229" s="6" t="inlineStr">
        <is>
          <t>Sells lots</t>
        </is>
      </c>
      <c r="G229" s="6" t="inlineStr">
        <is>
          <t>Houston / Fort Bend, Montgomery</t>
        </is>
      </c>
      <c r="H229" s="6" t="inlineStr">
        <is>
          <t>Fourteen concurrent Houston masterplans</t>
        </is>
      </c>
      <c r="I229" s="8" t="inlineStr">
        <is>
          <t>Yes</t>
        </is>
      </c>
      <c r="J229" s="9" t="inlineStr"/>
      <c r="K229" s="8" t="inlineStr">
        <is>
          <t>No</t>
        </is>
      </c>
      <c r="L229" s="9" t="inlineStr"/>
      <c r="M229" s="8" t="inlineStr">
        <is>
          <t>No</t>
        </is>
      </c>
      <c r="N229" s="9" t="inlineStr"/>
      <c r="O229" s="8" t="inlineStr">
        <is>
          <t>No</t>
        </is>
      </c>
      <c r="P229" s="10" t="inlineStr"/>
      <c r="Q229" s="6">
        <f>HYPERLINK("https://www.linkedin.com/search/results/people/?keywords=Michael%20J.%20Smith%20Johnson%20Development%20Corp","search")</f>
        <v/>
      </c>
      <c r="R229" s="11">
        <f>IF(P229="","ADD LINKEDIN","ok")</f>
        <v/>
      </c>
      <c r="S229" s="6" t="inlineStr">
        <is>
          <t>https://www.johnsondevelopment.com/</t>
        </is>
      </c>
      <c r="T229" s="9" t="inlineStr">
        <is>
          <t>Sells lots across 14 Houston masterplans. Buys no walls.</t>
        </is>
      </c>
      <c r="U229" s="9" t="inlineStr">
        <is>
          <t>Johnson Development publishes no construction-method content. The count reflects an absent record.</t>
        </is>
      </c>
      <c r="V229" s="6" t="inlineStr"/>
      <c r="W229" s="9" t="inlineStr">
        <is>
          <t>President and Chief Executive Officer.</t>
        </is>
      </c>
      <c r="X229" s="6" t="inlineStr">
        <is>
          <t>https://www.johnsondevelopment.com/our-leaders</t>
        </is>
      </c>
      <c r="Y229" s="6" t="inlineStr">
        <is>
          <t>https://www.linkedin.com/company/the-johnson-development-corp</t>
        </is>
      </c>
      <c r="Z229" s="6" t="inlineStr">
        <is>
          <t>https://www.johnsondevelopment.com/our-leaders</t>
        </is>
      </c>
    </row>
    <row r="230">
      <c r="A230" s="12" t="inlineStr">
        <is>
          <t>Alan Bauer</t>
        </is>
      </c>
      <c r="B230" s="12" t="inlineStr">
        <is>
          <t>Newland Communities</t>
        </is>
      </c>
      <c r="C230" s="12" t="inlineStr">
        <is>
          <t>Senior Vice President and Houston Division Manager, Newland (2019)</t>
        </is>
      </c>
      <c r="D230" s="13" t="inlineStr">
        <is>
          <t>Masterplan owner</t>
        </is>
      </c>
      <c r="E230" s="14" t="n">
        <v>1</v>
      </c>
      <c r="F230" s="12" t="inlineStr">
        <is>
          <t>Sells lots</t>
        </is>
      </c>
      <c r="G230" s="12" t="inlineStr">
        <is>
          <t>San Diego HQ / Katy, Harris</t>
        </is>
      </c>
      <c r="H230" s="12" t="inlineStr">
        <is>
          <t>Elyson, 3,600 acres in Katy</t>
        </is>
      </c>
      <c r="I230" s="14" t="inlineStr">
        <is>
          <t>Partly</t>
        </is>
      </c>
      <c r="J230" s="15" t="inlineStr"/>
      <c r="K230" s="14" t="inlineStr">
        <is>
          <t>No</t>
        </is>
      </c>
      <c r="L230" s="15" t="inlineStr"/>
      <c r="M230" s="14" t="inlineStr">
        <is>
          <t>No</t>
        </is>
      </c>
      <c r="N230" s="15" t="inlineStr"/>
      <c r="O230" s="14" t="inlineStr">
        <is>
          <t>No</t>
        </is>
      </c>
      <c r="P230" s="10" t="inlineStr"/>
      <c r="Q230" s="12">
        <f>HYPERLINK("https://www.linkedin.com/search/results/people/?keywords=Alan%20Bauer%20Newland%20Communities","search")</f>
        <v/>
      </c>
      <c r="R230" s="16">
        <f>IF(P230="","ADD LINKEDIN","ok")</f>
        <v/>
      </c>
      <c r="S230" s="12" t="inlineStr">
        <is>
          <t>https://newlandco.com/</t>
        </is>
      </c>
      <c r="T230" s="15" t="inlineStr">
        <is>
          <t>3,600-acre Elyson, but Newland has been absorbed into Brookfield Residential and no longer publishes its own leadership. The one Houston name on record is from 2019.</t>
        </is>
      </c>
      <c r="U230" s="15" t="inlineStr">
        <is>
          <t>Newland's own leadership page redirects to Brookfield Residential, which announces the acquisition and names nobody. | No principals sourced. Headquarters unconfirmed. Record too thin to action.</t>
        </is>
      </c>
      <c r="V230" s="12" t="inlineStr"/>
      <c r="W230" s="15" t="inlineStr">
        <is>
          <t>Senior Vice President and Division Manager for Newland's Houston division, per the West Houston Association board announcement. Dated 2019 and unconfirmed since, because Newland no longer publishes its own leadership.</t>
        </is>
      </c>
      <c r="X230" s="12" t="inlineStr">
        <is>
          <t>https://www.westhouston.org/2019/01/18/welcome-to-the-2019-board-or-directors/</t>
        </is>
      </c>
      <c r="Y230" s="12" t="inlineStr">
        <is>
          <t>https://www.linkedin.com/company/newland-communities-llc</t>
        </is>
      </c>
      <c r="Z230" s="12" t="inlineStr"/>
    </row>
    <row r="231">
      <c r="A231" s="6" t="inlineStr">
        <is>
          <t>George Kopecky</t>
        </is>
      </c>
      <c r="B231" s="6" t="inlineStr">
        <is>
          <t>GreenEco Builders</t>
        </is>
      </c>
      <c r="C231" s="6" t="inlineStr">
        <is>
          <t>President</t>
        </is>
      </c>
      <c r="D231" s="7" t="inlineStr">
        <is>
          <t>Already working with ICON</t>
        </is>
      </c>
      <c r="E231" s="8" t="n">
        <v>3</v>
      </c>
      <c r="F231" s="6" t="inlineStr">
        <is>
          <t>Buys walls</t>
        </is>
      </c>
      <c r="G231" s="6" t="inlineStr">
        <is>
          <t>Tavola, New Caney</t>
        </is>
      </c>
      <c r="H231" s="6" t="inlineStr">
        <is>
          <t>Orders windows per home to keep adopting newer products</t>
        </is>
      </c>
      <c r="I231" s="8" t="inlineStr">
        <is>
          <t>Partly</t>
        </is>
      </c>
      <c r="J231" s="9" t="inlineStr">
        <is>
          <t>One confirmed community, Tavola in New Caney. The footprint is small.</t>
        </is>
      </c>
      <c r="K231" s="8" t="inlineStr">
        <is>
          <t>Partly</t>
        </is>
      </c>
      <c r="L231" s="9" t="inlineStr">
        <is>
          <t>Owned by Rausch Coleman Homes since 2020, and Lennar completed its purchase of Rausch Coleman on 10 February 2025. No volume figure is published for the brand; purchasing sits with the parent.</t>
        </is>
      </c>
      <c r="M231" s="8" t="inlineStr">
        <is>
          <t>Partly</t>
        </is>
      </c>
      <c r="N231" s="9" t="inlineStr">
        <is>
          <t>It orders windows per home rather than per community specifically so it can adopt newer energy products as they appear. That is a procurement habit built for method change.</t>
        </is>
      </c>
      <c r="O231" s="8" t="inlineStr">
        <is>
          <t>No</t>
        </is>
      </c>
      <c r="P231" s="6" t="inlineStr">
        <is>
          <t>https://www.linkedin.com/in/george-kopecky-7ba08a26/</t>
        </is>
      </c>
      <c r="Q231" s="6" t="inlineStr"/>
      <c r="R231" s="11">
        <f>IF(P231="","ADD LINKEDIN","ok")</f>
        <v/>
      </c>
      <c r="S231" s="6" t="inlineStr">
        <is>
          <t>https://greenecobuilders.com/</t>
        </is>
      </c>
      <c r="T231" s="9" t="inlineStr">
        <is>
          <t>Orders windows per home rather than per community so it can adopt newer products. Owned by Rausch Coleman Homes, which Lennar bought in February 2025.</t>
        </is>
      </c>
      <c r="U231" s="9" t="inlineStr">
        <is>
          <t>Owned by Rausch Coleman Homes, which Lennar bought on 10 February 2025. Lennar built the hundred-home Wolf Ranch community with ICON. The relationship exists at corporate level. | GreenEco was acquired by Rausch Coleman Homes in 2020. Lennar announced the completed acquisition of Rausch Coleman on 10 February 2025, naming Houston among the markets added. It still sells under its own name in Houston listings. The route is Lennar. | No volume and no price band are published for the brand. The per-home window ordering is the only method evidence on record for the brand itself.</t>
        </is>
      </c>
      <c r="V231" s="6" t="inlineStr"/>
      <c r="W231" s="9" t="inlineStr">
        <is>
          <t>Indexed title reads George Kopecky, President at GreenEco Builders. Named as the firm's principal in trade coverage of the 2020 sale to Rausch Coleman.</t>
        </is>
      </c>
      <c r="X231" s="6" t="inlineStr"/>
      <c r="Y231" s="6" t="inlineStr"/>
      <c r="Z231" s="6" t="inlineStr"/>
    </row>
    <row r="232">
      <c r="A232" s="12" t="inlineStr">
        <is>
          <t>Michael Reamer</t>
        </is>
      </c>
      <c r="B232" s="12" t="inlineStr">
        <is>
          <t>Friendswood Development Company</t>
        </is>
      </c>
      <c r="C232" s="12" t="inlineStr">
        <is>
          <t>President, Friendswood Development Company</t>
        </is>
      </c>
      <c r="D232" s="13" t="inlineStr">
        <is>
          <t>Already working with ICON</t>
        </is>
      </c>
      <c r="E232" s="14" t="n">
        <v>2</v>
      </c>
      <c r="F232" s="12" t="inlineStr">
        <is>
          <t>Sells lots</t>
        </is>
      </c>
      <c r="G232" s="12" t="inlineStr">
        <is>
          <t>Houston / Montgomery, Galveston</t>
        </is>
      </c>
      <c r="H232" s="12" t="inlineStr">
        <is>
          <t>Sells lots inside its own masterplans; Lennar builds</t>
        </is>
      </c>
      <c r="I232" s="14" t="inlineStr">
        <is>
          <t>Partly</t>
        </is>
      </c>
      <c r="J232" s="15" t="inlineStr">
        <is>
          <t>Sells lots inside its own masterplans. Lennar builds the houses.</t>
        </is>
      </c>
      <c r="K232" s="14" t="inlineStr">
        <is>
          <t>No</t>
        </is>
      </c>
      <c r="L232" s="15" t="inlineStr">
        <is>
          <t>Sells lots, wholly owned by Lennar, so the route is Lennar.</t>
        </is>
      </c>
      <c r="M232" s="14" t="inlineStr">
        <is>
          <t>Partly</t>
        </is>
      </c>
      <c r="N232" s="15" t="inlineStr">
        <is>
          <t>The parent, Lennar, built a hundred printed homes with ICON at Wolf Ranch. Friendswood itself buys no walls.</t>
        </is>
      </c>
      <c r="O232" s="14" t="inlineStr">
        <is>
          <t>Partly</t>
        </is>
      </c>
      <c r="P232" s="10" t="inlineStr"/>
      <c r="Q232" s="12">
        <f>HYPERLINK("https://www.linkedin.com/search/results/people/?keywords=Michael%20Reamer%20Friendswood%20Development%20Company","search")</f>
        <v/>
      </c>
      <c r="R232" s="16">
        <f>IF(P232="","ADD LINKEDIN","ok")</f>
        <v/>
      </c>
      <c r="S232" s="12" t="inlineStr">
        <is>
          <t>https://friendswooddevelopment.com/</t>
        </is>
      </c>
      <c r="T232" s="15" t="inlineStr">
        <is>
          <t>Sells lots, wholly owned by Lennar since 2000. Lennar built a hundred printed homes with ICON at Wolf Ranch.</t>
        </is>
      </c>
      <c r="U232" s="15" t="inlineStr">
        <is>
          <t>Wholly owned by Lennar, which built the hundred-home Wolf Ranch community with ICON in Georgetown, designed by Bjarke Ingels Group and completed in 2025. The relationship exists at corporate level.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232" s="12" t="inlineStr"/>
      <c r="W232" s="15" t="inlineStr">
        <is>
          <t>President.</t>
        </is>
      </c>
      <c r="X232" s="12" t="inlineStr">
        <is>
          <t>https://friendswooddevelopment.com/people</t>
        </is>
      </c>
      <c r="Y232" s="12" t="inlineStr">
        <is>
          <t>https://www.linkedin.com/company/friendswood-development-company</t>
        </is>
      </c>
      <c r="Z232" s="12" t="inlineStr">
        <is>
          <t>https://friendswooddevelopment.com/people</t>
        </is>
      </c>
    </row>
    <row r="233">
      <c r="A233" s="6" t="inlineStr">
        <is>
          <t>Steven D. Alvis</t>
        </is>
      </c>
      <c r="B233" s="6" t="inlineStr">
        <is>
          <t>NewQuest Properties</t>
        </is>
      </c>
      <c r="C233" s="6" t="inlineStr">
        <is>
          <t>Co-Founder and Managing Partner</t>
        </is>
      </c>
      <c r="D233" s="7" t="inlineStr">
        <is>
          <t>Off deck, screened out</t>
        </is>
      </c>
      <c r="E233" s="8" t="n">
        <v>1</v>
      </c>
      <c r="F233" s="6" t="inlineStr">
        <is>
          <t>Buys walls</t>
        </is>
      </c>
      <c r="G233" s="6" t="inlineStr">
        <is>
          <t>Houston HQ / Fort Bend, Brazoria</t>
        </is>
      </c>
      <c r="H233" s="6" t="inlineStr">
        <is>
          <t>$3.1B portfolio, 12M sf managed</t>
        </is>
      </c>
      <c r="I233" s="8" t="inlineStr">
        <is>
          <t>Yes</t>
        </is>
      </c>
      <c r="J233" s="9" t="inlineStr"/>
      <c r="K233" s="8" t="inlineStr">
        <is>
          <t>No</t>
        </is>
      </c>
      <c r="L233" s="9" t="inlineStr"/>
      <c r="M233" s="8" t="inlineStr">
        <is>
          <t>No</t>
        </is>
      </c>
      <c r="N233" s="9" t="inlineStr"/>
      <c r="O233" s="8" t="inlineStr">
        <is>
          <t>Yes</t>
        </is>
      </c>
      <c r="P233" s="10" t="inlineStr"/>
      <c r="Q233" s="6">
        <f>HYPERLINK("https://www.linkedin.com/search/results/people/?keywords=Steven%20D.%20Alvis%20NewQuest%20Properties","search")</f>
        <v/>
      </c>
      <c r="R233" s="11">
        <f>IF(P233="","ADD LINKEDIN","ok")</f>
        <v/>
      </c>
      <c r="S233" s="6" t="inlineStr">
        <is>
          <t>https://www.newquest.com/</t>
        </is>
      </c>
      <c r="T233" s="9" t="inlineStr">
        <is>
          <t>$3.1B portfolio and a repeated Town Center format. Retail shells compete against tilt-wall, not stick framing.</t>
        </is>
      </c>
      <c r="U233" s="9" t="inlineStr">
        <is>
          <t>$3.1 billion portfolio value is company-stated, not from a filing. | Tilt-wall is the incumbent in this product type. Competitive comparison differs from residential.</t>
        </is>
      </c>
      <c r="V233" s="6" t="inlineStr"/>
      <c r="W233" s="9" t="inlineStr">
        <is>
          <t>Co-Founder and Managing Partner.</t>
        </is>
      </c>
      <c r="X233" s="6" t="inlineStr">
        <is>
          <t>https://www.newquest.com/about-us/leadership/</t>
        </is>
      </c>
      <c r="Y233" s="6" t="inlineStr">
        <is>
          <t>https://www.linkedin.com/company/newquest-properties</t>
        </is>
      </c>
      <c r="Z233" s="6" t="inlineStr">
        <is>
          <t>https://www.newquest.com/about-us/leadership/</t>
        </is>
      </c>
    </row>
    <row r="234">
      <c r="A234" s="12" t="inlineStr">
        <is>
          <t>Jay K. Sears</t>
        </is>
      </c>
      <c r="B234" s="12" t="inlineStr">
        <is>
          <t>NewQuest Properties</t>
        </is>
      </c>
      <c r="C234" s="12" t="inlineStr">
        <is>
          <t>Co-Founder and Managing Partner</t>
        </is>
      </c>
      <c r="D234" s="13" t="inlineStr">
        <is>
          <t>Off deck, screened out</t>
        </is>
      </c>
      <c r="E234" s="14" t="n">
        <v>1</v>
      </c>
      <c r="F234" s="12" t="inlineStr">
        <is>
          <t>Buys walls</t>
        </is>
      </c>
      <c r="G234" s="12" t="inlineStr">
        <is>
          <t>Houston HQ / Fort Bend, Brazoria</t>
        </is>
      </c>
      <c r="H234" s="12" t="inlineStr">
        <is>
          <t>$3.1B portfolio, 12M sf managed</t>
        </is>
      </c>
      <c r="I234" s="14" t="inlineStr">
        <is>
          <t>Yes</t>
        </is>
      </c>
      <c r="J234" s="15" t="inlineStr"/>
      <c r="K234" s="14" t="inlineStr">
        <is>
          <t>No</t>
        </is>
      </c>
      <c r="L234" s="15" t="inlineStr"/>
      <c r="M234" s="14" t="inlineStr">
        <is>
          <t>No</t>
        </is>
      </c>
      <c r="N234" s="15" t="inlineStr"/>
      <c r="O234" s="14" t="inlineStr">
        <is>
          <t>Yes</t>
        </is>
      </c>
      <c r="P234" s="10" t="inlineStr"/>
      <c r="Q234" s="12">
        <f>HYPERLINK("https://www.linkedin.com/search/results/people/?keywords=Jay%20K.%20Sears%20NewQuest%20Properties","search")</f>
        <v/>
      </c>
      <c r="R234" s="16">
        <f>IF(P234="","ADD LINKEDIN","ok")</f>
        <v/>
      </c>
      <c r="S234" s="12" t="inlineStr">
        <is>
          <t>https://www.newquest.com/</t>
        </is>
      </c>
      <c r="T234" s="15" t="inlineStr">
        <is>
          <t>$3.1B portfolio and a repeated Town Center format. Retail shells compete against tilt-wall, not stick framing.</t>
        </is>
      </c>
      <c r="U234" s="15" t="inlineStr">
        <is>
          <t>$3.1 billion portfolio value is company-stated, not from a filing. | Tilt-wall is the incumbent in this product type. Competitive comparison differs from residential.</t>
        </is>
      </c>
      <c r="V234" s="12" t="inlineStr"/>
      <c r="W234" s="15" t="inlineStr">
        <is>
          <t>Co-Founder and Managing Partner.</t>
        </is>
      </c>
      <c r="X234" s="12" t="inlineStr">
        <is>
          <t>https://www.newquest.com/about-us/leadership/</t>
        </is>
      </c>
      <c r="Y234" s="12" t="inlineStr">
        <is>
          <t>https://www.linkedin.com/company/newquest-properties</t>
        </is>
      </c>
      <c r="Z234" s="12" t="inlineStr">
        <is>
          <t>https://www.newquest.com/about-us/leadership/</t>
        </is>
      </c>
    </row>
    <row r="235">
      <c r="A235" s="6" t="inlineStr">
        <is>
          <t>Austin Alvis</t>
        </is>
      </c>
      <c r="B235" s="6" t="inlineStr">
        <is>
          <t>NewQuest Properties</t>
        </is>
      </c>
      <c r="C235" s="6" t="inlineStr">
        <is>
          <t>President and Chief Development Officer</t>
        </is>
      </c>
      <c r="D235" s="7" t="inlineStr">
        <is>
          <t>Off deck, screened out</t>
        </is>
      </c>
      <c r="E235" s="8" t="n">
        <v>1</v>
      </c>
      <c r="F235" s="6" t="inlineStr">
        <is>
          <t>Buys walls</t>
        </is>
      </c>
      <c r="G235" s="6" t="inlineStr">
        <is>
          <t>Houston HQ / Fort Bend, Brazoria</t>
        </is>
      </c>
      <c r="H235" s="6" t="inlineStr">
        <is>
          <t>$3.1B portfolio, 12M sf managed</t>
        </is>
      </c>
      <c r="I235" s="8" t="inlineStr">
        <is>
          <t>Yes</t>
        </is>
      </c>
      <c r="J235" s="9" t="inlineStr"/>
      <c r="K235" s="8" t="inlineStr">
        <is>
          <t>No</t>
        </is>
      </c>
      <c r="L235" s="9" t="inlineStr"/>
      <c r="M235" s="8" t="inlineStr">
        <is>
          <t>No</t>
        </is>
      </c>
      <c r="N235" s="9" t="inlineStr"/>
      <c r="O235" s="8" t="inlineStr">
        <is>
          <t>Yes</t>
        </is>
      </c>
      <c r="P235" s="10" t="inlineStr"/>
      <c r="Q235" s="6">
        <f>HYPERLINK("https://www.linkedin.com/search/results/people/?keywords=Austin%20Alvis%20NewQuest%20Properties","search")</f>
        <v/>
      </c>
      <c r="R235" s="11">
        <f>IF(P235="","ADD LINKEDIN","ok")</f>
        <v/>
      </c>
      <c r="S235" s="6" t="inlineStr">
        <is>
          <t>https://www.newquest.com/</t>
        </is>
      </c>
      <c r="T235" s="9" t="inlineStr">
        <is>
          <t>$3.1B portfolio and a repeated Town Center format. Retail shells compete against tilt-wall, not stick framing.</t>
        </is>
      </c>
      <c r="U235" s="9" t="inlineStr">
        <is>
          <t>$3.1 billion portfolio value is company-stated, not from a filing. | Tilt-wall is the incumbent in this product type. Competitive comparison differs from residential.</t>
        </is>
      </c>
      <c r="V235" s="6" t="inlineStr"/>
      <c r="W235" s="9" t="inlineStr">
        <is>
          <t>President and Chief Development Officer.</t>
        </is>
      </c>
      <c r="X235" s="6" t="inlineStr">
        <is>
          <t>https://www.newquest.com/about-us/leadership/</t>
        </is>
      </c>
      <c r="Y235" s="6" t="inlineStr">
        <is>
          <t>https://www.linkedin.com/company/newquest-properties</t>
        </is>
      </c>
      <c r="Z235" s="6" t="inlineStr">
        <is>
          <t>https://www.newquest.com/about-us/leadership/</t>
        </is>
      </c>
    </row>
    <row r="236">
      <c r="A236" s="12" t="inlineStr">
        <is>
          <t>Jeff Horton</t>
        </is>
      </c>
      <c r="B236" s="12" t="inlineStr">
        <is>
          <t>NewQuest Properties</t>
        </is>
      </c>
      <c r="C236" s="12" t="inlineStr">
        <is>
          <t>Chief Operating Officer and Head of Capital Markets</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HYPERLINK("https://www.linkedin.com/search/results/people/?keywords=Jeff%20Horton%20NewQuest%20Properties","search")</f>
        <v/>
      </c>
      <c r="R236" s="16">
        <f>IF(P236="","ADD LINKEDIN","ok")</f>
        <v/>
      </c>
      <c r="S236" s="12" t="inlineStr">
        <is>
          <t>https://www.newquest.com/</t>
        </is>
      </c>
      <c r="T236" s="15" t="inlineStr">
        <is>
          <t>$3.1B portfolio and a repeated Town Center format. Retail shells compete against tilt-wall, not stick framing.</t>
        </is>
      </c>
      <c r="U236" s="15" t="inlineStr">
        <is>
          <t>$3.1 billion portfolio value is company-stated, not from a filing. | Tilt-wall is the incumbent in this product type. Competitive comparison differs from residential.</t>
        </is>
      </c>
      <c r="V236" s="12" t="inlineStr"/>
      <c r="W236" s="15" t="inlineStr">
        <is>
          <t>Chief Operating Officer and Head of Capital Markets.</t>
        </is>
      </c>
      <c r="X236" s="12" t="inlineStr">
        <is>
          <t>https://www.newquest.com/about-us/leadership/</t>
        </is>
      </c>
      <c r="Y236" s="12" t="inlineStr">
        <is>
          <t>https://www.linkedin.com/company/newquest-properties</t>
        </is>
      </c>
      <c r="Z236" s="12" t="inlineStr">
        <is>
          <t>https://www.newquest.com/about-us/leadership/</t>
        </is>
      </c>
    </row>
    <row r="237">
      <c r="A237" s="6" t="inlineStr">
        <is>
          <t>K. Alan Hassenflu</t>
        </is>
      </c>
      <c r="B237" s="6" t="inlineStr">
        <is>
          <t>Fidelis Realty Partners</t>
        </is>
      </c>
      <c r="C237" s="6" t="inlineStr">
        <is>
          <t>Chairman and Chief Executive Officer</t>
        </is>
      </c>
      <c r="D237" s="7" t="inlineStr">
        <is>
          <t>Off deck, screened out</t>
        </is>
      </c>
      <c r="E237" s="8" t="n">
        <v>1</v>
      </c>
      <c r="F237" s="6" t="inlineStr">
        <is>
          <t>Buys walls</t>
        </is>
      </c>
      <c r="G237" s="6" t="inlineStr">
        <is>
          <t>Houston HQ / Brazoria, Montgomery</t>
        </is>
      </c>
      <c r="H237" s="6" t="inlineStr">
        <is>
          <t>26M sf, ~100 properties, 12 states</t>
        </is>
      </c>
      <c r="I237" s="8" t="inlineStr">
        <is>
          <t>Yes</t>
        </is>
      </c>
      <c r="J237" s="9" t="inlineStr"/>
      <c r="K237" s="8" t="inlineStr">
        <is>
          <t>No</t>
        </is>
      </c>
      <c r="L237" s="9" t="inlineStr"/>
      <c r="M237" s="8" t="inlineStr">
        <is>
          <t>No</t>
        </is>
      </c>
      <c r="N237" s="9" t="inlineStr"/>
      <c r="O237" s="8" t="inlineStr">
        <is>
          <t>Partly</t>
        </is>
      </c>
      <c r="P237" s="10" t="inlineStr"/>
      <c r="Q237" s="6">
        <f>HYPERLINK("https://www.linkedin.com/search/results/people/?keywords=K.%20Alan%20Hassenflu%20Fidelis%20Realty%20Partners","search")</f>
        <v/>
      </c>
      <c r="R237" s="11">
        <f>IF(P237="","ADD LINKEDIN","ok")</f>
        <v/>
      </c>
      <c r="S237" s="6" t="inlineStr">
        <is>
          <t>https://www.frpltd.com/</t>
        </is>
      </c>
      <c r="T237" s="9" t="inlineStr">
        <is>
          <t>Two land positions in target counties within 24 months. Every purchase price is undisclosed.</t>
        </is>
      </c>
      <c r="U237" s="9" t="inlineStr">
        <is>
          <t>Glenn Airola's title sourced from a third-party CRE platform, not a Fidelis team page. Unverified. | Headquarters street address not confirmed on frpltd.com. | All purchase prices undisclosed.</t>
        </is>
      </c>
      <c r="V237" s="6" t="inlineStr"/>
      <c r="W237" s="9" t="inlineStr">
        <is>
          <t>President and Chief Executive Officer, a founder in 2003, formerly senior managing director at Trammell Crow.</t>
        </is>
      </c>
      <c r="X237" s="6" t="inlineStr">
        <is>
          <t>https://www.frpltd.com/about-fidelis/mission-values</t>
        </is>
      </c>
      <c r="Y237" s="6" t="inlineStr">
        <is>
          <t>https://www.linkedin.com/company/fidelis-realty-partners</t>
        </is>
      </c>
      <c r="Z237" s="6" t="inlineStr">
        <is>
          <t>https://www.frpltd.com/about-fidelis/mission-values</t>
        </is>
      </c>
    </row>
    <row r="238">
      <c r="A238" s="12" t="inlineStr">
        <is>
          <t>Glenn Airola</t>
        </is>
      </c>
      <c r="B238" s="12" t="inlineStr">
        <is>
          <t>Fidelis Realty Partners</t>
        </is>
      </c>
      <c r="C238" s="12" t="inlineStr">
        <is>
          <t>Co-President and Chief Operating Officer</t>
        </is>
      </c>
      <c r="D238" s="13" t="inlineStr">
        <is>
          <t>Off deck, screened out</t>
        </is>
      </c>
      <c r="E238" s="14" t="n">
        <v>1</v>
      </c>
      <c r="F238" s="12" t="inlineStr">
        <is>
          <t>Buys walls</t>
        </is>
      </c>
      <c r="G238" s="12" t="inlineStr">
        <is>
          <t>Houston HQ / Brazoria, Montgomery</t>
        </is>
      </c>
      <c r="H238" s="12" t="inlineStr">
        <is>
          <t>26M sf, ~100 properties, 12 states</t>
        </is>
      </c>
      <c r="I238" s="14" t="inlineStr">
        <is>
          <t>Yes</t>
        </is>
      </c>
      <c r="J238" s="15" t="inlineStr"/>
      <c r="K238" s="14" t="inlineStr">
        <is>
          <t>No</t>
        </is>
      </c>
      <c r="L238" s="15" t="inlineStr"/>
      <c r="M238" s="14" t="inlineStr">
        <is>
          <t>No</t>
        </is>
      </c>
      <c r="N238" s="15" t="inlineStr"/>
      <c r="O238" s="14" t="inlineStr">
        <is>
          <t>Partly</t>
        </is>
      </c>
      <c r="P238" s="10" t="inlineStr"/>
      <c r="Q238" s="12">
        <f>HYPERLINK("https://www.linkedin.com/search/results/people/?keywords=Glenn%20Airola%20Fidelis%20Realty%20Partners","search")</f>
        <v/>
      </c>
      <c r="R238" s="16">
        <f>IF(P238="","ADD LINKEDIN","ok")</f>
        <v/>
      </c>
      <c r="S238" s="12" t="inlineStr">
        <is>
          <t>https://www.frpltd.com/</t>
        </is>
      </c>
      <c r="T238" s="15" t="inlineStr">
        <is>
          <t>Two land positions in target counties within 24 months. Every purchase price is undisclosed.</t>
        </is>
      </c>
      <c r="U238" s="15" t="inlineStr">
        <is>
          <t>Glenn Airola's title sourced from a third-party CRE platform, not a Fidelis team page. Unverified. | Headquarters street address not confirmed on frpltd.com. | All purchase prices undisclosed.</t>
        </is>
      </c>
      <c r="V238" s="12" t="inlineStr"/>
      <c r="W238" s="15" t="inlineStr">
        <is>
          <t>Executive Vice President, General Counsel and Chief Administrative Officer since 2007.</t>
        </is>
      </c>
      <c r="X238" s="12" t="inlineStr">
        <is>
          <t>https://www.frpltd.com/about-fidelis/mission-values</t>
        </is>
      </c>
      <c r="Y238" s="12" t="inlineStr">
        <is>
          <t>https://www.linkedin.com/company/fidelis-realty-partners</t>
        </is>
      </c>
      <c r="Z238" s="12" t="inlineStr">
        <is>
          <t>https://www.frpltd.com/about-fidelis/mission-values</t>
        </is>
      </c>
    </row>
    <row r="239">
      <c r="A239" s="6" t="inlineStr">
        <is>
          <t>R. Carson Wilson IV</t>
        </is>
      </c>
      <c r="B239" s="6" t="inlineStr">
        <is>
          <t>Fidelis Realty Partners</t>
        </is>
      </c>
      <c r="C239" s="6" t="inlineStr">
        <is>
          <t>Executive Vice President of Leasing, Construction and Development, Fidelis Realty Partners</t>
        </is>
      </c>
      <c r="D239" s="7" t="inlineStr">
        <is>
          <t>Off deck, screened out</t>
        </is>
      </c>
      <c r="E239" s="8" t="n">
        <v>1</v>
      </c>
      <c r="F239" s="6" t="inlineStr">
        <is>
          <t>Buys walls</t>
        </is>
      </c>
      <c r="G239" s="6" t="inlineStr">
        <is>
          <t>Houston HQ / Brazoria, Montgomery</t>
        </is>
      </c>
      <c r="H239" s="6" t="inlineStr">
        <is>
          <t>26M sf, ~100 properties, 12 states</t>
        </is>
      </c>
      <c r="I239" s="8" t="inlineStr">
        <is>
          <t>Yes</t>
        </is>
      </c>
      <c r="J239" s="9" t="inlineStr"/>
      <c r="K239" s="8" t="inlineStr">
        <is>
          <t>No</t>
        </is>
      </c>
      <c r="L239" s="9" t="inlineStr"/>
      <c r="M239" s="8" t="inlineStr">
        <is>
          <t>No</t>
        </is>
      </c>
      <c r="N239" s="9" t="inlineStr"/>
      <c r="O239" s="8" t="inlineStr">
        <is>
          <t>Partly</t>
        </is>
      </c>
      <c r="P239" s="6" t="inlineStr">
        <is>
          <t>https://www.linkedin.com/in/r-carson-wilson-iv-9b7525292/</t>
        </is>
      </c>
      <c r="Q239" s="6" t="inlineStr"/>
      <c r="R239" s="11">
        <f>IF(P239="","ADD LINKEDIN","ok")</f>
        <v/>
      </c>
      <c r="S239" s="6" t="inlineStr">
        <is>
          <t>https://www.frpltd.com/</t>
        </is>
      </c>
      <c r="T239" s="9" t="inlineStr">
        <is>
          <t>Two land positions in target counties within 24 months. Every purchase price is undisclosed.</t>
        </is>
      </c>
      <c r="U239" s="9" t="inlineStr">
        <is>
          <t>Glenn Airola's title sourced from a third-party CRE platform, not a Fidelis team page. Unverified. | Headquarters street address not confirmed on frpltd.com. | All purchase prices undisclosed.</t>
        </is>
      </c>
      <c r="V239" s="6" t="inlineStr">
        <is>
          <t>YES</t>
        </is>
      </c>
      <c r="W239" s="9" t="inlineStr">
        <is>
          <t>Executive Vice President - Leasing, Construction and Development at Fidelis Realty Partners. Greater Houston. One title covers all three, so the person who signs the lease also owns the build.</t>
        </is>
      </c>
      <c r="X239" s="6" t="inlineStr"/>
      <c r="Y239" s="6" t="inlineStr">
        <is>
          <t>https://www.linkedin.com/company/fidelis-realty-partners</t>
        </is>
      </c>
      <c r="Z239" s="6" t="inlineStr">
        <is>
          <t>https://www.frpltd.com/about-fidelis/mission-values</t>
        </is>
      </c>
    </row>
    <row r="240">
      <c r="A240" s="12" t="inlineStr">
        <is>
          <t>Brandt Bowden</t>
        </is>
      </c>
      <c r="B240" s="12" t="inlineStr">
        <is>
          <t>The Hanover Company</t>
        </is>
      </c>
      <c r="C240" s="12" t="inlineStr">
        <is>
          <t>Chief Executive Officer</t>
        </is>
      </c>
      <c r="D240" s="13" t="inlineStr">
        <is>
          <t>Off deck, screened out</t>
        </is>
      </c>
      <c r="E240" s="14" t="n">
        <v>1</v>
      </c>
      <c r="F240" s="12" t="inlineStr">
        <is>
          <t>Buys walls</t>
        </is>
      </c>
      <c r="G240" s="12" t="inlineStr">
        <is>
          <t>Houston HQ, Harris County</t>
        </is>
      </c>
      <c r="H240" s="12" t="inlineStr">
        <is>
          <t>19 markets, in-house construction arm</t>
        </is>
      </c>
      <c r="I240" s="14" t="inlineStr">
        <is>
          <t>Yes</t>
        </is>
      </c>
      <c r="J240" s="15" t="inlineStr"/>
      <c r="K240" s="14" t="inlineStr">
        <is>
          <t>No</t>
        </is>
      </c>
      <c r="L240" s="15" t="inlineStr"/>
      <c r="M240" s="14" t="inlineStr">
        <is>
          <t>No</t>
        </is>
      </c>
      <c r="N240" s="15" t="inlineStr"/>
      <c r="O240" s="14" t="inlineStr">
        <is>
          <t>Partly</t>
        </is>
      </c>
      <c r="P240" s="10" t="inlineStr"/>
      <c r="Q240" s="12">
        <f>HYPERLINK("https://www.linkedin.com/search/results/people/?keywords=Brandt%20Bowden%20The%20Hanover%20Company","search")</f>
        <v/>
      </c>
      <c r="R240" s="16">
        <f>IF(P240="","ADD LINKEDIN","ok")</f>
        <v/>
      </c>
      <c r="S240" s="12" t="inlineStr">
        <is>
          <t>https://www.hanoverco.com/</t>
        </is>
      </c>
      <c r="T240" s="15" t="inlineStr">
        <is>
          <t>An in-house construction arm and a Houston HQ since 1982, but no Houston project could be sourced.</t>
        </is>
      </c>
      <c r="U240" s="15" t="inlineStr">
        <is>
          <t>No Houston-specific project sourced. Repeatability inferred from platform scale, not from a named local position. | No capital signal with a figure. | No innovation-appetite evidence.</t>
        </is>
      </c>
      <c r="V240" s="12" t="inlineStr"/>
      <c r="W240" s="15" t="inlineStr">
        <is>
          <t>Chief Executive Officer of Hanover, overseeing capital, development and construction, previously chief investment officer.</t>
        </is>
      </c>
      <c r="X240" s="12" t="inlineStr">
        <is>
          <t>https://knowledge.uli.org/en/people/b/b/brandt-bowden-f34f</t>
        </is>
      </c>
      <c r="Y240" s="12" t="inlineStr"/>
      <c r="Z240" s="12" t="inlineStr">
        <is>
          <t>https://www.hanoverco.com/leadership</t>
        </is>
      </c>
    </row>
    <row r="241">
      <c r="A241" s="6" t="inlineStr">
        <is>
          <t>Murry Bowden</t>
        </is>
      </c>
      <c r="B241" s="6" t="inlineStr">
        <is>
          <t>The Hanover Company</t>
        </is>
      </c>
      <c r="C241" s="6" t="inlineStr">
        <is>
          <t>Founder and Executive Chairman</t>
        </is>
      </c>
      <c r="D241" s="7" t="inlineStr">
        <is>
          <t>Off deck, screened out</t>
        </is>
      </c>
      <c r="E241" s="8" t="n">
        <v>1</v>
      </c>
      <c r="F241" s="6" t="inlineStr">
        <is>
          <t>Buys walls</t>
        </is>
      </c>
      <c r="G241" s="6" t="inlineStr">
        <is>
          <t>Houston HQ, Harris County</t>
        </is>
      </c>
      <c r="H241" s="6" t="inlineStr">
        <is>
          <t>19 markets, in-house construction arm</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HYPERLINK("https://www.linkedin.com/search/results/people/?keywords=Murry%20Bowden%20The%20Hanover%20Company","search")</f>
        <v/>
      </c>
      <c r="R241" s="11">
        <f>IF(P241="","ADD LINKEDIN","ok")</f>
        <v/>
      </c>
      <c r="S241" s="6" t="inlineStr">
        <is>
          <t>https://www.hanoverco.com/</t>
        </is>
      </c>
      <c r="T241" s="9" t="inlineStr">
        <is>
          <t>An in-house construction arm and a Houston HQ since 1982, but no Houston project could be sourced.</t>
        </is>
      </c>
      <c r="U241" s="9" t="inlineStr">
        <is>
          <t>No Houston-specific project sourced. Repeatability inferred from platform scale, not from a named local position. | No capital signal with a figure. | No innovation-appetite evidence.</t>
        </is>
      </c>
      <c r="V241" s="6" t="inlineStr"/>
      <c r="W241" s="9" t="inlineStr">
        <is>
          <t>Founder, Chairman and Chief Executive Officer, responsible for strategy and investment decisions.</t>
        </is>
      </c>
      <c r="X241" s="6" t="inlineStr">
        <is>
          <t>https://www.nmhc.org/meetings/meetings-pages/meeting-materials/j-murry-bowden-biography/</t>
        </is>
      </c>
      <c r="Y241" s="6" t="inlineStr"/>
      <c r="Z241" s="6" t="inlineStr">
        <is>
          <t>https://www.hanoverco.com/leadership</t>
        </is>
      </c>
    </row>
    <row r="242">
      <c r="A242" s="12" t="inlineStr">
        <is>
          <t>John Nash</t>
        </is>
      </c>
      <c r="B242" s="12" t="inlineStr">
        <is>
          <t>The Hanover Company</t>
        </is>
      </c>
      <c r="C242" s="12" t="inlineStr">
        <is>
          <t>President</t>
        </is>
      </c>
      <c r="D242" s="13" t="inlineStr">
        <is>
          <t>Off deck, screened out</t>
        </is>
      </c>
      <c r="E242" s="14" t="n">
        <v>1</v>
      </c>
      <c r="F242" s="12" t="inlineStr">
        <is>
          <t>Buys walls</t>
        </is>
      </c>
      <c r="G242" s="12" t="inlineStr">
        <is>
          <t>Houston HQ, Harris County</t>
        </is>
      </c>
      <c r="H242" s="12" t="inlineStr">
        <is>
          <t>19 markets, in-house construction arm</t>
        </is>
      </c>
      <c r="I242" s="14" t="inlineStr">
        <is>
          <t>Yes</t>
        </is>
      </c>
      <c r="J242" s="15" t="inlineStr"/>
      <c r="K242" s="14" t="inlineStr">
        <is>
          <t>No</t>
        </is>
      </c>
      <c r="L242" s="15" t="inlineStr"/>
      <c r="M242" s="14" t="inlineStr">
        <is>
          <t>No</t>
        </is>
      </c>
      <c r="N242" s="15" t="inlineStr"/>
      <c r="O242" s="14" t="inlineStr">
        <is>
          <t>Partly</t>
        </is>
      </c>
      <c r="P242" s="10" t="inlineStr"/>
      <c r="Q242" s="12">
        <f>HYPERLINK("https://www.linkedin.com/search/results/people/?keywords=John%20Nash%20The%20Hanover%20Company","search")</f>
        <v/>
      </c>
      <c r="R242" s="16">
        <f>IF(P242="","ADD LINKEDIN","ok")</f>
        <v/>
      </c>
      <c r="S242" s="12" t="inlineStr">
        <is>
          <t>https://www.hanoverco.com/</t>
        </is>
      </c>
      <c r="T242" s="15" t="inlineStr">
        <is>
          <t>An in-house construction arm and a Houston HQ since 1982, but no Houston project could be sourced.</t>
        </is>
      </c>
      <c r="U242" s="15" t="inlineStr">
        <is>
          <t>No Houston-specific project sourced. Repeatability inferred from platform scale, not from a named local position. | No capital signal with a figure. | No innovation-appetite evidence.</t>
        </is>
      </c>
      <c r="V242" s="12" t="inlineStr"/>
      <c r="W242" s="15" t="inlineStr">
        <is>
          <t>President. Thirty-three years with Hanover, twenty-three of them as president, per the McCombs alumni network.</t>
        </is>
      </c>
      <c r="X242" s="12" t="inlineStr">
        <is>
          <t>https://www.hanoverco.com/leadership</t>
        </is>
      </c>
      <c r="Y242" s="12" t="inlineStr"/>
      <c r="Z242" s="12" t="inlineStr">
        <is>
          <t>https://www.hanoverco.com/leadership</t>
        </is>
      </c>
    </row>
    <row r="243">
      <c r="A243" s="6" t="inlineStr">
        <is>
          <t>John Garibaldi</t>
        </is>
      </c>
      <c r="B243" s="6" t="inlineStr">
        <is>
          <t>The Hanover Company</t>
        </is>
      </c>
      <c r="C243" s="6" t="inlineStr">
        <is>
          <t>President, Multifamily</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HYPERLINK("https://www.linkedin.com/search/results/people/?keywords=John%20Garibaldi%20The%20Hanover%20Company","search")</f>
        <v/>
      </c>
      <c r="R243" s="11">
        <f>IF(P243="","ADD LINKEDIN","ok")</f>
        <v/>
      </c>
      <c r="S243" s="6" t="inlineStr">
        <is>
          <t>https://www.hanoverco.com/</t>
        </is>
      </c>
      <c r="T243" s="9" t="inlineStr">
        <is>
          <t>An in-house construction arm and a Houston HQ since 1982, but no Houston project could be sourced.</t>
        </is>
      </c>
      <c r="U243" s="9" t="inlineStr">
        <is>
          <t>No Houston-specific project sourced. Repeatability inferred from platform scale, not from a named local position. | No capital signal with a figure. | No innovation-appetite evidence.</t>
        </is>
      </c>
      <c r="V243" s="6" t="inlineStr"/>
      <c r="W243" s="9" t="inlineStr">
        <is>
          <t>President, Multifamily. Twenty-five years with the firm, starting as a development partner in Houston in 1999.</t>
        </is>
      </c>
      <c r="X243" s="6" t="inlineStr">
        <is>
          <t>https://www.hanoverco.com/leadership</t>
        </is>
      </c>
      <c r="Y243" s="6" t="inlineStr"/>
      <c r="Z243" s="6" t="inlineStr">
        <is>
          <t>https://www.hanoverco.com/leadership</t>
        </is>
      </c>
    </row>
    <row r="244">
      <c r="A244" s="12" t="inlineStr">
        <is>
          <t>Thomas Knutson</t>
        </is>
      </c>
      <c r="B244" s="12" t="inlineStr">
        <is>
          <t>The Hanover Company</t>
        </is>
      </c>
      <c r="C244" s="12" t="inlineStr">
        <is>
          <t>President of Construction, The Hanover Company</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6" t="inlineStr">
        <is>
          <t>https://www.linkedin.com/in/thomas-knutson-a741898/</t>
        </is>
      </c>
      <c r="Q244" s="12" t="inlineStr"/>
      <c r="R244" s="16">
        <f>IF(P244="","ADD LINKEDIN","ok")</f>
        <v/>
      </c>
      <c r="S244" s="12" t="inlineStr">
        <is>
          <t>https://www.hanoverco.com/</t>
        </is>
      </c>
      <c r="T244" s="15" t="inlineStr">
        <is>
          <t>An in-house construction arm and a Houston HQ since 1982, but no Houston project could be sourced.</t>
        </is>
      </c>
      <c r="U244" s="15" t="inlineStr">
        <is>
          <t>No Houston-specific project sourced. Repeatability inferred from platform scale, not from a named local position. | No capital signal with a figure. | No innovation-appetite evidence.</t>
        </is>
      </c>
      <c r="V244" s="12" t="inlineStr">
        <is>
          <t>YES</t>
        </is>
      </c>
      <c r="W244" s="15" t="inlineStr">
        <is>
          <t>President - Construction at The Hanover Company. Houston, Texas. Hanover builds its own work, so this is the head of the in-house contractor.</t>
        </is>
      </c>
      <c r="X244" s="12" t="inlineStr"/>
      <c r="Y244" s="12" t="inlineStr"/>
      <c r="Z244" s="12" t="inlineStr">
        <is>
          <t>https://www.hanoverco.com/leadership</t>
        </is>
      </c>
    </row>
    <row r="245">
      <c r="A245" s="6" t="inlineStr">
        <is>
          <t>Mark Wood</t>
        </is>
      </c>
      <c r="B245" s="6" t="inlineStr">
        <is>
          <t>The Hanover Company</t>
        </is>
      </c>
      <c r="C245" s="6" t="inlineStr">
        <is>
          <t>Vice President of Construction, The Hanover Company</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6" t="inlineStr">
        <is>
          <t>https://www.linkedin.com/in/mark-wood-49713011/</t>
        </is>
      </c>
      <c r="Q245" s="6" t="inlineStr"/>
      <c r="R245" s="11">
        <f>IF(P245="","ADD LINKEDIN","ok")</f>
        <v/>
      </c>
      <c r="S245" s="6" t="inlineStr">
        <is>
          <t>https://www.hanoverco.com/</t>
        </is>
      </c>
      <c r="T245" s="9" t="inlineStr">
        <is>
          <t>An in-house construction arm and a Houston HQ since 1982, but no Houston project could be sourced.</t>
        </is>
      </c>
      <c r="U245" s="9" t="inlineStr">
        <is>
          <t>No Houston-specific project sourced. Repeatability inferred from platform scale, not from a named local position. | No capital signal with a figure. | No innovation-appetite evidence.</t>
        </is>
      </c>
      <c r="V245" s="6" t="inlineStr">
        <is>
          <t>YES</t>
        </is>
      </c>
      <c r="W245" s="9" t="inlineStr">
        <is>
          <t>Vice President - Construction at The Hanover Company. Houston, Texas.</t>
        </is>
      </c>
      <c r="X245" s="6" t="inlineStr"/>
      <c r="Y245" s="6" t="inlineStr"/>
      <c r="Z245" s="6" t="inlineStr">
        <is>
          <t>https://www.hanoverco.com/leadership</t>
        </is>
      </c>
    </row>
    <row r="246">
      <c r="A246" s="12" t="inlineStr">
        <is>
          <t>Mike Wright</t>
        </is>
      </c>
      <c r="B246" s="12" t="inlineStr">
        <is>
          <t>The Hanover Company</t>
        </is>
      </c>
      <c r="C246" s="12" t="inlineStr">
        <is>
          <t>Vice President of Preconstruction and Estimating, The Hanover Company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6" t="inlineStr">
        <is>
          <t>https://www.linkedin.com/in/mike-wright-7795a8b/</t>
        </is>
      </c>
      <c r="Q246" s="12" t="inlineStr"/>
      <c r="R246" s="16">
        <f>IF(P246="","ADD LINKEDIN","ok")</f>
        <v/>
      </c>
      <c r="S246" s="12" t="inlineStr">
        <is>
          <t>https://www.hanoverco.com/</t>
        </is>
      </c>
      <c r="T246" s="15" t="inlineStr">
        <is>
          <t>An in-house construction arm and a Houston HQ since 1982, but no Houston project could be sourced.</t>
        </is>
      </c>
      <c r="U246" s="15" t="inlineStr">
        <is>
          <t>No Houston-specific project sourced. Repeatability inferred from platform scale, not from a named local position. | No capital signal with a figure. | No innovation-appetite evidence.</t>
        </is>
      </c>
      <c r="V246" s="12" t="inlineStr">
        <is>
          <t>YES</t>
        </is>
      </c>
      <c r="W246" s="15" t="inlineStr">
        <is>
          <t>Vice President of Preconstruction &amp; Estimating at The Hanover Company. Katy, Texas. Preconstruction is where an unfamiliar wall system gets priced or dismissed, so this is the first real test of a printed assembly.</t>
        </is>
      </c>
      <c r="X246" s="12" t="inlineStr"/>
      <c r="Y246" s="12" t="inlineStr"/>
      <c r="Z246" s="12" t="inlineStr">
        <is>
          <t>https://www.hanoverco.com/leadership</t>
        </is>
      </c>
    </row>
    <row r="247">
      <c r="A247" s="6" t="inlineStr">
        <is>
          <t>Jeff Read</t>
        </is>
      </c>
      <c r="B247" s="6" t="inlineStr">
        <is>
          <t>Read King</t>
        </is>
      </c>
      <c r="C247" s="6" t="inlineStr">
        <is>
          <t>Principal and Co-Founder</t>
        </is>
      </c>
      <c r="D247" s="7" t="inlineStr">
        <is>
          <t>Off deck, screened out</t>
        </is>
      </c>
      <c r="E247" s="8" t="n">
        <v>1</v>
      </c>
      <c r="F247" s="6" t="inlineStr">
        <is>
          <t>Buys walls</t>
        </is>
      </c>
      <c r="G247" s="6" t="inlineStr">
        <is>
          <t>Houston HQ / Fort Bend, Harris</t>
        </is>
      </c>
      <c r="H247" s="6" t="inlineStr">
        <is>
          <t>36 freestanding ER centres, 100+ build-to-suit</t>
        </is>
      </c>
      <c r="I247" s="8" t="inlineStr">
        <is>
          <t>Yes</t>
        </is>
      </c>
      <c r="J247" s="9" t="inlineStr"/>
      <c r="K247" s="8" t="inlineStr">
        <is>
          <t>No</t>
        </is>
      </c>
      <c r="L247" s="9" t="inlineStr"/>
      <c r="M247" s="8" t="inlineStr">
        <is>
          <t>No</t>
        </is>
      </c>
      <c r="N247" s="9" t="inlineStr"/>
      <c r="O247" s="8" t="inlineStr">
        <is>
          <t>No</t>
        </is>
      </c>
      <c r="P247" s="10" t="inlineStr"/>
      <c r="Q247" s="6">
        <f>HYPERLINK("https://www.linkedin.com/search/results/people/?keywords=Jeff%20Read%20Read%20King","search")</f>
        <v/>
      </c>
      <c r="R247" s="11">
        <f>IF(P247="","ADD LINKEDIN","ok")</f>
        <v/>
      </c>
      <c r="S247" s="6" t="inlineStr">
        <is>
          <t>https://read-king.com/</t>
        </is>
      </c>
      <c r="T247" s="9" t="inlineStr">
        <is>
          <t>36 freestanding emergency centres and over 100 build-to-suits, the most repeated small-commercial format screened.</t>
        </is>
      </c>
      <c r="U247" s="9" t="inlineStr">
        <is>
          <t>Individual project square footages and dates not itemised. | No capital signal with a figure. | No innovation-appetite evidence located.</t>
        </is>
      </c>
      <c r="V247" s="6" t="inlineStr"/>
      <c r="W247" s="9" t="inlineStr">
        <is>
          <t>Principal.</t>
        </is>
      </c>
      <c r="X247" s="6" t="inlineStr">
        <is>
          <t>https://www.read-king.com/team</t>
        </is>
      </c>
      <c r="Y247" s="6" t="inlineStr">
        <is>
          <t>https://www.linkedin.com/company/read-king-inc-</t>
        </is>
      </c>
      <c r="Z247" s="6" t="inlineStr">
        <is>
          <t>https://www.read-king.com/team</t>
        </is>
      </c>
    </row>
    <row r="248">
      <c r="A248" s="12" t="inlineStr">
        <is>
          <t>Ewing King</t>
        </is>
      </c>
      <c r="B248" s="12" t="inlineStr">
        <is>
          <t>Read King</t>
        </is>
      </c>
      <c r="C248" s="12" t="inlineStr">
        <is>
          <t>Principal</t>
        </is>
      </c>
      <c r="D248" s="13" t="inlineStr">
        <is>
          <t>Off deck, screened out</t>
        </is>
      </c>
      <c r="E248" s="14" t="n">
        <v>1</v>
      </c>
      <c r="F248" s="12" t="inlineStr">
        <is>
          <t>Buys walls</t>
        </is>
      </c>
      <c r="G248" s="12" t="inlineStr">
        <is>
          <t>Houston HQ / Fort Bend, Harris</t>
        </is>
      </c>
      <c r="H248" s="12" t="inlineStr">
        <is>
          <t>36 freestanding ER centres, 100+ build-to-suit</t>
        </is>
      </c>
      <c r="I248" s="14" t="inlineStr">
        <is>
          <t>Yes</t>
        </is>
      </c>
      <c r="J248" s="15" t="inlineStr"/>
      <c r="K248" s="14" t="inlineStr">
        <is>
          <t>No</t>
        </is>
      </c>
      <c r="L248" s="15" t="inlineStr"/>
      <c r="M248" s="14" t="inlineStr">
        <is>
          <t>No</t>
        </is>
      </c>
      <c r="N248" s="15" t="inlineStr"/>
      <c r="O248" s="14" t="inlineStr">
        <is>
          <t>No</t>
        </is>
      </c>
      <c r="P248" s="10" t="inlineStr"/>
      <c r="Q248" s="12">
        <f>HYPERLINK("https://www.linkedin.com/search/results/people/?keywords=Ewing%20King%20Read%20King","search")</f>
        <v/>
      </c>
      <c r="R248" s="16">
        <f>IF(P248="","ADD LINKEDIN","ok")</f>
        <v/>
      </c>
      <c r="S248" s="12" t="inlineStr">
        <is>
          <t>https://read-king.com/</t>
        </is>
      </c>
      <c r="T248" s="15" t="inlineStr">
        <is>
          <t>36 freestanding emergency centres and over 100 build-to-suits, the most repeated small-commercial format screened.</t>
        </is>
      </c>
      <c r="U248" s="15" t="inlineStr">
        <is>
          <t>Individual project square footages and dates not itemised. | No capital signal with a figure. | No innovation-appetite evidence located.</t>
        </is>
      </c>
      <c r="V248" s="12" t="inlineStr"/>
      <c r="W248" s="15" t="inlineStr">
        <is>
          <t>Principal.</t>
        </is>
      </c>
      <c r="X248" s="12" t="inlineStr">
        <is>
          <t>https://www.read-king.com/team</t>
        </is>
      </c>
      <c r="Y248" s="12" t="inlineStr">
        <is>
          <t>https://www.linkedin.com/company/read-king-inc-</t>
        </is>
      </c>
      <c r="Z248" s="12" t="inlineStr">
        <is>
          <t>https://www.read-king.com/team</t>
        </is>
      </c>
    </row>
    <row r="249">
      <c r="A249" s="6" t="inlineStr">
        <is>
          <t>Blake Allen</t>
        </is>
      </c>
      <c r="B249" s="6" t="inlineStr">
        <is>
          <t>Read King</t>
        </is>
      </c>
      <c r="C249" s="6" t="inlineStr">
        <is>
          <t>Chief Financial Officer</t>
        </is>
      </c>
      <c r="D249" s="7" t="inlineStr">
        <is>
          <t>Off deck, screened out</t>
        </is>
      </c>
      <c r="E249" s="8" t="n">
        <v>1</v>
      </c>
      <c r="F249" s="6" t="inlineStr">
        <is>
          <t>Buys walls</t>
        </is>
      </c>
      <c r="G249" s="6" t="inlineStr">
        <is>
          <t>Houston HQ / Fort Bend, Harris</t>
        </is>
      </c>
      <c r="H249" s="6" t="inlineStr">
        <is>
          <t>36 freestanding ER centres, 100+ build-to-suit</t>
        </is>
      </c>
      <c r="I249" s="8" t="inlineStr">
        <is>
          <t>Yes</t>
        </is>
      </c>
      <c r="J249" s="9" t="inlineStr"/>
      <c r="K249" s="8" t="inlineStr">
        <is>
          <t>No</t>
        </is>
      </c>
      <c r="L249" s="9" t="inlineStr"/>
      <c r="M249" s="8" t="inlineStr">
        <is>
          <t>No</t>
        </is>
      </c>
      <c r="N249" s="9" t="inlineStr"/>
      <c r="O249" s="8" t="inlineStr">
        <is>
          <t>No</t>
        </is>
      </c>
      <c r="P249" s="10" t="inlineStr"/>
      <c r="Q249" s="6">
        <f>HYPERLINK("https://www.linkedin.com/search/results/people/?keywords=Blake%20Allen%20Read%20King","search")</f>
        <v/>
      </c>
      <c r="R249" s="11">
        <f>IF(P249="","ADD LINKEDIN","ok")</f>
        <v/>
      </c>
      <c r="S249" s="6" t="inlineStr">
        <is>
          <t>https://read-king.com/</t>
        </is>
      </c>
      <c r="T249" s="9" t="inlineStr">
        <is>
          <t>36 freestanding emergency centres and over 100 build-to-suits, the most repeated small-commercial format screened.</t>
        </is>
      </c>
      <c r="U249" s="9" t="inlineStr">
        <is>
          <t>Individual project square footages and dates not itemised. | No capital signal with a figure. | No innovation-appetite evidence located.</t>
        </is>
      </c>
      <c r="V249" s="6" t="inlineStr"/>
      <c r="W249" s="9" t="inlineStr">
        <is>
          <t>Chief Financial Officer.</t>
        </is>
      </c>
      <c r="X249" s="6" t="inlineStr">
        <is>
          <t>https://www.read-king.com/team</t>
        </is>
      </c>
      <c r="Y249" s="6" t="inlineStr">
        <is>
          <t>https://www.linkedin.com/company/read-king-inc-</t>
        </is>
      </c>
      <c r="Z249" s="6" t="inlineStr">
        <is>
          <t>https://www.read-king.com/team</t>
        </is>
      </c>
    </row>
    <row r="250">
      <c r="A250" s="12" t="inlineStr">
        <is>
          <t>Telisia Amaning</t>
        </is>
      </c>
      <c r="B250" s="12" t="inlineStr">
        <is>
          <t>Read King</t>
        </is>
      </c>
      <c r="C250" s="12" t="inlineStr">
        <is>
          <t>Chief Operating Officer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6" t="inlineStr">
        <is>
          <t>https://www.linkedin.com/in/telisiaamaning/</t>
        </is>
      </c>
      <c r="Q250" s="12" t="inlineStr"/>
      <c r="R250" s="16">
        <f>IF(P250="","ADD LINKEDIN","ok")</f>
        <v/>
      </c>
      <c r="S250" s="12" t="inlineStr">
        <is>
          <t>https://read-king.com/</t>
        </is>
      </c>
      <c r="T250" s="15" t="inlineStr">
        <is>
          <t>36 freestanding emergency centres and over 100 build-to-suits, the most repeated small-commercial format screened.</t>
        </is>
      </c>
      <c r="U250" s="15" t="inlineStr">
        <is>
          <t>Individual project square footages and dates not itemised. | No capital signal with a figure. | No innovation-appetite evidence located.</t>
        </is>
      </c>
      <c r="V250" s="12" t="inlineStr"/>
      <c r="W250" s="15" t="inlineStr">
        <is>
          <t>Chief Operating Officer, READ KING. Houston, Texas.</t>
        </is>
      </c>
      <c r="X250" s="12" t="inlineStr"/>
      <c r="Y250" s="12" t="inlineStr">
        <is>
          <t>https://www.linkedin.com/company/read-king-inc-</t>
        </is>
      </c>
      <c r="Z250" s="12" t="inlineStr">
        <is>
          <t>https://www.read-king.com/team</t>
        </is>
      </c>
    </row>
    <row r="251">
      <c r="A251" s="6" t="inlineStr">
        <is>
          <t>Alex Jessett</t>
        </is>
      </c>
      <c r="B251" s="6" t="inlineStr">
        <is>
          <t>Camden Property Trust</t>
        </is>
      </c>
      <c r="C251" s="6" t="inlineStr">
        <is>
          <t>Chief Executive Officer</t>
        </is>
      </c>
      <c r="D251" s="7" t="inlineStr">
        <is>
          <t>Off deck, screened out</t>
        </is>
      </c>
      <c r="E251" s="8" t="n">
        <v>1</v>
      </c>
      <c r="F251" s="6" t="inlineStr">
        <is>
          <t>Buys walls</t>
        </is>
      </c>
      <c r="G251" s="6" t="inlineStr">
        <is>
          <t>Houston HQ / Fort Bend, Montgomery</t>
        </is>
      </c>
      <c r="H251" s="6" t="inlineStr">
        <is>
          <t>$155M into 389 BTR homes</t>
        </is>
      </c>
      <c r="I251" s="8" t="inlineStr">
        <is>
          <t>Partly</t>
        </is>
      </c>
      <c r="J251" s="9" t="inlineStr"/>
      <c r="K251" s="8" t="inlineStr">
        <is>
          <t>No</t>
        </is>
      </c>
      <c r="L251" s="9" t="inlineStr"/>
      <c r="M251" s="8" t="inlineStr">
        <is>
          <t>No</t>
        </is>
      </c>
      <c r="N251" s="9" t="inlineStr"/>
      <c r="O251" s="8" t="inlineStr">
        <is>
          <t>Yes</t>
        </is>
      </c>
      <c r="P251" s="10" t="inlineStr"/>
      <c r="Q251" s="6">
        <f>HYPERLINK("https://www.linkedin.com/search/results/people/?keywords=Alex%20Jessett%20Camden%20Property%20Trust","search")</f>
        <v/>
      </c>
      <c r="R251" s="11">
        <f>IF(P251="","ADD LINKEDIN","ok")</f>
        <v/>
      </c>
      <c r="S251" s="6" t="inlineStr">
        <is>
          <t>https://www.camdenliving.com/</t>
        </is>
      </c>
      <c r="T251" s="9" t="inlineStr">
        <is>
          <t>$155M into 389 build-to-rent homes, Houston HQ, holds long term. Figures date to 2022.</t>
        </is>
      </c>
      <c r="U251" s="9" t="inlineStr">
        <is>
          <t>Build-to-rent capital figures date to December 2022. Camden 10-K and 10-Q filings not pulled in this pass and almost certainly itemise further Houston development starts. | No innovation-appetite evidence located.</t>
        </is>
      </c>
      <c r="V251" s="6" t="inlineStr"/>
      <c r="W251" s="9" t="inlineStr">
        <is>
          <t>Chief Executive Officer, previously President and Chief Financial Officer, at Camden since 1999.</t>
        </is>
      </c>
      <c r="X251" s="6" t="inlineStr">
        <is>
          <t>https://investors.camdenliving.com/investors/governance/board-of-directors/default.aspx</t>
        </is>
      </c>
      <c r="Y251" s="6" t="inlineStr">
        <is>
          <t>https://www.linkedin.com/company/camden-property-trust</t>
        </is>
      </c>
      <c r="Z251" s="6" t="inlineStr">
        <is>
          <t>https://investors.camdenliving.com/investors/governance/board-of-directors/default.aspx</t>
        </is>
      </c>
    </row>
    <row r="252">
      <c r="A252" s="12" t="inlineStr">
        <is>
          <t>Richard J. Campo</t>
        </is>
      </c>
      <c r="B252" s="12" t="inlineStr">
        <is>
          <t>Camden Property Trust</t>
        </is>
      </c>
      <c r="C252" s="12" t="inlineStr">
        <is>
          <t>Executive Chairman of the Board of Trust Managers</t>
        </is>
      </c>
      <c r="D252" s="13" t="inlineStr">
        <is>
          <t>Off deck, screened out</t>
        </is>
      </c>
      <c r="E252" s="14" t="n">
        <v>1</v>
      </c>
      <c r="F252" s="12" t="inlineStr">
        <is>
          <t>Buys walls</t>
        </is>
      </c>
      <c r="G252" s="12" t="inlineStr">
        <is>
          <t>Houston HQ / Fort Bend, Montgomery</t>
        </is>
      </c>
      <c r="H252" s="12" t="inlineStr">
        <is>
          <t>$155M into 389 BTR homes</t>
        </is>
      </c>
      <c r="I252" s="14" t="inlineStr">
        <is>
          <t>Partly</t>
        </is>
      </c>
      <c r="J252" s="15" t="inlineStr"/>
      <c r="K252" s="14" t="inlineStr">
        <is>
          <t>No</t>
        </is>
      </c>
      <c r="L252" s="15" t="inlineStr"/>
      <c r="M252" s="14" t="inlineStr">
        <is>
          <t>No</t>
        </is>
      </c>
      <c r="N252" s="15" t="inlineStr"/>
      <c r="O252" s="14" t="inlineStr">
        <is>
          <t>Yes</t>
        </is>
      </c>
      <c r="P252" s="10" t="inlineStr"/>
      <c r="Q252" s="12">
        <f>HYPERLINK("https://www.linkedin.com/search/results/people/?keywords=Richard%20J.%20Campo%20Camden%20Property%20Trust","search")</f>
        <v/>
      </c>
      <c r="R252" s="16">
        <f>IF(P252="","ADD LINKEDIN","ok")</f>
        <v/>
      </c>
      <c r="S252" s="12" t="inlineStr">
        <is>
          <t>https://www.camdenliving.com/</t>
        </is>
      </c>
      <c r="T252" s="15" t="inlineStr">
        <is>
          <t>$155M into 389 build-to-rent homes, Houston HQ, holds long term. Figures date to 2022.</t>
        </is>
      </c>
      <c r="U252" s="15" t="inlineStr">
        <is>
          <t>Build-to-rent capital figures date to December 2022. Camden 10-K and 10-Q filings not pulled in this pass and almost certainly itemise further Houston development starts. | No innovation-appetite evidence located.</t>
        </is>
      </c>
      <c r="V252" s="12" t="inlineStr"/>
      <c r="W252" s="15" t="inlineStr">
        <is>
          <t>Executive Chairman, chief executive from the 1993 listing until 2026.</t>
        </is>
      </c>
      <c r="X252" s="12" t="inlineStr">
        <is>
          <t>https://investors.camdenliving.com/investors/governance/board-of-directors/default.aspx</t>
        </is>
      </c>
      <c r="Y252" s="12" t="inlineStr">
        <is>
          <t>https://www.linkedin.com/company/camden-property-trust</t>
        </is>
      </c>
      <c r="Z252" s="12" t="inlineStr">
        <is>
          <t>https://investors.camdenliving.com/investors/governance/board-of-directors/default.aspx</t>
        </is>
      </c>
    </row>
    <row r="253">
      <c r="A253" s="6" t="inlineStr">
        <is>
          <t>Michael Eilertsen</t>
        </is>
      </c>
      <c r="B253" s="6" t="inlineStr">
        <is>
          <t>Camden Property Trust</t>
        </is>
      </c>
      <c r="C253" s="6" t="inlineStr">
        <is>
          <t>Vice President of Construction, Camden Property Trust</t>
        </is>
      </c>
      <c r="D253" s="7" t="inlineStr">
        <is>
          <t>Off deck, screened out</t>
        </is>
      </c>
      <c r="E253" s="8" t="n">
        <v>1</v>
      </c>
      <c r="F253" s="6" t="inlineStr">
        <is>
          <t>Buys walls</t>
        </is>
      </c>
      <c r="G253" s="6" t="inlineStr">
        <is>
          <t>Houston HQ / Fort Bend, Montgomery</t>
        </is>
      </c>
      <c r="H253" s="6" t="inlineStr">
        <is>
          <t>$155M into 389 BTR homes</t>
        </is>
      </c>
      <c r="I253" s="8" t="inlineStr">
        <is>
          <t>Partly</t>
        </is>
      </c>
      <c r="J253" s="9" t="inlineStr"/>
      <c r="K253" s="8" t="inlineStr">
        <is>
          <t>No</t>
        </is>
      </c>
      <c r="L253" s="9" t="inlineStr"/>
      <c r="M253" s="8" t="inlineStr">
        <is>
          <t>No</t>
        </is>
      </c>
      <c r="N253" s="9" t="inlineStr"/>
      <c r="O253" s="8" t="inlineStr">
        <is>
          <t>Yes</t>
        </is>
      </c>
      <c r="P253" s="6" t="inlineStr">
        <is>
          <t>https://www.linkedin.com/in/michael-eilertsen-68a59911/</t>
        </is>
      </c>
      <c r="Q253" s="6" t="inlineStr"/>
      <c r="R253" s="11">
        <f>IF(P253="","ADD LINKEDIN","ok")</f>
        <v/>
      </c>
      <c r="S253" s="6" t="inlineStr">
        <is>
          <t>https://www.camdenliving.com/</t>
        </is>
      </c>
      <c r="T253" s="9" t="inlineStr">
        <is>
          <t>$155M into 389 build-to-rent homes, Houston HQ, holds long term. Figures date to 2022.</t>
        </is>
      </c>
      <c r="U253" s="9" t="inlineStr">
        <is>
          <t>Build-to-rent capital figures date to December 2022. Camden 10-K and 10-Q filings not pulled in this pass and almost certainly itemise further Houston development starts. | No innovation-appetite evidence located.</t>
        </is>
      </c>
      <c r="V253" s="6" t="inlineStr">
        <is>
          <t>YES</t>
        </is>
      </c>
      <c r="W253" s="9" t="inlineStr">
        <is>
          <t>Vice President Of Construction at Camden Property Trust. Houston, Texas.</t>
        </is>
      </c>
      <c r="X253" s="6" t="inlineStr"/>
      <c r="Y253" s="6" t="inlineStr">
        <is>
          <t>https://www.linkedin.com/company/camden-property-trust</t>
        </is>
      </c>
      <c r="Z253" s="6" t="inlineStr">
        <is>
          <t>https://investors.camdenliving.com/investors/governance/board-of-directors/default.aspx</t>
        </is>
      </c>
    </row>
    <row r="254">
      <c r="A254" s="12" t="inlineStr">
        <is>
          <t>Bob Faith</t>
        </is>
      </c>
      <c r="B254" s="12" t="inlineStr">
        <is>
          <t>Greystar (Summerwell)</t>
        </is>
      </c>
      <c r="C254" s="12" t="inlineStr">
        <is>
          <t>Founder, Chairman and Chief Executive Officer</t>
        </is>
      </c>
      <c r="D254" s="13" t="inlineStr">
        <is>
          <t>Off deck, screened out</t>
        </is>
      </c>
      <c r="E254" s="14" t="n">
        <v>1</v>
      </c>
      <c r="F254" s="12" t="inlineStr">
        <is>
          <t>Buys walls</t>
        </is>
      </c>
      <c r="G254" s="12" t="inlineStr">
        <is>
          <t>Charleston HQ / Katy, Harris-Waller</t>
        </is>
      </c>
      <c r="H254" s="12" t="inlineStr">
        <is>
          <t>Summerwell: 10,000+ homes, 50 properties</t>
        </is>
      </c>
      <c r="I254" s="14" t="inlineStr">
        <is>
          <t>Partly</t>
        </is>
      </c>
      <c r="J254" s="15" t="inlineStr"/>
      <c r="K254" s="14" t="inlineStr">
        <is>
          <t>No</t>
        </is>
      </c>
      <c r="L254" s="15" t="inlineStr"/>
      <c r="M254" s="14" t="inlineStr">
        <is>
          <t>No</t>
        </is>
      </c>
      <c r="N254" s="15" t="inlineStr"/>
      <c r="O254" s="14" t="inlineStr">
        <is>
          <t>Yes</t>
        </is>
      </c>
      <c r="P254" s="10" t="inlineStr"/>
      <c r="Q254" s="12">
        <f>HYPERLINK("https://www.linkedin.com/search/results/people/?keywords=Bob%20Faith%20Greystar","search")</f>
        <v/>
      </c>
      <c r="R254" s="16">
        <f>IF(P254="","ADD LINKEDIN","ok")</f>
        <v/>
      </c>
      <c r="S254" s="12" t="inlineStr">
        <is>
          <t>https://www.greystar.com/</t>
        </is>
      </c>
      <c r="T254" s="15" t="inlineStr">
        <is>
          <t>156 units inside Sunterra, a Houston-based development director, and a 10,000-home national brand. Costs withheld.</t>
        </is>
      </c>
      <c r="U254"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54" s="12" t="inlineStr"/>
      <c r="W254" s="15" t="inlineStr">
        <is>
          <t>Founder, Chairman and Chief Executive Officer on Greystar's own bio page.</t>
        </is>
      </c>
      <c r="X254" s="12" t="inlineStr">
        <is>
          <t>https://www.greystar.com/contact-us/our-people/bob-faith</t>
        </is>
      </c>
      <c r="Y254" s="12" t="inlineStr">
        <is>
          <t>https://www.linkedin.com/company/greystar</t>
        </is>
      </c>
      <c r="Z254" s="12" t="inlineStr">
        <is>
          <t>https://www.greystar.com/business/about-greystar/our-leadership</t>
        </is>
      </c>
    </row>
    <row r="255">
      <c r="A255" s="6" t="inlineStr">
        <is>
          <t>Brian Herwald</t>
        </is>
      </c>
      <c r="B255" s="6" t="inlineStr">
        <is>
          <t>Greystar (Summerwell)</t>
        </is>
      </c>
      <c r="C255" s="6" t="inlineStr">
        <is>
          <t>Managing Director of Development, Houston</t>
        </is>
      </c>
      <c r="D255" s="7" t="inlineStr">
        <is>
          <t>Off deck, screened out</t>
        </is>
      </c>
      <c r="E255" s="8" t="n">
        <v>1</v>
      </c>
      <c r="F255" s="6" t="inlineStr">
        <is>
          <t>Buys walls</t>
        </is>
      </c>
      <c r="G255" s="6" t="inlineStr">
        <is>
          <t>Charleston HQ / Katy, Harris-Waller</t>
        </is>
      </c>
      <c r="H255" s="6" t="inlineStr">
        <is>
          <t>Summerwell: 10,000+ homes, 50 properties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HYPERLINK("https://www.linkedin.com/search/results/people/?keywords=Brian%20Herwald%20Greystar","search")</f>
        <v/>
      </c>
      <c r="R255" s="11">
        <f>IF(P255="","ADD LINKEDIN","ok")</f>
        <v/>
      </c>
      <c r="S255" s="6" t="inlineStr">
        <is>
          <t>https://www.greystar.com/</t>
        </is>
      </c>
      <c r="T255" s="9" t="inlineStr">
        <is>
          <t>156 units inside Sunterra, a Houston-based development director, and a 10,000-home national brand. Costs withheld.</t>
        </is>
      </c>
      <c r="U255"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55" s="6" t="inlineStr"/>
      <c r="W255" s="9" t="inlineStr">
        <is>
          <t>Managing Director of Development, quoted on Greystar's first Houston logistics project.</t>
        </is>
      </c>
      <c r="X255" s="6" t="inlineStr">
        <is>
          <t>https://www.greystar.com/business/about-greystar/newsroom/greystar-completes-first-logistics-project-in-houston</t>
        </is>
      </c>
      <c r="Y255" s="6" t="inlineStr">
        <is>
          <t>https://www.linkedin.com/company/greystar</t>
        </is>
      </c>
      <c r="Z255" s="6" t="inlineStr">
        <is>
          <t>https://www.greystar.com/business/about-greystar/our-leadership</t>
        </is>
      </c>
    </row>
    <row r="256">
      <c r="A256" s="12" t="inlineStr">
        <is>
          <t>Brian Dinerstein</t>
        </is>
      </c>
      <c r="B256" s="12" t="inlineStr">
        <is>
          <t>The Dinerstein Companies</t>
        </is>
      </c>
      <c r="C256" s="12" t="inlineStr">
        <is>
          <t>Chief Executive Officer</t>
        </is>
      </c>
      <c r="D256" s="13" t="inlineStr">
        <is>
          <t>Off deck, screened out</t>
        </is>
      </c>
      <c r="E256" s="14" t="n">
        <v>1</v>
      </c>
      <c r="F256" s="12" t="inlineStr">
        <is>
          <t>Buys walls</t>
        </is>
      </c>
      <c r="G256" s="12" t="inlineStr">
        <is>
          <t>Houston HQ / Fort Bend</t>
        </is>
      </c>
      <c r="H256" s="12" t="inlineStr">
        <is>
          <t>186 BTR homes, Harrison Street JV</t>
        </is>
      </c>
      <c r="I256" s="14" t="inlineStr">
        <is>
          <t>Partly</t>
        </is>
      </c>
      <c r="J256" s="15" t="inlineStr"/>
      <c r="K256" s="14" t="inlineStr">
        <is>
          <t>No</t>
        </is>
      </c>
      <c r="L256" s="15" t="inlineStr"/>
      <c r="M256" s="14" t="inlineStr">
        <is>
          <t>No</t>
        </is>
      </c>
      <c r="N256" s="15" t="inlineStr"/>
      <c r="O256" s="14" t="inlineStr">
        <is>
          <t>Yes</t>
        </is>
      </c>
      <c r="P256" s="10" t="inlineStr"/>
      <c r="Q256" s="12">
        <f>HYPERLINK("https://www.linkedin.com/search/results/people/?keywords=Brian%20Dinerstein%20The%20Dinerstein%20Companies","search")</f>
        <v/>
      </c>
      <c r="R256" s="16">
        <f>IF(P256="","ADD LINKEDIN","ok")</f>
        <v/>
      </c>
      <c r="S256" s="12" t="inlineStr">
        <is>
          <t>https://www.dinersteincos.com/</t>
        </is>
      </c>
      <c r="T256" s="15" t="inlineStr">
        <is>
          <t>186 build-to-rent homes with Harrison Street and 70 years in Houston. Launch coverage is amenities only.</t>
        </is>
      </c>
      <c r="U256"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56" s="12" t="inlineStr"/>
      <c r="W256" s="15" t="inlineStr">
        <is>
          <t>The firm's own bio page. Chief Executive Officer of a developer and operator with $4.3 billion under management.</t>
        </is>
      </c>
      <c r="X256" s="12" t="inlineStr">
        <is>
          <t>https://www.dinersteincos.com/team/brian-dinerstein</t>
        </is>
      </c>
      <c r="Y256" s="12" t="inlineStr">
        <is>
          <t>https://www.linkedin.com/company/the-dinerstein-companies/</t>
        </is>
      </c>
      <c r="Z256" s="12" t="inlineStr">
        <is>
          <t>https://www.dinersteincos.com/about-us</t>
        </is>
      </c>
    </row>
    <row r="257">
      <c r="A257" s="6" t="inlineStr">
        <is>
          <t>Jack Dinerstein</t>
        </is>
      </c>
      <c r="B257" s="6" t="inlineStr">
        <is>
          <t>The Dinerstein Companies</t>
        </is>
      </c>
      <c r="C257" s="6" t="inlineStr">
        <is>
          <t>Executive Chairman</t>
        </is>
      </c>
      <c r="D257" s="7" t="inlineStr">
        <is>
          <t>Off deck, screened out</t>
        </is>
      </c>
      <c r="E257" s="8" t="n">
        <v>1</v>
      </c>
      <c r="F257" s="6" t="inlineStr">
        <is>
          <t>Buys walls</t>
        </is>
      </c>
      <c r="G257" s="6" t="inlineStr">
        <is>
          <t>Houston HQ / Fort Bend</t>
        </is>
      </c>
      <c r="H257" s="6" t="inlineStr">
        <is>
          <t>186 BTR homes, Harrison Street JV</t>
        </is>
      </c>
      <c r="I257" s="8" t="inlineStr">
        <is>
          <t>Partly</t>
        </is>
      </c>
      <c r="J257" s="9" t="inlineStr"/>
      <c r="K257" s="8" t="inlineStr">
        <is>
          <t>No</t>
        </is>
      </c>
      <c r="L257" s="9" t="inlineStr"/>
      <c r="M257" s="8" t="inlineStr">
        <is>
          <t>No</t>
        </is>
      </c>
      <c r="N257" s="9" t="inlineStr"/>
      <c r="O257" s="8" t="inlineStr">
        <is>
          <t>Yes</t>
        </is>
      </c>
      <c r="P257" s="6" t="inlineStr">
        <is>
          <t>https://www.linkedin.com/in/jack-dinerstein-4215073/</t>
        </is>
      </c>
      <c r="Q257" s="6" t="inlineStr"/>
      <c r="R257" s="11">
        <f>IF(P257="","ADD LINKEDIN","ok")</f>
        <v/>
      </c>
      <c r="S257" s="6" t="inlineStr">
        <is>
          <t>https://www.dinersteincos.com/</t>
        </is>
      </c>
      <c r="T257" s="9" t="inlineStr">
        <is>
          <t>186 build-to-rent homes with Harrison Street and 70 years in Houston. Launch coverage is amenities only.</t>
        </is>
      </c>
      <c r="U257"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57" s="6" t="inlineStr"/>
      <c r="W257" s="9" t="inlineStr">
        <is>
          <t>Owner, Dinerstein Companies. Houston, Texas.</t>
        </is>
      </c>
      <c r="X257" s="6" t="inlineStr"/>
      <c r="Y257" s="6" t="inlineStr">
        <is>
          <t>https://www.linkedin.com/company/the-dinerstein-companies/</t>
        </is>
      </c>
      <c r="Z257" s="6" t="inlineStr">
        <is>
          <t>https://www.dinersteincos.com/about-us</t>
        </is>
      </c>
    </row>
    <row r="258">
      <c r="A258" s="12" t="inlineStr">
        <is>
          <t>Brad Dinerstein</t>
        </is>
      </c>
      <c r="B258" s="12" t="inlineStr">
        <is>
          <t>The Dinerstein Companies</t>
        </is>
      </c>
      <c r="C258" s="12" t="inlineStr">
        <is>
          <t>Managing Partner of Development and Design</t>
        </is>
      </c>
      <c r="D258" s="13" t="inlineStr">
        <is>
          <t>Off deck, screened out</t>
        </is>
      </c>
      <c r="E258" s="14" t="n">
        <v>1</v>
      </c>
      <c r="F258" s="12" t="inlineStr">
        <is>
          <t>Buys walls</t>
        </is>
      </c>
      <c r="G258" s="12" t="inlineStr">
        <is>
          <t>Houston HQ / Fort Bend</t>
        </is>
      </c>
      <c r="H258" s="12" t="inlineStr">
        <is>
          <t>186 BTR homes, Harrison Street JV</t>
        </is>
      </c>
      <c r="I258" s="14" t="inlineStr">
        <is>
          <t>Partly</t>
        </is>
      </c>
      <c r="J258" s="15" t="inlineStr"/>
      <c r="K258" s="14" t="inlineStr">
        <is>
          <t>No</t>
        </is>
      </c>
      <c r="L258" s="15" t="inlineStr"/>
      <c r="M258" s="14" t="inlineStr">
        <is>
          <t>No</t>
        </is>
      </c>
      <c r="N258" s="15" t="inlineStr"/>
      <c r="O258" s="14" t="inlineStr">
        <is>
          <t>Yes</t>
        </is>
      </c>
      <c r="P258" s="10" t="inlineStr"/>
      <c r="Q258" s="12">
        <f>HYPERLINK("https://www.linkedin.com/search/results/people/?keywords=Brad%20Dinerstein%20The%20Dinerstein%20Companies","search")</f>
        <v/>
      </c>
      <c r="R258" s="16">
        <f>IF(P258="","ADD LINKEDIN","ok")</f>
        <v/>
      </c>
      <c r="S258" s="12" t="inlineStr">
        <is>
          <t>https://www.dinersteincos.com/</t>
        </is>
      </c>
      <c r="T258" s="15" t="inlineStr">
        <is>
          <t>186 build-to-rent homes with Harrison Street and 70 years in Houston. Launch coverage is amenities only.</t>
        </is>
      </c>
      <c r="U258"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58" s="12" t="inlineStr"/>
      <c r="W258" s="15" t="inlineStr">
        <is>
          <t>Managing Partner of Development and Design.</t>
        </is>
      </c>
      <c r="X258" s="12" t="inlineStr">
        <is>
          <t>https://www.dinersteincos.com/about-us</t>
        </is>
      </c>
      <c r="Y258" s="12" t="inlineStr">
        <is>
          <t>https://www.linkedin.com/company/the-dinerstein-companies/</t>
        </is>
      </c>
      <c r="Z258" s="12" t="inlineStr">
        <is>
          <t>https://www.dinersteincos.com/about-us</t>
        </is>
      </c>
    </row>
    <row r="259">
      <c r="A259" s="6" t="inlineStr">
        <is>
          <t>John Caltagirone</t>
        </is>
      </c>
      <c r="B259" s="6" t="inlineStr">
        <is>
          <t>The Dinerstein Companies</t>
        </is>
      </c>
      <c r="C259" s="6" t="inlineStr">
        <is>
          <t>President and Partner</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HYPERLINK("https://www.linkedin.com/search/results/people/?keywords=John%20Caltagirone%20The%20Dinerstein%20Companies","search")</f>
        <v/>
      </c>
      <c r="R259" s="11">
        <f>IF(P259="","ADD LINKEDIN","ok")</f>
        <v/>
      </c>
      <c r="S259" s="6" t="inlineStr">
        <is>
          <t>https://www.dinersteincos.com/</t>
        </is>
      </c>
      <c r="T259" s="9" t="inlineStr">
        <is>
          <t>186 build-to-rent homes with Harrison Street and 70 years in Houston. Launch coverage is amenities only.</t>
        </is>
      </c>
      <c r="U259"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59" s="6" t="inlineStr"/>
      <c r="W259" s="9" t="inlineStr">
        <is>
          <t>President and Partner.</t>
        </is>
      </c>
      <c r="X259" s="6" t="inlineStr">
        <is>
          <t>https://www.dinersteincos.com/about-us</t>
        </is>
      </c>
      <c r="Y259" s="6" t="inlineStr">
        <is>
          <t>https://www.linkedin.com/company/the-dinerstein-companies/</t>
        </is>
      </c>
      <c r="Z259" s="6" t="inlineStr">
        <is>
          <t>https://www.dinersteincos.com/about-us</t>
        </is>
      </c>
    </row>
    <row r="260">
      <c r="A260" s="12" t="inlineStr">
        <is>
          <t>Jason Baker</t>
        </is>
      </c>
      <c r="B260" s="12" t="inlineStr">
        <is>
          <t>Baker Katz</t>
        </is>
      </c>
      <c r="C260" s="12" t="inlineStr">
        <is>
          <t>Leads the tenant representation team, Baker Katz</t>
        </is>
      </c>
      <c r="D260" s="13" t="inlineStr">
        <is>
          <t>Off deck, screened out</t>
        </is>
      </c>
      <c r="E260" s="14" t="n">
        <v>1</v>
      </c>
      <c r="F260" s="12" t="inlineStr">
        <is>
          <t>Buys walls</t>
        </is>
      </c>
      <c r="G260" s="12" t="inlineStr">
        <is>
          <t>Houston / Harris, Galveston</t>
        </is>
      </c>
      <c r="H260" s="12" t="inlineStr"/>
      <c r="I260" s="14" t="inlineStr">
        <is>
          <t>Partly</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HYPERLINK("https://www.linkedin.com/search/results/people/?keywords=Jason%20Baker%20Baker%20Katz","search")</f>
        <v/>
      </c>
      <c r="R260" s="16">
        <f>IF(P260="","ADD LINKEDIN","ok")</f>
        <v/>
      </c>
      <c r="S260" s="12" t="inlineStr">
        <is>
          <t>https://bakerkatz.com/</t>
        </is>
      </c>
      <c r="T260" s="15" t="inlineStr">
        <is>
          <t>More than 80 retail projects, but recent Houston activity is buying existing centres rather than building.</t>
        </is>
      </c>
      <c r="U260" s="15" t="inlineStr"/>
      <c r="V260" s="12" t="inlineStr"/>
      <c r="W260" s="15" t="inlineStr">
        <is>
          <t>Leads the tenant representation team, with more than twenty-five years in Houston retail. The page carries bios without formal titles.</t>
        </is>
      </c>
      <c r="X260" s="12" t="inlineStr">
        <is>
          <t>https://bakerkatz.com/about-us/</t>
        </is>
      </c>
      <c r="Y260" s="12" t="inlineStr">
        <is>
          <t>https://www.linkedin.com/company/baker-katz</t>
        </is>
      </c>
      <c r="Z260" s="12" t="inlineStr">
        <is>
          <t>https://bakerkatz.com/about-us/</t>
        </is>
      </c>
    </row>
    <row r="261">
      <c r="A261" s="6" t="inlineStr">
        <is>
          <t>Kenneth Katz</t>
        </is>
      </c>
      <c r="B261" s="6" t="inlineStr">
        <is>
          <t>Baker Katz</t>
        </is>
      </c>
      <c r="C261" s="6" t="inlineStr">
        <is>
          <t>Leads the investment and development practice, Baker Katz</t>
        </is>
      </c>
      <c r="D261" s="7" t="inlineStr">
        <is>
          <t>Off deck, screened out</t>
        </is>
      </c>
      <c r="E261" s="8" t="n">
        <v>1</v>
      </c>
      <c r="F261" s="6" t="inlineStr">
        <is>
          <t>Buys walls</t>
        </is>
      </c>
      <c r="G261" s="6" t="inlineStr">
        <is>
          <t>Houston / Harris, Galveston</t>
        </is>
      </c>
      <c r="H261" s="6" t="inlineStr"/>
      <c r="I261" s="8" t="inlineStr">
        <is>
          <t>Partly</t>
        </is>
      </c>
      <c r="J261" s="9" t="inlineStr"/>
      <c r="K261" s="8" t="inlineStr">
        <is>
          <t>No</t>
        </is>
      </c>
      <c r="L261" s="9" t="inlineStr"/>
      <c r="M261" s="8" t="inlineStr">
        <is>
          <t>No</t>
        </is>
      </c>
      <c r="N261" s="9" t="inlineStr"/>
      <c r="O261" s="8" t="inlineStr">
        <is>
          <t>Partly</t>
        </is>
      </c>
      <c r="P261" s="10" t="inlineStr"/>
      <c r="Q261" s="6">
        <f>HYPERLINK("https://www.linkedin.com/search/results/people/?keywords=Kenneth%20Katz%20Baker%20Katz","search")</f>
        <v/>
      </c>
      <c r="R261" s="11">
        <f>IF(P261="","ADD LINKEDIN","ok")</f>
        <v/>
      </c>
      <c r="S261" s="6" t="inlineStr">
        <is>
          <t>https://bakerkatz.com/</t>
        </is>
      </c>
      <c r="T261" s="9" t="inlineStr">
        <is>
          <t>More than 80 retail projects, but recent Houston activity is buying existing centres rather than building.</t>
        </is>
      </c>
      <c r="U261" s="9" t="inlineStr"/>
      <c r="V261" s="6" t="inlineStr"/>
      <c r="W261" s="9" t="inlineStr">
        <is>
          <t>Leads the real estate investment and development practice, covering ground-up development and redevelopment.</t>
        </is>
      </c>
      <c r="X261" s="6" t="inlineStr">
        <is>
          <t>https://bakerkatz.com/about-us/</t>
        </is>
      </c>
      <c r="Y261" s="6" t="inlineStr">
        <is>
          <t>https://www.linkedin.com/company/baker-katz</t>
        </is>
      </c>
      <c r="Z261" s="6" t="inlineStr">
        <is>
          <t>https://bakerkatz.com/about-us/</t>
        </is>
      </c>
    </row>
    <row r="262">
      <c r="A262" s="12" t="inlineStr">
        <is>
          <t>Martin Mendoza</t>
        </is>
      </c>
      <c r="B262" s="12" t="inlineStr">
        <is>
          <t>Baker Katz</t>
        </is>
      </c>
      <c r="C262" s="12" t="inlineStr">
        <is>
          <t>Oversees design and construction, Baker Katz</t>
        </is>
      </c>
      <c r="D262" s="13" t="inlineStr">
        <is>
          <t>Off deck, screened out</t>
        </is>
      </c>
      <c r="E262" s="14" t="n">
        <v>1</v>
      </c>
      <c r="F262" s="12" t="inlineStr">
        <is>
          <t>Buys walls</t>
        </is>
      </c>
      <c r="G262" s="12" t="inlineStr">
        <is>
          <t>Houston / Harris, Galveston</t>
        </is>
      </c>
      <c r="H262" s="12" t="inlineStr"/>
      <c r="I262" s="14" t="inlineStr">
        <is>
          <t>Partly</t>
        </is>
      </c>
      <c r="J262" s="15" t="inlineStr"/>
      <c r="K262" s="14" t="inlineStr">
        <is>
          <t>No</t>
        </is>
      </c>
      <c r="L262" s="15" t="inlineStr"/>
      <c r="M262" s="14" t="inlineStr">
        <is>
          <t>No</t>
        </is>
      </c>
      <c r="N262" s="15" t="inlineStr"/>
      <c r="O262" s="14" t="inlineStr">
        <is>
          <t>Partly</t>
        </is>
      </c>
      <c r="P262" s="10" t="inlineStr"/>
      <c r="Q262" s="12">
        <f>HYPERLINK("https://www.linkedin.com/search/results/people/?keywords=Martin%20Mendoza%20Baker%20Katz","search")</f>
        <v/>
      </c>
      <c r="R262" s="16">
        <f>IF(P262="","ADD LINKEDIN","ok")</f>
        <v/>
      </c>
      <c r="S262" s="12" t="inlineStr">
        <is>
          <t>https://bakerkatz.com/</t>
        </is>
      </c>
      <c r="T262" s="15" t="inlineStr">
        <is>
          <t>More than 80 retail projects, but recent Houston activity is buying existing centres rather than building.</t>
        </is>
      </c>
      <c r="U262" s="15" t="inlineStr"/>
      <c r="V262" s="12" t="inlineStr">
        <is>
          <t>YES</t>
        </is>
      </c>
      <c r="W262" s="15" t="inlineStr">
        <is>
          <t>Joined in August 2024 responsible for overseeing design and construction phases. The page gives no title, so the function rather than the rank is what places him here.</t>
        </is>
      </c>
      <c r="X262" s="12" t="inlineStr">
        <is>
          <t>https://bakerkatz.com/about-us/</t>
        </is>
      </c>
      <c r="Y262" s="12" t="inlineStr">
        <is>
          <t>https://www.linkedin.com/company/baker-katz</t>
        </is>
      </c>
      <c r="Z262" s="12" t="inlineStr">
        <is>
          <t>https://bakerkatz.com/about-us/</t>
        </is>
      </c>
    </row>
    <row r="263">
      <c r="A263" s="6" t="inlineStr">
        <is>
          <t>Bob Sellingsloh</t>
        </is>
      </c>
      <c r="B263" s="6" t="inlineStr">
        <is>
          <t>Wulfe &amp; Co.</t>
        </is>
      </c>
      <c r="C263" s="6" t="inlineStr">
        <is>
          <t>President and Principal, Wulfe &amp; Co.</t>
        </is>
      </c>
      <c r="D263" s="7" t="inlineStr">
        <is>
          <t>Off deck, screened out</t>
        </is>
      </c>
      <c r="E263" s="8" t="n">
        <v>1</v>
      </c>
      <c r="F263" s="6" t="inlineStr">
        <is>
          <t>Buys walls</t>
        </is>
      </c>
      <c r="G263" s="6" t="inlineStr">
        <is>
          <t>Post Oak / Harris, Galveston</t>
        </is>
      </c>
      <c r="H263" s="6" t="inlineStr"/>
      <c r="I263" s="8" t="inlineStr">
        <is>
          <t>Partly</t>
        </is>
      </c>
      <c r="J263" s="9" t="inlineStr"/>
      <c r="K263" s="8" t="inlineStr">
        <is>
          <t>No</t>
        </is>
      </c>
      <c r="L263" s="9" t="inlineStr"/>
      <c r="M263" s="8" t="inlineStr">
        <is>
          <t>No</t>
        </is>
      </c>
      <c r="N263" s="9" t="inlineStr"/>
      <c r="O263" s="8" t="inlineStr">
        <is>
          <t>No</t>
        </is>
      </c>
      <c r="P263" s="10" t="inlineStr"/>
      <c r="Q263" s="6">
        <f>HYPERLINK("https://www.linkedin.com/search/results/people/?keywords=Bob%20Sellingsloh%20Wulfe%20%26%20Co.","search")</f>
        <v/>
      </c>
      <c r="R263" s="11">
        <f>IF(P263="","ADD LINKEDIN","ok")</f>
        <v/>
      </c>
      <c r="S263" s="6" t="inlineStr">
        <is>
          <t>https://www.wulfe.com/</t>
        </is>
      </c>
      <c r="T263" s="9" t="inlineStr">
        <is>
          <t>7.2M sf across nine centres. Current activity is leasing and management, not ground-up.</t>
        </is>
      </c>
      <c r="U263" s="9" t="inlineStr"/>
      <c r="V263" s="6" t="inlineStr"/>
      <c r="W263" s="9" t="inlineStr">
        <is>
          <t>President and Principal, listed first under leadership. Ed Wulfe no longer appears on the leadership page.</t>
        </is>
      </c>
      <c r="X263" s="6" t="inlineStr">
        <is>
          <t>https://www.wulfe.com/people</t>
        </is>
      </c>
      <c r="Y263" s="6" t="inlineStr">
        <is>
          <t>https://www.linkedin.com/company/wulfe</t>
        </is>
      </c>
      <c r="Z263" s="6" t="inlineStr">
        <is>
          <t>https://www.wulfe.com/people</t>
        </is>
      </c>
    </row>
    <row r="264">
      <c r="A264" s="12" t="inlineStr">
        <is>
          <t>Tammy Smith</t>
        </is>
      </c>
      <c r="B264" s="12" t="inlineStr">
        <is>
          <t>Wulfe &amp; Co.</t>
        </is>
      </c>
      <c r="C264" s="12" t="inlineStr">
        <is>
          <t>Director of Construction, Wulfe &amp; Co.</t>
        </is>
      </c>
      <c r="D264" s="13" t="inlineStr">
        <is>
          <t>Off deck, screened out</t>
        </is>
      </c>
      <c r="E264" s="14" t="n">
        <v>1</v>
      </c>
      <c r="F264" s="12" t="inlineStr">
        <is>
          <t>Buys walls</t>
        </is>
      </c>
      <c r="G264" s="12" t="inlineStr">
        <is>
          <t>Post Oak / Harris, Galveston</t>
        </is>
      </c>
      <c r="H264" s="12" t="inlineStr"/>
      <c r="I264" s="14" t="inlineStr">
        <is>
          <t>Partly</t>
        </is>
      </c>
      <c r="J264" s="15" t="inlineStr"/>
      <c r="K264" s="14" t="inlineStr">
        <is>
          <t>No</t>
        </is>
      </c>
      <c r="L264" s="15" t="inlineStr"/>
      <c r="M264" s="14" t="inlineStr">
        <is>
          <t>No</t>
        </is>
      </c>
      <c r="N264" s="15" t="inlineStr"/>
      <c r="O264" s="14" t="inlineStr">
        <is>
          <t>No</t>
        </is>
      </c>
      <c r="P264" s="10" t="inlineStr"/>
      <c r="Q264" s="12">
        <f>HYPERLINK("https://www.linkedin.com/search/results/people/?keywords=Tammy%20Smith%20Wulfe%20%26%20Co.","search")</f>
        <v/>
      </c>
      <c r="R264" s="16">
        <f>IF(P264="","ADD LINKEDIN","ok")</f>
        <v/>
      </c>
      <c r="S264" s="12" t="inlineStr">
        <is>
          <t>https://www.wulfe.com/</t>
        </is>
      </c>
      <c r="T264" s="15" t="inlineStr">
        <is>
          <t>7.2M sf across nine centres. Current activity is leasing and management, not ground-up.</t>
        </is>
      </c>
      <c r="U264" s="15" t="inlineStr"/>
      <c r="V264" s="12" t="inlineStr">
        <is>
          <t>YES</t>
        </is>
      </c>
      <c r="W264" s="15" t="inlineStr">
        <is>
          <t>Director of Construction.</t>
        </is>
      </c>
      <c r="X264" s="12" t="inlineStr">
        <is>
          <t>https://www.wulfe.com/people</t>
        </is>
      </c>
      <c r="Y264" s="12" t="inlineStr">
        <is>
          <t>https://www.linkedin.com/company/wulfe</t>
        </is>
      </c>
      <c r="Z264" s="12" t="inlineStr">
        <is>
          <t>https://www.wulfe.com/people</t>
        </is>
      </c>
    </row>
    <row r="266">
      <c r="A266"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38, 2026-09-11.</t>
        </is>
      </c>
    </row>
  </sheetData>
  <autoFilter ref="A6:Z2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2026-09-12T14:51:21Z</dcterms:created>
  <dcterms:modified xmlns:dcterms="http://purl.org/dc/terms/" xmlns:xsi="http://www.w3.org/2001/XMLSchema-instance" xsi:type="dcterms:W3CDTF">2026-09-12T14:51:21Z</dcterms:modified>
</cp:coreProperties>
</file>