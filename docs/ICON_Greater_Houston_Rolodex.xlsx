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s" sheetId="1" state="visible" r:id="rId1"/>
    <sheet xmlns:r="http://schemas.openxmlformats.org/officeDocument/2006/relationships" name="Permits" sheetId="2" state="visible" r:id="rId2"/>
  </sheets>
  <definedNames>
    <definedName name="_xlnm._FilterDatabase" localSheetId="0" hidden="1">'Contacts'!$A$6:$AD$307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11111"/>
      <sz val="15"/>
    </font>
    <font>
      <name val="Arial"/>
      <color rgb="00666666"/>
      <sz val="9"/>
    </font>
    <font>
      <name val="Arial"/>
      <i val="1"/>
      <color rgb="00666666"/>
      <sz val="9"/>
    </font>
    <font>
      <name val="Arial"/>
      <b val="1"/>
      <color rgb="00111111"/>
      <sz val="12"/>
    </font>
    <font>
      <name val="Arial"/>
      <b val="1"/>
      <color rgb="00FFFFFF"/>
      <sz val="9"/>
    </font>
    <font>
      <name val="Arial"/>
      <color rgb="00111111"/>
      <sz val="10"/>
    </font>
    <font>
      <name val="Arial"/>
      <b val="1"/>
      <color rgb="00111111"/>
      <sz val="10"/>
    </font>
    <font>
      <name val="Arial"/>
      <b val="1"/>
      <color rgb="00FF4F00"/>
      <sz val="9"/>
    </font>
    <font>
      <name val="Arial"/>
      <b val="1"/>
      <color rgb="00111111"/>
      <sz val="11"/>
    </font>
    <font>
      <name val="Arial"/>
      <color rgb="00666666"/>
      <sz val="10"/>
    </font>
  </fonts>
  <fills count="5">
    <fill>
      <patternFill/>
    </fill>
    <fill>
      <patternFill patternType="gray125"/>
    </fill>
    <fill>
      <patternFill patternType="solid">
        <fgColor rgb="00111111"/>
      </patternFill>
    </fill>
    <fill>
      <patternFill patternType="solid">
        <fgColor rgb="00FFE9DF"/>
      </patternFill>
    </fill>
    <fill>
      <patternFill patternType="solid">
        <fgColor rgb="00FAFAFA"/>
      </patternFill>
    </fill>
  </fills>
  <borders count="2">
    <border>
      <left/>
      <right/>
      <top/>
      <bottom/>
      <diagonal/>
    </border>
    <border>
      <bottom style="thin">
        <color rgb="00E4E4E4"/>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applyAlignment="1" pivotButton="0" quotePrefix="0" xfId="0">
      <alignment/>
    </xf>
    <xf numFmtId="0" fontId="5" fillId="2" borderId="0" applyAlignment="1" pivotButton="0" quotePrefix="0" xfId="0">
      <alignment horizontal="left" vertical="center"/>
    </xf>
    <xf numFmtId="0" fontId="6" fillId="0" borderId="1" applyAlignment="1" pivotButton="0" quotePrefix="0" xfId="0">
      <alignment vertical="top"/>
    </xf>
    <xf numFmtId="0" fontId="7" fillId="0" borderId="1" applyAlignment="1" pivotButton="0" quotePrefix="0" xfId="0">
      <alignment horizontal="left" vertical="top"/>
    </xf>
    <xf numFmtId="0" fontId="6" fillId="0" borderId="1" applyAlignment="1" pivotButton="0" quotePrefix="0" xfId="0">
      <alignment horizontal="center" vertical="top"/>
    </xf>
    <xf numFmtId="0" fontId="6" fillId="0" borderId="1" applyAlignment="1" pivotButton="0" quotePrefix="0" xfId="0">
      <alignment vertical="top" wrapText="1"/>
    </xf>
    <xf numFmtId="0" fontId="6" fillId="3" borderId="1" applyAlignment="1" pivotButton="0" quotePrefix="0" xfId="0">
      <alignment vertical="top"/>
    </xf>
    <xf numFmtId="0" fontId="8" fillId="0" borderId="1" applyAlignment="1" pivotButton="0" quotePrefix="0" xfId="0">
      <alignment horizontal="center" vertical="top"/>
    </xf>
    <xf numFmtId="0" fontId="6" fillId="4" borderId="1" applyAlignment="1" pivotButton="0" quotePrefix="0" xfId="0">
      <alignment vertical="top"/>
    </xf>
    <xf numFmtId="0" fontId="7" fillId="4" borderId="1" applyAlignment="1" pivotButton="0" quotePrefix="0" xfId="0">
      <alignment horizontal="left" vertical="top"/>
    </xf>
    <xf numFmtId="0" fontId="6" fillId="4" borderId="1" applyAlignment="1" pivotButton="0" quotePrefix="0" xfId="0">
      <alignment horizontal="center" vertical="top"/>
    </xf>
    <xf numFmtId="0" fontId="6" fillId="4" borderId="1" applyAlignment="1" pivotButton="0" quotePrefix="0" xfId="0">
      <alignment vertical="top" wrapText="1"/>
    </xf>
    <xf numFmtId="0" fontId="8" fillId="4" borderId="1" applyAlignment="1" pivotButton="0" quotePrefix="0" xfId="0">
      <alignment horizontal="center" vertical="top"/>
    </xf>
    <xf numFmtId="0" fontId="3" fillId="0" borderId="0" pivotButton="0" quotePrefix="0" xfId="0"/>
    <xf numFmtId="0" fontId="9" fillId="0" borderId="0" pivotButton="0" quotePrefix="0" xfId="0"/>
    <xf numFmtId="0" fontId="5" fillId="2" borderId="0" pivotButton="0" quotePrefix="0" xfId="0"/>
    <xf numFmtId="0" fontId="6" fillId="0" borderId="0" pivotButton="0" quotePrefix="0" xfId="0"/>
    <xf numFmtId="0" fontId="7"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09"/>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34" customWidth="1" min="3" max="3"/>
    <col width="26" customWidth="1" min="4" max="4"/>
    <col width="7" customWidth="1" min="5" max="5"/>
    <col width="13" customWidth="1" min="6" max="6"/>
    <col width="30" customWidth="1" min="7" max="7"/>
    <col width="30" customWidth="1" min="8" max="8"/>
    <col width="12" customWidth="1" min="9" max="9"/>
    <col width="48" customWidth="1" min="10" max="10"/>
    <col width="12" customWidth="1" min="11" max="11"/>
    <col width="48" customWidth="1" min="12" max="12"/>
    <col width="13" customWidth="1" min="13" max="13"/>
    <col width="48" customWidth="1" min="14" max="14"/>
    <col width="40" customWidth="1" min="15" max="15"/>
    <col width="9" customWidth="1" min="16" max="16"/>
    <col width="14" customWidth="1" min="17" max="17"/>
    <col width="34" customWidth="1" min="18" max="18"/>
    <col width="80" customWidth="1" min="19" max="19"/>
    <col width="15" customWidth="1" min="20" max="20"/>
    <col width="70" customWidth="1" min="21" max="21"/>
    <col width="46" customWidth="1" min="22" max="22"/>
    <col width="42" customWidth="1" min="23" max="23"/>
    <col width="42" customWidth="1" min="24" max="24"/>
    <col width="70" customWidth="1" min="25" max="25"/>
    <col width="18" customWidth="1" min="26" max="26"/>
    <col width="26" customWidth="1" min="27" max="27"/>
    <col width="46" customWidth="1" min="28" max="28"/>
    <col width="32" customWidth="1" min="29" max="29"/>
    <col width="46" customWidth="1" min="30" max="30"/>
  </cols>
  <sheetData>
    <row r="1">
      <c r="A1" s="1" t="inlineStr">
        <is>
          <t>Rolodex · Greater Houston · contacts</t>
        </is>
      </c>
    </row>
    <row r="2">
      <c r="A2" s="2" t="inlineStr">
        <is>
          <t>Héctor Ibarzábal · 2026-09-26</t>
        </is>
      </c>
    </row>
    <row r="3">
      <c r="A3" s="2" t="inlineStr">
        <is>
          <t>Rows</t>
        </is>
      </c>
      <c r="B3" s="3">
        <f>COUNTA($A$7:$A$307)</f>
        <v/>
      </c>
      <c r="C3" s="2" t="inlineStr">
        <is>
          <t>LinkedIn held</t>
        </is>
      </c>
      <c r="D3" s="3">
        <f>COUNTIF($Q$7:$Q$307,"ok")</f>
        <v/>
      </c>
      <c r="E3" s="2" t="inlineStr">
        <is>
          <t>Still to add</t>
        </is>
      </c>
      <c r="F3" s="3">
        <f>COUNTIF($Q$7:$Q$307,"ADD LINKEDIN")</f>
        <v/>
      </c>
      <c r="G3" s="2" t="inlineStr">
        <is>
          <t>Holds all three counts</t>
        </is>
      </c>
      <c r="H3" s="3">
        <f>SUMPRODUCT((COUNTIF(OFFSET($B$7,ROW($B$7:$B$307)-ROW($B$7),0,1,1),$B$7:$B$307)&gt;0)*($D$7:$D$307="Holds all three counts")/COUNTIF($B$7:$B$307,$B$7:$B$307&amp;""))</f>
        <v/>
      </c>
      <c r="I3" s="2" t="inlineStr">
        <is>
          <t>Wall deciders</t>
        </is>
      </c>
      <c r="J3" s="3">
        <f>COUNTIF($T$7:$T$307,"YES")</f>
        <v/>
      </c>
    </row>
    <row r="4">
      <c r="A4" s="4" t="inlineStr">
        <is>
          <t>Column P is a LinkedIn people search for that name at that firm. Paste a profile URL into the shaded cell in column O and column Q changes from ADD LINKEDIN to ok. Column T marks the people who can change a wall specification; filter it to YES for the call list. Column U is the evidence behind the name and column V the firm's own page that names them. Columns Z to AB carry the firm's main line, its label and the page it is published on, and columns AC and AD the firm's email and its page. Both are the firm's, not the person's.</t>
        </is>
      </c>
    </row>
    <row r="6" ht="22" customHeight="1">
      <c r="A6" s="5" t="inlineStr">
        <is>
          <t>Name</t>
        </is>
      </c>
      <c r="B6" s="5" t="inlineStr">
        <is>
          <t>Firm</t>
        </is>
      </c>
      <c r="C6" s="5" t="inlineStr">
        <is>
          <t>Title</t>
        </is>
      </c>
      <c r="D6" s="5" t="inlineStr">
        <is>
          <t>Group</t>
        </is>
      </c>
      <c r="E6" s="5" t="inlineStr">
        <is>
          <t>Holds</t>
        </is>
      </c>
      <c r="F6" s="5" t="inlineStr">
        <is>
          <t>Role</t>
        </is>
      </c>
      <c r="G6" s="5" t="inlineStr">
        <is>
          <t>Region</t>
        </is>
      </c>
      <c r="H6" s="5" t="inlineStr">
        <is>
          <t>Headline</t>
        </is>
      </c>
      <c r="I6" s="5" t="inlineStr">
        <is>
          <t>Repetition</t>
        </is>
      </c>
      <c r="J6" s="5" t="inlineStr">
        <is>
          <t>Repetition why</t>
        </is>
      </c>
      <c r="K6" s="5" t="inlineStr">
        <is>
          <t>Printer fit</t>
        </is>
      </c>
      <c r="L6" s="5" t="inlineStr">
        <is>
          <t>Printer fit why</t>
        </is>
      </c>
      <c r="M6" s="5" t="inlineStr">
        <is>
          <t>Track record</t>
        </is>
      </c>
      <c r="N6" s="5" t="inlineStr">
        <is>
          <t>Track record why</t>
        </is>
      </c>
      <c r="O6" s="5" t="inlineStr">
        <is>
          <t>LinkedIn URL</t>
        </is>
      </c>
      <c r="P6" s="5" t="inlineStr">
        <is>
          <t>Find</t>
        </is>
      </c>
      <c r="Q6" s="5" t="inlineStr">
        <is>
          <t>Status</t>
        </is>
      </c>
      <c r="R6" s="5" t="inlineStr">
        <is>
          <t>Company URL</t>
        </is>
      </c>
      <c r="S6" s="5" t="inlineStr">
        <is>
          <t>Screen result</t>
        </is>
      </c>
      <c r="T6" s="5" t="inlineStr">
        <is>
          <t>Decides the wall</t>
        </is>
      </c>
      <c r="U6" s="5" t="inlineStr">
        <is>
          <t>How this person was verified</t>
        </is>
      </c>
      <c r="V6" s="5" t="inlineStr">
        <is>
          <t>Firm page for this person</t>
        </is>
      </c>
      <c r="W6" s="5" t="inlineStr">
        <is>
          <t>Company LinkedIn</t>
        </is>
      </c>
      <c r="X6" s="5" t="inlineStr">
        <is>
          <t>Leadership page</t>
        </is>
      </c>
      <c r="Y6" s="5" t="inlineStr">
        <is>
          <t>Latest press</t>
        </is>
      </c>
      <c r="Z6" s="5" t="inlineStr">
        <is>
          <t>Phone</t>
        </is>
      </c>
      <c r="AA6" s="5" t="inlineStr">
        <is>
          <t>Phone label</t>
        </is>
      </c>
      <c r="AB6" s="5" t="inlineStr">
        <is>
          <t>Phone source</t>
        </is>
      </c>
      <c r="AC6" s="5" t="inlineStr">
        <is>
          <t>Email</t>
        </is>
      </c>
      <c r="AD6" s="5" t="inlineStr">
        <is>
          <t>Email source</t>
        </is>
      </c>
    </row>
    <row r="7">
      <c r="A7" s="6" t="inlineStr">
        <is>
          <t>Vanessa Cole</t>
        </is>
      </c>
      <c r="B7" s="6" t="inlineStr">
        <is>
          <t>Cole Klein Builders / Zuri Gardens</t>
        </is>
      </c>
      <c r="C7" s="6" t="inlineStr">
        <is>
          <t>Co-founder, Cole Klein Builders</t>
        </is>
      </c>
      <c r="D7" s="7" t="inlineStr">
        <is>
          <t>Already buying printed walls</t>
        </is>
      </c>
      <c r="E7" s="8" t="n">
        <v>3</v>
      </c>
      <c r="F7" s="6" t="inlineStr">
        <is>
          <t>Prints today</t>
        </is>
      </c>
      <c r="G7" s="6" t="inlineStr">
        <is>
          <t>Southeast Houston, Harris County</t>
        </is>
      </c>
      <c r="H7" s="6" t="inlineStr">
        <is>
          <t>80 3D-printed homes on 13 acres</t>
        </is>
      </c>
      <c r="I7" s="8" t="inlineStr">
        <is>
          <t>Yes</t>
        </is>
      </c>
      <c r="J7" s="9" t="inlineStr">
        <is>
          <t>80 homes on one 13-acre site.</t>
        </is>
      </c>
      <c r="K7" s="8" t="inlineStr">
        <is>
          <t>Partly</t>
        </is>
      </c>
      <c r="L7" s="9" t="inlineStr">
        <is>
          <t>One 80-home site. No yearly figure published.</t>
        </is>
      </c>
      <c r="M7" s="8" t="inlineStr">
        <is>
          <t>Yes</t>
        </is>
      </c>
      <c r="N7" s="9" t="inlineStr">
        <is>
          <t>All 80 committed to printing with HiveASMBLD. Reserved an ICON Titan, per The Real Deal, March 2026.</t>
        </is>
      </c>
      <c r="O7" s="10" t="inlineStr"/>
      <c r="P7" s="6">
        <f>HYPERLINK("https://www.linkedin.com/search/results/people/?keywords=Vanessa%20Cole%20Cole%20Klein%20Builders","search")</f>
        <v/>
      </c>
      <c r="Q7" s="11">
        <f>IF(O7="","ADD LINKEDIN","ok")</f>
        <v/>
      </c>
      <c r="R7" s="6" t="inlineStr">
        <is>
          <t>https://colekleinbuilders.com/</t>
        </is>
      </c>
      <c r="S7" s="9" t="inlineStr">
        <is>
          <t>Already builds printed homes at Zuri Gardens with HiveASMBLD, and it reserved an ICON Titan, per The Real Deal in March 2026.</t>
        </is>
      </c>
      <c r="T7" s="6" t="inlineStr">
        <is>
          <t>YES</t>
        </is>
      </c>
      <c r="U7" s="9" t="inlineStr">
        <is>
          <t>Firm's about page names both founders.</t>
        </is>
      </c>
      <c r="V7" s="6" t="inlineStr">
        <is>
          <t>https://colekleinbuilders.com/about/</t>
        </is>
      </c>
      <c r="W7" s="6" t="inlineStr">
        <is>
          <t>https://www.linkedin.com/company/cole-klein-builders</t>
        </is>
      </c>
      <c r="X7" s="6" t="inlineStr">
        <is>
          <t>https://colekleinbuilders.com/about/</t>
        </is>
      </c>
      <c r="Y7" s="6" t="inlineStr">
        <is>
          <t>2026-02 The Architect's Newspaper. Zuri Gardens, a 3D-printed Texas community, shows promise for attainable housing  https://www.archpaper.com/2026/02/zuri-gardens-3d-printed-texas-community/</t>
        </is>
      </c>
      <c r="Z7" s="6" t="inlineStr"/>
      <c r="AA7" s="6" t="inlineStr"/>
      <c r="AB7" s="6" t="inlineStr"/>
      <c r="AC7" s="6" t="inlineStr">
        <is>
          <t>newhome@colekleinbuilders.com</t>
        </is>
      </c>
      <c r="AD7" s="6" t="inlineStr">
        <is>
          <t>https://colekleinbuilders.com/contact/</t>
        </is>
      </c>
    </row>
    <row r="8">
      <c r="A8" s="12" t="inlineStr">
        <is>
          <t>Harry Klein</t>
        </is>
      </c>
      <c r="B8" s="12" t="inlineStr">
        <is>
          <t>Cole Klein Builders / Zuri Gardens</t>
        </is>
      </c>
      <c r="C8" s="12" t="inlineStr">
        <is>
          <t>Co-founder, Cole Klein Builders</t>
        </is>
      </c>
      <c r="D8" s="13" t="inlineStr">
        <is>
          <t>Already buying printed walls</t>
        </is>
      </c>
      <c r="E8" s="14" t="n">
        <v>3</v>
      </c>
      <c r="F8" s="12" t="inlineStr">
        <is>
          <t>Prints today</t>
        </is>
      </c>
      <c r="G8" s="12" t="inlineStr">
        <is>
          <t>Southeast Houston, Harris County</t>
        </is>
      </c>
      <c r="H8" s="12" t="inlineStr">
        <is>
          <t>80 3D-printed homes on 13 acres</t>
        </is>
      </c>
      <c r="I8" s="14" t="inlineStr">
        <is>
          <t>Yes</t>
        </is>
      </c>
      <c r="J8" s="15" t="inlineStr">
        <is>
          <t>80 homes on one 13-acre site.</t>
        </is>
      </c>
      <c r="K8" s="14" t="inlineStr">
        <is>
          <t>Partly</t>
        </is>
      </c>
      <c r="L8" s="15" t="inlineStr">
        <is>
          <t>One 80-home site. No yearly figure published.</t>
        </is>
      </c>
      <c r="M8" s="14" t="inlineStr">
        <is>
          <t>Yes</t>
        </is>
      </c>
      <c r="N8" s="15" t="inlineStr">
        <is>
          <t>All 80 committed to printing with HiveASMBLD. Reserved an ICON Titan, per The Real Deal, March 2026.</t>
        </is>
      </c>
      <c r="O8" s="10" t="inlineStr"/>
      <c r="P8" s="12">
        <f>HYPERLINK("https://www.linkedin.com/search/results/people/?keywords=Harry%20Klein%20Cole%20Klein%20Builders","search")</f>
        <v/>
      </c>
      <c r="Q8" s="16">
        <f>IF(O8="","ADD LINKEDIN","ok")</f>
        <v/>
      </c>
      <c r="R8" s="12" t="inlineStr">
        <is>
          <t>https://colekleinbuilders.com/</t>
        </is>
      </c>
      <c r="S8" s="15" t="inlineStr">
        <is>
          <t>Already builds printed homes at Zuri Gardens with HiveASMBLD, and it reserved an ICON Titan, per The Real Deal in March 2026.</t>
        </is>
      </c>
      <c r="T8" s="12" t="inlineStr">
        <is>
          <t>YES</t>
        </is>
      </c>
      <c r="U8" s="15" t="inlineStr"/>
      <c r="V8" s="12" t="inlineStr">
        <is>
          <t>https://colekleinbuilders.com/about/</t>
        </is>
      </c>
      <c r="W8" s="12" t="inlineStr">
        <is>
          <t>https://www.linkedin.com/company/cole-klein-builders</t>
        </is>
      </c>
      <c r="X8" s="12" t="inlineStr">
        <is>
          <t>https://colekleinbuilders.com/about/</t>
        </is>
      </c>
      <c r="Y8" s="12" t="inlineStr">
        <is>
          <t>2026-02 The Architect's Newspaper. Zuri Gardens, a 3D-printed Texas community, shows promise for attainable housing  https://www.archpaper.com/2026/02/zuri-gardens-3d-printed-texas-community/</t>
        </is>
      </c>
      <c r="Z8" s="12" t="inlineStr"/>
      <c r="AA8" s="12" t="inlineStr"/>
      <c r="AB8" s="12" t="inlineStr"/>
      <c r="AC8" s="12" t="inlineStr">
        <is>
          <t>newhome@colekleinbuilders.com</t>
        </is>
      </c>
      <c r="AD8" s="12" t="inlineStr">
        <is>
          <t>https://colekleinbuilders.com/contact/</t>
        </is>
      </c>
    </row>
    <row r="9">
      <c r="A9" s="6" t="inlineStr">
        <is>
          <t>Steve Commander</t>
        </is>
      </c>
      <c r="B9" s="6" t="inlineStr">
        <is>
          <t>Commander Home Builders</t>
        </is>
      </c>
      <c r="C9" s="6" t="inlineStr">
        <is>
          <t>Owner</t>
        </is>
      </c>
      <c r="D9" s="7" t="inlineStr">
        <is>
          <t>Already buying printed walls</t>
        </is>
      </c>
      <c r="E9" s="8" t="n">
        <v>3</v>
      </c>
      <c r="F9" s="6" t="inlineStr">
        <is>
          <t>Prints today</t>
        </is>
      </c>
      <c r="G9" s="6" t="inlineStr">
        <is>
          <t>San Leon, Galveston County</t>
        </is>
      </c>
      <c r="H9" s="6" t="inlineStr">
        <is>
          <t>23 of 26 planned homes to be printed, one under way</t>
        </is>
      </c>
      <c r="I9" s="8" t="inlineStr">
        <is>
          <t>Partly</t>
        </is>
      </c>
      <c r="J9" s="9" t="inlineStr">
        <is>
          <t>26 homes at one address, on one printer.</t>
        </is>
      </c>
      <c r="K9" s="8" t="inlineStr">
        <is>
          <t>Partly</t>
        </is>
      </c>
      <c r="L9" s="9" t="inlineStr">
        <is>
          <t>Twenty-six homes on one site. No yearly figure published.</t>
        </is>
      </c>
      <c r="M9" s="8" t="inlineStr">
        <is>
          <t>Yes</t>
        </is>
      </c>
      <c r="N9" s="9" t="inlineStr">
        <is>
          <t>First home under construction April 2026. None finished then.</t>
        </is>
      </c>
      <c r="O9" s="10" t="inlineStr"/>
      <c r="P9" s="6">
        <f>HYPERLINK("https://www.linkedin.com/search/results/people/?keywords=Steve%20Commander%20Commander%20Home%20Builders","search")</f>
        <v/>
      </c>
      <c r="Q9" s="11">
        <f>IF(O9="","ADD LINKEDIN","ok")</f>
        <v/>
      </c>
      <c r="R9" s="6" t="inlineStr"/>
      <c r="S9" s="9" t="inlineStr">
        <is>
          <t>Already prints with HiveASMBLD, and the owner's own figures say 50 percent faster and 5 to 7 percent cheaper.</t>
        </is>
      </c>
      <c r="T9" s="6" t="inlineStr">
        <is>
          <t>YES</t>
        </is>
      </c>
      <c r="U9" s="9" t="inlineStr">
        <is>
          <t>Quoted as developer of the San Leon project.</t>
        </is>
      </c>
      <c r="V9" s="6" t="inlineStr">
        <is>
          <t>https://www.homes.com/news/houstons-3d-printed-housing-push-grows-with-two-new-developments/647676272/</t>
        </is>
      </c>
      <c r="W9" s="6" t="inlineStr"/>
      <c r="X9" s="6" t="inlineStr"/>
      <c r="Y9" s="6" t="inlineStr">
        <is>
          <t>2026-04-30 Intelligent Build.tech. Partnership to develop an innovative 3D-printed residential community  https://www.intelligentbuild.tech/2026/04/30/partnership-to-develop-an-innovative-3d-printed-residential-community/</t>
        </is>
      </c>
      <c r="Z9" s="6" t="inlineStr"/>
      <c r="AA9" s="6" t="inlineStr"/>
      <c r="AB9" s="6" t="inlineStr"/>
      <c r="AC9" s="6" t="inlineStr"/>
      <c r="AD9" s="6" t="inlineStr"/>
    </row>
    <row r="10">
      <c r="A10" s="12" t="inlineStr">
        <is>
          <t>Tony M. Brown</t>
        </is>
      </c>
      <c r="B10" s="12" t="inlineStr">
        <is>
          <t>Elpis 3D Home Builders</t>
        </is>
      </c>
      <c r="C10" s="12" t="inlineStr">
        <is>
          <t>Principal</t>
        </is>
      </c>
      <c r="D10" s="13" t="inlineStr">
        <is>
          <t>Already buying printed walls</t>
        </is>
      </c>
      <c r="E10" s="14" t="n">
        <v>2</v>
      </c>
      <c r="F10" s="12" t="inlineStr">
        <is>
          <t>Prints today</t>
        </is>
      </c>
      <c r="G10" s="12" t="inlineStr">
        <is>
          <t>East End Houston, Harris County</t>
        </is>
      </c>
      <c r="H10" s="12" t="inlineStr">
        <is>
          <t>Duplex, about 1,727 sf per unit, $365,000</t>
        </is>
      </c>
      <c r="I10" s="14" t="inlineStr">
        <is>
          <t>No</t>
        </is>
      </c>
      <c r="J10" s="15" t="inlineStr">
        <is>
          <t>One duplex. Two units.</t>
        </is>
      </c>
      <c r="K10" s="14" t="inlineStr">
        <is>
          <t>Partly</t>
        </is>
      </c>
      <c r="L10" s="15" t="inlineStr">
        <is>
          <t>One duplex. Proof of method, not volume to keep a machine busy.</t>
        </is>
      </c>
      <c r="M10" s="14" t="inlineStr">
        <is>
          <t>Yes</t>
        </is>
      </c>
      <c r="N10" s="15" t="inlineStr">
        <is>
          <t>Printed duplex under way. No completion published.</t>
        </is>
      </c>
      <c r="O10" s="10" t="inlineStr"/>
      <c r="P10" s="12">
        <f>HYPERLINK("https://www.linkedin.com/search/results/people/?keywords=Tony%20M.%20Brown%20Elpis%203D%20Home%20Builders","search")</f>
        <v/>
      </c>
      <c r="Q10" s="16">
        <f>IF(O10="","ADD LINKEDIN","ok")</f>
        <v/>
      </c>
      <c r="R10" s="12" t="inlineStr"/>
      <c r="S10" s="15" t="inlineStr">
        <is>
          <t>Already prints with HiveASMBLD, but one duplex proves the method, not volume to keep a machine busy.</t>
        </is>
      </c>
      <c r="T10" s="12" t="inlineStr">
        <is>
          <t>YES</t>
        </is>
      </c>
      <c r="U10" s="15" t="inlineStr">
        <is>
          <t>Managing member, quoted on Avenue J.</t>
        </is>
      </c>
      <c r="V10" s="12" t="inlineStr">
        <is>
          <t>https://www.homes.com/news/houstons-3d-printed-housing-push-grows-with-two-new-developments/647676272/</t>
        </is>
      </c>
      <c r="W10" s="12" t="inlineStr"/>
      <c r="X10" s="12" t="inlineStr"/>
      <c r="Y10" s="12" t="inlineStr">
        <is>
          <t>2026-04-22 Homes.com. Houston's 3D-printed housing push grows with two new developments  https://www.homes.com/news/houstons-3d-printed-housing-push-grows-with-two-new-developments/647676272/</t>
        </is>
      </c>
      <c r="Z10" s="12" t="inlineStr"/>
      <c r="AA10" s="12" t="inlineStr"/>
      <c r="AB10" s="12" t="inlineStr"/>
      <c r="AC10" s="12" t="inlineStr"/>
      <c r="AD10" s="12" t="inlineStr"/>
    </row>
    <row r="11">
      <c r="A11" s="6" t="inlineStr">
        <is>
          <t>Steve Ross</t>
        </is>
      </c>
      <c r="B11" s="6" t="inlineStr">
        <is>
          <t>Tiona Homes</t>
        </is>
      </c>
      <c r="C11" s="6" t="inlineStr">
        <is>
          <t>Founder and Chief Executive Officer</t>
        </is>
      </c>
      <c r="D11" s="7" t="inlineStr">
        <is>
          <t>Holds all three counts</t>
        </is>
      </c>
      <c r="E11" s="8" t="n">
        <v>3</v>
      </c>
      <c r="F11" s="6" t="inlineStr">
        <is>
          <t>Buys walls</t>
        </is>
      </c>
      <c r="G11" s="6" t="inlineStr">
        <is>
          <t>Greater Houston, Harris</t>
        </is>
      </c>
      <c r="H11" s="6" t="inlineStr">
        <is>
          <t>Builds only in insulated concrete form</t>
        </is>
      </c>
      <c r="I11" s="8" t="inlineStr">
        <is>
          <t>Partly</t>
        </is>
      </c>
      <c r="J11" s="9" t="inlineStr">
        <is>
          <t>One wall system across Greater Houston. Plans not published.</t>
        </is>
      </c>
      <c r="K11" s="8" t="inlineStr">
        <is>
          <t>Partly</t>
        </is>
      </c>
      <c r="L11" s="9" t="inlineStr">
        <is>
          <t>No volume figure published.</t>
        </is>
      </c>
      <c r="M11" s="8" t="inlineStr">
        <is>
          <t>Yes</t>
        </is>
      </c>
      <c r="N11" s="9" t="inlineStr">
        <is>
          <t>Builds every home in insulated concrete form. Its parent makes and licenses the block.</t>
        </is>
      </c>
      <c r="O11" s="10" t="inlineStr"/>
      <c r="P11" s="6">
        <f>HYPERLINK("https://www.linkedin.com/search/results/people/?keywords=Steve%20Ross%20Tiona%20Homes","search")</f>
        <v/>
      </c>
      <c r="Q11" s="11">
        <f>IF(O11="","ADD LINKEDIN","ok")</f>
        <v/>
      </c>
      <c r="R11" s="6" t="inlineStr">
        <is>
          <t>https://www.tionahomes.com/</t>
        </is>
      </c>
      <c r="S11" s="9" t="inlineStr">
        <is>
          <t>Its parent makes and licenses the foam block it builds with, so a printer would compete with a group product.</t>
        </is>
      </c>
      <c r="T11" s="6" t="inlineStr">
        <is>
          <t>YES</t>
        </is>
      </c>
      <c r="U11" s="9" t="inlineStr"/>
      <c r="V11" s="6" t="inlineStr"/>
      <c r="W11" s="6" t="inlineStr"/>
      <c r="X11" s="6" t="inlineStr"/>
      <c r="Y11" s="6" t="inlineStr"/>
      <c r="Z11" s="6" t="inlineStr">
        <is>
          <t>(346) 212-2153</t>
        </is>
      </c>
      <c r="AA11" s="6" t="inlineStr"/>
      <c r="AB11" s="6" t="inlineStr">
        <is>
          <t>https://www.tionahomes.com/</t>
        </is>
      </c>
      <c r="AC11" s="6" t="inlineStr"/>
      <c r="AD11" s="6" t="inlineStr"/>
    </row>
    <row r="12">
      <c r="A12" s="12" t="inlineStr">
        <is>
          <t>Jacob Ross</t>
        </is>
      </c>
      <c r="B12" s="12" t="inlineStr">
        <is>
          <t>Tiona Homes</t>
        </is>
      </c>
      <c r="C12" s="12" t="inlineStr">
        <is>
          <t>Product Manager</t>
        </is>
      </c>
      <c r="D12" s="13" t="inlineStr">
        <is>
          <t>Holds all three counts</t>
        </is>
      </c>
      <c r="E12" s="14" t="n">
        <v>3</v>
      </c>
      <c r="F12" s="12" t="inlineStr">
        <is>
          <t>Buys walls</t>
        </is>
      </c>
      <c r="G12" s="12" t="inlineStr">
        <is>
          <t>Greater Houston, Harris</t>
        </is>
      </c>
      <c r="H12" s="12" t="inlineStr">
        <is>
          <t>Builds only in insulated concrete form</t>
        </is>
      </c>
      <c r="I12" s="14" t="inlineStr">
        <is>
          <t>Partly</t>
        </is>
      </c>
      <c r="J12" s="15" t="inlineStr">
        <is>
          <t>One wall system across Greater Houston. Plans not published.</t>
        </is>
      </c>
      <c r="K12" s="14" t="inlineStr">
        <is>
          <t>Partly</t>
        </is>
      </c>
      <c r="L12" s="15" t="inlineStr">
        <is>
          <t>No volume figure published.</t>
        </is>
      </c>
      <c r="M12" s="14" t="inlineStr">
        <is>
          <t>Yes</t>
        </is>
      </c>
      <c r="N12" s="15" t="inlineStr">
        <is>
          <t>Builds every home in insulated concrete form. Its parent makes and licenses the block.</t>
        </is>
      </c>
      <c r="O12" s="10" t="inlineStr"/>
      <c r="P12" s="12">
        <f>HYPERLINK("https://www.linkedin.com/search/results/people/?keywords=Jacob%20Ross%20Tiona%20Homes","search")</f>
        <v/>
      </c>
      <c r="Q12" s="16">
        <f>IF(O12="","ADD LINKEDIN","ok")</f>
        <v/>
      </c>
      <c r="R12" s="12" t="inlineStr">
        <is>
          <t>https://www.tionahomes.com/</t>
        </is>
      </c>
      <c r="S12" s="15" t="inlineStr">
        <is>
          <t>Its parent makes and licenses the foam block it builds with, so a printer would compete with a group product.</t>
        </is>
      </c>
      <c r="T12" s="12" t="inlineStr"/>
      <c r="U12" s="15" t="inlineStr"/>
      <c r="V12" s="12" t="inlineStr"/>
      <c r="W12" s="12" t="inlineStr"/>
      <c r="X12" s="12" t="inlineStr"/>
      <c r="Y12" s="12" t="inlineStr"/>
      <c r="Z12" s="12" t="inlineStr">
        <is>
          <t>(346) 212-2153</t>
        </is>
      </c>
      <c r="AA12" s="12" t="inlineStr"/>
      <c r="AB12" s="12" t="inlineStr">
        <is>
          <t>https://www.tionahomes.com/</t>
        </is>
      </c>
      <c r="AC12" s="12" t="inlineStr"/>
      <c r="AD12" s="12" t="inlineStr"/>
    </row>
    <row r="13">
      <c r="A13" s="6" t="inlineStr">
        <is>
          <t>Victor Ramos</t>
        </is>
      </c>
      <c r="B13" s="6" t="inlineStr">
        <is>
          <t>Tiona Homes</t>
        </is>
      </c>
      <c r="C13" s="6" t="inlineStr">
        <is>
          <t>Construction Leader</t>
        </is>
      </c>
      <c r="D13" s="7" t="inlineStr">
        <is>
          <t>Holds all three counts</t>
        </is>
      </c>
      <c r="E13" s="8" t="n">
        <v>3</v>
      </c>
      <c r="F13" s="6" t="inlineStr">
        <is>
          <t>Buys walls</t>
        </is>
      </c>
      <c r="G13" s="6" t="inlineStr">
        <is>
          <t>Greater Houston, Harris</t>
        </is>
      </c>
      <c r="H13" s="6" t="inlineStr">
        <is>
          <t>Builds only in insulated concrete form</t>
        </is>
      </c>
      <c r="I13" s="8" t="inlineStr">
        <is>
          <t>Partly</t>
        </is>
      </c>
      <c r="J13" s="9" t="inlineStr">
        <is>
          <t>One wall system across Greater Houston. Plans not published.</t>
        </is>
      </c>
      <c r="K13" s="8" t="inlineStr">
        <is>
          <t>Partly</t>
        </is>
      </c>
      <c r="L13" s="9" t="inlineStr">
        <is>
          <t>No volume figure published.</t>
        </is>
      </c>
      <c r="M13" s="8" t="inlineStr">
        <is>
          <t>Yes</t>
        </is>
      </c>
      <c r="N13" s="9" t="inlineStr">
        <is>
          <t>Builds every home in insulated concrete form. Its parent makes and licenses the block.</t>
        </is>
      </c>
      <c r="O13" s="10" t="inlineStr"/>
      <c r="P13" s="6">
        <f>HYPERLINK("https://www.linkedin.com/search/results/people/?keywords=Victor%20Ramos%20Tiona%20Homes","search")</f>
        <v/>
      </c>
      <c r="Q13" s="11">
        <f>IF(O13="","ADD LINKEDIN","ok")</f>
        <v/>
      </c>
      <c r="R13" s="6" t="inlineStr">
        <is>
          <t>https://www.tionahomes.com/</t>
        </is>
      </c>
      <c r="S13" s="9" t="inlineStr">
        <is>
          <t>Its parent makes and licenses the foam block it builds with, so a printer would compete with a group product.</t>
        </is>
      </c>
      <c r="T13" s="6" t="inlineStr"/>
      <c r="U13" s="9" t="inlineStr"/>
      <c r="V13" s="6" t="inlineStr"/>
      <c r="W13" s="6" t="inlineStr"/>
      <c r="X13" s="6" t="inlineStr"/>
      <c r="Y13" s="6" t="inlineStr"/>
      <c r="Z13" s="6" t="inlineStr">
        <is>
          <t>(346) 212-2153</t>
        </is>
      </c>
      <c r="AA13" s="6" t="inlineStr"/>
      <c r="AB13" s="6" t="inlineStr">
        <is>
          <t>https://www.tionahomes.com/</t>
        </is>
      </c>
      <c r="AC13" s="6" t="inlineStr"/>
      <c r="AD13" s="6" t="inlineStr"/>
    </row>
    <row r="14">
      <c r="A14" s="12" t="inlineStr">
        <is>
          <t>Ting Qiao</t>
        </is>
      </c>
      <c r="B14" s="12" t="inlineStr">
        <is>
          <t>Wan Bridge Group</t>
        </is>
      </c>
      <c r="C14" s="12" t="inlineStr">
        <is>
          <t>Co-Founder</t>
        </is>
      </c>
      <c r="D14" s="13" t="inlineStr">
        <is>
          <t>Holds all three counts</t>
        </is>
      </c>
      <c r="E14" s="14" t="n">
        <v>3</v>
      </c>
      <c r="F14" s="12" t="inlineStr">
        <is>
          <t>Buys walls</t>
        </is>
      </c>
      <c r="G14" s="12" t="inlineStr">
        <is>
          <t>Houston HQ / Harris, Fort Bend</t>
        </is>
      </c>
      <c r="H14" s="12" t="inlineStr">
        <is>
          <t>5 TX projects under way, 5 to 7 in pipeline (Apr 2025)</t>
        </is>
      </c>
      <c r="I14" s="14" t="inlineStr">
        <is>
          <t>Yes</t>
        </is>
      </c>
      <c r="J14" s="15" t="inlineStr">
        <is>
          <t>Five Texas projects announced in one release.</t>
        </is>
      </c>
      <c r="K14" s="14" t="inlineStr">
        <is>
          <t>Partly</t>
        </is>
      </c>
      <c r="L14" s="15" t="inlineStr">
        <is>
          <t>No yearly figure published.</t>
        </is>
      </c>
      <c r="M14" s="14" t="inlineStr">
        <is>
          <t>Partly</t>
        </is>
      </c>
      <c r="N14" s="15" t="inlineStr">
        <is>
          <t>Six years on its own construction software, plus robotic site inspection. Software, not a wall method.</t>
        </is>
      </c>
      <c r="O14" s="6" t="inlineStr">
        <is>
          <t>https://www.linkedin.com/in/ting-qiao-b95436aa/</t>
        </is>
      </c>
      <c r="P14" s="12" t="inlineStr"/>
      <c r="Q14" s="16">
        <f>IF(O14="","ADD LINKEDIN","ok")</f>
        <v/>
      </c>
      <c r="R14" s="12" t="inlineStr">
        <is>
          <t>https://wanbridge.com/</t>
        </is>
      </c>
      <c r="S14" s="15" t="inlineStr">
        <is>
          <t>Spent six years on its own construction software and site robotics. Keith Clipp runs development and operations.</t>
        </is>
      </c>
      <c r="T14" s="12" t="inlineStr"/>
      <c r="U14" s="15" t="inlineStr">
        <is>
          <t>CEO of AiWB, Co-Founder at Wan Bridge. Bellaire, Texas.</t>
        </is>
      </c>
      <c r="V14" s="12" t="inlineStr"/>
      <c r="W14" s="12" t="inlineStr">
        <is>
          <t>https://www.linkedin.com/company/wan-bridge-group/</t>
        </is>
      </c>
      <c r="X14" s="12" t="inlineStr">
        <is>
          <t>https://wanbridge.com/leadership/</t>
        </is>
      </c>
      <c r="Y14" s="12" t="inlineStr">
        <is>
          <t>2025-11-24 Realty News Report. Build-To-Rent Boom: Dellrose, Yardly and More  https://realtynewsreport.com/build-to-rent-boom-dellrose-yardly-and-more/</t>
        </is>
      </c>
      <c r="Z14" s="12" t="inlineStr">
        <is>
          <t>(713) 219-9400</t>
        </is>
      </c>
      <c r="AA14" s="12" t="inlineStr">
        <is>
          <t>corporate</t>
        </is>
      </c>
      <c r="AB14" s="12" t="inlineStr">
        <is>
          <t>https://wanbridge.com/</t>
        </is>
      </c>
      <c r="AC14" s="12" t="inlineStr"/>
      <c r="AD14" s="12" t="inlineStr"/>
    </row>
    <row r="15">
      <c r="A15" s="6" t="inlineStr">
        <is>
          <t>Danting Li</t>
        </is>
      </c>
      <c r="B15" s="6" t="inlineStr">
        <is>
          <t>Wan Bridge Group</t>
        </is>
      </c>
      <c r="C15" s="6" t="inlineStr">
        <is>
          <t>Chief Operating Officer and Co-Founder</t>
        </is>
      </c>
      <c r="D15" s="7" t="inlineStr">
        <is>
          <t>Holds all three counts</t>
        </is>
      </c>
      <c r="E15" s="8" t="n">
        <v>3</v>
      </c>
      <c r="F15" s="6" t="inlineStr">
        <is>
          <t>Buys walls</t>
        </is>
      </c>
      <c r="G15" s="6" t="inlineStr">
        <is>
          <t>Houston HQ / Harris, Fort Bend</t>
        </is>
      </c>
      <c r="H15" s="6" t="inlineStr">
        <is>
          <t>5 TX projects under way, 5 to 7 in pipeline (Apr 2025)</t>
        </is>
      </c>
      <c r="I15" s="8" t="inlineStr">
        <is>
          <t>Yes</t>
        </is>
      </c>
      <c r="J15" s="9" t="inlineStr">
        <is>
          <t>Five Texas projects announced in one release.</t>
        </is>
      </c>
      <c r="K15" s="8" t="inlineStr">
        <is>
          <t>Partly</t>
        </is>
      </c>
      <c r="L15" s="9" t="inlineStr">
        <is>
          <t>No yearly figure published.</t>
        </is>
      </c>
      <c r="M15" s="8" t="inlineStr">
        <is>
          <t>Partly</t>
        </is>
      </c>
      <c r="N15" s="9" t="inlineStr">
        <is>
          <t>Six years on its own construction software, plus robotic site inspection. Software, not a wall method.</t>
        </is>
      </c>
      <c r="O15" s="10" t="inlineStr"/>
      <c r="P15" s="6" t="inlineStr"/>
      <c r="Q15" s="11">
        <f>IF(O15="","ADD LINKEDIN","ok")</f>
        <v/>
      </c>
      <c r="R15" s="6" t="inlineStr">
        <is>
          <t>https://wanbridge.com/</t>
        </is>
      </c>
      <c r="S15" s="9" t="inlineStr">
        <is>
          <t>Spent six years on its own construction software and site robotics. Keith Clipp runs development and operations.</t>
        </is>
      </c>
      <c r="T15" s="6" t="inlineStr">
        <is>
          <t>YES</t>
        </is>
      </c>
      <c r="U15" s="9" t="inlineStr"/>
      <c r="V15" s="6" t="inlineStr">
        <is>
          <t>https://wanbridge.com/leadership/</t>
        </is>
      </c>
      <c r="W15" s="6" t="inlineStr">
        <is>
          <t>https://www.linkedin.com/company/wan-bridge-group/</t>
        </is>
      </c>
      <c r="X15" s="6" t="inlineStr">
        <is>
          <t>https://wanbridge.com/leadership/</t>
        </is>
      </c>
      <c r="Y15" s="6" t="inlineStr">
        <is>
          <t>2025-11-24 Realty News Report. Build-To-Rent Boom: Dellrose, Yardly and More  https://realtynewsreport.com/build-to-rent-boom-dellrose-yardly-and-more/</t>
        </is>
      </c>
      <c r="Z15" s="6" t="inlineStr">
        <is>
          <t>(713) 219-9400</t>
        </is>
      </c>
      <c r="AA15" s="6" t="inlineStr">
        <is>
          <t>corporate</t>
        </is>
      </c>
      <c r="AB15" s="6" t="inlineStr">
        <is>
          <t>https://wanbridge.com/</t>
        </is>
      </c>
      <c r="AC15" s="6" t="inlineStr"/>
      <c r="AD15" s="6" t="inlineStr"/>
    </row>
    <row r="16">
      <c r="A16" s="12" t="inlineStr">
        <is>
          <t>Keith Clipp</t>
        </is>
      </c>
      <c r="B16" s="12" t="inlineStr">
        <is>
          <t>Wan Bridge Group</t>
        </is>
      </c>
      <c r="C16" s="12" t="inlineStr">
        <is>
          <t>Executive Vice President, Development and Operations</t>
        </is>
      </c>
      <c r="D16" s="13" t="inlineStr">
        <is>
          <t>Holds all three counts</t>
        </is>
      </c>
      <c r="E16" s="14" t="n">
        <v>3</v>
      </c>
      <c r="F16" s="12" t="inlineStr">
        <is>
          <t>Buys walls</t>
        </is>
      </c>
      <c r="G16" s="12" t="inlineStr">
        <is>
          <t>Houston HQ / Harris, Fort Bend</t>
        </is>
      </c>
      <c r="H16" s="12" t="inlineStr">
        <is>
          <t>5 TX projects under way, 5 to 7 in pipeline (Apr 2025)</t>
        </is>
      </c>
      <c r="I16" s="14" t="inlineStr">
        <is>
          <t>Yes</t>
        </is>
      </c>
      <c r="J16" s="15" t="inlineStr">
        <is>
          <t>Five Texas projects announced in one release.</t>
        </is>
      </c>
      <c r="K16" s="14" t="inlineStr">
        <is>
          <t>Partly</t>
        </is>
      </c>
      <c r="L16" s="15" t="inlineStr">
        <is>
          <t>No yearly figure published.</t>
        </is>
      </c>
      <c r="M16" s="14" t="inlineStr">
        <is>
          <t>Partly</t>
        </is>
      </c>
      <c r="N16" s="15" t="inlineStr">
        <is>
          <t>Six years on its own construction software, plus robotic site inspection. Software, not a wall method.</t>
        </is>
      </c>
      <c r="O16" s="10" t="inlineStr"/>
      <c r="P16" s="12" t="inlineStr"/>
      <c r="Q16" s="16">
        <f>IF(O16="","ADD LINKEDIN","ok")</f>
        <v/>
      </c>
      <c r="R16" s="12" t="inlineStr">
        <is>
          <t>https://wanbridge.com/</t>
        </is>
      </c>
      <c r="S16" s="15" t="inlineStr">
        <is>
          <t>Spent six years on its own construction software and site robotics. Keith Clipp runs development and operations.</t>
        </is>
      </c>
      <c r="T16" s="12" t="inlineStr">
        <is>
          <t>YES</t>
        </is>
      </c>
      <c r="U16" s="15" t="inlineStr">
        <is>
          <t>One of seven named leaders.</t>
        </is>
      </c>
      <c r="V16" s="12" t="inlineStr">
        <is>
          <t>https://wanbridge.com/leadership/</t>
        </is>
      </c>
      <c r="W16" s="12" t="inlineStr">
        <is>
          <t>https://www.linkedin.com/company/wan-bridge-group/</t>
        </is>
      </c>
      <c r="X16" s="12" t="inlineStr">
        <is>
          <t>https://wanbridge.com/leadership/</t>
        </is>
      </c>
      <c r="Y16" s="12" t="inlineStr">
        <is>
          <t>2025-11-24 Realty News Report. Build-To-Rent Boom: Dellrose, Yardly and More  https://realtynewsreport.com/build-to-rent-boom-dellrose-yardly-and-more/</t>
        </is>
      </c>
      <c r="Z16" s="12" t="inlineStr">
        <is>
          <t>(713) 219-9400</t>
        </is>
      </c>
      <c r="AA16" s="12" t="inlineStr">
        <is>
          <t>corporate</t>
        </is>
      </c>
      <c r="AB16" s="12" t="inlineStr">
        <is>
          <t>https://wanbridge.com/</t>
        </is>
      </c>
      <c r="AC16" s="12" t="inlineStr"/>
      <c r="AD16" s="12" t="inlineStr"/>
    </row>
    <row r="17">
      <c r="A17" s="6" t="inlineStr">
        <is>
          <t>Kyle Spicer</t>
        </is>
      </c>
      <c r="B17" s="6" t="inlineStr">
        <is>
          <t>Wan Bridge Group</t>
        </is>
      </c>
      <c r="C17" s="6" t="inlineStr">
        <is>
          <t>Senior Vice President of Land Acquisition</t>
        </is>
      </c>
      <c r="D17" s="7" t="inlineStr">
        <is>
          <t>Holds all three counts</t>
        </is>
      </c>
      <c r="E17" s="8" t="n">
        <v>3</v>
      </c>
      <c r="F17" s="6" t="inlineStr">
        <is>
          <t>Buys walls</t>
        </is>
      </c>
      <c r="G17" s="6" t="inlineStr">
        <is>
          <t>Houston HQ / Harris, Fort Bend</t>
        </is>
      </c>
      <c r="H17" s="6" t="inlineStr">
        <is>
          <t>5 TX projects under way, 5 to 7 in pipeline (Apr 2025)</t>
        </is>
      </c>
      <c r="I17" s="8" t="inlineStr">
        <is>
          <t>Yes</t>
        </is>
      </c>
      <c r="J17" s="9" t="inlineStr">
        <is>
          <t>Five Texas projects announced in one release.</t>
        </is>
      </c>
      <c r="K17" s="8" t="inlineStr">
        <is>
          <t>Partly</t>
        </is>
      </c>
      <c r="L17" s="9" t="inlineStr">
        <is>
          <t>No yearly figure published.</t>
        </is>
      </c>
      <c r="M17" s="8" t="inlineStr">
        <is>
          <t>Partly</t>
        </is>
      </c>
      <c r="N17" s="9" t="inlineStr">
        <is>
          <t>Six years on its own construction software, plus robotic site inspection. Software, not a wall method.</t>
        </is>
      </c>
      <c r="O17" s="10" t="inlineStr"/>
      <c r="P17" s="6" t="inlineStr"/>
      <c r="Q17" s="11">
        <f>IF(O17="","ADD LINKEDIN","ok")</f>
        <v/>
      </c>
      <c r="R17" s="6" t="inlineStr">
        <is>
          <t>https://wanbridge.com/</t>
        </is>
      </c>
      <c r="S17" s="9" t="inlineStr">
        <is>
          <t>Spent six years on its own construction software and site robotics. Keith Clipp runs development and operations.</t>
        </is>
      </c>
      <c r="T17" s="6" t="inlineStr"/>
      <c r="U17" s="9" t="inlineStr"/>
      <c r="V17" s="6" t="inlineStr">
        <is>
          <t>https://wanbridge.com/leadership/</t>
        </is>
      </c>
      <c r="W17" s="6" t="inlineStr">
        <is>
          <t>https://www.linkedin.com/company/wan-bridge-group/</t>
        </is>
      </c>
      <c r="X17" s="6" t="inlineStr">
        <is>
          <t>https://wanbridge.com/leadership/</t>
        </is>
      </c>
      <c r="Y17" s="6" t="inlineStr">
        <is>
          <t>2025-11-24 Realty News Report. Build-To-Rent Boom: Dellrose, Yardly and More  https://realtynewsreport.com/build-to-rent-boom-dellrose-yardly-and-more/</t>
        </is>
      </c>
      <c r="Z17" s="6" t="inlineStr">
        <is>
          <t>(713) 219-9400</t>
        </is>
      </c>
      <c r="AA17" s="6" t="inlineStr">
        <is>
          <t>corporate</t>
        </is>
      </c>
      <c r="AB17" s="6" t="inlineStr">
        <is>
          <t>https://wanbridge.com/</t>
        </is>
      </c>
      <c r="AC17" s="6" t="inlineStr"/>
      <c r="AD17" s="6" t="inlineStr"/>
    </row>
    <row r="18">
      <c r="A18" s="12" t="inlineStr">
        <is>
          <t>Rame Hruska</t>
        </is>
      </c>
      <c r="B18" s="12" t="inlineStr">
        <is>
          <t>Aura Dwellings and Hospitality</t>
        </is>
      </c>
      <c r="C18" s="12" t="inlineStr">
        <is>
          <t>Co-founder and Chief Executive Officer</t>
        </is>
      </c>
      <c r="D18" s="13" t="inlineStr">
        <is>
          <t>Holds all three counts</t>
        </is>
      </c>
      <c r="E18" s="14" t="n">
        <v>3</v>
      </c>
      <c r="F18" s="12" t="inlineStr">
        <is>
          <t>Buys walls</t>
        </is>
      </c>
      <c r="G18" s="12" t="inlineStr">
        <is>
          <t>Houston, Harris</t>
        </is>
      </c>
      <c r="H18" s="12" t="inlineStr">
        <is>
          <t>Factory-built ADUs from $99,000 turnkey in Houston</t>
        </is>
      </c>
      <c r="I18" s="14" t="inlineStr">
        <is>
          <t>Partly</t>
        </is>
      </c>
      <c r="J18" s="15" t="inlineStr">
        <is>
          <t>A published product line, not one-off design. No built volume published.</t>
        </is>
      </c>
      <c r="K18" s="14" t="inlineStr">
        <is>
          <t>Partly</t>
        </is>
      </c>
      <c r="L18" s="15" t="inlineStr">
        <is>
          <t>No annual volume published.</t>
        </is>
      </c>
      <c r="M18" s="14" t="inlineStr">
        <is>
          <t>Yes</t>
        </is>
      </c>
      <c r="N18" s="15" t="inlineStr">
        <is>
          <t>Whole model is factory-built construction.</t>
        </is>
      </c>
      <c r="O18" s="10" t="inlineStr"/>
      <c r="P18" s="12" t="inlineStr"/>
      <c r="Q18" s="16">
        <f>IF(O18="","ADD LINKEDIN","ok")</f>
        <v/>
      </c>
      <c r="R18" s="12" t="inlineStr">
        <is>
          <t>https://www.auradwellings.com/</t>
        </is>
      </c>
      <c r="S18" s="15" t="inlineStr">
        <is>
          <t>It moved its wall production into a factory, but its own site names no individual to call.</t>
        </is>
      </c>
      <c r="T18" s="12" t="inlineStr">
        <is>
          <t>YES</t>
        </is>
      </c>
      <c r="U18" s="15" t="inlineStr">
        <is>
          <t>AGC Houston's Cornerstone, winter 2025 to 2026. Quoted as co-founder and chief executive.</t>
        </is>
      </c>
      <c r="V18" s="12" t="inlineStr">
        <is>
          <t>https://www.marekbros.com/the-future-is-factory-built/</t>
        </is>
      </c>
      <c r="W18" s="12" t="inlineStr"/>
      <c r="X18" s="12" t="inlineStr"/>
      <c r="Y18" s="12" t="inlineStr"/>
      <c r="Z18" s="12" t="inlineStr">
        <is>
          <t>(832) 224-3603</t>
        </is>
      </c>
      <c r="AA18" s="12" t="inlineStr"/>
      <c r="AB18" s="12" t="inlineStr">
        <is>
          <t>https://www.auradwellings.com/</t>
        </is>
      </c>
      <c r="AC18" s="12" t="inlineStr"/>
      <c r="AD18" s="12" t="inlineStr"/>
    </row>
    <row r="19">
      <c r="A19" s="6" t="inlineStr">
        <is>
          <t>Kevin Holland</t>
        </is>
      </c>
      <c r="B19" s="6" t="inlineStr">
        <is>
          <t>Cervelle Homes</t>
        </is>
      </c>
      <c r="C19" s="6" t="inlineStr">
        <is>
          <t>Leads the firm with John Payson, no title published</t>
        </is>
      </c>
      <c r="D19" s="7" t="inlineStr">
        <is>
          <t>One gap</t>
        </is>
      </c>
      <c r="E19" s="8" t="n">
        <v>2</v>
      </c>
      <c r="F19" s="6" t="inlineStr">
        <is>
          <t>Buys walls</t>
        </is>
      </c>
      <c r="G19" s="6" t="inlineStr">
        <is>
          <t>Friendswood, Galveston-Harris</t>
        </is>
      </c>
      <c r="H19" s="6" t="inlineStr">
        <is>
          <t>150 to 200 homes a year, 3,000-plus since 1990</t>
        </is>
      </c>
      <c r="I19" s="8" t="inlineStr">
        <is>
          <t>Yes</t>
        </is>
      </c>
      <c r="J19" s="9" t="inlineStr">
        <is>
          <t>150 to 200 homes a year, in one southeast Houston corridor.</t>
        </is>
      </c>
      <c r="K19" s="8" t="inlineStr">
        <is>
          <t>Yes</t>
        </is>
      </c>
      <c r="L19" s="9" t="inlineStr">
        <is>
          <t>One machine would carry part of yearly output.</t>
        </is>
      </c>
      <c r="M19" s="8" t="inlineStr">
        <is>
          <t>No</t>
        </is>
      </c>
      <c r="N19" s="9" t="inlineStr">
        <is>
          <t>No method statement. Its efficiency claim is the same trades since 1990.</t>
        </is>
      </c>
      <c r="O19" s="10" t="inlineStr"/>
      <c r="P19" s="6">
        <f>HYPERLINK("https://www.linkedin.com/search/results/people/?keywords=Kevin%20Holland%20Cervelle%20Homes","search")</f>
        <v/>
      </c>
      <c r="Q19" s="11">
        <f>IF(O19="","ADD LINKEDIN","ok")</f>
        <v/>
      </c>
      <c r="R19" s="6" t="inlineStr">
        <is>
          <t>https://www.cervellehomes.com/</t>
        </is>
      </c>
      <c r="S19" s="9" t="inlineStr">
        <is>
          <t>It builds two standing plan families in one corridor, but its efficiency claim rests on the same trades, not a new method.</t>
        </is>
      </c>
      <c r="T19" s="6" t="inlineStr">
        <is>
          <t>YES</t>
        </is>
      </c>
      <c r="U19" s="9" t="inlineStr">
        <is>
          <t>Homepage.</t>
        </is>
      </c>
      <c r="V19" s="6" t="inlineStr">
        <is>
          <t>https://www.cervellehomes.com/</t>
        </is>
      </c>
      <c r="W19" s="6" t="inlineStr"/>
      <c r="X19" s="6" t="inlineStr"/>
      <c r="Y19" s="6" t="inlineStr"/>
      <c r="Z19" s="6" t="inlineStr">
        <is>
          <t>(281) 482-5864</t>
        </is>
      </c>
      <c r="AA19" s="6" t="inlineStr">
        <is>
          <t>office</t>
        </is>
      </c>
      <c r="AB19" s="6" t="inlineStr">
        <is>
          <t>https://www.cervellehomes.com/</t>
        </is>
      </c>
      <c r="AC19" s="6" t="inlineStr"/>
      <c r="AD19" s="6" t="inlineStr"/>
    </row>
    <row r="20">
      <c r="A20" s="12" t="inlineStr">
        <is>
          <t>John Payson</t>
        </is>
      </c>
      <c r="B20" s="12" t="inlineStr">
        <is>
          <t>Cervelle Homes</t>
        </is>
      </c>
      <c r="C20" s="12" t="inlineStr">
        <is>
          <t>Leads the firm with Kevin Holland, no title published</t>
        </is>
      </c>
      <c r="D20" s="13" t="inlineStr">
        <is>
          <t>One gap</t>
        </is>
      </c>
      <c r="E20" s="14" t="n">
        <v>2</v>
      </c>
      <c r="F20" s="12" t="inlineStr">
        <is>
          <t>Buys walls</t>
        </is>
      </c>
      <c r="G20" s="12" t="inlineStr">
        <is>
          <t>Friendswood, Galveston-Harris</t>
        </is>
      </c>
      <c r="H20" s="12" t="inlineStr">
        <is>
          <t>150 to 200 homes a year, 3,000-plus since 1990</t>
        </is>
      </c>
      <c r="I20" s="14" t="inlineStr">
        <is>
          <t>Yes</t>
        </is>
      </c>
      <c r="J20" s="15" t="inlineStr">
        <is>
          <t>150 to 200 homes a year, in one southeast Houston corridor.</t>
        </is>
      </c>
      <c r="K20" s="14" t="inlineStr">
        <is>
          <t>Yes</t>
        </is>
      </c>
      <c r="L20" s="15" t="inlineStr">
        <is>
          <t>One machine would carry part of yearly output.</t>
        </is>
      </c>
      <c r="M20" s="14" t="inlineStr">
        <is>
          <t>No</t>
        </is>
      </c>
      <c r="N20" s="15" t="inlineStr">
        <is>
          <t>No method statement. Its efficiency claim is the same trades since 1990.</t>
        </is>
      </c>
      <c r="O20" s="10" t="inlineStr"/>
      <c r="P20" s="12">
        <f>HYPERLINK("https://www.linkedin.com/search/results/people/?keywords=John%20Payson%20Cervelle%20Homes","search")</f>
        <v/>
      </c>
      <c r="Q20" s="16">
        <f>IF(O20="","ADD LINKEDIN","ok")</f>
        <v/>
      </c>
      <c r="R20" s="12" t="inlineStr">
        <is>
          <t>https://www.cervellehomes.com/</t>
        </is>
      </c>
      <c r="S20" s="15" t="inlineStr">
        <is>
          <t>It builds two standing plan families in one corridor, but its efficiency claim rests on the same trades, not a new method.</t>
        </is>
      </c>
      <c r="T20" s="12" t="inlineStr">
        <is>
          <t>YES</t>
        </is>
      </c>
      <c r="U20" s="15" t="inlineStr">
        <is>
          <t>Homepage.</t>
        </is>
      </c>
      <c r="V20" s="12" t="inlineStr">
        <is>
          <t>https://www.cervellehomes.com/</t>
        </is>
      </c>
      <c r="W20" s="12" t="inlineStr"/>
      <c r="X20" s="12" t="inlineStr"/>
      <c r="Y20" s="12" t="inlineStr"/>
      <c r="Z20" s="12" t="inlineStr">
        <is>
          <t>(281) 482-5864</t>
        </is>
      </c>
      <c r="AA20" s="12" t="inlineStr">
        <is>
          <t>office</t>
        </is>
      </c>
      <c r="AB20" s="12" t="inlineStr">
        <is>
          <t>https://www.cervellehomes.com/</t>
        </is>
      </c>
      <c r="AC20" s="12" t="inlineStr"/>
      <c r="AD20" s="12" t="inlineStr"/>
    </row>
    <row r="21">
      <c r="A21" s="6" t="inlineStr">
        <is>
          <t>Dru Kahlenberg</t>
        </is>
      </c>
      <c r="B21" s="6" t="inlineStr">
        <is>
          <t>Alta Homes</t>
        </is>
      </c>
      <c r="C21" s="6" t="inlineStr">
        <is>
          <t>Chief Executive Officer</t>
        </is>
      </c>
      <c r="D21" s="7" t="inlineStr">
        <is>
          <t>One gap</t>
        </is>
      </c>
      <c r="E21" s="8" t="n">
        <v>2</v>
      </c>
      <c r="F21" s="6" t="inlineStr">
        <is>
          <t>Buys walls</t>
        </is>
      </c>
      <c r="G21" s="6" t="inlineStr">
        <is>
          <t>Willis and Conroe, Montgomery</t>
        </is>
      </c>
      <c r="H21" s="6" t="inlineStr">
        <is>
          <t>About 45 closings in 2025, all in Montgomery County, 70 planned for 2026</t>
        </is>
      </c>
      <c r="I21" s="8" t="inlineStr">
        <is>
          <t>Yes</t>
        </is>
      </c>
      <c r="J21" s="9" t="inlineStr">
        <is>
          <t>Four communities, three more announced, one corridor.</t>
        </is>
      </c>
      <c r="K21" s="8" t="inlineStr">
        <is>
          <t>Yes</t>
        </is>
      </c>
      <c r="L21" s="9" t="inlineStr">
        <is>
          <t>45 closings in 2025, 70 planned for 2026. One machine would cover most of it.</t>
        </is>
      </c>
      <c r="M21" s="8" t="inlineStr">
        <is>
          <t>No</t>
        </is>
      </c>
      <c r="N21" s="9" t="inlineStr">
        <is>
          <t>No method evidence.</t>
        </is>
      </c>
      <c r="O21" s="10" t="inlineStr"/>
      <c r="P21" s="6">
        <f>HYPERLINK("https://www.linkedin.com/search/results/people/?keywords=Dru%20Kahlenberg%20Alta%20Homes","search")</f>
        <v/>
      </c>
      <c r="Q21" s="11">
        <f>IF(O21="","ADD LINKEDIN","ok")</f>
        <v/>
      </c>
      <c r="R21" s="6" t="inlineStr">
        <is>
          <t>https://www.myaltahomes.com/</t>
        </is>
      </c>
      <c r="S21" s="9" t="inlineStr">
        <is>
          <t>One machine would cover most of a year's walls, and one purchasing manager buys its materials.</t>
        </is>
      </c>
      <c r="T21" s="6" t="inlineStr"/>
      <c r="U21" s="9" t="inlineStr">
        <is>
          <t>About page. Signs off on every land deal and its financing.</t>
        </is>
      </c>
      <c r="V21" s="6" t="inlineStr">
        <is>
          <t>https://www.myaltahomes.com/about</t>
        </is>
      </c>
      <c r="W21" s="6" t="inlineStr"/>
      <c r="X21" s="6" t="inlineStr"/>
      <c r="Y21" s="6" t="inlineStr"/>
      <c r="Z21" s="6" t="inlineStr">
        <is>
          <t>(936) 299-4373</t>
        </is>
      </c>
      <c r="AA21" s="6" t="inlineStr"/>
      <c r="AB21" s="6" t="inlineStr">
        <is>
          <t>https://www.myaltahomes.com/</t>
        </is>
      </c>
      <c r="AC21" s="6" t="inlineStr"/>
      <c r="AD21" s="6" t="inlineStr"/>
    </row>
    <row r="22">
      <c r="A22" s="12" t="inlineStr">
        <is>
          <t>Scott Gilbert</t>
        </is>
      </c>
      <c r="B22" s="12" t="inlineStr">
        <is>
          <t>Alta Homes</t>
        </is>
      </c>
      <c r="C22" s="12" t="inlineStr">
        <is>
          <t>President</t>
        </is>
      </c>
      <c r="D22" s="13" t="inlineStr">
        <is>
          <t>One gap</t>
        </is>
      </c>
      <c r="E22" s="14" t="n">
        <v>2</v>
      </c>
      <c r="F22" s="12" t="inlineStr">
        <is>
          <t>Buys walls</t>
        </is>
      </c>
      <c r="G22" s="12" t="inlineStr">
        <is>
          <t>Willis and Conroe, Montgomery</t>
        </is>
      </c>
      <c r="H22" s="12" t="inlineStr">
        <is>
          <t>About 45 closings in 2025, all in Montgomery County, 70 planned for 2026</t>
        </is>
      </c>
      <c r="I22" s="14" t="inlineStr">
        <is>
          <t>Yes</t>
        </is>
      </c>
      <c r="J22" s="15" t="inlineStr">
        <is>
          <t>Four communities, three more announced, one corridor.</t>
        </is>
      </c>
      <c r="K22" s="14" t="inlineStr">
        <is>
          <t>Yes</t>
        </is>
      </c>
      <c r="L22" s="15" t="inlineStr">
        <is>
          <t>45 closings in 2025, 70 planned for 2026. One machine would cover most of it.</t>
        </is>
      </c>
      <c r="M22" s="14" t="inlineStr">
        <is>
          <t>No</t>
        </is>
      </c>
      <c r="N22" s="15" t="inlineStr">
        <is>
          <t>No method evidence.</t>
        </is>
      </c>
      <c r="O22" s="10" t="inlineStr"/>
      <c r="P22" s="12">
        <f>HYPERLINK("https://www.linkedin.com/search/results/people/?keywords=Scott%20Gilbert%20Alta%20Homes","search")</f>
        <v/>
      </c>
      <c r="Q22" s="16">
        <f>IF(O22="","ADD LINKEDIN","ok")</f>
        <v/>
      </c>
      <c r="R22" s="12" t="inlineStr">
        <is>
          <t>https://www.myaltahomes.com/</t>
        </is>
      </c>
      <c r="S22" s="15" t="inlineStr">
        <is>
          <t>One machine would cover most of a year's walls, and one purchasing manager buys its materials.</t>
        </is>
      </c>
      <c r="T22" s="12" t="inlineStr"/>
      <c r="U22" s="15" t="inlineStr">
        <is>
          <t>About page. Focused on teams, vendor partnerships and efficient construction.</t>
        </is>
      </c>
      <c r="V22" s="12" t="inlineStr">
        <is>
          <t>https://www.myaltahomes.com/about</t>
        </is>
      </c>
      <c r="W22" s="12" t="inlineStr"/>
      <c r="X22" s="12" t="inlineStr"/>
      <c r="Y22" s="12" t="inlineStr"/>
      <c r="Z22" s="12" t="inlineStr">
        <is>
          <t>(936) 299-4373</t>
        </is>
      </c>
      <c r="AA22" s="12" t="inlineStr"/>
      <c r="AB22" s="12" t="inlineStr">
        <is>
          <t>https://www.myaltahomes.com/</t>
        </is>
      </c>
      <c r="AC22" s="12" t="inlineStr"/>
      <c r="AD22" s="12" t="inlineStr"/>
    </row>
    <row r="23">
      <c r="A23" s="6" t="inlineStr">
        <is>
          <t>Ashley Meinecke</t>
        </is>
      </c>
      <c r="B23" s="6" t="inlineStr">
        <is>
          <t>Alta Homes</t>
        </is>
      </c>
      <c r="C23" s="6" t="inlineStr">
        <is>
          <t>Accounts Payable and Purchasing Manager</t>
        </is>
      </c>
      <c r="D23" s="7" t="inlineStr">
        <is>
          <t>One gap</t>
        </is>
      </c>
      <c r="E23" s="8" t="n">
        <v>2</v>
      </c>
      <c r="F23" s="6" t="inlineStr">
        <is>
          <t>Buys walls</t>
        </is>
      </c>
      <c r="G23" s="6" t="inlineStr">
        <is>
          <t>Willis and Conroe, Montgomery</t>
        </is>
      </c>
      <c r="H23" s="6" t="inlineStr">
        <is>
          <t>About 45 closings in 2025, all in Montgomery County, 70 planned for 2026</t>
        </is>
      </c>
      <c r="I23" s="8" t="inlineStr">
        <is>
          <t>Yes</t>
        </is>
      </c>
      <c r="J23" s="9" t="inlineStr">
        <is>
          <t>Four communities, three more announced, one corridor.</t>
        </is>
      </c>
      <c r="K23" s="8" t="inlineStr">
        <is>
          <t>Yes</t>
        </is>
      </c>
      <c r="L23" s="9" t="inlineStr">
        <is>
          <t>45 closings in 2025, 70 planned for 2026. One machine would cover most of it.</t>
        </is>
      </c>
      <c r="M23" s="8" t="inlineStr">
        <is>
          <t>No</t>
        </is>
      </c>
      <c r="N23" s="9" t="inlineStr">
        <is>
          <t>No method evidence.</t>
        </is>
      </c>
      <c r="O23" s="10" t="inlineStr"/>
      <c r="P23" s="6">
        <f>HYPERLINK("https://www.linkedin.com/search/results/people/?keywords=Ashley%20Meinecke%20Alta%20Homes","search")</f>
        <v/>
      </c>
      <c r="Q23" s="11">
        <f>IF(O23="","ADD LINKEDIN","ok")</f>
        <v/>
      </c>
      <c r="R23" s="6" t="inlineStr">
        <is>
          <t>https://www.myaltahomes.com/</t>
        </is>
      </c>
      <c r="S23" s="9" t="inlineStr">
        <is>
          <t>One machine would cover most of a year's walls, and one purchasing manager buys its materials.</t>
        </is>
      </c>
      <c r="T23" s="6" t="inlineStr">
        <is>
          <t>YES</t>
        </is>
      </c>
      <c r="U23" s="9" t="inlineStr"/>
      <c r="V23" s="6" t="inlineStr">
        <is>
          <t>https://www.myaltahomes.com/about</t>
        </is>
      </c>
      <c r="W23" s="6" t="inlineStr"/>
      <c r="X23" s="6" t="inlineStr"/>
      <c r="Y23" s="6" t="inlineStr"/>
      <c r="Z23" s="6" t="inlineStr">
        <is>
          <t>(936) 299-4373</t>
        </is>
      </c>
      <c r="AA23" s="6" t="inlineStr"/>
      <c r="AB23" s="6" t="inlineStr">
        <is>
          <t>https://www.myaltahomes.com/</t>
        </is>
      </c>
      <c r="AC23" s="6" t="inlineStr"/>
      <c r="AD23" s="6" t="inlineStr"/>
    </row>
    <row r="24">
      <c r="A24" s="12" t="inlineStr">
        <is>
          <t>Roderick Flint</t>
        </is>
      </c>
      <c r="B24" s="12" t="inlineStr">
        <is>
          <t>Brohn Homes</t>
        </is>
      </c>
      <c r="C24" s="12" t="inlineStr">
        <is>
          <t>Division President, Houston</t>
        </is>
      </c>
      <c r="D24" s="13" t="inlineStr">
        <is>
          <t>One gap</t>
        </is>
      </c>
      <c r="E24" s="14" t="n">
        <v>2</v>
      </c>
      <c r="F24" s="12" t="inlineStr">
        <is>
          <t>Buys walls</t>
        </is>
      </c>
      <c r="G24" s="12" t="inlineStr">
        <is>
          <t>Austin, with a Houston division</t>
        </is>
      </c>
      <c r="H24" s="12" t="inlineStr">
        <is>
          <t>Average build time of 3.5 months, company-wide</t>
        </is>
      </c>
      <c r="I24" s="14" t="inlineStr">
        <is>
          <t>Yes</t>
        </is>
      </c>
      <c r="J24" s="15" t="inlineStr">
        <is>
          <t>Communities in the north, west and south suburbs.</t>
        </is>
      </c>
      <c r="K24" s="14" t="inlineStr">
        <is>
          <t>Partly</t>
        </is>
      </c>
      <c r="L24" s="15" t="inlineStr">
        <is>
          <t>No Houston closings figure published.</t>
        </is>
      </c>
      <c r="M24" s="14" t="inlineStr">
        <is>
          <t>No</t>
        </is>
      </c>
      <c r="N24" s="15" t="inlineStr">
        <is>
          <t>No method on record. Publishes a three and a half month average build time.</t>
        </is>
      </c>
      <c r="O24" s="10" t="inlineStr"/>
      <c r="P24" s="12">
        <f>HYPERLINK("https://www.linkedin.com/search/results/people/?keywords=Roderick%20Flint%20Brohn%20Homes","search")</f>
        <v/>
      </c>
      <c r="Q24" s="16">
        <f>IF(O24="","ADD LINKEDIN","ok")</f>
        <v/>
      </c>
      <c r="R24" s="12" t="inlineStr">
        <is>
          <t>https://www.brohnhomes.com/</t>
        </is>
      </c>
      <c r="S24" s="15" t="inlineStr">
        <is>
          <t>Schedule is already how it competes, but Houston purchasing may run through the parent.</t>
        </is>
      </c>
      <c r="T24" s="12" t="inlineStr">
        <is>
          <t>YES</t>
        </is>
      </c>
      <c r="U24" s="15" t="inlineStr">
        <is>
          <t>Firm's Houston launch post. Quoted on folding in existing plans.</t>
        </is>
      </c>
      <c r="V24" s="12" t="inlineStr">
        <is>
          <t>https://brohnhomes.com/community-impact-features-brohn-homes-houston-vision/</t>
        </is>
      </c>
      <c r="W24" s="12" t="inlineStr"/>
      <c r="X24" s="12" t="inlineStr"/>
      <c r="Y24" s="12" t="inlineStr"/>
      <c r="Z24" s="12" t="inlineStr">
        <is>
          <t>(512) 334-6775</t>
        </is>
      </c>
      <c r="AA24" s="12" t="inlineStr"/>
      <c r="AB24" s="12" t="inlineStr">
        <is>
          <t>https://www.brohnhomes.com/</t>
        </is>
      </c>
      <c r="AC24" s="12" t="inlineStr"/>
      <c r="AD24" s="12" t="inlineStr"/>
    </row>
    <row r="25">
      <c r="A25" s="6" t="inlineStr">
        <is>
          <t>Steve Sample</t>
        </is>
      </c>
      <c r="B25" s="6" t="inlineStr">
        <is>
          <t>Highland Homes / HHS Residential</t>
        </is>
      </c>
      <c r="C25" s="6" t="inlineStr">
        <is>
          <t>Head of Land, Houston</t>
        </is>
      </c>
      <c r="D25" s="7" t="inlineStr">
        <is>
          <t>One gap</t>
        </is>
      </c>
      <c r="E25" s="8" t="n">
        <v>2</v>
      </c>
      <c r="F25" s="6" t="inlineStr">
        <is>
          <t>Buys walls</t>
        </is>
      </c>
      <c r="G25" s="6" t="inlineStr">
        <is>
          <t>Houston / Brookshire to Willis</t>
        </is>
      </c>
      <c r="H25" s="6" t="inlineStr">
        <is>
          <t>968 Houston closings in 2025, tenth in the metro</t>
        </is>
      </c>
      <c r="I25" s="8" t="inlineStr">
        <is>
          <t>Yes</t>
        </is>
      </c>
      <c r="J25" s="9" t="inlineStr">
        <is>
          <t>Three Tricon communities in Richmond, Tomball and Katy. For-sale communities from Brookshire to Willis.</t>
        </is>
      </c>
      <c r="K25" s="8" t="inlineStr">
        <is>
          <t>Partly</t>
        </is>
      </c>
      <c r="L25" s="9" t="inlineStr">
        <is>
          <t>968 Houston closings in 2025. A machine would be a line inside the business.</t>
        </is>
      </c>
      <c r="M25" s="8" t="inlineStr">
        <is>
          <t>No</t>
        </is>
      </c>
      <c r="N25" s="9" t="inlineStr">
        <is>
          <t>Energy features only. No wall change.</t>
        </is>
      </c>
      <c r="O25" s="10" t="inlineStr"/>
      <c r="P25" s="6" t="inlineStr"/>
      <c r="Q25" s="11">
        <f>IF(O25="","ADD LINKEDIN","ok")</f>
        <v/>
      </c>
      <c r="R25" s="6" t="inlineStr">
        <is>
          <t>https://www.highlandhomes.com/houston/</t>
        </is>
      </c>
      <c r="S25" s="9" t="inlineStr">
        <is>
          <t>Through HHS Residential it builds detached rental homes for one owner, 90 to 175 a site, but no wall change is published.</t>
        </is>
      </c>
      <c r="T25" s="6" t="inlineStr"/>
      <c r="U25" s="9" t="inlineStr">
        <is>
          <t>Named 3 November 2022.</t>
        </is>
      </c>
      <c r="V25" s="6" t="inlineStr">
        <is>
          <t>https://chartwellpartners.com/real-estate/highland-homes-announces-steve-sample-as-head-of-land-houston/</t>
        </is>
      </c>
      <c r="W25" s="6" t="inlineStr"/>
      <c r="X25" s="6" t="inlineStr"/>
      <c r="Y25" s="6" t="inlineStr"/>
      <c r="Z25" s="6" t="inlineStr">
        <is>
          <t>(281) 517-9800</t>
        </is>
      </c>
      <c r="AA25" s="6" t="inlineStr">
        <is>
          <t>Houston office</t>
        </is>
      </c>
      <c r="AB25" s="6" t="inlineStr">
        <is>
          <t>https://www.highlandhomes.com/contact</t>
        </is>
      </c>
      <c r="AC25" s="6" t="inlineStr">
        <is>
          <t>information@hhsresidential.com</t>
        </is>
      </c>
      <c r="AD25" s="6" t="inlineStr">
        <is>
          <t>https://hhsresidential.com/about/</t>
        </is>
      </c>
    </row>
    <row r="26">
      <c r="A26" s="12" t="inlineStr">
        <is>
          <t>Matt McGhee</t>
        </is>
      </c>
      <c r="B26" s="12" t="inlineStr">
        <is>
          <t>Highland Homes / HHS Residential</t>
        </is>
      </c>
      <c r="C26" s="12" t="inlineStr">
        <is>
          <t>Vice President, HHS Residential</t>
        </is>
      </c>
      <c r="D26" s="13" t="inlineStr">
        <is>
          <t>One gap</t>
        </is>
      </c>
      <c r="E26" s="14" t="n">
        <v>2</v>
      </c>
      <c r="F26" s="12" t="inlineStr">
        <is>
          <t>Buys walls</t>
        </is>
      </c>
      <c r="G26" s="12" t="inlineStr">
        <is>
          <t>Houston / Brookshire to Willis</t>
        </is>
      </c>
      <c r="H26" s="12" t="inlineStr">
        <is>
          <t>968 Houston closings in 2025, tenth in the metro</t>
        </is>
      </c>
      <c r="I26" s="14" t="inlineStr">
        <is>
          <t>Yes</t>
        </is>
      </c>
      <c r="J26" s="15" t="inlineStr">
        <is>
          <t>Three Tricon communities in Richmond, Tomball and Katy. For-sale communities from Brookshire to Willis.</t>
        </is>
      </c>
      <c r="K26" s="14" t="inlineStr">
        <is>
          <t>Partly</t>
        </is>
      </c>
      <c r="L26" s="15" t="inlineStr">
        <is>
          <t>968 Houston closings in 2025. A machine would be a line inside the business.</t>
        </is>
      </c>
      <c r="M26" s="14" t="inlineStr">
        <is>
          <t>No</t>
        </is>
      </c>
      <c r="N26" s="15" t="inlineStr">
        <is>
          <t>Energy features only. No wall change.</t>
        </is>
      </c>
      <c r="O26" s="10" t="inlineStr"/>
      <c r="P26" s="12" t="inlineStr"/>
      <c r="Q26" s="16">
        <f>IF(O26="","ADD LINKEDIN","ok")</f>
        <v/>
      </c>
      <c r="R26" s="12" t="inlineStr">
        <is>
          <t>https://www.highlandhomes.com/houston/</t>
        </is>
      </c>
      <c r="S26" s="15" t="inlineStr">
        <is>
          <t>Through HHS Residential it builds detached rental homes for one owner, 90 to 175 a site, but no wall change is published.</t>
        </is>
      </c>
      <c r="T26" s="12" t="inlineStr"/>
      <c r="U26" s="15" t="inlineStr">
        <is>
          <t>HomeAid Houston release, June 2022.</t>
        </is>
      </c>
      <c r="V26" s="12" t="inlineStr">
        <is>
          <t>https://homeaidhouston.org/newsroom/homeaid-and-highland-homes-break-ground-on-transitional-housing-unit-in-conroe/</t>
        </is>
      </c>
      <c r="W26" s="12" t="inlineStr"/>
      <c r="X26" s="12" t="inlineStr"/>
      <c r="Y26" s="12" t="inlineStr"/>
      <c r="Z26" s="12" t="inlineStr">
        <is>
          <t>(281) 517-9800</t>
        </is>
      </c>
      <c r="AA26" s="12" t="inlineStr">
        <is>
          <t>Houston office</t>
        </is>
      </c>
      <c r="AB26" s="12" t="inlineStr">
        <is>
          <t>https://www.highlandhomes.com/contact</t>
        </is>
      </c>
      <c r="AC26" s="12" t="inlineStr">
        <is>
          <t>information@hhsresidential.com</t>
        </is>
      </c>
      <c r="AD26" s="12" t="inlineStr">
        <is>
          <t>https://hhsresidential.com/about/</t>
        </is>
      </c>
    </row>
    <row r="27">
      <c r="A27" s="6" t="inlineStr">
        <is>
          <t>Eddie Lin</t>
        </is>
      </c>
      <c r="B27" s="6" t="inlineStr">
        <is>
          <t>Highland Homes / HHS Residential</t>
        </is>
      </c>
      <c r="C27" s="6" t="inlineStr">
        <is>
          <t>Managing Director of Investments, HHS Residential</t>
        </is>
      </c>
      <c r="D27" s="7" t="inlineStr">
        <is>
          <t>One gap</t>
        </is>
      </c>
      <c r="E27" s="8" t="n">
        <v>2</v>
      </c>
      <c r="F27" s="6" t="inlineStr">
        <is>
          <t>Buys walls</t>
        </is>
      </c>
      <c r="G27" s="6" t="inlineStr">
        <is>
          <t>Houston / Brookshire to Willis</t>
        </is>
      </c>
      <c r="H27" s="6" t="inlineStr">
        <is>
          <t>968 Houston closings in 2025, tenth in the metro</t>
        </is>
      </c>
      <c r="I27" s="8" t="inlineStr">
        <is>
          <t>Yes</t>
        </is>
      </c>
      <c r="J27" s="9" t="inlineStr">
        <is>
          <t>Three Tricon communities in Richmond, Tomball and Katy. For-sale communities from Brookshire to Willis.</t>
        </is>
      </c>
      <c r="K27" s="8" t="inlineStr">
        <is>
          <t>Partly</t>
        </is>
      </c>
      <c r="L27" s="9" t="inlineStr">
        <is>
          <t>968 Houston closings in 2025. A machine would be a line inside the business.</t>
        </is>
      </c>
      <c r="M27" s="8" t="inlineStr">
        <is>
          <t>No</t>
        </is>
      </c>
      <c r="N27" s="9" t="inlineStr">
        <is>
          <t>Energy features only. No wall change.</t>
        </is>
      </c>
      <c r="O27" s="10" t="inlineStr"/>
      <c r="P27" s="6" t="inlineStr"/>
      <c r="Q27" s="11">
        <f>IF(O27="","ADD LINKEDIN","ok")</f>
        <v/>
      </c>
      <c r="R27" s="6" t="inlineStr">
        <is>
          <t>https://www.highlandhomes.com/houston/</t>
        </is>
      </c>
      <c r="S27" s="9" t="inlineStr">
        <is>
          <t>Through HHS Residential it builds detached rental homes for one owner, 90 to 175 a site, but no wall change is published.</t>
        </is>
      </c>
      <c r="T27" s="6" t="inlineStr"/>
      <c r="U27" s="9" t="inlineStr">
        <is>
          <t>New role running the build-to-rent portfolio.</t>
        </is>
      </c>
      <c r="V27" s="6" t="inlineStr">
        <is>
          <t>https://chartwellpartners.com/real-estate/highland-homes-names-eddie-lin-as-managing-director-of-investments-for-hhs-residential/</t>
        </is>
      </c>
      <c r="W27" s="6" t="inlineStr"/>
      <c r="X27" s="6" t="inlineStr"/>
      <c r="Y27" s="6" t="inlineStr"/>
      <c r="Z27" s="6" t="inlineStr">
        <is>
          <t>(281) 517-9800</t>
        </is>
      </c>
      <c r="AA27" s="6" t="inlineStr">
        <is>
          <t>Houston office</t>
        </is>
      </c>
      <c r="AB27" s="6" t="inlineStr">
        <is>
          <t>https://www.highlandhomes.com/contact</t>
        </is>
      </c>
      <c r="AC27" s="6" t="inlineStr">
        <is>
          <t>information@hhsresidential.com</t>
        </is>
      </c>
      <c r="AD27" s="6" t="inlineStr">
        <is>
          <t>https://hhsresidential.com/about/</t>
        </is>
      </c>
    </row>
    <row r="28">
      <c r="A28" s="12" t="inlineStr">
        <is>
          <t>Jamie Bryant</t>
        </is>
      </c>
      <c r="B28" s="12" t="inlineStr">
        <is>
          <t>Houston Housing Authority</t>
        </is>
      </c>
      <c r="C28" s="12" t="inlineStr">
        <is>
          <t>President and Chief Executive Officer, named February 2025</t>
        </is>
      </c>
      <c r="D28" s="13" t="inlineStr">
        <is>
          <t>One gap</t>
        </is>
      </c>
      <c r="E28" s="14" t="n">
        <v>2</v>
      </c>
      <c r="F28" s="12" t="inlineStr">
        <is>
          <t>Buys walls</t>
        </is>
      </c>
      <c r="G28" s="12" t="inlineStr">
        <is>
          <t>Third Ward / citywide, Harris County</t>
        </is>
      </c>
      <c r="H28" s="12" t="inlineStr">
        <is>
          <t>$600M+ program, 5 phases, 2025-2032</t>
        </is>
      </c>
      <c r="I28" s="14" t="inlineStr">
        <is>
          <t>Yes</t>
        </is>
      </c>
      <c r="J28" s="15" t="inlineStr">
        <is>
          <t>Five phases at Cuney Homes, 2025 to 2032.</t>
        </is>
      </c>
      <c r="K28" s="14" t="inlineStr">
        <is>
          <t>Partly</t>
        </is>
      </c>
      <c r="L28" s="15" t="inlineStr">
        <is>
          <t>A $600 million program in five phases. Multifamily, publicly procured.</t>
        </is>
      </c>
      <c r="M28" s="14" t="inlineStr">
        <is>
          <t>No</t>
        </is>
      </c>
      <c r="N28" s="15" t="inlineStr">
        <is>
          <t>Federal procurement rewards cost and schedule.</t>
        </is>
      </c>
      <c r="O28" s="10" t="inlineStr"/>
      <c r="P28" s="12" t="inlineStr"/>
      <c r="Q28" s="16">
        <f>IF(O28="","ADD LINKEDIN","ok")</f>
        <v/>
      </c>
      <c r="R28" s="12" t="inlineStr">
        <is>
          <t>https://www.alliancehtx.org/</t>
        </is>
      </c>
      <c r="S28" s="15" t="inlineStr">
        <is>
          <t>Federal money comes with open procurement that rewards cost and schedule, but no method is published.</t>
        </is>
      </c>
      <c r="T28" s="12" t="inlineStr"/>
      <c r="U28" s="15" t="inlineStr">
        <is>
          <t>Bio page.</t>
        </is>
      </c>
      <c r="V28" s="12" t="inlineStr">
        <is>
          <t>https://www.alliancehtx.org/team-members/jamie-bryant</t>
        </is>
      </c>
      <c r="W28" s="12" t="inlineStr">
        <is>
          <t>https://www.linkedin.com/company/houston-housing-authority</t>
        </is>
      </c>
      <c r="X28" s="12" t="inlineStr">
        <is>
          <t>https://www.alliancehtx.org/leadership</t>
        </is>
      </c>
      <c r="Y28" s="12" t="inlineStr"/>
      <c r="Z28" s="12" t="inlineStr"/>
      <c r="AA28" s="12" t="inlineStr"/>
      <c r="AB28" s="12" t="inlineStr"/>
      <c r="AC28" s="12" t="inlineStr"/>
      <c r="AD28" s="12" t="inlineStr"/>
    </row>
    <row r="29">
      <c r="A29" s="6" t="inlineStr">
        <is>
          <t>Neal Rackleff</t>
        </is>
      </c>
      <c r="B29" s="6" t="inlineStr">
        <is>
          <t>Houston Housing Authority</t>
        </is>
      </c>
      <c r="C29" s="6" t="inlineStr">
        <is>
          <t>Executive Vice President and Chief Operating Officer, Houston Housing Authority</t>
        </is>
      </c>
      <c r="D29" s="7" t="inlineStr">
        <is>
          <t>One gap</t>
        </is>
      </c>
      <c r="E29" s="8" t="n">
        <v>2</v>
      </c>
      <c r="F29" s="6" t="inlineStr">
        <is>
          <t>Buys walls</t>
        </is>
      </c>
      <c r="G29" s="6" t="inlineStr">
        <is>
          <t>Third Ward / citywide, Harris County</t>
        </is>
      </c>
      <c r="H29" s="6" t="inlineStr">
        <is>
          <t>$600M+ program, 5 phases, 2025-2032</t>
        </is>
      </c>
      <c r="I29" s="8" t="inlineStr">
        <is>
          <t>Yes</t>
        </is>
      </c>
      <c r="J29" s="9" t="inlineStr">
        <is>
          <t>Five phases at Cuney Homes, 2025 to 2032.</t>
        </is>
      </c>
      <c r="K29" s="8" t="inlineStr">
        <is>
          <t>Partly</t>
        </is>
      </c>
      <c r="L29" s="9" t="inlineStr">
        <is>
          <t>A $600 million program in five phases. Multifamily, publicly procured.</t>
        </is>
      </c>
      <c r="M29" s="8" t="inlineStr">
        <is>
          <t>No</t>
        </is>
      </c>
      <c r="N29" s="9" t="inlineStr">
        <is>
          <t>Federal procurement rewards cost and schedule.</t>
        </is>
      </c>
      <c r="O29" s="6" t="inlineStr">
        <is>
          <t>https://www.linkedin.com/in/nealrackleff/</t>
        </is>
      </c>
      <c r="P29" s="6" t="inlineStr"/>
      <c r="Q29" s="11">
        <f>IF(O29="","ADD LINKEDIN","ok")</f>
        <v/>
      </c>
      <c r="R29" s="6" t="inlineStr">
        <is>
          <t>https://www.alliancehtx.org/</t>
        </is>
      </c>
      <c r="S29" s="9" t="inlineStr">
        <is>
          <t>Federal money comes with open procurement that rewards cost and schedule, but no method is published.</t>
        </is>
      </c>
      <c r="T29" s="6" t="inlineStr">
        <is>
          <t>YES</t>
        </is>
      </c>
      <c r="U29" s="9" t="inlineStr">
        <is>
          <t>Headline: Executive VP and COO. Houston. His office answers for delivery. Leadership page.</t>
        </is>
      </c>
      <c r="V29" s="6" t="inlineStr">
        <is>
          <t>https://www.alliancehtx.org/leadership</t>
        </is>
      </c>
      <c r="W29" s="6" t="inlineStr">
        <is>
          <t>https://www.linkedin.com/company/houston-housing-authority</t>
        </is>
      </c>
      <c r="X29" s="6" t="inlineStr">
        <is>
          <t>https://www.alliancehtx.org/leadership</t>
        </is>
      </c>
      <c r="Y29" s="6" t="inlineStr"/>
      <c r="Z29" s="6" t="inlineStr"/>
      <c r="AA29" s="6" t="inlineStr"/>
      <c r="AB29" s="6" t="inlineStr"/>
      <c r="AC29" s="6" t="inlineStr"/>
      <c r="AD29" s="6" t="inlineStr"/>
    </row>
    <row r="30">
      <c r="A30" s="12" t="inlineStr">
        <is>
          <t>Craig Jones</t>
        </is>
      </c>
      <c r="B30" s="12" t="inlineStr">
        <is>
          <t>Long Lake, Ltd.</t>
        </is>
      </c>
      <c r="C30" s="12" t="inlineStr">
        <is>
          <t>Chief Executive Officer</t>
        </is>
      </c>
      <c r="D30" s="13" t="inlineStr">
        <is>
          <t>One gap</t>
        </is>
      </c>
      <c r="E30" s="14" t="n">
        <v>2</v>
      </c>
      <c r="F30" s="12" t="inlineStr">
        <is>
          <t>Buys walls</t>
        </is>
      </c>
      <c r="G30" s="12" t="inlineStr">
        <is>
          <t>Houston / Harris, Montgomery, Fort Bend</t>
        </is>
      </c>
      <c r="H30" s="12" t="inlineStr">
        <is>
          <t>782 closings in 2025, 38 plans</t>
        </is>
      </c>
      <c r="I30" s="14" t="inlineStr">
        <is>
          <t>Yes</t>
        </is>
      </c>
      <c r="J30" s="15" t="inlineStr">
        <is>
          <t>22 communities on 38 plans in four series.</t>
        </is>
      </c>
      <c r="K30" s="14" t="inlineStr">
        <is>
          <t>Partly</t>
        </is>
      </c>
      <c r="L30" s="15" t="inlineStr">
        <is>
          <t>782 closings in 2025. The first order would be a line inside the business.</t>
        </is>
      </c>
      <c r="M30" s="14" t="inlineStr">
        <is>
          <t>No</t>
        </is>
      </c>
      <c r="N30" s="15" t="inlineStr">
        <is>
          <t>Sells job-built production methods as a control advantage.</t>
        </is>
      </c>
      <c r="O30" s="10" t="inlineStr"/>
      <c r="P30" s="12">
        <f>HYPERLINK("https://www.linkedin.com/search/results/people/?keywords=Craig%20Jones%20Long%20Lake%2C%20Ltd.","search")</f>
        <v/>
      </c>
      <c r="Q30" s="16">
        <f>IF(O30="","ADD LINKEDIN","ok")</f>
        <v/>
      </c>
      <c r="R30" s="12" t="inlineStr">
        <is>
          <t>https://www.longlakeltd.com/</t>
        </is>
      </c>
      <c r="S30" s="15" t="inlineStr">
        <is>
          <t>It develops its own land, so a pilot needs nobody else's permission, but it sells job-built methods as its control advantage.</t>
        </is>
      </c>
      <c r="T30" s="12" t="inlineStr"/>
      <c r="U30" s="15" t="inlineStr"/>
      <c r="V30" s="12" t="inlineStr">
        <is>
          <t>https://www.builderonline.com/firms/long-lake-limited/</t>
        </is>
      </c>
      <c r="W30" s="12" t="inlineStr"/>
      <c r="X30" s="12" t="inlineStr"/>
      <c r="Y30" s="12" t="inlineStr"/>
      <c r="Z30" s="12" t="inlineStr">
        <is>
          <t>(888) 498-6815</t>
        </is>
      </c>
      <c r="AA30" s="12" t="inlineStr"/>
      <c r="AB30" s="12" t="inlineStr">
        <is>
          <t>https://www.longlakeltd.com/</t>
        </is>
      </c>
      <c r="AC30" s="12" t="inlineStr"/>
      <c r="AD30" s="12" t="inlineStr"/>
    </row>
    <row r="31">
      <c r="A31" s="6" t="inlineStr">
        <is>
          <t>Dustin Rodgers</t>
        </is>
      </c>
      <c r="B31" s="6" t="inlineStr">
        <is>
          <t>Long Lake, Ltd.</t>
        </is>
      </c>
      <c r="C31" s="6" t="inlineStr">
        <is>
          <t>Vice President of Construction</t>
        </is>
      </c>
      <c r="D31" s="7" t="inlineStr">
        <is>
          <t>One gap</t>
        </is>
      </c>
      <c r="E31" s="8" t="n">
        <v>2</v>
      </c>
      <c r="F31" s="6" t="inlineStr">
        <is>
          <t>Buys walls</t>
        </is>
      </c>
      <c r="G31" s="6" t="inlineStr">
        <is>
          <t>Houston / Harris, Montgomery, Fort Bend</t>
        </is>
      </c>
      <c r="H31" s="6" t="inlineStr">
        <is>
          <t>782 closings in 2025, 38 plans</t>
        </is>
      </c>
      <c r="I31" s="8" t="inlineStr">
        <is>
          <t>Yes</t>
        </is>
      </c>
      <c r="J31" s="9" t="inlineStr">
        <is>
          <t>22 communities on 38 plans in four series.</t>
        </is>
      </c>
      <c r="K31" s="8" t="inlineStr">
        <is>
          <t>Partly</t>
        </is>
      </c>
      <c r="L31" s="9" t="inlineStr">
        <is>
          <t>782 closings in 2025. The first order would be a line inside the business.</t>
        </is>
      </c>
      <c r="M31" s="8" t="inlineStr">
        <is>
          <t>No</t>
        </is>
      </c>
      <c r="N31" s="9" t="inlineStr">
        <is>
          <t>Sells job-built production methods as a control advantage.</t>
        </is>
      </c>
      <c r="O31" s="6" t="inlineStr">
        <is>
          <t>https://www.linkedin.com/in/dustin-rodgers-61a9908a/</t>
        </is>
      </c>
      <c r="P31" s="6" t="inlineStr"/>
      <c r="Q31" s="11">
        <f>IF(O31="","ADD LINKEDIN","ok")</f>
        <v/>
      </c>
      <c r="R31" s="6" t="inlineStr">
        <is>
          <t>https://www.longlakeltd.com/</t>
        </is>
      </c>
      <c r="S31" s="9" t="inlineStr">
        <is>
          <t>It develops its own land, so a pilot needs nobody else's permission, but it sells job-built methods as its control advantage.</t>
        </is>
      </c>
      <c r="T31" s="6" t="inlineStr">
        <is>
          <t>YES</t>
        </is>
      </c>
      <c r="U31" s="9" t="inlineStr"/>
      <c r="V31" s="6" t="inlineStr"/>
      <c r="W31" s="6" t="inlineStr"/>
      <c r="X31" s="6" t="inlineStr"/>
      <c r="Y31" s="6" t="inlineStr"/>
      <c r="Z31" s="6" t="inlineStr">
        <is>
          <t>(888) 498-6815</t>
        </is>
      </c>
      <c r="AA31" s="6" t="inlineStr"/>
      <c r="AB31" s="6" t="inlineStr">
        <is>
          <t>https://www.longlakeltd.com/</t>
        </is>
      </c>
      <c r="AC31" s="6" t="inlineStr"/>
      <c r="AD31" s="6" t="inlineStr"/>
    </row>
    <row r="32">
      <c r="A32" s="12" t="inlineStr">
        <is>
          <t>Dave Dronberger</t>
        </is>
      </c>
      <c r="B32" s="12" t="inlineStr">
        <is>
          <t>Long Lake, Ltd.</t>
        </is>
      </c>
      <c r="C32" s="12" t="inlineStr">
        <is>
          <t>Construction Manager</t>
        </is>
      </c>
      <c r="D32" s="13" t="inlineStr">
        <is>
          <t>One gap</t>
        </is>
      </c>
      <c r="E32" s="14" t="n">
        <v>2</v>
      </c>
      <c r="F32" s="12" t="inlineStr">
        <is>
          <t>Buys walls</t>
        </is>
      </c>
      <c r="G32" s="12" t="inlineStr">
        <is>
          <t>Houston / Harris, Montgomery, Fort Bend</t>
        </is>
      </c>
      <c r="H32" s="12" t="inlineStr">
        <is>
          <t>782 closings in 2025, 38 plans</t>
        </is>
      </c>
      <c r="I32" s="14" t="inlineStr">
        <is>
          <t>Yes</t>
        </is>
      </c>
      <c r="J32" s="15" t="inlineStr">
        <is>
          <t>22 communities on 38 plans in four series.</t>
        </is>
      </c>
      <c r="K32" s="14" t="inlineStr">
        <is>
          <t>Partly</t>
        </is>
      </c>
      <c r="L32" s="15" t="inlineStr">
        <is>
          <t>782 closings in 2025. The first order would be a line inside the business.</t>
        </is>
      </c>
      <c r="M32" s="14" t="inlineStr">
        <is>
          <t>No</t>
        </is>
      </c>
      <c r="N32" s="15" t="inlineStr">
        <is>
          <t>Sells job-built production methods as a control advantage.</t>
        </is>
      </c>
      <c r="O32" s="6" t="inlineStr">
        <is>
          <t>https://www.linkedin.com/in/dave-dronberger-9b098315/</t>
        </is>
      </c>
      <c r="P32" s="12" t="inlineStr"/>
      <c r="Q32" s="16">
        <f>IF(O32="","ADD LINKEDIN","ok")</f>
        <v/>
      </c>
      <c r="R32" s="12" t="inlineStr">
        <is>
          <t>https://www.longlakeltd.com/</t>
        </is>
      </c>
      <c r="S32" s="15" t="inlineStr">
        <is>
          <t>It develops its own land, so a pilot needs nobody else's permission, but it sells job-built methods as its control advantage.</t>
        </is>
      </c>
      <c r="T32" s="12" t="inlineStr"/>
      <c r="U32" s="15" t="inlineStr"/>
      <c r="V32" s="12" t="inlineStr"/>
      <c r="W32" s="12" t="inlineStr"/>
      <c r="X32" s="12" t="inlineStr"/>
      <c r="Y32" s="12" t="inlineStr"/>
      <c r="Z32" s="12" t="inlineStr">
        <is>
          <t>(888) 498-6815</t>
        </is>
      </c>
      <c r="AA32" s="12" t="inlineStr"/>
      <c r="AB32" s="12" t="inlineStr">
        <is>
          <t>https://www.longlakeltd.com/</t>
        </is>
      </c>
      <c r="AC32" s="12" t="inlineStr"/>
      <c r="AD32" s="12" t="inlineStr"/>
    </row>
    <row r="33">
      <c r="A33" s="6" t="inlineStr">
        <is>
          <t>Aaron Alford</t>
        </is>
      </c>
      <c r="B33" s="6" t="inlineStr">
        <is>
          <t>Long Lake, Ltd.</t>
        </is>
      </c>
      <c r="C33" s="6" t="inlineStr">
        <is>
          <t>Executive Vice President, Woodmere Development Co.</t>
        </is>
      </c>
      <c r="D33" s="7" t="inlineStr">
        <is>
          <t>One gap</t>
        </is>
      </c>
      <c r="E33" s="8" t="n">
        <v>2</v>
      </c>
      <c r="F33" s="6" t="inlineStr">
        <is>
          <t>Buys walls</t>
        </is>
      </c>
      <c r="G33" s="6" t="inlineStr">
        <is>
          <t>Houston / Harris, Montgomery, Fort Bend</t>
        </is>
      </c>
      <c r="H33" s="6" t="inlineStr">
        <is>
          <t>782 closings in 2025, 38 plans</t>
        </is>
      </c>
      <c r="I33" s="8" t="inlineStr">
        <is>
          <t>Yes</t>
        </is>
      </c>
      <c r="J33" s="9" t="inlineStr">
        <is>
          <t>22 communities on 38 plans in four series.</t>
        </is>
      </c>
      <c r="K33" s="8" t="inlineStr">
        <is>
          <t>Partly</t>
        </is>
      </c>
      <c r="L33" s="9" t="inlineStr">
        <is>
          <t>782 closings in 2025. The first order would be a line inside the business.</t>
        </is>
      </c>
      <c r="M33" s="8" t="inlineStr">
        <is>
          <t>No</t>
        </is>
      </c>
      <c r="N33" s="9" t="inlineStr">
        <is>
          <t>Sells job-built production methods as a control advantage.</t>
        </is>
      </c>
      <c r="O33" s="10" t="inlineStr"/>
      <c r="P33" s="6">
        <f>HYPERLINK("https://www.linkedin.com/search/results/people/?keywords=Aaron%20Alford%20Long%20Lake%2C%20Ltd.","search")</f>
        <v/>
      </c>
      <c r="Q33" s="11">
        <f>IF(O33="","ADD LINKEDIN","ok")</f>
        <v/>
      </c>
      <c r="R33" s="6" t="inlineStr">
        <is>
          <t>https://www.longlakeltd.com/</t>
        </is>
      </c>
      <c r="S33" s="9" t="inlineStr">
        <is>
          <t>It develops its own land, so a pilot needs nobody else's permission, but it sells job-built methods as its control advantage.</t>
        </is>
      </c>
      <c r="T33" s="6" t="inlineStr"/>
      <c r="U33" s="9" t="inlineStr">
        <is>
          <t>Woodmere is Long Lake's land arm. This seat buys the ground.</t>
        </is>
      </c>
      <c r="V33" s="6" t="inlineStr">
        <is>
          <t>https://wolffcompanies.com/news/in-off-market-deal-long-lake-buys-494-acres-next-to-bridgeland-for-new-community/</t>
        </is>
      </c>
      <c r="W33" s="6" t="inlineStr"/>
      <c r="X33" s="6" t="inlineStr"/>
      <c r="Y33" s="6" t="inlineStr"/>
      <c r="Z33" s="6" t="inlineStr">
        <is>
          <t>(888) 498-6815</t>
        </is>
      </c>
      <c r="AA33" s="6" t="inlineStr"/>
      <c r="AB33" s="6" t="inlineStr">
        <is>
          <t>https://www.longlakeltd.com/</t>
        </is>
      </c>
      <c r="AC33" s="6" t="inlineStr"/>
      <c r="AD33" s="6" t="inlineStr"/>
    </row>
    <row r="34">
      <c r="A34" s="12" t="inlineStr">
        <is>
          <t>no contact identified</t>
        </is>
      </c>
      <c r="B34" s="12" t="inlineStr">
        <is>
          <t>Smith Douglas Homes</t>
        </is>
      </c>
      <c r="C34" s="12" t="inlineStr"/>
      <c r="D34" s="13" t="inlineStr">
        <is>
          <t>One gap</t>
        </is>
      </c>
      <c r="E34" s="14" t="n">
        <v>2</v>
      </c>
      <c r="F34" s="12" t="inlineStr">
        <is>
          <t>Buys walls</t>
        </is>
      </c>
      <c r="G34" s="12" t="inlineStr">
        <is>
          <t>Houston, formerly Devon Street Homes</t>
        </is>
      </c>
      <c r="H34" s="12" t="inlineStr">
        <is>
          <t>324 closings in 2022 as Devon Street</t>
        </is>
      </c>
      <c r="I34" s="14" t="inlineStr">
        <is>
          <t>Yes</t>
        </is>
      </c>
      <c r="J34" s="15" t="inlineStr">
        <is>
          <t>324 homes across fifteen communities, on a standardized first-time-buyer product.</t>
        </is>
      </c>
      <c r="K34" s="14" t="inlineStr">
        <is>
          <t>Partly</t>
        </is>
      </c>
      <c r="L34" s="15" t="inlineStr">
        <is>
          <t>Parent listed January 2024. Purchasing may have centralized.</t>
        </is>
      </c>
      <c r="M34" s="14" t="inlineStr">
        <is>
          <t>No</t>
        </is>
      </c>
      <c r="N34" s="15" t="inlineStr">
        <is>
          <t>Standardized product. No new method.</t>
        </is>
      </c>
      <c r="O34" s="10" t="inlineStr"/>
      <c r="P34" s="12" t="inlineStr"/>
      <c r="Q34" s="16">
        <f>IF(O34="","ADD LINKEDIN","ok")</f>
        <v/>
      </c>
      <c r="R34" s="12" t="inlineStr">
        <is>
          <t>https://www.smithdouglas.com/</t>
        </is>
      </c>
      <c r="S34" s="15" t="inlineStr">
        <is>
          <t>Its parent listed in January 2024, so purchasing may have centralized, and no Houston division leader is published.</t>
        </is>
      </c>
      <c r="T34" s="12" t="inlineStr"/>
      <c r="U34" s="15" t="inlineStr"/>
      <c r="V34" s="12" t="inlineStr"/>
      <c r="W34" s="12" t="inlineStr"/>
      <c r="X34" s="12" t="inlineStr"/>
      <c r="Y34" s="12" t="inlineStr"/>
      <c r="Z34" s="12" t="inlineStr">
        <is>
          <t>(877) 552-3727</t>
        </is>
      </c>
      <c r="AA34" s="12" t="inlineStr"/>
      <c r="AB34" s="12" t="inlineStr">
        <is>
          <t>https://www.smithdouglas.com/</t>
        </is>
      </c>
      <c r="AC34" s="12" t="inlineStr"/>
      <c r="AD34" s="12" t="inlineStr"/>
    </row>
    <row r="35">
      <c r="A35" s="6" t="inlineStr">
        <is>
          <t>Fred Caldwell</t>
        </is>
      </c>
      <c r="B35" s="6" t="inlineStr">
        <is>
          <t>Caldwell Homes</t>
        </is>
      </c>
      <c r="C35" s="6" t="inlineStr">
        <is>
          <t>Chief Executive Officer</t>
        </is>
      </c>
      <c r="D35" s="7" t="inlineStr">
        <is>
          <t>One gap</t>
        </is>
      </c>
      <c r="E35" s="8" t="n">
        <v>2</v>
      </c>
      <c r="F35" s="6" t="inlineStr">
        <is>
          <t>Buys walls</t>
        </is>
      </c>
      <c r="G35" s="6" t="inlineStr">
        <is>
          <t>Cypress, Porter, Willis / Harris, Montgomery</t>
        </is>
      </c>
      <c r="H35" s="6" t="inlineStr">
        <is>
          <t>Three 55+ communities, $448,600 to $875,000</t>
        </is>
      </c>
      <c r="I35" s="8" t="inlineStr">
        <is>
          <t>Yes</t>
        </is>
      </c>
      <c r="J35" s="9" t="inlineStr">
        <is>
          <t>Named plans such as Cardinal, Bluebell and Waterlily sell in more than one community.</t>
        </is>
      </c>
      <c r="K35" s="8" t="inlineStr">
        <is>
          <t>Partly</t>
        </is>
      </c>
      <c r="L35" s="9" t="inlineStr">
        <is>
          <t>41st on a 2023 Houston builder list. No yearly figure published.</t>
        </is>
      </c>
      <c r="M35" s="8" t="inlineStr">
        <is>
          <t>No</t>
        </is>
      </c>
      <c r="N35" s="9" t="inlineStr">
        <is>
          <t>ENERGY STAR homes and a 2020 PRISM energy award. Nothing structural.</t>
        </is>
      </c>
      <c r="O35" s="10" t="inlineStr"/>
      <c r="P35" s="6">
        <f>HYPERLINK("https://www.linkedin.com/search/results/people/?keywords=Fred%20Caldwell%20Caldwell%20Homes","search")</f>
        <v/>
      </c>
      <c r="Q35" s="11">
        <f>IF(O35="","ADD LINKEDIN","ok")</f>
        <v/>
      </c>
      <c r="R35" s="6" t="inlineStr">
        <is>
          <t>https://www.caldwellhomes.com/</t>
        </is>
      </c>
      <c r="S35" s="9" t="inlineStr">
        <is>
          <t>Named plans repeat across its communities, and one vice president holds both construction and purchasing.</t>
        </is>
      </c>
      <c r="T35" s="6" t="inlineStr"/>
      <c r="U35" s="9" t="inlineStr"/>
      <c r="V35" s="6" t="inlineStr">
        <is>
          <t>https://www.caldwellhomes.com/our-team</t>
        </is>
      </c>
      <c r="W35" s="6" t="inlineStr"/>
      <c r="X35" s="6" t="inlineStr"/>
      <c r="Y35" s="6" t="inlineStr"/>
      <c r="Z35" s="6" t="inlineStr"/>
      <c r="AA35" s="6" t="inlineStr"/>
      <c r="AB35" s="6" t="inlineStr">
        <is>
          <t>https://www.caldwellhomes.com/</t>
        </is>
      </c>
      <c r="AC35" s="6" t="inlineStr"/>
      <c r="AD35" s="6" t="inlineStr"/>
    </row>
    <row r="36">
      <c r="A36" s="12" t="inlineStr">
        <is>
          <t>Peter Barnhart</t>
        </is>
      </c>
      <c r="B36" s="12" t="inlineStr">
        <is>
          <t>Caldwell Homes</t>
        </is>
      </c>
      <c r="C36" s="12" t="inlineStr">
        <is>
          <t>President</t>
        </is>
      </c>
      <c r="D36" s="13" t="inlineStr">
        <is>
          <t>One gap</t>
        </is>
      </c>
      <c r="E36" s="14" t="n">
        <v>2</v>
      </c>
      <c r="F36" s="12" t="inlineStr">
        <is>
          <t>Buys walls</t>
        </is>
      </c>
      <c r="G36" s="12" t="inlineStr">
        <is>
          <t>Cypress, Porter, Willis / Harris, Montgomery</t>
        </is>
      </c>
      <c r="H36" s="12" t="inlineStr">
        <is>
          <t>Three 55+ communities, $448,600 to $875,000</t>
        </is>
      </c>
      <c r="I36" s="14" t="inlineStr">
        <is>
          <t>Yes</t>
        </is>
      </c>
      <c r="J36" s="15" t="inlineStr">
        <is>
          <t>Named plans such as Cardinal, Bluebell and Waterlily sell in more than one community.</t>
        </is>
      </c>
      <c r="K36" s="14" t="inlineStr">
        <is>
          <t>Partly</t>
        </is>
      </c>
      <c r="L36" s="15" t="inlineStr">
        <is>
          <t>41st on a 2023 Houston builder list. No yearly figure published.</t>
        </is>
      </c>
      <c r="M36" s="14" t="inlineStr">
        <is>
          <t>No</t>
        </is>
      </c>
      <c r="N36" s="15" t="inlineStr">
        <is>
          <t>ENERGY STAR homes and a 2020 PRISM energy award. Nothing structural.</t>
        </is>
      </c>
      <c r="O36" s="10" t="inlineStr"/>
      <c r="P36" s="12">
        <f>HYPERLINK("https://www.linkedin.com/search/results/people/?keywords=Peter%20Barnhart%20Caldwell%20Homes","search")</f>
        <v/>
      </c>
      <c r="Q36" s="16">
        <f>IF(O36="","ADD LINKEDIN","ok")</f>
        <v/>
      </c>
      <c r="R36" s="12" t="inlineStr">
        <is>
          <t>https://www.caldwellhomes.com/</t>
        </is>
      </c>
      <c r="S36" s="15" t="inlineStr">
        <is>
          <t>Named plans repeat across its communities, and one vice president holds both construction and purchasing.</t>
        </is>
      </c>
      <c r="T36" s="12" t="inlineStr"/>
      <c r="U36" s="15" t="inlineStr"/>
      <c r="V36" s="12" t="inlineStr">
        <is>
          <t>https://www.caldwellhomes.com/our-team</t>
        </is>
      </c>
      <c r="W36" s="12" t="inlineStr"/>
      <c r="X36" s="12" t="inlineStr"/>
      <c r="Y36" s="12" t="inlineStr"/>
      <c r="Z36" s="12" t="inlineStr"/>
      <c r="AA36" s="12" t="inlineStr"/>
      <c r="AB36" s="12" t="inlineStr">
        <is>
          <t>https://www.caldwellhomes.com/</t>
        </is>
      </c>
      <c r="AC36" s="12" t="inlineStr"/>
      <c r="AD36" s="12" t="inlineStr"/>
    </row>
    <row r="37">
      <c r="A37" s="6" t="inlineStr">
        <is>
          <t>Tim Mayo</t>
        </is>
      </c>
      <c r="B37" s="6" t="inlineStr">
        <is>
          <t>Caldwell Homes</t>
        </is>
      </c>
      <c r="C37" s="6" t="inlineStr">
        <is>
          <t>Senior Vice President of Operations</t>
        </is>
      </c>
      <c r="D37" s="7" t="inlineStr">
        <is>
          <t>One gap</t>
        </is>
      </c>
      <c r="E37" s="8" t="n">
        <v>2</v>
      </c>
      <c r="F37" s="6" t="inlineStr">
        <is>
          <t>Buys walls</t>
        </is>
      </c>
      <c r="G37" s="6" t="inlineStr">
        <is>
          <t>Cypress, Porter, Willis / Harris, Montgomery</t>
        </is>
      </c>
      <c r="H37" s="6" t="inlineStr">
        <is>
          <t>Three 55+ communities, $448,600 to $875,000</t>
        </is>
      </c>
      <c r="I37" s="8" t="inlineStr">
        <is>
          <t>Yes</t>
        </is>
      </c>
      <c r="J37" s="9" t="inlineStr">
        <is>
          <t>Named plans such as Cardinal, Bluebell and Waterlily sell in more than one community.</t>
        </is>
      </c>
      <c r="K37" s="8" t="inlineStr">
        <is>
          <t>Partly</t>
        </is>
      </c>
      <c r="L37" s="9" t="inlineStr">
        <is>
          <t>41st on a 2023 Houston builder list. No yearly figure published.</t>
        </is>
      </c>
      <c r="M37" s="8" t="inlineStr">
        <is>
          <t>No</t>
        </is>
      </c>
      <c r="N37" s="9" t="inlineStr">
        <is>
          <t>ENERGY STAR homes and a 2020 PRISM energy award. Nothing structural.</t>
        </is>
      </c>
      <c r="O37" s="10" t="inlineStr"/>
      <c r="P37" s="6">
        <f>HYPERLINK("https://www.linkedin.com/search/results/people/?keywords=Tim%20Mayo%20Caldwell%20Homes","search")</f>
        <v/>
      </c>
      <c r="Q37" s="11">
        <f>IF(O37="","ADD LINKEDIN","ok")</f>
        <v/>
      </c>
      <c r="R37" s="6" t="inlineStr">
        <is>
          <t>https://www.caldwellhomes.com/</t>
        </is>
      </c>
      <c r="S37" s="9" t="inlineStr">
        <is>
          <t>Named plans repeat across its communities, and one vice president holds both construction and purchasing.</t>
        </is>
      </c>
      <c r="T37" s="6" t="inlineStr"/>
      <c r="U37" s="9" t="inlineStr"/>
      <c r="V37" s="6" t="inlineStr">
        <is>
          <t>https://www.caldwellhomes.com/our-team</t>
        </is>
      </c>
      <c r="W37" s="6" t="inlineStr"/>
      <c r="X37" s="6" t="inlineStr"/>
      <c r="Y37" s="6" t="inlineStr"/>
      <c r="Z37" s="6" t="inlineStr"/>
      <c r="AA37" s="6" t="inlineStr"/>
      <c r="AB37" s="6" t="inlineStr">
        <is>
          <t>https://www.caldwellhomes.com/</t>
        </is>
      </c>
      <c r="AC37" s="6" t="inlineStr"/>
      <c r="AD37" s="6" t="inlineStr"/>
    </row>
    <row r="38">
      <c r="A38" s="12" t="inlineStr">
        <is>
          <t>Kevin Johnson</t>
        </is>
      </c>
      <c r="B38" s="12" t="inlineStr">
        <is>
          <t>Caldwell Homes</t>
        </is>
      </c>
      <c r="C38" s="12" t="inlineStr">
        <is>
          <t>Vice President of Construction and Purchasing</t>
        </is>
      </c>
      <c r="D38" s="13" t="inlineStr">
        <is>
          <t>One gap</t>
        </is>
      </c>
      <c r="E38" s="14" t="n">
        <v>2</v>
      </c>
      <c r="F38" s="12" t="inlineStr">
        <is>
          <t>Buys walls</t>
        </is>
      </c>
      <c r="G38" s="12" t="inlineStr">
        <is>
          <t>Cypress, Porter, Willis / Harris, Montgomery</t>
        </is>
      </c>
      <c r="H38" s="12" t="inlineStr">
        <is>
          <t>Three 55+ communities, $448,600 to $875,000</t>
        </is>
      </c>
      <c r="I38" s="14" t="inlineStr">
        <is>
          <t>Yes</t>
        </is>
      </c>
      <c r="J38" s="15" t="inlineStr">
        <is>
          <t>Named plans such as Cardinal, Bluebell and Waterlily sell in more than one community.</t>
        </is>
      </c>
      <c r="K38" s="14" t="inlineStr">
        <is>
          <t>Partly</t>
        </is>
      </c>
      <c r="L38" s="15" t="inlineStr">
        <is>
          <t>41st on a 2023 Houston builder list. No yearly figure published.</t>
        </is>
      </c>
      <c r="M38" s="14" t="inlineStr">
        <is>
          <t>No</t>
        </is>
      </c>
      <c r="N38" s="15" t="inlineStr">
        <is>
          <t>ENERGY STAR homes and a 2020 PRISM energy award. Nothing structural.</t>
        </is>
      </c>
      <c r="O38" s="10" t="inlineStr"/>
      <c r="P38" s="12">
        <f>HYPERLINK("https://www.linkedin.com/search/results/people/?keywords=Kevin%20Johnson%20Caldwell%20Homes","search")</f>
        <v/>
      </c>
      <c r="Q38" s="16">
        <f>IF(O38="","ADD LINKEDIN","ok")</f>
        <v/>
      </c>
      <c r="R38" s="12" t="inlineStr">
        <is>
          <t>https://www.caldwellhomes.com/</t>
        </is>
      </c>
      <c r="S38" s="15" t="inlineStr">
        <is>
          <t>Named plans repeat across its communities, and one vice president holds both construction and purchasing.</t>
        </is>
      </c>
      <c r="T38" s="12" t="inlineStr">
        <is>
          <t>YES</t>
        </is>
      </c>
      <c r="U38" s="15" t="inlineStr"/>
      <c r="V38" s="12" t="inlineStr">
        <is>
          <t>https://www.caldwellhomes.com/our-team</t>
        </is>
      </c>
      <c r="W38" s="12" t="inlineStr"/>
      <c r="X38" s="12" t="inlineStr"/>
      <c r="Y38" s="12" t="inlineStr"/>
      <c r="Z38" s="12" t="inlineStr"/>
      <c r="AA38" s="12" t="inlineStr"/>
      <c r="AB38" s="12" t="inlineStr">
        <is>
          <t>https://www.caldwellhomes.com/</t>
        </is>
      </c>
      <c r="AC38" s="12" t="inlineStr"/>
      <c r="AD38" s="12" t="inlineStr"/>
    </row>
    <row r="39">
      <c r="A39" s="6" t="inlineStr">
        <is>
          <t>Anthony Moreno</t>
        </is>
      </c>
      <c r="B39" s="6" t="inlineStr">
        <is>
          <t>Caldwell Homes</t>
        </is>
      </c>
      <c r="C39" s="6" t="inlineStr">
        <is>
          <t>Vice President of Sales</t>
        </is>
      </c>
      <c r="D39" s="7" t="inlineStr">
        <is>
          <t>One gap</t>
        </is>
      </c>
      <c r="E39" s="8" t="n">
        <v>2</v>
      </c>
      <c r="F39" s="6" t="inlineStr">
        <is>
          <t>Buys walls</t>
        </is>
      </c>
      <c r="G39" s="6" t="inlineStr">
        <is>
          <t>Cypress, Porter, Willis / Harris, Montgomery</t>
        </is>
      </c>
      <c r="H39" s="6" t="inlineStr">
        <is>
          <t>Three 55+ communities, $448,600 to $875,000</t>
        </is>
      </c>
      <c r="I39" s="8" t="inlineStr">
        <is>
          <t>Yes</t>
        </is>
      </c>
      <c r="J39" s="9" t="inlineStr">
        <is>
          <t>Named plans such as Cardinal, Bluebell and Waterlily sell in more than one community.</t>
        </is>
      </c>
      <c r="K39" s="8" t="inlineStr">
        <is>
          <t>Partly</t>
        </is>
      </c>
      <c r="L39" s="9" t="inlineStr">
        <is>
          <t>41st on a 2023 Houston builder list. No yearly figure published.</t>
        </is>
      </c>
      <c r="M39" s="8" t="inlineStr">
        <is>
          <t>No</t>
        </is>
      </c>
      <c r="N39" s="9" t="inlineStr">
        <is>
          <t>ENERGY STAR homes and a 2020 PRISM energy award. Nothing structural.</t>
        </is>
      </c>
      <c r="O39" s="10" t="inlineStr"/>
      <c r="P39" s="6">
        <f>HYPERLINK("https://www.linkedin.com/search/results/people/?keywords=Anthony%20Moreno%20Caldwell%20Homes","search")</f>
        <v/>
      </c>
      <c r="Q39" s="11">
        <f>IF(O39="","ADD LINKEDIN","ok")</f>
        <v/>
      </c>
      <c r="R39" s="6" t="inlineStr">
        <is>
          <t>https://www.caldwellhomes.com/</t>
        </is>
      </c>
      <c r="S39" s="9" t="inlineStr">
        <is>
          <t>Named plans repeat across its communities, and one vice president holds both construction and purchasing.</t>
        </is>
      </c>
      <c r="T39" s="6" t="inlineStr"/>
      <c r="U39" s="9" t="inlineStr"/>
      <c r="V39" s="6" t="inlineStr">
        <is>
          <t>https://www.caldwellhomes.com/our-team</t>
        </is>
      </c>
      <c r="W39" s="6" t="inlineStr"/>
      <c r="X39" s="6" t="inlineStr"/>
      <c r="Y39" s="6" t="inlineStr"/>
      <c r="Z39" s="6" t="inlineStr"/>
      <c r="AA39" s="6" t="inlineStr"/>
      <c r="AB39" s="6" t="inlineStr">
        <is>
          <t>https://www.caldwellhomes.com/</t>
        </is>
      </c>
      <c r="AC39" s="6" t="inlineStr"/>
      <c r="AD39" s="6" t="inlineStr"/>
    </row>
    <row r="40">
      <c r="A40" s="12" t="inlineStr">
        <is>
          <t>John Devens</t>
        </is>
      </c>
      <c r="B40" s="12" t="inlineStr">
        <is>
          <t>Camillo Companies (SimplyHome / Legend Homes)</t>
        </is>
      </c>
      <c r="C40" s="12" t="inlineStr">
        <is>
          <t>Houston Division President, Legend Homes</t>
        </is>
      </c>
      <c r="D40" s="13" t="inlineStr">
        <is>
          <t>One gap</t>
        </is>
      </c>
      <c r="E40" s="14" t="n">
        <v>2</v>
      </c>
      <c r="F40" s="12" t="inlineStr">
        <is>
          <t>Buys walls</t>
        </is>
      </c>
      <c r="G40" s="12" t="inlineStr">
        <is>
          <t>Houston HQ, Harris County</t>
        </is>
      </c>
      <c r="H40" s="12" t="inlineStr">
        <is>
          <t>More than 10,800 rental homes, August 2026</t>
        </is>
      </c>
      <c r="I40" s="14" t="inlineStr">
        <is>
          <t>Yes</t>
        </is>
      </c>
      <c r="J40" s="15" t="inlineStr">
        <is>
          <t>Lot bank of 25,000 to 35,000 residential lots at any time.</t>
        </is>
      </c>
      <c r="K40" s="14" t="inlineStr">
        <is>
          <t>Partly</t>
        </is>
      </c>
      <c r="L40" s="15" t="inlineStr">
        <is>
          <t>Ten thousandth rental home in May 2023.</t>
        </is>
      </c>
      <c r="M40" s="14" t="inlineStr">
        <is>
          <t>No</t>
        </is>
      </c>
      <c r="N40" s="15" t="inlineStr">
        <is>
          <t>No construction-method statement.</t>
        </is>
      </c>
      <c r="O40" s="10" t="inlineStr"/>
      <c r="P40" s="12" t="inlineStr"/>
      <c r="Q40" s="16">
        <f>IF(O40="","ADD LINKEDIN","ok")</f>
        <v/>
      </c>
      <c r="R40" s="12" t="inlineStr">
        <is>
          <t>https://www.camillocompanies.com/</t>
        </is>
      </c>
      <c r="S40" s="15" t="inlineStr">
        <is>
          <t>It builds and holds rental homes on a lot bank of 25,000 to 35,000 lots, but publishes no construction method.</t>
        </is>
      </c>
      <c r="T40" s="12" t="inlineStr">
        <is>
          <t>YES</t>
        </is>
      </c>
      <c r="U40" s="15" t="inlineStr">
        <is>
          <t>Camillo release, 3 March 2026. Ran construction and purchasing from 2017.</t>
        </is>
      </c>
      <c r="V40" s="12" t="inlineStr">
        <is>
          <t>https://www.camillocompanies.com/legend-homes-names-john-devens-as-houston-division-president</t>
        </is>
      </c>
      <c r="W40" s="12" t="inlineStr">
        <is>
          <t>https://www.linkedin.com/company/camillo-companies</t>
        </is>
      </c>
      <c r="X40" s="12" t="inlineStr">
        <is>
          <t>https://www.camillocompanies.com/about-us</t>
        </is>
      </c>
      <c r="Y40" s="12" t="inlineStr"/>
      <c r="Z40" s="12" t="inlineStr">
        <is>
          <t>(888) 234-9451</t>
        </is>
      </c>
      <c r="AA40" s="12" t="inlineStr"/>
      <c r="AB40" s="12" t="inlineStr">
        <is>
          <t>https://www.camillocompanies.com/</t>
        </is>
      </c>
      <c r="AC40" s="12" t="inlineStr"/>
      <c r="AD40" s="12" t="inlineStr"/>
    </row>
    <row r="41">
      <c r="A41" s="6" t="inlineStr">
        <is>
          <t>Dan Miller</t>
        </is>
      </c>
      <c r="B41" s="6" t="inlineStr">
        <is>
          <t>Camillo Companies (SimplyHome / Legend Homes)</t>
        </is>
      </c>
      <c r="C41" s="6" t="inlineStr">
        <is>
          <t>Chief Executive Officer</t>
        </is>
      </c>
      <c r="D41" s="7" t="inlineStr">
        <is>
          <t>One gap</t>
        </is>
      </c>
      <c r="E41" s="8" t="n">
        <v>2</v>
      </c>
      <c r="F41" s="6" t="inlineStr">
        <is>
          <t>Buys walls</t>
        </is>
      </c>
      <c r="G41" s="6" t="inlineStr">
        <is>
          <t>Houston HQ, Harris County</t>
        </is>
      </c>
      <c r="H41" s="6" t="inlineStr">
        <is>
          <t>More than 10,800 rental homes, August 2026</t>
        </is>
      </c>
      <c r="I41" s="8" t="inlineStr">
        <is>
          <t>Yes</t>
        </is>
      </c>
      <c r="J41" s="9" t="inlineStr">
        <is>
          <t>Lot bank of 25,000 to 35,000 residential lots at any time.</t>
        </is>
      </c>
      <c r="K41" s="8" t="inlineStr">
        <is>
          <t>Partly</t>
        </is>
      </c>
      <c r="L41" s="9" t="inlineStr">
        <is>
          <t>Ten thousandth rental home in May 2023.</t>
        </is>
      </c>
      <c r="M41" s="8" t="inlineStr">
        <is>
          <t>No</t>
        </is>
      </c>
      <c r="N41" s="9" t="inlineStr">
        <is>
          <t>No construction-method statement.</t>
        </is>
      </c>
      <c r="O41" s="10" t="inlineStr"/>
      <c r="P41" s="6">
        <f>HYPERLINK("https://www.linkedin.com/search/results/people/?keywords=Dan%20Miller%20Camillo%20Companies","search")</f>
        <v/>
      </c>
      <c r="Q41" s="11">
        <f>IF(O41="","ADD LINKEDIN","ok")</f>
        <v/>
      </c>
      <c r="R41" s="6" t="inlineStr">
        <is>
          <t>https://www.camillocompanies.com/</t>
        </is>
      </c>
      <c r="S41" s="9" t="inlineStr">
        <is>
          <t>It builds and holds rental homes on a lot bank of 25,000 to 35,000 lots, but publishes no construction method.</t>
        </is>
      </c>
      <c r="T41" s="6" t="inlineStr"/>
      <c r="U41" s="9" t="inlineStr"/>
      <c r="V41" s="6" t="inlineStr">
        <is>
          <t>https://www.camillocompanies.com/about-us</t>
        </is>
      </c>
      <c r="W41" s="6" t="inlineStr">
        <is>
          <t>https://www.linkedin.com/company/camillo-companies</t>
        </is>
      </c>
      <c r="X41" s="6" t="inlineStr">
        <is>
          <t>https://www.camillocompanies.com/about-us</t>
        </is>
      </c>
      <c r="Y41" s="6" t="inlineStr"/>
      <c r="Z41" s="6" t="inlineStr">
        <is>
          <t>(888) 234-9451</t>
        </is>
      </c>
      <c r="AA41" s="6" t="inlineStr"/>
      <c r="AB41" s="6" t="inlineStr">
        <is>
          <t>https://www.camillocompanies.com/</t>
        </is>
      </c>
      <c r="AC41" s="6" t="inlineStr"/>
      <c r="AD41" s="6" t="inlineStr"/>
    </row>
    <row r="42">
      <c r="A42" s="12" t="inlineStr">
        <is>
          <t>Lee Darnold</t>
        </is>
      </c>
      <c r="B42" s="12" t="inlineStr">
        <is>
          <t>Camillo Companies (SimplyHome / Legend Homes)</t>
        </is>
      </c>
      <c r="C42" s="12" t="inlineStr">
        <is>
          <t>President, Legend Homes by Camillo</t>
        </is>
      </c>
      <c r="D42" s="13" t="inlineStr">
        <is>
          <t>One gap</t>
        </is>
      </c>
      <c r="E42" s="14" t="n">
        <v>2</v>
      </c>
      <c r="F42" s="12" t="inlineStr">
        <is>
          <t>Buys walls</t>
        </is>
      </c>
      <c r="G42" s="12" t="inlineStr">
        <is>
          <t>Houston HQ, Harris County</t>
        </is>
      </c>
      <c r="H42" s="12" t="inlineStr">
        <is>
          <t>More than 10,800 rental homes, August 2026</t>
        </is>
      </c>
      <c r="I42" s="14" t="inlineStr">
        <is>
          <t>Yes</t>
        </is>
      </c>
      <c r="J42" s="15" t="inlineStr">
        <is>
          <t>Lot bank of 25,000 to 35,000 residential lots at any time.</t>
        </is>
      </c>
      <c r="K42" s="14" t="inlineStr">
        <is>
          <t>Partly</t>
        </is>
      </c>
      <c r="L42" s="15" t="inlineStr">
        <is>
          <t>Ten thousandth rental home in May 2023.</t>
        </is>
      </c>
      <c r="M42" s="14" t="inlineStr">
        <is>
          <t>No</t>
        </is>
      </c>
      <c r="N42" s="15" t="inlineStr">
        <is>
          <t>No construction-method statement.</t>
        </is>
      </c>
      <c r="O42" s="10" t="inlineStr"/>
      <c r="P42" s="12">
        <f>HYPERLINK("https://www.linkedin.com/search/results/people/?keywords=Lee%20Darnold%20Camillo%20Companies","search")</f>
        <v/>
      </c>
      <c r="Q42" s="16">
        <f>IF(O42="","ADD LINKEDIN","ok")</f>
        <v/>
      </c>
      <c r="R42" s="12" t="inlineStr">
        <is>
          <t>https://www.camillocompanies.com/</t>
        </is>
      </c>
      <c r="S42" s="15" t="inlineStr">
        <is>
          <t>It builds and holds rental homes on a lot bank of 25,000 to 35,000 lots, but publishes no construction method.</t>
        </is>
      </c>
      <c r="T42" s="12" t="inlineStr"/>
      <c r="U42" s="15" t="inlineStr"/>
      <c r="V42" s="12" t="inlineStr">
        <is>
          <t>https://www.camillocompanies.com/about-us</t>
        </is>
      </c>
      <c r="W42" s="12" t="inlineStr">
        <is>
          <t>https://www.linkedin.com/company/camillo-companies</t>
        </is>
      </c>
      <c r="X42" s="12" t="inlineStr">
        <is>
          <t>https://www.camillocompanies.com/about-us</t>
        </is>
      </c>
      <c r="Y42" s="12" t="inlineStr"/>
      <c r="Z42" s="12" t="inlineStr">
        <is>
          <t>(888) 234-9451</t>
        </is>
      </c>
      <c r="AA42" s="12" t="inlineStr"/>
      <c r="AB42" s="12" t="inlineStr">
        <is>
          <t>https://www.camillocompanies.com/</t>
        </is>
      </c>
      <c r="AC42" s="12" t="inlineStr"/>
      <c r="AD42" s="12" t="inlineStr"/>
    </row>
    <row r="43">
      <c r="A43" s="6" t="inlineStr">
        <is>
          <t>Sean Mulroony</t>
        </is>
      </c>
      <c r="B43" s="6" t="inlineStr">
        <is>
          <t>Camillo Companies (SimplyHome / Legend Homes)</t>
        </is>
      </c>
      <c r="C43" s="6" t="inlineStr">
        <is>
          <t>President, Academy Development by Camillo</t>
        </is>
      </c>
      <c r="D43" s="7" t="inlineStr">
        <is>
          <t>One gap</t>
        </is>
      </c>
      <c r="E43" s="8" t="n">
        <v>2</v>
      </c>
      <c r="F43" s="6" t="inlineStr">
        <is>
          <t>Buys walls</t>
        </is>
      </c>
      <c r="G43" s="6" t="inlineStr">
        <is>
          <t>Houston HQ, Harris County</t>
        </is>
      </c>
      <c r="H43" s="6" t="inlineStr">
        <is>
          <t>More than 10,800 rental homes, August 2026</t>
        </is>
      </c>
      <c r="I43" s="8" t="inlineStr">
        <is>
          <t>Yes</t>
        </is>
      </c>
      <c r="J43" s="9" t="inlineStr">
        <is>
          <t>Lot bank of 25,000 to 35,000 residential lots at any time.</t>
        </is>
      </c>
      <c r="K43" s="8" t="inlineStr">
        <is>
          <t>Partly</t>
        </is>
      </c>
      <c r="L43" s="9" t="inlineStr">
        <is>
          <t>Ten thousandth rental home in May 2023.</t>
        </is>
      </c>
      <c r="M43" s="8" t="inlineStr">
        <is>
          <t>No</t>
        </is>
      </c>
      <c r="N43" s="9" t="inlineStr">
        <is>
          <t>No construction-method statement.</t>
        </is>
      </c>
      <c r="O43" s="10" t="inlineStr"/>
      <c r="P43" s="6">
        <f>HYPERLINK("https://www.linkedin.com/search/results/people/?keywords=Sean%20Mulroony%20Camillo%20Companies","search")</f>
        <v/>
      </c>
      <c r="Q43" s="11">
        <f>IF(O43="","ADD LINKEDIN","ok")</f>
        <v/>
      </c>
      <c r="R43" s="6" t="inlineStr">
        <is>
          <t>https://www.camillocompanies.com/</t>
        </is>
      </c>
      <c r="S43" s="9" t="inlineStr">
        <is>
          <t>It builds and holds rental homes on a lot bank of 25,000 to 35,000 lots, but publishes no construction method.</t>
        </is>
      </c>
      <c r="T43" s="6" t="inlineStr"/>
      <c r="U43" s="9" t="inlineStr"/>
      <c r="V43" s="6" t="inlineStr">
        <is>
          <t>https://www.camillocompanies.com/about-us</t>
        </is>
      </c>
      <c r="W43" s="6" t="inlineStr">
        <is>
          <t>https://www.linkedin.com/company/camillo-companies</t>
        </is>
      </c>
      <c r="X43" s="6" t="inlineStr">
        <is>
          <t>https://www.camillocompanies.com/about-us</t>
        </is>
      </c>
      <c r="Y43" s="6" t="inlineStr"/>
      <c r="Z43" s="6" t="inlineStr">
        <is>
          <t>(888) 234-9451</t>
        </is>
      </c>
      <c r="AA43" s="6" t="inlineStr"/>
      <c r="AB43" s="6" t="inlineStr">
        <is>
          <t>https://www.camillocompanies.com/</t>
        </is>
      </c>
      <c r="AC43" s="6" t="inlineStr"/>
      <c r="AD43" s="6" t="inlineStr"/>
    </row>
    <row r="44">
      <c r="A44" s="12" t="inlineStr">
        <is>
          <t>Jomar Ereso</t>
        </is>
      </c>
      <c r="B44" s="12" t="inlineStr">
        <is>
          <t>Camillo Companies (SimplyHome / Legend Homes)</t>
        </is>
      </c>
      <c r="C44" s="12" t="inlineStr">
        <is>
          <t>Chief Financial Officer</t>
        </is>
      </c>
      <c r="D44" s="13" t="inlineStr">
        <is>
          <t>One gap</t>
        </is>
      </c>
      <c r="E44" s="14" t="n">
        <v>2</v>
      </c>
      <c r="F44" s="12" t="inlineStr">
        <is>
          <t>Buys walls</t>
        </is>
      </c>
      <c r="G44" s="12" t="inlineStr">
        <is>
          <t>Houston HQ, Harris County</t>
        </is>
      </c>
      <c r="H44" s="12" t="inlineStr">
        <is>
          <t>More than 10,800 rental homes, August 2026</t>
        </is>
      </c>
      <c r="I44" s="14" t="inlineStr">
        <is>
          <t>Yes</t>
        </is>
      </c>
      <c r="J44" s="15" t="inlineStr">
        <is>
          <t>Lot bank of 25,000 to 35,000 residential lots at any time.</t>
        </is>
      </c>
      <c r="K44" s="14" t="inlineStr">
        <is>
          <t>Partly</t>
        </is>
      </c>
      <c r="L44" s="15" t="inlineStr">
        <is>
          <t>Ten thousandth rental home in May 2023.</t>
        </is>
      </c>
      <c r="M44" s="14" t="inlineStr">
        <is>
          <t>No</t>
        </is>
      </c>
      <c r="N44" s="15" t="inlineStr">
        <is>
          <t>No construction-method statement.</t>
        </is>
      </c>
      <c r="O44" s="10" t="inlineStr"/>
      <c r="P44" s="12">
        <f>HYPERLINK("https://www.linkedin.com/search/results/people/?keywords=Jomar%20Ereso%20Camillo%20Companies","search")</f>
        <v/>
      </c>
      <c r="Q44" s="16">
        <f>IF(O44="","ADD LINKEDIN","ok")</f>
        <v/>
      </c>
      <c r="R44" s="12" t="inlineStr">
        <is>
          <t>https://www.camillocompanies.com/</t>
        </is>
      </c>
      <c r="S44" s="15" t="inlineStr">
        <is>
          <t>It builds and holds rental homes on a lot bank of 25,000 to 35,000 lots, but publishes no construction method.</t>
        </is>
      </c>
      <c r="T44" s="12" t="inlineStr"/>
      <c r="U44" s="15" t="inlineStr"/>
      <c r="V44" s="12" t="inlineStr">
        <is>
          <t>https://www.camillocompanies.com/about-us</t>
        </is>
      </c>
      <c r="W44" s="12" t="inlineStr">
        <is>
          <t>https://www.linkedin.com/company/camillo-companies</t>
        </is>
      </c>
      <c r="X44" s="12" t="inlineStr">
        <is>
          <t>https://www.camillocompanies.com/about-us</t>
        </is>
      </c>
      <c r="Y44" s="12" t="inlineStr"/>
      <c r="Z44" s="12" t="inlineStr">
        <is>
          <t>(888) 234-9451</t>
        </is>
      </c>
      <c r="AA44" s="12" t="inlineStr"/>
      <c r="AB44" s="12" t="inlineStr">
        <is>
          <t>https://www.camillocompanies.com/</t>
        </is>
      </c>
      <c r="AC44" s="12" t="inlineStr"/>
      <c r="AD44" s="12" t="inlineStr"/>
    </row>
    <row r="45">
      <c r="A45" s="6" t="inlineStr">
        <is>
          <t>Lance Wright</t>
        </is>
      </c>
      <c r="B45" s="6" t="inlineStr">
        <is>
          <t>CastleRock Communities</t>
        </is>
      </c>
      <c r="C45" s="6" t="inlineStr">
        <is>
          <t>Chief Executive Officer and Founding Partner</t>
        </is>
      </c>
      <c r="D45" s="7" t="inlineStr">
        <is>
          <t>One gap</t>
        </is>
      </c>
      <c r="E45" s="8" t="n">
        <v>2</v>
      </c>
      <c r="F45" s="6" t="inlineStr">
        <is>
          <t>Buys walls</t>
        </is>
      </c>
      <c r="G45" s="6" t="inlineStr">
        <is>
          <t>Houston HQ / Fort Bend</t>
        </is>
      </c>
      <c r="H45" s="6" t="inlineStr">
        <is>
          <t>1,465 closings company-wide in 2025</t>
        </is>
      </c>
      <c r="I45" s="8" t="inlineStr">
        <is>
          <t>Yes</t>
        </is>
      </c>
      <c r="J45" s="9" t="inlineStr">
        <is>
          <t>20,000-plus homes since 2004. 1,600-plus closings in 2020.</t>
        </is>
      </c>
      <c r="K45" s="8" t="inlineStr">
        <is>
          <t>Partly</t>
        </is>
      </c>
      <c r="L45" s="9" t="inlineStr">
        <is>
          <t>1,465 closings in 2025, per the Builder 100. Inside the 400 to 1,500 band.</t>
        </is>
      </c>
      <c r="M45" s="8" t="inlineStr">
        <is>
          <t>No</t>
        </is>
      </c>
      <c r="N45" s="9" t="inlineStr">
        <is>
          <t>Daiwa House builds industrially in Japan. Nothing links that to CastleRock's method.</t>
        </is>
      </c>
      <c r="O45" s="10" t="inlineStr"/>
      <c r="P45" s="6">
        <f>HYPERLINK("https://www.linkedin.com/search/results/people/?keywords=Lance%20Wright%20CastleRock%20Communities","search")</f>
        <v/>
      </c>
      <c r="Q45" s="11">
        <f>IF(O45="","ADD LINKEDIN","ok")</f>
        <v/>
      </c>
      <c r="R45" s="6" t="inlineStr">
        <is>
          <t>https://www.c-rock.com/</t>
        </is>
      </c>
      <c r="S45" s="9" t="inlineStr">
        <is>
          <t>Daiwa House holds 80 percent and builds industrially in Japan, but nothing links that to CastleRock's method.</t>
        </is>
      </c>
      <c r="T45" s="6" t="inlineStr"/>
      <c r="U45" s="9" t="inlineStr"/>
      <c r="V45" s="6" t="inlineStr">
        <is>
          <t>https://www.c-rock.com/about</t>
        </is>
      </c>
      <c r="W45" s="6" t="inlineStr">
        <is>
          <t>https://www.linkedin.com/company/castlerock-communities</t>
        </is>
      </c>
      <c r="X45" s="6" t="inlineStr">
        <is>
          <t>https://www.c-rock.com/about</t>
        </is>
      </c>
      <c r="Y45" s="6" t="inlineStr"/>
      <c r="Z45" s="6" t="inlineStr">
        <is>
          <t>(713) 600-7000</t>
        </is>
      </c>
      <c r="AA45" s="6" t="inlineStr"/>
      <c r="AB45" s="6" t="inlineStr">
        <is>
          <t>https://www.c-rock.com/</t>
        </is>
      </c>
      <c r="AC45" s="6" t="inlineStr"/>
      <c r="AD45" s="6" t="inlineStr"/>
    </row>
    <row r="46">
      <c r="A46" s="12" t="inlineStr">
        <is>
          <t>Kirk Breitenwischer</t>
        </is>
      </c>
      <c r="B46" s="12" t="inlineStr">
        <is>
          <t>CastleRock Communities</t>
        </is>
      </c>
      <c r="C46" s="12" t="inlineStr">
        <is>
          <t>Senior Executive Vice President</t>
        </is>
      </c>
      <c r="D46" s="13" t="inlineStr">
        <is>
          <t>One gap</t>
        </is>
      </c>
      <c r="E46" s="14" t="n">
        <v>2</v>
      </c>
      <c r="F46" s="12" t="inlineStr">
        <is>
          <t>Buys walls</t>
        </is>
      </c>
      <c r="G46" s="12" t="inlineStr">
        <is>
          <t>Houston HQ / Fort Bend</t>
        </is>
      </c>
      <c r="H46" s="12" t="inlineStr">
        <is>
          <t>1,465 closings company-wide in 2025</t>
        </is>
      </c>
      <c r="I46" s="14" t="inlineStr">
        <is>
          <t>Yes</t>
        </is>
      </c>
      <c r="J46" s="15" t="inlineStr">
        <is>
          <t>20,000-plus homes since 2004. 1,600-plus closings in 2020.</t>
        </is>
      </c>
      <c r="K46" s="14" t="inlineStr">
        <is>
          <t>Partly</t>
        </is>
      </c>
      <c r="L46" s="15" t="inlineStr">
        <is>
          <t>1,465 closings in 2025, per the Builder 100. Inside the 400 to 1,500 band.</t>
        </is>
      </c>
      <c r="M46" s="14" t="inlineStr">
        <is>
          <t>No</t>
        </is>
      </c>
      <c r="N46" s="15" t="inlineStr">
        <is>
          <t>Daiwa House builds industrially in Japan. Nothing links that to CastleRock's method.</t>
        </is>
      </c>
      <c r="O46" s="6" t="inlineStr">
        <is>
          <t>https://www.linkedin.com/in/kirk-breitenwischer-32778312/</t>
        </is>
      </c>
      <c r="P46" s="12" t="inlineStr"/>
      <c r="Q46" s="16">
        <f>IF(O46="","ADD LINKEDIN","ok")</f>
        <v/>
      </c>
      <c r="R46" s="12" t="inlineStr">
        <is>
          <t>https://www.c-rock.com/</t>
        </is>
      </c>
      <c r="S46" s="15" t="inlineStr">
        <is>
          <t>Daiwa House holds 80 percent and builds industrially in Japan, but nothing links that to CastleRock's method.</t>
        </is>
      </c>
      <c r="T46" s="12" t="inlineStr"/>
      <c r="U46" s="15" t="inlineStr">
        <is>
          <t>Headline: VP, Castlerock Communities, Houston. No function given.</t>
        </is>
      </c>
      <c r="V46" s="12" t="inlineStr"/>
      <c r="W46" s="12" t="inlineStr">
        <is>
          <t>https://www.linkedin.com/company/castlerock-communities</t>
        </is>
      </c>
      <c r="X46" s="12" t="inlineStr">
        <is>
          <t>https://www.c-rock.com/about</t>
        </is>
      </c>
      <c r="Y46" s="12" t="inlineStr"/>
      <c r="Z46" s="12" t="inlineStr">
        <is>
          <t>(713) 600-7000</t>
        </is>
      </c>
      <c r="AA46" s="12" t="inlineStr"/>
      <c r="AB46" s="12" t="inlineStr">
        <is>
          <t>https://www.c-rock.com/</t>
        </is>
      </c>
      <c r="AC46" s="12" t="inlineStr"/>
      <c r="AD46" s="12" t="inlineStr"/>
    </row>
    <row r="47">
      <c r="A47" s="6" t="inlineStr">
        <is>
          <t>Samuel Sanders</t>
        </is>
      </c>
      <c r="B47" s="6" t="inlineStr">
        <is>
          <t>Clay Residential</t>
        </is>
      </c>
      <c r="C47" s="6" t="inlineStr">
        <is>
          <t>Vice President of Construction Operations</t>
        </is>
      </c>
      <c r="D47" s="7" t="inlineStr">
        <is>
          <t>One gap</t>
        </is>
      </c>
      <c r="E47" s="8" t="n">
        <v>2</v>
      </c>
      <c r="F47" s="6" t="inlineStr">
        <is>
          <t>Buys walls</t>
        </is>
      </c>
      <c r="G47" s="6" t="inlineStr">
        <is>
          <t>Houston / Cypress, Iowa Colony</t>
        </is>
      </c>
      <c r="H47" s="6" t="inlineStr">
        <is>
          <t>465 rental homes in two Houston communities, 368 and 97</t>
        </is>
      </c>
      <c r="I47" s="8" t="inlineStr">
        <is>
          <t>Yes</t>
        </is>
      </c>
      <c r="J47" s="9" t="inlineStr">
        <is>
          <t>465 homes across two communities, on three, four and five bedroom plans.</t>
        </is>
      </c>
      <c r="K47" s="8" t="inlineStr">
        <is>
          <t>Partly</t>
        </is>
      </c>
      <c r="L47" s="9" t="inlineStr">
        <is>
          <t>465 homes across two communities, a project total above 400.</t>
        </is>
      </c>
      <c r="M47" s="8" t="inlineStr">
        <is>
          <t>No</t>
        </is>
      </c>
      <c r="N47" s="9" t="inlineStr">
        <is>
          <t>Construction page names subcontractors and suppliers. No method.</t>
        </is>
      </c>
      <c r="O47" s="10" t="inlineStr"/>
      <c r="P47" s="6">
        <f>HYPERLINK("https://www.linkedin.com/search/results/people/?keywords=Samuel%20Sanders%20Clay%20Residential","search")</f>
        <v/>
      </c>
      <c r="Q47" s="11">
        <f>IF(O47="","ADD LINKEDIN","ok")</f>
        <v/>
      </c>
      <c r="R47" s="6" t="inlineStr">
        <is>
          <t>https://www.clayresidential.com/</t>
        </is>
      </c>
      <c r="S47" s="9" t="inlineStr">
        <is>
          <t>It repeats three, four and five bedroom rental plans, and it names its construction seat.</t>
        </is>
      </c>
      <c r="T47" s="6" t="inlineStr">
        <is>
          <t>YES</t>
        </is>
      </c>
      <c r="U47" s="9" t="inlineStr">
        <is>
          <t>Primary contact, Greater Houston Builders Association record.</t>
        </is>
      </c>
      <c r="V47" s="6" t="inlineStr">
        <is>
          <t>https://members.ghba.org/memberdirectory/Details/clay-residential-2924528</t>
        </is>
      </c>
      <c r="W47" s="6" t="inlineStr"/>
      <c r="X47" s="6" t="inlineStr"/>
      <c r="Y47" s="6" t="inlineStr"/>
      <c r="Z47" s="6" t="inlineStr">
        <is>
          <t>(281) 407-6466</t>
        </is>
      </c>
      <c r="AA47" s="6" t="inlineStr"/>
      <c r="AB47" s="6" t="inlineStr">
        <is>
          <t>https://www.clayresidential.com/</t>
        </is>
      </c>
      <c r="AC47" s="6" t="inlineStr"/>
      <c r="AD47" s="6" t="inlineStr"/>
    </row>
    <row r="48">
      <c r="A48" s="12" t="inlineStr">
        <is>
          <t>Franck Boursier</t>
        </is>
      </c>
      <c r="B48" s="12" t="inlineStr">
        <is>
          <t>Everlasting Homes Building Group</t>
        </is>
      </c>
      <c r="C48" s="12" t="inlineStr">
        <is>
          <t>Chief Executive Officer and co-founder</t>
        </is>
      </c>
      <c r="D48" s="13" t="inlineStr">
        <is>
          <t>One gap</t>
        </is>
      </c>
      <c r="E48" s="14" t="n">
        <v>2</v>
      </c>
      <c r="F48" s="12" t="inlineStr">
        <is>
          <t>Buys walls</t>
        </is>
      </c>
      <c r="G48" s="12" t="inlineStr">
        <is>
          <t>Houston, Harris</t>
        </is>
      </c>
      <c r="H48" s="12" t="inlineStr">
        <is>
          <t>Six Houston homes on structural concrete insulated panels</t>
        </is>
      </c>
      <c r="I48" s="14" t="inlineStr">
        <is>
          <t>No</t>
        </is>
      </c>
      <c r="J48" s="15" t="inlineStr">
        <is>
          <t>Each house designed for its site.</t>
        </is>
      </c>
      <c r="K48" s="14" t="inlineStr">
        <is>
          <t>Partly</t>
        </is>
      </c>
      <c r="L48" s="15" t="inlineStr">
        <is>
          <t>No annual volume published.</t>
        </is>
      </c>
      <c r="M48" s="14" t="inlineStr">
        <is>
          <t>Yes</t>
        </is>
      </c>
      <c r="N48" s="15" t="inlineStr">
        <is>
          <t>Adopted the system when new to this market. Promoted it on television.</t>
        </is>
      </c>
      <c r="O48" s="10" t="inlineStr"/>
      <c r="P48" s="12" t="inlineStr"/>
      <c r="Q48" s="16">
        <f>IF(O48="","ADD LINKEDIN","ok")</f>
        <v/>
      </c>
      <c r="R48" s="12" t="inlineStr">
        <is>
          <t>https://www.everlastinghomesgroup.com/</t>
        </is>
      </c>
      <c r="S48" s="15" t="inlineStr">
        <is>
          <t>It already builds every wall in concrete, but each house is designed for its site, so no plan repeats.</t>
        </is>
      </c>
      <c r="T48" s="12" t="inlineStr">
        <is>
          <t>YES</t>
        </is>
      </c>
      <c r="U48" s="15" t="inlineStr">
        <is>
          <t>Firm's own site, business record. Chief executive and a founder.</t>
        </is>
      </c>
      <c r="V48" s="12" t="inlineStr">
        <is>
          <t>https://www.everlastinghomesgroup.com/</t>
        </is>
      </c>
      <c r="W48" s="12" t="inlineStr"/>
      <c r="X48" s="12" t="inlineStr"/>
      <c r="Y48" s="12" t="inlineStr"/>
      <c r="Z48" s="12" t="inlineStr">
        <is>
          <t>(281) 915-9791</t>
        </is>
      </c>
      <c r="AA48" s="12" t="inlineStr">
        <is>
          <t>Greater Houston</t>
        </is>
      </c>
      <c r="AB48" s="12" t="inlineStr">
        <is>
          <t>https://www.everlastinghomesgroup.com/</t>
        </is>
      </c>
      <c r="AC48" s="12" t="inlineStr"/>
      <c r="AD48" s="12" t="inlineStr"/>
    </row>
    <row r="49">
      <c r="A49" s="6" t="inlineStr">
        <is>
          <t>George Mock</t>
        </is>
      </c>
      <c r="B49" s="6" t="inlineStr">
        <is>
          <t>Everlasting Homes Building Group</t>
        </is>
      </c>
      <c r="C49" s="6" t="inlineStr">
        <is>
          <t>General Manager</t>
        </is>
      </c>
      <c r="D49" s="7" t="inlineStr">
        <is>
          <t>One gap</t>
        </is>
      </c>
      <c r="E49" s="8" t="n">
        <v>2</v>
      </c>
      <c r="F49" s="6" t="inlineStr">
        <is>
          <t>Buys walls</t>
        </is>
      </c>
      <c r="G49" s="6" t="inlineStr">
        <is>
          <t>Houston, Harris</t>
        </is>
      </c>
      <c r="H49" s="6" t="inlineStr">
        <is>
          <t>Six Houston homes on structural concrete insulated panels</t>
        </is>
      </c>
      <c r="I49" s="8" t="inlineStr">
        <is>
          <t>No</t>
        </is>
      </c>
      <c r="J49" s="9" t="inlineStr">
        <is>
          <t>Each house designed for its site.</t>
        </is>
      </c>
      <c r="K49" s="8" t="inlineStr">
        <is>
          <t>Partly</t>
        </is>
      </c>
      <c r="L49" s="9" t="inlineStr">
        <is>
          <t>No annual volume published.</t>
        </is>
      </c>
      <c r="M49" s="8" t="inlineStr">
        <is>
          <t>Yes</t>
        </is>
      </c>
      <c r="N49" s="9" t="inlineStr">
        <is>
          <t>Adopted the system when new to this market. Promoted it on television.</t>
        </is>
      </c>
      <c r="O49" s="10" t="inlineStr"/>
      <c r="P49" s="6" t="inlineStr"/>
      <c r="Q49" s="11">
        <f>IF(O49="","ADD LINKEDIN","ok")</f>
        <v/>
      </c>
      <c r="R49" s="6" t="inlineStr">
        <is>
          <t>https://www.everlastinghomesgroup.com/</t>
        </is>
      </c>
      <c r="S49" s="9" t="inlineStr">
        <is>
          <t>It already builds every wall in concrete, but each house is designed for its site, so no plan repeats.</t>
        </is>
      </c>
      <c r="T49" s="6" t="inlineStr">
        <is>
          <t>YES</t>
        </is>
      </c>
      <c r="U49" s="9" t="inlineStr">
        <is>
          <t>Firm's own site, business record. General manager and a founder.</t>
        </is>
      </c>
      <c r="V49" s="6" t="inlineStr">
        <is>
          <t>https://www.everlastinghomesgroup.com/</t>
        </is>
      </c>
      <c r="W49" s="6" t="inlineStr"/>
      <c r="X49" s="6" t="inlineStr"/>
      <c r="Y49" s="6" t="inlineStr"/>
      <c r="Z49" s="6" t="inlineStr">
        <is>
          <t>(281) 915-9791</t>
        </is>
      </c>
      <c r="AA49" s="6" t="inlineStr">
        <is>
          <t>Greater Houston</t>
        </is>
      </c>
      <c r="AB49" s="6" t="inlineStr">
        <is>
          <t>https://www.everlastinghomesgroup.com/</t>
        </is>
      </c>
      <c r="AC49" s="6" t="inlineStr"/>
      <c r="AD49" s="6" t="inlineStr"/>
    </row>
    <row r="50">
      <c r="A50" s="12" t="inlineStr">
        <is>
          <t>John Winniford</t>
        </is>
      </c>
      <c r="B50" s="12" t="inlineStr">
        <is>
          <t>First America Homes</t>
        </is>
      </c>
      <c r="C50" s="12" t="inlineStr">
        <is>
          <t>President, Homebuilding</t>
        </is>
      </c>
      <c r="D50" s="13" t="inlineStr">
        <is>
          <t>One gap</t>
        </is>
      </c>
      <c r="E50" s="14" t="n">
        <v>2</v>
      </c>
      <c r="F50" s="12" t="inlineStr">
        <is>
          <t>Buys walls</t>
        </is>
      </c>
      <c r="G50" s="12" t="inlineStr">
        <is>
          <t>The Woodlands HQ / Liberty, Fort Bend</t>
        </is>
      </c>
      <c r="H50" s="12" t="inlineStr">
        <is>
          <t>1,300+ homes planned across 14 new Texas communities</t>
        </is>
      </c>
      <c r="I50" s="14" t="inlineStr">
        <is>
          <t>Yes</t>
        </is>
      </c>
      <c r="J50" s="15" t="inlineStr">
        <is>
          <t>359 homes on one site at Valley Ranch.</t>
        </is>
      </c>
      <c r="K50" s="14" t="inlineStr">
        <is>
          <t>Partly</t>
        </is>
      </c>
      <c r="L50" s="15" t="inlineStr">
        <is>
          <t>750 homes sold in 2025 across two markets, per the parent.</t>
        </is>
      </c>
      <c r="M50" s="14" t="inlineStr">
        <is>
          <t>No</t>
        </is>
      </c>
      <c r="N50" s="15" t="inlineStr">
        <is>
          <t>Refined stick framing. No new method.</t>
        </is>
      </c>
      <c r="O50" s="10" t="inlineStr"/>
      <c r="P50" s="12">
        <f>HYPERLINK("https://www.linkedin.com/search/results/people/?keywords=John%20Winniford%20First%20America%20Homes","search")</f>
        <v/>
      </c>
      <c r="Q50" s="16">
        <f>IF(O50="","ADD LINKEDIN","ok")</f>
        <v/>
      </c>
      <c r="R50" s="12" t="inlineStr">
        <is>
          <t>https://www.firstamericahomes.com/</t>
        </is>
      </c>
      <c r="S50" s="15" t="inlineStr">
        <is>
          <t>It markets its own framed wall assembly, so a printed wall would replace a selling point it publishes.</t>
        </is>
      </c>
      <c r="T50" s="12" t="inlineStr"/>
      <c r="U50" s="15" t="inlineStr">
        <is>
          <t>Signorelli bio page. Ran Brightland, formerly Gehan, nearly a decade. 22,000-plus homes from 2016.</t>
        </is>
      </c>
      <c r="V50" s="12" t="inlineStr">
        <is>
          <t>https://www.signorellicompany.com/our-leadership/34/john-winniford</t>
        </is>
      </c>
      <c r="W50" s="12" t="inlineStr">
        <is>
          <t>https://www.linkedin.com/company/first-america-homes</t>
        </is>
      </c>
      <c r="X50" s="12" t="inlineStr">
        <is>
          <t>https://www.firstamericahomes.com/about/</t>
        </is>
      </c>
      <c r="Y50" s="12" t="inlineStr">
        <is>
          <t>2026-08-10 CEOWORLD magazine. Danny Signorelli Leads First America Homes Expansion Across Houston and Texas  https://ceoworld.biz/2026/08/10/danny-signorelli-leads-first-america-homes-expansion-across-houston-and-texas/</t>
        </is>
      </c>
      <c r="Z50" s="12" t="inlineStr">
        <is>
          <t>(713) 897-8986</t>
        </is>
      </c>
      <c r="AA50" s="12" t="inlineStr"/>
      <c r="AB50" s="12" t="inlineStr">
        <is>
          <t>https://www.firstamericahomes.com/</t>
        </is>
      </c>
      <c r="AC50" s="12" t="inlineStr"/>
      <c r="AD50" s="12" t="inlineStr"/>
    </row>
    <row r="51">
      <c r="A51" s="6" t="inlineStr">
        <is>
          <t>Danny Signorelli</t>
        </is>
      </c>
      <c r="B51" s="6" t="inlineStr">
        <is>
          <t>First America Homes</t>
        </is>
      </c>
      <c r="C51" s="6" t="inlineStr">
        <is>
          <t>Founder and Chief Executive Officer, The Signorelli Company</t>
        </is>
      </c>
      <c r="D51" s="7" t="inlineStr">
        <is>
          <t>One gap</t>
        </is>
      </c>
      <c r="E51" s="8" t="n">
        <v>2</v>
      </c>
      <c r="F51" s="6" t="inlineStr">
        <is>
          <t>Buys walls</t>
        </is>
      </c>
      <c r="G51" s="6" t="inlineStr">
        <is>
          <t>The Woodlands HQ / Liberty, Fort Bend</t>
        </is>
      </c>
      <c r="H51" s="6" t="inlineStr">
        <is>
          <t>1,300+ homes planned across 14 new Texas communities</t>
        </is>
      </c>
      <c r="I51" s="8" t="inlineStr">
        <is>
          <t>Yes</t>
        </is>
      </c>
      <c r="J51" s="9" t="inlineStr">
        <is>
          <t>359 homes on one site at Valley Ranch.</t>
        </is>
      </c>
      <c r="K51" s="8" t="inlineStr">
        <is>
          <t>Partly</t>
        </is>
      </c>
      <c r="L51" s="9" t="inlineStr">
        <is>
          <t>750 homes sold in 2025 across two markets, per the parent.</t>
        </is>
      </c>
      <c r="M51" s="8" t="inlineStr">
        <is>
          <t>No</t>
        </is>
      </c>
      <c r="N51" s="9" t="inlineStr">
        <is>
          <t>Refined stick framing. No new method.</t>
        </is>
      </c>
      <c r="O51" s="6" t="inlineStr">
        <is>
          <t>https://www.linkedin.com/in/danny-signorelli-6284461b/</t>
        </is>
      </c>
      <c r="P51" s="6" t="inlineStr"/>
      <c r="Q51" s="11">
        <f>IF(O51="","ADD LINKEDIN","ok")</f>
        <v/>
      </c>
      <c r="R51" s="6" t="inlineStr">
        <is>
          <t>https://www.firstamericahomes.com/</t>
        </is>
      </c>
      <c r="S51" s="9" t="inlineStr">
        <is>
          <t>It markets its own framed wall assembly, so a printed wall would replace a selling point it publishes.</t>
        </is>
      </c>
      <c r="T51" s="6" t="inlineStr"/>
      <c r="U51" s="9" t="inlineStr">
        <is>
          <t>CEO, President, The Signorelli Company. Greater Houston.</t>
        </is>
      </c>
      <c r="V51" s="6" t="inlineStr"/>
      <c r="W51" s="6" t="inlineStr">
        <is>
          <t>https://www.linkedin.com/company/first-america-homes</t>
        </is>
      </c>
      <c r="X51" s="6" t="inlineStr">
        <is>
          <t>https://www.firstamericahomes.com/about/</t>
        </is>
      </c>
      <c r="Y51" s="6" t="inlineStr">
        <is>
          <t>2026-08-10 CEOWORLD magazine. Danny Signorelli Leads First America Homes Expansion Across Houston and Texas  https://ceoworld.biz/2026/08/10/danny-signorelli-leads-first-america-homes-expansion-across-houston-and-texas/</t>
        </is>
      </c>
      <c r="Z51" s="6" t="inlineStr">
        <is>
          <t>(713) 897-8986</t>
        </is>
      </c>
      <c r="AA51" s="6" t="inlineStr"/>
      <c r="AB51" s="6" t="inlineStr">
        <is>
          <t>https://www.firstamericahomes.com/</t>
        </is>
      </c>
      <c r="AC51" s="6" t="inlineStr"/>
      <c r="AD51" s="6" t="inlineStr"/>
    </row>
    <row r="52">
      <c r="A52" s="12" t="inlineStr">
        <is>
          <t>David Assid</t>
        </is>
      </c>
      <c r="B52" s="12" t="inlineStr">
        <is>
          <t>First America Homes</t>
        </is>
      </c>
      <c r="C52" s="12" t="inlineStr">
        <is>
          <t>Houston Division President, Homebuilding</t>
        </is>
      </c>
      <c r="D52" s="13" t="inlineStr">
        <is>
          <t>One gap</t>
        </is>
      </c>
      <c r="E52" s="14" t="n">
        <v>2</v>
      </c>
      <c r="F52" s="12" t="inlineStr">
        <is>
          <t>Buys walls</t>
        </is>
      </c>
      <c r="G52" s="12" t="inlineStr">
        <is>
          <t>The Woodlands HQ / Liberty, Fort Bend</t>
        </is>
      </c>
      <c r="H52" s="12" t="inlineStr">
        <is>
          <t>1,300+ homes planned across 14 new Texas communities</t>
        </is>
      </c>
      <c r="I52" s="14" t="inlineStr">
        <is>
          <t>Yes</t>
        </is>
      </c>
      <c r="J52" s="15" t="inlineStr">
        <is>
          <t>359 homes on one site at Valley Ranch.</t>
        </is>
      </c>
      <c r="K52" s="14" t="inlineStr">
        <is>
          <t>Partly</t>
        </is>
      </c>
      <c r="L52" s="15" t="inlineStr">
        <is>
          <t>750 homes sold in 2025 across two markets, per the parent.</t>
        </is>
      </c>
      <c r="M52" s="14" t="inlineStr">
        <is>
          <t>No</t>
        </is>
      </c>
      <c r="N52" s="15" t="inlineStr">
        <is>
          <t>Refined stick framing. No new method.</t>
        </is>
      </c>
      <c r="O52" s="6" t="inlineStr">
        <is>
          <t>https://www.linkedin.com/in/davidassid/</t>
        </is>
      </c>
      <c r="P52" s="12" t="inlineStr"/>
      <c r="Q52" s="16">
        <f>IF(O52="","ADD LINKEDIN","ok")</f>
        <v/>
      </c>
      <c r="R52" s="12" t="inlineStr">
        <is>
          <t>https://www.firstamericahomes.com/</t>
        </is>
      </c>
      <c r="S52" s="15" t="inlineStr">
        <is>
          <t>It markets its own framed wall assembly, so a printed wall would replace a selling point it publishes.</t>
        </is>
      </c>
      <c r="T52" s="12" t="inlineStr">
        <is>
          <t>YES</t>
        </is>
      </c>
      <c r="U52" s="15" t="inlineStr">
        <is>
          <t>Division President, First America Homes. Houston, Texas.</t>
        </is>
      </c>
      <c r="V52" s="12" t="inlineStr">
        <is>
          <t>https://www.signorellicompany.com/our-leadership</t>
        </is>
      </c>
      <c r="W52" s="12" t="inlineStr">
        <is>
          <t>https://www.linkedin.com/company/first-america-homes</t>
        </is>
      </c>
      <c r="X52" s="12" t="inlineStr">
        <is>
          <t>https://www.firstamericahomes.com/about/</t>
        </is>
      </c>
      <c r="Y52" s="12" t="inlineStr">
        <is>
          <t>2026-08-10 CEOWORLD magazine. Danny Signorelli Leads First America Homes Expansion Across Houston and Texas  https://ceoworld.biz/2026/08/10/danny-signorelli-leads-first-america-homes-expansion-across-houston-and-texas/</t>
        </is>
      </c>
      <c r="Z52" s="12" t="inlineStr">
        <is>
          <t>(713) 897-8986</t>
        </is>
      </c>
      <c r="AA52" s="12" t="inlineStr"/>
      <c r="AB52" s="12" t="inlineStr">
        <is>
          <t>https://www.firstamericahomes.com/</t>
        </is>
      </c>
      <c r="AC52" s="12" t="inlineStr"/>
      <c r="AD52" s="12" t="inlineStr"/>
    </row>
    <row r="53">
      <c r="A53" s="6" t="inlineStr">
        <is>
          <t>Frank Liu</t>
        </is>
      </c>
      <c r="B53" s="6" t="inlineStr">
        <is>
          <t>InTown Homes / Lovett Commercial (Frank Liu)</t>
        </is>
      </c>
      <c r="C53" s="6" t="inlineStr">
        <is>
          <t>Founder, InTown Homes, and President, Lovett Commercial</t>
        </is>
      </c>
      <c r="D53" s="7" t="inlineStr">
        <is>
          <t>One gap</t>
        </is>
      </c>
      <c r="E53" s="8" t="n">
        <v>2</v>
      </c>
      <c r="F53" s="6" t="inlineStr">
        <is>
          <t>Buys walls</t>
        </is>
      </c>
      <c r="G53" s="6" t="inlineStr">
        <is>
          <t>Inner-loop Houston, Harris County</t>
        </is>
      </c>
      <c r="H53" s="6" t="inlineStr">
        <is>
          <t>3-story attached townhomes, citywide volume</t>
        </is>
      </c>
      <c r="I53" s="8" t="inlineStr">
        <is>
          <t>Yes</t>
        </is>
      </c>
      <c r="J53" s="9" t="inlineStr">
        <is>
          <t>Three-story townhomes, repeated inner-city.</t>
        </is>
      </c>
      <c r="K53" s="8" t="inlineStr">
        <is>
          <t>Partly</t>
        </is>
      </c>
      <c r="L53" s="9" t="inlineStr">
        <is>
          <t>No annual figure published.</t>
        </is>
      </c>
      <c r="M53" s="8" t="inlineStr">
        <is>
          <t>No</t>
        </is>
      </c>
      <c r="N53" s="9" t="inlineStr">
        <is>
          <t>No new building method.</t>
        </is>
      </c>
      <c r="O53" s="6" t="inlineStr">
        <is>
          <t>https://www.linkedin.com/in/frank-liu-b33247a/</t>
        </is>
      </c>
      <c r="P53" s="6" t="inlineStr"/>
      <c r="Q53" s="11">
        <f>IF(O53="","ADD LINKEDIN","ok")</f>
        <v/>
      </c>
      <c r="R53" s="6" t="inlineStr">
        <is>
          <t>https://intownhomes.com/</t>
        </is>
      </c>
      <c r="S53" s="9" t="inlineStr">
        <is>
          <t>Its townhomes repeat across inner Houston, but its site names no construction vice president or director.</t>
        </is>
      </c>
      <c r="T53" s="6" t="inlineStr"/>
      <c r="U53" s="9" t="inlineStr">
        <is>
          <t>Headline: President at Lovett, Houston. A second Frank Liu there is not the principal. No page gives his title at each entity.</t>
        </is>
      </c>
      <c r="V53" s="6" t="inlineStr"/>
      <c r="W53" s="6" t="inlineStr">
        <is>
          <t>https://www.linkedin.com/company/intown-homes</t>
        </is>
      </c>
      <c r="X53" s="6" t="inlineStr">
        <is>
          <t>https://www.lovettcommercial.com/about</t>
        </is>
      </c>
      <c r="Y53" s="6" t="inlineStr"/>
      <c r="Z53" s="6" t="inlineStr">
        <is>
          <t>(713) 961-3877</t>
        </is>
      </c>
      <c r="AA53" s="6" t="inlineStr"/>
      <c r="AB53" s="6" t="inlineStr">
        <is>
          <t>https://intownhomes.com/</t>
        </is>
      </c>
      <c r="AC53" s="6" t="inlineStr"/>
      <c r="AD53" s="6" t="inlineStr"/>
    </row>
    <row r="54">
      <c r="A54" s="12" t="inlineStr">
        <is>
          <t>no contact identified</t>
        </is>
      </c>
      <c r="B54" s="12" t="inlineStr">
        <is>
          <t>Live Lone Star</t>
        </is>
      </c>
      <c r="C54" s="12" t="inlineStr"/>
      <c r="D54" s="13" t="inlineStr">
        <is>
          <t>One gap</t>
        </is>
      </c>
      <c r="E54" s="14" t="n">
        <v>2</v>
      </c>
      <c r="F54" s="12" t="inlineStr">
        <is>
          <t>Buys walls</t>
        </is>
      </c>
      <c r="G54" s="12" t="inlineStr">
        <is>
          <t>Houston, working Harris and Brazoria</t>
        </is>
      </c>
      <c r="H54" s="12" t="inlineStr">
        <is>
          <t>Seven communities and about 3,000 lots in development, March 2023</t>
        </is>
      </c>
      <c r="I54" s="14" t="inlineStr">
        <is>
          <t>Yes</t>
        </is>
      </c>
      <c r="J54" s="15" t="inlineStr">
        <is>
          <t>Seven communities and about 3,000 lots on the same factory product.</t>
        </is>
      </c>
      <c r="K54" s="14" t="inlineStr">
        <is>
          <t>No</t>
        </is>
      </c>
      <c r="L54" s="15" t="inlineStr">
        <is>
          <t>Buys finished homes from manufacturers. A site printer does not fit.</t>
        </is>
      </c>
      <c r="M54" s="14" t="inlineStr">
        <is>
          <t>Partly</t>
        </is>
      </c>
      <c r="N54" s="15" t="inlineStr">
        <is>
          <t>Built a business on factory housing.</t>
        </is>
      </c>
      <c r="O54" s="10" t="inlineStr"/>
      <c r="P54" s="12" t="inlineStr"/>
      <c r="Q54" s="16">
        <f>IF(O54="","ADD LINKEDIN","ok")</f>
        <v/>
      </c>
      <c r="R54" s="12" t="inlineStr"/>
      <c r="S54" s="15" t="inlineStr">
        <is>
          <t>It buys finished factory homes delivered to the lot, so a site printer does not fit.</t>
        </is>
      </c>
      <c r="T54" s="12" t="inlineStr"/>
      <c r="U54" s="15" t="inlineStr"/>
      <c r="V54" s="12" t="inlineStr"/>
      <c r="W54" s="12" t="inlineStr"/>
      <c r="X54" s="12" t="inlineStr"/>
      <c r="Y54" s="12" t="inlineStr"/>
      <c r="Z54" s="12" t="inlineStr"/>
      <c r="AA54" s="12" t="inlineStr"/>
      <c r="AB54" s="12" t="inlineStr"/>
      <c r="AC54" s="12" t="inlineStr"/>
      <c r="AD54" s="12" t="inlineStr"/>
    </row>
    <row r="55">
      <c r="A55" s="6" t="inlineStr">
        <is>
          <t>Ker Thomson</t>
        </is>
      </c>
      <c r="B55" s="6" t="inlineStr">
        <is>
          <t>Nautilus Custom Homes</t>
        </is>
      </c>
      <c r="C55" s="6" t="inlineStr">
        <is>
          <t>Founder and Designer</t>
        </is>
      </c>
      <c r="D55" s="7" t="inlineStr">
        <is>
          <t>One gap</t>
        </is>
      </c>
      <c r="E55" s="8" t="n">
        <v>2</v>
      </c>
      <c r="F55" s="6" t="inlineStr">
        <is>
          <t>Buys walls</t>
        </is>
      </c>
      <c r="G55" s="6" t="inlineStr">
        <is>
          <t>Houston, Harris</t>
        </is>
      </c>
      <c r="H55" s="6" t="inlineStr">
        <is>
          <t>Built extensively in insulated concrete form and structural insulated panels</t>
        </is>
      </c>
      <c r="I55" s="8" t="inlineStr">
        <is>
          <t>No</t>
        </is>
      </c>
      <c r="J55" s="9" t="inlineStr">
        <is>
          <t>Custom houses designed one at a time.</t>
        </is>
      </c>
      <c r="K55" s="8" t="inlineStr">
        <is>
          <t>Partly</t>
        </is>
      </c>
      <c r="L55" s="9" t="inlineStr">
        <is>
          <t>No annual volume published.</t>
        </is>
      </c>
      <c r="M55" s="8" t="inlineStr">
        <is>
          <t>Yes</t>
        </is>
      </c>
      <c r="N55" s="9" t="inlineStr">
        <is>
          <t>Around 300 products examined. The house won Best Large Residential, 2014.</t>
        </is>
      </c>
      <c r="O55" s="10" t="inlineStr"/>
      <c r="P55" s="6" t="inlineStr"/>
      <c r="Q55" s="11">
        <f>IF(O55="","ADD LINKEDIN","ok")</f>
        <v/>
      </c>
      <c r="R55" s="6" t="inlineStr">
        <is>
          <t>https://www.nautiluscustomhomes.com/</t>
        </is>
      </c>
      <c r="S55" s="9" t="inlineStr">
        <is>
          <t>Its predecessor compared seven wall systems before choosing one, but it designs custom houses one at a time.</t>
        </is>
      </c>
      <c r="T55" s="6" t="inlineStr">
        <is>
          <t>YES</t>
        </is>
      </c>
      <c r="U55" s="9" t="inlineStr">
        <is>
          <t>Firm's about page. Formed Nautilus's predecessor, Durable Residential Builders, in 2007.</t>
        </is>
      </c>
      <c r="V55" s="6" t="inlineStr">
        <is>
          <t>https://www.nautiluscustomhomes.com/about-us</t>
        </is>
      </c>
      <c r="W55" s="6" t="inlineStr"/>
      <c r="X55" s="6" t="inlineStr">
        <is>
          <t>https://www.nautiluscustomhomes.com/about-us</t>
        </is>
      </c>
      <c r="Y55" s="6" t="inlineStr"/>
      <c r="Z55" s="6" t="inlineStr">
        <is>
          <t>(832) 265-7353</t>
        </is>
      </c>
      <c r="AA55" s="6" t="inlineStr"/>
      <c r="AB55" s="6" t="inlineStr">
        <is>
          <t>https://www.nautiluscustomhomes.com/</t>
        </is>
      </c>
      <c r="AC55" s="6" t="inlineStr"/>
      <c r="AD55" s="6" t="inlineStr"/>
    </row>
    <row r="56">
      <c r="A56" s="12" t="inlineStr">
        <is>
          <t>Jim Kuchenbrod</t>
        </is>
      </c>
      <c r="B56" s="12" t="inlineStr">
        <is>
          <t>Nautilus Custom Homes</t>
        </is>
      </c>
      <c r="C56" s="12" t="inlineStr">
        <is>
          <t>Construction lead</t>
        </is>
      </c>
      <c r="D56" s="13" t="inlineStr">
        <is>
          <t>One gap</t>
        </is>
      </c>
      <c r="E56" s="14" t="n">
        <v>2</v>
      </c>
      <c r="F56" s="12" t="inlineStr">
        <is>
          <t>Buys walls</t>
        </is>
      </c>
      <c r="G56" s="12" t="inlineStr">
        <is>
          <t>Houston, Harris</t>
        </is>
      </c>
      <c r="H56" s="12" t="inlineStr">
        <is>
          <t>Built extensively in insulated concrete form and structural insulated panels</t>
        </is>
      </c>
      <c r="I56" s="14" t="inlineStr">
        <is>
          <t>No</t>
        </is>
      </c>
      <c r="J56" s="15" t="inlineStr">
        <is>
          <t>Custom houses designed one at a time.</t>
        </is>
      </c>
      <c r="K56" s="14" t="inlineStr">
        <is>
          <t>Partly</t>
        </is>
      </c>
      <c r="L56" s="15" t="inlineStr">
        <is>
          <t>No annual volume published.</t>
        </is>
      </c>
      <c r="M56" s="14" t="inlineStr">
        <is>
          <t>Yes</t>
        </is>
      </c>
      <c r="N56" s="15" t="inlineStr">
        <is>
          <t>Around 300 products examined. The house won Best Large Residential, 2014.</t>
        </is>
      </c>
      <c r="O56" s="10" t="inlineStr"/>
      <c r="P56" s="12" t="inlineStr"/>
      <c r="Q56" s="16">
        <f>IF(O56="","ADD LINKEDIN","ok")</f>
        <v/>
      </c>
      <c r="R56" s="12" t="inlineStr">
        <is>
          <t>https://www.nautiluscustomhomes.com/</t>
        </is>
      </c>
      <c r="S56" s="15" t="inlineStr">
        <is>
          <t>Its predecessor compared seven wall systems before choosing one, but it designs custom houses one at a time.</t>
        </is>
      </c>
      <c r="T56" s="12" t="inlineStr"/>
      <c r="U56" s="15" t="inlineStr">
        <is>
          <t>Firm's about page. More than thirty-five years in residential construction.</t>
        </is>
      </c>
      <c r="V56" s="12" t="inlineStr">
        <is>
          <t>https://www.nautiluscustomhomes.com/about-us</t>
        </is>
      </c>
      <c r="W56" s="12" t="inlineStr"/>
      <c r="X56" s="12" t="inlineStr">
        <is>
          <t>https://www.nautiluscustomhomes.com/about-us</t>
        </is>
      </c>
      <c r="Y56" s="12" t="inlineStr"/>
      <c r="Z56" s="12" t="inlineStr">
        <is>
          <t>(832) 265-7353</t>
        </is>
      </c>
      <c r="AA56" s="12" t="inlineStr"/>
      <c r="AB56" s="12" t="inlineStr">
        <is>
          <t>https://www.nautiluscustomhomes.com/</t>
        </is>
      </c>
      <c r="AC56" s="12" t="inlineStr"/>
      <c r="AD56" s="12" t="inlineStr"/>
    </row>
    <row r="57">
      <c r="A57" s="6" t="inlineStr">
        <is>
          <t>no contact identified</t>
        </is>
      </c>
      <c r="B57" s="6" t="inlineStr">
        <is>
          <t>Seaside Construction</t>
        </is>
      </c>
      <c r="C57" s="6" t="inlineStr"/>
      <c r="D57" s="7" t="inlineStr">
        <is>
          <t>One gap</t>
        </is>
      </c>
      <c r="E57" s="8" t="n">
        <v>2</v>
      </c>
      <c r="F57" s="6" t="inlineStr">
        <is>
          <t>Buys walls</t>
        </is>
      </c>
      <c r="G57" s="6" t="inlineStr">
        <is>
          <t>Galveston, Galveston County</t>
        </is>
      </c>
      <c r="H57" s="6" t="inlineStr">
        <is>
          <t>Adopted insulated concrete form in 2019 for coastal work</t>
        </is>
      </c>
      <c r="I57" s="8" t="inlineStr">
        <is>
          <t>No</t>
        </is>
      </c>
      <c r="J57" s="9" t="inlineStr">
        <is>
          <t>Custom beach houses, each one different.</t>
        </is>
      </c>
      <c r="K57" s="8" t="inlineStr">
        <is>
          <t>Partly</t>
        </is>
      </c>
      <c r="L57" s="9" t="inlineStr">
        <is>
          <t>No annual volume published.</t>
        </is>
      </c>
      <c r="M57" s="8" t="inlineStr">
        <is>
          <t>Yes</t>
        </is>
      </c>
      <c r="N57" s="9" t="inlineStr">
        <is>
          <t>States its coastal reasons for the change.</t>
        </is>
      </c>
      <c r="O57" s="10" t="inlineStr"/>
      <c r="P57" s="6" t="inlineStr"/>
      <c r="Q57" s="11">
        <f>IF(O57="","ADD LINKEDIN","ok")</f>
        <v/>
      </c>
      <c r="R57" s="6" t="inlineStr">
        <is>
          <t>https://seaside-construction.com/</t>
        </is>
      </c>
      <c r="S57" s="9" t="inlineStr">
        <is>
          <t>It changed its wall method for stated coastal reasons, but each beach house is different, so no plan repeats.</t>
        </is>
      </c>
      <c r="T57" s="6" t="inlineStr"/>
      <c r="U57" s="9" t="inlineStr"/>
      <c r="V57" s="6" t="inlineStr"/>
      <c r="W57" s="6" t="inlineStr"/>
      <c r="X57" s="6" t="inlineStr"/>
      <c r="Y57" s="6" t="inlineStr"/>
      <c r="Z57" s="6" t="inlineStr">
        <is>
          <t>(409) 256-4888</t>
        </is>
      </c>
      <c r="AA57" s="6" t="inlineStr">
        <is>
          <t>office</t>
        </is>
      </c>
      <c r="AB57" s="6" t="inlineStr">
        <is>
          <t>https://seaside-construction.com/</t>
        </is>
      </c>
      <c r="AC57" s="6" t="inlineStr"/>
      <c r="AD57" s="6" t="inlineStr"/>
    </row>
    <row r="58">
      <c r="A58" s="12" t="inlineStr">
        <is>
          <t>Edward E. Martin Jr.</t>
        </is>
      </c>
      <c r="B58" s="12" t="inlineStr">
        <is>
          <t>Tilson Home Corporation</t>
        </is>
      </c>
      <c r="C58" s="12" t="inlineStr">
        <is>
          <t>Chief Executive Officer</t>
        </is>
      </c>
      <c r="D58" s="13" t="inlineStr">
        <is>
          <t>One gap</t>
        </is>
      </c>
      <c r="E58" s="14" t="n">
        <v>2</v>
      </c>
      <c r="F58" s="12" t="inlineStr">
        <is>
          <t>Buys walls</t>
        </is>
      </c>
      <c r="G58" s="12" t="inlineStr">
        <is>
          <t>Houston / Spring, Katy, Willis, Angleton</t>
        </is>
      </c>
      <c r="H58" s="12" t="inlineStr">
        <is>
          <t>425 closings in 2024 across Texas, 12 design centers</t>
        </is>
      </c>
      <c r="I58" s="14" t="inlineStr">
        <is>
          <t>Yes</t>
        </is>
      </c>
      <c r="J58" s="15" t="inlineStr">
        <is>
          <t>One plan set sold from twelve design centers, built on buyers' own lots.</t>
        </is>
      </c>
      <c r="K58" s="14" t="inlineStr">
        <is>
          <t>Partly</t>
        </is>
      </c>
      <c r="L58" s="15" t="inlineStr">
        <is>
          <t>425 Texas closings in 2024. Lots are scattered, so every house is a separate set-up.</t>
        </is>
      </c>
      <c r="M58" s="14" t="inlineStr">
        <is>
          <t>No</t>
        </is>
      </c>
      <c r="N58" s="15" t="inlineStr">
        <is>
          <t>Published wall specification is stick frame.</t>
        </is>
      </c>
      <c r="O58" s="10" t="inlineStr"/>
      <c r="P58" s="12">
        <f>HYPERLINK("https://www.linkedin.com/search/results/people/?keywords=Edward%20E.%20Martin%20Jr.%20Tilson%20Home%20Corporation","search")</f>
        <v/>
      </c>
      <c r="Q58" s="16">
        <f>IF(O58="","ADD LINKEDIN","ok")</f>
        <v/>
      </c>
      <c r="R58" s="12" t="inlineStr">
        <is>
          <t>https://www.tilsonhomes.com/</t>
        </is>
      </c>
      <c r="S58" s="15" t="inlineStr">
        <is>
          <t>It sells one plan set on buyers' own scattered lots, so every house would be a separate set-up.</t>
        </is>
      </c>
      <c r="T58" s="12" t="inlineStr"/>
      <c r="U58" s="15" t="inlineStr"/>
      <c r="V58" s="12" t="inlineStr">
        <is>
          <t>https://www.builderonline.com/firms/tilson-homes/</t>
        </is>
      </c>
      <c r="W58" s="12" t="inlineStr"/>
      <c r="X58" s="12" t="inlineStr"/>
      <c r="Y58" s="12" t="inlineStr"/>
      <c r="Z58" s="12" t="inlineStr">
        <is>
          <t>(346) 263-0547</t>
        </is>
      </c>
      <c r="AA58" s="12" t="inlineStr"/>
      <c r="AB58" s="12" t="inlineStr">
        <is>
          <t>https://www.tilsonhomes.com/</t>
        </is>
      </c>
      <c r="AC58" s="12" t="inlineStr"/>
      <c r="AD58" s="12" t="inlineStr"/>
    </row>
    <row r="59">
      <c r="A59" s="6" t="inlineStr">
        <is>
          <t>Jason Golan</t>
        </is>
      </c>
      <c r="B59" s="6" t="inlineStr">
        <is>
          <t>Westin Homes</t>
        </is>
      </c>
      <c r="C59" s="6" t="inlineStr">
        <is>
          <t>President</t>
        </is>
      </c>
      <c r="D59" s="7" t="inlineStr">
        <is>
          <t>One gap</t>
        </is>
      </c>
      <c r="E59" s="8" t="n">
        <v>2</v>
      </c>
      <c r="F59" s="6" t="inlineStr">
        <is>
          <t>Buys walls</t>
        </is>
      </c>
      <c r="G59" s="6" t="inlineStr">
        <is>
          <t>Sugar Land</t>
        </is>
      </c>
      <c r="H59" s="6" t="inlineStr">
        <is>
          <t>1,062 closings and $621 million in 2025, Houston and Austin together</t>
        </is>
      </c>
      <c r="I59" s="8" t="inlineStr">
        <is>
          <t>Yes</t>
        </is>
      </c>
      <c r="J59" s="9" t="inlineStr">
        <is>
          <t>Same plans across six masterplans.</t>
        </is>
      </c>
      <c r="K59" s="8" t="inlineStr">
        <is>
          <t>Partly</t>
        </is>
      </c>
      <c r="L59" s="9" t="inlineStr">
        <is>
          <t>1,062 closings in 2025, Austin included.</t>
        </is>
      </c>
      <c r="M59" s="8" t="inlineStr">
        <is>
          <t>No</t>
        </is>
      </c>
      <c r="N59" s="9" t="inlineStr">
        <is>
          <t>No method evidence. Its language is about refined plans.</t>
        </is>
      </c>
      <c r="O59" s="6" t="inlineStr">
        <is>
          <t>https://www.linkedin.com/in/jason-golan-0874a241/</t>
        </is>
      </c>
      <c r="P59" s="6" t="inlineStr"/>
      <c r="Q59" s="11">
        <f>IF(O59="","ADD LINKEDIN","ok")</f>
        <v/>
      </c>
      <c r="R59" s="6" t="inlineStr">
        <is>
          <t>https://www.westin-homes.com/</t>
        </is>
      </c>
      <c r="S59" s="9" t="inlineStr">
        <is>
          <t>It repeats plans across six masterplans, and names a vice president of land and business development.</t>
        </is>
      </c>
      <c r="T59" s="6" t="inlineStr"/>
      <c r="U59" s="9" t="inlineStr">
        <is>
          <t>Indexed title: President. Firm's 2014 release calls him Founder and Owner.</t>
        </is>
      </c>
      <c r="V59" s="6" t="inlineStr"/>
      <c r="W59" s="6" t="inlineStr"/>
      <c r="X59" s="6" t="inlineStr"/>
      <c r="Y59" s="6" t="inlineStr"/>
      <c r="Z59" s="6" t="inlineStr">
        <is>
          <t>(281) 240-1551</t>
        </is>
      </c>
      <c r="AA59" s="6" t="inlineStr"/>
      <c r="AB59" s="6" t="inlineStr">
        <is>
          <t>https://www.westin-homes.com/</t>
        </is>
      </c>
      <c r="AC59" s="6" t="inlineStr"/>
      <c r="AD59" s="6" t="inlineStr"/>
    </row>
    <row r="60">
      <c r="A60" s="12" t="inlineStr">
        <is>
          <t>Diane Danilov</t>
        </is>
      </c>
      <c r="B60" s="12" t="inlineStr">
        <is>
          <t>Westin Homes</t>
        </is>
      </c>
      <c r="C60" s="12" t="inlineStr">
        <is>
          <t>Vice President of Land and Business Development</t>
        </is>
      </c>
      <c r="D60" s="13" t="inlineStr">
        <is>
          <t>One gap</t>
        </is>
      </c>
      <c r="E60" s="14" t="n">
        <v>2</v>
      </c>
      <c r="F60" s="12" t="inlineStr">
        <is>
          <t>Buys walls</t>
        </is>
      </c>
      <c r="G60" s="12" t="inlineStr">
        <is>
          <t>Sugar Land</t>
        </is>
      </c>
      <c r="H60" s="12" t="inlineStr">
        <is>
          <t>1,062 closings and $621 million in 2025, Houston and Austin together</t>
        </is>
      </c>
      <c r="I60" s="14" t="inlineStr">
        <is>
          <t>Yes</t>
        </is>
      </c>
      <c r="J60" s="15" t="inlineStr">
        <is>
          <t>Same plans across six masterplans.</t>
        </is>
      </c>
      <c r="K60" s="14" t="inlineStr">
        <is>
          <t>Partly</t>
        </is>
      </c>
      <c r="L60" s="15" t="inlineStr">
        <is>
          <t>1,062 closings in 2025, Austin included.</t>
        </is>
      </c>
      <c r="M60" s="14" t="inlineStr">
        <is>
          <t>No</t>
        </is>
      </c>
      <c r="N60" s="15" t="inlineStr">
        <is>
          <t>No method evidence. Its language is about refined plans.</t>
        </is>
      </c>
      <c r="O60" s="6" t="inlineStr">
        <is>
          <t>https://www.linkedin.com/in/diane-danilov-2431a212/</t>
        </is>
      </c>
      <c r="P60" s="12" t="inlineStr"/>
      <c r="Q60" s="16">
        <f>IF(O60="","ADD LINKEDIN","ok")</f>
        <v/>
      </c>
      <c r="R60" s="12" t="inlineStr">
        <is>
          <t>https://www.westin-homes.com/</t>
        </is>
      </c>
      <c r="S60" s="15" t="inlineStr">
        <is>
          <t>It repeats plans across six masterplans, and names a vice president of land and business development.</t>
        </is>
      </c>
      <c r="T60" s="12" t="inlineStr"/>
      <c r="U60" s="15" t="inlineStr">
        <is>
          <t>Headline: VP of Land &amp; Business Development, Westin Homes. Houston.</t>
        </is>
      </c>
      <c r="V60" s="12" t="inlineStr"/>
      <c r="W60" s="12" t="inlineStr"/>
      <c r="X60" s="12" t="inlineStr"/>
      <c r="Y60" s="12" t="inlineStr"/>
      <c r="Z60" s="12" t="inlineStr">
        <is>
          <t>(281) 240-1551</t>
        </is>
      </c>
      <c r="AA60" s="12" t="inlineStr"/>
      <c r="AB60" s="12" t="inlineStr">
        <is>
          <t>https://www.westin-homes.com/</t>
        </is>
      </c>
      <c r="AC60" s="12" t="inlineStr"/>
      <c r="AD60" s="12" t="inlineStr"/>
    </row>
    <row r="61">
      <c r="A61" s="6" t="inlineStr">
        <is>
          <t>Ken Williams</t>
        </is>
      </c>
      <c r="B61" s="6" t="inlineStr">
        <is>
          <t>Colina Homes</t>
        </is>
      </c>
      <c r="C61" s="6" t="inlineStr">
        <is>
          <t>Founder</t>
        </is>
      </c>
      <c r="D61" s="7" t="inlineStr">
        <is>
          <t>One gap</t>
        </is>
      </c>
      <c r="E61" s="8" t="n">
        <v>2</v>
      </c>
      <c r="F61" s="6" t="inlineStr">
        <is>
          <t>Buys walls</t>
        </is>
      </c>
      <c r="G61" s="6" t="inlineStr">
        <is>
          <t>Houston, 14 communities</t>
        </is>
      </c>
      <c r="H61" s="6" t="inlineStr">
        <is>
          <t>540 closings in 2025, fourteen communities published</t>
        </is>
      </c>
      <c r="I61" s="8" t="inlineStr">
        <is>
          <t>Yes</t>
        </is>
      </c>
      <c r="J61" s="9" t="inlineStr">
        <is>
          <t>Fourteen communities, all inside Greater Houston, on a standard plan set.</t>
        </is>
      </c>
      <c r="K61" s="8" t="inlineStr">
        <is>
          <t>Partly</t>
        </is>
      </c>
      <c r="L61" s="9" t="inlineStr">
        <is>
          <t>540 closings in 2025, 552 in 2024. Two machines would carry a fifth at most.</t>
        </is>
      </c>
      <c r="M61" s="8" t="inlineStr">
        <is>
          <t>No</t>
        </is>
      </c>
      <c r="N61" s="9" t="inlineStr">
        <is>
          <t>No method evidence. Positioning is price and floor plan.</t>
        </is>
      </c>
      <c r="O61" s="10" t="inlineStr"/>
      <c r="P61" s="6">
        <f>HYPERLINK("https://www.linkedin.com/search/results/people/?keywords=Ken%20Williams%20Colina%20Homes","search")</f>
        <v/>
      </c>
      <c r="Q61" s="11">
        <f>IF(O61="","ADD LINKEDIN","ok")</f>
        <v/>
      </c>
      <c r="R61" s="6" t="inlineStr">
        <is>
          <t>https://www.colinahomes.com/</t>
        </is>
      </c>
      <c r="S61" s="9" t="inlineStr">
        <is>
          <t>It sells a standard plan set across Greater Houston, and two machines would carry a fifth of its output at most.</t>
        </is>
      </c>
      <c r="T61" s="6" t="inlineStr"/>
      <c r="U61" s="9" t="inlineStr">
        <is>
          <t>About page. Founder, helping over 4,500 families since 2007.</t>
        </is>
      </c>
      <c r="V61" s="6" t="inlineStr">
        <is>
          <t>https://www.colinahomes.com/about</t>
        </is>
      </c>
      <c r="W61" s="6" t="inlineStr"/>
      <c r="X61" s="6" t="inlineStr"/>
      <c r="Y61" s="6" t="inlineStr"/>
      <c r="Z61" s="6" t="inlineStr"/>
      <c r="AA61" s="6" t="inlineStr"/>
      <c r="AB61" s="6" t="inlineStr"/>
      <c r="AC61" s="6" t="inlineStr">
        <is>
          <t>info@colinahomes.com</t>
        </is>
      </c>
      <c r="AD61" s="6" t="inlineStr">
        <is>
          <t>https://www.colinahomes.com/contact</t>
        </is>
      </c>
    </row>
    <row r="62">
      <c r="A62" s="12" t="inlineStr">
        <is>
          <t>Robert Davis</t>
        </is>
      </c>
      <c r="B62" s="12" t="inlineStr">
        <is>
          <t>Colina Homes</t>
        </is>
      </c>
      <c r="C62" s="12" t="inlineStr">
        <is>
          <t>Director of Construction</t>
        </is>
      </c>
      <c r="D62" s="13" t="inlineStr">
        <is>
          <t>One gap</t>
        </is>
      </c>
      <c r="E62" s="14" t="n">
        <v>2</v>
      </c>
      <c r="F62" s="12" t="inlineStr">
        <is>
          <t>Buys walls</t>
        </is>
      </c>
      <c r="G62" s="12" t="inlineStr">
        <is>
          <t>Houston, 14 communities</t>
        </is>
      </c>
      <c r="H62" s="12" t="inlineStr">
        <is>
          <t>540 closings in 2025, fourteen communities published</t>
        </is>
      </c>
      <c r="I62" s="14" t="inlineStr">
        <is>
          <t>Yes</t>
        </is>
      </c>
      <c r="J62" s="15" t="inlineStr">
        <is>
          <t>Fourteen communities, all inside Greater Houston, on a standard plan set.</t>
        </is>
      </c>
      <c r="K62" s="14" t="inlineStr">
        <is>
          <t>Partly</t>
        </is>
      </c>
      <c r="L62" s="15" t="inlineStr">
        <is>
          <t>540 closings in 2025, 552 in 2024. Two machines would carry a fifth at most.</t>
        </is>
      </c>
      <c r="M62" s="14" t="inlineStr">
        <is>
          <t>No</t>
        </is>
      </c>
      <c r="N62" s="15" t="inlineStr">
        <is>
          <t>No method evidence. Positioning is price and floor plan.</t>
        </is>
      </c>
      <c r="O62" s="6" t="inlineStr">
        <is>
          <t>https://www.linkedin.com/in/robert-davis-684517136/</t>
        </is>
      </c>
      <c r="P62" s="12" t="inlineStr"/>
      <c r="Q62" s="16">
        <f>IF(O62="","ADD LINKEDIN","ok")</f>
        <v/>
      </c>
      <c r="R62" s="12" t="inlineStr">
        <is>
          <t>https://www.colinahomes.com/</t>
        </is>
      </c>
      <c r="S62" s="15" t="inlineStr">
        <is>
          <t>It sells a standard plan set across Greater Houston, and two machines would carry a fifth of its output at most.</t>
        </is>
      </c>
      <c r="T62" s="12" t="inlineStr">
        <is>
          <t>YES</t>
        </is>
      </c>
      <c r="U62" s="15" t="inlineStr">
        <is>
          <t>Indexed title matches the role.</t>
        </is>
      </c>
      <c r="V62" s="12" t="inlineStr"/>
      <c r="W62" s="12" t="inlineStr"/>
      <c r="X62" s="12" t="inlineStr"/>
      <c r="Y62" s="12" t="inlineStr"/>
      <c r="Z62" s="12" t="inlineStr"/>
      <c r="AA62" s="12" t="inlineStr"/>
      <c r="AB62" s="12" t="inlineStr"/>
      <c r="AC62" s="12" t="inlineStr">
        <is>
          <t>info@colinahomes.com</t>
        </is>
      </c>
      <c r="AD62" s="12" t="inlineStr">
        <is>
          <t>https://www.colinahomes.com/contact</t>
        </is>
      </c>
    </row>
    <row r="63">
      <c r="A63" s="6" t="inlineStr">
        <is>
          <t>Greg Grahmann</t>
        </is>
      </c>
      <c r="B63" s="6" t="inlineStr">
        <is>
          <t>Imagination Homes</t>
        </is>
      </c>
      <c r="C63" s="6" t="inlineStr">
        <is>
          <t>Director, Imagination Homes</t>
        </is>
      </c>
      <c r="D63" s="7" t="inlineStr">
        <is>
          <t>One gap</t>
        </is>
      </c>
      <c r="E63" s="8" t="n">
        <v>2</v>
      </c>
      <c r="F63" s="6" t="inlineStr">
        <is>
          <t>Buys walls</t>
        </is>
      </c>
      <c r="G63" s="6" t="inlineStr">
        <is>
          <t>Meridiana, Rosharon</t>
        </is>
      </c>
      <c r="H63" s="6" t="inlineStr">
        <is>
          <t>Entry-level, launched 2025</t>
        </is>
      </c>
      <c r="I63" s="8" t="inlineStr">
        <is>
          <t>Yes</t>
        </is>
      </c>
      <c r="J63" s="9" t="inlineStr">
        <is>
          <t>Narrow curated plan set for first-time buyers and right-sizers.</t>
        </is>
      </c>
      <c r="K63" s="8" t="inlineStr">
        <is>
          <t>Partly</t>
        </is>
      </c>
      <c r="L63" s="9" t="inlineStr">
        <is>
          <t>Purchasing sits with a national builder. One machine could cover the brand's output.</t>
        </is>
      </c>
      <c r="M63" s="8" t="inlineStr">
        <is>
          <t>No</t>
        </is>
      </c>
      <c r="N63" s="9" t="inlineStr">
        <is>
          <t>No method on record. Stated strategy is attainable product.</t>
        </is>
      </c>
      <c r="O63" s="10" t="inlineStr"/>
      <c r="P63" s="6">
        <f>HYPERLINK("https://www.linkedin.com/search/results/people/?keywords=Greg%20Grahmann%20Imagination%20Homes","search")</f>
        <v/>
      </c>
      <c r="Q63" s="11">
        <f>IF(O63="","ADD LINKEDIN","ok")</f>
        <v/>
      </c>
      <c r="R63" s="6" t="inlineStr">
        <is>
          <t>https://imaginationhomes.com/</t>
        </is>
      </c>
      <c r="S63" s="9" t="inlineStr">
        <is>
          <t>A David Weekley Homes line whose output one machine could cover, but purchasing sits with the national builder.</t>
        </is>
      </c>
      <c r="T63" s="6" t="inlineStr"/>
      <c r="U63" s="9" t="inlineStr">
        <is>
          <t>Builder Magazine. Joined David Weekley Homes 2013. Also a division president there.</t>
        </is>
      </c>
      <c r="V63" s="6" t="inlineStr">
        <is>
          <t>https://www.builderonline.com/builder-100/strategy/imagination-homes-targets-attainable-entry-level-housing-in-texas/</t>
        </is>
      </c>
      <c r="W63" s="6" t="inlineStr"/>
      <c r="X63" s="6" t="inlineStr"/>
      <c r="Y63" s="6" t="inlineStr"/>
      <c r="Z63" s="6" t="inlineStr">
        <is>
          <t>(866) 510-2449</t>
        </is>
      </c>
      <c r="AA63" s="6" t="inlineStr"/>
      <c r="AB63" s="6" t="inlineStr">
        <is>
          <t>https://imaginationhomes.com/</t>
        </is>
      </c>
      <c r="AC63" s="6" t="inlineStr"/>
      <c r="AD63" s="6" t="inlineStr"/>
    </row>
    <row r="64">
      <c r="A64" s="12" t="inlineStr">
        <is>
          <t>Greg Hawes</t>
        </is>
      </c>
      <c r="B64" s="12" t="inlineStr">
        <is>
          <t>Jamestown Estate Homes</t>
        </is>
      </c>
      <c r="C64" s="12" t="inlineStr">
        <is>
          <t>Founder. Manager on the firm's own page, President on LinkedIn</t>
        </is>
      </c>
      <c r="D64" s="13" t="inlineStr">
        <is>
          <t>One gap</t>
        </is>
      </c>
      <c r="E64" s="14" t="n">
        <v>2</v>
      </c>
      <c r="F64" s="12" t="inlineStr">
        <is>
          <t>Buys walls</t>
        </is>
      </c>
      <c r="G64" s="12" t="inlineStr">
        <is>
          <t>Houston, 16 communities</t>
        </is>
      </c>
      <c r="H64" s="12" t="inlineStr">
        <is>
          <t>About 75 homes a year on the firm's own count</t>
        </is>
      </c>
      <c r="I64" s="14" t="inlineStr">
        <is>
          <t>Partly</t>
        </is>
      </c>
      <c r="J64" s="15" t="inlineStr">
        <is>
          <t>About seventy-five houses a year across sixteen communities.</t>
        </is>
      </c>
      <c r="K64" s="14" t="inlineStr">
        <is>
          <t>Yes</t>
        </is>
      </c>
      <c r="L64" s="15" t="inlineStr">
        <is>
          <t>One machine would carry most of the yearly volume.</t>
        </is>
      </c>
      <c r="M64" s="14" t="inlineStr">
        <is>
          <t>No</t>
        </is>
      </c>
      <c r="N64" s="15" t="inlineStr">
        <is>
          <t>Eight to ten month build time, published. No method evidence.</t>
        </is>
      </c>
      <c r="O64" s="6" t="inlineStr">
        <is>
          <t>https://www.linkedin.com/in/greg-hawes-86423023/</t>
        </is>
      </c>
      <c r="P64" s="12" t="inlineStr"/>
      <c r="Q64" s="16">
        <f>IF(O64="","ADD LINKEDIN","ok")</f>
        <v/>
      </c>
      <c r="R64" s="12" t="inlineStr">
        <is>
          <t>https://jamestownestatehomes.com/</t>
        </is>
      </c>
      <c r="S64" s="15" t="inlineStr">
        <is>
          <t>One machine would carry most of its yearly volume, but it spreads that volume across sixteen communities.</t>
        </is>
      </c>
      <c r="T64" s="12" t="inlineStr">
        <is>
          <t>YES</t>
        </is>
      </c>
      <c r="U64" s="15" t="inlineStr">
        <is>
          <t>Indexed title: President, Jamestown Estate Homes LP. Team page: Manager. Sold his interest in a prior firm first.</t>
        </is>
      </c>
      <c r="V64" s="12" t="inlineStr">
        <is>
          <t>https://jamestownestatehomes.com/team/greg-hawes/</t>
        </is>
      </c>
      <c r="W64" s="12" t="inlineStr"/>
      <c r="X64" s="12" t="inlineStr"/>
      <c r="Y64" s="12" t="inlineStr"/>
      <c r="Z64" s="12" t="inlineStr">
        <is>
          <t>(832) 858-0755</t>
        </is>
      </c>
      <c r="AA64" s="12" t="inlineStr"/>
      <c r="AB64" s="12" t="inlineStr">
        <is>
          <t>https://jamestownestatehomes.com/</t>
        </is>
      </c>
      <c r="AC64" s="12" t="inlineStr"/>
      <c r="AD64" s="12" t="inlineStr"/>
    </row>
    <row r="65">
      <c r="A65" s="6" t="inlineStr">
        <is>
          <t>Katy Hawes</t>
        </is>
      </c>
      <c r="B65" s="6" t="inlineStr">
        <is>
          <t>Jamestown Estate Homes</t>
        </is>
      </c>
      <c r="C65" s="6" t="inlineStr">
        <is>
          <t>Co-President</t>
        </is>
      </c>
      <c r="D65" s="7" t="inlineStr">
        <is>
          <t>One gap</t>
        </is>
      </c>
      <c r="E65" s="8" t="n">
        <v>2</v>
      </c>
      <c r="F65" s="6" t="inlineStr">
        <is>
          <t>Buys walls</t>
        </is>
      </c>
      <c r="G65" s="6" t="inlineStr">
        <is>
          <t>Houston, 16 communities</t>
        </is>
      </c>
      <c r="H65" s="6" t="inlineStr">
        <is>
          <t>About 75 homes a year on the firm's own count</t>
        </is>
      </c>
      <c r="I65" s="8" t="inlineStr">
        <is>
          <t>Partly</t>
        </is>
      </c>
      <c r="J65" s="9" t="inlineStr">
        <is>
          <t>About seventy-five houses a year across sixteen communities.</t>
        </is>
      </c>
      <c r="K65" s="8" t="inlineStr">
        <is>
          <t>Yes</t>
        </is>
      </c>
      <c r="L65" s="9" t="inlineStr">
        <is>
          <t>One machine would carry most of the yearly volume.</t>
        </is>
      </c>
      <c r="M65" s="8" t="inlineStr">
        <is>
          <t>No</t>
        </is>
      </c>
      <c r="N65" s="9" t="inlineStr">
        <is>
          <t>Eight to ten month build time, published. No method evidence.</t>
        </is>
      </c>
      <c r="O65" s="10" t="inlineStr"/>
      <c r="P65" s="6">
        <f>HYPERLINK("https://www.linkedin.com/search/results/people/?keywords=Katy%20Hawes%20Jamestown%20Estate%20Homes","search")</f>
        <v/>
      </c>
      <c r="Q65" s="11">
        <f>IF(O65="","ADD LINKEDIN","ok")</f>
        <v/>
      </c>
      <c r="R65" s="6" t="inlineStr">
        <is>
          <t>https://jamestownestatehomes.com/</t>
        </is>
      </c>
      <c r="S65" s="9" t="inlineStr">
        <is>
          <t>One machine would carry most of its yearly volume, but it spreads that volume across sixteen communities.</t>
        </is>
      </c>
      <c r="T65" s="6" t="inlineStr"/>
      <c r="U65" s="9" t="inlineStr"/>
      <c r="V65" s="6" t="inlineStr">
        <is>
          <t>https://jamestownestatehomes.com/team/katy-hawes/</t>
        </is>
      </c>
      <c r="W65" s="6" t="inlineStr"/>
      <c r="X65" s="6" t="inlineStr"/>
      <c r="Y65" s="6" t="inlineStr"/>
      <c r="Z65" s="6" t="inlineStr">
        <is>
          <t>(832) 858-0755</t>
        </is>
      </c>
      <c r="AA65" s="6" t="inlineStr"/>
      <c r="AB65" s="6" t="inlineStr">
        <is>
          <t>https://jamestownestatehomes.com/</t>
        </is>
      </c>
      <c r="AC65" s="6" t="inlineStr"/>
      <c r="AD65" s="6" t="inlineStr"/>
    </row>
    <row r="66">
      <c r="A66" s="12" t="inlineStr">
        <is>
          <t>Matt Norris</t>
        </is>
      </c>
      <c r="B66" s="12" t="inlineStr">
        <is>
          <t>Jamestown Estate Homes</t>
        </is>
      </c>
      <c r="C66" s="12" t="inlineStr">
        <is>
          <t>Co-President</t>
        </is>
      </c>
      <c r="D66" s="13" t="inlineStr">
        <is>
          <t>One gap</t>
        </is>
      </c>
      <c r="E66" s="14" t="n">
        <v>2</v>
      </c>
      <c r="F66" s="12" t="inlineStr">
        <is>
          <t>Buys walls</t>
        </is>
      </c>
      <c r="G66" s="12" t="inlineStr">
        <is>
          <t>Houston, 16 communities</t>
        </is>
      </c>
      <c r="H66" s="12" t="inlineStr">
        <is>
          <t>About 75 homes a year on the firm's own count</t>
        </is>
      </c>
      <c r="I66" s="14" t="inlineStr">
        <is>
          <t>Partly</t>
        </is>
      </c>
      <c r="J66" s="15" t="inlineStr">
        <is>
          <t>About seventy-five houses a year across sixteen communities.</t>
        </is>
      </c>
      <c r="K66" s="14" t="inlineStr">
        <is>
          <t>Yes</t>
        </is>
      </c>
      <c r="L66" s="15" t="inlineStr">
        <is>
          <t>One machine would carry most of the yearly volume.</t>
        </is>
      </c>
      <c r="M66" s="14" t="inlineStr">
        <is>
          <t>No</t>
        </is>
      </c>
      <c r="N66" s="15" t="inlineStr">
        <is>
          <t>Eight to ten month build time, published. No method evidence.</t>
        </is>
      </c>
      <c r="O66" s="10" t="inlineStr"/>
      <c r="P66" s="12">
        <f>HYPERLINK("https://www.linkedin.com/search/results/people/?keywords=Matt%20Norris%20Jamestown%20Estate%20Homes","search")</f>
        <v/>
      </c>
      <c r="Q66" s="16">
        <f>IF(O66="","ADD LINKEDIN","ok")</f>
        <v/>
      </c>
      <c r="R66" s="12" t="inlineStr">
        <is>
          <t>https://jamestownestatehomes.com/</t>
        </is>
      </c>
      <c r="S66" s="15" t="inlineStr">
        <is>
          <t>One machine would carry most of its yearly volume, but it spreads that volume across sixteen communities.</t>
        </is>
      </c>
      <c r="T66" s="12" t="inlineStr"/>
      <c r="U66" s="15" t="inlineStr"/>
      <c r="V66" s="12" t="inlineStr">
        <is>
          <t>https://jamestownestatehomes.com/team/matt-norris/</t>
        </is>
      </c>
      <c r="W66" s="12" t="inlineStr"/>
      <c r="X66" s="12" t="inlineStr"/>
      <c r="Y66" s="12" t="inlineStr"/>
      <c r="Z66" s="12" t="inlineStr">
        <is>
          <t>(832) 858-0755</t>
        </is>
      </c>
      <c r="AA66" s="12" t="inlineStr"/>
      <c r="AB66" s="12" t="inlineStr">
        <is>
          <t>https://jamestownestatehomes.com/</t>
        </is>
      </c>
      <c r="AC66" s="12" t="inlineStr"/>
      <c r="AD66" s="12" t="inlineStr"/>
    </row>
    <row r="67">
      <c r="A67" s="6" t="inlineStr">
        <is>
          <t>David Wickens</t>
        </is>
      </c>
      <c r="B67" s="6" t="inlineStr">
        <is>
          <t>Kendall Homes</t>
        </is>
      </c>
      <c r="C67" s="6" t="inlineStr">
        <is>
          <t>Founder</t>
        </is>
      </c>
      <c r="D67" s="7" t="inlineStr">
        <is>
          <t>One gap</t>
        </is>
      </c>
      <c r="E67" s="8" t="n">
        <v>2</v>
      </c>
      <c r="F67" s="6" t="inlineStr">
        <is>
          <t>Buys walls</t>
        </is>
      </c>
      <c r="G67" s="6" t="inlineStr">
        <is>
          <t>Katy, with communities in Conroe, Willis and New Caney</t>
        </is>
      </c>
      <c r="H67" s="6" t="inlineStr">
        <is>
          <t>Founded 1993, more than 4,000 homes on the firm's own count</t>
        </is>
      </c>
      <c r="I67" s="8" t="inlineStr">
        <is>
          <t>Yes</t>
        </is>
      </c>
      <c r="J67" s="9" t="inlineStr">
        <is>
          <t>Most communities sit on the Lake Conroe corridor.</t>
        </is>
      </c>
      <c r="K67" s="8" t="inlineStr">
        <is>
          <t>Partly</t>
        </is>
      </c>
      <c r="L67" s="9" t="inlineStr">
        <is>
          <t>No annual closings figure published.</t>
        </is>
      </c>
      <c r="M67" s="8" t="inlineStr">
        <is>
          <t>No</t>
        </is>
      </c>
      <c r="N67" s="9" t="inlineStr">
        <is>
          <t>No method on record. Positions itself against speed and cost cutting.</t>
        </is>
      </c>
      <c r="O67" s="10" t="inlineStr"/>
      <c r="P67" s="6" t="inlineStr"/>
      <c r="Q67" s="11">
        <f>IF(O67="","ADD LINKEDIN","ok")</f>
        <v/>
      </c>
      <c r="R67" s="6" t="inlineStr">
        <is>
          <t>https://kendallhomes.net/</t>
        </is>
      </c>
      <c r="S67" s="9" t="inlineStr">
        <is>
          <t>Most of its communities sit on the Lake Conroe corridor, but it publishes no single-year closings figure.</t>
        </is>
      </c>
      <c r="T67" s="6" t="inlineStr"/>
      <c r="U67" s="9" t="inlineStr">
        <is>
          <t>Only published executive.</t>
        </is>
      </c>
      <c r="V67" s="6" t="inlineStr">
        <is>
          <t>https://kendallhomes.net/</t>
        </is>
      </c>
      <c r="W67" s="6" t="inlineStr"/>
      <c r="X67" s="6" t="inlineStr"/>
      <c r="Y67" s="6" t="inlineStr"/>
      <c r="Z67" s="6" t="inlineStr">
        <is>
          <t>(281) 609-8310</t>
        </is>
      </c>
      <c r="AA67" s="6" t="inlineStr"/>
      <c r="AB67" s="6" t="inlineStr">
        <is>
          <t>https://kendallhomes.net/</t>
        </is>
      </c>
      <c r="AC67" s="6" t="inlineStr"/>
      <c r="AD67" s="6" t="inlineStr"/>
    </row>
    <row r="68">
      <c r="A68" s="12" t="inlineStr">
        <is>
          <t>Mike Dishberger</t>
        </is>
      </c>
      <c r="B68" s="12" t="inlineStr">
        <is>
          <t>Sandcastle Homes</t>
        </is>
      </c>
      <c r="C68" s="12" t="inlineStr">
        <is>
          <t>Chief Executive Officer and Co-Owner</t>
        </is>
      </c>
      <c r="D68" s="13" t="inlineStr">
        <is>
          <t>One gap</t>
        </is>
      </c>
      <c r="E68" s="14" t="n">
        <v>2</v>
      </c>
      <c r="F68" s="12" t="inlineStr">
        <is>
          <t>Buys walls</t>
        </is>
      </c>
      <c r="G68" s="12" t="inlineStr">
        <is>
          <t>Inner Loop Houston</t>
        </is>
      </c>
      <c r="H68" s="12" t="inlineStr">
        <is>
          <t>About 50 homes a year on the firm's own count</t>
        </is>
      </c>
      <c r="I68" s="14" t="inlineStr">
        <is>
          <t>Partly</t>
        </is>
      </c>
      <c r="J68" s="15" t="inlineStr">
        <is>
          <t>Lots scattered across six inner-loop neighborhoods.</t>
        </is>
      </c>
      <c r="K68" s="14" t="inlineStr">
        <is>
          <t>Yes</t>
        </is>
      </c>
      <c r="L68" s="15" t="inlineStr">
        <is>
          <t>About fifty closings a year. One machine covers most, if moved economically.</t>
        </is>
      </c>
      <c r="M68" s="14" t="inlineStr">
        <is>
          <t>No</t>
        </is>
      </c>
      <c r="N68" s="15" t="inlineStr">
        <is>
          <t>No method on record. Runs land through final inspection in house.</t>
        </is>
      </c>
      <c r="O68" s="6" t="inlineStr">
        <is>
          <t>https://www.linkedin.com/in/mike-dishberger-01b66b9/</t>
        </is>
      </c>
      <c r="P68" s="12" t="inlineStr"/>
      <c r="Q68" s="16">
        <f>IF(O68="","ADD LINKEDIN","ok")</f>
        <v/>
      </c>
      <c r="R68" s="12" t="inlineStr">
        <is>
          <t>https://www.sandcastlehouston.com/</t>
        </is>
      </c>
      <c r="S68" s="15" t="inlineStr">
        <is>
          <t>One machine would cover most of its closings, but only if moved economically between lots scattered across six Inner Loop neighborhoods.</t>
        </is>
      </c>
      <c r="T68" s="12" t="inlineStr">
        <is>
          <t>YES</t>
        </is>
      </c>
      <c r="U68" s="15" t="inlineStr">
        <is>
          <t>Indexed title: CEO, Sandcastle Homes Inc. Oversees construction, purchasing and accounting. Texas Association of Builders Builder of the Year, 2016.</t>
        </is>
      </c>
      <c r="V68" s="12" t="inlineStr">
        <is>
          <t>https://www.sandcastlehouston.com/about-sandcastle/meet-our-team/</t>
        </is>
      </c>
      <c r="W68" s="12" t="inlineStr"/>
      <c r="X68" s="12" t="inlineStr"/>
      <c r="Y68" s="12" t="inlineStr"/>
      <c r="Z68" s="12" t="inlineStr">
        <is>
          <t>(713) 864-9190</t>
        </is>
      </c>
      <c r="AA68" s="12" t="inlineStr">
        <is>
          <t>main</t>
        </is>
      </c>
      <c r="AB68" s="12" t="inlineStr">
        <is>
          <t>https://www.sandcastlehouston.com/</t>
        </is>
      </c>
      <c r="AC68" s="12" t="inlineStr"/>
      <c r="AD68" s="12" t="inlineStr"/>
    </row>
    <row r="69">
      <c r="A69" s="6" t="inlineStr">
        <is>
          <t>Mike Salomon</t>
        </is>
      </c>
      <c r="B69" s="6" t="inlineStr">
        <is>
          <t>Sandcastle Homes</t>
        </is>
      </c>
      <c r="C69" s="6" t="inlineStr">
        <is>
          <t>President and Co-Owner</t>
        </is>
      </c>
      <c r="D69" s="7" t="inlineStr">
        <is>
          <t>One gap</t>
        </is>
      </c>
      <c r="E69" s="8" t="n">
        <v>2</v>
      </c>
      <c r="F69" s="6" t="inlineStr">
        <is>
          <t>Buys walls</t>
        </is>
      </c>
      <c r="G69" s="6" t="inlineStr">
        <is>
          <t>Inner Loop Houston</t>
        </is>
      </c>
      <c r="H69" s="6" t="inlineStr">
        <is>
          <t>About 50 homes a year on the firm's own count</t>
        </is>
      </c>
      <c r="I69" s="8" t="inlineStr">
        <is>
          <t>Partly</t>
        </is>
      </c>
      <c r="J69" s="9" t="inlineStr">
        <is>
          <t>Lots scattered across six inner-loop neighborhoods.</t>
        </is>
      </c>
      <c r="K69" s="8" t="inlineStr">
        <is>
          <t>Yes</t>
        </is>
      </c>
      <c r="L69" s="9" t="inlineStr">
        <is>
          <t>About fifty closings a year. One machine covers most, if moved economically.</t>
        </is>
      </c>
      <c r="M69" s="8" t="inlineStr">
        <is>
          <t>No</t>
        </is>
      </c>
      <c r="N69" s="9" t="inlineStr">
        <is>
          <t>No method on record. Runs land through final inspection in house.</t>
        </is>
      </c>
      <c r="O69" s="6" t="inlineStr">
        <is>
          <t>https://www.linkedin.com/in/mike-salomon-389b902a/</t>
        </is>
      </c>
      <c r="P69" s="6" t="inlineStr"/>
      <c r="Q69" s="11">
        <f>IF(O69="","ADD LINKEDIN","ok")</f>
        <v/>
      </c>
      <c r="R69" s="6" t="inlineStr">
        <is>
          <t>https://www.sandcastlehouston.com/</t>
        </is>
      </c>
      <c r="S69" s="9" t="inlineStr">
        <is>
          <t>One machine would cover most of its closings, but only if moved economically between lots scattered across six Inner Loop neighborhoods.</t>
        </is>
      </c>
      <c r="T69" s="6" t="inlineStr"/>
      <c r="U69" s="9" t="inlineStr">
        <is>
          <t>Indexed title: Owner, Sandcastle Homes, Inc. Team page. Runs land acquisition, sales and business development.</t>
        </is>
      </c>
      <c r="V69" s="6" t="inlineStr">
        <is>
          <t>https://www.sandcastlehouston.com/about-sandcastle/meet-our-team/</t>
        </is>
      </c>
      <c r="W69" s="6" t="inlineStr"/>
      <c r="X69" s="6" t="inlineStr"/>
      <c r="Y69" s="6" t="inlineStr"/>
      <c r="Z69" s="6" t="inlineStr">
        <is>
          <t>(713) 864-9190</t>
        </is>
      </c>
      <c r="AA69" s="6" t="inlineStr">
        <is>
          <t>main</t>
        </is>
      </c>
      <c r="AB69" s="6" t="inlineStr">
        <is>
          <t>https://www.sandcastlehouston.com/</t>
        </is>
      </c>
      <c r="AC69" s="6" t="inlineStr"/>
      <c r="AD69" s="6" t="inlineStr"/>
    </row>
    <row r="70">
      <c r="A70" s="12" t="inlineStr">
        <is>
          <t>Jo Dunham</t>
        </is>
      </c>
      <c r="B70" s="12" t="inlineStr">
        <is>
          <t>Sandcastle Homes</t>
        </is>
      </c>
      <c r="C70" s="12" t="inlineStr">
        <is>
          <t>Vice President of Construction</t>
        </is>
      </c>
      <c r="D70" s="13" t="inlineStr">
        <is>
          <t>One gap</t>
        </is>
      </c>
      <c r="E70" s="14" t="n">
        <v>2</v>
      </c>
      <c r="F70" s="12" t="inlineStr">
        <is>
          <t>Buys walls</t>
        </is>
      </c>
      <c r="G70" s="12" t="inlineStr">
        <is>
          <t>Inner Loop Houston</t>
        </is>
      </c>
      <c r="H70" s="12" t="inlineStr">
        <is>
          <t>About 50 homes a year on the firm's own count</t>
        </is>
      </c>
      <c r="I70" s="14" t="inlineStr">
        <is>
          <t>Partly</t>
        </is>
      </c>
      <c r="J70" s="15" t="inlineStr">
        <is>
          <t>Lots scattered across six inner-loop neighborhoods.</t>
        </is>
      </c>
      <c r="K70" s="14" t="inlineStr">
        <is>
          <t>Yes</t>
        </is>
      </c>
      <c r="L70" s="15" t="inlineStr">
        <is>
          <t>About fifty closings a year. One machine covers most, if moved economically.</t>
        </is>
      </c>
      <c r="M70" s="14" t="inlineStr">
        <is>
          <t>No</t>
        </is>
      </c>
      <c r="N70" s="15" t="inlineStr">
        <is>
          <t>No method on record. Runs land through final inspection in house.</t>
        </is>
      </c>
      <c r="O70" s="10" t="inlineStr"/>
      <c r="P70" s="12" t="inlineStr"/>
      <c r="Q70" s="16">
        <f>IF(O70="","ADD LINKEDIN","ok")</f>
        <v/>
      </c>
      <c r="R70" s="12" t="inlineStr">
        <is>
          <t>https://www.sandcastlehouston.com/</t>
        </is>
      </c>
      <c r="S70" s="15" t="inlineStr">
        <is>
          <t>One machine would cover most of its closings, but only if moved economically between lots scattered across six Inner Loop neighborhoods.</t>
        </is>
      </c>
      <c r="T70" s="12" t="inlineStr">
        <is>
          <t>YES</t>
        </is>
      </c>
      <c r="U70" s="15" t="inlineStr"/>
      <c r="V70" s="12" t="inlineStr">
        <is>
          <t>https://www.sandcastlehouston.com/about-sandcastle/meet-our-team/</t>
        </is>
      </c>
      <c r="W70" s="12" t="inlineStr"/>
      <c r="X70" s="12" t="inlineStr"/>
      <c r="Y70" s="12" t="inlineStr"/>
      <c r="Z70" s="12" t="inlineStr">
        <is>
          <t>(713) 864-9190</t>
        </is>
      </c>
      <c r="AA70" s="12" t="inlineStr">
        <is>
          <t>main</t>
        </is>
      </c>
      <c r="AB70" s="12" t="inlineStr">
        <is>
          <t>https://www.sandcastlehouston.com/</t>
        </is>
      </c>
      <c r="AC70" s="12" t="inlineStr"/>
      <c r="AD70" s="12" t="inlineStr"/>
    </row>
    <row r="71">
      <c r="A71" s="6" t="inlineStr">
        <is>
          <t>Katie Pritchard</t>
        </is>
      </c>
      <c r="B71" s="6" t="inlineStr">
        <is>
          <t>Sandcastle Homes</t>
        </is>
      </c>
      <c r="C71" s="6" t="inlineStr">
        <is>
          <t>Purchasing Manager</t>
        </is>
      </c>
      <c r="D71" s="7" t="inlineStr">
        <is>
          <t>One gap</t>
        </is>
      </c>
      <c r="E71" s="8" t="n">
        <v>2</v>
      </c>
      <c r="F71" s="6" t="inlineStr">
        <is>
          <t>Buys walls</t>
        </is>
      </c>
      <c r="G71" s="6" t="inlineStr">
        <is>
          <t>Inner Loop Houston</t>
        </is>
      </c>
      <c r="H71" s="6" t="inlineStr">
        <is>
          <t>About 50 homes a year on the firm's own count</t>
        </is>
      </c>
      <c r="I71" s="8" t="inlineStr">
        <is>
          <t>Partly</t>
        </is>
      </c>
      <c r="J71" s="9" t="inlineStr">
        <is>
          <t>Lots scattered across six inner-loop neighborhoods.</t>
        </is>
      </c>
      <c r="K71" s="8" t="inlineStr">
        <is>
          <t>Yes</t>
        </is>
      </c>
      <c r="L71" s="9" t="inlineStr">
        <is>
          <t>About fifty closings a year. One machine covers most, if moved economically.</t>
        </is>
      </c>
      <c r="M71" s="8" t="inlineStr">
        <is>
          <t>No</t>
        </is>
      </c>
      <c r="N71" s="9" t="inlineStr">
        <is>
          <t>No method on record. Runs land through final inspection in house.</t>
        </is>
      </c>
      <c r="O71" s="10" t="inlineStr"/>
      <c r="P71" s="6" t="inlineStr"/>
      <c r="Q71" s="11">
        <f>IF(O71="","ADD LINKEDIN","ok")</f>
        <v/>
      </c>
      <c r="R71" s="6" t="inlineStr">
        <is>
          <t>https://www.sandcastlehouston.com/</t>
        </is>
      </c>
      <c r="S71" s="9" t="inlineStr">
        <is>
          <t>One machine would cover most of its closings, but only if moved economically between lots scattered across six Inner Loop neighborhoods.</t>
        </is>
      </c>
      <c r="T71" s="6" t="inlineStr"/>
      <c r="U71" s="9" t="inlineStr"/>
      <c r="V71" s="6" t="inlineStr">
        <is>
          <t>https://www.sandcastlehouston.com/about-sandcastle/meet-our-team/</t>
        </is>
      </c>
      <c r="W71" s="6" t="inlineStr"/>
      <c r="X71" s="6" t="inlineStr"/>
      <c r="Y71" s="6" t="inlineStr"/>
      <c r="Z71" s="6" t="inlineStr">
        <is>
          <t>(713) 864-9190</t>
        </is>
      </c>
      <c r="AA71" s="6" t="inlineStr">
        <is>
          <t>main</t>
        </is>
      </c>
      <c r="AB71" s="6" t="inlineStr">
        <is>
          <t>https://www.sandcastlehouston.com/</t>
        </is>
      </c>
      <c r="AC71" s="6" t="inlineStr"/>
      <c r="AD71" s="6" t="inlineStr"/>
    </row>
    <row r="72">
      <c r="A72" s="12" t="inlineStr">
        <is>
          <t>Christian Sommer</t>
        </is>
      </c>
      <c r="B72" s="12" t="inlineStr">
        <is>
          <t>Tricoast Homes</t>
        </is>
      </c>
      <c r="C72" s="12" t="inlineStr">
        <is>
          <t>President and Chief Executive Officer</t>
        </is>
      </c>
      <c r="D72" s="13" t="inlineStr">
        <is>
          <t>One gap</t>
        </is>
      </c>
      <c r="E72" s="14" t="n">
        <v>2</v>
      </c>
      <c r="F72" s="12" t="inlineStr">
        <is>
          <t>Buys walls</t>
        </is>
      </c>
      <c r="G72" s="12" t="inlineStr">
        <is>
          <t>Houston, multi-county</t>
        </is>
      </c>
      <c r="H72" s="12" t="inlineStr">
        <is>
          <t>Nine floor plans across nine communities</t>
        </is>
      </c>
      <c r="I72" s="14" t="inlineStr">
        <is>
          <t>Yes</t>
        </is>
      </c>
      <c r="J72" s="15" t="inlineStr">
        <is>
          <t>Nine floor plans across nine communities. Plan repetition is the operating model.</t>
        </is>
      </c>
      <c r="K72" s="14" t="inlineStr">
        <is>
          <t>Partly</t>
        </is>
      </c>
      <c r="L72" s="15" t="inlineStr">
        <is>
          <t>No closings figure published.</t>
        </is>
      </c>
      <c r="M72" s="14" t="inlineStr">
        <is>
          <t>No</t>
        </is>
      </c>
      <c r="N72" s="15" t="inlineStr">
        <is>
          <t>Internal and third-party energy checks on every home. No method change.</t>
        </is>
      </c>
      <c r="O72" s="10" t="inlineStr"/>
      <c r="P72" s="12">
        <f>HYPERLINK("https://www.linkedin.com/search/results/people/?keywords=Christian%20Sommer%20Tricoast%20Homes","search")</f>
        <v/>
      </c>
      <c r="Q72" s="16">
        <f>IF(O72="","ADD LINKEDIN","ok")</f>
        <v/>
      </c>
      <c r="R72" s="12" t="inlineStr">
        <is>
          <t>https://www.tricoasthomes.com/</t>
        </is>
      </c>
      <c r="S72" s="15" t="inlineStr">
        <is>
          <t>Plan repetition is its operating model, but no closings figure is published.</t>
        </is>
      </c>
      <c r="T72" s="12" t="inlineStr"/>
      <c r="U72" s="15" t="inlineStr"/>
      <c r="V72" s="12" t="inlineStr"/>
      <c r="W72" s="12" t="inlineStr"/>
      <c r="X72" s="12" t="inlineStr"/>
      <c r="Y72" s="12" t="inlineStr"/>
      <c r="Z72" s="12" t="inlineStr">
        <is>
          <t>(713) 489-7738</t>
        </is>
      </c>
      <c r="AA72" s="12" t="inlineStr">
        <is>
          <t>the Westway Park office</t>
        </is>
      </c>
      <c r="AB72" s="12" t="inlineStr">
        <is>
          <t>https://www.tricoasthomes.com/</t>
        </is>
      </c>
      <c r="AC72" s="12" t="inlineStr"/>
      <c r="AD72" s="12" t="inlineStr"/>
    </row>
    <row r="73">
      <c r="A73" s="6" t="inlineStr">
        <is>
          <t>Keith Blum</t>
        </is>
      </c>
      <c r="B73" s="6" t="inlineStr">
        <is>
          <t>Tricoast Homes</t>
        </is>
      </c>
      <c r="C73" s="6" t="inlineStr">
        <is>
          <t>Executive Vice President and Chief Operating Officer</t>
        </is>
      </c>
      <c r="D73" s="7" t="inlineStr">
        <is>
          <t>One gap</t>
        </is>
      </c>
      <c r="E73" s="8" t="n">
        <v>2</v>
      </c>
      <c r="F73" s="6" t="inlineStr">
        <is>
          <t>Buys walls</t>
        </is>
      </c>
      <c r="G73" s="6" t="inlineStr">
        <is>
          <t>Houston, multi-county</t>
        </is>
      </c>
      <c r="H73" s="6" t="inlineStr">
        <is>
          <t>Nine floor plans across nine communities</t>
        </is>
      </c>
      <c r="I73" s="8" t="inlineStr">
        <is>
          <t>Yes</t>
        </is>
      </c>
      <c r="J73" s="9" t="inlineStr">
        <is>
          <t>Nine floor plans across nine communities. Plan repetition is the operating model.</t>
        </is>
      </c>
      <c r="K73" s="8" t="inlineStr">
        <is>
          <t>Partly</t>
        </is>
      </c>
      <c r="L73" s="9" t="inlineStr">
        <is>
          <t>No closings figure published.</t>
        </is>
      </c>
      <c r="M73" s="8" t="inlineStr">
        <is>
          <t>No</t>
        </is>
      </c>
      <c r="N73" s="9" t="inlineStr">
        <is>
          <t>Internal and third-party energy checks on every home. No method change.</t>
        </is>
      </c>
      <c r="O73" s="10" t="inlineStr"/>
      <c r="P73" s="6">
        <f>HYPERLINK("https://www.linkedin.com/search/results/people/?keywords=Keith%20Blum%20Tricoast%20Homes","search")</f>
        <v/>
      </c>
      <c r="Q73" s="11">
        <f>IF(O73="","ADD LINKEDIN","ok")</f>
        <v/>
      </c>
      <c r="R73" s="6" t="inlineStr">
        <is>
          <t>https://www.tricoasthomes.com/</t>
        </is>
      </c>
      <c r="S73" s="9" t="inlineStr">
        <is>
          <t>Plan repetition is its operating model, but no closings figure is published.</t>
        </is>
      </c>
      <c r="T73" s="6" t="inlineStr"/>
      <c r="U73" s="9" t="inlineStr"/>
      <c r="V73" s="6" t="inlineStr"/>
      <c r="W73" s="6" t="inlineStr"/>
      <c r="X73" s="6" t="inlineStr"/>
      <c r="Y73" s="6" t="inlineStr"/>
      <c r="Z73" s="6" t="inlineStr">
        <is>
          <t>(713) 489-7738</t>
        </is>
      </c>
      <c r="AA73" s="6" t="inlineStr">
        <is>
          <t>the Westway Park office</t>
        </is>
      </c>
      <c r="AB73" s="6" t="inlineStr">
        <is>
          <t>https://www.tricoasthomes.com/</t>
        </is>
      </c>
      <c r="AC73" s="6" t="inlineStr"/>
      <c r="AD73" s="6" t="inlineStr"/>
    </row>
    <row r="74">
      <c r="A74" s="12" t="inlineStr">
        <is>
          <t>Christina Wright</t>
        </is>
      </c>
      <c r="B74" s="12" t="inlineStr">
        <is>
          <t>Tricoast Homes</t>
        </is>
      </c>
      <c r="C74" s="12" t="inlineStr">
        <is>
          <t>Director of Purchasing</t>
        </is>
      </c>
      <c r="D74" s="13" t="inlineStr">
        <is>
          <t>One gap</t>
        </is>
      </c>
      <c r="E74" s="14" t="n">
        <v>2</v>
      </c>
      <c r="F74" s="12" t="inlineStr">
        <is>
          <t>Buys walls</t>
        </is>
      </c>
      <c r="G74" s="12" t="inlineStr">
        <is>
          <t>Houston, multi-county</t>
        </is>
      </c>
      <c r="H74" s="12" t="inlineStr">
        <is>
          <t>Nine floor plans across nine communities</t>
        </is>
      </c>
      <c r="I74" s="14" t="inlineStr">
        <is>
          <t>Yes</t>
        </is>
      </c>
      <c r="J74" s="15" t="inlineStr">
        <is>
          <t>Nine floor plans across nine communities. Plan repetition is the operating model.</t>
        </is>
      </c>
      <c r="K74" s="14" t="inlineStr">
        <is>
          <t>Partly</t>
        </is>
      </c>
      <c r="L74" s="15" t="inlineStr">
        <is>
          <t>No closings figure published.</t>
        </is>
      </c>
      <c r="M74" s="14" t="inlineStr">
        <is>
          <t>No</t>
        </is>
      </c>
      <c r="N74" s="15" t="inlineStr">
        <is>
          <t>Internal and third-party energy checks on every home. No method change.</t>
        </is>
      </c>
      <c r="O74" s="6" t="inlineStr">
        <is>
          <t>https://www.linkedin.com/in/christina-wright-4786b223/</t>
        </is>
      </c>
      <c r="P74" s="12" t="inlineStr"/>
      <c r="Q74" s="16">
        <f>IF(O74="","ADD LINKEDIN","ok")</f>
        <v/>
      </c>
      <c r="R74" s="12" t="inlineStr">
        <is>
          <t>https://www.tricoasthomes.com/</t>
        </is>
      </c>
      <c r="S74" s="15" t="inlineStr">
        <is>
          <t>Plan repetition is its operating model, but no closings figure is published.</t>
        </is>
      </c>
      <c r="T74" s="12" t="inlineStr">
        <is>
          <t>YES</t>
        </is>
      </c>
      <c r="U74" s="15" t="inlineStr">
        <is>
          <t>Indexed title matches the role.</t>
        </is>
      </c>
      <c r="V74" s="12" t="inlineStr"/>
      <c r="W74" s="12" t="inlineStr"/>
      <c r="X74" s="12" t="inlineStr"/>
      <c r="Y74" s="12" t="inlineStr"/>
      <c r="Z74" s="12" t="inlineStr">
        <is>
          <t>(713) 489-7738</t>
        </is>
      </c>
      <c r="AA74" s="12" t="inlineStr">
        <is>
          <t>the Westway Park office</t>
        </is>
      </c>
      <c r="AB74" s="12" t="inlineStr">
        <is>
          <t>https://www.tricoasthomes.com/</t>
        </is>
      </c>
      <c r="AC74" s="12" t="inlineStr"/>
      <c r="AD74" s="12" t="inlineStr"/>
    </row>
    <row r="75">
      <c r="A75" s="6" t="inlineStr">
        <is>
          <t>Andrew Segal</t>
        </is>
      </c>
      <c r="B75" s="6" t="inlineStr">
        <is>
          <t>Boxer Property</t>
        </is>
      </c>
      <c r="C75" s="6" t="inlineStr">
        <is>
          <t>Chairman and Chief Executive Officer</t>
        </is>
      </c>
      <c r="D75" s="7" t="inlineStr">
        <is>
          <t>One gap</t>
        </is>
      </c>
      <c r="E75" s="8" t="n">
        <v>2</v>
      </c>
      <c r="F75" s="6" t="inlineStr">
        <is>
          <t>Buys walls</t>
        </is>
      </c>
      <c r="G75" s="6" t="inlineStr">
        <is>
          <t>Houston, Harris</t>
        </is>
      </c>
      <c r="H75" s="6" t="inlineStr">
        <is>
          <t>Partner on a printed house in Fort Worth, May 2024</t>
        </is>
      </c>
      <c r="I75" s="8" t="inlineStr">
        <is>
          <t>No</t>
        </is>
      </c>
      <c r="J75" s="9" t="inlineStr">
        <is>
          <t>Commercial buildings across sixteen cities. Not a repeated house plan.</t>
        </is>
      </c>
      <c r="K75" s="8" t="inlineStr">
        <is>
          <t>Partly</t>
        </is>
      </c>
      <c r="L75" s="9" t="inlineStr">
        <is>
          <t>An owner, not a builder. It would hire the crew.</t>
        </is>
      </c>
      <c r="M75" s="8" t="inlineStr">
        <is>
          <t>Partly</t>
        </is>
      </c>
      <c r="N75" s="9" t="inlineStr">
        <is>
          <t>Partner on the Fort Worth house Black Buffalo 3D printed on its lot, May 2024.</t>
        </is>
      </c>
      <c r="O75" s="6" t="inlineStr">
        <is>
          <t>https://www.linkedin.com/in/andrew-segal-40049914/</t>
        </is>
      </c>
      <c r="P75" s="6" t="inlineStr"/>
      <c r="Q75" s="11">
        <f>IF(O75="","ADD LINKEDIN","ok")</f>
        <v/>
      </c>
      <c r="R75" s="6" t="inlineStr">
        <is>
          <t>https://www.boxerproperty.com/</t>
        </is>
      </c>
      <c r="S75" s="9" t="inlineStr">
        <is>
          <t>Its founder says the future is printed concrete houses, but it is an owner, not a builder, and would hire the crew.</t>
        </is>
      </c>
      <c r="T75" s="6" t="inlineStr">
        <is>
          <t>YES</t>
        </is>
      </c>
      <c r="U75" s="9" t="inlineStr">
        <is>
          <t>Headline: Boxer Property, Houston. Title from firm's about page.</t>
        </is>
      </c>
      <c r="V75" s="6" t="inlineStr"/>
      <c r="W75" s="6" t="inlineStr"/>
      <c r="X75" s="6" t="inlineStr"/>
      <c r="Y75" s="6" t="inlineStr">
        <is>
          <t>2013-10-30 Boxer Property. Boxer Announces Executive Leadership Changes  https://www.boxerproperty.com/blog/roles-responsibilities-evolve-executives/</t>
        </is>
      </c>
      <c r="Z75" s="6" t="inlineStr">
        <is>
          <t>(713) 777-7368</t>
        </is>
      </c>
      <c r="AA75" s="6" t="inlineStr"/>
      <c r="AB75" s="6" t="inlineStr">
        <is>
          <t>https://www.boxerproperty.com/</t>
        </is>
      </c>
      <c r="AC75" s="6" t="inlineStr"/>
      <c r="AD75" s="6" t="inlineStr"/>
    </row>
    <row r="76">
      <c r="A76" s="12" t="inlineStr">
        <is>
          <t>Justin Segal</t>
        </is>
      </c>
      <c r="B76" s="12" t="inlineStr">
        <is>
          <t>Boxer Property</t>
        </is>
      </c>
      <c r="C76" s="12" t="inlineStr">
        <is>
          <t>President</t>
        </is>
      </c>
      <c r="D76" s="13" t="inlineStr">
        <is>
          <t>One gap</t>
        </is>
      </c>
      <c r="E76" s="14" t="n">
        <v>2</v>
      </c>
      <c r="F76" s="12" t="inlineStr">
        <is>
          <t>Buys walls</t>
        </is>
      </c>
      <c r="G76" s="12" t="inlineStr">
        <is>
          <t>Houston, Harris</t>
        </is>
      </c>
      <c r="H76" s="12" t="inlineStr">
        <is>
          <t>Partner on a printed house in Fort Worth, May 2024</t>
        </is>
      </c>
      <c r="I76" s="14" t="inlineStr">
        <is>
          <t>No</t>
        </is>
      </c>
      <c r="J76" s="15" t="inlineStr">
        <is>
          <t>Commercial buildings across sixteen cities. Not a repeated house plan.</t>
        </is>
      </c>
      <c r="K76" s="14" t="inlineStr">
        <is>
          <t>Partly</t>
        </is>
      </c>
      <c r="L76" s="15" t="inlineStr">
        <is>
          <t>An owner, not a builder. It would hire the crew.</t>
        </is>
      </c>
      <c r="M76" s="14" t="inlineStr">
        <is>
          <t>Partly</t>
        </is>
      </c>
      <c r="N76" s="15" t="inlineStr">
        <is>
          <t>Partner on the Fort Worth house Black Buffalo 3D printed on its lot, May 2024.</t>
        </is>
      </c>
      <c r="O76" s="6" t="inlineStr">
        <is>
          <t>https://www.linkedin.com/in/segaljustin/</t>
        </is>
      </c>
      <c r="P76" s="12" t="inlineStr"/>
      <c r="Q76" s="16">
        <f>IF(O76="","ADD LINKEDIN","ok")</f>
        <v/>
      </c>
      <c r="R76" s="12" t="inlineStr">
        <is>
          <t>https://www.boxerproperty.com/</t>
        </is>
      </c>
      <c r="S76" s="15" t="inlineStr">
        <is>
          <t>Its founder says the future is printed concrete houses, but it is an owner, not a builder, and would hire the crew.</t>
        </is>
      </c>
      <c r="T76" s="12" t="inlineStr">
        <is>
          <t>YES</t>
        </is>
      </c>
      <c r="U76" s="15" t="inlineStr">
        <is>
          <t>Headline: President, Boxer Property. Founder, Stemmons Enterprise. Houston.</t>
        </is>
      </c>
      <c r="V76" s="12" t="inlineStr"/>
      <c r="W76" s="12" t="inlineStr"/>
      <c r="X76" s="12" t="inlineStr"/>
      <c r="Y76" s="12" t="inlineStr">
        <is>
          <t>2013-10-30 Boxer Property. Boxer Announces Executive Leadership Changes  https://www.boxerproperty.com/blog/roles-responsibilities-evolve-executives/</t>
        </is>
      </c>
      <c r="Z76" s="12" t="inlineStr">
        <is>
          <t>(713) 777-7368</t>
        </is>
      </c>
      <c r="AA76" s="12" t="inlineStr"/>
      <c r="AB76" s="12" t="inlineStr">
        <is>
          <t>https://www.boxerproperty.com/</t>
        </is>
      </c>
      <c r="AC76" s="12" t="inlineStr"/>
      <c r="AD76" s="12" t="inlineStr"/>
    </row>
    <row r="77">
      <c r="A77" s="6" t="inlineStr">
        <is>
          <t>Blake Morris</t>
        </is>
      </c>
      <c r="B77" s="6" t="inlineStr">
        <is>
          <t>Boxer Property</t>
        </is>
      </c>
      <c r="C77" s="6" t="inlineStr">
        <is>
          <t>Chief Financial Officer</t>
        </is>
      </c>
      <c r="D77" s="7" t="inlineStr">
        <is>
          <t>One gap</t>
        </is>
      </c>
      <c r="E77" s="8" t="n">
        <v>2</v>
      </c>
      <c r="F77" s="6" t="inlineStr">
        <is>
          <t>Buys walls</t>
        </is>
      </c>
      <c r="G77" s="6" t="inlineStr">
        <is>
          <t>Houston, Harris</t>
        </is>
      </c>
      <c r="H77" s="6" t="inlineStr">
        <is>
          <t>Partner on a printed house in Fort Worth, May 2024</t>
        </is>
      </c>
      <c r="I77" s="8" t="inlineStr">
        <is>
          <t>No</t>
        </is>
      </c>
      <c r="J77" s="9" t="inlineStr">
        <is>
          <t>Commercial buildings across sixteen cities. Not a repeated house plan.</t>
        </is>
      </c>
      <c r="K77" s="8" t="inlineStr">
        <is>
          <t>Partly</t>
        </is>
      </c>
      <c r="L77" s="9" t="inlineStr">
        <is>
          <t>An owner, not a builder. It would hire the crew.</t>
        </is>
      </c>
      <c r="M77" s="8" t="inlineStr">
        <is>
          <t>Partly</t>
        </is>
      </c>
      <c r="N77" s="9" t="inlineStr">
        <is>
          <t>Partner on the Fort Worth house Black Buffalo 3D printed on its lot, May 2024.</t>
        </is>
      </c>
      <c r="O77" s="10" t="inlineStr"/>
      <c r="P77" s="6">
        <f>HYPERLINK("https://www.linkedin.com/search/results/people/?keywords=Blake%20Morris%20Boxer%20Property","search")</f>
        <v/>
      </c>
      <c r="Q77" s="11">
        <f>IF(O77="","ADD LINKEDIN","ok")</f>
        <v/>
      </c>
      <c r="R77" s="6" t="inlineStr">
        <is>
          <t>https://www.boxerproperty.com/</t>
        </is>
      </c>
      <c r="S77" s="9" t="inlineStr">
        <is>
          <t>Its founder says the future is printed concrete houses, but it is an owner, not a builder, and would hire the crew.</t>
        </is>
      </c>
      <c r="T77" s="6" t="inlineStr"/>
      <c r="U77" s="9" t="inlineStr"/>
      <c r="V77" s="6" t="inlineStr"/>
      <c r="W77" s="6" t="inlineStr"/>
      <c r="X77" s="6" t="inlineStr"/>
      <c r="Y77" s="6" t="inlineStr">
        <is>
          <t>2013-10-30 Boxer Property. Boxer Announces Executive Leadership Changes  https://www.boxerproperty.com/blog/roles-responsibilities-evolve-executives/</t>
        </is>
      </c>
      <c r="Z77" s="6" t="inlineStr">
        <is>
          <t>(713) 777-7368</t>
        </is>
      </c>
      <c r="AA77" s="6" t="inlineStr"/>
      <c r="AB77" s="6" t="inlineStr">
        <is>
          <t>https://www.boxerproperty.com/</t>
        </is>
      </c>
      <c r="AC77" s="6" t="inlineStr"/>
      <c r="AD77" s="6" t="inlineStr"/>
    </row>
    <row r="78">
      <c r="A78" s="12" t="inlineStr">
        <is>
          <t>John Rentz</t>
        </is>
      </c>
      <c r="B78" s="12" t="inlineStr">
        <is>
          <t>Boxer Property</t>
        </is>
      </c>
      <c r="C78" s="12" t="inlineStr">
        <is>
          <t>Vice President and General Counsel</t>
        </is>
      </c>
      <c r="D78" s="13" t="inlineStr">
        <is>
          <t>One gap</t>
        </is>
      </c>
      <c r="E78" s="14" t="n">
        <v>2</v>
      </c>
      <c r="F78" s="12" t="inlineStr">
        <is>
          <t>Buys walls</t>
        </is>
      </c>
      <c r="G78" s="12" t="inlineStr">
        <is>
          <t>Houston, Harris</t>
        </is>
      </c>
      <c r="H78" s="12" t="inlineStr">
        <is>
          <t>Partner on a printed house in Fort Worth, May 2024</t>
        </is>
      </c>
      <c r="I78" s="14" t="inlineStr">
        <is>
          <t>No</t>
        </is>
      </c>
      <c r="J78" s="15" t="inlineStr">
        <is>
          <t>Commercial buildings across sixteen cities. Not a repeated house plan.</t>
        </is>
      </c>
      <c r="K78" s="14" t="inlineStr">
        <is>
          <t>Partly</t>
        </is>
      </c>
      <c r="L78" s="15" t="inlineStr">
        <is>
          <t>An owner, not a builder. It would hire the crew.</t>
        </is>
      </c>
      <c r="M78" s="14" t="inlineStr">
        <is>
          <t>Partly</t>
        </is>
      </c>
      <c r="N78" s="15" t="inlineStr">
        <is>
          <t>Partner on the Fort Worth house Black Buffalo 3D printed on its lot, May 2024.</t>
        </is>
      </c>
      <c r="O78" s="10" t="inlineStr"/>
      <c r="P78" s="12">
        <f>HYPERLINK("https://www.linkedin.com/search/results/people/?keywords=John%20Rentz%20Boxer%20Property","search")</f>
        <v/>
      </c>
      <c r="Q78" s="16">
        <f>IF(O78="","ADD LINKEDIN","ok")</f>
        <v/>
      </c>
      <c r="R78" s="12" t="inlineStr">
        <is>
          <t>https://www.boxerproperty.com/</t>
        </is>
      </c>
      <c r="S78" s="15" t="inlineStr">
        <is>
          <t>Its founder says the future is printed concrete houses, but it is an owner, not a builder, and would hire the crew.</t>
        </is>
      </c>
      <c r="T78" s="12" t="inlineStr"/>
      <c r="U78" s="15" t="inlineStr"/>
      <c r="V78" s="12" t="inlineStr"/>
      <c r="W78" s="12" t="inlineStr"/>
      <c r="X78" s="12" t="inlineStr"/>
      <c r="Y78" s="12" t="inlineStr">
        <is>
          <t>2013-10-30 Boxer Property. Boxer Announces Executive Leadership Changes  https://www.boxerproperty.com/blog/roles-responsibilities-evolve-executives/</t>
        </is>
      </c>
      <c r="Z78" s="12" t="inlineStr">
        <is>
          <t>(713) 777-7368</t>
        </is>
      </c>
      <c r="AA78" s="12" t="inlineStr"/>
      <c r="AB78" s="12" t="inlineStr">
        <is>
          <t>https://www.boxerproperty.com/</t>
        </is>
      </c>
      <c r="AC78" s="12" t="inlineStr"/>
      <c r="AD78" s="12" t="inlineStr"/>
    </row>
    <row r="79">
      <c r="A79" s="6" t="inlineStr">
        <is>
          <t>Leon J. Backes</t>
        </is>
      </c>
      <c r="B79" s="6" t="inlineStr">
        <is>
          <t>Provident Realty Advisors</t>
        </is>
      </c>
      <c r="C79" s="6" t="inlineStr">
        <is>
          <t>Founder and Chief Executive Officer</t>
        </is>
      </c>
      <c r="D79" s="7" t="inlineStr">
        <is>
          <t>One gap</t>
        </is>
      </c>
      <c r="E79" s="8" t="n">
        <v>2</v>
      </c>
      <c r="F79" s="6" t="inlineStr">
        <is>
          <t>Funds it</t>
        </is>
      </c>
      <c r="G79" s="6" t="inlineStr">
        <is>
          <t>Dallas HQ / Baytown, Harris-Chambers</t>
        </is>
      </c>
      <c r="H79" s="6" t="inlineStr">
        <is>
          <t>$7.5B invested company-wide since 1991</t>
        </is>
      </c>
      <c r="I79" s="8" t="inlineStr">
        <is>
          <t>Partly</t>
        </is>
      </c>
      <c r="J79" s="9" t="inlineStr">
        <is>
          <t>Seven single-family rental communities under parcHAUS.</t>
        </is>
      </c>
      <c r="K79" s="8" t="inlineStr">
        <is>
          <t>Partly</t>
        </is>
      </c>
      <c r="L79" s="9" t="inlineStr">
        <is>
          <t>One Houston director. The firm is run from Dallas.</t>
        </is>
      </c>
      <c r="M79" s="8" t="inlineStr">
        <is>
          <t>No</t>
        </is>
      </c>
      <c r="N79" s="9" t="inlineStr">
        <is>
          <t>No method evidence.</t>
        </is>
      </c>
      <c r="O79" s="10" t="inlineStr"/>
      <c r="P79" s="6">
        <f>HYPERLINK("https://www.linkedin.com/search/results/people/?keywords=Leon%20J.%20Backes%20Provident%20Realty%20Advisors","search")</f>
        <v/>
      </c>
      <c r="Q79" s="11">
        <f>IF(O79="","ADD LINKEDIN","ok")</f>
        <v/>
      </c>
      <c r="R79" s="6" t="inlineStr">
        <is>
          <t>https://provident.net/</t>
        </is>
      </c>
      <c r="S79" s="9" t="inlineStr">
        <is>
          <t>Its parcHAUS program targets seven rental communities across Texas, but no Houston site is named and the firm is run from Dallas.</t>
        </is>
      </c>
      <c r="T79" s="6" t="inlineStr"/>
      <c r="U79" s="9" t="inlineStr"/>
      <c r="V79" s="6" t="inlineStr">
        <is>
          <t>https://provident.net/our-team/</t>
        </is>
      </c>
      <c r="W79" s="6" t="inlineStr">
        <is>
          <t>https://www.linkedin.com/company/provident-realty-advisors</t>
        </is>
      </c>
      <c r="X79" s="6" t="inlineStr">
        <is>
          <t>https://provident.net/our-team/</t>
        </is>
      </c>
      <c r="Y79" s="6" t="inlineStr"/>
      <c r="Z79" s="6" t="inlineStr">
        <is>
          <t>(972) 385-4100</t>
        </is>
      </c>
      <c r="AA79" s="6" t="inlineStr">
        <is>
          <t>Dallas office</t>
        </is>
      </c>
      <c r="AB79" s="6" t="inlineStr">
        <is>
          <t>https://provident.net/</t>
        </is>
      </c>
      <c r="AC79" s="6" t="inlineStr"/>
      <c r="AD79" s="6" t="inlineStr"/>
    </row>
    <row r="80">
      <c r="A80" s="12" t="inlineStr">
        <is>
          <t>Christen Vestal</t>
        </is>
      </c>
      <c r="B80" s="12" t="inlineStr">
        <is>
          <t>Provident Realty Advisors</t>
        </is>
      </c>
      <c r="C80" s="12" t="inlineStr">
        <is>
          <t>Director of Development and Acquisitions, Houston</t>
        </is>
      </c>
      <c r="D80" s="13" t="inlineStr">
        <is>
          <t>One gap</t>
        </is>
      </c>
      <c r="E80" s="14" t="n">
        <v>2</v>
      </c>
      <c r="F80" s="12" t="inlineStr">
        <is>
          <t>Funds it</t>
        </is>
      </c>
      <c r="G80" s="12" t="inlineStr">
        <is>
          <t>Dallas HQ / Baytown, Harris-Chambers</t>
        </is>
      </c>
      <c r="H80" s="12" t="inlineStr">
        <is>
          <t>$7.5B invested company-wide since 1991</t>
        </is>
      </c>
      <c r="I80" s="14" t="inlineStr">
        <is>
          <t>Partly</t>
        </is>
      </c>
      <c r="J80" s="15" t="inlineStr">
        <is>
          <t>Seven single-family rental communities under parcHAUS.</t>
        </is>
      </c>
      <c r="K80" s="14" t="inlineStr">
        <is>
          <t>Partly</t>
        </is>
      </c>
      <c r="L80" s="15" t="inlineStr">
        <is>
          <t>One Houston director. The firm is run from Dallas.</t>
        </is>
      </c>
      <c r="M80" s="14" t="inlineStr">
        <is>
          <t>No</t>
        </is>
      </c>
      <c r="N80" s="15" t="inlineStr">
        <is>
          <t>No method evidence.</t>
        </is>
      </c>
      <c r="O80" s="10" t="inlineStr"/>
      <c r="P80" s="12">
        <f>HYPERLINK("https://www.linkedin.com/search/results/people/?keywords=Christen%20Vestal%20Provident%20Realty%20Advisors","search")</f>
        <v/>
      </c>
      <c r="Q80" s="16">
        <f>IF(O80="","ADD LINKEDIN","ok")</f>
        <v/>
      </c>
      <c r="R80" s="12" t="inlineStr">
        <is>
          <t>https://provident.net/</t>
        </is>
      </c>
      <c r="S80" s="15" t="inlineStr">
        <is>
          <t>Its parcHAUS program targets seven rental communities across Texas, but no Houston site is named and the firm is run from Dallas.</t>
        </is>
      </c>
      <c r="T80" s="12" t="inlineStr"/>
      <c r="U80" s="15" t="inlineStr">
        <is>
          <t>Hired to lead the new Houston office. Not on the current team page.</t>
        </is>
      </c>
      <c r="V80" s="12" t="inlineStr">
        <is>
          <t>https://www.bisnow.com/houston/news/industrial/provident-realty-advisors-hires-christen-vestal-to-lead-forthcoming-houston-office-116393</t>
        </is>
      </c>
      <c r="W80" s="12" t="inlineStr">
        <is>
          <t>https://www.linkedin.com/company/provident-realty-advisors</t>
        </is>
      </c>
      <c r="X80" s="12" t="inlineStr">
        <is>
          <t>https://provident.net/our-team/</t>
        </is>
      </c>
      <c r="Y80" s="12" t="inlineStr"/>
      <c r="Z80" s="12" t="inlineStr">
        <is>
          <t>(972) 385-4100</t>
        </is>
      </c>
      <c r="AA80" s="12" t="inlineStr">
        <is>
          <t>Dallas office</t>
        </is>
      </c>
      <c r="AB80" s="12" t="inlineStr">
        <is>
          <t>https://provident.net/</t>
        </is>
      </c>
      <c r="AC80" s="12" t="inlineStr"/>
      <c r="AD80" s="12" t="inlineStr"/>
    </row>
    <row r="81">
      <c r="A81" s="6" t="inlineStr">
        <is>
          <t>Jennifer Keller, P.E.</t>
        </is>
      </c>
      <c r="B81" s="6" t="inlineStr">
        <is>
          <t>Risewell Homes</t>
        </is>
      </c>
      <c r="C81" s="6" t="inlineStr">
        <is>
          <t>Division President</t>
        </is>
      </c>
      <c r="D81" s="7" t="inlineStr">
        <is>
          <t>One gap</t>
        </is>
      </c>
      <c r="E81" s="8" t="n">
        <v>2</v>
      </c>
      <c r="F81" s="6" t="inlineStr">
        <is>
          <t>Buys walls</t>
        </is>
      </c>
      <c r="G81" s="6" t="inlineStr">
        <is>
          <t>Sunterra, Katy</t>
        </is>
      </c>
      <c r="H81" s="6" t="inlineStr">
        <is>
          <t>The 2025 merger of Landsea Homes and The New Home Company</t>
        </is>
      </c>
      <c r="I81" s="8" t="inlineStr">
        <is>
          <t>Partly</t>
        </is>
      </c>
      <c r="J81" s="9" t="inlineStr">
        <is>
          <t>One Houston community confirmed. Too early to read the plan strategy.</t>
        </is>
      </c>
      <c r="K81" s="8" t="inlineStr">
        <is>
          <t>Partly</t>
        </is>
      </c>
      <c r="L81" s="9" t="inlineStr">
        <is>
          <t>Ten division presidents. Purchasing sits above single-machine scale.</t>
        </is>
      </c>
      <c r="M81" s="8" t="inlineStr">
        <is>
          <t>No</t>
        </is>
      </c>
      <c r="N81" s="9" t="inlineStr">
        <is>
          <t>No method on record.</t>
        </is>
      </c>
      <c r="O81" s="6" t="inlineStr">
        <is>
          <t>https://www.linkedin.com/in/jenniferkeller/</t>
        </is>
      </c>
      <c r="P81" s="6" t="inlineStr"/>
      <c r="Q81" s="11">
        <f>IF(O81="","ADD LINKEDIN","ok")</f>
        <v/>
      </c>
      <c r="R81" s="6" t="inlineStr">
        <is>
          <t>https://risewellhomes.com/</t>
        </is>
      </c>
      <c r="S81" s="9" t="inlineStr">
        <is>
          <t>One Houston community is confirmed, and purchasing sits above single-machine scale, with none of its ten division presidents in Houston.</t>
        </is>
      </c>
      <c r="T81" s="6" t="inlineStr">
        <is>
          <t>YES</t>
        </is>
      </c>
      <c r="U81" s="9" t="inlineStr">
        <is>
          <t>Indexed title: Division President. Team page lists none for Houston.</t>
        </is>
      </c>
      <c r="V81" s="6" t="inlineStr"/>
      <c r="W81" s="6" t="inlineStr"/>
      <c r="X81" s="6" t="inlineStr"/>
      <c r="Y81" s="6" t="inlineStr"/>
      <c r="Z81" s="6" t="inlineStr">
        <is>
          <t>(888) 827-4421</t>
        </is>
      </c>
      <c r="AA81" s="6" t="inlineStr"/>
      <c r="AB81" s="6" t="inlineStr">
        <is>
          <t>https://risewellhomes.com/</t>
        </is>
      </c>
      <c r="AC81" s="6" t="inlineStr"/>
      <c r="AD81" s="6" t="inlineStr"/>
    </row>
    <row r="82">
      <c r="A82" s="12" t="inlineStr">
        <is>
          <t>Matthew R. Zaist</t>
        </is>
      </c>
      <c r="B82" s="12" t="inlineStr">
        <is>
          <t>Risewell Homes</t>
        </is>
      </c>
      <c r="C82" s="12" t="inlineStr">
        <is>
          <t>President and Chief Executive Officer</t>
        </is>
      </c>
      <c r="D82" s="13" t="inlineStr">
        <is>
          <t>One gap</t>
        </is>
      </c>
      <c r="E82" s="14" t="n">
        <v>2</v>
      </c>
      <c r="F82" s="12" t="inlineStr">
        <is>
          <t>Buys walls</t>
        </is>
      </c>
      <c r="G82" s="12" t="inlineStr">
        <is>
          <t>Sunterra, Katy</t>
        </is>
      </c>
      <c r="H82" s="12" t="inlineStr">
        <is>
          <t>The 2025 merger of Landsea Homes and The New Home Company</t>
        </is>
      </c>
      <c r="I82" s="14" t="inlineStr">
        <is>
          <t>Partly</t>
        </is>
      </c>
      <c r="J82" s="15" t="inlineStr">
        <is>
          <t>One Houston community confirmed. Too early to read the plan strategy.</t>
        </is>
      </c>
      <c r="K82" s="14" t="inlineStr">
        <is>
          <t>Partly</t>
        </is>
      </c>
      <c r="L82" s="15" t="inlineStr">
        <is>
          <t>Ten division presidents. Purchasing sits above single-machine scale.</t>
        </is>
      </c>
      <c r="M82" s="14" t="inlineStr">
        <is>
          <t>No</t>
        </is>
      </c>
      <c r="N82" s="15" t="inlineStr">
        <is>
          <t>No method on record.</t>
        </is>
      </c>
      <c r="O82" s="6" t="inlineStr">
        <is>
          <t>https://www.linkedin.com/in/matthew-zaist-01949696/</t>
        </is>
      </c>
      <c r="P82" s="12" t="inlineStr"/>
      <c r="Q82" s="16">
        <f>IF(O82="","ADD LINKEDIN","ok")</f>
        <v/>
      </c>
      <c r="R82" s="12" t="inlineStr">
        <is>
          <t>https://risewellhomes.com/</t>
        </is>
      </c>
      <c r="S82" s="15" t="inlineStr">
        <is>
          <t>One Houston community is confirmed, and purchasing sits above single-machine scale, with none of its ten division presidents in Houston.</t>
        </is>
      </c>
      <c r="T82" s="12" t="inlineStr"/>
      <c r="U82" s="15" t="inlineStr">
        <is>
          <t>Indexed title: President and CEO. Confirmed on team page.</t>
        </is>
      </c>
      <c r="V82" s="12" t="inlineStr">
        <is>
          <t>https://www.risewellhomes.com/team</t>
        </is>
      </c>
      <c r="W82" s="12" t="inlineStr"/>
      <c r="X82" s="12" t="inlineStr"/>
      <c r="Y82" s="12" t="inlineStr"/>
      <c r="Z82" s="12" t="inlineStr">
        <is>
          <t>(888) 827-4421</t>
        </is>
      </c>
      <c r="AA82" s="12" t="inlineStr"/>
      <c r="AB82" s="12" t="inlineStr">
        <is>
          <t>https://risewellhomes.com/</t>
        </is>
      </c>
      <c r="AC82" s="12" t="inlineStr"/>
      <c r="AD82" s="12" t="inlineStr"/>
    </row>
    <row r="83">
      <c r="A83" s="6" t="inlineStr">
        <is>
          <t>Todd Wood</t>
        </is>
      </c>
      <c r="B83" s="6" t="inlineStr">
        <is>
          <t>Christopher Todd Communities</t>
        </is>
      </c>
      <c r="C83" s="6" t="inlineStr">
        <is>
          <t>Chief Executive Officer and Founder</t>
        </is>
      </c>
      <c r="D83" s="7" t="inlineStr">
        <is>
          <t>One gap</t>
        </is>
      </c>
      <c r="E83" s="8" t="n">
        <v>2</v>
      </c>
      <c r="F83" s="6" t="inlineStr">
        <is>
          <t>Buys walls</t>
        </is>
      </c>
      <c r="G83" s="6" t="inlineStr">
        <is>
          <t>Mesa HQ / Montgomery, Harris</t>
        </is>
      </c>
      <c r="H83" s="6" t="inlineStr">
        <is>
          <t>314 homes Conroe, 240 homes Cypress</t>
        </is>
      </c>
      <c r="I83" s="8" t="inlineStr">
        <is>
          <t>Partly</t>
        </is>
      </c>
      <c r="J83" s="9" t="inlineStr">
        <is>
          <t>314 homes in Conroe. Cypress adds 240.</t>
        </is>
      </c>
      <c r="K83" s="8" t="inlineStr">
        <is>
          <t>Partly</t>
        </is>
      </c>
      <c r="L83" s="9" t="inlineStr">
        <is>
          <t>240 homes in Cypress and 314 in Conroe are project totals. No yearly figure.</t>
        </is>
      </c>
      <c r="M83" s="8" t="inlineStr">
        <is>
          <t>No</t>
        </is>
      </c>
      <c r="N83" s="9" t="inlineStr">
        <is>
          <t>Stated technology is smart-home fittings.</t>
        </is>
      </c>
      <c r="O83" s="10" t="inlineStr"/>
      <c r="P83" s="6">
        <f>HYPERLINK("https://www.linkedin.com/search/results/people/?keywords=Todd%20Wood%20Christopher%20Todd%20Communities","search")</f>
        <v/>
      </c>
      <c r="Q83" s="11">
        <f>IF(O83="","ADD LINKEDIN","ok")</f>
        <v/>
      </c>
      <c r="R83" s="6" t="inlineStr">
        <is>
          <t>https://www.christophertodd.com/</t>
        </is>
      </c>
      <c r="S83" s="9" t="inlineStr">
        <is>
          <t>Its stated plan is to develop its own sites, but it publishes project totals and no yearly figure.</t>
        </is>
      </c>
      <c r="T83" s="6" t="inlineStr"/>
      <c r="U83" s="9" t="inlineStr">
        <is>
          <t>Founded the firm in 2016 after selling an organic bakery.</t>
        </is>
      </c>
      <c r="V83" s="6" t="inlineStr">
        <is>
          <t>https://www.christophertodd.com/our-story/</t>
        </is>
      </c>
      <c r="W83" s="6" t="inlineStr">
        <is>
          <t>https://www.linkedin.com/company/christopher-todd-communities</t>
        </is>
      </c>
      <c r="X83" s="6" t="inlineStr">
        <is>
          <t>https://www.christophertodd.com/our-story/</t>
        </is>
      </c>
      <c r="Y83" s="6" t="inlineStr"/>
      <c r="Z83" s="6" t="inlineStr">
        <is>
          <t>(480) 428-8994</t>
        </is>
      </c>
      <c r="AA83" s="6" t="inlineStr">
        <is>
          <t>published in the privacy notice</t>
        </is>
      </c>
      <c r="AB83" s="6" t="inlineStr">
        <is>
          <t>https://www.christophertodd.com/</t>
        </is>
      </c>
      <c r="AC83" s="6" t="inlineStr"/>
      <c r="AD83" s="6" t="inlineStr"/>
    </row>
    <row r="84">
      <c r="A84" s="12" t="inlineStr">
        <is>
          <t>Brent Long</t>
        </is>
      </c>
      <c r="B84" s="12" t="inlineStr">
        <is>
          <t>Christopher Todd Communities</t>
        </is>
      </c>
      <c r="C84" s="12" t="inlineStr">
        <is>
          <t>President, Christopher Todd Capital</t>
        </is>
      </c>
      <c r="D84" s="13" t="inlineStr">
        <is>
          <t>One gap</t>
        </is>
      </c>
      <c r="E84" s="14" t="n">
        <v>2</v>
      </c>
      <c r="F84" s="12" t="inlineStr">
        <is>
          <t>Buys walls</t>
        </is>
      </c>
      <c r="G84" s="12" t="inlineStr">
        <is>
          <t>Mesa HQ / Montgomery, Harris</t>
        </is>
      </c>
      <c r="H84" s="12" t="inlineStr">
        <is>
          <t>314 homes Conroe, 240 homes Cypress</t>
        </is>
      </c>
      <c r="I84" s="14" t="inlineStr">
        <is>
          <t>Partly</t>
        </is>
      </c>
      <c r="J84" s="15" t="inlineStr">
        <is>
          <t>314 homes in Conroe. Cypress adds 240.</t>
        </is>
      </c>
      <c r="K84" s="14" t="inlineStr">
        <is>
          <t>Partly</t>
        </is>
      </c>
      <c r="L84" s="15" t="inlineStr">
        <is>
          <t>240 homes in Cypress and 314 in Conroe are project totals. No yearly figure.</t>
        </is>
      </c>
      <c r="M84" s="14" t="inlineStr">
        <is>
          <t>No</t>
        </is>
      </c>
      <c r="N84" s="15" t="inlineStr">
        <is>
          <t>Stated technology is smart-home fittings.</t>
        </is>
      </c>
      <c r="O84" s="10" t="inlineStr"/>
      <c r="P84" s="12">
        <f>HYPERLINK("https://www.linkedin.com/search/results/people/?keywords=Brent%20Long%20Christopher%20Todd%20Communities","search")</f>
        <v/>
      </c>
      <c r="Q84" s="16">
        <f>IF(O84="","ADD LINKEDIN","ok")</f>
        <v/>
      </c>
      <c r="R84" s="12" t="inlineStr">
        <is>
          <t>https://www.christophertodd.com/</t>
        </is>
      </c>
      <c r="S84" s="15" t="inlineStr">
        <is>
          <t>Its stated plan is to develop its own sites, but it publishes project totals and no yearly figure.</t>
        </is>
      </c>
      <c r="T84" s="12" t="inlineStr"/>
      <c r="U84" s="15" t="inlineStr">
        <is>
          <t>Joined as Director of Investment and Land. Twenty-five years in multifamily.</t>
        </is>
      </c>
      <c r="V84" s="12" t="inlineStr">
        <is>
          <t>https://www.christophertodd.com/press-releases/brent-long-joins-christopher-todd-as-director-of-investment-and-land/</t>
        </is>
      </c>
      <c r="W84" s="12" t="inlineStr">
        <is>
          <t>https://www.linkedin.com/company/christopher-todd-communities</t>
        </is>
      </c>
      <c r="X84" s="12" t="inlineStr">
        <is>
          <t>https://www.christophertodd.com/our-story/</t>
        </is>
      </c>
      <c r="Y84" s="12" t="inlineStr"/>
      <c r="Z84" s="12" t="inlineStr">
        <is>
          <t>(480) 428-8994</t>
        </is>
      </c>
      <c r="AA84" s="12" t="inlineStr">
        <is>
          <t>published in the privacy notice</t>
        </is>
      </c>
      <c r="AB84" s="12" t="inlineStr">
        <is>
          <t>https://www.christophertodd.com/</t>
        </is>
      </c>
      <c r="AC84" s="12" t="inlineStr"/>
      <c r="AD84" s="12" t="inlineStr"/>
    </row>
    <row r="85">
      <c r="A85" s="6" t="inlineStr">
        <is>
          <t>James Kotzur</t>
        </is>
      </c>
      <c r="B85" s="6" t="inlineStr">
        <is>
          <t>Coventry Homes</t>
        </is>
      </c>
      <c r="C85" s="6" t="inlineStr">
        <is>
          <t>Division President, Coventry Homes (Dream Finders Homes)</t>
        </is>
      </c>
      <c r="D85" s="7" t="inlineStr">
        <is>
          <t>One gap</t>
        </is>
      </c>
      <c r="E85" s="8" t="n">
        <v>2</v>
      </c>
      <c r="F85" s="6" t="inlineStr">
        <is>
          <t>Buys walls</t>
        </is>
      </c>
      <c r="G85" s="6" t="inlineStr">
        <is>
          <t>Houston HQ, Harris County</t>
        </is>
      </c>
      <c r="H85" s="6" t="inlineStr">
        <is>
          <t>1,048 Houston closings in 2025 under Dream Finders, eighth in the metro</t>
        </is>
      </c>
      <c r="I85" s="8" t="inlineStr">
        <is>
          <t>Partly</t>
        </is>
      </c>
      <c r="J85" s="9" t="inlineStr">
        <is>
          <t>Close to 100 communities, 55,000 homes company-wide.</t>
        </is>
      </c>
      <c r="K85" s="8" t="inlineStr">
        <is>
          <t>Partly</t>
        </is>
      </c>
      <c r="L85" s="9" t="inlineStr">
        <is>
          <t>Parent Dream Finders closed 1,048 Greater Houston homes in 2025. Purchasing may sit there.</t>
        </is>
      </c>
      <c r="M85" s="8" t="inlineStr">
        <is>
          <t>No</t>
        </is>
      </c>
      <c r="N85" s="9" t="inlineStr">
        <is>
          <t>No method evidence.</t>
        </is>
      </c>
      <c r="O85" s="6" t="inlineStr">
        <is>
          <t>https://www.linkedin.com/in/james-kotzur-748107224/</t>
        </is>
      </c>
      <c r="P85" s="6" t="inlineStr"/>
      <c r="Q85" s="11">
        <f>IF(O85="","ADD LINKEDIN","ok")</f>
        <v/>
      </c>
      <c r="R85" s="6" t="inlineStr">
        <is>
          <t>https://www.coventryhomes.com/</t>
        </is>
      </c>
      <c r="S85" s="9" t="inlineStr">
        <is>
          <t>A Dream Finders Homes brand whose Houston division president carries DFH in his title, so purchasing may sit with the parent.</t>
        </is>
      </c>
      <c r="T85" s="6" t="inlineStr">
        <is>
          <t>YES</t>
        </is>
      </c>
      <c r="U85" s="9" t="inlineStr">
        <is>
          <t>Division President at DFH - Coventry Homes. Houston. DFH is the parent.</t>
        </is>
      </c>
      <c r="V85" s="6" t="inlineStr"/>
      <c r="W85" s="6" t="inlineStr">
        <is>
          <t>https://www.linkedin.com/company/coventryhomes</t>
        </is>
      </c>
      <c r="X85" s="6" t="inlineStr"/>
      <c r="Y85" s="6" t="inlineStr"/>
      <c r="Z85" s="6" t="inlineStr">
        <is>
          <t>(713) 903-2596</t>
        </is>
      </c>
      <c r="AA85" s="6" t="inlineStr">
        <is>
          <t>Houston</t>
        </is>
      </c>
      <c r="AB85" s="6" t="inlineStr">
        <is>
          <t>https://www.coventryhomes.com/connect/</t>
        </is>
      </c>
      <c r="AC85" s="6" t="inlineStr"/>
      <c r="AD85" s="6" t="inlineStr"/>
    </row>
    <row r="86">
      <c r="A86" s="12" t="inlineStr">
        <is>
          <t>Jeff Dye</t>
        </is>
      </c>
      <c r="B86" s="12" t="inlineStr">
        <is>
          <t>Newmark Homes</t>
        </is>
      </c>
      <c r="C86" s="12" t="inlineStr">
        <is>
          <t>President</t>
        </is>
      </c>
      <c r="D86" s="13" t="inlineStr">
        <is>
          <t>One gap</t>
        </is>
      </c>
      <c r="E86" s="14" t="n">
        <v>2</v>
      </c>
      <c r="F86" s="12" t="inlineStr">
        <is>
          <t>Buys walls</t>
        </is>
      </c>
      <c r="G86" s="12" t="inlineStr">
        <is>
          <t>Katy</t>
        </is>
      </c>
      <c r="H86" s="12" t="inlineStr">
        <is>
          <t>483 closings and $306 million in 2025, Houston and Austin together</t>
        </is>
      </c>
      <c r="I86" s="14" t="inlineStr">
        <is>
          <t>Partly</t>
        </is>
      </c>
      <c r="J86" s="15" t="inlineStr">
        <is>
          <t>97 floor plans on its own site, across Houston and Austin.</t>
        </is>
      </c>
      <c r="K86" s="14" t="inlineStr">
        <is>
          <t>Partly</t>
        </is>
      </c>
      <c r="L86" s="15" t="inlineStr">
        <is>
          <t>483 closings in 2025, Houston and Austin combined.</t>
        </is>
      </c>
      <c r="M86" s="14" t="inlineStr">
        <is>
          <t>No</t>
        </is>
      </c>
      <c r="N86" s="15" t="inlineStr">
        <is>
          <t>A proprietary energy program, and one-off work kept in a separate custom division.</t>
        </is>
      </c>
      <c r="O86" s="10" t="inlineStr"/>
      <c r="P86" s="12">
        <f>HYPERLINK("https://www.linkedin.com/search/results/people/?keywords=Jeff%20Dye%20Newmark%20Homes","search")</f>
        <v/>
      </c>
      <c r="Q86" s="16">
        <f>IF(O86="","ADD LINKEDIN","ok")</f>
        <v/>
      </c>
      <c r="R86" s="12" t="inlineStr">
        <is>
          <t>https://newmarkhomes.com/</t>
        </is>
      </c>
      <c r="S86" s="15" t="inlineStr">
        <is>
          <t>Publishes 97 floor plans across Houston and Austin, but keeps one-off work in a separate custom division.</t>
        </is>
      </c>
      <c r="T86" s="12" t="inlineStr"/>
      <c r="U86" s="15" t="inlineStr">
        <is>
          <t>Houston Agent, February 2020.</t>
        </is>
      </c>
      <c r="V86" s="12" t="inlineStr">
        <is>
          <t>https://houstonagentmagazine.com/2020/02/06/making-moves-newmark-homes-appoints-top-leaders-edward-jones-becomes-latest-tenant-bridgeland/</t>
        </is>
      </c>
      <c r="W86" s="12" t="inlineStr"/>
      <c r="X86" s="12" t="inlineStr"/>
      <c r="Y86" s="12" t="inlineStr"/>
      <c r="Z86" s="12" t="inlineStr">
        <is>
          <t>(713) 346-0200</t>
        </is>
      </c>
      <c r="AA86" s="12" t="inlineStr">
        <is>
          <t>office</t>
        </is>
      </c>
      <c r="AB86" s="12" t="inlineStr">
        <is>
          <t>https://newmarkhomes.com/</t>
        </is>
      </c>
      <c r="AC86" s="12" t="inlineStr"/>
      <c r="AD86" s="12" t="inlineStr"/>
    </row>
    <row r="87">
      <c r="A87" s="6" t="inlineStr">
        <is>
          <t>Frank Sitterle, Jr.</t>
        </is>
      </c>
      <c r="B87" s="6" t="inlineStr">
        <is>
          <t>Sitterle Homes</t>
        </is>
      </c>
      <c r="C87" s="6" t="inlineStr">
        <is>
          <t>Co-owner</t>
        </is>
      </c>
      <c r="D87" s="7" t="inlineStr">
        <is>
          <t>One gap</t>
        </is>
      </c>
      <c r="E87" s="8" t="n">
        <v>2</v>
      </c>
      <c r="F87" s="6" t="inlineStr">
        <is>
          <t>Buys walls</t>
        </is>
      </c>
      <c r="G87" s="6" t="inlineStr">
        <is>
          <t>San Antonio, building in Houston</t>
        </is>
      </c>
      <c r="H87" s="6" t="inlineStr">
        <is>
          <t>372 closings company-wide in 2022, no Houston figure</t>
        </is>
      </c>
      <c r="I87" s="8" t="inlineStr">
        <is>
          <t>Partly</t>
        </is>
      </c>
      <c r="J87" s="9" t="inlineStr">
        <is>
          <t>One plan catalog shared across all four markets.</t>
        </is>
      </c>
      <c r="K87" s="8" t="inlineStr">
        <is>
          <t>Partly</t>
        </is>
      </c>
      <c r="L87" s="9" t="inlineStr">
        <is>
          <t>372 closings company-wide in 2022, no Houston figure. Houston is a secondary market.</t>
        </is>
      </c>
      <c r="M87" s="8" t="inlineStr">
        <is>
          <t>No</t>
        </is>
      </c>
      <c r="N87" s="9" t="inlineStr">
        <is>
          <t>No method evidence.</t>
        </is>
      </c>
      <c r="O87" s="6" t="inlineStr">
        <is>
          <t>https://www.linkedin.com/in/frank-sitterle-071b8246/</t>
        </is>
      </c>
      <c r="P87" s="6" t="inlineStr"/>
      <c r="Q87" s="11">
        <f>IF(O87="","ADD LINKEDIN","ok")</f>
        <v/>
      </c>
      <c r="R87" s="6" t="inlineStr">
        <is>
          <t>https://www.sitterlehomes.com/</t>
        </is>
      </c>
      <c r="S87" s="9" t="inlineStr">
        <is>
          <t>One plan catalog serves all four of its markets, but Houston is a secondary market run from San Antonio.</t>
        </is>
      </c>
      <c r="T87" s="6" t="inlineStr"/>
      <c r="U87" s="9" t="inlineStr">
        <is>
          <t>Indexed title: President, Sitterle Homes. Bought the company in 2005 with Jeff Buell.</t>
        </is>
      </c>
      <c r="V87" s="6" t="inlineStr"/>
      <c r="W87" s="6" t="inlineStr"/>
      <c r="X87" s="6" t="inlineStr"/>
      <c r="Y87" s="6" t="inlineStr"/>
      <c r="Z87" s="6" t="inlineStr">
        <is>
          <t>(281) 664-7255</t>
        </is>
      </c>
      <c r="AA87" s="6" t="inlineStr">
        <is>
          <t>Houston design studio</t>
        </is>
      </c>
      <c r="AB87" s="6" t="inlineStr">
        <is>
          <t>https://sitterlehomes.com/contact/</t>
        </is>
      </c>
      <c r="AC87" s="6" t="inlineStr"/>
      <c r="AD87" s="6" t="inlineStr"/>
    </row>
    <row r="88">
      <c r="A88" s="12" t="inlineStr">
        <is>
          <t>Chris Hightower</t>
        </is>
      </c>
      <c r="B88" s="12" t="inlineStr">
        <is>
          <t>Sitterle Homes</t>
        </is>
      </c>
      <c r="C88" s="12" t="inlineStr">
        <is>
          <t>Division President, Houston</t>
        </is>
      </c>
      <c r="D88" s="13" t="inlineStr">
        <is>
          <t>One gap</t>
        </is>
      </c>
      <c r="E88" s="14" t="n">
        <v>2</v>
      </c>
      <c r="F88" s="12" t="inlineStr">
        <is>
          <t>Buys walls</t>
        </is>
      </c>
      <c r="G88" s="12" t="inlineStr">
        <is>
          <t>San Antonio, building in Houston</t>
        </is>
      </c>
      <c r="H88" s="12" t="inlineStr">
        <is>
          <t>372 closings company-wide in 2022, no Houston figure</t>
        </is>
      </c>
      <c r="I88" s="14" t="inlineStr">
        <is>
          <t>Partly</t>
        </is>
      </c>
      <c r="J88" s="15" t="inlineStr">
        <is>
          <t>One plan catalog shared across all four markets.</t>
        </is>
      </c>
      <c r="K88" s="14" t="inlineStr">
        <is>
          <t>Partly</t>
        </is>
      </c>
      <c r="L88" s="15" t="inlineStr">
        <is>
          <t>372 closings company-wide in 2022, no Houston figure. Houston is a secondary market.</t>
        </is>
      </c>
      <c r="M88" s="14" t="inlineStr">
        <is>
          <t>No</t>
        </is>
      </c>
      <c r="N88" s="15" t="inlineStr">
        <is>
          <t>No method evidence.</t>
        </is>
      </c>
      <c r="O88" s="6" t="inlineStr">
        <is>
          <t>https://www.linkedin.com/in/chris-hightower-029b45112/</t>
        </is>
      </c>
      <c r="P88" s="12" t="inlineStr"/>
      <c r="Q88" s="16">
        <f>IF(O88="","ADD LINKEDIN","ok")</f>
        <v/>
      </c>
      <c r="R88" s="12" t="inlineStr">
        <is>
          <t>https://www.sitterlehomes.com/</t>
        </is>
      </c>
      <c r="S88" s="15" t="inlineStr">
        <is>
          <t>One plan catalog serves all four of its markets, but Houston is a secondary market run from San Antonio.</t>
        </is>
      </c>
      <c r="T88" s="12" t="inlineStr">
        <is>
          <t>YES</t>
        </is>
      </c>
      <c r="U88" s="15" t="inlineStr">
        <is>
          <t>Indexed title: Division President. GHBA directory: Division President, Houston.</t>
        </is>
      </c>
      <c r="V88" s="12" t="inlineStr"/>
      <c r="W88" s="12" t="inlineStr"/>
      <c r="X88" s="12" t="inlineStr"/>
      <c r="Y88" s="12" t="inlineStr"/>
      <c r="Z88" s="12" t="inlineStr">
        <is>
          <t>(281) 664-7255</t>
        </is>
      </c>
      <c r="AA88" s="12" t="inlineStr">
        <is>
          <t>Houston design studio</t>
        </is>
      </c>
      <c r="AB88" s="12" t="inlineStr">
        <is>
          <t>https://sitterlehomes.com/contact/</t>
        </is>
      </c>
      <c r="AC88" s="12" t="inlineStr"/>
      <c r="AD88" s="12" t="inlineStr"/>
    </row>
    <row r="89">
      <c r="A89" s="6" t="inlineStr">
        <is>
          <t>Jeff Buell</t>
        </is>
      </c>
      <c r="B89" s="6" t="inlineStr">
        <is>
          <t>Sitterle Homes</t>
        </is>
      </c>
      <c r="C89" s="6" t="inlineStr">
        <is>
          <t>Co-owner</t>
        </is>
      </c>
      <c r="D89" s="7" t="inlineStr">
        <is>
          <t>One gap</t>
        </is>
      </c>
      <c r="E89" s="8" t="n">
        <v>2</v>
      </c>
      <c r="F89" s="6" t="inlineStr">
        <is>
          <t>Buys walls</t>
        </is>
      </c>
      <c r="G89" s="6" t="inlineStr">
        <is>
          <t>San Antonio, building in Houston</t>
        </is>
      </c>
      <c r="H89" s="6" t="inlineStr">
        <is>
          <t>372 closings company-wide in 2022, no Houston figure</t>
        </is>
      </c>
      <c r="I89" s="8" t="inlineStr">
        <is>
          <t>Partly</t>
        </is>
      </c>
      <c r="J89" s="9" t="inlineStr">
        <is>
          <t>One plan catalog shared across all four markets.</t>
        </is>
      </c>
      <c r="K89" s="8" t="inlineStr">
        <is>
          <t>Partly</t>
        </is>
      </c>
      <c r="L89" s="9" t="inlineStr">
        <is>
          <t>372 closings company-wide in 2022, no Houston figure. Houston is a secondary market.</t>
        </is>
      </c>
      <c r="M89" s="8" t="inlineStr">
        <is>
          <t>No</t>
        </is>
      </c>
      <c r="N89" s="9" t="inlineStr">
        <is>
          <t>No method evidence.</t>
        </is>
      </c>
      <c r="O89" s="10" t="inlineStr"/>
      <c r="P89" s="6" t="inlineStr"/>
      <c r="Q89" s="11">
        <f>IF(O89="","ADD LINKEDIN","ok")</f>
        <v/>
      </c>
      <c r="R89" s="6" t="inlineStr">
        <is>
          <t>https://www.sitterlehomes.com/</t>
        </is>
      </c>
      <c r="S89" s="9" t="inlineStr">
        <is>
          <t>One plan catalog serves all four of its markets, but Houston is a secondary market run from San Antonio.</t>
        </is>
      </c>
      <c r="T89" s="6" t="inlineStr"/>
      <c r="U89" s="9" t="inlineStr">
        <is>
          <t>About page gives neither co-owner a title.</t>
        </is>
      </c>
      <c r="V89" s="6" t="inlineStr">
        <is>
          <t>https://sitterlehomes.com/about-us/</t>
        </is>
      </c>
      <c r="W89" s="6" t="inlineStr"/>
      <c r="X89" s="6" t="inlineStr"/>
      <c r="Y89" s="6" t="inlineStr"/>
      <c r="Z89" s="6" t="inlineStr">
        <is>
          <t>(281) 664-7255</t>
        </is>
      </c>
      <c r="AA89" s="6" t="inlineStr">
        <is>
          <t>Houston design studio</t>
        </is>
      </c>
      <c r="AB89" s="6" t="inlineStr">
        <is>
          <t>https://sitterlehomes.com/contact/</t>
        </is>
      </c>
      <c r="AC89" s="6" t="inlineStr"/>
      <c r="AD89" s="6" t="inlineStr"/>
    </row>
    <row r="90">
      <c r="A90" s="12" t="inlineStr">
        <is>
          <t>Mary Lawler</t>
        </is>
      </c>
      <c r="B90" s="12" t="inlineStr">
        <is>
          <t>Avenue CDC</t>
        </is>
      </c>
      <c r="C90" s="12" t="inlineStr">
        <is>
          <t>Chief Executive Officer</t>
        </is>
      </c>
      <c r="D90" s="13" t="inlineStr">
        <is>
          <t>One gap</t>
        </is>
      </c>
      <c r="E90" s="14" t="n">
        <v>2</v>
      </c>
      <c r="F90" s="12" t="inlineStr">
        <is>
          <t>Buys walls</t>
        </is>
      </c>
      <c r="G90" s="12" t="inlineStr">
        <is>
          <t>Near Northside, Harris County</t>
        </is>
      </c>
      <c r="H90" s="12" t="inlineStr">
        <is>
          <t>5 named Near Northside developments</t>
        </is>
      </c>
      <c r="I90" s="14" t="inlineStr">
        <is>
          <t>Partly</t>
        </is>
      </c>
      <c r="J90" s="15" t="inlineStr">
        <is>
          <t>All in one neighborhood.</t>
        </is>
      </c>
      <c r="K90" s="14" t="inlineStr">
        <is>
          <t>Partly</t>
        </is>
      </c>
      <c r="L90" s="15" t="inlineStr">
        <is>
          <t>Five affordable developments in one neighborhood. No yearly figure published.</t>
        </is>
      </c>
      <c r="M90" s="14" t="inlineStr">
        <is>
          <t>No</t>
        </is>
      </c>
      <c r="N90" s="15" t="inlineStr">
        <is>
          <t>Nothing on record.</t>
        </is>
      </c>
      <c r="O90" s="10" t="inlineStr"/>
      <c r="P90" s="12">
        <f>HYPERLINK("https://www.linkedin.com/search/results/people/?keywords=Mary%20Lawler%20Avenue%20CDC","search")</f>
        <v/>
      </c>
      <c r="Q90" s="16">
        <f>IF(O90="","ADD LINKEDIN","ok")</f>
        <v/>
      </c>
      <c r="R90" s="12" t="inlineStr">
        <is>
          <t>https://avenuecdc.org/</t>
        </is>
      </c>
      <c r="S90" s="15" t="inlineStr">
        <is>
          <t>All its developments sit in one neighborhood, but it publishes no yearly figure and no construction officer.</t>
        </is>
      </c>
      <c r="T90" s="12" t="inlineStr"/>
      <c r="U90" s="15" t="inlineStr">
        <is>
          <t>Board and staff page.</t>
        </is>
      </c>
      <c r="V90" s="12" t="inlineStr">
        <is>
          <t>https://avenuecdc.org/about-us/board-staff/</t>
        </is>
      </c>
      <c r="W90" s="12" t="inlineStr">
        <is>
          <t>https://www.linkedin.com/company/avenue-community-development-coporation</t>
        </is>
      </c>
      <c r="X90" s="12" t="inlineStr">
        <is>
          <t>https://avenuecdc.org/about-us/board-staff/</t>
        </is>
      </c>
      <c r="Y90" s="12" t="inlineStr"/>
      <c r="Z90" s="12" t="inlineStr">
        <is>
          <t>(713) 864-8099</t>
        </is>
      </c>
      <c r="AA90" s="12" t="inlineStr"/>
      <c r="AB90" s="12" t="inlineStr">
        <is>
          <t>https://avenuecdc.org/</t>
        </is>
      </c>
      <c r="AC90" s="12" t="inlineStr"/>
      <c r="AD90" s="12" t="inlineStr"/>
    </row>
    <row r="91">
      <c r="A91" s="6" t="inlineStr">
        <is>
          <t>Nicole Cassier</t>
        </is>
      </c>
      <c r="B91" s="6" t="inlineStr">
        <is>
          <t>Avenue CDC</t>
        </is>
      </c>
      <c r="C91" s="6" t="inlineStr">
        <is>
          <t>Chief Strategy Officer</t>
        </is>
      </c>
      <c r="D91" s="7" t="inlineStr">
        <is>
          <t>One gap</t>
        </is>
      </c>
      <c r="E91" s="8" t="n">
        <v>2</v>
      </c>
      <c r="F91" s="6" t="inlineStr">
        <is>
          <t>Buys walls</t>
        </is>
      </c>
      <c r="G91" s="6" t="inlineStr">
        <is>
          <t>Near Northside, Harris County</t>
        </is>
      </c>
      <c r="H91" s="6" t="inlineStr">
        <is>
          <t>5 named Near Northside developments</t>
        </is>
      </c>
      <c r="I91" s="8" t="inlineStr">
        <is>
          <t>Partly</t>
        </is>
      </c>
      <c r="J91" s="9" t="inlineStr">
        <is>
          <t>All in one neighborhood.</t>
        </is>
      </c>
      <c r="K91" s="8" t="inlineStr">
        <is>
          <t>Partly</t>
        </is>
      </c>
      <c r="L91" s="9" t="inlineStr">
        <is>
          <t>Five affordable developments in one neighborhood. No yearly figure published.</t>
        </is>
      </c>
      <c r="M91" s="8" t="inlineStr">
        <is>
          <t>No</t>
        </is>
      </c>
      <c r="N91" s="9" t="inlineStr">
        <is>
          <t>Nothing on record.</t>
        </is>
      </c>
      <c r="O91" s="6" t="inlineStr">
        <is>
          <t>https://www.linkedin.com/in/nicolecassier/</t>
        </is>
      </c>
      <c r="P91" s="6" t="inlineStr"/>
      <c r="Q91" s="11">
        <f>IF(O91="","ADD LINKEDIN","ok")</f>
        <v/>
      </c>
      <c r="R91" s="6" t="inlineStr">
        <is>
          <t>https://avenuecdc.org/</t>
        </is>
      </c>
      <c r="S91" s="9" t="inlineStr">
        <is>
          <t>All its developments sit in one neighborhood, but it publishes no yearly figure and no construction officer.</t>
        </is>
      </c>
      <c r="T91" s="6" t="inlineStr"/>
      <c r="U91" s="9" t="inlineStr">
        <is>
          <t>Chief Strategy Officer, Housing &amp; Community Development. LinkedIn headline omits her employer.</t>
        </is>
      </c>
      <c r="V91" s="6" t="inlineStr"/>
      <c r="W91" s="6" t="inlineStr">
        <is>
          <t>https://www.linkedin.com/company/avenue-community-development-coporation</t>
        </is>
      </c>
      <c r="X91" s="6" t="inlineStr">
        <is>
          <t>https://avenuecdc.org/about-us/board-staff/</t>
        </is>
      </c>
      <c r="Y91" s="6" t="inlineStr"/>
      <c r="Z91" s="6" t="inlineStr">
        <is>
          <t>(713) 864-8099</t>
        </is>
      </c>
      <c r="AA91" s="6" t="inlineStr"/>
      <c r="AB91" s="6" t="inlineStr">
        <is>
          <t>https://avenuecdc.org/</t>
        </is>
      </c>
      <c r="AC91" s="6" t="inlineStr"/>
      <c r="AD91" s="6" t="inlineStr"/>
    </row>
    <row r="92">
      <c r="A92" s="12" t="inlineStr">
        <is>
          <t>Karen Briggs Gwin</t>
        </is>
      </c>
      <c r="B92" s="12" t="inlineStr">
        <is>
          <t>Avenue CDC</t>
        </is>
      </c>
      <c r="C92" s="12" t="inlineStr">
        <is>
          <t>Chief Financial Officer</t>
        </is>
      </c>
      <c r="D92" s="13" t="inlineStr">
        <is>
          <t>One gap</t>
        </is>
      </c>
      <c r="E92" s="14" t="n">
        <v>2</v>
      </c>
      <c r="F92" s="12" t="inlineStr">
        <is>
          <t>Buys walls</t>
        </is>
      </c>
      <c r="G92" s="12" t="inlineStr">
        <is>
          <t>Near Northside, Harris County</t>
        </is>
      </c>
      <c r="H92" s="12" t="inlineStr">
        <is>
          <t>5 named Near Northside developments</t>
        </is>
      </c>
      <c r="I92" s="14" t="inlineStr">
        <is>
          <t>Partly</t>
        </is>
      </c>
      <c r="J92" s="15" t="inlineStr">
        <is>
          <t>All in one neighborhood.</t>
        </is>
      </c>
      <c r="K92" s="14" t="inlineStr">
        <is>
          <t>Partly</t>
        </is>
      </c>
      <c r="L92" s="15" t="inlineStr">
        <is>
          <t>Five affordable developments in one neighborhood. No yearly figure published.</t>
        </is>
      </c>
      <c r="M92" s="14" t="inlineStr">
        <is>
          <t>No</t>
        </is>
      </c>
      <c r="N92" s="15" t="inlineStr">
        <is>
          <t>Nothing on record.</t>
        </is>
      </c>
      <c r="O92" s="6" t="inlineStr">
        <is>
          <t>https://www.linkedin.com/in/karen-briggs-gwin-02106614/</t>
        </is>
      </c>
      <c r="P92" s="12" t="inlineStr"/>
      <c r="Q92" s="16">
        <f>IF(O92="","ADD LINKEDIN","ok")</f>
        <v/>
      </c>
      <c r="R92" s="12" t="inlineStr">
        <is>
          <t>https://avenuecdc.org/</t>
        </is>
      </c>
      <c r="S92" s="15" t="inlineStr">
        <is>
          <t>All its developments sit in one neighborhood, but it publishes no yearly figure and no construction officer.</t>
        </is>
      </c>
      <c r="T92" s="12" t="inlineStr"/>
      <c r="U92" s="15" t="inlineStr">
        <is>
          <t>Chief Financial Officer, Avenue CDC. Greater Houston.</t>
        </is>
      </c>
      <c r="V92" s="12" t="inlineStr"/>
      <c r="W92" s="12" t="inlineStr">
        <is>
          <t>https://www.linkedin.com/company/avenue-community-development-coporation</t>
        </is>
      </c>
      <c r="X92" s="12" t="inlineStr">
        <is>
          <t>https://avenuecdc.org/about-us/board-staff/</t>
        </is>
      </c>
      <c r="Y92" s="12" t="inlineStr"/>
      <c r="Z92" s="12" t="inlineStr">
        <is>
          <t>(713) 864-8099</t>
        </is>
      </c>
      <c r="AA92" s="12" t="inlineStr"/>
      <c r="AB92" s="12" t="inlineStr">
        <is>
          <t>https://avenuecdc.org/</t>
        </is>
      </c>
      <c r="AC92" s="12" t="inlineStr"/>
      <c r="AD92" s="12" t="inlineStr"/>
    </row>
    <row r="93">
      <c r="A93" s="6" t="inlineStr">
        <is>
          <t>Kionta Carter</t>
        </is>
      </c>
      <c r="B93" s="6" t="inlineStr">
        <is>
          <t>Avenue CDC</t>
        </is>
      </c>
      <c r="C93" s="6" t="inlineStr">
        <is>
          <t>Chief Programs Officer</t>
        </is>
      </c>
      <c r="D93" s="7" t="inlineStr">
        <is>
          <t>One gap</t>
        </is>
      </c>
      <c r="E93" s="8" t="n">
        <v>2</v>
      </c>
      <c r="F93" s="6" t="inlineStr">
        <is>
          <t>Buys walls</t>
        </is>
      </c>
      <c r="G93" s="6" t="inlineStr">
        <is>
          <t>Near Northside, Harris County</t>
        </is>
      </c>
      <c r="H93" s="6" t="inlineStr">
        <is>
          <t>5 named Near Northside developments</t>
        </is>
      </c>
      <c r="I93" s="8" t="inlineStr">
        <is>
          <t>Partly</t>
        </is>
      </c>
      <c r="J93" s="9" t="inlineStr">
        <is>
          <t>All in one neighborhood.</t>
        </is>
      </c>
      <c r="K93" s="8" t="inlineStr">
        <is>
          <t>Partly</t>
        </is>
      </c>
      <c r="L93" s="9" t="inlineStr">
        <is>
          <t>Five affordable developments in one neighborhood. No yearly figure published.</t>
        </is>
      </c>
      <c r="M93" s="8" t="inlineStr">
        <is>
          <t>No</t>
        </is>
      </c>
      <c r="N93" s="9" t="inlineStr">
        <is>
          <t>Nothing on record.</t>
        </is>
      </c>
      <c r="O93" s="10" t="inlineStr"/>
      <c r="P93" s="6" t="inlineStr"/>
      <c r="Q93" s="11">
        <f>IF(O93="","ADD LINKEDIN","ok")</f>
        <v/>
      </c>
      <c r="R93" s="6" t="inlineStr">
        <is>
          <t>https://avenuecdc.org/</t>
        </is>
      </c>
      <c r="S93" s="9" t="inlineStr">
        <is>
          <t>All its developments sit in one neighborhood, but it publishes no yearly figure and no construction officer.</t>
        </is>
      </c>
      <c r="T93" s="6" t="inlineStr"/>
      <c r="U93" s="9" t="inlineStr"/>
      <c r="V93" s="6" t="inlineStr">
        <is>
          <t>https://avenuecdc.org/about-us/board-staff/</t>
        </is>
      </c>
      <c r="W93" s="6" t="inlineStr">
        <is>
          <t>https://www.linkedin.com/company/avenue-community-development-coporation</t>
        </is>
      </c>
      <c r="X93" s="6" t="inlineStr">
        <is>
          <t>https://avenuecdc.org/about-us/board-staff/</t>
        </is>
      </c>
      <c r="Y93" s="6" t="inlineStr"/>
      <c r="Z93" s="6" t="inlineStr">
        <is>
          <t>(713) 864-8099</t>
        </is>
      </c>
      <c r="AA93" s="6" t="inlineStr"/>
      <c r="AB93" s="6" t="inlineStr">
        <is>
          <t>https://avenuecdc.org/</t>
        </is>
      </c>
      <c r="AC93" s="6" t="inlineStr"/>
      <c r="AD93" s="6" t="inlineStr"/>
    </row>
    <row r="94">
      <c r="A94" s="12" t="inlineStr">
        <is>
          <t>Angela Guerrero</t>
        </is>
      </c>
      <c r="B94" s="12" t="inlineStr">
        <is>
          <t>Avenue CDC</t>
        </is>
      </c>
      <c r="C94" s="12" t="inlineStr">
        <is>
          <t>Director, Asset Management and Realty Services</t>
        </is>
      </c>
      <c r="D94" s="13" t="inlineStr">
        <is>
          <t>One gap</t>
        </is>
      </c>
      <c r="E94" s="14" t="n">
        <v>2</v>
      </c>
      <c r="F94" s="12" t="inlineStr">
        <is>
          <t>Buys walls</t>
        </is>
      </c>
      <c r="G94" s="12" t="inlineStr">
        <is>
          <t>Near Northside, Harris County</t>
        </is>
      </c>
      <c r="H94" s="12" t="inlineStr">
        <is>
          <t>5 named Near Northside developments</t>
        </is>
      </c>
      <c r="I94" s="14" t="inlineStr">
        <is>
          <t>Partly</t>
        </is>
      </c>
      <c r="J94" s="15" t="inlineStr">
        <is>
          <t>All in one neighborhood.</t>
        </is>
      </c>
      <c r="K94" s="14" t="inlineStr">
        <is>
          <t>Partly</t>
        </is>
      </c>
      <c r="L94" s="15" t="inlineStr">
        <is>
          <t>Five affordable developments in one neighborhood. No yearly figure published.</t>
        </is>
      </c>
      <c r="M94" s="14" t="inlineStr">
        <is>
          <t>No</t>
        </is>
      </c>
      <c r="N94" s="15" t="inlineStr">
        <is>
          <t>Nothing on record.</t>
        </is>
      </c>
      <c r="O94" s="10" t="inlineStr"/>
      <c r="P94" s="12" t="inlineStr"/>
      <c r="Q94" s="16">
        <f>IF(O94="","ADD LINKEDIN","ok")</f>
        <v/>
      </c>
      <c r="R94" s="12" t="inlineStr">
        <is>
          <t>https://avenuecdc.org/</t>
        </is>
      </c>
      <c r="S94" s="15" t="inlineStr">
        <is>
          <t>All its developments sit in one neighborhood, but it publishes no yearly figure and no construction officer.</t>
        </is>
      </c>
      <c r="T94" s="12" t="inlineStr"/>
      <c r="U94" s="15" t="inlineStr">
        <is>
          <t>Staff page lists no construction officer.</t>
        </is>
      </c>
      <c r="V94" s="12" t="inlineStr">
        <is>
          <t>https://avenuecdc.org/about-us/board-staff/</t>
        </is>
      </c>
      <c r="W94" s="12" t="inlineStr">
        <is>
          <t>https://www.linkedin.com/company/avenue-community-development-coporation</t>
        </is>
      </c>
      <c r="X94" s="12" t="inlineStr">
        <is>
          <t>https://avenuecdc.org/about-us/board-staff/</t>
        </is>
      </c>
      <c r="Y94" s="12" t="inlineStr"/>
      <c r="Z94" s="12" t="inlineStr">
        <is>
          <t>(713) 864-8099</t>
        </is>
      </c>
      <c r="AA94" s="12" t="inlineStr"/>
      <c r="AB94" s="12" t="inlineStr">
        <is>
          <t>https://avenuecdc.org/</t>
        </is>
      </c>
      <c r="AC94" s="12" t="inlineStr"/>
      <c r="AD94" s="12" t="inlineStr"/>
    </row>
    <row r="95">
      <c r="A95" s="6" t="inlineStr">
        <is>
          <t>Michael Hundl</t>
        </is>
      </c>
      <c r="B95" s="6" t="inlineStr">
        <is>
          <t>Chesmar Homes</t>
        </is>
      </c>
      <c r="C95" s="6" t="inlineStr">
        <is>
          <t>Vice President of Construction, Houston North, Chesmar Homes</t>
        </is>
      </c>
      <c r="D95" s="7" t="inlineStr">
        <is>
          <t>One gap</t>
        </is>
      </c>
      <c r="E95" s="8" t="n">
        <v>2</v>
      </c>
      <c r="F95" s="6" t="inlineStr">
        <is>
          <t>Buys walls</t>
        </is>
      </c>
      <c r="G95" s="6" t="inlineStr">
        <is>
          <t>Spring, Harris-Montgomery</t>
        </is>
      </c>
      <c r="H95" s="6" t="inlineStr">
        <is>
          <t>1,087 Houston closings in 2025 across Sekisui House U.S., seventh in the metro</t>
        </is>
      </c>
      <c r="I95" s="8" t="inlineStr">
        <is>
          <t>Partly</t>
        </is>
      </c>
      <c r="J95" s="9" t="inlineStr">
        <is>
          <t>Builder at Sienna, selling across five Texas regions.</t>
        </is>
      </c>
      <c r="K95" s="8" t="inlineStr">
        <is>
          <t>Partly</t>
        </is>
      </c>
      <c r="L95" s="9" t="inlineStr">
        <is>
          <t>Parent closed 1,087 Houston homes in 2025. Brands are merging, so purchasing may move.</t>
        </is>
      </c>
      <c r="M95" s="8" t="inlineStr">
        <is>
          <t>No</t>
        </is>
      </c>
      <c r="N95" s="9" t="inlineStr">
        <is>
          <t>No method on record. Folded into Sekisui House U.S. in January 2026.</t>
        </is>
      </c>
      <c r="O95" s="6" t="inlineStr">
        <is>
          <t>https://www.linkedin.com/in/michael-hundl-2a279025/</t>
        </is>
      </c>
      <c r="P95" s="6" t="inlineStr"/>
      <c r="Q95" s="11">
        <f>IF(O95="","ADD LINKEDIN","ok")</f>
        <v/>
      </c>
      <c r="R95" s="6" t="inlineStr">
        <is>
          <t>https://www.chesmar.com/</t>
        </is>
      </c>
      <c r="S95" s="9" t="inlineStr">
        <is>
          <t>Its parent is merging its US brands into one company, so purchasing may move.</t>
        </is>
      </c>
      <c r="T95" s="6" t="inlineStr">
        <is>
          <t>YES</t>
        </is>
      </c>
      <c r="U95" s="9" t="inlineStr">
        <is>
          <t>VP of Construction Houston North, Chesmar Homes. Spring, Texas.</t>
        </is>
      </c>
      <c r="V95" s="6" t="inlineStr"/>
      <c r="W95" s="6" t="inlineStr">
        <is>
          <t>https://www.linkedin.com/company/chesmar-homes</t>
        </is>
      </c>
      <c r="X95" s="6" t="inlineStr"/>
      <c r="Y95" s="6" t="inlineStr">
        <is>
          <t>Builder Magazine. Chesmar Homes, with the note that Sekisui House U.S. is the 2026 Builder of the Year  https://www.builderonline.com/organization/chesmar-homes/</t>
        </is>
      </c>
      <c r="Z95" s="6" t="inlineStr"/>
      <c r="AA95" s="6" t="inlineStr"/>
      <c r="AB95" s="6" t="inlineStr"/>
      <c r="AC95" s="6" t="inlineStr"/>
      <c r="AD95" s="6" t="inlineStr"/>
    </row>
    <row r="96">
      <c r="A96" s="12" t="inlineStr">
        <is>
          <t>Dan Renaud</t>
        </is>
      </c>
      <c r="B96" s="12" t="inlineStr">
        <is>
          <t>Chesmar Homes</t>
        </is>
      </c>
      <c r="C96" s="12" t="inlineStr">
        <is>
          <t>Vice President of Construction Operations, Chesmar Homes</t>
        </is>
      </c>
      <c r="D96" s="13" t="inlineStr">
        <is>
          <t>One gap</t>
        </is>
      </c>
      <c r="E96" s="14" t="n">
        <v>2</v>
      </c>
      <c r="F96" s="12" t="inlineStr">
        <is>
          <t>Buys walls</t>
        </is>
      </c>
      <c r="G96" s="12" t="inlineStr">
        <is>
          <t>Spring, Harris-Montgomery</t>
        </is>
      </c>
      <c r="H96" s="12" t="inlineStr">
        <is>
          <t>1,087 Houston closings in 2025 across Sekisui House U.S., seventh in the metro</t>
        </is>
      </c>
      <c r="I96" s="14" t="inlineStr">
        <is>
          <t>Partly</t>
        </is>
      </c>
      <c r="J96" s="15" t="inlineStr">
        <is>
          <t>Builder at Sienna, selling across five Texas regions.</t>
        </is>
      </c>
      <c r="K96" s="14" t="inlineStr">
        <is>
          <t>Partly</t>
        </is>
      </c>
      <c r="L96" s="15" t="inlineStr">
        <is>
          <t>Parent closed 1,087 Houston homes in 2025. Brands are merging, so purchasing may move.</t>
        </is>
      </c>
      <c r="M96" s="14" t="inlineStr">
        <is>
          <t>No</t>
        </is>
      </c>
      <c r="N96" s="15" t="inlineStr">
        <is>
          <t>No method on record. Folded into Sekisui House U.S. in January 2026.</t>
        </is>
      </c>
      <c r="O96" s="6" t="inlineStr">
        <is>
          <t>https://www.linkedin.com/in/dan-renaud-8b244719/</t>
        </is>
      </c>
      <c r="P96" s="12" t="inlineStr"/>
      <c r="Q96" s="16">
        <f>IF(O96="","ADD LINKEDIN","ok")</f>
        <v/>
      </c>
      <c r="R96" s="12" t="inlineStr">
        <is>
          <t>https://www.chesmar.com/</t>
        </is>
      </c>
      <c r="S96" s="15" t="inlineStr">
        <is>
          <t>Its parent is merging its US brands into one company, so purchasing may move.</t>
        </is>
      </c>
      <c r="T96" s="12" t="inlineStr">
        <is>
          <t>YES</t>
        </is>
      </c>
      <c r="U96" s="15" t="inlineStr"/>
      <c r="V96" s="12" t="inlineStr"/>
      <c r="W96" s="12" t="inlineStr">
        <is>
          <t>https://www.linkedin.com/company/chesmar-homes</t>
        </is>
      </c>
      <c r="X96" s="12" t="inlineStr"/>
      <c r="Y96" s="12" t="inlineStr">
        <is>
          <t>Builder Magazine. Chesmar Homes, with the note that Sekisui House U.S. is the 2026 Builder of the Year  https://www.builderonline.com/organization/chesmar-homes/</t>
        </is>
      </c>
      <c r="Z96" s="12" t="inlineStr"/>
      <c r="AA96" s="12" t="inlineStr"/>
      <c r="AB96" s="12" t="inlineStr"/>
      <c r="AC96" s="12" t="inlineStr"/>
      <c r="AD96" s="12" t="inlineStr"/>
    </row>
    <row r="97">
      <c r="A97" s="6" t="inlineStr">
        <is>
          <t>David Ebarb</t>
        </is>
      </c>
      <c r="B97" s="6" t="inlineStr">
        <is>
          <t>Chesmar Homes</t>
        </is>
      </c>
      <c r="C97" s="6" t="inlineStr">
        <is>
          <t>Vice President of Purchasing, Chesmar Homes</t>
        </is>
      </c>
      <c r="D97" s="7" t="inlineStr">
        <is>
          <t>One gap</t>
        </is>
      </c>
      <c r="E97" s="8" t="n">
        <v>2</v>
      </c>
      <c r="F97" s="6" t="inlineStr">
        <is>
          <t>Buys walls</t>
        </is>
      </c>
      <c r="G97" s="6" t="inlineStr">
        <is>
          <t>Spring, Harris-Montgomery</t>
        </is>
      </c>
      <c r="H97" s="6" t="inlineStr">
        <is>
          <t>1,087 Houston closings in 2025 across Sekisui House U.S., seventh in the metro</t>
        </is>
      </c>
      <c r="I97" s="8" t="inlineStr">
        <is>
          <t>Partly</t>
        </is>
      </c>
      <c r="J97" s="9" t="inlineStr">
        <is>
          <t>Builder at Sienna, selling across five Texas regions.</t>
        </is>
      </c>
      <c r="K97" s="8" t="inlineStr">
        <is>
          <t>Partly</t>
        </is>
      </c>
      <c r="L97" s="9" t="inlineStr">
        <is>
          <t>Parent closed 1,087 Houston homes in 2025. Brands are merging, so purchasing may move.</t>
        </is>
      </c>
      <c r="M97" s="8" t="inlineStr">
        <is>
          <t>No</t>
        </is>
      </c>
      <c r="N97" s="9" t="inlineStr">
        <is>
          <t>No method on record. Folded into Sekisui House U.S. in January 2026.</t>
        </is>
      </c>
      <c r="O97" s="6" t="inlineStr">
        <is>
          <t>https://www.linkedin.com/in/david-ebarb-73388541/</t>
        </is>
      </c>
      <c r="P97" s="6" t="inlineStr"/>
      <c r="Q97" s="11">
        <f>IF(O97="","ADD LINKEDIN","ok")</f>
        <v/>
      </c>
      <c r="R97" s="6" t="inlineStr">
        <is>
          <t>https://www.chesmar.com/</t>
        </is>
      </c>
      <c r="S97" s="9" t="inlineStr">
        <is>
          <t>Its parent is merging its US brands into one company, so purchasing may move.</t>
        </is>
      </c>
      <c r="T97" s="6" t="inlineStr">
        <is>
          <t>YES</t>
        </is>
      </c>
      <c r="U97" s="9" t="inlineStr">
        <is>
          <t>Vice President of Purchasing at Chesmar Home. Houston, Texas.</t>
        </is>
      </c>
      <c r="V97" s="6" t="inlineStr"/>
      <c r="W97" s="6" t="inlineStr">
        <is>
          <t>https://www.linkedin.com/company/chesmar-homes</t>
        </is>
      </c>
      <c r="X97" s="6" t="inlineStr"/>
      <c r="Y97" s="6" t="inlineStr">
        <is>
          <t>Builder Magazine. Chesmar Homes, with the note that Sekisui House U.S. is the 2026 Builder of the Year  https://www.builderonline.com/organization/chesmar-homes/</t>
        </is>
      </c>
      <c r="Z97" s="6" t="inlineStr"/>
      <c r="AA97" s="6" t="inlineStr"/>
      <c r="AB97" s="6" t="inlineStr"/>
      <c r="AC97" s="6" t="inlineStr"/>
      <c r="AD97" s="6" t="inlineStr"/>
    </row>
    <row r="98">
      <c r="A98" s="12" t="inlineStr">
        <is>
          <t>Tim Drone</t>
        </is>
      </c>
      <c r="B98" s="12" t="inlineStr">
        <is>
          <t>J. Patrick Homes</t>
        </is>
      </c>
      <c r="C98" s="12" t="inlineStr">
        <is>
          <t>President</t>
        </is>
      </c>
      <c r="D98" s="13" t="inlineStr">
        <is>
          <t>One gap</t>
        </is>
      </c>
      <c r="E98" s="14" t="n">
        <v>2</v>
      </c>
      <c r="F98" s="12" t="inlineStr">
        <is>
          <t>Buys walls</t>
        </is>
      </c>
      <c r="G98" s="12" t="inlineStr">
        <is>
          <t>Houston, 12 submarkets</t>
        </is>
      </c>
      <c r="H98" s="12" t="inlineStr">
        <is>
          <t>Houston PRISM Volume Builder of the Year, ten communities</t>
        </is>
      </c>
      <c r="I98" s="14" t="inlineStr">
        <is>
          <t>Partly</t>
        </is>
      </c>
      <c r="J98" s="15" t="inlineStr">
        <is>
          <t>Ten communities spread the plan set across many sites.</t>
        </is>
      </c>
      <c r="K98" s="14" t="inlineStr">
        <is>
          <t>Partly</t>
        </is>
      </c>
      <c r="L98" s="15" t="inlineStr">
        <is>
          <t>No closings figure published.</t>
        </is>
      </c>
      <c r="M98" s="14" t="inlineStr">
        <is>
          <t>No</t>
        </is>
      </c>
      <c r="N98" s="15" t="inlineStr">
        <is>
          <t>Energy Star and Environments for Living certified. Whole-home dehumidifiers standard. Nothing structural.</t>
        </is>
      </c>
      <c r="O98" s="10" t="inlineStr"/>
      <c r="P98" s="12">
        <f>HYPERLINK("https://www.linkedin.com/search/results/people/?keywords=Tim%20Drone%20J.%20Patrick%20Homes","search")</f>
        <v/>
      </c>
      <c r="Q98" s="16">
        <f>IF(O98="","ADD LINKEDIN","ok")</f>
        <v/>
      </c>
      <c r="R98" s="12" t="inlineStr">
        <is>
          <t>https://www.jpatrickhomes.com/</t>
        </is>
      </c>
      <c r="S98" s="15" t="inlineStr">
        <is>
          <t>It publishes no closings figure, but it names its purchasing manager.</t>
        </is>
      </c>
      <c r="T98" s="12" t="inlineStr"/>
      <c r="U98" s="15" t="inlineStr">
        <is>
          <t>Quoted as President, February 2026, on small-lot product.</t>
        </is>
      </c>
      <c r="V98" s="12" t="inlineStr">
        <is>
          <t>https://houstonagentmagazine.com/2026/02/10/j-patrick-homes-small-lots-grange/</t>
        </is>
      </c>
      <c r="W98" s="12" t="inlineStr"/>
      <c r="X98" s="12" t="inlineStr"/>
      <c r="Y98" s="12" t="inlineStr"/>
      <c r="Z98" s="12" t="inlineStr">
        <is>
          <t>(713) 789-8004</t>
        </is>
      </c>
      <c r="AA98" s="12" t="inlineStr"/>
      <c r="AB98" s="12" t="inlineStr">
        <is>
          <t>https://www.jpatrickhomes.com/</t>
        </is>
      </c>
      <c r="AC98" s="12" t="inlineStr"/>
      <c r="AD98" s="12" t="inlineStr"/>
    </row>
    <row r="99">
      <c r="A99" s="6" t="inlineStr">
        <is>
          <t>Bo Banowsky</t>
        </is>
      </c>
      <c r="B99" s="6" t="inlineStr">
        <is>
          <t>J. Patrick Homes</t>
        </is>
      </c>
      <c r="C99" s="6" t="inlineStr">
        <is>
          <t>Purchasing Manager</t>
        </is>
      </c>
      <c r="D99" s="7" t="inlineStr">
        <is>
          <t>One gap</t>
        </is>
      </c>
      <c r="E99" s="8" t="n">
        <v>2</v>
      </c>
      <c r="F99" s="6" t="inlineStr">
        <is>
          <t>Buys walls</t>
        </is>
      </c>
      <c r="G99" s="6" t="inlineStr">
        <is>
          <t>Houston, 12 submarkets</t>
        </is>
      </c>
      <c r="H99" s="6" t="inlineStr">
        <is>
          <t>Houston PRISM Volume Builder of the Year, ten communities</t>
        </is>
      </c>
      <c r="I99" s="8" t="inlineStr">
        <is>
          <t>Partly</t>
        </is>
      </c>
      <c r="J99" s="9" t="inlineStr">
        <is>
          <t>Ten communities spread the plan set across many sites.</t>
        </is>
      </c>
      <c r="K99" s="8" t="inlineStr">
        <is>
          <t>Partly</t>
        </is>
      </c>
      <c r="L99" s="9" t="inlineStr">
        <is>
          <t>No closings figure published.</t>
        </is>
      </c>
      <c r="M99" s="8" t="inlineStr">
        <is>
          <t>No</t>
        </is>
      </c>
      <c r="N99" s="9" t="inlineStr">
        <is>
          <t>Energy Star and Environments for Living certified. Whole-home dehumidifiers standard. Nothing structural.</t>
        </is>
      </c>
      <c r="O99" s="6" t="inlineStr">
        <is>
          <t>https://www.linkedin.com/in/bo-banowsky-3b11278/</t>
        </is>
      </c>
      <c r="P99" s="6" t="inlineStr"/>
      <c r="Q99" s="11">
        <f>IF(O99="","ADD LINKEDIN","ok")</f>
        <v/>
      </c>
      <c r="R99" s="6" t="inlineStr">
        <is>
          <t>https://www.jpatrickhomes.com/</t>
        </is>
      </c>
      <c r="S99" s="9" t="inlineStr">
        <is>
          <t>It publishes no closings figure, but it names its purchasing manager.</t>
        </is>
      </c>
      <c r="T99" s="6" t="inlineStr">
        <is>
          <t>YES</t>
        </is>
      </c>
      <c r="U99" s="9" t="inlineStr">
        <is>
          <t>Indexed title matches the role.</t>
        </is>
      </c>
      <c r="V99" s="6" t="inlineStr"/>
      <c r="W99" s="6" t="inlineStr"/>
      <c r="X99" s="6" t="inlineStr"/>
      <c r="Y99" s="6" t="inlineStr"/>
      <c r="Z99" s="6" t="inlineStr">
        <is>
          <t>(713) 789-8004</t>
        </is>
      </c>
      <c r="AA99" s="6" t="inlineStr"/>
      <c r="AB99" s="6" t="inlineStr">
        <is>
          <t>https://www.jpatrickhomes.com/</t>
        </is>
      </c>
      <c r="AC99" s="6" t="inlineStr"/>
      <c r="AD99" s="6" t="inlineStr"/>
    </row>
    <row r="100">
      <c r="A100" s="12" t="inlineStr">
        <is>
          <t>Neil Joshi</t>
        </is>
      </c>
      <c r="B100" s="12" t="inlineStr">
        <is>
          <t>RSK Real Estate Partners</t>
        </is>
      </c>
      <c r="C100" s="12" t="inlineStr">
        <is>
          <t>Managing Member, RSK Real Estate Partners</t>
        </is>
      </c>
      <c r="D100" s="13" t="inlineStr">
        <is>
          <t>One gap</t>
        </is>
      </c>
      <c r="E100" s="14" t="n">
        <v>2</v>
      </c>
      <c r="F100" s="12" t="inlineStr">
        <is>
          <t>Buys walls</t>
        </is>
      </c>
      <c r="G100" s="12" t="inlineStr">
        <is>
          <t>Chicago HQ / Katy, Harris</t>
        </is>
      </c>
      <c r="H100" s="12" t="inlineStr">
        <is>
          <t>366 build-to-rent units across two Katy projects</t>
        </is>
      </c>
      <c r="I100" s="14" t="inlineStr">
        <is>
          <t>Partly</t>
        </is>
      </c>
      <c r="J100" s="15" t="inlineStr">
        <is>
          <t>156 and 210 duplexes on two Katy sites.</t>
        </is>
      </c>
      <c r="K100" s="14" t="inlineStr">
        <is>
          <t>Partly</t>
        </is>
      </c>
      <c r="L100" s="15" t="inlineStr">
        <is>
          <t>No unit count published beyond the two projects.</t>
        </is>
      </c>
      <c r="M100" s="14" t="inlineStr">
        <is>
          <t>No</t>
        </is>
      </c>
      <c r="N100" s="15" t="inlineStr">
        <is>
          <t>No method evidence.</t>
        </is>
      </c>
      <c r="O100" s="10" t="inlineStr"/>
      <c r="P100" s="12">
        <f>HYPERLINK("https://www.linkedin.com/search/results/people/?keywords=Neil%20Joshi%20RSK%20Real%20Estate%20Partners","search")</f>
        <v/>
      </c>
      <c r="Q100" s="16">
        <f>IF(O100="","ADD LINKEDIN","ok")</f>
        <v/>
      </c>
      <c r="R100" s="12" t="inlineStr">
        <is>
          <t>https://rskrealestatepartners.com/</t>
        </is>
      </c>
      <c r="S100" s="15" t="inlineStr">
        <is>
          <t>Publishes three construction directors and a purchasing manager, but no unit count beyond its Katy projects.</t>
        </is>
      </c>
      <c r="T100" s="12" t="inlineStr"/>
      <c r="U100" s="15" t="inlineStr"/>
      <c r="V100" s="12" t="inlineStr">
        <is>
          <t>https://rskrealestatepartners.com/our-team/</t>
        </is>
      </c>
      <c r="W100" s="12" t="inlineStr">
        <is>
          <t>https://www.linkedin.com/company/rsk-real-estate-partners</t>
        </is>
      </c>
      <c r="X100" s="12" t="inlineStr">
        <is>
          <t>https://rskrealestatepartners.com/our-team/</t>
        </is>
      </c>
      <c r="Y100" s="12" t="inlineStr"/>
      <c r="Z100" s="12" t="inlineStr"/>
      <c r="AA100" s="12" t="inlineStr"/>
      <c r="AB100" s="12" t="inlineStr"/>
      <c r="AC100" s="12" t="inlineStr"/>
      <c r="AD100" s="12" t="inlineStr"/>
    </row>
    <row r="101">
      <c r="A101" s="6" t="inlineStr">
        <is>
          <t>Hannah Ripkey</t>
        </is>
      </c>
      <c r="B101" s="6" t="inlineStr">
        <is>
          <t>RSK Real Estate Partners</t>
        </is>
      </c>
      <c r="C101" s="6" t="inlineStr">
        <is>
          <t>Vice President of Development, RSK Real Estate Partners</t>
        </is>
      </c>
      <c r="D101" s="7" t="inlineStr">
        <is>
          <t>One gap</t>
        </is>
      </c>
      <c r="E101" s="8" t="n">
        <v>2</v>
      </c>
      <c r="F101" s="6" t="inlineStr">
        <is>
          <t>Buys walls</t>
        </is>
      </c>
      <c r="G101" s="6" t="inlineStr">
        <is>
          <t>Chicago HQ / Katy, Harris</t>
        </is>
      </c>
      <c r="H101" s="6" t="inlineStr">
        <is>
          <t>366 build-to-rent units across two Katy projects</t>
        </is>
      </c>
      <c r="I101" s="8" t="inlineStr">
        <is>
          <t>Partly</t>
        </is>
      </c>
      <c r="J101" s="9" t="inlineStr">
        <is>
          <t>156 and 210 duplexes on two Katy sites.</t>
        </is>
      </c>
      <c r="K101" s="8" t="inlineStr">
        <is>
          <t>Partly</t>
        </is>
      </c>
      <c r="L101" s="9" t="inlineStr">
        <is>
          <t>No unit count published beyond the two projects.</t>
        </is>
      </c>
      <c r="M101" s="8" t="inlineStr">
        <is>
          <t>No</t>
        </is>
      </c>
      <c r="N101" s="9" t="inlineStr">
        <is>
          <t>No method evidence.</t>
        </is>
      </c>
      <c r="O101" s="10" t="inlineStr"/>
      <c r="P101" s="6">
        <f>HYPERLINK("https://www.linkedin.com/search/results/people/?keywords=Hannah%20Ripkey%20RSK%20Real%20Estate%20Partners","search")</f>
        <v/>
      </c>
      <c r="Q101" s="11">
        <f>IF(O101="","ADD LINKEDIN","ok")</f>
        <v/>
      </c>
      <c r="R101" s="6" t="inlineStr">
        <is>
          <t>https://rskrealestatepartners.com/</t>
        </is>
      </c>
      <c r="S101" s="9" t="inlineStr">
        <is>
          <t>Publishes three construction directors and a purchasing manager, but no unit count beyond its Katy projects.</t>
        </is>
      </c>
      <c r="T101" s="6" t="inlineStr"/>
      <c r="U101" s="9" t="inlineStr"/>
      <c r="V101" s="6" t="inlineStr">
        <is>
          <t>https://rskrealestatepartners.com/our-team/</t>
        </is>
      </c>
      <c r="W101" s="6" t="inlineStr">
        <is>
          <t>https://www.linkedin.com/company/rsk-real-estate-partners</t>
        </is>
      </c>
      <c r="X101" s="6" t="inlineStr">
        <is>
          <t>https://rskrealestatepartners.com/our-team/</t>
        </is>
      </c>
      <c r="Y101" s="6" t="inlineStr"/>
      <c r="Z101" s="6" t="inlineStr"/>
      <c r="AA101" s="6" t="inlineStr"/>
      <c r="AB101" s="6" t="inlineStr"/>
      <c r="AC101" s="6" t="inlineStr"/>
      <c r="AD101" s="6" t="inlineStr"/>
    </row>
    <row r="102">
      <c r="A102" s="12" t="inlineStr">
        <is>
          <t>Jim Foy</t>
        </is>
      </c>
      <c r="B102" s="12" t="inlineStr">
        <is>
          <t>RSK Real Estate Partners</t>
        </is>
      </c>
      <c r="C102" s="12" t="inlineStr">
        <is>
          <t>Houston Director of Construction</t>
        </is>
      </c>
      <c r="D102" s="13" t="inlineStr">
        <is>
          <t>One gap</t>
        </is>
      </c>
      <c r="E102" s="14" t="n">
        <v>2</v>
      </c>
      <c r="F102" s="12" t="inlineStr">
        <is>
          <t>Buys walls</t>
        </is>
      </c>
      <c r="G102" s="12" t="inlineStr">
        <is>
          <t>Chicago HQ / Katy, Harris</t>
        </is>
      </c>
      <c r="H102" s="12" t="inlineStr">
        <is>
          <t>366 build-to-rent units across two Katy projects</t>
        </is>
      </c>
      <c r="I102" s="14" t="inlineStr">
        <is>
          <t>Partly</t>
        </is>
      </c>
      <c r="J102" s="15" t="inlineStr">
        <is>
          <t>156 and 210 duplexes on two Katy sites.</t>
        </is>
      </c>
      <c r="K102" s="14" t="inlineStr">
        <is>
          <t>Partly</t>
        </is>
      </c>
      <c r="L102" s="15" t="inlineStr">
        <is>
          <t>No unit count published beyond the two projects.</t>
        </is>
      </c>
      <c r="M102" s="14" t="inlineStr">
        <is>
          <t>No</t>
        </is>
      </c>
      <c r="N102" s="15" t="inlineStr">
        <is>
          <t>No method evidence.</t>
        </is>
      </c>
      <c r="O102" s="10" t="inlineStr"/>
      <c r="P102" s="12" t="inlineStr"/>
      <c r="Q102" s="16">
        <f>IF(O102="","ADD LINKEDIN","ok")</f>
        <v/>
      </c>
      <c r="R102" s="12" t="inlineStr">
        <is>
          <t>https://rskrealestatepartners.com/</t>
        </is>
      </c>
      <c r="S102" s="15" t="inlineStr">
        <is>
          <t>Publishes three construction directors and a purchasing manager, but no unit count beyond its Katy projects.</t>
        </is>
      </c>
      <c r="T102" s="12" t="inlineStr">
        <is>
          <t>YES</t>
        </is>
      </c>
      <c r="U102" s="15" t="inlineStr"/>
      <c r="V102" s="12" t="inlineStr">
        <is>
          <t>https://rskrealestatepartners.com/our-team/</t>
        </is>
      </c>
      <c r="W102" s="12" t="inlineStr">
        <is>
          <t>https://www.linkedin.com/company/rsk-real-estate-partners</t>
        </is>
      </c>
      <c r="X102" s="12" t="inlineStr">
        <is>
          <t>https://rskrealestatepartners.com/our-team/</t>
        </is>
      </c>
      <c r="Y102" s="12" t="inlineStr"/>
      <c r="Z102" s="12" t="inlineStr"/>
      <c r="AA102" s="12" t="inlineStr"/>
      <c r="AB102" s="12" t="inlineStr"/>
      <c r="AC102" s="12" t="inlineStr"/>
      <c r="AD102" s="12" t="inlineStr"/>
    </row>
    <row r="103">
      <c r="A103" s="6" t="inlineStr">
        <is>
          <t>Corey Wilson</t>
        </is>
      </c>
      <c r="B103" s="6" t="inlineStr">
        <is>
          <t>RSK Real Estate Partners</t>
        </is>
      </c>
      <c r="C103" s="6" t="inlineStr">
        <is>
          <t>Regional Director of Construction</t>
        </is>
      </c>
      <c r="D103" s="7" t="inlineStr">
        <is>
          <t>One gap</t>
        </is>
      </c>
      <c r="E103" s="8" t="n">
        <v>2</v>
      </c>
      <c r="F103" s="6" t="inlineStr">
        <is>
          <t>Buys walls</t>
        </is>
      </c>
      <c r="G103" s="6" t="inlineStr">
        <is>
          <t>Chicago HQ / Katy, Harris</t>
        </is>
      </c>
      <c r="H103" s="6" t="inlineStr">
        <is>
          <t>366 build-to-rent units across two Katy projects</t>
        </is>
      </c>
      <c r="I103" s="8" t="inlineStr">
        <is>
          <t>Partly</t>
        </is>
      </c>
      <c r="J103" s="9" t="inlineStr">
        <is>
          <t>156 and 210 duplexes on two Katy sites.</t>
        </is>
      </c>
      <c r="K103" s="8" t="inlineStr">
        <is>
          <t>Partly</t>
        </is>
      </c>
      <c r="L103" s="9" t="inlineStr">
        <is>
          <t>No unit count published beyond the two projects.</t>
        </is>
      </c>
      <c r="M103" s="8" t="inlineStr">
        <is>
          <t>No</t>
        </is>
      </c>
      <c r="N103" s="9" t="inlineStr">
        <is>
          <t>No method evidence.</t>
        </is>
      </c>
      <c r="O103" s="10" t="inlineStr"/>
      <c r="P103" s="6" t="inlineStr"/>
      <c r="Q103" s="11">
        <f>IF(O103="","ADD LINKEDIN","ok")</f>
        <v/>
      </c>
      <c r="R103" s="6" t="inlineStr">
        <is>
          <t>https://rskrealestatepartners.com/</t>
        </is>
      </c>
      <c r="S103" s="9" t="inlineStr">
        <is>
          <t>Publishes three construction directors and a purchasing manager, but no unit count beyond its Katy projects.</t>
        </is>
      </c>
      <c r="T103" s="6" t="inlineStr"/>
      <c r="U103" s="9" t="inlineStr"/>
      <c r="V103" s="6" t="inlineStr">
        <is>
          <t>https://rskrealestatepartners.com/our-team/</t>
        </is>
      </c>
      <c r="W103" s="6" t="inlineStr">
        <is>
          <t>https://www.linkedin.com/company/rsk-real-estate-partners</t>
        </is>
      </c>
      <c r="X103" s="6" t="inlineStr">
        <is>
          <t>https://rskrealestatepartners.com/our-team/</t>
        </is>
      </c>
      <c r="Y103" s="6" t="inlineStr"/>
      <c r="Z103" s="6" t="inlineStr"/>
      <c r="AA103" s="6" t="inlineStr"/>
      <c r="AB103" s="6" t="inlineStr"/>
      <c r="AC103" s="6" t="inlineStr"/>
      <c r="AD103" s="6" t="inlineStr"/>
    </row>
    <row r="104">
      <c r="A104" s="12" t="inlineStr">
        <is>
          <t>Kevin Calderon</t>
        </is>
      </c>
      <c r="B104" s="12" t="inlineStr">
        <is>
          <t>RSK Real Estate Partners</t>
        </is>
      </c>
      <c r="C104" s="12" t="inlineStr">
        <is>
          <t>Purchasing Manager</t>
        </is>
      </c>
      <c r="D104" s="13" t="inlineStr">
        <is>
          <t>One gap</t>
        </is>
      </c>
      <c r="E104" s="14" t="n">
        <v>2</v>
      </c>
      <c r="F104" s="12" t="inlineStr">
        <is>
          <t>Buys walls</t>
        </is>
      </c>
      <c r="G104" s="12" t="inlineStr">
        <is>
          <t>Chicago HQ / Katy, Harris</t>
        </is>
      </c>
      <c r="H104" s="12" t="inlineStr">
        <is>
          <t>366 build-to-rent units across two Katy projects</t>
        </is>
      </c>
      <c r="I104" s="14" t="inlineStr">
        <is>
          <t>Partly</t>
        </is>
      </c>
      <c r="J104" s="15" t="inlineStr">
        <is>
          <t>156 and 210 duplexes on two Katy sites.</t>
        </is>
      </c>
      <c r="K104" s="14" t="inlineStr">
        <is>
          <t>Partly</t>
        </is>
      </c>
      <c r="L104" s="15" t="inlineStr">
        <is>
          <t>No unit count published beyond the two projects.</t>
        </is>
      </c>
      <c r="M104" s="14" t="inlineStr">
        <is>
          <t>No</t>
        </is>
      </c>
      <c r="N104" s="15" t="inlineStr">
        <is>
          <t>No method evidence.</t>
        </is>
      </c>
      <c r="O104" s="10" t="inlineStr"/>
      <c r="P104" s="12" t="inlineStr"/>
      <c r="Q104" s="16">
        <f>IF(O104="","ADD LINKEDIN","ok")</f>
        <v/>
      </c>
      <c r="R104" s="12" t="inlineStr">
        <is>
          <t>https://rskrealestatepartners.com/</t>
        </is>
      </c>
      <c r="S104" s="15" t="inlineStr">
        <is>
          <t>Publishes three construction directors and a purchasing manager, but no unit count beyond its Katy projects.</t>
        </is>
      </c>
      <c r="T104" s="12" t="inlineStr"/>
      <c r="U104" s="15" t="inlineStr"/>
      <c r="V104" s="12" t="inlineStr">
        <is>
          <t>https://rskrealestatepartners.com/our-team/</t>
        </is>
      </c>
      <c r="W104" s="12" t="inlineStr">
        <is>
          <t>https://www.linkedin.com/company/rsk-real-estate-partners</t>
        </is>
      </c>
      <c r="X104" s="12" t="inlineStr">
        <is>
          <t>https://rskrealestatepartners.com/our-team/</t>
        </is>
      </c>
      <c r="Y104" s="12" t="inlineStr"/>
      <c r="Z104" s="12" t="inlineStr"/>
      <c r="AA104" s="12" t="inlineStr"/>
      <c r="AB104" s="12" t="inlineStr"/>
      <c r="AC104" s="12" t="inlineStr"/>
      <c r="AD104" s="12" t="inlineStr"/>
    </row>
    <row r="105">
      <c r="A105" s="6" t="inlineStr">
        <is>
          <t>Stephen Najvar</t>
        </is>
      </c>
      <c r="B105" s="6" t="inlineStr">
        <is>
          <t>Ravenna Homes</t>
        </is>
      </c>
      <c r="C105" s="6" t="inlineStr">
        <is>
          <t>President</t>
        </is>
      </c>
      <c r="D105" s="7" t="inlineStr">
        <is>
          <t>One gap</t>
        </is>
      </c>
      <c r="E105" s="8" t="n">
        <v>2</v>
      </c>
      <c r="F105" s="6" t="inlineStr">
        <is>
          <t>Buys walls</t>
        </is>
      </c>
      <c r="G105" s="6" t="inlineStr">
        <is>
          <t>Cypress</t>
        </is>
      </c>
      <c r="H105" s="6" t="inlineStr">
        <is>
          <t>Seven communities, from the $500,000s</t>
        </is>
      </c>
      <c r="I105" s="8" t="inlineStr">
        <is>
          <t>Partly</t>
        </is>
      </c>
      <c r="J105" s="9" t="inlineStr">
        <is>
          <t>All seven sit in the north and northwest corridor.</t>
        </is>
      </c>
      <c r="K105" s="8" t="inlineStr">
        <is>
          <t>Partly</t>
        </is>
      </c>
      <c r="L105" s="9" t="inlineStr">
        <is>
          <t>No closings figure published. Homes from the $500,000s.</t>
        </is>
      </c>
      <c r="M105" s="8" t="inlineStr">
        <is>
          <t>No</t>
        </is>
      </c>
      <c r="N105" s="9" t="inlineStr">
        <is>
          <t>No method evidence beyond energy efficiency and smart home options.</t>
        </is>
      </c>
      <c r="O105" s="6" t="inlineStr">
        <is>
          <t>https://www.linkedin.com/in/stephennajvar/</t>
        </is>
      </c>
      <c r="P105" s="6" t="inlineStr"/>
      <c r="Q105" s="11">
        <f>IF(O105="","ADD LINKEDIN","ok")</f>
        <v/>
      </c>
      <c r="R105" s="6" t="inlineStr">
        <is>
          <t>https://ravennahomes.com/</t>
        </is>
      </c>
      <c r="S105" s="9" t="inlineStr">
        <is>
          <t>It sells semi-custom homes in the north and northwest corridor and publishes no closings figure.</t>
        </is>
      </c>
      <c r="T105" s="6" t="inlineStr"/>
      <c r="U105" s="9" t="inlineStr">
        <is>
          <t>Indexed title: President. 2013 release: co-founder with his brother Kenneth Najvar.</t>
        </is>
      </c>
      <c r="V105" s="6" t="inlineStr"/>
      <c r="W105" s="6" t="inlineStr"/>
      <c r="X105" s="6" t="inlineStr"/>
      <c r="Y105" s="6" t="inlineStr"/>
      <c r="Z105" s="6" t="inlineStr">
        <is>
          <t>(832) 653-3600</t>
        </is>
      </c>
      <c r="AA105" s="6" t="inlineStr"/>
      <c r="AB105" s="6" t="inlineStr">
        <is>
          <t>https://www.ravennahomes.com/</t>
        </is>
      </c>
      <c r="AC105" s="6" t="inlineStr"/>
      <c r="AD105" s="6" t="inlineStr"/>
    </row>
    <row r="106">
      <c r="A106" s="12" t="inlineStr">
        <is>
          <t>Klaus Keller</t>
        </is>
      </c>
      <c r="B106" s="12" t="inlineStr">
        <is>
          <t>Sueba USA Corporation</t>
        </is>
      </c>
      <c r="C106" s="12" t="inlineStr">
        <is>
          <t>President and Chief Executive Officer</t>
        </is>
      </c>
      <c r="D106" s="13" t="inlineStr">
        <is>
          <t>One gap</t>
        </is>
      </c>
      <c r="E106" s="14" t="n">
        <v>2</v>
      </c>
      <c r="F106" s="12" t="inlineStr">
        <is>
          <t>Buys walls</t>
        </is>
      </c>
      <c r="G106" s="12" t="inlineStr">
        <is>
          <t>Houston HQ / Fort Bend</t>
        </is>
      </c>
      <c r="H106" s="12" t="inlineStr">
        <is>
          <t>346 units, in-house architect and GC</t>
        </is>
      </c>
      <c r="I106" s="14" t="inlineStr">
        <is>
          <t>Partly</t>
        </is>
      </c>
      <c r="J106" s="15" t="inlineStr">
        <is>
          <t>346 units on one site.</t>
        </is>
      </c>
      <c r="K106" s="14" t="inlineStr">
        <is>
          <t>Partly</t>
        </is>
      </c>
      <c r="L106" s="15" t="inlineStr">
        <is>
          <t>346 units on one site. No yearly figure published.</t>
        </is>
      </c>
      <c r="M106" s="14" t="inlineStr">
        <is>
          <t>No</t>
        </is>
      </c>
      <c r="N106" s="15" t="inlineStr">
        <is>
          <t>No new building method on record.</t>
        </is>
      </c>
      <c r="O106" s="6" t="inlineStr">
        <is>
          <t>https://www.linkedin.com/in/klaus-keller-56151334/</t>
        </is>
      </c>
      <c r="P106" s="12" t="inlineStr"/>
      <c r="Q106" s="16">
        <f>IF(O106="","ADD LINKEDIN","ok")</f>
        <v/>
      </c>
      <c r="R106" s="12" t="inlineStr">
        <is>
          <t>https://suebausa.com/</t>
        </is>
      </c>
      <c r="S106" s="15" t="inlineStr">
        <is>
          <t>Its own affiliates served as architect and general contractor, but it publishes no yearly figure.</t>
        </is>
      </c>
      <c r="T106" s="12" t="inlineStr"/>
      <c r="U106" s="15" t="inlineStr">
        <is>
          <t>President at Sueba USA Corporation. Houston, Texas.</t>
        </is>
      </c>
      <c r="V106" s="12" t="inlineStr"/>
      <c r="W106" s="12" t="inlineStr">
        <is>
          <t>https://www.linkedin.com/company/sueba-usa-corporation</t>
        </is>
      </c>
      <c r="X106" s="12" t="inlineStr">
        <is>
          <t>https://suebausa.com/about-us/</t>
        </is>
      </c>
      <c r="Y106" s="12" t="inlineStr"/>
      <c r="Z106" s="12" t="inlineStr">
        <is>
          <t>(713) 961-3588</t>
        </is>
      </c>
      <c r="AA106" s="12" t="inlineStr"/>
      <c r="AB106" s="12" t="inlineStr">
        <is>
          <t>https://suebausa.com/</t>
        </is>
      </c>
      <c r="AC106" s="12" t="inlineStr"/>
      <c r="AD106" s="12" t="inlineStr"/>
    </row>
    <row r="107">
      <c r="A107" s="6" t="inlineStr">
        <is>
          <t>John Chiang</t>
        </is>
      </c>
      <c r="B107" s="6" t="inlineStr">
        <is>
          <t>Sueba USA Corporation</t>
        </is>
      </c>
      <c r="C107" s="6" t="inlineStr">
        <is>
          <t>Executive Vice President and Chief Operating Officer</t>
        </is>
      </c>
      <c r="D107" s="7" t="inlineStr">
        <is>
          <t>One gap</t>
        </is>
      </c>
      <c r="E107" s="8" t="n">
        <v>2</v>
      </c>
      <c r="F107" s="6" t="inlineStr">
        <is>
          <t>Buys walls</t>
        </is>
      </c>
      <c r="G107" s="6" t="inlineStr">
        <is>
          <t>Houston HQ / Fort Bend</t>
        </is>
      </c>
      <c r="H107" s="6" t="inlineStr">
        <is>
          <t>346 units, in-house architect and GC</t>
        </is>
      </c>
      <c r="I107" s="8" t="inlineStr">
        <is>
          <t>Partly</t>
        </is>
      </c>
      <c r="J107" s="9" t="inlineStr">
        <is>
          <t>346 units on one site.</t>
        </is>
      </c>
      <c r="K107" s="8" t="inlineStr">
        <is>
          <t>Partly</t>
        </is>
      </c>
      <c r="L107" s="9" t="inlineStr">
        <is>
          <t>346 units on one site. No yearly figure published.</t>
        </is>
      </c>
      <c r="M107" s="8" t="inlineStr">
        <is>
          <t>No</t>
        </is>
      </c>
      <c r="N107" s="9" t="inlineStr">
        <is>
          <t>No new building method on record.</t>
        </is>
      </c>
      <c r="O107" s="10" t="inlineStr"/>
      <c r="P107" s="6">
        <f>HYPERLINK("https://www.linkedin.com/search/results/people/?keywords=John%20Chiang%20Sueba%20USA%20Corporation","search")</f>
        <v/>
      </c>
      <c r="Q107" s="11">
        <f>IF(O107="","ADD LINKEDIN","ok")</f>
        <v/>
      </c>
      <c r="R107" s="6" t="inlineStr">
        <is>
          <t>https://suebausa.com/</t>
        </is>
      </c>
      <c r="S107" s="9" t="inlineStr">
        <is>
          <t>Its own affiliates served as architect and general contractor, but it publishes no yearly figure.</t>
        </is>
      </c>
      <c r="T107" s="6" t="inlineStr"/>
      <c r="U107" s="9" t="inlineStr"/>
      <c r="V107" s="6" t="inlineStr">
        <is>
          <t>https://suebausa.com/about-us/</t>
        </is>
      </c>
      <c r="W107" s="6" t="inlineStr">
        <is>
          <t>https://www.linkedin.com/company/sueba-usa-corporation</t>
        </is>
      </c>
      <c r="X107" s="6" t="inlineStr">
        <is>
          <t>https://suebausa.com/about-us/</t>
        </is>
      </c>
      <c r="Y107" s="6" t="inlineStr"/>
      <c r="Z107" s="6" t="inlineStr">
        <is>
          <t>(713) 961-3588</t>
        </is>
      </c>
      <c r="AA107" s="6" t="inlineStr"/>
      <c r="AB107" s="6" t="inlineStr">
        <is>
          <t>https://suebausa.com/</t>
        </is>
      </c>
      <c r="AC107" s="6" t="inlineStr"/>
      <c r="AD107" s="6" t="inlineStr"/>
    </row>
    <row r="108">
      <c r="A108" s="12" t="inlineStr">
        <is>
          <t>Raymond Gabriele</t>
        </is>
      </c>
      <c r="B108" s="12" t="inlineStr">
        <is>
          <t>Sueba USA Corporation</t>
        </is>
      </c>
      <c r="C108" s="12" t="inlineStr">
        <is>
          <t>Vice President, Development</t>
        </is>
      </c>
      <c r="D108" s="13" t="inlineStr">
        <is>
          <t>One gap</t>
        </is>
      </c>
      <c r="E108" s="14" t="n">
        <v>2</v>
      </c>
      <c r="F108" s="12" t="inlineStr">
        <is>
          <t>Buys walls</t>
        </is>
      </c>
      <c r="G108" s="12" t="inlineStr">
        <is>
          <t>Houston HQ / Fort Bend</t>
        </is>
      </c>
      <c r="H108" s="12" t="inlineStr">
        <is>
          <t>346 units, in-house architect and GC</t>
        </is>
      </c>
      <c r="I108" s="14" t="inlineStr">
        <is>
          <t>Partly</t>
        </is>
      </c>
      <c r="J108" s="15" t="inlineStr">
        <is>
          <t>346 units on one site.</t>
        </is>
      </c>
      <c r="K108" s="14" t="inlineStr">
        <is>
          <t>Partly</t>
        </is>
      </c>
      <c r="L108" s="15" t="inlineStr">
        <is>
          <t>346 units on one site. No yearly figure published.</t>
        </is>
      </c>
      <c r="M108" s="14" t="inlineStr">
        <is>
          <t>No</t>
        </is>
      </c>
      <c r="N108" s="15" t="inlineStr">
        <is>
          <t>No new building method on record.</t>
        </is>
      </c>
      <c r="O108" s="6" t="inlineStr">
        <is>
          <t>https://www.linkedin.com/in/raygabriele/</t>
        </is>
      </c>
      <c r="P108" s="12" t="inlineStr"/>
      <c r="Q108" s="16">
        <f>IF(O108="","ADD LINKEDIN","ok")</f>
        <v/>
      </c>
      <c r="R108" s="12" t="inlineStr">
        <is>
          <t>https://suebausa.com/</t>
        </is>
      </c>
      <c r="S108" s="15" t="inlineStr">
        <is>
          <t>Its own affiliates served as architect and general contractor, but it publishes no yearly figure.</t>
        </is>
      </c>
      <c r="T108" s="12" t="inlineStr"/>
      <c r="U108" s="15" t="inlineStr">
        <is>
          <t>Real Estate Development, Sueba USA Corporation. Houston, Texas. Listed AIA.</t>
        </is>
      </c>
      <c r="V108" s="12" t="inlineStr"/>
      <c r="W108" s="12" t="inlineStr">
        <is>
          <t>https://www.linkedin.com/company/sueba-usa-corporation</t>
        </is>
      </c>
      <c r="X108" s="12" t="inlineStr">
        <is>
          <t>https://suebausa.com/about-us/</t>
        </is>
      </c>
      <c r="Y108" s="12" t="inlineStr"/>
      <c r="Z108" s="12" t="inlineStr">
        <is>
          <t>(713) 961-3588</t>
        </is>
      </c>
      <c r="AA108" s="12" t="inlineStr"/>
      <c r="AB108" s="12" t="inlineStr">
        <is>
          <t>https://suebausa.com/</t>
        </is>
      </c>
      <c r="AC108" s="12" t="inlineStr"/>
      <c r="AD108" s="12" t="inlineStr"/>
    </row>
    <row r="109">
      <c r="A109" s="6" t="inlineStr">
        <is>
          <t>Dean Shultis</t>
        </is>
      </c>
      <c r="B109" s="6" t="inlineStr">
        <is>
          <t>DSRS Steel</t>
        </is>
      </c>
      <c r="C109" s="6" t="inlineStr">
        <is>
          <t>Co-founder</t>
        </is>
      </c>
      <c r="D109" s="7" t="inlineStr">
        <is>
          <t>Builds the wall, not the house</t>
        </is>
      </c>
      <c r="E109" s="8" t="n">
        <v>3</v>
      </c>
      <c r="F109" s="6" t="inlineStr">
        <is>
          <t>Builds the wall</t>
        </is>
      </c>
      <c r="G109" s="6" t="inlineStr">
        <is>
          <t>Houston, Pleasantville Drive, plus San Antonio and Central Texas</t>
        </is>
      </c>
      <c r="H109" s="6" t="inlineStr">
        <is>
          <t>A 150-home development on cold-formed steel</t>
        </is>
      </c>
      <c r="I109" s="8" t="inlineStr">
        <is>
          <t>Yes</t>
        </is>
      </c>
      <c r="J109" s="9" t="inlineStr">
        <is>
          <t>A manufactured wall system installed repeatedly in one metro, subdivisions and custom work.</t>
        </is>
      </c>
      <c r="K109" s="8" t="inlineStr">
        <is>
          <t>Yes</t>
        </is>
      </c>
      <c r="L109" s="9" t="inlineStr">
        <is>
          <t>Self-performs subdivision framing. One or two machines would cover a real share of it.</t>
        </is>
      </c>
      <c r="M109" s="8" t="inlineStr">
        <is>
          <t>Yes</t>
        </is>
      </c>
      <c r="N109" s="9" t="inlineStr">
        <is>
          <t>Replaces site-framed wood with a manufactured system. Carries engineering and fabrication in house.</t>
        </is>
      </c>
      <c r="O109" s="10" t="inlineStr"/>
      <c r="P109" s="6" t="inlineStr"/>
      <c r="Q109" s="11">
        <f>IF(O109="","ADD LINKEDIN","ok")</f>
        <v/>
      </c>
      <c r="R109" s="6" t="inlineStr">
        <is>
          <t>https://dsrssteel.com/</t>
        </is>
      </c>
      <c r="S109" s="9" t="inlineStr">
        <is>
          <t>Already replaced site-framed wood with a manufactured steel system on a Houston subdivision, and self-performs the framing.</t>
        </is>
      </c>
      <c r="T109" s="6" t="inlineStr">
        <is>
          <t>YES</t>
        </is>
      </c>
      <c r="U109" s="9" t="inlineStr">
        <is>
          <t>Steel firm footer email: dshultis@dsrssteel.com. DSRS is the two surnames.</t>
        </is>
      </c>
      <c r="V109" s="6" t="inlineStr">
        <is>
          <t>https://www.mccannpark.com/about</t>
        </is>
      </c>
      <c r="W109" s="6" t="inlineStr"/>
      <c r="X109" s="6" t="inlineStr"/>
      <c r="Y109" s="6" t="inlineStr"/>
      <c r="Z109" s="6" t="inlineStr">
        <is>
          <t>(512) 964-9960</t>
        </is>
      </c>
      <c r="AA109" s="6" t="inlineStr">
        <is>
          <t>the only number published</t>
        </is>
      </c>
      <c r="AB109" s="6" t="inlineStr">
        <is>
          <t>https://dsrssteel.com/</t>
        </is>
      </c>
      <c r="AC109" s="6" t="inlineStr"/>
      <c r="AD109" s="6" t="inlineStr"/>
    </row>
    <row r="110">
      <c r="A110" s="12" t="inlineStr">
        <is>
          <t>Ralph Sharp</t>
        </is>
      </c>
      <c r="B110" s="12" t="inlineStr">
        <is>
          <t>DSRS Steel</t>
        </is>
      </c>
      <c r="C110" s="12" t="inlineStr">
        <is>
          <t>Co-founder</t>
        </is>
      </c>
      <c r="D110" s="13" t="inlineStr">
        <is>
          <t>Builds the wall, not the house</t>
        </is>
      </c>
      <c r="E110" s="14" t="n">
        <v>3</v>
      </c>
      <c r="F110" s="12" t="inlineStr">
        <is>
          <t>Builds the wall</t>
        </is>
      </c>
      <c r="G110" s="12" t="inlineStr">
        <is>
          <t>Houston, Pleasantville Drive, plus San Antonio and Central Texas</t>
        </is>
      </c>
      <c r="H110" s="12" t="inlineStr">
        <is>
          <t>A 150-home development on cold-formed steel</t>
        </is>
      </c>
      <c r="I110" s="14" t="inlineStr">
        <is>
          <t>Yes</t>
        </is>
      </c>
      <c r="J110" s="15" t="inlineStr">
        <is>
          <t>A manufactured wall system installed repeatedly in one metro, subdivisions and custom work.</t>
        </is>
      </c>
      <c r="K110" s="14" t="inlineStr">
        <is>
          <t>Yes</t>
        </is>
      </c>
      <c r="L110" s="15" t="inlineStr">
        <is>
          <t>Self-performs subdivision framing. One or two machines would cover a real share of it.</t>
        </is>
      </c>
      <c r="M110" s="14" t="inlineStr">
        <is>
          <t>Yes</t>
        </is>
      </c>
      <c r="N110" s="15" t="inlineStr">
        <is>
          <t>Replaces site-framed wood with a manufactured system. Carries engineering and fabrication in house.</t>
        </is>
      </c>
      <c r="O110" s="10" t="inlineStr"/>
      <c r="P110" s="12" t="inlineStr"/>
      <c r="Q110" s="16">
        <f>IF(O110="","ADD LINKEDIN","ok")</f>
        <v/>
      </c>
      <c r="R110" s="12" t="inlineStr">
        <is>
          <t>https://dsrssteel.com/</t>
        </is>
      </c>
      <c r="S110" s="15" t="inlineStr">
        <is>
          <t>Already replaced site-framed wood with a manufactured steel system on a Houston subdivision, and self-performs the framing.</t>
        </is>
      </c>
      <c r="T110" s="12" t="inlineStr"/>
      <c r="U110" s="15" t="inlineStr">
        <is>
          <t>Named co-founder on the same page.</t>
        </is>
      </c>
      <c r="V110" s="12" t="inlineStr">
        <is>
          <t>https://www.mccannpark.com/about</t>
        </is>
      </c>
      <c r="W110" s="12" t="inlineStr"/>
      <c r="X110" s="12" t="inlineStr"/>
      <c r="Y110" s="12" t="inlineStr"/>
      <c r="Z110" s="12" t="inlineStr">
        <is>
          <t>(512) 964-9960</t>
        </is>
      </c>
      <c r="AA110" s="12" t="inlineStr">
        <is>
          <t>the only number published</t>
        </is>
      </c>
      <c r="AB110" s="12" t="inlineStr">
        <is>
          <t>https://dsrssteel.com/</t>
        </is>
      </c>
      <c r="AC110" s="12" t="inlineStr"/>
      <c r="AD110" s="12" t="inlineStr"/>
    </row>
    <row r="111">
      <c r="A111" s="6" t="inlineStr">
        <is>
          <t>Shane McCullough</t>
        </is>
      </c>
      <c r="B111" s="6" t="inlineStr">
        <is>
          <t>Future Frame USA</t>
        </is>
      </c>
      <c r="C111" s="6" t="inlineStr">
        <is>
          <t>President</t>
        </is>
      </c>
      <c r="D111" s="7" t="inlineStr">
        <is>
          <t>Builds the wall, not the house</t>
        </is>
      </c>
      <c r="E111" s="8" t="n">
        <v>3</v>
      </c>
      <c r="F111" s="6" t="inlineStr">
        <is>
          <t>Builds the wall</t>
        </is>
      </c>
      <c r="G111" s="6" t="inlineStr">
        <is>
          <t>New Caney plant, Conroe office, Montgomery County</t>
        </is>
      </c>
      <c r="H111" s="6" t="inlineStr">
        <is>
          <t>Automated wall panel line, 17,000 square feet</t>
        </is>
      </c>
      <c r="I111" s="8" t="inlineStr">
        <is>
          <t>Yes</t>
        </is>
      </c>
      <c r="J111" s="9" t="inlineStr">
        <is>
          <t>Repeat panels from one plant for one metro.</t>
        </is>
      </c>
      <c r="K111" s="8" t="inlineStr">
        <is>
          <t>Partly</t>
        </is>
      </c>
      <c r="L111" s="9" t="inlineStr">
        <is>
          <t>One 17,000 square foot plant serving Texas production builders. No output figure published.</t>
        </is>
      </c>
      <c r="M111" s="8" t="inlineStr">
        <is>
          <t>Yes</t>
        </is>
      </c>
      <c r="N111" s="9" t="inlineStr">
        <is>
          <t>Converted one plant to automated CNC panel production. Sells that method against stick framing.</t>
        </is>
      </c>
      <c r="O111" s="10" t="inlineStr"/>
      <c r="P111" s="6" t="inlineStr"/>
      <c r="Q111" s="11">
        <f>IF(O111="","ADD LINKEDIN","ok")</f>
        <v/>
      </c>
      <c r="R111" s="6" t="inlineStr">
        <is>
          <t>https://futureframeusa.com/</t>
        </is>
      </c>
      <c r="S111" s="9" t="inlineStr">
        <is>
          <t>It sells wall panels from an automated plant to Houston production builders against stick framing, but publishes no output figure.</t>
        </is>
      </c>
      <c r="T111" s="6" t="inlineStr">
        <is>
          <t>YES</t>
        </is>
      </c>
      <c r="U111" s="9" t="inlineStr">
        <is>
          <t>Team page. Top officer.</t>
        </is>
      </c>
      <c r="V111" s="6" t="inlineStr">
        <is>
          <t>https://futureframeusa.com/meet-our-team/</t>
        </is>
      </c>
      <c r="W111" s="6" t="inlineStr"/>
      <c r="X111" s="6" t="inlineStr"/>
      <c r="Y111" s="6" t="inlineStr"/>
      <c r="Z111" s="6" t="inlineStr">
        <is>
          <t>(281) 231-9200</t>
        </is>
      </c>
      <c r="AA111" s="6" t="inlineStr">
        <is>
          <t>Conroe office</t>
        </is>
      </c>
      <c r="AB111" s="6" t="inlineStr">
        <is>
          <t>https://futureframeusa.com/contact/</t>
        </is>
      </c>
      <c r="AC111" s="6" t="inlineStr"/>
      <c r="AD111" s="6" t="inlineStr"/>
    </row>
    <row r="112">
      <c r="A112" s="12" t="inlineStr">
        <is>
          <t>Glen Gilbert</t>
        </is>
      </c>
      <c r="B112" s="12" t="inlineStr">
        <is>
          <t>Future Frame USA</t>
        </is>
      </c>
      <c r="C112" s="12" t="inlineStr">
        <is>
          <t>General Manager</t>
        </is>
      </c>
      <c r="D112" s="13" t="inlineStr">
        <is>
          <t>Builds the wall, not the house</t>
        </is>
      </c>
      <c r="E112" s="14" t="n">
        <v>3</v>
      </c>
      <c r="F112" s="12" t="inlineStr">
        <is>
          <t>Builds the wall</t>
        </is>
      </c>
      <c r="G112" s="12" t="inlineStr">
        <is>
          <t>New Caney plant, Conroe office, Montgomery County</t>
        </is>
      </c>
      <c r="H112" s="12" t="inlineStr">
        <is>
          <t>Automated wall panel line, 17,000 square feet</t>
        </is>
      </c>
      <c r="I112" s="14" t="inlineStr">
        <is>
          <t>Yes</t>
        </is>
      </c>
      <c r="J112" s="15" t="inlineStr">
        <is>
          <t>Repeat panels from one plant for one metro.</t>
        </is>
      </c>
      <c r="K112" s="14" t="inlineStr">
        <is>
          <t>Partly</t>
        </is>
      </c>
      <c r="L112" s="15" t="inlineStr">
        <is>
          <t>One 17,000 square foot plant serving Texas production builders. No output figure published.</t>
        </is>
      </c>
      <c r="M112" s="14" t="inlineStr">
        <is>
          <t>Yes</t>
        </is>
      </c>
      <c r="N112" s="15" t="inlineStr">
        <is>
          <t>Converted one plant to automated CNC panel production. Sells that method against stick framing.</t>
        </is>
      </c>
      <c r="O112" s="10" t="inlineStr"/>
      <c r="P112" s="12" t="inlineStr"/>
      <c r="Q112" s="16">
        <f>IF(O112="","ADD LINKEDIN","ok")</f>
        <v/>
      </c>
      <c r="R112" s="12" t="inlineStr">
        <is>
          <t>https://futureframeusa.com/</t>
        </is>
      </c>
      <c r="S112" s="15" t="inlineStr">
        <is>
          <t>It sells wall panels from an automated plant to Houston production builders against stick framing, but publishes no output figure.</t>
        </is>
      </c>
      <c r="T112" s="12" t="inlineStr">
        <is>
          <t>YES</t>
        </is>
      </c>
      <c r="U112" s="15" t="inlineStr">
        <is>
          <t>Team page. Runs the New Caney plant.</t>
        </is>
      </c>
      <c r="V112" s="12" t="inlineStr">
        <is>
          <t>https://futureframeusa.com/meet-our-team/</t>
        </is>
      </c>
      <c r="W112" s="12" t="inlineStr"/>
      <c r="X112" s="12" t="inlineStr"/>
      <c r="Y112" s="12" t="inlineStr"/>
      <c r="Z112" s="12" t="inlineStr">
        <is>
          <t>(281) 231-9200</t>
        </is>
      </c>
      <c r="AA112" s="12" t="inlineStr">
        <is>
          <t>Conroe office</t>
        </is>
      </c>
      <c r="AB112" s="12" t="inlineStr">
        <is>
          <t>https://futureframeusa.com/contact/</t>
        </is>
      </c>
      <c r="AC112" s="12" t="inlineStr"/>
      <c r="AD112" s="12" t="inlineStr"/>
    </row>
    <row r="113">
      <c r="A113" s="6" t="inlineStr">
        <is>
          <t>Brent Wheat</t>
        </is>
      </c>
      <c r="B113" s="6" t="inlineStr">
        <is>
          <t>Future Frame USA</t>
        </is>
      </c>
      <c r="C113" s="6" t="inlineStr">
        <is>
          <t>Design Manager</t>
        </is>
      </c>
      <c r="D113" s="7" t="inlineStr">
        <is>
          <t>Builds the wall, not the house</t>
        </is>
      </c>
      <c r="E113" s="8" t="n">
        <v>3</v>
      </c>
      <c r="F113" s="6" t="inlineStr">
        <is>
          <t>Builds the wall</t>
        </is>
      </c>
      <c r="G113" s="6" t="inlineStr">
        <is>
          <t>New Caney plant, Conroe office, Montgomery County</t>
        </is>
      </c>
      <c r="H113" s="6" t="inlineStr">
        <is>
          <t>Automated wall panel line, 17,000 square feet</t>
        </is>
      </c>
      <c r="I113" s="8" t="inlineStr">
        <is>
          <t>Yes</t>
        </is>
      </c>
      <c r="J113" s="9" t="inlineStr">
        <is>
          <t>Repeat panels from one plant for one metro.</t>
        </is>
      </c>
      <c r="K113" s="8" t="inlineStr">
        <is>
          <t>Partly</t>
        </is>
      </c>
      <c r="L113" s="9" t="inlineStr">
        <is>
          <t>One 17,000 square foot plant serving Texas production builders. No output figure published.</t>
        </is>
      </c>
      <c r="M113" s="8" t="inlineStr">
        <is>
          <t>Yes</t>
        </is>
      </c>
      <c r="N113" s="9" t="inlineStr">
        <is>
          <t>Converted one plant to automated CNC panel production. Sells that method against stick framing.</t>
        </is>
      </c>
      <c r="O113" s="10" t="inlineStr"/>
      <c r="P113" s="6" t="inlineStr"/>
      <c r="Q113" s="11">
        <f>IF(O113="","ADD LINKEDIN","ok")</f>
        <v/>
      </c>
      <c r="R113" s="6" t="inlineStr">
        <is>
          <t>https://futureframeusa.com/</t>
        </is>
      </c>
      <c r="S113" s="9" t="inlineStr">
        <is>
          <t>It sells wall panels from an automated plant to Houston production builders against stick framing, but publishes no output figure.</t>
        </is>
      </c>
      <c r="T113" s="6" t="inlineStr"/>
      <c r="U113" s="9" t="inlineStr"/>
      <c r="V113" s="6" t="inlineStr">
        <is>
          <t>https://futureframeusa.com/meet-our-team/</t>
        </is>
      </c>
      <c r="W113" s="6" t="inlineStr"/>
      <c r="X113" s="6" t="inlineStr"/>
      <c r="Y113" s="6" t="inlineStr"/>
      <c r="Z113" s="6" t="inlineStr">
        <is>
          <t>(281) 231-9200</t>
        </is>
      </c>
      <c r="AA113" s="6" t="inlineStr">
        <is>
          <t>Conroe office</t>
        </is>
      </c>
      <c r="AB113" s="6" t="inlineStr">
        <is>
          <t>https://futureframeusa.com/contact/</t>
        </is>
      </c>
      <c r="AC113" s="6" t="inlineStr"/>
      <c r="AD113" s="6" t="inlineStr"/>
    </row>
    <row r="114">
      <c r="A114" s="12" t="inlineStr">
        <is>
          <t>Larry Howard</t>
        </is>
      </c>
      <c r="B114" s="12" t="inlineStr">
        <is>
          <t>Future Frame USA</t>
        </is>
      </c>
      <c r="C114" s="12" t="inlineStr">
        <is>
          <t>Senior Account Manager</t>
        </is>
      </c>
      <c r="D114" s="13" t="inlineStr">
        <is>
          <t>Builds the wall, not the house</t>
        </is>
      </c>
      <c r="E114" s="14" t="n">
        <v>3</v>
      </c>
      <c r="F114" s="12" t="inlineStr">
        <is>
          <t>Builds the wall</t>
        </is>
      </c>
      <c r="G114" s="12" t="inlineStr">
        <is>
          <t>New Caney plant, Conroe office, Montgomery County</t>
        </is>
      </c>
      <c r="H114" s="12" t="inlineStr">
        <is>
          <t>Automated wall panel line, 17,000 square feet</t>
        </is>
      </c>
      <c r="I114" s="14" t="inlineStr">
        <is>
          <t>Yes</t>
        </is>
      </c>
      <c r="J114" s="15" t="inlineStr">
        <is>
          <t>Repeat panels from one plant for one metro.</t>
        </is>
      </c>
      <c r="K114" s="14" t="inlineStr">
        <is>
          <t>Partly</t>
        </is>
      </c>
      <c r="L114" s="15" t="inlineStr">
        <is>
          <t>One 17,000 square foot plant serving Texas production builders. No output figure published.</t>
        </is>
      </c>
      <c r="M114" s="14" t="inlineStr">
        <is>
          <t>Yes</t>
        </is>
      </c>
      <c r="N114" s="15" t="inlineStr">
        <is>
          <t>Converted one plant to automated CNC panel production. Sells that method against stick framing.</t>
        </is>
      </c>
      <c r="O114" s="6" t="inlineStr">
        <is>
          <t>https://www.linkedin.com/in/larry-howard-ab995b92/</t>
        </is>
      </c>
      <c r="P114" s="12" t="inlineStr"/>
      <c r="Q114" s="16">
        <f>IF(O114="","ADD LINKEDIN","ok")</f>
        <v/>
      </c>
      <c r="R114" s="12" t="inlineStr">
        <is>
          <t>https://futureframeusa.com/</t>
        </is>
      </c>
      <c r="S114" s="15" t="inlineStr">
        <is>
          <t>It sells wall panels from an automated plant to Houston production builders against stick framing, but publishes no output figure.</t>
        </is>
      </c>
      <c r="T114" s="12" t="inlineStr"/>
      <c r="U114" s="15" t="inlineStr">
        <is>
          <t>Profile headline says general manager. One of the two titles is out of date.</t>
        </is>
      </c>
      <c r="V114" s="12" t="inlineStr"/>
      <c r="W114" s="12" t="inlineStr"/>
      <c r="X114" s="12" t="inlineStr"/>
      <c r="Y114" s="12" t="inlineStr"/>
      <c r="Z114" s="12" t="inlineStr">
        <is>
          <t>(281) 231-9200</t>
        </is>
      </c>
      <c r="AA114" s="12" t="inlineStr">
        <is>
          <t>Conroe office</t>
        </is>
      </c>
      <c r="AB114" s="12" t="inlineStr">
        <is>
          <t>https://futureframeusa.com/contact/</t>
        </is>
      </c>
      <c r="AC114" s="12" t="inlineStr"/>
      <c r="AD114" s="12" t="inlineStr"/>
    </row>
    <row r="115">
      <c r="A115" s="6" t="inlineStr">
        <is>
          <t>Asher Kazmann, P.E.</t>
        </is>
      </c>
      <c r="B115" s="6" t="inlineStr">
        <is>
          <t>Locke Solutions</t>
        </is>
      </c>
      <c r="C115" s="6" t="inlineStr">
        <is>
          <t>President</t>
        </is>
      </c>
      <c r="D115" s="7" t="inlineStr">
        <is>
          <t>Builds the wall, not the house</t>
        </is>
      </c>
      <c r="E115" s="8" t="n">
        <v>3</v>
      </c>
      <c r="F115" s="6" t="inlineStr">
        <is>
          <t>Builds the wall</t>
        </is>
      </c>
      <c r="G115" s="6" t="inlineStr">
        <is>
          <t>Houston, Almeda Genoa Road, with a second plant in Alvarado</t>
        </is>
      </c>
      <c r="H115" s="6" t="inlineStr">
        <is>
          <t>41,750 square foot plant, four 50-ton bridge cranes</t>
        </is>
      </c>
      <c r="I115" s="8" t="inlineStr">
        <is>
          <t>Yes</t>
        </is>
      </c>
      <c r="J115" s="9" t="inlineStr">
        <is>
          <t>Repeat custom precast from one plant.</t>
        </is>
      </c>
      <c r="K115" s="8" t="inlineStr">
        <is>
          <t>Partly</t>
        </is>
      </c>
      <c r="L115" s="9" t="inlineStr">
        <is>
          <t>A printer would be one added line. Products are utility structures.</t>
        </is>
      </c>
      <c r="M115" s="8" t="inlineStr">
        <is>
          <t>Yes</t>
        </is>
      </c>
      <c r="N115" s="9" t="inlineStr">
        <is>
          <t>Stands up production at the point of use.</t>
        </is>
      </c>
      <c r="O115" s="6" t="inlineStr">
        <is>
          <t>https://www.linkedin.com/in/asherkazmann/</t>
        </is>
      </c>
      <c r="P115" s="6" t="inlineStr"/>
      <c r="Q115" s="11">
        <f>IF(O115="","ADD LINKEDIN","ok")</f>
        <v/>
      </c>
      <c r="R115" s="6" t="inlineStr">
        <is>
          <t>https://lockesolutions.com/</t>
        </is>
      </c>
      <c r="S115" s="9" t="inlineStr">
        <is>
          <t>It already makes precast at the customer's own premises or jobsite, but its products are utility structures.</t>
        </is>
      </c>
      <c r="T115" s="6" t="inlineStr">
        <is>
          <t>YES</t>
        </is>
      </c>
      <c r="U115" s="9" t="inlineStr">
        <is>
          <t>Leadership page. Houston Business Journal Most Admired CEO honoree, 10 September 2025.</t>
        </is>
      </c>
      <c r="V115" s="6" t="inlineStr"/>
      <c r="W115" s="6" t="inlineStr"/>
      <c r="X115" s="6" t="inlineStr"/>
      <c r="Y115" s="6" t="inlineStr"/>
      <c r="Z115" s="6" t="inlineStr">
        <is>
          <t>(832) 804-7062</t>
        </is>
      </c>
      <c r="AA115" s="6" t="inlineStr">
        <is>
          <t>the only number published</t>
        </is>
      </c>
      <c r="AB115" s="6" t="inlineStr">
        <is>
          <t>https://lockesolutions.com/contact-us/</t>
        </is>
      </c>
      <c r="AC115" s="6" t="inlineStr"/>
      <c r="AD115" s="6" t="inlineStr"/>
    </row>
    <row r="116">
      <c r="A116" s="12" t="inlineStr">
        <is>
          <t>Ivan Garcia</t>
        </is>
      </c>
      <c r="B116" s="12" t="inlineStr">
        <is>
          <t>Locke Solutions</t>
        </is>
      </c>
      <c r="C116" s="12" t="inlineStr">
        <is>
          <t>Chief Financial Officer</t>
        </is>
      </c>
      <c r="D116" s="13" t="inlineStr">
        <is>
          <t>Builds the wall, not the house</t>
        </is>
      </c>
      <c r="E116" s="14" t="n">
        <v>3</v>
      </c>
      <c r="F116" s="12" t="inlineStr">
        <is>
          <t>Builds the wall</t>
        </is>
      </c>
      <c r="G116" s="12" t="inlineStr">
        <is>
          <t>Houston, Almeda Genoa Road, with a second plant in Alvarado</t>
        </is>
      </c>
      <c r="H116" s="12" t="inlineStr">
        <is>
          <t>41,750 square foot plant, four 50-ton bridge cranes</t>
        </is>
      </c>
      <c r="I116" s="14" t="inlineStr">
        <is>
          <t>Yes</t>
        </is>
      </c>
      <c r="J116" s="15" t="inlineStr">
        <is>
          <t>Repeat custom precast from one plant.</t>
        </is>
      </c>
      <c r="K116" s="14" t="inlineStr">
        <is>
          <t>Partly</t>
        </is>
      </c>
      <c r="L116" s="15" t="inlineStr">
        <is>
          <t>A printer would be one added line. Products are utility structures.</t>
        </is>
      </c>
      <c r="M116" s="14" t="inlineStr">
        <is>
          <t>Yes</t>
        </is>
      </c>
      <c r="N116" s="15" t="inlineStr">
        <is>
          <t>Stands up production at the point of use.</t>
        </is>
      </c>
      <c r="O116" s="10" t="inlineStr"/>
      <c r="P116" s="12" t="inlineStr"/>
      <c r="Q116" s="16">
        <f>IF(O116="","ADD LINKEDIN","ok")</f>
        <v/>
      </c>
      <c r="R116" s="12" t="inlineStr">
        <is>
          <t>https://lockesolutions.com/</t>
        </is>
      </c>
      <c r="S116" s="15" t="inlineStr">
        <is>
          <t>It already makes precast at the customer's own premises or jobsite, but its products are utility structures.</t>
        </is>
      </c>
      <c r="T116" s="12" t="inlineStr"/>
      <c r="U116" s="15" t="inlineStr">
        <is>
          <t>Leadership page.</t>
        </is>
      </c>
      <c r="V116" s="12" t="inlineStr">
        <is>
          <t>https://lockesolutions.com/people/</t>
        </is>
      </c>
      <c r="W116" s="12" t="inlineStr"/>
      <c r="X116" s="12" t="inlineStr"/>
      <c r="Y116" s="12" t="inlineStr"/>
      <c r="Z116" s="12" t="inlineStr">
        <is>
          <t>(832) 804-7062</t>
        </is>
      </c>
      <c r="AA116" s="12" t="inlineStr">
        <is>
          <t>the only number published</t>
        </is>
      </c>
      <c r="AB116" s="12" t="inlineStr">
        <is>
          <t>https://lockesolutions.com/contact-us/</t>
        </is>
      </c>
      <c r="AC116" s="12" t="inlineStr"/>
      <c r="AD116" s="12" t="inlineStr"/>
    </row>
    <row r="117">
      <c r="A117" s="6" t="inlineStr">
        <is>
          <t>David Espino</t>
        </is>
      </c>
      <c r="B117" s="6" t="inlineStr">
        <is>
          <t>Locke Solutions</t>
        </is>
      </c>
      <c r="C117" s="6" t="inlineStr">
        <is>
          <t>Director of Operations</t>
        </is>
      </c>
      <c r="D117" s="7" t="inlineStr">
        <is>
          <t>Builds the wall, not the house</t>
        </is>
      </c>
      <c r="E117" s="8" t="n">
        <v>3</v>
      </c>
      <c r="F117" s="6" t="inlineStr">
        <is>
          <t>Builds the wall</t>
        </is>
      </c>
      <c r="G117" s="6" t="inlineStr">
        <is>
          <t>Houston, Almeda Genoa Road, with a second plant in Alvarado</t>
        </is>
      </c>
      <c r="H117" s="6" t="inlineStr">
        <is>
          <t>41,750 square foot plant, four 50-ton bridge cranes</t>
        </is>
      </c>
      <c r="I117" s="8" t="inlineStr">
        <is>
          <t>Yes</t>
        </is>
      </c>
      <c r="J117" s="9" t="inlineStr">
        <is>
          <t>Repeat custom precast from one plant.</t>
        </is>
      </c>
      <c r="K117" s="8" t="inlineStr">
        <is>
          <t>Partly</t>
        </is>
      </c>
      <c r="L117" s="9" t="inlineStr">
        <is>
          <t>A printer would be one added line. Products are utility structures.</t>
        </is>
      </c>
      <c r="M117" s="8" t="inlineStr">
        <is>
          <t>Yes</t>
        </is>
      </c>
      <c r="N117" s="9" t="inlineStr">
        <is>
          <t>Stands up production at the point of use.</t>
        </is>
      </c>
      <c r="O117" s="10" t="inlineStr"/>
      <c r="P117" s="6" t="inlineStr"/>
      <c r="Q117" s="11">
        <f>IF(O117="","ADD LINKEDIN","ok")</f>
        <v/>
      </c>
      <c r="R117" s="6" t="inlineStr">
        <is>
          <t>https://lockesolutions.com/</t>
        </is>
      </c>
      <c r="S117" s="9" t="inlineStr">
        <is>
          <t>It already makes precast at the customer's own premises or jobsite, but its products are utility structures.</t>
        </is>
      </c>
      <c r="T117" s="6" t="inlineStr"/>
      <c r="U117" s="9" t="inlineStr"/>
      <c r="V117" s="6" t="inlineStr">
        <is>
          <t>https://lockesolutions.com/people/</t>
        </is>
      </c>
      <c r="W117" s="6" t="inlineStr"/>
      <c r="X117" s="6" t="inlineStr"/>
      <c r="Y117" s="6" t="inlineStr"/>
      <c r="Z117" s="6" t="inlineStr">
        <is>
          <t>(832) 804-7062</t>
        </is>
      </c>
      <c r="AA117" s="6" t="inlineStr">
        <is>
          <t>the only number published</t>
        </is>
      </c>
      <c r="AB117" s="6" t="inlineStr">
        <is>
          <t>https://lockesolutions.com/contact-us/</t>
        </is>
      </c>
      <c r="AC117" s="6" t="inlineStr"/>
      <c r="AD117" s="6" t="inlineStr"/>
    </row>
    <row r="118">
      <c r="A118" s="12" t="inlineStr">
        <is>
          <t>Chad Arpe</t>
        </is>
      </c>
      <c r="B118" s="12" t="inlineStr">
        <is>
          <t>Locke Solutions</t>
        </is>
      </c>
      <c r="C118" s="12" t="inlineStr">
        <is>
          <t>Director of Sales and Marketing</t>
        </is>
      </c>
      <c r="D118" s="13" t="inlineStr">
        <is>
          <t>Builds the wall, not the house</t>
        </is>
      </c>
      <c r="E118" s="14" t="n">
        <v>3</v>
      </c>
      <c r="F118" s="12" t="inlineStr">
        <is>
          <t>Builds the wall</t>
        </is>
      </c>
      <c r="G118" s="12" t="inlineStr">
        <is>
          <t>Houston, Almeda Genoa Road, with a second plant in Alvarado</t>
        </is>
      </c>
      <c r="H118" s="12" t="inlineStr">
        <is>
          <t>41,750 square foot plant, four 50-ton bridge cranes</t>
        </is>
      </c>
      <c r="I118" s="14" t="inlineStr">
        <is>
          <t>Yes</t>
        </is>
      </c>
      <c r="J118" s="15" t="inlineStr">
        <is>
          <t>Repeat custom precast from one plant.</t>
        </is>
      </c>
      <c r="K118" s="14" t="inlineStr">
        <is>
          <t>Partly</t>
        </is>
      </c>
      <c r="L118" s="15" t="inlineStr">
        <is>
          <t>A printer would be one added line. Products are utility structures.</t>
        </is>
      </c>
      <c r="M118" s="14" t="inlineStr">
        <is>
          <t>Yes</t>
        </is>
      </c>
      <c r="N118" s="15" t="inlineStr">
        <is>
          <t>Stands up production at the point of use.</t>
        </is>
      </c>
      <c r="O118" s="6" t="inlineStr">
        <is>
          <t>https://www.linkedin.com/in/chad-arpe-b1981050/</t>
        </is>
      </c>
      <c r="P118" s="12" t="inlineStr"/>
      <c r="Q118" s="16">
        <f>IF(O118="","ADD LINKEDIN","ok")</f>
        <v/>
      </c>
      <c r="R118" s="12" t="inlineStr">
        <is>
          <t>https://lockesolutions.com/</t>
        </is>
      </c>
      <c r="S118" s="15" t="inlineStr">
        <is>
          <t>It already makes precast at the customer's own premises or jobsite, but its products are utility structures.</t>
        </is>
      </c>
      <c r="T118" s="12" t="inlineStr"/>
      <c r="U118" s="15" t="inlineStr">
        <is>
          <t>Leadership page. The precast directory's listed contact for Locke.</t>
        </is>
      </c>
      <c r="V118" s="12" t="inlineStr"/>
      <c r="W118" s="12" t="inlineStr"/>
      <c r="X118" s="12" t="inlineStr"/>
      <c r="Y118" s="12" t="inlineStr"/>
      <c r="Z118" s="12" t="inlineStr">
        <is>
          <t>(832) 804-7062</t>
        </is>
      </c>
      <c r="AA118" s="12" t="inlineStr">
        <is>
          <t>the only number published</t>
        </is>
      </c>
      <c r="AB118" s="12" t="inlineStr">
        <is>
          <t>https://lockesolutions.com/contact-us/</t>
        </is>
      </c>
      <c r="AC118" s="12" t="inlineStr"/>
      <c r="AD118" s="12" t="inlineStr"/>
    </row>
    <row r="119">
      <c r="A119" s="6" t="inlineStr">
        <is>
          <t>Matt Zetlmeisl</t>
        </is>
      </c>
      <c r="B119" s="6" t="inlineStr">
        <is>
          <t>ICF Constructors</t>
        </is>
      </c>
      <c r="C119" s="6" t="inlineStr">
        <is>
          <t>Owner</t>
        </is>
      </c>
      <c r="D119" s="7" t="inlineStr">
        <is>
          <t>Builds the wall, not the house</t>
        </is>
      </c>
      <c r="E119" s="8" t="n">
        <v>3</v>
      </c>
      <c r="F119" s="6" t="inlineStr">
        <is>
          <t>Builds the wall</t>
        </is>
      </c>
      <c r="G119" s="6" t="inlineStr">
        <is>
          <t>Katy, Harris and Fort Bend, and the Texas coast</t>
        </is>
      </c>
      <c r="H119" s="6" t="inlineStr">
        <is>
          <t>Crews trained on 12 form systems, ICF since 2002</t>
        </is>
      </c>
      <c r="I119" s="8" t="inlineStr">
        <is>
          <t>Yes</t>
        </is>
      </c>
      <c r="J119" s="9" t="inlineStr">
        <is>
          <t>Same wall system across Houston and the coast.</t>
        </is>
      </c>
      <c r="K119" s="8" t="inlineStr">
        <is>
          <t>Partly</t>
        </is>
      </c>
      <c r="L119" s="9" t="inlineStr">
        <is>
          <t>No crew count or homes-a-year figure published.</t>
        </is>
      </c>
      <c r="M119" s="8" t="inlineStr">
        <is>
          <t>Yes</t>
        </is>
      </c>
      <c r="N119" s="9" t="inlineStr">
        <is>
          <t>Its entire business is a wall method that was new when adopted. Twenty-step checklist before every placement.</t>
        </is>
      </c>
      <c r="O119" s="10" t="inlineStr"/>
      <c r="P119" s="6" t="inlineStr"/>
      <c r="Q119" s="11">
        <f>IF(O119="","ADD LINKEDIN","ok")</f>
        <v/>
      </c>
      <c r="R119" s="6" t="inlineStr">
        <is>
          <t>https://icfconstructors.com/</t>
        </is>
      </c>
      <c r="S119" s="9" t="inlineStr">
        <is>
          <t>Its whole business is building concrete walls instead of wood ones, but it publishes no crew count or homes-a-year figure.</t>
        </is>
      </c>
      <c r="T119" s="6" t="inlineStr">
        <is>
          <t>YES</t>
        </is>
      </c>
      <c r="U119" s="9" t="inlineStr">
        <is>
          <t>Firm's about page. Owner and operator since 2002.</t>
        </is>
      </c>
      <c r="V119" s="6" t="inlineStr">
        <is>
          <t>https://icfconstructors.com/about/</t>
        </is>
      </c>
      <c r="W119" s="6" t="inlineStr"/>
      <c r="X119" s="6" t="inlineStr"/>
      <c r="Y119" s="6" t="inlineStr"/>
      <c r="Z119" s="6" t="inlineStr">
        <is>
          <t>(832) 264-6282</t>
        </is>
      </c>
      <c r="AA119" s="6" t="inlineStr">
        <is>
          <t>office</t>
        </is>
      </c>
      <c r="AB119" s="6" t="inlineStr">
        <is>
          <t>https://icfconstructors.com/</t>
        </is>
      </c>
      <c r="AC119" s="6" t="inlineStr"/>
      <c r="AD119" s="6" t="inlineStr"/>
    </row>
    <row r="120">
      <c r="A120" s="12" t="inlineStr">
        <is>
          <t>Eleazar Botello</t>
        </is>
      </c>
      <c r="B120" s="12" t="inlineStr">
        <is>
          <t>Botello Builders</t>
        </is>
      </c>
      <c r="C120" s="12" t="inlineStr">
        <is>
          <t>Founder</t>
        </is>
      </c>
      <c r="D120" s="13" t="inlineStr">
        <is>
          <t>Builds the wall, not the house</t>
        </is>
      </c>
      <c r="E120" s="14" t="n">
        <v>2</v>
      </c>
      <c r="F120" s="12" t="inlineStr">
        <is>
          <t>Builds the wall</t>
        </is>
      </c>
      <c r="G120" s="12" t="inlineStr">
        <is>
          <t>Houston, working Harris, Fort Bend, Brazoria and Montgomery</t>
        </is>
      </c>
      <c r="H120" s="12" t="inlineStr">
        <is>
          <t>150-plus employees, founded 2007 by three brothers</t>
        </is>
      </c>
      <c r="I120" s="14" t="inlineStr">
        <is>
          <t>Yes</t>
        </is>
      </c>
      <c r="J120" s="15" t="inlineStr">
        <is>
          <t>Same tilt-up and foundation work from one Houston yard.</t>
        </is>
      </c>
      <c r="K120" s="14" t="inlineStr">
        <is>
          <t>Yes</t>
        </is>
      </c>
      <c r="L120" s="15" t="inlineStr">
        <is>
          <t>150 office and field staff. One or two printers would cover part of a year's wall.</t>
        </is>
      </c>
      <c r="M120" s="14" t="inlineStr">
        <is>
          <t>No</t>
        </is>
      </c>
      <c r="N120" s="15" t="inlineStr">
        <is>
          <t>No method statement. Published work is conventional tilt-up and foundations.</t>
        </is>
      </c>
      <c r="O120" s="6" t="inlineStr">
        <is>
          <t>https://www.linkedin.com/in/eleazarbotello/</t>
        </is>
      </c>
      <c r="P120" s="12" t="inlineStr"/>
      <c r="Q120" s="16">
        <f>IF(O120="","ADD LINKEDIN","ok")</f>
        <v/>
      </c>
      <c r="R120" s="12" t="inlineStr">
        <is>
          <t>https://www.botellobuilders.com/</t>
        </is>
      </c>
      <c r="S120" s="15" t="inlineStr">
        <is>
          <t>One or two printers would cover part of a year's wall, but its published work is conventional tilt-up and foundations.</t>
        </is>
      </c>
      <c r="T120" s="12" t="inlineStr">
        <is>
          <t>YES</t>
        </is>
      </c>
      <c r="U120" s="15" t="inlineStr">
        <is>
          <t>Headline: President at Botello Builders Corporation. Houston, Texas. Firm's site gives no title. Firm's site.</t>
        </is>
      </c>
      <c r="V120" s="12" t="inlineStr">
        <is>
          <t>https://www.botellobuilders.com/</t>
        </is>
      </c>
      <c r="W120" s="12" t="inlineStr"/>
      <c r="X120" s="12" t="inlineStr">
        <is>
          <t>https://www.botellobuilders.com/</t>
        </is>
      </c>
      <c r="Y120" s="12" t="inlineStr"/>
      <c r="Z120" s="12" t="inlineStr">
        <is>
          <t>(281) 784-3070</t>
        </is>
      </c>
      <c r="AA120" s="12" t="inlineStr"/>
      <c r="AB120" s="12" t="inlineStr">
        <is>
          <t>https://www.botellobuilders.com/contact-us/</t>
        </is>
      </c>
      <c r="AC120" s="12" t="inlineStr"/>
      <c r="AD120" s="12" t="inlineStr"/>
    </row>
    <row r="121">
      <c r="A121" s="6" t="inlineStr">
        <is>
          <t>Eden Botello</t>
        </is>
      </c>
      <c r="B121" s="6" t="inlineStr">
        <is>
          <t>Botello Builders</t>
        </is>
      </c>
      <c r="C121" s="6" t="inlineStr">
        <is>
          <t>Founder</t>
        </is>
      </c>
      <c r="D121" s="7" t="inlineStr">
        <is>
          <t>Builds the wall, not the house</t>
        </is>
      </c>
      <c r="E121" s="8" t="n">
        <v>2</v>
      </c>
      <c r="F121" s="6" t="inlineStr">
        <is>
          <t>Builds the wall</t>
        </is>
      </c>
      <c r="G121" s="6" t="inlineStr">
        <is>
          <t>Houston, working Harris, Fort Bend, Brazoria and Montgomery</t>
        </is>
      </c>
      <c r="H121" s="6" t="inlineStr">
        <is>
          <t>150-plus employees, founded 2007 by three brothers</t>
        </is>
      </c>
      <c r="I121" s="8" t="inlineStr">
        <is>
          <t>Yes</t>
        </is>
      </c>
      <c r="J121" s="9" t="inlineStr">
        <is>
          <t>Same tilt-up and foundation work from one Houston yard.</t>
        </is>
      </c>
      <c r="K121" s="8" t="inlineStr">
        <is>
          <t>Yes</t>
        </is>
      </c>
      <c r="L121" s="9" t="inlineStr">
        <is>
          <t>150 office and field staff. One or two printers would cover part of a year's wall.</t>
        </is>
      </c>
      <c r="M121" s="8" t="inlineStr">
        <is>
          <t>No</t>
        </is>
      </c>
      <c r="N121" s="9" t="inlineStr">
        <is>
          <t>No method statement. Published work is conventional tilt-up and foundations.</t>
        </is>
      </c>
      <c r="O121" s="6" t="inlineStr">
        <is>
          <t>https://www.linkedin.com/in/eden-botello-28a5691b5/</t>
        </is>
      </c>
      <c r="P121" s="6" t="inlineStr"/>
      <c r="Q121" s="11">
        <f>IF(O121="","ADD LINKEDIN","ok")</f>
        <v/>
      </c>
      <c r="R121" s="6" t="inlineStr">
        <is>
          <t>https://www.botellobuilders.com/</t>
        </is>
      </c>
      <c r="S121" s="9" t="inlineStr">
        <is>
          <t>One or two printers would cover part of a year's wall, but its published work is conventional tilt-up and foundations.</t>
        </is>
      </c>
      <c r="T121" s="6" t="inlineStr">
        <is>
          <t>YES</t>
        </is>
      </c>
      <c r="U121" s="9" t="inlineStr">
        <is>
          <t>Headline: Operations Manager at Botello Builders Corporation. Houston, Texas. Firm's site.</t>
        </is>
      </c>
      <c r="V121" s="6" t="inlineStr">
        <is>
          <t>https://www.botellobuilders.com/</t>
        </is>
      </c>
      <c r="W121" s="6" t="inlineStr"/>
      <c r="X121" s="6" t="inlineStr">
        <is>
          <t>https://www.botellobuilders.com/</t>
        </is>
      </c>
      <c r="Y121" s="6" t="inlineStr"/>
      <c r="Z121" s="6" t="inlineStr">
        <is>
          <t>(281) 784-3070</t>
        </is>
      </c>
      <c r="AA121" s="6" t="inlineStr"/>
      <c r="AB121" s="6" t="inlineStr">
        <is>
          <t>https://www.botellobuilders.com/contact-us/</t>
        </is>
      </c>
      <c r="AC121" s="6" t="inlineStr"/>
      <c r="AD121" s="6" t="inlineStr"/>
    </row>
    <row r="122">
      <c r="A122" s="12" t="inlineStr">
        <is>
          <t>Jose Botello</t>
        </is>
      </c>
      <c r="B122" s="12" t="inlineStr">
        <is>
          <t>Botello Builders</t>
        </is>
      </c>
      <c r="C122" s="12" t="inlineStr">
        <is>
          <t>Founder</t>
        </is>
      </c>
      <c r="D122" s="13" t="inlineStr">
        <is>
          <t>Builds the wall, not the house</t>
        </is>
      </c>
      <c r="E122" s="14" t="n">
        <v>2</v>
      </c>
      <c r="F122" s="12" t="inlineStr">
        <is>
          <t>Builds the wall</t>
        </is>
      </c>
      <c r="G122" s="12" t="inlineStr">
        <is>
          <t>Houston, working Harris, Fort Bend, Brazoria and Montgomery</t>
        </is>
      </c>
      <c r="H122" s="12" t="inlineStr">
        <is>
          <t>150-plus employees, founded 2007 by three brothers</t>
        </is>
      </c>
      <c r="I122" s="14" t="inlineStr">
        <is>
          <t>Yes</t>
        </is>
      </c>
      <c r="J122" s="15" t="inlineStr">
        <is>
          <t>Same tilt-up and foundation work from one Houston yard.</t>
        </is>
      </c>
      <c r="K122" s="14" t="inlineStr">
        <is>
          <t>Yes</t>
        </is>
      </c>
      <c r="L122" s="15" t="inlineStr">
        <is>
          <t>150 office and field staff. One or two printers would cover part of a year's wall.</t>
        </is>
      </c>
      <c r="M122" s="14" t="inlineStr">
        <is>
          <t>No</t>
        </is>
      </c>
      <c r="N122" s="15" t="inlineStr">
        <is>
          <t>No method statement. Published work is conventional tilt-up and foundations.</t>
        </is>
      </c>
      <c r="O122" s="10" t="inlineStr"/>
      <c r="P122" s="12" t="inlineStr"/>
      <c r="Q122" s="16">
        <f>IF(O122="","ADD LINKEDIN","ok")</f>
        <v/>
      </c>
      <c r="R122" s="12" t="inlineStr">
        <is>
          <t>https://www.botellobuilders.com/</t>
        </is>
      </c>
      <c r="S122" s="15" t="inlineStr">
        <is>
          <t>One or two printers would cover part of a year's wall, but its published work is conventional tilt-up and foundations.</t>
        </is>
      </c>
      <c r="T122" s="12" t="inlineStr">
        <is>
          <t>YES</t>
        </is>
      </c>
      <c r="U122" s="15" t="inlineStr">
        <is>
          <t>Firm's site.</t>
        </is>
      </c>
      <c r="V122" s="12" t="inlineStr">
        <is>
          <t>https://www.botellobuilders.com/</t>
        </is>
      </c>
      <c r="W122" s="12" t="inlineStr"/>
      <c r="X122" s="12" t="inlineStr">
        <is>
          <t>https://www.botellobuilders.com/</t>
        </is>
      </c>
      <c r="Y122" s="12" t="inlineStr"/>
      <c r="Z122" s="12" t="inlineStr">
        <is>
          <t>(281) 784-3070</t>
        </is>
      </c>
      <c r="AA122" s="12" t="inlineStr"/>
      <c r="AB122" s="12" t="inlineStr">
        <is>
          <t>https://www.botellobuilders.com/contact-us/</t>
        </is>
      </c>
      <c r="AC122" s="12" t="inlineStr"/>
      <c r="AD122" s="12" t="inlineStr"/>
    </row>
    <row r="123">
      <c r="A123" s="6" t="inlineStr">
        <is>
          <t>Robert V. Barnes III</t>
        </is>
      </c>
      <c r="B123" s="6" t="inlineStr">
        <is>
          <t>Dee Brown</t>
        </is>
      </c>
      <c r="C123" s="6" t="inlineStr">
        <is>
          <t>President and Chief Executive Officer</t>
        </is>
      </c>
      <c r="D123" s="7" t="inlineStr">
        <is>
          <t>Builds the wall, not the house</t>
        </is>
      </c>
      <c r="E123" s="8" t="n">
        <v>3</v>
      </c>
      <c r="F123" s="6" t="inlineStr">
        <is>
          <t>Builds the wall</t>
        </is>
      </c>
      <c r="G123" s="6" t="inlineStr">
        <is>
          <t>Tomball office, Richardson headquarters</t>
        </is>
      </c>
      <c r="H123" s="6" t="inlineStr">
        <is>
          <t>Publishes prefabricated masonry wall systems</t>
        </is>
      </c>
      <c r="I123" s="8" t="inlineStr">
        <is>
          <t>Yes</t>
        </is>
      </c>
      <c r="J123" s="9" t="inlineStr">
        <is>
          <t>Masonry laid across one region for seven decades.</t>
        </is>
      </c>
      <c r="K123" s="8" t="inlineStr">
        <is>
          <t>Partly</t>
        </is>
      </c>
      <c r="L123" s="9" t="inlineStr">
        <is>
          <t>Puts up more wall than one or two printers cover. Prefab is one line among many.</t>
        </is>
      </c>
      <c r="M123" s="8" t="inlineStr">
        <is>
          <t>Partly</t>
        </is>
      </c>
      <c r="N123" s="9" t="inlineStr">
        <is>
          <t>7,700 square foot fabrication facility for prefabricated wall systems.</t>
        </is>
      </c>
      <c r="O123" s="10" t="inlineStr"/>
      <c r="P123" s="6" t="inlineStr"/>
      <c r="Q123" s="11">
        <f>IF(O123="","ADD LINKEDIN","ok")</f>
        <v/>
      </c>
      <c r="R123" s="6" t="inlineStr">
        <is>
          <t>https://www.deebrowncompanies.com/</t>
        </is>
      </c>
      <c r="S123" s="9" t="inlineStr">
        <is>
          <t>Its own site says it is looking for new prefabricated materials, but prefab is one line among many.</t>
        </is>
      </c>
      <c r="T123" s="6" t="inlineStr">
        <is>
          <t>YES</t>
        </is>
      </c>
      <c r="U123" s="9" t="inlineStr">
        <is>
          <t>D CEO, 24 August 2023. Took the seat from his father in 2015.</t>
        </is>
      </c>
      <c r="V123" s="6" t="inlineStr">
        <is>
          <t>https://www.dmagazine.com/publications/d-ceo/2023/august/third-generation-family-run-company-dee-brown-inc-has-had-a-hand-in-some-of-north-texas-most-iconic-buildings/</t>
        </is>
      </c>
      <c r="W123" s="6" t="inlineStr"/>
      <c r="X123" s="6" t="inlineStr"/>
      <c r="Y123" s="6" t="inlineStr"/>
      <c r="Z123" s="6" t="inlineStr">
        <is>
          <t>(281) 547-0030</t>
        </is>
      </c>
      <c r="AA123" s="6" t="inlineStr">
        <is>
          <t>Houston office</t>
        </is>
      </c>
      <c r="AB123" s="6" t="inlineStr">
        <is>
          <t>https://www.deebrowncompanies.com/contact</t>
        </is>
      </c>
      <c r="AC123" s="6" t="inlineStr"/>
      <c r="AD123" s="6" t="inlineStr"/>
    </row>
    <row r="124">
      <c r="A124" s="12" t="inlineStr">
        <is>
          <t>Tim Hughes</t>
        </is>
      </c>
      <c r="B124" s="12" t="inlineStr">
        <is>
          <t>Dee Brown</t>
        </is>
      </c>
      <c r="C124" s="12" t="inlineStr">
        <is>
          <t>Senior Vice President, Construction Management</t>
        </is>
      </c>
      <c r="D124" s="13" t="inlineStr">
        <is>
          <t>Builds the wall, not the house</t>
        </is>
      </c>
      <c r="E124" s="14" t="n">
        <v>3</v>
      </c>
      <c r="F124" s="12" t="inlineStr">
        <is>
          <t>Builds the wall</t>
        </is>
      </c>
      <c r="G124" s="12" t="inlineStr">
        <is>
          <t>Tomball office, Richardson headquarters</t>
        </is>
      </c>
      <c r="H124" s="12" t="inlineStr">
        <is>
          <t>Publishes prefabricated masonry wall systems</t>
        </is>
      </c>
      <c r="I124" s="14" t="inlineStr">
        <is>
          <t>Yes</t>
        </is>
      </c>
      <c r="J124" s="15" t="inlineStr">
        <is>
          <t>Masonry laid across one region for seven decades.</t>
        </is>
      </c>
      <c r="K124" s="14" t="inlineStr">
        <is>
          <t>Partly</t>
        </is>
      </c>
      <c r="L124" s="15" t="inlineStr">
        <is>
          <t>Puts up more wall than one or two printers cover. Prefab is one line among many.</t>
        </is>
      </c>
      <c r="M124" s="14" t="inlineStr">
        <is>
          <t>Partly</t>
        </is>
      </c>
      <c r="N124" s="15" t="inlineStr">
        <is>
          <t>7,700 square foot fabrication facility for prefabricated wall systems.</t>
        </is>
      </c>
      <c r="O124" s="10" t="inlineStr"/>
      <c r="P124" s="12" t="inlineStr"/>
      <c r="Q124" s="16">
        <f>IF(O124="","ADD LINKEDIN","ok")</f>
        <v/>
      </c>
      <c r="R124" s="12" t="inlineStr">
        <is>
          <t>https://www.deebrowncompanies.com/</t>
        </is>
      </c>
      <c r="S124" s="15" t="inlineStr">
        <is>
          <t>Its own site says it is looking for new prefabricated materials, but prefab is one line among many.</t>
        </is>
      </c>
      <c r="T124" s="12" t="inlineStr"/>
      <c r="U124" s="15" t="inlineStr"/>
      <c r="V124" s="12" t="inlineStr">
        <is>
          <t>https://www.deebrowncompanies.com/about</t>
        </is>
      </c>
      <c r="W124" s="12" t="inlineStr"/>
      <c r="X124" s="12" t="inlineStr"/>
      <c r="Y124" s="12" t="inlineStr"/>
      <c r="Z124" s="12" t="inlineStr">
        <is>
          <t>(281) 547-0030</t>
        </is>
      </c>
      <c r="AA124" s="12" t="inlineStr">
        <is>
          <t>Houston office</t>
        </is>
      </c>
      <c r="AB124" s="12" t="inlineStr">
        <is>
          <t>https://www.deebrowncompanies.com/contact</t>
        </is>
      </c>
      <c r="AC124" s="12" t="inlineStr"/>
      <c r="AD124" s="12" t="inlineStr"/>
    </row>
    <row r="125">
      <c r="A125" s="6" t="inlineStr">
        <is>
          <t>David Barnes</t>
        </is>
      </c>
      <c r="B125" s="6" t="inlineStr">
        <is>
          <t>Dee Brown</t>
        </is>
      </c>
      <c r="C125" s="6" t="inlineStr">
        <is>
          <t>Senior Vice President, Operations</t>
        </is>
      </c>
      <c r="D125" s="7" t="inlineStr">
        <is>
          <t>Builds the wall, not the house</t>
        </is>
      </c>
      <c r="E125" s="8" t="n">
        <v>3</v>
      </c>
      <c r="F125" s="6" t="inlineStr">
        <is>
          <t>Builds the wall</t>
        </is>
      </c>
      <c r="G125" s="6" t="inlineStr">
        <is>
          <t>Tomball office, Richardson headquarters</t>
        </is>
      </c>
      <c r="H125" s="6" t="inlineStr">
        <is>
          <t>Publishes prefabricated masonry wall systems</t>
        </is>
      </c>
      <c r="I125" s="8" t="inlineStr">
        <is>
          <t>Yes</t>
        </is>
      </c>
      <c r="J125" s="9" t="inlineStr">
        <is>
          <t>Masonry laid across one region for seven decades.</t>
        </is>
      </c>
      <c r="K125" s="8" t="inlineStr">
        <is>
          <t>Partly</t>
        </is>
      </c>
      <c r="L125" s="9" t="inlineStr">
        <is>
          <t>Puts up more wall than one or two printers cover. Prefab is one line among many.</t>
        </is>
      </c>
      <c r="M125" s="8" t="inlineStr">
        <is>
          <t>Partly</t>
        </is>
      </c>
      <c r="N125" s="9" t="inlineStr">
        <is>
          <t>7,700 square foot fabrication facility for prefabricated wall systems.</t>
        </is>
      </c>
      <c r="O125" s="10" t="inlineStr"/>
      <c r="P125" s="6" t="inlineStr"/>
      <c r="Q125" s="11">
        <f>IF(O125="","ADD LINKEDIN","ok")</f>
        <v/>
      </c>
      <c r="R125" s="6" t="inlineStr">
        <is>
          <t>https://www.deebrowncompanies.com/</t>
        </is>
      </c>
      <c r="S125" s="9" t="inlineStr">
        <is>
          <t>Its own site says it is looking for new prefabricated materials, but prefab is one line among many.</t>
        </is>
      </c>
      <c r="T125" s="6" t="inlineStr"/>
      <c r="U125" s="9" t="inlineStr"/>
      <c r="V125" s="6" t="inlineStr">
        <is>
          <t>https://www.deebrowncompanies.com/about</t>
        </is>
      </c>
      <c r="W125" s="6" t="inlineStr"/>
      <c r="X125" s="6" t="inlineStr"/>
      <c r="Y125" s="6" t="inlineStr"/>
      <c r="Z125" s="6" t="inlineStr">
        <is>
          <t>(281) 547-0030</t>
        </is>
      </c>
      <c r="AA125" s="6" t="inlineStr">
        <is>
          <t>Houston office</t>
        </is>
      </c>
      <c r="AB125" s="6" t="inlineStr">
        <is>
          <t>https://www.deebrowncompanies.com/contact</t>
        </is>
      </c>
      <c r="AC125" s="6" t="inlineStr"/>
      <c r="AD125" s="6" t="inlineStr"/>
    </row>
    <row r="126">
      <c r="A126" s="12" t="inlineStr">
        <is>
          <t>Scott Anderson</t>
        </is>
      </c>
      <c r="B126" s="12" t="inlineStr">
        <is>
          <t>Keystone Concrete Placement</t>
        </is>
      </c>
      <c r="C126" s="12" t="inlineStr">
        <is>
          <t>Vice President and General Manager, Keystone Structural Concrete</t>
        </is>
      </c>
      <c r="D126" s="13" t="inlineStr">
        <is>
          <t>Builds the wall, not the house</t>
        </is>
      </c>
      <c r="E126" s="14" t="n">
        <v>3</v>
      </c>
      <c r="F126" s="12" t="inlineStr">
        <is>
          <t>Builds the wall</t>
        </is>
      </c>
      <c r="G126" s="12" t="inlineStr">
        <is>
          <t>Houston, with Austin, San Antonio and College Station</t>
        </is>
      </c>
      <c r="H126" s="12" t="inlineStr">
        <is>
          <t>1,500 craftsmen, 975,000 cubic yards a year</t>
        </is>
      </c>
      <c r="I126" s="14" t="inlineStr">
        <is>
          <t>Yes</t>
        </is>
      </c>
      <c r="J126" s="15" t="inlineStr">
        <is>
          <t>Same placement work recurs across one metro.</t>
        </is>
      </c>
      <c r="K126" s="14" t="inlineStr">
        <is>
          <t>Partly</t>
        </is>
      </c>
      <c r="L126" s="15" t="inlineStr">
        <is>
          <t>1,500 craftsmen, 975,000 cubic yards yearly. One or two printers would be a line inside it.</t>
        </is>
      </c>
      <c r="M126" s="14" t="inlineStr">
        <is>
          <t>Partly</t>
        </is>
      </c>
      <c r="N126" s="15" t="inlineStr">
        <is>
          <t>Owns placing booms and hydraulic self-jacking formwork systems. Formwork is not a new method.</t>
        </is>
      </c>
      <c r="O126" s="6" t="inlineStr">
        <is>
          <t>https://www.linkedin.com/in/scott-anderson-266878141/</t>
        </is>
      </c>
      <c r="P126" s="12" t="inlineStr"/>
      <c r="Q126" s="16">
        <f>IF(O126="","ADD LINKEDIN","ok")</f>
        <v/>
      </c>
      <c r="R126" s="12" t="inlineStr">
        <is>
          <t>https://www.keystoneconcrete.com/</t>
        </is>
      </c>
      <c r="S126" s="15" t="inlineStr">
        <is>
          <t>Its residential division works custom home foundations and master plan communities, but one or two printers would be one line in the business.</t>
        </is>
      </c>
      <c r="T126" s="12" t="inlineStr">
        <is>
          <t>YES</t>
        </is>
      </c>
      <c r="U126" s="15" t="inlineStr">
        <is>
          <t>Headline: Vice President at Keystone Structural Concrete. Houston, Texas.</t>
        </is>
      </c>
      <c r="V126" s="12" t="inlineStr"/>
      <c r="W126" s="12" t="inlineStr"/>
      <c r="X126" s="12" t="inlineStr"/>
      <c r="Y126" s="12" t="inlineStr"/>
      <c r="Z126" s="12" t="inlineStr">
        <is>
          <t>(713) 983-8002</t>
        </is>
      </c>
      <c r="AA126" s="12" t="inlineStr">
        <is>
          <t>Houston</t>
        </is>
      </c>
      <c r="AB126" s="12" t="inlineStr">
        <is>
          <t>https://www.keystoneconcrete.com/</t>
        </is>
      </c>
      <c r="AC126" s="12" t="inlineStr"/>
      <c r="AD126" s="12" t="inlineStr"/>
    </row>
    <row r="127">
      <c r="A127" s="6" t="inlineStr">
        <is>
          <t>Rodney Horn</t>
        </is>
      </c>
      <c r="B127" s="6" t="inlineStr">
        <is>
          <t>Keystone Concrete Placement</t>
        </is>
      </c>
      <c r="C127" s="6" t="inlineStr">
        <is>
          <t>Vice President, Keystone Concrete and Key-Scape</t>
        </is>
      </c>
      <c r="D127" s="7" t="inlineStr">
        <is>
          <t>Builds the wall, not the house</t>
        </is>
      </c>
      <c r="E127" s="8" t="n">
        <v>3</v>
      </c>
      <c r="F127" s="6" t="inlineStr">
        <is>
          <t>Builds the wall</t>
        </is>
      </c>
      <c r="G127" s="6" t="inlineStr">
        <is>
          <t>Houston, with Austin, San Antonio and College Station</t>
        </is>
      </c>
      <c r="H127" s="6" t="inlineStr">
        <is>
          <t>1,500 craftsmen, 975,000 cubic yards a year</t>
        </is>
      </c>
      <c r="I127" s="8" t="inlineStr">
        <is>
          <t>Yes</t>
        </is>
      </c>
      <c r="J127" s="9" t="inlineStr">
        <is>
          <t>Same placement work recurs across one metro.</t>
        </is>
      </c>
      <c r="K127" s="8" t="inlineStr">
        <is>
          <t>Partly</t>
        </is>
      </c>
      <c r="L127" s="9" t="inlineStr">
        <is>
          <t>1,500 craftsmen, 975,000 cubic yards yearly. One or two printers would be a line inside it.</t>
        </is>
      </c>
      <c r="M127" s="8" t="inlineStr">
        <is>
          <t>Partly</t>
        </is>
      </c>
      <c r="N127" s="9" t="inlineStr">
        <is>
          <t>Owns placing booms and hydraulic self-jacking formwork systems. Formwork is not a new method.</t>
        </is>
      </c>
      <c r="O127" s="6" t="inlineStr">
        <is>
          <t>https://www.linkedin.com/in/rodney-horn-963a8048/</t>
        </is>
      </c>
      <c r="P127" s="6" t="inlineStr"/>
      <c r="Q127" s="11">
        <f>IF(O127="","ADD LINKEDIN","ok")</f>
        <v/>
      </c>
      <c r="R127" s="6" t="inlineStr">
        <is>
          <t>https://www.keystoneconcrete.com/</t>
        </is>
      </c>
      <c r="S127" s="9" t="inlineStr">
        <is>
          <t>Its residential division works custom home foundations and master plan communities, but one or two printers would be one line in the business.</t>
        </is>
      </c>
      <c r="T127" s="6" t="inlineStr">
        <is>
          <t>YES</t>
        </is>
      </c>
      <c r="U127" s="9" t="inlineStr">
        <is>
          <t>Headline: Vice President, Keystone Concrete. Houston.</t>
        </is>
      </c>
      <c r="V127" s="6" t="inlineStr"/>
      <c r="W127" s="6" t="inlineStr"/>
      <c r="X127" s="6" t="inlineStr"/>
      <c r="Y127" s="6" t="inlineStr"/>
      <c r="Z127" s="6" t="inlineStr">
        <is>
          <t>(713) 983-8002</t>
        </is>
      </c>
      <c r="AA127" s="6" t="inlineStr">
        <is>
          <t>Houston</t>
        </is>
      </c>
      <c r="AB127" s="6" t="inlineStr">
        <is>
          <t>https://www.keystoneconcrete.com/</t>
        </is>
      </c>
      <c r="AC127" s="6" t="inlineStr"/>
      <c r="AD127" s="6" t="inlineStr"/>
    </row>
    <row r="128">
      <c r="A128" s="12" t="inlineStr">
        <is>
          <t>Phil Nevlud</t>
        </is>
      </c>
      <c r="B128" s="12" t="inlineStr">
        <is>
          <t>MAREK</t>
        </is>
      </c>
      <c r="C128" s="12" t="inlineStr">
        <is>
          <t>Division President</t>
        </is>
      </c>
      <c r="D128" s="13" t="inlineStr">
        <is>
          <t>Builds the wall, not the house</t>
        </is>
      </c>
      <c r="E128" s="14" t="n">
        <v>3</v>
      </c>
      <c r="F128" s="12" t="inlineStr">
        <is>
          <t>Builds the wall</t>
        </is>
      </c>
      <c r="G128" s="12" t="inlineStr">
        <is>
          <t>Houston, Harris, with Austin, Dallas and Fort Worth</t>
        </is>
      </c>
      <c r="H128" s="12" t="inlineStr">
        <is>
          <t>Runs its own prefabrication plant, founded 1938</t>
        </is>
      </c>
      <c r="I128" s="14" t="inlineStr">
        <is>
          <t>Yes</t>
        </is>
      </c>
      <c r="J128" s="15" t="inlineStr">
        <is>
          <t>Repeat interior wall and ceiling packages in one metro.</t>
        </is>
      </c>
      <c r="K128" s="14" t="inlineStr">
        <is>
          <t>Partly</t>
        </is>
      </c>
      <c r="L128" s="15" t="inlineStr">
        <is>
          <t>No employee count or annual unit figure published.</t>
        </is>
      </c>
      <c r="M128" s="14" t="inlineStr">
        <is>
          <t>Partly</t>
        </is>
      </c>
      <c r="N128" s="15" t="inlineStr">
        <is>
          <t>Built and staffed a prefabrication plant. Publishes its savings on a hospital project.</t>
        </is>
      </c>
      <c r="O128" s="6" t="inlineStr">
        <is>
          <t>https://www.linkedin.com/in/phil-nevlud-843a391a/</t>
        </is>
      </c>
      <c r="P128" s="12" t="inlineStr"/>
      <c r="Q128" s="16">
        <f>IF(O128="","ADD LINKEDIN","ok")</f>
        <v/>
      </c>
      <c r="R128" s="12" t="inlineStr">
        <is>
          <t>https://www.marekbros.com/houston/</t>
        </is>
      </c>
      <c r="S128" s="15" t="inlineStr">
        <is>
          <t>It runs separate multifamily and single family divisions, but its walls are interior and non-structural.</t>
        </is>
      </c>
      <c r="T128" s="12" t="inlineStr">
        <is>
          <t>YES</t>
        </is>
      </c>
      <c r="U128" s="15" t="inlineStr">
        <is>
          <t>Headline: Division President - Houston, no firm named. MAREK's site confirms the title.</t>
        </is>
      </c>
      <c r="V128" s="12" t="inlineStr"/>
      <c r="W128" s="12" t="inlineStr"/>
      <c r="X128" s="12" t="inlineStr"/>
      <c r="Y128" s="12" t="inlineStr"/>
      <c r="Z128" s="12" t="inlineStr">
        <is>
          <t>(713) 681-2626</t>
        </is>
      </c>
      <c r="AA128" s="12" t="inlineStr">
        <is>
          <t>commercial, Judiway Street</t>
        </is>
      </c>
      <c r="AB128" s="12" t="inlineStr">
        <is>
          <t>https://www.marekbros.com/houston/</t>
        </is>
      </c>
      <c r="AC128" s="12" t="inlineStr"/>
      <c r="AD128" s="12" t="inlineStr"/>
    </row>
    <row r="129">
      <c r="A129" s="6" t="inlineStr">
        <is>
          <t>Ronald Marek</t>
        </is>
      </c>
      <c r="B129" s="6" t="inlineStr">
        <is>
          <t>MAREK</t>
        </is>
      </c>
      <c r="C129" s="6" t="inlineStr">
        <is>
          <t>Multifamily Director</t>
        </is>
      </c>
      <c r="D129" s="7" t="inlineStr">
        <is>
          <t>Builds the wall, not the house</t>
        </is>
      </c>
      <c r="E129" s="8" t="n">
        <v>3</v>
      </c>
      <c r="F129" s="6" t="inlineStr">
        <is>
          <t>Builds the wall</t>
        </is>
      </c>
      <c r="G129" s="6" t="inlineStr">
        <is>
          <t>Houston, Harris, with Austin, Dallas and Fort Worth</t>
        </is>
      </c>
      <c r="H129" s="6" t="inlineStr">
        <is>
          <t>Runs its own prefabrication plant, founded 1938</t>
        </is>
      </c>
      <c r="I129" s="8" t="inlineStr">
        <is>
          <t>Yes</t>
        </is>
      </c>
      <c r="J129" s="9" t="inlineStr">
        <is>
          <t>Repeat interior wall and ceiling packages in one metro.</t>
        </is>
      </c>
      <c r="K129" s="8" t="inlineStr">
        <is>
          <t>Partly</t>
        </is>
      </c>
      <c r="L129" s="9" t="inlineStr">
        <is>
          <t>No employee count or annual unit figure published.</t>
        </is>
      </c>
      <c r="M129" s="8" t="inlineStr">
        <is>
          <t>Partly</t>
        </is>
      </c>
      <c r="N129" s="9" t="inlineStr">
        <is>
          <t>Built and staffed a prefabrication plant. Publishes its savings on a hospital project.</t>
        </is>
      </c>
      <c r="O129" s="10" t="inlineStr"/>
      <c r="P129" s="6">
        <f>HYPERLINK("https://www.linkedin.com/search/results/people/?keywords=Ronald%20Marek%20MAREK","search")</f>
        <v/>
      </c>
      <c r="Q129" s="11">
        <f>IF(O129="","ADD LINKEDIN","ok")</f>
        <v/>
      </c>
      <c r="R129" s="6" t="inlineStr">
        <is>
          <t>https://www.marekbros.com/houston/</t>
        </is>
      </c>
      <c r="S129" s="9" t="inlineStr">
        <is>
          <t>It runs separate multifamily and single family divisions, but its walls are interior and non-structural.</t>
        </is>
      </c>
      <c r="T129" s="6" t="inlineStr">
        <is>
          <t>YES</t>
        </is>
      </c>
      <c r="U129" s="9" t="inlineStr"/>
      <c r="V129" s="6" t="inlineStr"/>
      <c r="W129" s="6" t="inlineStr"/>
      <c r="X129" s="6" t="inlineStr"/>
      <c r="Y129" s="6" t="inlineStr"/>
      <c r="Z129" s="6" t="inlineStr">
        <is>
          <t>(713) 681-2626</t>
        </is>
      </c>
      <c r="AA129" s="6" t="inlineStr">
        <is>
          <t>commercial, Judiway Street</t>
        </is>
      </c>
      <c r="AB129" s="6" t="inlineStr">
        <is>
          <t>https://www.marekbros.com/houston/</t>
        </is>
      </c>
      <c r="AC129" s="6" t="inlineStr"/>
      <c r="AD129" s="6" t="inlineStr"/>
    </row>
    <row r="130">
      <c r="A130" s="12" t="inlineStr">
        <is>
          <t>Chris Trojanowsky</t>
        </is>
      </c>
      <c r="B130" s="12" t="inlineStr">
        <is>
          <t>MAREK</t>
        </is>
      </c>
      <c r="C130" s="12" t="inlineStr">
        <is>
          <t>Single Family Division Manager</t>
        </is>
      </c>
      <c r="D130" s="13" t="inlineStr">
        <is>
          <t>Builds the wall, not the house</t>
        </is>
      </c>
      <c r="E130" s="14" t="n">
        <v>3</v>
      </c>
      <c r="F130" s="12" t="inlineStr">
        <is>
          <t>Builds the wall</t>
        </is>
      </c>
      <c r="G130" s="12" t="inlineStr">
        <is>
          <t>Houston, Harris, with Austin, Dallas and Fort Worth</t>
        </is>
      </c>
      <c r="H130" s="12" t="inlineStr">
        <is>
          <t>Runs its own prefabrication plant, founded 1938</t>
        </is>
      </c>
      <c r="I130" s="14" t="inlineStr">
        <is>
          <t>Yes</t>
        </is>
      </c>
      <c r="J130" s="15" t="inlineStr">
        <is>
          <t>Repeat interior wall and ceiling packages in one metro.</t>
        </is>
      </c>
      <c r="K130" s="14" t="inlineStr">
        <is>
          <t>Partly</t>
        </is>
      </c>
      <c r="L130" s="15" t="inlineStr">
        <is>
          <t>No employee count or annual unit figure published.</t>
        </is>
      </c>
      <c r="M130" s="14" t="inlineStr">
        <is>
          <t>Partly</t>
        </is>
      </c>
      <c r="N130" s="15" t="inlineStr">
        <is>
          <t>Built and staffed a prefabrication plant. Publishes its savings on a hospital project.</t>
        </is>
      </c>
      <c r="O130" s="10" t="inlineStr"/>
      <c r="P130" s="12">
        <f>HYPERLINK("https://www.linkedin.com/search/results/people/?keywords=Chris%20Trojanowsky%20MAREK","search")</f>
        <v/>
      </c>
      <c r="Q130" s="16">
        <f>IF(O130="","ADD LINKEDIN","ok")</f>
        <v/>
      </c>
      <c r="R130" s="12" t="inlineStr">
        <is>
          <t>https://www.marekbros.com/houston/</t>
        </is>
      </c>
      <c r="S130" s="15" t="inlineStr">
        <is>
          <t>It runs separate multifamily and single family divisions, but its walls are interior and non-structural.</t>
        </is>
      </c>
      <c r="T130" s="12" t="inlineStr">
        <is>
          <t>YES</t>
        </is>
      </c>
      <c r="U130" s="15" t="inlineStr"/>
      <c r="V130" s="12" t="inlineStr"/>
      <c r="W130" s="12" t="inlineStr"/>
      <c r="X130" s="12" t="inlineStr"/>
      <c r="Y130" s="12" t="inlineStr"/>
      <c r="Z130" s="12" t="inlineStr">
        <is>
          <t>(713) 681-2626</t>
        </is>
      </c>
      <c r="AA130" s="12" t="inlineStr">
        <is>
          <t>commercial, Judiway Street</t>
        </is>
      </c>
      <c r="AB130" s="12" t="inlineStr">
        <is>
          <t>https://www.marekbros.com/houston/</t>
        </is>
      </c>
      <c r="AC130" s="12" t="inlineStr"/>
      <c r="AD130" s="12" t="inlineStr"/>
    </row>
    <row r="131">
      <c r="A131" s="6" t="inlineStr">
        <is>
          <t>Jorge Rodriguez</t>
        </is>
      </c>
      <c r="B131" s="6" t="inlineStr">
        <is>
          <t>MAREK</t>
        </is>
      </c>
      <c r="C131" s="6" t="inlineStr">
        <is>
          <t>Managing Director, Field Operations</t>
        </is>
      </c>
      <c r="D131" s="7" t="inlineStr">
        <is>
          <t>Builds the wall, not the house</t>
        </is>
      </c>
      <c r="E131" s="8" t="n">
        <v>3</v>
      </c>
      <c r="F131" s="6" t="inlineStr">
        <is>
          <t>Builds the wall</t>
        </is>
      </c>
      <c r="G131" s="6" t="inlineStr">
        <is>
          <t>Houston, Harris, with Austin, Dallas and Fort Worth</t>
        </is>
      </c>
      <c r="H131" s="6" t="inlineStr">
        <is>
          <t>Runs its own prefabrication plant, founded 1938</t>
        </is>
      </c>
      <c r="I131" s="8" t="inlineStr">
        <is>
          <t>Yes</t>
        </is>
      </c>
      <c r="J131" s="9" t="inlineStr">
        <is>
          <t>Repeat interior wall and ceiling packages in one metro.</t>
        </is>
      </c>
      <c r="K131" s="8" t="inlineStr">
        <is>
          <t>Partly</t>
        </is>
      </c>
      <c r="L131" s="9" t="inlineStr">
        <is>
          <t>No employee count or annual unit figure published.</t>
        </is>
      </c>
      <c r="M131" s="8" t="inlineStr">
        <is>
          <t>Partly</t>
        </is>
      </c>
      <c r="N131" s="9" t="inlineStr">
        <is>
          <t>Built and staffed a prefabrication plant. Publishes its savings on a hospital project.</t>
        </is>
      </c>
      <c r="O131" s="10" t="inlineStr"/>
      <c r="P131" s="6">
        <f>HYPERLINK("https://www.linkedin.com/search/results/people/?keywords=Jorge%20Rodriguez%20MAREK","search")</f>
        <v/>
      </c>
      <c r="Q131" s="11">
        <f>IF(O131="","ADD LINKEDIN","ok")</f>
        <v/>
      </c>
      <c r="R131" s="6" t="inlineStr">
        <is>
          <t>https://www.marekbros.com/houston/</t>
        </is>
      </c>
      <c r="S131" s="9" t="inlineStr">
        <is>
          <t>It runs separate multifamily and single family divisions, but its walls are interior and non-structural.</t>
        </is>
      </c>
      <c r="T131" s="6" t="inlineStr"/>
      <c r="U131" s="9" t="inlineStr"/>
      <c r="V131" s="6" t="inlineStr"/>
      <c r="W131" s="6" t="inlineStr"/>
      <c r="X131" s="6" t="inlineStr"/>
      <c r="Y131" s="6" t="inlineStr"/>
      <c r="Z131" s="6" t="inlineStr">
        <is>
          <t>(713) 681-2626</t>
        </is>
      </c>
      <c r="AA131" s="6" t="inlineStr">
        <is>
          <t>commercial, Judiway Street</t>
        </is>
      </c>
      <c r="AB131" s="6" t="inlineStr">
        <is>
          <t>https://www.marekbros.com/houston/</t>
        </is>
      </c>
      <c r="AC131" s="6" t="inlineStr"/>
      <c r="AD131" s="6" t="inlineStr"/>
    </row>
    <row r="132">
      <c r="A132" s="12" t="inlineStr">
        <is>
          <t>no contact identified</t>
        </is>
      </c>
      <c r="B132" s="12" t="inlineStr">
        <is>
          <t>Omega Industries</t>
        </is>
      </c>
      <c r="C132" s="12" t="inlineStr"/>
      <c r="D132" s="13" t="inlineStr">
        <is>
          <t>Builds the wall, not the house</t>
        </is>
      </c>
      <c r="E132" s="14" t="n">
        <v>3</v>
      </c>
      <c r="F132" s="12" t="inlineStr">
        <is>
          <t>Builds the wall</t>
        </is>
      </c>
      <c r="G132" s="12" t="inlineStr">
        <is>
          <t>Houston, within a footprint including Dallas, Austin, San Antonio and Los Angeles</t>
        </is>
      </c>
      <c r="H132" s="12" t="inlineStr">
        <is>
          <t>$30 million bonding capacity, 1,200-plus projects</t>
        </is>
      </c>
      <c r="I132" s="14" t="inlineStr">
        <is>
          <t>Yes</t>
        </is>
      </c>
      <c r="J132" s="15" t="inlineStr">
        <is>
          <t>Repeat work across a multi-city footprint including Houston.</t>
        </is>
      </c>
      <c r="K132" s="14" t="inlineStr">
        <is>
          <t>Partly</t>
        </is>
      </c>
      <c r="L132" s="15" t="inlineStr">
        <is>
          <t>Bonded at $30 million across four cities, placing more material than one or two printers cover.</t>
        </is>
      </c>
      <c r="M132" s="14" t="inlineStr">
        <is>
          <t>Partly</t>
        </is>
      </c>
      <c r="N132" s="15" t="inlineStr">
        <is>
          <t>Four placement methods, including fiber-reinforced shotcrete, each with its own equipment and crew training.</t>
        </is>
      </c>
      <c r="O132" s="10" t="inlineStr"/>
      <c r="P132" s="12" t="inlineStr"/>
      <c r="Q132" s="16">
        <f>IF(O132="","ADD LINKEDIN","ok")</f>
        <v/>
      </c>
      <c r="R132" s="12" t="inlineStr">
        <is>
          <t>https://omegaindinc.com/houston/service/gunite-shotcrete/</t>
        </is>
      </c>
      <c r="S132" s="15" t="inlineStr">
        <is>
          <t>Already shoots gunite and shotcrete through a nozzle to a profile, but works more material than one or two printers would cover.</t>
        </is>
      </c>
      <c r="T132" s="12" t="inlineStr"/>
      <c r="U132" s="15" t="inlineStr"/>
      <c r="V132" s="12" t="inlineStr"/>
      <c r="W132" s="12" t="inlineStr"/>
      <c r="X132" s="12" t="inlineStr"/>
      <c r="Y132" s="12" t="inlineStr"/>
      <c r="Z132" s="12" t="inlineStr">
        <is>
          <t>(972) 532-3340</t>
        </is>
      </c>
      <c r="AA132" s="12" t="inlineStr">
        <is>
          <t>Dallas, the only number published</t>
        </is>
      </c>
      <c r="AB132" s="12" t="inlineStr">
        <is>
          <t>https://omegaindinc.com/houston/contact-us/</t>
        </is>
      </c>
      <c r="AC132" s="12" t="inlineStr"/>
      <c r="AD132" s="12" t="inlineStr"/>
    </row>
    <row r="133">
      <c r="A133" s="6" t="inlineStr">
        <is>
          <t>Greg Elliott</t>
        </is>
      </c>
      <c r="B133" s="6" t="inlineStr">
        <is>
          <t>Tindall Corporation, Texas division</t>
        </is>
      </c>
      <c r="C133" s="6" t="inlineStr">
        <is>
          <t>Vice President, and the outgoing Texas general manager</t>
        </is>
      </c>
      <c r="D133" s="7" t="inlineStr">
        <is>
          <t>Builds the wall, not the house</t>
        </is>
      </c>
      <c r="E133" s="8" t="n">
        <v>3</v>
      </c>
      <c r="F133" s="6" t="inlineStr">
        <is>
          <t>Builds the wall</t>
        </is>
      </c>
      <c r="G133" s="6" t="inlineStr">
        <is>
          <t>San Antonio</t>
        </is>
      </c>
      <c r="H133" s="6" t="inlineStr">
        <is>
          <t>40-acre plant, 190-plus employees</t>
        </is>
      </c>
      <c r="I133" s="8" t="inlineStr">
        <is>
          <t>Yes</t>
        </is>
      </c>
      <c r="J133" s="9" t="inlineStr">
        <is>
          <t>Elements and modular cells cast from one plant for one region.</t>
        </is>
      </c>
      <c r="K133" s="8" t="inlineStr">
        <is>
          <t>Partly</t>
        </is>
      </c>
      <c r="L133" s="9" t="inlineStr">
        <is>
          <t>Forty acres and 190 people, beyond one or two printers. Product is commercial and data center.</t>
        </is>
      </c>
      <c r="M133" s="8" t="inlineStr">
        <is>
          <t>Partly</t>
        </is>
      </c>
      <c r="N133" s="9" t="inlineStr">
        <is>
          <t>Added a modular cell line, needing new molds and handling. Not a new building method.</t>
        </is>
      </c>
      <c r="O133" s="6" t="inlineStr">
        <is>
          <t>https://www.linkedin.com/in/greg-elliott-824a1458/</t>
        </is>
      </c>
      <c r="P133" s="6" t="inlineStr"/>
      <c r="Q133" s="11">
        <f>IF(O133="","ADD LINKEDIN","ok")</f>
        <v/>
      </c>
      <c r="R133" s="6" t="inlineStr">
        <is>
          <t>https://tindallcorp.com/</t>
        </is>
      </c>
      <c r="S133" s="9" t="inlineStr">
        <is>
          <t>Its general manager wants to widen what the plant makes, but its product is commercial and data center work.</t>
        </is>
      </c>
      <c r="T133" s="6" t="inlineStr"/>
      <c r="U133" s="9" t="inlineStr">
        <is>
          <t>Release names him vice president and outgoing general manager. Profile still says general manager.</t>
        </is>
      </c>
      <c r="V133" s="6" t="inlineStr"/>
      <c r="W133" s="6" t="inlineStr"/>
      <c r="X133" s="6" t="inlineStr"/>
      <c r="Y133" s="6" t="inlineStr"/>
      <c r="Z133" s="6" t="inlineStr">
        <is>
          <t>(800) 280-1215</t>
        </is>
      </c>
      <c r="AA133" s="6" t="inlineStr">
        <is>
          <t>Texas division main</t>
        </is>
      </c>
      <c r="AB133" s="6" t="inlineStr">
        <is>
          <t>https://tindallcorp.com/contact/</t>
        </is>
      </c>
      <c r="AC133" s="6" t="inlineStr"/>
      <c r="AD133" s="6" t="inlineStr"/>
    </row>
    <row r="134">
      <c r="A134" s="12" t="inlineStr">
        <is>
          <t>Cecil Casinger</t>
        </is>
      </c>
      <c r="B134" s="12" t="inlineStr">
        <is>
          <t>Tindall Corporation, Texas division</t>
        </is>
      </c>
      <c r="C134" s="12" t="inlineStr">
        <is>
          <t>General Manager, Tindall Building Systems Texas</t>
        </is>
      </c>
      <c r="D134" s="13" t="inlineStr">
        <is>
          <t>Builds the wall, not the house</t>
        </is>
      </c>
      <c r="E134" s="14" t="n">
        <v>3</v>
      </c>
      <c r="F134" s="12" t="inlineStr">
        <is>
          <t>Builds the wall</t>
        </is>
      </c>
      <c r="G134" s="12" t="inlineStr">
        <is>
          <t>San Antonio</t>
        </is>
      </c>
      <c r="H134" s="12" t="inlineStr">
        <is>
          <t>40-acre plant, 190-plus employees</t>
        </is>
      </c>
      <c r="I134" s="14" t="inlineStr">
        <is>
          <t>Yes</t>
        </is>
      </c>
      <c r="J134" s="15" t="inlineStr">
        <is>
          <t>Elements and modular cells cast from one plant for one region.</t>
        </is>
      </c>
      <c r="K134" s="14" t="inlineStr">
        <is>
          <t>Partly</t>
        </is>
      </c>
      <c r="L134" s="15" t="inlineStr">
        <is>
          <t>Forty acres and 190 people, beyond one or two printers. Product is commercial and data center.</t>
        </is>
      </c>
      <c r="M134" s="14" t="inlineStr">
        <is>
          <t>Partly</t>
        </is>
      </c>
      <c r="N134" s="15" t="inlineStr">
        <is>
          <t>Added a modular cell line, needing new molds and handling. Not a new building method.</t>
        </is>
      </c>
      <c r="O134" s="10" t="inlineStr"/>
      <c r="P134" s="12" t="inlineStr"/>
      <c r="Q134" s="16">
        <f>IF(O134="","ADD LINKEDIN","ok")</f>
        <v/>
      </c>
      <c r="R134" s="12" t="inlineStr">
        <is>
          <t>https://tindallcorp.com/</t>
        </is>
      </c>
      <c r="S134" s="15" t="inlineStr">
        <is>
          <t>Its general manager wants to widen what the plant makes, but its product is commercial and data center work.</t>
        </is>
      </c>
      <c r="T134" s="12" t="inlineStr">
        <is>
          <t>YES</t>
        </is>
      </c>
      <c r="U134" s="15" t="inlineStr">
        <is>
          <t>Firm's release welcoming him. Eighteen years in precast.</t>
        </is>
      </c>
      <c r="V134" s="12" t="inlineStr">
        <is>
          <t>https://tindallcorp.com/tindall-corporation-welcomes-new-general-manager/</t>
        </is>
      </c>
      <c r="W134" s="12" t="inlineStr"/>
      <c r="X134" s="12" t="inlineStr"/>
      <c r="Y134" s="12" t="inlineStr"/>
      <c r="Z134" s="12" t="inlineStr">
        <is>
          <t>(800) 280-1215</t>
        </is>
      </c>
      <c r="AA134" s="12" t="inlineStr">
        <is>
          <t>Texas division main</t>
        </is>
      </c>
      <c r="AB134" s="12" t="inlineStr">
        <is>
          <t>https://tindallcorp.com/contact/</t>
        </is>
      </c>
      <c r="AC134" s="12" t="inlineStr"/>
      <c r="AD134" s="12" t="inlineStr"/>
    </row>
    <row r="135">
      <c r="A135" s="6" t="inlineStr">
        <is>
          <t>Hachem Domloj</t>
        </is>
      </c>
      <c r="B135" s="6" t="inlineStr">
        <is>
          <t>CIVE</t>
        </is>
      </c>
      <c r="C135" s="6" t="inlineStr">
        <is>
          <t>Founder and Chief Executive Officer</t>
        </is>
      </c>
      <c r="D135" s="7" t="inlineStr">
        <is>
          <t>Builds the wall, not the house</t>
        </is>
      </c>
      <c r="E135" s="8" t="n">
        <v>3</v>
      </c>
      <c r="F135" s="6" t="inlineStr">
        <is>
          <t>Buys walls</t>
        </is>
      </c>
      <c r="G135" s="6" t="inlineStr">
        <is>
          <t>Houston, Harris</t>
        </is>
      </c>
      <c r="H135" s="6" t="inlineStr">
        <is>
          <t>Engineer and design-build partner on the printed house in Spring Branch</t>
        </is>
      </c>
      <c r="I135" s="8" t="inlineStr">
        <is>
          <t>Partly</t>
        </is>
      </c>
      <c r="J135" s="9" t="inlineStr">
        <is>
          <t>Design-build projects, each one different.</t>
        </is>
      </c>
      <c r="K135" s="8" t="inlineStr">
        <is>
          <t>Partly</t>
        </is>
      </c>
      <c r="L135" s="9" t="inlineStr">
        <is>
          <t>No headcount, revenue or annual project figure published.</t>
        </is>
      </c>
      <c r="M135" s="8" t="inlineStr">
        <is>
          <t>Yes</t>
        </is>
      </c>
      <c r="N135" s="9" t="inlineStr">
        <is>
          <t>Delivered a printed house with a printing contractor. Publishes it on its site.</t>
        </is>
      </c>
      <c r="O135" s="6" t="inlineStr">
        <is>
          <t>https://www.linkedin.com/in/hachem-domloj/</t>
        </is>
      </c>
      <c r="P135" s="6" t="inlineStr"/>
      <c r="Q135" s="11">
        <f>IF(O135="","ADD LINKEDIN","ok")</f>
        <v/>
      </c>
      <c r="R135" s="6" t="inlineStr">
        <is>
          <t>https://cive.com/</t>
        </is>
      </c>
      <c r="S135" s="9" t="inlineStr">
        <is>
          <t>It has the technical staff to run a machine, but each design-build project is different and no annual project figure is published.</t>
        </is>
      </c>
      <c r="T135" s="6" t="inlineStr">
        <is>
          <t>YES</t>
        </is>
      </c>
      <c r="U135" s="9" t="inlineStr">
        <is>
          <t>Headline confirms title. Houston, Texas.</t>
        </is>
      </c>
      <c r="V135" s="6" t="inlineStr"/>
      <c r="W135" s="6" t="inlineStr"/>
      <c r="X135" s="6" t="inlineStr"/>
      <c r="Y135" s="6" t="inlineStr">
        <is>
          <t>2025-03 Construction In Focus. CIVE, Construction and Design at their Finest  https://constructioninfocus.com/2025/03/cive-construction-and-design-at-their-finest/</t>
        </is>
      </c>
      <c r="Z135" s="6" t="inlineStr">
        <is>
          <t>(281) 870-8727</t>
        </is>
      </c>
      <c r="AA135" s="6" t="inlineStr"/>
      <c r="AB135" s="6" t="inlineStr">
        <is>
          <t>https://cive.com/</t>
        </is>
      </c>
      <c r="AC135" s="6" t="inlineStr"/>
      <c r="AD135" s="6" t="inlineStr"/>
    </row>
    <row r="136">
      <c r="A136" s="12" t="inlineStr">
        <is>
          <t>Hikmat Zerbe</t>
        </is>
      </c>
      <c r="B136" s="12" t="inlineStr">
        <is>
          <t>CIVE</t>
        </is>
      </c>
      <c r="C136" s="12" t="inlineStr">
        <is>
          <t>Head of Structural Engineering</t>
        </is>
      </c>
      <c r="D136" s="13" t="inlineStr">
        <is>
          <t>Builds the wall, not the house</t>
        </is>
      </c>
      <c r="E136" s="14" t="n">
        <v>3</v>
      </c>
      <c r="F136" s="12" t="inlineStr">
        <is>
          <t>Buys walls</t>
        </is>
      </c>
      <c r="G136" s="12" t="inlineStr">
        <is>
          <t>Houston, Harris</t>
        </is>
      </c>
      <c r="H136" s="12" t="inlineStr">
        <is>
          <t>Engineer and design-build partner on the printed house in Spring Branch</t>
        </is>
      </c>
      <c r="I136" s="14" t="inlineStr">
        <is>
          <t>Partly</t>
        </is>
      </c>
      <c r="J136" s="15" t="inlineStr">
        <is>
          <t>Design-build projects, each one different.</t>
        </is>
      </c>
      <c r="K136" s="14" t="inlineStr">
        <is>
          <t>Partly</t>
        </is>
      </c>
      <c r="L136" s="15" t="inlineStr">
        <is>
          <t>No headcount, revenue or annual project figure published.</t>
        </is>
      </c>
      <c r="M136" s="14" t="inlineStr">
        <is>
          <t>Yes</t>
        </is>
      </c>
      <c r="N136" s="15" t="inlineStr">
        <is>
          <t>Delivered a printed house with a printing contractor. Publishes it on its site.</t>
        </is>
      </c>
      <c r="O136" s="6" t="inlineStr">
        <is>
          <t>https://www.linkedin.com/in/hikmat-zerbe-b3139669/</t>
        </is>
      </c>
      <c r="P136" s="12" t="inlineStr"/>
      <c r="Q136" s="16">
        <f>IF(O136="","ADD LINKEDIN","ok")</f>
        <v/>
      </c>
      <c r="R136" s="12" t="inlineStr">
        <is>
          <t>https://cive.com/</t>
        </is>
      </c>
      <c r="S136" s="15" t="inlineStr">
        <is>
          <t>It has the technical staff to run a machine, but each design-build project is different and no annual project figure is published.</t>
        </is>
      </c>
      <c r="T136" s="12" t="inlineStr"/>
      <c r="U136" s="15" t="inlineStr">
        <is>
          <t>Headline confirms title. Houston. Broadcast coverage quoted him on the printed house.</t>
        </is>
      </c>
      <c r="V136" s="12" t="inlineStr"/>
      <c r="W136" s="12" t="inlineStr"/>
      <c r="X136" s="12" t="inlineStr"/>
      <c r="Y136" s="12" t="inlineStr">
        <is>
          <t>2025-03 Construction In Focus. CIVE, Construction and Design at their Finest  https://constructioninfocus.com/2025/03/cive-construction-and-design-at-their-finest/</t>
        </is>
      </c>
      <c r="Z136" s="12" t="inlineStr">
        <is>
          <t>(281) 870-8727</t>
        </is>
      </c>
      <c r="AA136" s="12" t="inlineStr"/>
      <c r="AB136" s="12" t="inlineStr">
        <is>
          <t>https://cive.com/</t>
        </is>
      </c>
      <c r="AC136" s="12" t="inlineStr"/>
      <c r="AD136" s="12" t="inlineStr"/>
    </row>
    <row r="137">
      <c r="A137" s="6" t="inlineStr">
        <is>
          <t>Clemente Barrera</t>
        </is>
      </c>
      <c r="B137" s="6" t="inlineStr">
        <is>
          <t>CIVE</t>
        </is>
      </c>
      <c r="C137" s="6" t="inlineStr">
        <is>
          <t>Vice President of Construction</t>
        </is>
      </c>
      <c r="D137" s="7" t="inlineStr">
        <is>
          <t>Builds the wall, not the house</t>
        </is>
      </c>
      <c r="E137" s="8" t="n">
        <v>3</v>
      </c>
      <c r="F137" s="6" t="inlineStr">
        <is>
          <t>Buys walls</t>
        </is>
      </c>
      <c r="G137" s="6" t="inlineStr">
        <is>
          <t>Houston, Harris</t>
        </is>
      </c>
      <c r="H137" s="6" t="inlineStr">
        <is>
          <t>Engineer and design-build partner on the printed house in Spring Branch</t>
        </is>
      </c>
      <c r="I137" s="8" t="inlineStr">
        <is>
          <t>Partly</t>
        </is>
      </c>
      <c r="J137" s="9" t="inlineStr">
        <is>
          <t>Design-build projects, each one different.</t>
        </is>
      </c>
      <c r="K137" s="8" t="inlineStr">
        <is>
          <t>Partly</t>
        </is>
      </c>
      <c r="L137" s="9" t="inlineStr">
        <is>
          <t>No headcount, revenue or annual project figure published.</t>
        </is>
      </c>
      <c r="M137" s="8" t="inlineStr">
        <is>
          <t>Yes</t>
        </is>
      </c>
      <c r="N137" s="9" t="inlineStr">
        <is>
          <t>Delivered a printed house with a printing contractor. Publishes it on its site.</t>
        </is>
      </c>
      <c r="O137" s="10" t="inlineStr"/>
      <c r="P137" s="6">
        <f>HYPERLINK("https://www.linkedin.com/search/results/people/?keywords=Clemente%20Barrera%20CIVE","search")</f>
        <v/>
      </c>
      <c r="Q137" s="11">
        <f>IF(O137="","ADD LINKEDIN","ok")</f>
        <v/>
      </c>
      <c r="R137" s="6" t="inlineStr">
        <is>
          <t>https://cive.com/</t>
        </is>
      </c>
      <c r="S137" s="9" t="inlineStr">
        <is>
          <t>It has the technical staff to run a machine, but each design-build project is different and no annual project figure is published.</t>
        </is>
      </c>
      <c r="T137" s="6" t="inlineStr"/>
      <c r="U137" s="9" t="inlineStr">
        <is>
          <t>Headline confirms title. Houston, Texas.</t>
        </is>
      </c>
      <c r="V137" s="6" t="inlineStr"/>
      <c r="W137" s="6" t="inlineStr"/>
      <c r="X137" s="6" t="inlineStr"/>
      <c r="Y137" s="6" t="inlineStr">
        <is>
          <t>2025-03 Construction In Focus. CIVE, Construction and Design at their Finest  https://constructioninfocus.com/2025/03/cive-construction-and-design-at-their-finest/</t>
        </is>
      </c>
      <c r="Z137" s="6" t="inlineStr">
        <is>
          <t>(281) 870-8727</t>
        </is>
      </c>
      <c r="AA137" s="6" t="inlineStr"/>
      <c r="AB137" s="6" t="inlineStr">
        <is>
          <t>https://cive.com/</t>
        </is>
      </c>
      <c r="AC137" s="6" t="inlineStr"/>
      <c r="AD137" s="6" t="inlineStr"/>
    </row>
    <row r="138">
      <c r="A138" s="12" t="inlineStr">
        <is>
          <t>Kevin M. Camarata</t>
        </is>
      </c>
      <c r="B138" s="12" t="inlineStr">
        <is>
          <t>Camarata Masonry Systems</t>
        </is>
      </c>
      <c r="C138" s="12" t="inlineStr">
        <is>
          <t>Founder and Chief Executive Officer</t>
        </is>
      </c>
      <c r="D138" s="13" t="inlineStr">
        <is>
          <t>Builds the wall, not the house</t>
        </is>
      </c>
      <c r="E138" s="14" t="n">
        <v>3</v>
      </c>
      <c r="F138" s="12" t="inlineStr">
        <is>
          <t>Builds the wall</t>
        </is>
      </c>
      <c r="G138" s="12" t="inlineStr">
        <is>
          <t>Houston, West Hardy Road, with offices in Florida and North Carolina</t>
        </is>
      </c>
      <c r="H138" s="12" t="inlineStr">
        <is>
          <t>Publishes panelization of stone and masonry</t>
        </is>
      </c>
      <c r="I138" s="14" t="inlineStr">
        <is>
          <t>Yes</t>
        </is>
      </c>
      <c r="J138" s="15" t="inlineStr">
        <is>
          <t>Repeat masonry and stone on institutional and commercial work in one metro.</t>
        </is>
      </c>
      <c r="K138" s="14" t="inlineStr">
        <is>
          <t>Partly</t>
        </is>
      </c>
      <c r="L138" s="15" t="inlineStr">
        <is>
          <t>More wall than one or two printers would cover. Multi-family is one sector of eight.</t>
        </is>
      </c>
      <c r="M138" s="14" t="inlineStr">
        <is>
          <t>Partly</t>
        </is>
      </c>
      <c r="N138" s="15" t="inlineStr">
        <is>
          <t>Panelizing moves production into a shop. No record of adopting a new material.</t>
        </is>
      </c>
      <c r="O138" s="6" t="inlineStr">
        <is>
          <t>https://www.linkedin.com/in/kevin-camarata-6883731b9/</t>
        </is>
      </c>
      <c r="P138" s="12" t="inlineStr"/>
      <c r="Q138" s="16">
        <f>IF(O138="","ADD LINKEDIN","ok")</f>
        <v/>
      </c>
      <c r="R138" s="12" t="inlineStr">
        <is>
          <t>http://www.camaratamasonry.com/</t>
        </is>
      </c>
      <c r="S138" s="15" t="inlineStr">
        <is>
          <t>Panelizing already moves its production into a shop, but multi-family is one of eight sectors it works.</t>
        </is>
      </c>
      <c r="T138" s="12" t="inlineStr">
        <is>
          <t>YES</t>
        </is>
      </c>
      <c r="U138" s="15" t="inlineStr">
        <is>
          <t>AGC Houston and his profile headline give chief executive. Chairs the Natural Stone Foundation.</t>
        </is>
      </c>
      <c r="V138" s="12" t="inlineStr"/>
      <c r="W138" s="12" t="inlineStr"/>
      <c r="X138" s="12" t="inlineStr"/>
      <c r="Y138" s="12" t="inlineStr"/>
      <c r="Z138" s="12" t="inlineStr">
        <is>
          <t>(281) 876-1111</t>
        </is>
      </c>
      <c r="AA138" s="12" t="inlineStr">
        <is>
          <t>main</t>
        </is>
      </c>
      <c r="AB138" s="12" t="inlineStr">
        <is>
          <t>http://www.camaratamasonry.com/</t>
        </is>
      </c>
      <c r="AC138" s="12" t="inlineStr"/>
      <c r="AD138" s="12" t="inlineStr"/>
    </row>
    <row r="139">
      <c r="A139" s="6" t="inlineStr">
        <is>
          <t>Hussein Sinjari</t>
        </is>
      </c>
      <c r="B139" s="6" t="inlineStr">
        <is>
          <t>Legacy Precast</t>
        </is>
      </c>
      <c r="C139" s="6" t="inlineStr">
        <is>
          <t>Vice President</t>
        </is>
      </c>
      <c r="D139" s="7" t="inlineStr">
        <is>
          <t>Builds the wall, not the house</t>
        </is>
      </c>
      <c r="E139" s="8" t="n">
        <v>3</v>
      </c>
      <c r="F139" s="6" t="inlineStr">
        <is>
          <t>Builds the wall</t>
        </is>
      </c>
      <c r="G139" s="6" t="inlineStr">
        <is>
          <t>Brookshire, Waller County, about an hour from downtown Houston</t>
        </is>
      </c>
      <c r="H139" s="6" t="inlineStr">
        <is>
          <t>50-acre plant, batching well over 100 yards an hour</t>
        </is>
      </c>
      <c r="I139" s="8" t="inlineStr">
        <is>
          <t>Yes</t>
        </is>
      </c>
      <c r="J139" s="9" t="inlineStr">
        <is>
          <t>Eight certified product lines cast on the same beds in one plant.</t>
        </is>
      </c>
      <c r="K139" s="8" t="inlineStr">
        <is>
          <t>Partly</t>
        </is>
      </c>
      <c r="L139" s="9" t="inlineStr">
        <is>
          <t>Batches well over 100 yards an hour. A machine would be a line inside it.</t>
        </is>
      </c>
      <c r="M139" s="8" t="inlineStr">
        <is>
          <t>Partly</t>
        </is>
      </c>
      <c r="N139" s="9" t="inlineStr">
        <is>
          <t>Published EPDs in 2022 before any customer required them. An EPD is not a new way of building.</t>
        </is>
      </c>
      <c r="O139" s="6" t="inlineStr">
        <is>
          <t>https://www.linkedin.com/in/hussein-sinjari-53376545</t>
        </is>
      </c>
      <c r="P139" s="6" t="inlineStr"/>
      <c r="Q139" s="11">
        <f>IF(O139="","ADD LINKEDIN","ok")</f>
        <v/>
      </c>
      <c r="R139" s="6" t="inlineStr">
        <is>
          <t>https://www.legacyprecast.com/</t>
        </is>
      </c>
      <c r="S139" s="9" t="inlineStr">
        <is>
          <t>It already casts structural wall off site, but a printer would be one line inside it.</t>
        </is>
      </c>
      <c r="T139" s="6" t="inlineStr">
        <is>
          <t>YES</t>
        </is>
      </c>
      <c r="U139" s="9" t="inlineStr">
        <is>
          <t>Contact page. No president, owner or founder published. Highest rank disclosed.</t>
        </is>
      </c>
      <c r="V139" s="6" t="inlineStr"/>
      <c r="W139" s="6" t="inlineStr"/>
      <c r="X139" s="6" t="inlineStr"/>
      <c r="Y139" s="6" t="inlineStr"/>
      <c r="Z139" s="6" t="inlineStr">
        <is>
          <t>(281) 375-2050</t>
        </is>
      </c>
      <c r="AA139" s="6" t="inlineStr">
        <is>
          <t>direct line</t>
        </is>
      </c>
      <c r="AB139" s="6" t="inlineStr">
        <is>
          <t>https://www.legacyprecast.com/contact-us</t>
        </is>
      </c>
      <c r="AC139" s="6" t="inlineStr"/>
      <c r="AD139" s="6" t="inlineStr"/>
    </row>
    <row r="140">
      <c r="A140" s="12" t="inlineStr">
        <is>
          <t>Charles Franke</t>
        </is>
      </c>
      <c r="B140" s="12" t="inlineStr">
        <is>
          <t>Legacy Precast</t>
        </is>
      </c>
      <c r="C140" s="12" t="inlineStr">
        <is>
          <t>Chief of Estimating</t>
        </is>
      </c>
      <c r="D140" s="13" t="inlineStr">
        <is>
          <t>Builds the wall, not the house</t>
        </is>
      </c>
      <c r="E140" s="14" t="n">
        <v>3</v>
      </c>
      <c r="F140" s="12" t="inlineStr">
        <is>
          <t>Builds the wall</t>
        </is>
      </c>
      <c r="G140" s="12" t="inlineStr">
        <is>
          <t>Brookshire, Waller County, about an hour from downtown Houston</t>
        </is>
      </c>
      <c r="H140" s="12" t="inlineStr">
        <is>
          <t>50-acre plant, batching well over 100 yards an hour</t>
        </is>
      </c>
      <c r="I140" s="14" t="inlineStr">
        <is>
          <t>Yes</t>
        </is>
      </c>
      <c r="J140" s="15" t="inlineStr">
        <is>
          <t>Eight certified product lines cast on the same beds in one plant.</t>
        </is>
      </c>
      <c r="K140" s="14" t="inlineStr">
        <is>
          <t>Partly</t>
        </is>
      </c>
      <c r="L140" s="15" t="inlineStr">
        <is>
          <t>Batches well over 100 yards an hour. A machine would be a line inside it.</t>
        </is>
      </c>
      <c r="M140" s="14" t="inlineStr">
        <is>
          <t>Partly</t>
        </is>
      </c>
      <c r="N140" s="15" t="inlineStr">
        <is>
          <t>Published EPDs in 2022 before any customer required them. An EPD is not a new way of building.</t>
        </is>
      </c>
      <c r="O140" s="10" t="inlineStr"/>
      <c r="P140" s="12" t="inlineStr"/>
      <c r="Q140" s="16">
        <f>IF(O140="","ADD LINKEDIN","ok")</f>
        <v/>
      </c>
      <c r="R140" s="12" t="inlineStr">
        <is>
          <t>https://www.legacyprecast.com/</t>
        </is>
      </c>
      <c r="S140" s="15" t="inlineStr">
        <is>
          <t>It already casts structural wall off site, but a printer would be one line inside it.</t>
        </is>
      </c>
      <c r="T140" s="12" t="inlineStr"/>
      <c r="U140" s="15" t="inlineStr">
        <is>
          <t>Contact page.</t>
        </is>
      </c>
      <c r="V140" s="12" t="inlineStr">
        <is>
          <t>https://www.legacyprecast.com/contact-us</t>
        </is>
      </c>
      <c r="W140" s="12" t="inlineStr"/>
      <c r="X140" s="12" t="inlineStr"/>
      <c r="Y140" s="12" t="inlineStr"/>
      <c r="Z140" s="12" t="inlineStr">
        <is>
          <t>(281) 375-2050</t>
        </is>
      </c>
      <c r="AA140" s="12" t="inlineStr">
        <is>
          <t>direct line</t>
        </is>
      </c>
      <c r="AB140" s="12" t="inlineStr">
        <is>
          <t>https://www.legacyprecast.com/contact-us</t>
        </is>
      </c>
      <c r="AC140" s="12" t="inlineStr"/>
      <c r="AD140" s="12" t="inlineStr"/>
    </row>
    <row r="141">
      <c r="A141" s="6" t="inlineStr">
        <is>
          <t>Chris Richardson</t>
        </is>
      </c>
      <c r="B141" s="6" t="inlineStr">
        <is>
          <t>Blazer Building</t>
        </is>
      </c>
      <c r="C141" s="6" t="inlineStr">
        <is>
          <t>Founder</t>
        </is>
      </c>
      <c r="D141" s="7" t="inlineStr">
        <is>
          <t>Builds the wall, not the house</t>
        </is>
      </c>
      <c r="E141" s="8" t="n">
        <v>2</v>
      </c>
      <c r="F141" s="6" t="inlineStr">
        <is>
          <t>Builds the wall</t>
        </is>
      </c>
      <c r="G141" s="6" t="inlineStr">
        <is>
          <t>Houston, Harris, with Texas growth markets</t>
        </is>
      </c>
      <c r="H141" s="6" t="inlineStr">
        <is>
          <t>Over 44,000 apartment homes in 45-plus years</t>
        </is>
      </c>
      <c r="I141" s="8" t="inlineStr">
        <is>
          <t>Yes</t>
        </is>
      </c>
      <c r="J141" s="9" t="inlineStr">
        <is>
          <t>Garden-style and mid-rise buildings repeat across Texas markets.</t>
        </is>
      </c>
      <c r="K141" s="8" t="inlineStr">
        <is>
          <t>Partly</t>
        </is>
      </c>
      <c r="L141" s="9" t="inlineStr">
        <is>
          <t>Over 44,000 apartment homes in 45 years. A machine would sit with a subcontractor.</t>
        </is>
      </c>
      <c r="M141" s="8" t="inlineStr">
        <is>
          <t>No</t>
        </is>
      </c>
      <c r="N141" s="9" t="inlineStr">
        <is>
          <t>No method statement. Site lists building types only.</t>
        </is>
      </c>
      <c r="O141" s="10" t="inlineStr"/>
      <c r="P141" s="6" t="inlineStr"/>
      <c r="Q141" s="11">
        <f>IF(O141="","ADD LINKEDIN","ok")</f>
        <v/>
      </c>
      <c r="R141" s="6" t="inlineStr">
        <is>
          <t>https://www.blazerbuilding.com/</t>
        </is>
      </c>
      <c r="S141" s="9" t="inlineStr">
        <is>
          <t>It builds through trade partners rather than self-performing, so a machine would sit with a subcontractor.</t>
        </is>
      </c>
      <c r="T141" s="6" t="inlineStr"/>
      <c r="U141" s="9" t="inlineStr">
        <is>
          <t>Bio page: founded the company in 1978. Senior Leadership.</t>
        </is>
      </c>
      <c r="V141" s="6" t="inlineStr">
        <is>
          <t>https://www.blazerbuilding.com/team/chris-richardson/</t>
        </is>
      </c>
      <c r="W141" s="6" t="inlineStr"/>
      <c r="X141" s="6" t="inlineStr">
        <is>
          <t>https://www.blazerbuilding.com/who-we-are/</t>
        </is>
      </c>
      <c r="Y141" s="6" t="inlineStr"/>
      <c r="Z141" s="6" t="inlineStr">
        <is>
          <t>(713) 914-9200</t>
        </is>
      </c>
      <c r="AA141" s="6" t="inlineStr"/>
      <c r="AB141" s="6" t="inlineStr">
        <is>
          <t>https://www.blazerbuilding.com/</t>
        </is>
      </c>
      <c r="AC141" s="6" t="inlineStr"/>
      <c r="AD141" s="6" t="inlineStr"/>
    </row>
    <row r="142">
      <c r="A142" s="12" t="inlineStr">
        <is>
          <t>Chad Hillman</t>
        </is>
      </c>
      <c r="B142" s="12" t="inlineStr">
        <is>
          <t>Blazer Building</t>
        </is>
      </c>
      <c r="C142" s="12" t="inlineStr">
        <is>
          <t>President, Blazer Building Southwest</t>
        </is>
      </c>
      <c r="D142" s="13" t="inlineStr">
        <is>
          <t>Builds the wall, not the house</t>
        </is>
      </c>
      <c r="E142" s="14" t="n">
        <v>2</v>
      </c>
      <c r="F142" s="12" t="inlineStr">
        <is>
          <t>Builds the wall</t>
        </is>
      </c>
      <c r="G142" s="12" t="inlineStr">
        <is>
          <t>Houston, Harris, with Texas growth markets</t>
        </is>
      </c>
      <c r="H142" s="12" t="inlineStr">
        <is>
          <t>Over 44,000 apartment homes in 45-plus years</t>
        </is>
      </c>
      <c r="I142" s="14" t="inlineStr">
        <is>
          <t>Yes</t>
        </is>
      </c>
      <c r="J142" s="15" t="inlineStr">
        <is>
          <t>Garden-style and mid-rise buildings repeat across Texas markets.</t>
        </is>
      </c>
      <c r="K142" s="14" t="inlineStr">
        <is>
          <t>Partly</t>
        </is>
      </c>
      <c r="L142" s="15" t="inlineStr">
        <is>
          <t>Over 44,000 apartment homes in 45 years. A machine would sit with a subcontractor.</t>
        </is>
      </c>
      <c r="M142" s="14" t="inlineStr">
        <is>
          <t>No</t>
        </is>
      </c>
      <c r="N142" s="15" t="inlineStr">
        <is>
          <t>No method statement. Site lists building types only.</t>
        </is>
      </c>
      <c r="O142" s="10" t="inlineStr"/>
      <c r="P142" s="12" t="inlineStr"/>
      <c r="Q142" s="16">
        <f>IF(O142="","ADD LINKEDIN","ok")</f>
        <v/>
      </c>
      <c r="R142" s="12" t="inlineStr">
        <is>
          <t>https://www.blazerbuilding.com/</t>
        </is>
      </c>
      <c r="S142" s="15" t="inlineStr">
        <is>
          <t>It builds through trade partners rather than self-performing, so a machine would sit with a subcontractor.</t>
        </is>
      </c>
      <c r="T142" s="12" t="inlineStr"/>
      <c r="U142" s="15" t="inlineStr">
        <is>
          <t>Bio page. Runs operations, project management and finance. Formerly vice president of construction.</t>
        </is>
      </c>
      <c r="V142" s="12" t="inlineStr">
        <is>
          <t>https://www.blazerbuilding.com/team/chad-hillman/</t>
        </is>
      </c>
      <c r="W142" s="12" t="inlineStr"/>
      <c r="X142" s="12" t="inlineStr">
        <is>
          <t>https://www.blazerbuilding.com/who-we-are/</t>
        </is>
      </c>
      <c r="Y142" s="12" t="inlineStr"/>
      <c r="Z142" s="12" t="inlineStr">
        <is>
          <t>(713) 914-9200</t>
        </is>
      </c>
      <c r="AA142" s="12" t="inlineStr"/>
      <c r="AB142" s="12" t="inlineStr">
        <is>
          <t>https://www.blazerbuilding.com/</t>
        </is>
      </c>
      <c r="AC142" s="12" t="inlineStr"/>
      <c r="AD142" s="12" t="inlineStr"/>
    </row>
    <row r="143">
      <c r="A143" s="6" t="inlineStr">
        <is>
          <t>Matt Fuqua</t>
        </is>
      </c>
      <c r="B143" s="6" t="inlineStr">
        <is>
          <t>Blazer Building</t>
        </is>
      </c>
      <c r="C143" s="6" t="inlineStr">
        <is>
          <t>Business Development</t>
        </is>
      </c>
      <c r="D143" s="7" t="inlineStr">
        <is>
          <t>Builds the wall, not the house</t>
        </is>
      </c>
      <c r="E143" s="8" t="n">
        <v>2</v>
      </c>
      <c r="F143" s="6" t="inlineStr">
        <is>
          <t>Builds the wall</t>
        </is>
      </c>
      <c r="G143" s="6" t="inlineStr">
        <is>
          <t>Houston, Harris, with Texas growth markets</t>
        </is>
      </c>
      <c r="H143" s="6" t="inlineStr">
        <is>
          <t>Over 44,000 apartment homes in 45-plus years</t>
        </is>
      </c>
      <c r="I143" s="8" t="inlineStr">
        <is>
          <t>Yes</t>
        </is>
      </c>
      <c r="J143" s="9" t="inlineStr">
        <is>
          <t>Garden-style and mid-rise buildings repeat across Texas markets.</t>
        </is>
      </c>
      <c r="K143" s="8" t="inlineStr">
        <is>
          <t>Partly</t>
        </is>
      </c>
      <c r="L143" s="9" t="inlineStr">
        <is>
          <t>Over 44,000 apartment homes in 45 years. A machine would sit with a subcontractor.</t>
        </is>
      </c>
      <c r="M143" s="8" t="inlineStr">
        <is>
          <t>No</t>
        </is>
      </c>
      <c r="N143" s="9" t="inlineStr">
        <is>
          <t>No method statement. Site lists building types only.</t>
        </is>
      </c>
      <c r="O143" s="10" t="inlineStr"/>
      <c r="P143" s="6" t="inlineStr"/>
      <c r="Q143" s="11">
        <f>IF(O143="","ADD LINKEDIN","ok")</f>
        <v/>
      </c>
      <c r="R143" s="6" t="inlineStr">
        <is>
          <t>https://www.blazerbuilding.com/</t>
        </is>
      </c>
      <c r="S143" s="9" t="inlineStr">
        <is>
          <t>It builds through trade partners rather than self-performing, so a machine would sit with a subcontractor.</t>
        </is>
      </c>
      <c r="T143" s="6" t="inlineStr"/>
      <c r="U143" s="9" t="inlineStr">
        <is>
          <t>Bio page. Affordable, conventional multi-family and active adult housing. Over twenty years there.</t>
        </is>
      </c>
      <c r="V143" s="6" t="inlineStr">
        <is>
          <t>https://www.blazerbuilding.com/team/matt-fuqua/</t>
        </is>
      </c>
      <c r="W143" s="6" t="inlineStr"/>
      <c r="X143" s="6" t="inlineStr">
        <is>
          <t>https://www.blazerbuilding.com/who-we-are/</t>
        </is>
      </c>
      <c r="Y143" s="6" t="inlineStr"/>
      <c r="Z143" s="6" t="inlineStr">
        <is>
          <t>(713) 914-9200</t>
        </is>
      </c>
      <c r="AA143" s="6" t="inlineStr"/>
      <c r="AB143" s="6" t="inlineStr">
        <is>
          <t>https://www.blazerbuilding.com/</t>
        </is>
      </c>
      <c r="AC143" s="6" t="inlineStr"/>
      <c r="AD143" s="6" t="inlineStr"/>
    </row>
    <row r="144">
      <c r="A144" s="12" t="inlineStr">
        <is>
          <t>Brian Henderson</t>
        </is>
      </c>
      <c r="B144" s="12" t="inlineStr">
        <is>
          <t>Blazer Building</t>
        </is>
      </c>
      <c r="C144" s="12" t="inlineStr">
        <is>
          <t>Vice President of Construction</t>
        </is>
      </c>
      <c r="D144" s="13" t="inlineStr">
        <is>
          <t>Builds the wall, not the house</t>
        </is>
      </c>
      <c r="E144" s="14" t="n">
        <v>2</v>
      </c>
      <c r="F144" s="12" t="inlineStr">
        <is>
          <t>Builds the wall</t>
        </is>
      </c>
      <c r="G144" s="12" t="inlineStr">
        <is>
          <t>Houston, Harris, with Texas growth markets</t>
        </is>
      </c>
      <c r="H144" s="12" t="inlineStr">
        <is>
          <t>Over 44,000 apartment homes in 45-plus years</t>
        </is>
      </c>
      <c r="I144" s="14" t="inlineStr">
        <is>
          <t>Yes</t>
        </is>
      </c>
      <c r="J144" s="15" t="inlineStr">
        <is>
          <t>Garden-style and mid-rise buildings repeat across Texas markets.</t>
        </is>
      </c>
      <c r="K144" s="14" t="inlineStr">
        <is>
          <t>Partly</t>
        </is>
      </c>
      <c r="L144" s="15" t="inlineStr">
        <is>
          <t>Over 44,000 apartment homes in 45 years. A machine would sit with a subcontractor.</t>
        </is>
      </c>
      <c r="M144" s="14" t="inlineStr">
        <is>
          <t>No</t>
        </is>
      </c>
      <c r="N144" s="15" t="inlineStr">
        <is>
          <t>No method statement. Site lists building types only.</t>
        </is>
      </c>
      <c r="O144" s="10" t="inlineStr"/>
      <c r="P144" s="12" t="inlineStr"/>
      <c r="Q144" s="16">
        <f>IF(O144="","ADD LINKEDIN","ok")</f>
        <v/>
      </c>
      <c r="R144" s="12" t="inlineStr">
        <is>
          <t>https://www.blazerbuilding.com/</t>
        </is>
      </c>
      <c r="S144" s="15" t="inlineStr">
        <is>
          <t>It builds through trade partners rather than self-performing, so a machine would sit with a subcontractor.</t>
        </is>
      </c>
      <c r="T144" s="12" t="inlineStr"/>
      <c r="U144" s="15" t="inlineStr">
        <is>
          <t>Bio page. Joined 2014 as assistant superintendent. Listed under Senior Leadership and Construction Supervision.</t>
        </is>
      </c>
      <c r="V144" s="12" t="inlineStr">
        <is>
          <t>https://www.blazerbuilding.com/team/brian-henderson/</t>
        </is>
      </c>
      <c r="W144" s="12" t="inlineStr"/>
      <c r="X144" s="12" t="inlineStr">
        <is>
          <t>https://www.blazerbuilding.com/who-we-are/</t>
        </is>
      </c>
      <c r="Y144" s="12" t="inlineStr"/>
      <c r="Z144" s="12" t="inlineStr">
        <is>
          <t>(713) 914-9200</t>
        </is>
      </c>
      <c r="AA144" s="12" t="inlineStr"/>
      <c r="AB144" s="12" t="inlineStr">
        <is>
          <t>https://www.blazerbuilding.com/</t>
        </is>
      </c>
      <c r="AC144" s="12" t="inlineStr"/>
      <c r="AD144" s="12" t="inlineStr"/>
    </row>
    <row r="145">
      <c r="A145" s="6" t="inlineStr">
        <is>
          <t>Jeff Oliver</t>
        </is>
      </c>
      <c r="B145" s="6" t="inlineStr">
        <is>
          <t>Builders FirstSource</t>
        </is>
      </c>
      <c r="C145" s="6" t="inlineStr">
        <is>
          <t>Director of Truss and Wall Panels</t>
        </is>
      </c>
      <c r="D145" s="7" t="inlineStr">
        <is>
          <t>Builds the wall, not the house</t>
        </is>
      </c>
      <c r="E145" s="8" t="n">
        <v>2</v>
      </c>
      <c r="F145" s="6" t="inlineStr">
        <is>
          <t>Builds the wall</t>
        </is>
      </c>
      <c r="G145" s="6" t="inlineStr">
        <is>
          <t>Four Houston-area component plants: Conroe, Cut N Shoot, East Houston and Houston</t>
        </is>
      </c>
      <c r="H145" s="6" t="inlineStr">
        <is>
          <t>Four Houston-area component plants</t>
        </is>
      </c>
      <c r="I145" s="8" t="inlineStr">
        <is>
          <t>Yes</t>
        </is>
      </c>
      <c r="J145" s="9" t="inlineStr">
        <is>
          <t>Four Houston-area plants making wall panels and components repeatedly for production builders.</t>
        </is>
      </c>
      <c r="K145" s="8" t="inlineStr">
        <is>
          <t>No</t>
        </is>
      </c>
      <c r="L145" s="9" t="inlineStr">
        <is>
          <t>Four plants among 570 locations, beyond one or two printers. Purchasing sits at a national desk.</t>
        </is>
      </c>
      <c r="M145" s="8" t="inlineStr">
        <is>
          <t>Partly</t>
        </is>
      </c>
      <c r="N145" s="9" t="inlineStr">
        <is>
          <t>Runs automated robotic truss lines. Robotic trusses improve framing without replacing it.</t>
        </is>
      </c>
      <c r="O145" s="6" t="inlineStr">
        <is>
          <t>https://www.linkedin.com/in/jeff-oliver-ab686814/</t>
        </is>
      </c>
      <c r="P145" s="6" t="inlineStr"/>
      <c r="Q145" s="11">
        <f>IF(O145="","ADD LINKEDIN","ok")</f>
        <v/>
      </c>
      <c r="R145" s="6" t="inlineStr">
        <is>
          <t>https://www.bldr.com/</t>
        </is>
      </c>
      <c r="S145" s="9" t="inlineStr">
        <is>
          <t>Its scale is far beyond what one or two printers would cover, and purchasing sits at a national desk.</t>
        </is>
      </c>
      <c r="T145" s="6" t="inlineStr"/>
      <c r="U145" s="9" t="inlineStr">
        <is>
          <t>Profile headline shows no geography. Houston plants may not sit under him.</t>
        </is>
      </c>
      <c r="V145" s="6" t="inlineStr"/>
      <c r="W145" s="6" t="inlineStr"/>
      <c r="X145" s="6" t="inlineStr"/>
      <c r="Y145" s="6" t="inlineStr"/>
      <c r="Z145" s="6" t="inlineStr">
        <is>
          <t>(936) 703-2950</t>
        </is>
      </c>
      <c r="AA145" s="6" t="inlineStr">
        <is>
          <t>Cut N Shoot plant</t>
        </is>
      </c>
      <c r="AB145" s="6" t="inlineStr">
        <is>
          <t>https://www.bldr.com/location/cut-n-shoot-tx-truss/CUTNTXMF</t>
        </is>
      </c>
      <c r="AC145" s="6" t="inlineStr"/>
      <c r="AD145" s="6" t="inlineStr"/>
    </row>
    <row r="146">
      <c r="A146" s="12" t="inlineStr">
        <is>
          <t>Paul McCurdy</t>
        </is>
      </c>
      <c r="B146" s="12" t="inlineStr">
        <is>
          <t>City Masonry</t>
        </is>
      </c>
      <c r="C146" s="12" t="inlineStr">
        <is>
          <t>Chief Executive Officer</t>
        </is>
      </c>
      <c r="D146" s="13" t="inlineStr">
        <is>
          <t>Builds the wall, not the house</t>
        </is>
      </c>
      <c r="E146" s="14" t="n">
        <v>2</v>
      </c>
      <c r="F146" s="12" t="inlineStr">
        <is>
          <t>Builds the wall</t>
        </is>
      </c>
      <c r="G146" s="12" t="inlineStr">
        <is>
          <t>Tomball, serving Texas and the Gulf Coast</t>
        </is>
      </c>
      <c r="H146" s="12" t="inlineStr">
        <is>
          <t>Over 4 million square feet of masonry in one year, on its own count</t>
        </is>
      </c>
      <c r="I146" s="14" t="inlineStr">
        <is>
          <t>Yes</t>
        </is>
      </c>
      <c r="J146" s="15" t="inlineStr">
        <is>
          <t>Same trade repeated across one region.</t>
        </is>
      </c>
      <c r="K146" s="14" t="inlineStr">
        <is>
          <t>Partly</t>
        </is>
      </c>
      <c r="L146" s="15" t="inlineStr">
        <is>
          <t>More wall than one or two printers would cover.</t>
        </is>
      </c>
      <c r="M146" s="14" t="inlineStr">
        <is>
          <t>No</t>
        </is>
      </c>
      <c r="N146" s="15" t="inlineStr">
        <is>
          <t>No record of an unproven method. Published focus: craft and workforce training.</t>
        </is>
      </c>
      <c r="O146" s="10" t="inlineStr"/>
      <c r="P146" s="12" t="inlineStr"/>
      <c r="Q146" s="16">
        <f>IF(O146="","ADD LINKEDIN","ok")</f>
        <v/>
      </c>
      <c r="R146" s="12" t="inlineStr">
        <is>
          <t>https://www.citymasonry.com/</t>
        </is>
      </c>
      <c r="S146" s="15" t="inlineStr">
        <is>
          <t>It lays load-bearing masonry as well as veneer, but its volume is more wall than one or two printers would cover.</t>
        </is>
      </c>
      <c r="T146" s="12" t="inlineStr">
        <is>
          <t>YES</t>
        </is>
      </c>
      <c r="U146" s="15" t="inlineStr">
        <is>
          <t>Team page. Associated Masonry Contractors of Houston lists him as principal contact.</t>
        </is>
      </c>
      <c r="V146" s="12" t="inlineStr">
        <is>
          <t>https://www.citymasonry.com/team/</t>
        </is>
      </c>
      <c r="W146" s="12" t="inlineStr"/>
      <c r="X146" s="12" t="inlineStr"/>
      <c r="Y146" s="12" t="inlineStr"/>
      <c r="Z146" s="12" t="inlineStr">
        <is>
          <t>(713) 691-1000</t>
        </is>
      </c>
      <c r="AA146" s="12" t="inlineStr">
        <is>
          <t>main office</t>
        </is>
      </c>
      <c r="AB146" s="12" t="inlineStr">
        <is>
          <t>https://www.citymasonry.com/contact-us/</t>
        </is>
      </c>
      <c r="AC146" s="12" t="inlineStr"/>
      <c r="AD146" s="12" t="inlineStr"/>
    </row>
    <row r="147">
      <c r="A147" s="6" t="inlineStr">
        <is>
          <t>Glenn Whitehead</t>
        </is>
      </c>
      <c r="B147" s="6" t="inlineStr">
        <is>
          <t>City Masonry</t>
        </is>
      </c>
      <c r="C147" s="6" t="inlineStr">
        <is>
          <t>Chief Operating Officer</t>
        </is>
      </c>
      <c r="D147" s="7" t="inlineStr">
        <is>
          <t>Builds the wall, not the house</t>
        </is>
      </c>
      <c r="E147" s="8" t="n">
        <v>2</v>
      </c>
      <c r="F147" s="6" t="inlineStr">
        <is>
          <t>Builds the wall</t>
        </is>
      </c>
      <c r="G147" s="6" t="inlineStr">
        <is>
          <t>Tomball, serving Texas and the Gulf Coast</t>
        </is>
      </c>
      <c r="H147" s="6" t="inlineStr">
        <is>
          <t>Over 4 million square feet of masonry in one year, on its own count</t>
        </is>
      </c>
      <c r="I147" s="8" t="inlineStr">
        <is>
          <t>Yes</t>
        </is>
      </c>
      <c r="J147" s="9" t="inlineStr">
        <is>
          <t>Same trade repeated across one region.</t>
        </is>
      </c>
      <c r="K147" s="8" t="inlineStr">
        <is>
          <t>Partly</t>
        </is>
      </c>
      <c r="L147" s="9" t="inlineStr">
        <is>
          <t>More wall than one or two printers would cover.</t>
        </is>
      </c>
      <c r="M147" s="8" t="inlineStr">
        <is>
          <t>No</t>
        </is>
      </c>
      <c r="N147" s="9" t="inlineStr">
        <is>
          <t>No record of an unproven method. Published focus: craft and workforce training.</t>
        </is>
      </c>
      <c r="O147" s="10" t="inlineStr"/>
      <c r="P147" s="6" t="inlineStr"/>
      <c r="Q147" s="11">
        <f>IF(O147="","ADD LINKEDIN","ok")</f>
        <v/>
      </c>
      <c r="R147" s="6" t="inlineStr">
        <is>
          <t>https://www.citymasonry.com/</t>
        </is>
      </c>
      <c r="S147" s="9" t="inlineStr">
        <is>
          <t>It lays load-bearing masonry as well as veneer, but its volume is more wall than one or two printers would cover.</t>
        </is>
      </c>
      <c r="T147" s="6" t="inlineStr"/>
      <c r="U147" s="9" t="inlineStr"/>
      <c r="V147" s="6" t="inlineStr">
        <is>
          <t>https://www.citymasonry.com/team/</t>
        </is>
      </c>
      <c r="W147" s="6" t="inlineStr"/>
      <c r="X147" s="6" t="inlineStr"/>
      <c r="Y147" s="6" t="inlineStr"/>
      <c r="Z147" s="6" t="inlineStr">
        <is>
          <t>(713) 691-1000</t>
        </is>
      </c>
      <c r="AA147" s="6" t="inlineStr">
        <is>
          <t>main office</t>
        </is>
      </c>
      <c r="AB147" s="6" t="inlineStr">
        <is>
          <t>https://www.citymasonry.com/contact-us/</t>
        </is>
      </c>
      <c r="AC147" s="6" t="inlineStr"/>
      <c r="AD147" s="6" t="inlineStr"/>
    </row>
    <row r="148">
      <c r="A148" s="12" t="inlineStr">
        <is>
          <t>Edwin Rosales</t>
        </is>
      </c>
      <c r="B148" s="12" t="inlineStr">
        <is>
          <t>City Masonry</t>
        </is>
      </c>
      <c r="C148" s="12" t="inlineStr">
        <is>
          <t>Vice President of Operations</t>
        </is>
      </c>
      <c r="D148" s="13" t="inlineStr">
        <is>
          <t>Builds the wall, not the house</t>
        </is>
      </c>
      <c r="E148" s="14" t="n">
        <v>2</v>
      </c>
      <c r="F148" s="12" t="inlineStr">
        <is>
          <t>Builds the wall</t>
        </is>
      </c>
      <c r="G148" s="12" t="inlineStr">
        <is>
          <t>Tomball, serving Texas and the Gulf Coast</t>
        </is>
      </c>
      <c r="H148" s="12" t="inlineStr">
        <is>
          <t>Over 4 million square feet of masonry in one year, on its own count</t>
        </is>
      </c>
      <c r="I148" s="14" t="inlineStr">
        <is>
          <t>Yes</t>
        </is>
      </c>
      <c r="J148" s="15" t="inlineStr">
        <is>
          <t>Same trade repeated across one region.</t>
        </is>
      </c>
      <c r="K148" s="14" t="inlineStr">
        <is>
          <t>Partly</t>
        </is>
      </c>
      <c r="L148" s="15" t="inlineStr">
        <is>
          <t>More wall than one or two printers would cover.</t>
        </is>
      </c>
      <c r="M148" s="14" t="inlineStr">
        <is>
          <t>No</t>
        </is>
      </c>
      <c r="N148" s="15" t="inlineStr">
        <is>
          <t>No record of an unproven method. Published focus: craft and workforce training.</t>
        </is>
      </c>
      <c r="O148" s="10" t="inlineStr"/>
      <c r="P148" s="12" t="inlineStr"/>
      <c r="Q148" s="16">
        <f>IF(O148="","ADD LINKEDIN","ok")</f>
        <v/>
      </c>
      <c r="R148" s="12" t="inlineStr">
        <is>
          <t>https://www.citymasonry.com/</t>
        </is>
      </c>
      <c r="S148" s="15" t="inlineStr">
        <is>
          <t>It lays load-bearing masonry as well as veneer, but its volume is more wall than one or two printers would cover.</t>
        </is>
      </c>
      <c r="T148" s="12" t="inlineStr"/>
      <c r="U148" s="15" t="inlineStr"/>
      <c r="V148" s="12" t="inlineStr">
        <is>
          <t>https://www.citymasonry.com/team/</t>
        </is>
      </c>
      <c r="W148" s="12" t="inlineStr"/>
      <c r="X148" s="12" t="inlineStr"/>
      <c r="Y148" s="12" t="inlineStr"/>
      <c r="Z148" s="12" t="inlineStr">
        <is>
          <t>(713) 691-1000</t>
        </is>
      </c>
      <c r="AA148" s="12" t="inlineStr">
        <is>
          <t>main office</t>
        </is>
      </c>
      <c r="AB148" s="12" t="inlineStr">
        <is>
          <t>https://www.citymasonry.com/contact-us/</t>
        </is>
      </c>
      <c r="AC148" s="12" t="inlineStr"/>
      <c r="AD148" s="12" t="inlineStr"/>
    </row>
    <row r="149">
      <c r="A149" s="6" t="inlineStr">
        <is>
          <t>Brad Burrows</t>
        </is>
      </c>
      <c r="B149" s="6" t="inlineStr">
        <is>
          <t>City Masonry</t>
        </is>
      </c>
      <c r="C149" s="6" t="inlineStr">
        <is>
          <t>Chief Financial Officer</t>
        </is>
      </c>
      <c r="D149" s="7" t="inlineStr">
        <is>
          <t>Builds the wall, not the house</t>
        </is>
      </c>
      <c r="E149" s="8" t="n">
        <v>2</v>
      </c>
      <c r="F149" s="6" t="inlineStr">
        <is>
          <t>Builds the wall</t>
        </is>
      </c>
      <c r="G149" s="6" t="inlineStr">
        <is>
          <t>Tomball, serving Texas and the Gulf Coast</t>
        </is>
      </c>
      <c r="H149" s="6" t="inlineStr">
        <is>
          <t>Over 4 million square feet of masonry in one year, on its own count</t>
        </is>
      </c>
      <c r="I149" s="8" t="inlineStr">
        <is>
          <t>Yes</t>
        </is>
      </c>
      <c r="J149" s="9" t="inlineStr">
        <is>
          <t>Same trade repeated across one region.</t>
        </is>
      </c>
      <c r="K149" s="8" t="inlineStr">
        <is>
          <t>Partly</t>
        </is>
      </c>
      <c r="L149" s="9" t="inlineStr">
        <is>
          <t>More wall than one or two printers would cover.</t>
        </is>
      </c>
      <c r="M149" s="8" t="inlineStr">
        <is>
          <t>No</t>
        </is>
      </c>
      <c r="N149" s="9" t="inlineStr">
        <is>
          <t>No record of an unproven method. Published focus: craft and workforce training.</t>
        </is>
      </c>
      <c r="O149" s="10" t="inlineStr"/>
      <c r="P149" s="6" t="inlineStr"/>
      <c r="Q149" s="11">
        <f>IF(O149="","ADD LINKEDIN","ok")</f>
        <v/>
      </c>
      <c r="R149" s="6" t="inlineStr">
        <is>
          <t>https://www.citymasonry.com/</t>
        </is>
      </c>
      <c r="S149" s="9" t="inlineStr">
        <is>
          <t>It lays load-bearing masonry as well as veneer, but its volume is more wall than one or two printers would cover.</t>
        </is>
      </c>
      <c r="T149" s="6" t="inlineStr"/>
      <c r="U149" s="9" t="inlineStr"/>
      <c r="V149" s="6" t="inlineStr">
        <is>
          <t>https://www.citymasonry.com/team/</t>
        </is>
      </c>
      <c r="W149" s="6" t="inlineStr"/>
      <c r="X149" s="6" t="inlineStr"/>
      <c r="Y149" s="6" t="inlineStr"/>
      <c r="Z149" s="6" t="inlineStr">
        <is>
          <t>(713) 691-1000</t>
        </is>
      </c>
      <c r="AA149" s="6" t="inlineStr">
        <is>
          <t>main office</t>
        </is>
      </c>
      <c r="AB149" s="6" t="inlineStr">
        <is>
          <t>https://www.citymasonry.com/contact-us/</t>
        </is>
      </c>
      <c r="AC149" s="6" t="inlineStr"/>
      <c r="AD149" s="6" t="inlineStr"/>
    </row>
    <row r="150">
      <c r="A150" s="12" t="inlineStr">
        <is>
          <t>Bruce Wardlaw</t>
        </is>
      </c>
      <c r="B150" s="12" t="inlineStr">
        <is>
          <t>Coreslab Structures (Texas)</t>
        </is>
      </c>
      <c r="C150" s="12" t="inlineStr">
        <is>
          <t>Project Consultant, Houston, East Texas and Multifamily</t>
        </is>
      </c>
      <c r="D150" s="13" t="inlineStr">
        <is>
          <t>Builds the wall, not the house</t>
        </is>
      </c>
      <c r="E150" s="14" t="n">
        <v>2</v>
      </c>
      <c r="F150" s="12" t="inlineStr">
        <is>
          <t>Builds the wall</t>
        </is>
      </c>
      <c r="G150" s="12" t="inlineStr">
        <is>
          <t>Cedar Park plant, with a project consultant covering Houston</t>
        </is>
      </c>
      <c r="H150" s="12" t="inlineStr">
        <is>
          <t>The group's only Texas plant</t>
        </is>
      </c>
      <c r="I150" s="14" t="inlineStr">
        <is>
          <t>Yes</t>
        </is>
      </c>
      <c r="J150" s="15" t="inlineStr">
        <is>
          <t>Since 1988, architectural and structural products cast repeatedly from one Texas plant.</t>
        </is>
      </c>
      <c r="K150" s="14" t="inlineStr">
        <is>
          <t>Partly</t>
        </is>
      </c>
      <c r="L150" s="15" t="inlineStr">
        <is>
          <t>Larger than one or two printers would cover. Houston is a sales territory only.</t>
        </is>
      </c>
      <c r="M150" s="14" t="inlineStr">
        <is>
          <t>No</t>
        </is>
      </c>
      <c r="N150" s="15" t="inlineStr">
        <is>
          <t>No record of an unproven method.</t>
        </is>
      </c>
      <c r="O150" s="10" t="inlineStr"/>
      <c r="P150" s="12" t="inlineStr"/>
      <c r="Q150" s="16">
        <f>IF(O150="","ADD LINKEDIN","ok")</f>
        <v/>
      </c>
      <c r="R150" s="12" t="inlineStr">
        <is>
          <t>https://www.coreslab.com/locations/austin-texas-precast-concrete/</t>
        </is>
      </c>
      <c r="S150" s="15" t="inlineStr">
        <is>
          <t>Its staffing page names Houston and multifamily in one title, but Houston is a sales territory only.</t>
        </is>
      </c>
      <c r="T150" s="12" t="inlineStr"/>
      <c r="U150" s="15" t="inlineStr">
        <is>
          <t>Plant page.</t>
        </is>
      </c>
      <c r="V150" s="12" t="inlineStr">
        <is>
          <t>https://www.coreslab.com/locations/austin-texas-precast-concrete/</t>
        </is>
      </c>
      <c r="W150" s="12" t="inlineStr"/>
      <c r="X150" s="12" t="inlineStr"/>
      <c r="Y150" s="12" t="inlineStr"/>
      <c r="Z150" s="12" t="inlineStr">
        <is>
          <t>(512) 250-0755</t>
        </is>
      </c>
      <c r="AA150" s="12" t="inlineStr">
        <is>
          <t>main</t>
        </is>
      </c>
      <c r="AB150" s="12" t="inlineStr">
        <is>
          <t>https://www.coreslab.com/locations/austin-texas-precast-concrete/</t>
        </is>
      </c>
      <c r="AC150" s="12" t="inlineStr"/>
      <c r="AD150" s="12" t="inlineStr"/>
    </row>
    <row r="151">
      <c r="A151" s="6" t="inlineStr">
        <is>
          <t>Garrett Weidman, P.E.</t>
        </is>
      </c>
      <c r="B151" s="6" t="inlineStr">
        <is>
          <t>Coreslab Structures (Texas)</t>
        </is>
      </c>
      <c r="C151" s="6" t="inlineStr">
        <is>
          <t>Sales Manager</t>
        </is>
      </c>
      <c r="D151" s="7" t="inlineStr">
        <is>
          <t>Builds the wall, not the house</t>
        </is>
      </c>
      <c r="E151" s="8" t="n">
        <v>2</v>
      </c>
      <c r="F151" s="6" t="inlineStr">
        <is>
          <t>Builds the wall</t>
        </is>
      </c>
      <c r="G151" s="6" t="inlineStr">
        <is>
          <t>Cedar Park plant, with a project consultant covering Houston</t>
        </is>
      </c>
      <c r="H151" s="6" t="inlineStr">
        <is>
          <t>The group's only Texas plant</t>
        </is>
      </c>
      <c r="I151" s="8" t="inlineStr">
        <is>
          <t>Yes</t>
        </is>
      </c>
      <c r="J151" s="9" t="inlineStr">
        <is>
          <t>Since 1988, architectural and structural products cast repeatedly from one Texas plant.</t>
        </is>
      </c>
      <c r="K151" s="8" t="inlineStr">
        <is>
          <t>Partly</t>
        </is>
      </c>
      <c r="L151" s="9" t="inlineStr">
        <is>
          <t>Larger than one or two printers would cover. Houston is a sales territory only.</t>
        </is>
      </c>
      <c r="M151" s="8" t="inlineStr">
        <is>
          <t>No</t>
        </is>
      </c>
      <c r="N151" s="9" t="inlineStr">
        <is>
          <t>No record of an unproven method.</t>
        </is>
      </c>
      <c r="O151" s="10" t="inlineStr"/>
      <c r="P151" s="6" t="inlineStr"/>
      <c r="Q151" s="11">
        <f>IF(O151="","ADD LINKEDIN","ok")</f>
        <v/>
      </c>
      <c r="R151" s="6" t="inlineStr">
        <is>
          <t>https://www.coreslab.com/locations/austin-texas-precast-concrete/</t>
        </is>
      </c>
      <c r="S151" s="9" t="inlineStr">
        <is>
          <t>Its staffing page names Houston and multifamily in one title, but Houston is a sales territory only.</t>
        </is>
      </c>
      <c r="T151" s="6" t="inlineStr"/>
      <c r="U151" s="9" t="inlineStr">
        <is>
          <t>Plant page, with a direct line.</t>
        </is>
      </c>
      <c r="V151" s="6" t="inlineStr">
        <is>
          <t>https://www.coreslab.com/locations/austin-texas-precast-concrete/</t>
        </is>
      </c>
      <c r="W151" s="6" t="inlineStr"/>
      <c r="X151" s="6" t="inlineStr"/>
      <c r="Y151" s="6" t="inlineStr"/>
      <c r="Z151" s="6" t="inlineStr">
        <is>
          <t>(512) 250-0755</t>
        </is>
      </c>
      <c r="AA151" s="6" t="inlineStr">
        <is>
          <t>main</t>
        </is>
      </c>
      <c r="AB151" s="6" t="inlineStr">
        <is>
          <t>https://www.coreslab.com/locations/austin-texas-precast-concrete/</t>
        </is>
      </c>
      <c r="AC151" s="6" t="inlineStr"/>
      <c r="AD151" s="6" t="inlineStr"/>
    </row>
    <row r="152">
      <c r="A152" s="12" t="inlineStr">
        <is>
          <t>Robb Harrington</t>
        </is>
      </c>
      <c r="B152" s="12" t="inlineStr">
        <is>
          <t>Coreslab Structures (Texas)</t>
        </is>
      </c>
      <c r="C152" s="12" t="inlineStr">
        <is>
          <t>Project Consultant, Dallas-Fort Worth and North Texas</t>
        </is>
      </c>
      <c r="D152" s="13" t="inlineStr">
        <is>
          <t>Builds the wall, not the house</t>
        </is>
      </c>
      <c r="E152" s="14" t="n">
        <v>2</v>
      </c>
      <c r="F152" s="12" t="inlineStr">
        <is>
          <t>Builds the wall</t>
        </is>
      </c>
      <c r="G152" s="12" t="inlineStr">
        <is>
          <t>Cedar Park plant, with a project consultant covering Houston</t>
        </is>
      </c>
      <c r="H152" s="12" t="inlineStr">
        <is>
          <t>The group's only Texas plant</t>
        </is>
      </c>
      <c r="I152" s="14" t="inlineStr">
        <is>
          <t>Yes</t>
        </is>
      </c>
      <c r="J152" s="15" t="inlineStr">
        <is>
          <t>Since 1988, architectural and structural products cast repeatedly from one Texas plant.</t>
        </is>
      </c>
      <c r="K152" s="14" t="inlineStr">
        <is>
          <t>Partly</t>
        </is>
      </c>
      <c r="L152" s="15" t="inlineStr">
        <is>
          <t>Larger than one or two printers would cover. Houston is a sales territory only.</t>
        </is>
      </c>
      <c r="M152" s="14" t="inlineStr">
        <is>
          <t>No</t>
        </is>
      </c>
      <c r="N152" s="15" t="inlineStr">
        <is>
          <t>No record of an unproven method.</t>
        </is>
      </c>
      <c r="O152" s="10" t="inlineStr"/>
      <c r="P152" s="12" t="inlineStr"/>
      <c r="Q152" s="16">
        <f>IF(O152="","ADD LINKEDIN","ok")</f>
        <v/>
      </c>
      <c r="R152" s="12" t="inlineStr">
        <is>
          <t>https://www.coreslab.com/locations/austin-texas-precast-concrete/</t>
        </is>
      </c>
      <c r="S152" s="15" t="inlineStr">
        <is>
          <t>Its staffing page names Houston and multifamily in one title, but Houston is a sales territory only.</t>
        </is>
      </c>
      <c r="T152" s="12" t="inlineStr"/>
      <c r="U152" s="15" t="inlineStr">
        <is>
          <t>Plant page.</t>
        </is>
      </c>
      <c r="V152" s="12" t="inlineStr">
        <is>
          <t>https://www.coreslab.com/locations/austin-texas-precast-concrete/</t>
        </is>
      </c>
      <c r="W152" s="12" t="inlineStr"/>
      <c r="X152" s="12" t="inlineStr"/>
      <c r="Y152" s="12" t="inlineStr"/>
      <c r="Z152" s="12" t="inlineStr">
        <is>
          <t>(512) 250-0755</t>
        </is>
      </c>
      <c r="AA152" s="12" t="inlineStr">
        <is>
          <t>main</t>
        </is>
      </c>
      <c r="AB152" s="12" t="inlineStr">
        <is>
          <t>https://www.coreslab.com/locations/austin-texas-precast-concrete/</t>
        </is>
      </c>
      <c r="AC152" s="12" t="inlineStr"/>
      <c r="AD152" s="12" t="inlineStr"/>
    </row>
    <row r="153">
      <c r="A153" s="6" t="inlineStr">
        <is>
          <t>Trey Green</t>
        </is>
      </c>
      <c r="B153" s="6" t="inlineStr">
        <is>
          <t>Greco Structures</t>
        </is>
      </c>
      <c r="C153" s="6" t="inlineStr">
        <is>
          <t>Senior Vice President, Self Perform Group, Satterfield and Pontikes</t>
        </is>
      </c>
      <c r="D153" s="7" t="inlineStr">
        <is>
          <t>Builds the wall, not the house</t>
        </is>
      </c>
      <c r="E153" s="8" t="n">
        <v>2</v>
      </c>
      <c r="F153" s="6" t="inlineStr">
        <is>
          <t>Builds the wall</t>
        </is>
      </c>
      <c r="G153" s="6" t="inlineStr">
        <is>
          <t>Houston, working Harris and Fort Bend</t>
        </is>
      </c>
      <c r="H153" s="6" t="inlineStr">
        <is>
          <t>49 panels, tallest 52 feet 7 inches, on one job</t>
        </is>
      </c>
      <c r="I153" s="8" t="inlineStr">
        <is>
          <t>Yes</t>
        </is>
      </c>
      <c r="J153" s="9" t="inlineStr">
        <is>
          <t>Panel and deck work recurring across Houston projects.</t>
        </is>
      </c>
      <c r="K153" s="8" t="inlineStr">
        <is>
          <t>Partly</t>
        </is>
      </c>
      <c r="L153" s="9" t="inlineStr">
        <is>
          <t>No crew count or annual volume published. A purchase would clear through the parent's self-perform group.</t>
        </is>
      </c>
      <c r="M153" s="8" t="inlineStr">
        <is>
          <t>No</t>
        </is>
      </c>
      <c r="N153" s="9" t="inlineStr">
        <is>
          <t>No method statement.</t>
        </is>
      </c>
      <c r="O153" s="10" t="inlineStr"/>
      <c r="P153" s="6" t="inlineStr"/>
      <c r="Q153" s="11">
        <f>IF(O153="","ADD LINKEDIN","ok")</f>
        <v/>
      </c>
      <c r="R153" s="6" t="inlineStr">
        <is>
          <t>https://grecostructures.com/</t>
        </is>
      </c>
      <c r="S153" s="9" t="inlineStr">
        <is>
          <t>General contractors buy its work, and a purchase would clear through the parent's self-perform group.</t>
        </is>
      </c>
      <c r="T153" s="6" t="inlineStr">
        <is>
          <t>YES</t>
        </is>
      </c>
      <c r="U153" s="9" t="inlineStr">
        <is>
          <t>Parent's team page. Oversees Greco Structures, Rollcon, Rocket Pumping and Westway Construction.</t>
        </is>
      </c>
      <c r="V153" s="6" t="inlineStr">
        <is>
          <t>https://www.satpon.com/about/team/</t>
        </is>
      </c>
      <c r="W153" s="6" t="inlineStr"/>
      <c r="X153" s="6" t="inlineStr">
        <is>
          <t>https://www.satpon.com/about/team/</t>
        </is>
      </c>
      <c r="Y153" s="6" t="inlineStr"/>
      <c r="Z153" s="6" t="inlineStr">
        <is>
          <t>(713) 375-2380</t>
        </is>
      </c>
      <c r="AA153" s="6" t="inlineStr"/>
      <c r="AB153" s="6" t="inlineStr">
        <is>
          <t>https://grecostructures.com/contact/</t>
        </is>
      </c>
      <c r="AC153" s="6" t="inlineStr"/>
      <c r="AD153" s="6" t="inlineStr"/>
    </row>
    <row r="154">
      <c r="A154" s="12" t="inlineStr">
        <is>
          <t>George A. Pontikes Jr.</t>
        </is>
      </c>
      <c r="B154" s="12" t="inlineStr">
        <is>
          <t>Greco Structures</t>
        </is>
      </c>
      <c r="C154" s="12" t="inlineStr">
        <is>
          <t>Chief Executive Officer and Chairman, Satterfield and Pontikes</t>
        </is>
      </c>
      <c r="D154" s="13" t="inlineStr">
        <is>
          <t>Builds the wall, not the house</t>
        </is>
      </c>
      <c r="E154" s="14" t="n">
        <v>2</v>
      </c>
      <c r="F154" s="12" t="inlineStr">
        <is>
          <t>Builds the wall</t>
        </is>
      </c>
      <c r="G154" s="12" t="inlineStr">
        <is>
          <t>Houston, working Harris and Fort Bend</t>
        </is>
      </c>
      <c r="H154" s="12" t="inlineStr">
        <is>
          <t>49 panels, tallest 52 feet 7 inches, on one job</t>
        </is>
      </c>
      <c r="I154" s="14" t="inlineStr">
        <is>
          <t>Yes</t>
        </is>
      </c>
      <c r="J154" s="15" t="inlineStr">
        <is>
          <t>Panel and deck work recurring across Houston projects.</t>
        </is>
      </c>
      <c r="K154" s="14" t="inlineStr">
        <is>
          <t>Partly</t>
        </is>
      </c>
      <c r="L154" s="15" t="inlineStr">
        <is>
          <t>No crew count or annual volume published. A purchase would clear through the parent's self-perform group.</t>
        </is>
      </c>
      <c r="M154" s="14" t="inlineStr">
        <is>
          <t>No</t>
        </is>
      </c>
      <c r="N154" s="15" t="inlineStr">
        <is>
          <t>No method statement.</t>
        </is>
      </c>
      <c r="O154" s="10" t="inlineStr"/>
      <c r="P154" s="12" t="inlineStr"/>
      <c r="Q154" s="16">
        <f>IF(O154="","ADD LINKEDIN","ok")</f>
        <v/>
      </c>
      <c r="R154" s="12" t="inlineStr">
        <is>
          <t>https://grecostructures.com/</t>
        </is>
      </c>
      <c r="S154" s="15" t="inlineStr">
        <is>
          <t>General contractors buy its work, and a purchase would clear through the parent's self-perform group.</t>
        </is>
      </c>
      <c r="T154" s="12" t="inlineStr"/>
      <c r="U154" s="15" t="inlineStr">
        <is>
          <t>Parent's team page. Founded Satterfield and Pontikes with Tommy Satterfield in 1989.</t>
        </is>
      </c>
      <c r="V154" s="12" t="inlineStr">
        <is>
          <t>https://www.satpon.com/about/team/</t>
        </is>
      </c>
      <c r="W154" s="12" t="inlineStr"/>
      <c r="X154" s="12" t="inlineStr">
        <is>
          <t>https://www.satpon.com/about/team/</t>
        </is>
      </c>
      <c r="Y154" s="12" t="inlineStr"/>
      <c r="Z154" s="12" t="inlineStr">
        <is>
          <t>(713) 375-2380</t>
        </is>
      </c>
      <c r="AA154" s="12" t="inlineStr"/>
      <c r="AB154" s="12" t="inlineStr">
        <is>
          <t>https://grecostructures.com/contact/</t>
        </is>
      </c>
      <c r="AC154" s="12" t="inlineStr"/>
      <c r="AD154" s="12" t="inlineStr"/>
    </row>
    <row r="155">
      <c r="A155" s="6" t="inlineStr">
        <is>
          <t>Thomas Valentine</t>
        </is>
      </c>
      <c r="B155" s="6" t="inlineStr">
        <is>
          <t>Greco Structures</t>
        </is>
      </c>
      <c r="C155" s="6" t="inlineStr">
        <is>
          <t>Operations Manager</t>
        </is>
      </c>
      <c r="D155" s="7" t="inlineStr">
        <is>
          <t>Builds the wall, not the house</t>
        </is>
      </c>
      <c r="E155" s="8" t="n">
        <v>2</v>
      </c>
      <c r="F155" s="6" t="inlineStr">
        <is>
          <t>Builds the wall</t>
        </is>
      </c>
      <c r="G155" s="6" t="inlineStr">
        <is>
          <t>Houston, working Harris and Fort Bend</t>
        </is>
      </c>
      <c r="H155" s="6" t="inlineStr">
        <is>
          <t>49 panels, tallest 52 feet 7 inches, on one job</t>
        </is>
      </c>
      <c r="I155" s="8" t="inlineStr">
        <is>
          <t>Yes</t>
        </is>
      </c>
      <c r="J155" s="9" t="inlineStr">
        <is>
          <t>Panel and deck work recurring across Houston projects.</t>
        </is>
      </c>
      <c r="K155" s="8" t="inlineStr">
        <is>
          <t>Partly</t>
        </is>
      </c>
      <c r="L155" s="9" t="inlineStr">
        <is>
          <t>No crew count or annual volume published. A purchase would clear through the parent's self-perform group.</t>
        </is>
      </c>
      <c r="M155" s="8" t="inlineStr">
        <is>
          <t>No</t>
        </is>
      </c>
      <c r="N155" s="9" t="inlineStr">
        <is>
          <t>No method statement.</t>
        </is>
      </c>
      <c r="O155" s="6" t="inlineStr">
        <is>
          <t>https://www.linkedin.com/in/thomas-valentine-6b1a7b117/</t>
        </is>
      </c>
      <c r="P155" s="6" t="inlineStr"/>
      <c r="Q155" s="11">
        <f>IF(O155="","ADD LINKEDIN","ok")</f>
        <v/>
      </c>
      <c r="R155" s="6" t="inlineStr">
        <is>
          <t>https://grecostructures.com/</t>
        </is>
      </c>
      <c r="S155" s="9" t="inlineStr">
        <is>
          <t>General contractors buy its work, and a purchase would clear through the parent's self-perform group.</t>
        </is>
      </c>
      <c r="T155" s="6" t="inlineStr"/>
      <c r="U155" s="9" t="inlineStr">
        <is>
          <t>Headline confirms title. Spring, Texas.</t>
        </is>
      </c>
      <c r="V155" s="6" t="inlineStr"/>
      <c r="W155" s="6" t="inlineStr"/>
      <c r="X155" s="6" t="inlineStr">
        <is>
          <t>https://www.satpon.com/about/team/</t>
        </is>
      </c>
      <c r="Y155" s="6" t="inlineStr"/>
      <c r="Z155" s="6" t="inlineStr">
        <is>
          <t>(713) 375-2380</t>
        </is>
      </c>
      <c r="AA155" s="6" t="inlineStr"/>
      <c r="AB155" s="6" t="inlineStr">
        <is>
          <t>https://grecostructures.com/contact/</t>
        </is>
      </c>
      <c r="AC155" s="6" t="inlineStr"/>
      <c r="AD155" s="6" t="inlineStr"/>
    </row>
    <row r="156">
      <c r="A156" s="12" t="inlineStr">
        <is>
          <t>Jordan Lopez</t>
        </is>
      </c>
      <c r="B156" s="12" t="inlineStr">
        <is>
          <t>Greco Structures</t>
        </is>
      </c>
      <c r="C156" s="12" t="inlineStr">
        <is>
          <t>Business Development, Greco Structures and Rollcon</t>
        </is>
      </c>
      <c r="D156" s="13" t="inlineStr">
        <is>
          <t>Builds the wall, not the house</t>
        </is>
      </c>
      <c r="E156" s="14" t="n">
        <v>2</v>
      </c>
      <c r="F156" s="12" t="inlineStr">
        <is>
          <t>Builds the wall</t>
        </is>
      </c>
      <c r="G156" s="12" t="inlineStr">
        <is>
          <t>Houston, working Harris and Fort Bend</t>
        </is>
      </c>
      <c r="H156" s="12" t="inlineStr">
        <is>
          <t>49 panels, tallest 52 feet 7 inches, on one job</t>
        </is>
      </c>
      <c r="I156" s="14" t="inlineStr">
        <is>
          <t>Yes</t>
        </is>
      </c>
      <c r="J156" s="15" t="inlineStr">
        <is>
          <t>Panel and deck work recurring across Houston projects.</t>
        </is>
      </c>
      <c r="K156" s="14" t="inlineStr">
        <is>
          <t>Partly</t>
        </is>
      </c>
      <c r="L156" s="15" t="inlineStr">
        <is>
          <t>No crew count or annual volume published. A purchase would clear through the parent's self-perform group.</t>
        </is>
      </c>
      <c r="M156" s="14" t="inlineStr">
        <is>
          <t>No</t>
        </is>
      </c>
      <c r="N156" s="15" t="inlineStr">
        <is>
          <t>No method statement.</t>
        </is>
      </c>
      <c r="O156" s="6" t="inlineStr">
        <is>
          <t>https://www.linkedin.com/in/jordan-lopez-528225229/</t>
        </is>
      </c>
      <c r="P156" s="12" t="inlineStr"/>
      <c r="Q156" s="16">
        <f>IF(O156="","ADD LINKEDIN","ok")</f>
        <v/>
      </c>
      <c r="R156" s="12" t="inlineStr">
        <is>
          <t>https://grecostructures.com/</t>
        </is>
      </c>
      <c r="S156" s="15" t="inlineStr">
        <is>
          <t>General contractors buy its work, and a purchase would clear through the parent's self-perform group.</t>
        </is>
      </c>
      <c r="T156" s="12" t="inlineStr"/>
      <c r="U156" s="15" t="inlineStr">
        <is>
          <t>Headline: Business Development Specialist, Greco Structures &amp; Rollcon. Houston, Texas.</t>
        </is>
      </c>
      <c r="V156" s="12" t="inlineStr"/>
      <c r="W156" s="12" t="inlineStr"/>
      <c r="X156" s="12" t="inlineStr">
        <is>
          <t>https://www.satpon.com/about/team/</t>
        </is>
      </c>
      <c r="Y156" s="12" t="inlineStr"/>
      <c r="Z156" s="12" t="inlineStr">
        <is>
          <t>(713) 375-2380</t>
        </is>
      </c>
      <c r="AA156" s="12" t="inlineStr"/>
      <c r="AB156" s="12" t="inlineStr">
        <is>
          <t>https://grecostructures.com/contact/</t>
        </is>
      </c>
      <c r="AC156" s="12" t="inlineStr"/>
      <c r="AD156" s="12" t="inlineStr"/>
    </row>
    <row r="157">
      <c r="A157" s="6" t="inlineStr">
        <is>
          <t>David E. Harvey Sr.</t>
        </is>
      </c>
      <c r="B157" s="6" t="inlineStr">
        <is>
          <t>Harvey Cleary</t>
        </is>
      </c>
      <c r="C157" s="6" t="inlineStr">
        <is>
          <t>Founder</t>
        </is>
      </c>
      <c r="D157" s="7" t="inlineStr">
        <is>
          <t>Builds the wall, not the house</t>
        </is>
      </c>
      <c r="E157" s="8" t="n">
        <v>2</v>
      </c>
      <c r="F157" s="6" t="inlineStr">
        <is>
          <t>Builds the wall</t>
        </is>
      </c>
      <c r="G157" s="6" t="inlineStr">
        <is>
          <t>Houston, with Austin, San Antonio, Denver and Washington</t>
        </is>
      </c>
      <c r="H157" s="6" t="inlineStr">
        <is>
          <t>$2 billion in volume, 700-plus employees, founded 1957</t>
        </is>
      </c>
      <c r="I157" s="8" t="inlineStr">
        <is>
          <t>Yes</t>
        </is>
      </c>
      <c r="J157" s="9" t="inlineStr">
        <is>
          <t>Standing residential market. Multifamily buildings delivered repeatedly.</t>
        </is>
      </c>
      <c r="K157" s="8" t="inlineStr">
        <is>
          <t>Partly</t>
        </is>
      </c>
      <c r="L157" s="9" t="inlineStr">
        <is>
          <t>$2 billion volume, 700-plus staff, its own count. Printers would be a line item.</t>
        </is>
      </c>
      <c r="M157" s="8" t="inlineStr">
        <is>
          <t>No</t>
        </is>
      </c>
      <c r="N157" s="9" t="inlineStr">
        <is>
          <t>No method statement published.</t>
        </is>
      </c>
      <c r="O157" s="10" t="inlineStr"/>
      <c r="P157" s="6" t="inlineStr"/>
      <c r="Q157" s="11">
        <f>IF(O157="","ADD LINKEDIN","ok")</f>
        <v/>
      </c>
      <c r="R157" s="6" t="inlineStr">
        <is>
          <t>https://www.harveycleary.com/</t>
        </is>
      </c>
      <c r="S157" s="9" t="inlineStr">
        <is>
          <t>It self-performs formwork, rebar, tiltwall and precast, and builds apartments, but at its size printers would be a line item.</t>
        </is>
      </c>
      <c r="T157" s="6" t="inlineStr"/>
      <c r="U157" s="9" t="inlineStr">
        <is>
          <t>About page. Co-founded 1957 with Gerald D. Hines. Early tiltwall proponent.</t>
        </is>
      </c>
      <c r="V157" s="6" t="inlineStr">
        <is>
          <t>https://www.harveycleary.com/about-us/</t>
        </is>
      </c>
      <c r="W157" s="6" t="inlineStr"/>
      <c r="X157" s="6" t="inlineStr">
        <is>
          <t>https://www.harveycleary.com/about-us/</t>
        </is>
      </c>
      <c r="Y157" s="6" t="inlineStr">
        <is>
          <t>2026 Engineering News-Record. ENR 2026 Top 400 Contractors, where the firm is ranked 72  https://www.enr.com/toplists/2026-Top-400-Contractors-1</t>
        </is>
      </c>
      <c r="Z157" s="6" t="inlineStr"/>
      <c r="AA157" s="6" t="inlineStr"/>
      <c r="AB157" s="6" t="inlineStr"/>
      <c r="AC157" s="6" t="inlineStr"/>
      <c r="AD157" s="6" t="inlineStr"/>
    </row>
    <row r="158">
      <c r="A158" s="12" t="inlineStr">
        <is>
          <t>David Harvey Jr.</t>
        </is>
      </c>
      <c r="B158" s="12" t="inlineStr">
        <is>
          <t>Harvey Cleary</t>
        </is>
      </c>
      <c r="C158" s="12" t="inlineStr">
        <is>
          <t>Took ownership in 1987</t>
        </is>
      </c>
      <c r="D158" s="13" t="inlineStr">
        <is>
          <t>Builds the wall, not the house</t>
        </is>
      </c>
      <c r="E158" s="14" t="n">
        <v>2</v>
      </c>
      <c r="F158" s="12" t="inlineStr">
        <is>
          <t>Builds the wall</t>
        </is>
      </c>
      <c r="G158" s="12" t="inlineStr">
        <is>
          <t>Houston, with Austin, San Antonio, Denver and Washington</t>
        </is>
      </c>
      <c r="H158" s="12" t="inlineStr">
        <is>
          <t>$2 billion in volume, 700-plus employees, founded 1957</t>
        </is>
      </c>
      <c r="I158" s="14" t="inlineStr">
        <is>
          <t>Yes</t>
        </is>
      </c>
      <c r="J158" s="15" t="inlineStr">
        <is>
          <t>Standing residential market. Multifamily buildings delivered repeatedly.</t>
        </is>
      </c>
      <c r="K158" s="14" t="inlineStr">
        <is>
          <t>Partly</t>
        </is>
      </c>
      <c r="L158" s="15" t="inlineStr">
        <is>
          <t>$2 billion volume, 700-plus staff, its own count. Printers would be a line item.</t>
        </is>
      </c>
      <c r="M158" s="14" t="inlineStr">
        <is>
          <t>No</t>
        </is>
      </c>
      <c r="N158" s="15" t="inlineStr">
        <is>
          <t>No method statement published.</t>
        </is>
      </c>
      <c r="O158" s="10" t="inlineStr"/>
      <c r="P158" s="12" t="inlineStr"/>
      <c r="Q158" s="16">
        <f>IF(O158="","ADD LINKEDIN","ok")</f>
        <v/>
      </c>
      <c r="R158" s="12" t="inlineStr">
        <is>
          <t>https://www.harveycleary.com/</t>
        </is>
      </c>
      <c r="S158" s="15" t="inlineStr">
        <is>
          <t>It self-performs formwork, rebar, tiltwall and precast, and builds apartments, but at its size printers would be a line item.</t>
        </is>
      </c>
      <c r="T158" s="12" t="inlineStr"/>
      <c r="U158" s="15" t="inlineStr">
        <is>
          <t>About page. Joined 1977. Renamed it Harvey Cleary with Joseph Cleary.</t>
        </is>
      </c>
      <c r="V158" s="12" t="inlineStr">
        <is>
          <t>https://www.harveycleary.com/about-us/</t>
        </is>
      </c>
      <c r="W158" s="12" t="inlineStr"/>
      <c r="X158" s="12" t="inlineStr">
        <is>
          <t>https://www.harveycleary.com/about-us/</t>
        </is>
      </c>
      <c r="Y158" s="12" t="inlineStr">
        <is>
          <t>2026 Engineering News-Record. ENR 2026 Top 400 Contractors, where the firm is ranked 72  https://www.enr.com/toplists/2026-Top-400-Contractors-1</t>
        </is>
      </c>
      <c r="Z158" s="12" t="inlineStr"/>
      <c r="AA158" s="12" t="inlineStr"/>
      <c r="AB158" s="12" t="inlineStr"/>
      <c r="AC158" s="12" t="inlineStr"/>
      <c r="AD158" s="12" t="inlineStr"/>
    </row>
    <row r="159">
      <c r="A159" s="6" t="inlineStr">
        <is>
          <t>Joseph Cleary</t>
        </is>
      </c>
      <c r="B159" s="6" t="inlineStr">
        <is>
          <t>Harvey Cleary</t>
        </is>
      </c>
      <c r="C159" s="6" t="inlineStr">
        <is>
          <t>Took ownership in 1987</t>
        </is>
      </c>
      <c r="D159" s="7" t="inlineStr">
        <is>
          <t>Builds the wall, not the house</t>
        </is>
      </c>
      <c r="E159" s="8" t="n">
        <v>2</v>
      </c>
      <c r="F159" s="6" t="inlineStr">
        <is>
          <t>Builds the wall</t>
        </is>
      </c>
      <c r="G159" s="6" t="inlineStr">
        <is>
          <t>Houston, with Austin, San Antonio, Denver and Washington</t>
        </is>
      </c>
      <c r="H159" s="6" t="inlineStr">
        <is>
          <t>$2 billion in volume, 700-plus employees, founded 1957</t>
        </is>
      </c>
      <c r="I159" s="8" t="inlineStr">
        <is>
          <t>Yes</t>
        </is>
      </c>
      <c r="J159" s="9" t="inlineStr">
        <is>
          <t>Standing residential market. Multifamily buildings delivered repeatedly.</t>
        </is>
      </c>
      <c r="K159" s="8" t="inlineStr">
        <is>
          <t>Partly</t>
        </is>
      </c>
      <c r="L159" s="9" t="inlineStr">
        <is>
          <t>$2 billion volume, 700-plus staff, its own count. Printers would be a line item.</t>
        </is>
      </c>
      <c r="M159" s="8" t="inlineStr">
        <is>
          <t>No</t>
        </is>
      </c>
      <c r="N159" s="9" t="inlineStr">
        <is>
          <t>No method statement published.</t>
        </is>
      </c>
      <c r="O159" s="10" t="inlineStr"/>
      <c r="P159" s="6" t="inlineStr"/>
      <c r="Q159" s="11">
        <f>IF(O159="","ADD LINKEDIN","ok")</f>
        <v/>
      </c>
      <c r="R159" s="6" t="inlineStr">
        <is>
          <t>https://www.harveycleary.com/</t>
        </is>
      </c>
      <c r="S159" s="9" t="inlineStr">
        <is>
          <t>It self-performs formwork, rebar, tiltwall and precast, and builds apartments, but at its size printers would be a line item.</t>
        </is>
      </c>
      <c r="T159" s="6" t="inlineStr"/>
      <c r="U159" s="9" t="inlineStr">
        <is>
          <t>About page. Joined 1976. Renamed Harvey Builders to Harvey Cleary.</t>
        </is>
      </c>
      <c r="V159" s="6" t="inlineStr">
        <is>
          <t>https://www.harveycleary.com/about-us/</t>
        </is>
      </c>
      <c r="W159" s="6" t="inlineStr"/>
      <c r="X159" s="6" t="inlineStr">
        <is>
          <t>https://www.harveycleary.com/about-us/</t>
        </is>
      </c>
      <c r="Y159" s="6" t="inlineStr">
        <is>
          <t>2026 Engineering News-Record. ENR 2026 Top 400 Contractors, where the firm is ranked 72  https://www.enr.com/toplists/2026-Top-400-Contractors-1</t>
        </is>
      </c>
      <c r="Z159" s="6" t="inlineStr"/>
      <c r="AA159" s="6" t="inlineStr"/>
      <c r="AB159" s="6" t="inlineStr"/>
      <c r="AC159" s="6" t="inlineStr"/>
      <c r="AD159" s="6" t="inlineStr"/>
    </row>
    <row r="160">
      <c r="A160" s="12" t="inlineStr">
        <is>
          <t>Scott Clarke</t>
        </is>
      </c>
      <c r="B160" s="12" t="inlineStr">
        <is>
          <t>Harvey Cleary</t>
        </is>
      </c>
      <c r="C160" s="12" t="inlineStr">
        <is>
          <t>Chief Operating Officer</t>
        </is>
      </c>
      <c r="D160" s="13" t="inlineStr">
        <is>
          <t>Builds the wall, not the house</t>
        </is>
      </c>
      <c r="E160" s="14" t="n">
        <v>2</v>
      </c>
      <c r="F160" s="12" t="inlineStr">
        <is>
          <t>Builds the wall</t>
        </is>
      </c>
      <c r="G160" s="12" t="inlineStr">
        <is>
          <t>Houston, with Austin, San Antonio, Denver and Washington</t>
        </is>
      </c>
      <c r="H160" s="12" t="inlineStr">
        <is>
          <t>$2 billion in volume, 700-plus employees, founded 1957</t>
        </is>
      </c>
      <c r="I160" s="14" t="inlineStr">
        <is>
          <t>Yes</t>
        </is>
      </c>
      <c r="J160" s="15" t="inlineStr">
        <is>
          <t>Standing residential market. Multifamily buildings delivered repeatedly.</t>
        </is>
      </c>
      <c r="K160" s="14" t="inlineStr">
        <is>
          <t>Partly</t>
        </is>
      </c>
      <c r="L160" s="15" t="inlineStr">
        <is>
          <t>$2 billion volume, 700-plus staff, its own count. Printers would be a line item.</t>
        </is>
      </c>
      <c r="M160" s="14" t="inlineStr">
        <is>
          <t>No</t>
        </is>
      </c>
      <c r="N160" s="15" t="inlineStr">
        <is>
          <t>No method statement published.</t>
        </is>
      </c>
      <c r="O160" s="6" t="inlineStr">
        <is>
          <t>https://www.linkedin.com/in/scott-clarke-a2a1a521/</t>
        </is>
      </c>
      <c r="P160" s="12" t="inlineStr"/>
      <c r="Q160" s="16">
        <f>IF(O160="","ADD LINKEDIN","ok")</f>
        <v/>
      </c>
      <c r="R160" s="12" t="inlineStr">
        <is>
          <t>https://www.harveycleary.com/</t>
        </is>
      </c>
      <c r="S160" s="15" t="inlineStr">
        <is>
          <t>It self-performs formwork, rebar, tiltwall and precast, and builds apartments, but at its size printers would be a line item.</t>
        </is>
      </c>
      <c r="T160" s="12" t="inlineStr">
        <is>
          <t>YES</t>
        </is>
      </c>
      <c r="U160" s="15" t="inlineStr">
        <is>
          <t>LinkedIn headline: Chief Operating Officer, Harvey-Cleary Builders. Houston.</t>
        </is>
      </c>
      <c r="V160" s="12" t="inlineStr"/>
      <c r="W160" s="12" t="inlineStr"/>
      <c r="X160" s="12" t="inlineStr">
        <is>
          <t>https://www.harveycleary.com/about-us/</t>
        </is>
      </c>
      <c r="Y160" s="12" t="inlineStr">
        <is>
          <t>2026 Engineering News-Record. ENR 2026 Top 400 Contractors, where the firm is ranked 72  https://www.enr.com/toplists/2026-Top-400-Contractors-1</t>
        </is>
      </c>
      <c r="Z160" s="12" t="inlineStr"/>
      <c r="AA160" s="12" t="inlineStr"/>
      <c r="AB160" s="12" t="inlineStr"/>
      <c r="AC160" s="12" t="inlineStr"/>
      <c r="AD160" s="12" t="inlineStr"/>
    </row>
    <row r="161">
      <c r="A161" s="6" t="inlineStr">
        <is>
          <t>Jarrod Portelance</t>
        </is>
      </c>
      <c r="B161" s="6" t="inlineStr">
        <is>
          <t>Harvey Cleary</t>
        </is>
      </c>
      <c r="C161" s="6" t="inlineStr">
        <is>
          <t>Project Director</t>
        </is>
      </c>
      <c r="D161" s="7" t="inlineStr">
        <is>
          <t>Builds the wall, not the house</t>
        </is>
      </c>
      <c r="E161" s="8" t="n">
        <v>2</v>
      </c>
      <c r="F161" s="6" t="inlineStr">
        <is>
          <t>Builds the wall</t>
        </is>
      </c>
      <c r="G161" s="6" t="inlineStr">
        <is>
          <t>Houston, with Austin, San Antonio, Denver and Washington</t>
        </is>
      </c>
      <c r="H161" s="6" t="inlineStr">
        <is>
          <t>$2 billion in volume, 700-plus employees, founded 1957</t>
        </is>
      </c>
      <c r="I161" s="8" t="inlineStr">
        <is>
          <t>Yes</t>
        </is>
      </c>
      <c r="J161" s="9" t="inlineStr">
        <is>
          <t>Standing residential market. Multifamily buildings delivered repeatedly.</t>
        </is>
      </c>
      <c r="K161" s="8" t="inlineStr">
        <is>
          <t>Partly</t>
        </is>
      </c>
      <c r="L161" s="9" t="inlineStr">
        <is>
          <t>$2 billion volume, 700-plus staff, its own count. Printers would be a line item.</t>
        </is>
      </c>
      <c r="M161" s="8" t="inlineStr">
        <is>
          <t>No</t>
        </is>
      </c>
      <c r="N161" s="9" t="inlineStr">
        <is>
          <t>No method statement published.</t>
        </is>
      </c>
      <c r="O161" s="6" t="inlineStr">
        <is>
          <t>https://www.linkedin.com/in/jarrodportelance/</t>
        </is>
      </c>
      <c r="P161" s="6" t="inlineStr"/>
      <c r="Q161" s="11">
        <f>IF(O161="","ADD LINKEDIN","ok")</f>
        <v/>
      </c>
      <c r="R161" s="6" t="inlineStr">
        <is>
          <t>https://www.harveycleary.com/</t>
        </is>
      </c>
      <c r="S161" s="9" t="inlineStr">
        <is>
          <t>It self-performs formwork, rebar, tiltwall and precast, and builds apartments, but at its size printers would be a line item.</t>
        </is>
      </c>
      <c r="T161" s="6" t="inlineStr"/>
      <c r="U161" s="9" t="inlineStr">
        <is>
          <t>LinkedIn headline: Project Director, Harvey-Cleary Builders. Houston.</t>
        </is>
      </c>
      <c r="V161" s="6" t="inlineStr"/>
      <c r="W161" s="6" t="inlineStr"/>
      <c r="X161" s="6" t="inlineStr">
        <is>
          <t>https://www.harveycleary.com/about-us/</t>
        </is>
      </c>
      <c r="Y161" s="6" t="inlineStr">
        <is>
          <t>2026 Engineering News-Record. ENR 2026 Top 400 Contractors, where the firm is ranked 72  https://www.enr.com/toplists/2026-Top-400-Contractors-1</t>
        </is>
      </c>
      <c r="Z161" s="6" t="inlineStr"/>
      <c r="AA161" s="6" t="inlineStr"/>
      <c r="AB161" s="6" t="inlineStr"/>
      <c r="AC161" s="6" t="inlineStr"/>
      <c r="AD161" s="6" t="inlineStr"/>
    </row>
    <row r="162">
      <c r="A162" s="12" t="inlineStr">
        <is>
          <t>Chad Petro</t>
        </is>
      </c>
      <c r="B162" s="12" t="inlineStr">
        <is>
          <t>Heldenfels Enterprises, a Metromont company</t>
        </is>
      </c>
      <c r="C162" s="12" t="inlineStr">
        <is>
          <t>President and Chief Executive Officer</t>
        </is>
      </c>
      <c r="D162" s="13" t="inlineStr">
        <is>
          <t>Builds the wall, not the house</t>
        </is>
      </c>
      <c r="E162" s="14" t="n">
        <v>2</v>
      </c>
      <c r="F162" s="12" t="inlineStr">
        <is>
          <t>Builds the wall</t>
        </is>
      </c>
      <c r="G162" s="12" t="inlineStr">
        <is>
          <t>San Marcos and Corpus Christi plants</t>
        </is>
      </c>
      <c r="H162" s="12" t="inlineStr">
        <is>
          <t>85-acre plant in San Marcos</t>
        </is>
      </c>
      <c r="I162" s="14" t="inlineStr">
        <is>
          <t>Yes</t>
        </is>
      </c>
      <c r="J162" s="15" t="inlineStr">
        <is>
          <t>An 85-acre yard casts prestressed elements repeatedly for one region.</t>
        </is>
      </c>
      <c r="K162" s="14" t="inlineStr">
        <is>
          <t>Partly</t>
        </is>
      </c>
      <c r="L162" s="15" t="inlineStr">
        <is>
          <t>Beyond one or two printers. Infrastructure and stadium work, not house wall.</t>
        </is>
      </c>
      <c r="M162" s="14" t="inlineStr">
        <is>
          <t>No</t>
        </is>
      </c>
      <c r="N162" s="15" t="inlineStr">
        <is>
          <t>No record of buying an unproven method.</t>
        </is>
      </c>
      <c r="O162" s="6" t="inlineStr">
        <is>
          <t>https://www.linkedin.com/in/chad-petro-89b7a913/</t>
        </is>
      </c>
      <c r="P162" s="12" t="inlineStr"/>
      <c r="Q162" s="16">
        <f>IF(O162="","ADD LINKEDIN","ok")</f>
        <v/>
      </c>
      <c r="R162" s="12" t="inlineStr">
        <is>
          <t>https://heldenfels.com/</t>
        </is>
      </c>
      <c r="S162" s="15" t="inlineStr">
        <is>
          <t>It casts prestressed elements for infrastructure and stadium work, not house wall, and its output is beyond one or two printers.</t>
        </is>
      </c>
      <c r="T162" s="12" t="inlineStr">
        <is>
          <t>YES</t>
        </is>
      </c>
      <c r="U162" s="15" t="inlineStr">
        <is>
          <t>Metromont's chief executive named him continuing president and chief executive, 9 February 2026.</t>
        </is>
      </c>
      <c r="V162" s="12" t="inlineStr"/>
      <c r="W162" s="12" t="inlineStr"/>
      <c r="X162" s="12" t="inlineStr"/>
      <c r="Y162" s="12" t="inlineStr"/>
      <c r="Z162" s="12" t="inlineStr">
        <is>
          <t>(512) 396-2376</t>
        </is>
      </c>
      <c r="AA162" s="12" t="inlineStr">
        <is>
          <t>San Marcos main</t>
        </is>
      </c>
      <c r="AB162" s="12" t="inlineStr">
        <is>
          <t>https://heldenfels.com/contact/</t>
        </is>
      </c>
      <c r="AC162" s="12" t="inlineStr"/>
      <c r="AD162" s="12" t="inlineStr"/>
    </row>
    <row r="163">
      <c r="A163" s="6" t="inlineStr">
        <is>
          <t>Larry Miller, P.E.</t>
        </is>
      </c>
      <c r="B163" s="6" t="inlineStr">
        <is>
          <t>Heldenfels Enterprises, a Metromont company</t>
        </is>
      </c>
      <c r="C163" s="6" t="inlineStr">
        <is>
          <t>Vice President, Preconstruction and Business Development</t>
        </is>
      </c>
      <c r="D163" s="7" t="inlineStr">
        <is>
          <t>Builds the wall, not the house</t>
        </is>
      </c>
      <c r="E163" s="8" t="n">
        <v>2</v>
      </c>
      <c r="F163" s="6" t="inlineStr">
        <is>
          <t>Builds the wall</t>
        </is>
      </c>
      <c r="G163" s="6" t="inlineStr">
        <is>
          <t>San Marcos and Corpus Christi plants</t>
        </is>
      </c>
      <c r="H163" s="6" t="inlineStr">
        <is>
          <t>85-acre plant in San Marcos</t>
        </is>
      </c>
      <c r="I163" s="8" t="inlineStr">
        <is>
          <t>Yes</t>
        </is>
      </c>
      <c r="J163" s="9" t="inlineStr">
        <is>
          <t>An 85-acre yard casts prestressed elements repeatedly for one region.</t>
        </is>
      </c>
      <c r="K163" s="8" t="inlineStr">
        <is>
          <t>Partly</t>
        </is>
      </c>
      <c r="L163" s="9" t="inlineStr">
        <is>
          <t>Beyond one or two printers. Infrastructure and stadium work, not house wall.</t>
        </is>
      </c>
      <c r="M163" s="8" t="inlineStr">
        <is>
          <t>No</t>
        </is>
      </c>
      <c r="N163" s="9" t="inlineStr">
        <is>
          <t>No record of buying an unproven method.</t>
        </is>
      </c>
      <c r="O163" s="10" t="inlineStr"/>
      <c r="P163" s="6" t="inlineStr"/>
      <c r="Q163" s="11">
        <f>IF(O163="","ADD LINKEDIN","ok")</f>
        <v/>
      </c>
      <c r="R163" s="6" t="inlineStr">
        <is>
          <t>https://heldenfels.com/</t>
        </is>
      </c>
      <c r="S163" s="9" t="inlineStr">
        <is>
          <t>It casts prestressed elements for infrastructure and stadium work, not house wall, and its output is beyond one or two printers.</t>
        </is>
      </c>
      <c r="T163" s="6" t="inlineStr"/>
      <c r="U163" s="9" t="inlineStr"/>
      <c r="V163" s="6" t="inlineStr">
        <is>
          <t>https://heldenfels.com/contact/</t>
        </is>
      </c>
      <c r="W163" s="6" t="inlineStr"/>
      <c r="X163" s="6" t="inlineStr"/>
      <c r="Y163" s="6" t="inlineStr"/>
      <c r="Z163" s="6" t="inlineStr">
        <is>
          <t>(512) 396-2376</t>
        </is>
      </c>
      <c r="AA163" s="6" t="inlineStr">
        <is>
          <t>San Marcos main</t>
        </is>
      </c>
      <c r="AB163" s="6" t="inlineStr">
        <is>
          <t>https://heldenfels.com/contact/</t>
        </is>
      </c>
      <c r="AC163" s="6" t="inlineStr"/>
      <c r="AD163" s="6" t="inlineStr"/>
    </row>
    <row r="164">
      <c r="A164" s="12" t="inlineStr">
        <is>
          <t>Fred W. Heldenfels IV</t>
        </is>
      </c>
      <c r="B164" s="12" t="inlineStr">
        <is>
          <t>Heldenfels Enterprises, a Metromont company</t>
        </is>
      </c>
      <c r="C164" s="12" t="inlineStr">
        <is>
          <t>Founder</t>
        </is>
      </c>
      <c r="D164" s="13" t="inlineStr">
        <is>
          <t>Builds the wall, not the house</t>
        </is>
      </c>
      <c r="E164" s="14" t="n">
        <v>2</v>
      </c>
      <c r="F164" s="12" t="inlineStr">
        <is>
          <t>Builds the wall</t>
        </is>
      </c>
      <c r="G164" s="12" t="inlineStr">
        <is>
          <t>San Marcos and Corpus Christi plants</t>
        </is>
      </c>
      <c r="H164" s="12" t="inlineStr">
        <is>
          <t>85-acre plant in San Marcos</t>
        </is>
      </c>
      <c r="I164" s="14" t="inlineStr">
        <is>
          <t>Yes</t>
        </is>
      </c>
      <c r="J164" s="15" t="inlineStr">
        <is>
          <t>An 85-acre yard casts prestressed elements repeatedly for one region.</t>
        </is>
      </c>
      <c r="K164" s="14" t="inlineStr">
        <is>
          <t>Partly</t>
        </is>
      </c>
      <c r="L164" s="15" t="inlineStr">
        <is>
          <t>Beyond one or two printers. Infrastructure and stadium work, not house wall.</t>
        </is>
      </c>
      <c r="M164" s="14" t="inlineStr">
        <is>
          <t>No</t>
        </is>
      </c>
      <c r="N164" s="15" t="inlineStr">
        <is>
          <t>No record of buying an unproven method.</t>
        </is>
      </c>
      <c r="O164" s="10" t="inlineStr"/>
      <c r="P164" s="12" t="inlineStr"/>
      <c r="Q164" s="16">
        <f>IF(O164="","ADD LINKEDIN","ok")</f>
        <v/>
      </c>
      <c r="R164" s="12" t="inlineStr">
        <is>
          <t>https://heldenfels.com/</t>
        </is>
      </c>
      <c r="S164" s="15" t="inlineStr">
        <is>
          <t>It casts prestressed elements for infrastructure and stadium work, not house wall, and its output is beyond one or two printers.</t>
        </is>
      </c>
      <c r="T164" s="12" t="inlineStr"/>
      <c r="U164" s="15" t="inlineStr">
        <is>
          <t>About page. Formed it in 1995. Sold to Metromont December 2025.</t>
        </is>
      </c>
      <c r="V164" s="12" t="inlineStr">
        <is>
          <t>https://heldenfels.com/about-us/</t>
        </is>
      </c>
      <c r="W164" s="12" t="inlineStr"/>
      <c r="X164" s="12" t="inlineStr"/>
      <c r="Y164" s="12" t="inlineStr"/>
      <c r="Z164" s="12" t="inlineStr">
        <is>
          <t>(512) 396-2376</t>
        </is>
      </c>
      <c r="AA164" s="12" t="inlineStr">
        <is>
          <t>San Marcos main</t>
        </is>
      </c>
      <c r="AB164" s="12" t="inlineStr">
        <is>
          <t>https://heldenfels.com/contact/</t>
        </is>
      </c>
      <c r="AC164" s="12" t="inlineStr"/>
      <c r="AD164" s="12" t="inlineStr"/>
    </row>
    <row r="165">
      <c r="A165" s="6" t="inlineStr">
        <is>
          <t>Travis Boone</t>
        </is>
      </c>
      <c r="B165" s="6" t="inlineStr">
        <is>
          <t>ORION</t>
        </is>
      </c>
      <c r="C165" s="6" t="inlineStr">
        <is>
          <t>Chief Executive Officer, Orion Group Holdings</t>
        </is>
      </c>
      <c r="D165" s="7" t="inlineStr">
        <is>
          <t>Builds the wall, not the house</t>
        </is>
      </c>
      <c r="E165" s="8" t="n">
        <v>2</v>
      </c>
      <c r="F165" s="6" t="inlineStr">
        <is>
          <t>Builds the wall</t>
        </is>
      </c>
      <c r="G165" s="6" t="inlineStr">
        <is>
          <t>Houston, Harris</t>
        </is>
      </c>
      <c r="H165" s="6" t="inlineStr">
        <is>
          <t>257 panels and 175,820 square feet of wall on one job</t>
        </is>
      </c>
      <c r="I165" s="8" t="inlineStr">
        <is>
          <t>Yes</t>
        </is>
      </c>
      <c r="J165" s="9" t="inlineStr">
        <is>
          <t>257 panels on one job. Panel work recurs across institutional and commercial projects.</t>
        </is>
      </c>
      <c r="K165" s="8" t="inlineStr">
        <is>
          <t>Partly</t>
        </is>
      </c>
      <c r="L165" s="9" t="inlineStr">
        <is>
          <t>A printer would be a line item. The decision sits outside Houston.</t>
        </is>
      </c>
      <c r="M165" s="8" t="inlineStr">
        <is>
          <t>No</t>
        </is>
      </c>
      <c r="N165" s="9" t="inlineStr">
        <is>
          <t>No method statement published.</t>
        </is>
      </c>
      <c r="O165" s="10" t="inlineStr"/>
      <c r="P165" s="6" t="inlineStr"/>
      <c r="Q165" s="11">
        <f>IF(O165="","ADD LINKEDIN","ok")</f>
        <v/>
      </c>
      <c r="R165" s="6" t="inlineStr">
        <is>
          <t>https://www.oriongroupholdingsinc.com/</t>
        </is>
      </c>
      <c r="S165" s="9" t="inlineStr">
        <is>
          <t>Purchasing runs through a listed parent, so a printer would be a line item decided outside Houston.</t>
        </is>
      </c>
      <c r="T165" s="6" t="inlineStr">
        <is>
          <t>YES</t>
        </is>
      </c>
      <c r="U165" s="9" t="inlineStr">
        <is>
          <t>Company release, 29 January 2024, on the rename from TAS.</t>
        </is>
      </c>
      <c r="V165" s="6" t="inlineStr">
        <is>
          <t>https://www.oriongroupholdingsinc.com/investors/press-release/2024/29-01-2024-120203346</t>
        </is>
      </c>
      <c r="W165" s="6" t="inlineStr"/>
      <c r="X165" s="6" t="inlineStr"/>
      <c r="Y165" s="6" t="inlineStr"/>
      <c r="Z165" s="6" t="inlineStr">
        <is>
          <t>(713) 852-6500</t>
        </is>
      </c>
      <c r="AA165" s="6" t="inlineStr"/>
      <c r="AB165" s="6" t="inlineStr">
        <is>
          <t>https://www.oriongroupholdingsinc.com/</t>
        </is>
      </c>
      <c r="AC165" s="6" t="inlineStr"/>
      <c r="AD165" s="6" t="inlineStr"/>
    </row>
    <row r="166">
      <c r="A166" s="12" t="inlineStr">
        <is>
          <t>Mark Furse</t>
        </is>
      </c>
      <c r="B166" s="12" t="inlineStr">
        <is>
          <t>Texas Building Supply, a US LBM company</t>
        </is>
      </c>
      <c r="C166" s="12" t="inlineStr">
        <is>
          <t>Market President</t>
        </is>
      </c>
      <c r="D166" s="13" t="inlineStr">
        <is>
          <t>Builds the wall, not the house</t>
        </is>
      </c>
      <c r="E166" s="14" t="n">
        <v>2</v>
      </c>
      <c r="F166" s="12" t="inlineStr">
        <is>
          <t>Builds the wall</t>
        </is>
      </c>
      <c r="G166" s="12" t="inlineStr">
        <is>
          <t>Houston branch on Railhead Lane, panel plants in San Antonio, Taylor and Van Alstyne</t>
        </is>
      </c>
      <c r="H166" s="12" t="inlineStr">
        <is>
          <t>Wall panels trucked into a Houston branch</t>
        </is>
      </c>
      <c r="I166" s="14" t="inlineStr">
        <is>
          <t>Yes</t>
        </is>
      </c>
      <c r="J166" s="15" t="inlineStr">
        <is>
          <t>Wall panels made repeatedly at three Texas plants.</t>
        </is>
      </c>
      <c r="K166" s="14" t="inlineStr">
        <is>
          <t>Partly</t>
        </is>
      </c>
      <c r="L166" s="15" t="inlineStr">
        <is>
          <t>More capacity than one or two printers, inside a national parent.</t>
        </is>
      </c>
      <c r="M166" s="14" t="inlineStr">
        <is>
          <t>No</t>
        </is>
      </c>
      <c r="N166" s="15" t="inlineStr">
        <is>
          <t>No record of buying an unproven method.</t>
        </is>
      </c>
      <c r="O166" s="6" t="inlineStr">
        <is>
          <t>https://www.linkedin.com/in/mark-furse-02b1b717/</t>
        </is>
      </c>
      <c r="P166" s="12" t="inlineStr"/>
      <c r="Q166" s="16">
        <f>IF(O166="","ADD LINKEDIN","ok")</f>
        <v/>
      </c>
      <c r="R166" s="12" t="inlineStr">
        <is>
          <t>https://texasbuildingsupply.com/</t>
        </is>
      </c>
      <c r="S166" s="15" t="inlineStr">
        <is>
          <t>Houston is a branch fed by panel plants elsewhere, so a local machine would remove the haul.</t>
        </is>
      </c>
      <c r="T166" s="12" t="inlineStr"/>
      <c r="U166" s="15" t="inlineStr">
        <is>
          <t>Headline: Texas Building Supply, no market shown. Tied to San Antonio legacy banner. Houston unconfirmed.</t>
        </is>
      </c>
      <c r="V166" s="12" t="inlineStr"/>
      <c r="W166" s="12" t="inlineStr"/>
      <c r="X166" s="12" t="inlineStr"/>
      <c r="Y166" s="12" t="inlineStr"/>
      <c r="Z166" s="12" t="inlineStr">
        <is>
          <t>(281) 447-0384</t>
        </is>
      </c>
      <c r="AA166" s="12" t="inlineStr">
        <is>
          <t>Houston branch</t>
        </is>
      </c>
      <c r="AB166" s="12" t="inlineStr">
        <is>
          <t>https://texasbuildingsupply.com/locations</t>
        </is>
      </c>
      <c r="AC166" s="12" t="inlineStr"/>
      <c r="AD166" s="12" t="inlineStr"/>
    </row>
    <row r="167">
      <c r="A167" s="6" t="inlineStr">
        <is>
          <t>Dwain Hutton</t>
        </is>
      </c>
      <c r="B167" s="6" t="inlineStr">
        <is>
          <t>UFP Site Built</t>
        </is>
      </c>
      <c r="C167" s="6" t="inlineStr">
        <is>
          <t>Executive Vice President, UFP Site Built</t>
        </is>
      </c>
      <c r="D167" s="7" t="inlineStr">
        <is>
          <t>Builds the wall, not the house</t>
        </is>
      </c>
      <c r="E167" s="8" t="n">
        <v>2</v>
      </c>
      <c r="F167" s="6" t="inlineStr">
        <is>
          <t>Builds the wall</t>
        </is>
      </c>
      <c r="G167" s="6" t="inlineStr">
        <is>
          <t>Huntsville plant, about 70 miles north, within five Texas plants</t>
        </is>
      </c>
      <c r="H167" s="6" t="inlineStr">
        <is>
          <t>Five Texas plants, wall panels at Huntsville</t>
        </is>
      </c>
      <c r="I167" s="8" t="inlineStr">
        <is>
          <t>Yes</t>
        </is>
      </c>
      <c r="J167" s="9" t="inlineStr">
        <is>
          <t>One Texas plant making wall panels and cassettes repeatedly for regional builders.</t>
        </is>
      </c>
      <c r="K167" s="8" t="inlineStr">
        <is>
          <t>Partly</t>
        </is>
      </c>
      <c r="L167" s="9" t="inlineStr">
        <is>
          <t>Huntsville alone is more capacity than one or two printers.</t>
        </is>
      </c>
      <c r="M167" s="8" t="inlineStr">
        <is>
          <t>No</t>
        </is>
      </c>
      <c r="N167" s="9" t="inlineStr">
        <is>
          <t>No record of buying an unproven method. Wall panels are its ordinary product.</t>
        </is>
      </c>
      <c r="O167" s="10" t="inlineStr"/>
      <c r="P167" s="6" t="inlineStr"/>
      <c r="Q167" s="11">
        <f>IF(O167="","ADD LINKEDIN","ok")</f>
        <v/>
      </c>
      <c r="R167" s="6" t="inlineStr">
        <is>
          <t>https://ufpsitebuilt.com/</t>
        </is>
      </c>
      <c r="S167" s="9" t="inlineStr">
        <is>
          <t>Its Huntsville plant, 70 miles from Houston, already makes wall panels, so a printer would replace a product it sells.</t>
        </is>
      </c>
      <c r="T167" s="6" t="inlineStr">
        <is>
          <t>YES</t>
        </is>
      </c>
      <c r="U167" s="9" t="inlineStr">
        <is>
          <t>Division leadership page. Regional roles are all West. No Huntsville contact named.</t>
        </is>
      </c>
      <c r="V167" s="6" t="inlineStr">
        <is>
          <t>https://ufpsitebuilt.com/leadershipteam</t>
        </is>
      </c>
      <c r="W167" s="6" t="inlineStr"/>
      <c r="X167" s="6" t="inlineStr"/>
      <c r="Y167" s="6" t="inlineStr"/>
      <c r="Z167" s="6" t="inlineStr">
        <is>
          <t>(936) 295-3411</t>
        </is>
      </c>
      <c r="AA167" s="6" t="inlineStr">
        <is>
          <t>Huntsville plant</t>
        </is>
      </c>
      <c r="AB167" s="6" t="inlineStr">
        <is>
          <t>https://ufpsitebuilt.com/our-locations/huntsville-tx</t>
        </is>
      </c>
      <c r="AC167" s="6" t="inlineStr"/>
      <c r="AD167" s="6" t="inlineStr"/>
    </row>
    <row r="168">
      <c r="A168" s="12" t="inlineStr">
        <is>
          <t>Dan Juntunen</t>
        </is>
      </c>
      <c r="B168" s="12" t="inlineStr">
        <is>
          <t>Wells, Hillsboro plants</t>
        </is>
      </c>
      <c r="C168" s="12" t="inlineStr">
        <is>
          <t>Chief Executive Officer, Wells</t>
        </is>
      </c>
      <c r="D168" s="13" t="inlineStr">
        <is>
          <t>Builds the wall, not the house</t>
        </is>
      </c>
      <c r="E168" s="14" t="n">
        <v>2</v>
      </c>
      <c r="F168" s="12" t="inlineStr">
        <is>
          <t>Builds the wall</t>
        </is>
      </c>
      <c r="G168" s="12" t="inlineStr">
        <is>
          <t>Hillsboro, two plants on North Waco Street</t>
        </is>
      </c>
      <c r="H168" s="12" t="inlineStr">
        <is>
          <t>102,000 combined square feet, 320-plus people</t>
        </is>
      </c>
      <c r="I168" s="14" t="inlineStr">
        <is>
          <t>Yes</t>
        </is>
      </c>
      <c r="J168" s="15" t="inlineStr">
        <is>
          <t>Two dedicated plants casting wall and structural elements repeatedly.</t>
        </is>
      </c>
      <c r="K168" s="14" t="inlineStr">
        <is>
          <t>Partly</t>
        </is>
      </c>
      <c r="L168" s="15" t="inlineStr">
        <is>
          <t>102,000 square feet across two plants, beyond what one or two printers would cover.</t>
        </is>
      </c>
      <c r="M168" s="14" t="inlineStr">
        <is>
          <t>No</t>
        </is>
      </c>
      <c r="N168" s="15" t="inlineStr">
        <is>
          <t>No record of buying an unproven method.</t>
        </is>
      </c>
      <c r="O168" s="6" t="inlineStr">
        <is>
          <t>https://www.linkedin.com/in/dan-juntunen-b2765a14/</t>
        </is>
      </c>
      <c r="P168" s="12" t="inlineStr"/>
      <c r="Q168" s="16">
        <f>IF(O168="","ADD LINKEDIN","ok")</f>
        <v/>
      </c>
      <c r="R168" s="12" t="inlineStr">
        <is>
          <t>https://wells.build/contact/locations/hillsboro-texas/</t>
        </is>
      </c>
      <c r="S168" s="15" t="inlineStr">
        <is>
          <t>It already casts architectural and structural wall in two plants, and its output is beyond what one or two printers would cover.</t>
        </is>
      </c>
      <c r="T168" s="12" t="inlineStr">
        <is>
          <t>YES</t>
        </is>
      </c>
      <c r="U168" s="15" t="inlineStr">
        <is>
          <t>No Hillsboro contact named. Former Gate Precast yard. Corporate is the only named authority.</t>
        </is>
      </c>
      <c r="V168" s="12" t="inlineStr"/>
      <c r="W168" s="12" t="inlineStr"/>
      <c r="X168" s="12" t="inlineStr"/>
      <c r="Y168" s="12" t="inlineStr"/>
      <c r="Z168" s="12" t="inlineStr">
        <is>
          <t>(254) 582-7200</t>
        </is>
      </c>
      <c r="AA168" s="12" t="inlineStr">
        <is>
          <t>Hillsboro plant</t>
        </is>
      </c>
      <c r="AB168" s="12" t="inlineStr">
        <is>
          <t>https://wells.build/contact/locations/hillsboro-texas/</t>
        </is>
      </c>
      <c r="AC168" s="12" t="inlineStr"/>
      <c r="AD168" s="12" t="inlineStr"/>
    </row>
    <row r="169">
      <c r="A169" s="6" t="inlineStr">
        <is>
          <t>Dan Juntunen</t>
        </is>
      </c>
      <c r="B169" s="6" t="inlineStr">
        <is>
          <t>Wells, Pearland plant</t>
        </is>
      </c>
      <c r="C169" s="6" t="inlineStr">
        <is>
          <t>Chief Executive Officer, Wells</t>
        </is>
      </c>
      <c r="D169" s="7" t="inlineStr">
        <is>
          <t>Builds the wall, not the house</t>
        </is>
      </c>
      <c r="E169" s="8" t="n">
        <v>2</v>
      </c>
      <c r="F169" s="6" t="inlineStr">
        <is>
          <t>Builds the wall</t>
        </is>
      </c>
      <c r="G169" s="6" t="inlineStr">
        <is>
          <t>Pearland, Brazoria County</t>
        </is>
      </c>
      <c r="H169" s="6" t="inlineStr">
        <is>
          <t>32,000 square foot plant, 125-plus projects a year</t>
        </is>
      </c>
      <c r="I169" s="8" t="inlineStr">
        <is>
          <t>Yes</t>
        </is>
      </c>
      <c r="J169" s="9" t="inlineStr">
        <is>
          <t>One product, one plant, one region.</t>
        </is>
      </c>
      <c r="K169" s="8" t="inlineStr">
        <is>
          <t>Partly</t>
        </is>
      </c>
      <c r="L169" s="9" t="inlineStr">
        <is>
          <t>125-plus projects a year, more than one or two machines cover. Hollowcore is plank, not wall.</t>
        </is>
      </c>
      <c r="M169" s="8" t="inlineStr">
        <is>
          <t>No</t>
        </is>
      </c>
      <c r="N169" s="9" t="inlineStr">
        <is>
          <t>No record of buying an unproven method. History is consolidation and certification.</t>
        </is>
      </c>
      <c r="O169" s="6" t="inlineStr">
        <is>
          <t>https://www.linkedin.com/in/dan-juntunen-b2765a14/</t>
        </is>
      </c>
      <c r="P169" s="6" t="inlineStr"/>
      <c r="Q169" s="11">
        <f>IF(O169="","ADD LINKEDIN","ok")</f>
        <v/>
      </c>
      <c r="R169" s="6" t="inlineStr">
        <is>
          <t>https://wells.build/contact/locations/pearland-texas/</t>
        </is>
      </c>
      <c r="S169" s="9" t="inlineStr">
        <is>
          <t>Its one product is hollowcore floor and roof plank, not wall, and the plant is bigger than one or two machines would cover.</t>
        </is>
      </c>
      <c r="T169" s="6" t="inlineStr">
        <is>
          <t>YES</t>
        </is>
      </c>
      <c r="U169" s="9" t="inlineStr">
        <is>
          <t>Quoted in the KPS release. None of 36 listed staff has a Texas or plant title.</t>
        </is>
      </c>
      <c r="V169" s="6" t="inlineStr"/>
      <c r="W169" s="6" t="inlineStr"/>
      <c r="X169" s="6" t="inlineStr"/>
      <c r="Y169" s="6" t="inlineStr"/>
      <c r="Z169" s="6" t="inlineStr">
        <is>
          <t>(281) 485-3273</t>
        </is>
      </c>
      <c r="AA169" s="6" t="inlineStr">
        <is>
          <t>Pearland plant</t>
        </is>
      </c>
      <c r="AB169" s="6" t="inlineStr">
        <is>
          <t>https://wells.build/contact/locations/pearland-texas/</t>
        </is>
      </c>
      <c r="AC169" s="6" t="inlineStr"/>
      <c r="AD169" s="6" t="inlineStr"/>
    </row>
    <row r="170">
      <c r="A170" s="12" t="inlineStr">
        <is>
          <t>Mark Scully</t>
        </is>
      </c>
      <c r="B170" s="12" t="inlineStr">
        <is>
          <t>Encore Concrete Construction</t>
        </is>
      </c>
      <c r="C170" s="12" t="inlineStr">
        <is>
          <t>President</t>
        </is>
      </c>
      <c r="D170" s="13" t="inlineStr">
        <is>
          <t>Builds the wall, not the house</t>
        </is>
      </c>
      <c r="E170" s="14" t="n">
        <v>2</v>
      </c>
      <c r="F170" s="12" t="inlineStr">
        <is>
          <t>Builds the wall</t>
        </is>
      </c>
      <c r="G170" s="12" t="inlineStr">
        <is>
          <t>Spring, Harris and Montgomery</t>
        </is>
      </c>
      <c r="H170" s="12" t="inlineStr">
        <is>
          <t>Employee-owned, and lists elevated multifamily as a project type</t>
        </is>
      </c>
      <c r="I170" s="14" t="inlineStr">
        <is>
          <t>Yes</t>
        </is>
      </c>
      <c r="J170" s="15" t="inlineStr">
        <is>
          <t>Tilt-up warehouses, retail centers and schools recur in Houston.</t>
        </is>
      </c>
      <c r="K170" s="14" t="inlineStr">
        <is>
          <t>Partly</t>
        </is>
      </c>
      <c r="L170" s="15" t="inlineStr">
        <is>
          <t>One published job, 32 panels across four floors. No crew count or annual volume.</t>
        </is>
      </c>
      <c r="M170" s="14" t="inlineStr">
        <is>
          <t>No</t>
        </is>
      </c>
      <c r="N170" s="15" t="inlineStr">
        <is>
          <t>No method statement published.</t>
        </is>
      </c>
      <c r="O170" s="6" t="inlineStr">
        <is>
          <t>https://www.linkedin.com/in/mark-scully-596648201/</t>
        </is>
      </c>
      <c r="P170" s="12" t="inlineStr"/>
      <c r="Q170" s="16">
        <f>IF(O170="","ADD LINKEDIN","ok")</f>
        <v/>
      </c>
      <c r="R170" s="12" t="inlineStr">
        <is>
          <t>https://www.encoreconcrete.com/</t>
        </is>
      </c>
      <c r="S170" s="15" t="inlineStr">
        <is>
          <t>The capital decision is made inside the company, and elevated multifamily is among the seven project types it publishes.</t>
        </is>
      </c>
      <c r="T170" s="12" t="inlineStr">
        <is>
          <t>YES</t>
        </is>
      </c>
      <c r="U170" s="15" t="inlineStr">
        <is>
          <t>LinkedIn headline: President, Encore Concrete Construction. Spring, Texas.</t>
        </is>
      </c>
      <c r="V170" s="12" t="inlineStr"/>
      <c r="W170" s="12" t="inlineStr"/>
      <c r="X170" s="12" t="inlineStr"/>
      <c r="Y170" s="12" t="inlineStr"/>
      <c r="Z170" s="12" t="inlineStr">
        <is>
          <t>(832) 663-6800</t>
        </is>
      </c>
      <c r="AA170" s="12" t="inlineStr"/>
      <c r="AB170" s="12" t="inlineStr">
        <is>
          <t>https://www.encoreconcrete.com/</t>
        </is>
      </c>
      <c r="AC170" s="12" t="inlineStr"/>
      <c r="AD170" s="12" t="inlineStr"/>
    </row>
    <row r="171">
      <c r="A171" s="6" t="inlineStr">
        <is>
          <t>Tim Manherz</t>
        </is>
      </c>
      <c r="B171" s="6" t="inlineStr">
        <is>
          <t>Encore Concrete Construction</t>
        </is>
      </c>
      <c r="C171" s="6" t="inlineStr">
        <is>
          <t>Vice President</t>
        </is>
      </c>
      <c r="D171" s="7" t="inlineStr">
        <is>
          <t>Builds the wall, not the house</t>
        </is>
      </c>
      <c r="E171" s="8" t="n">
        <v>2</v>
      </c>
      <c r="F171" s="6" t="inlineStr">
        <is>
          <t>Builds the wall</t>
        </is>
      </c>
      <c r="G171" s="6" t="inlineStr">
        <is>
          <t>Spring, Harris and Montgomery</t>
        </is>
      </c>
      <c r="H171" s="6" t="inlineStr">
        <is>
          <t>Employee-owned, and lists elevated multifamily as a project type</t>
        </is>
      </c>
      <c r="I171" s="8" t="inlineStr">
        <is>
          <t>Yes</t>
        </is>
      </c>
      <c r="J171" s="9" t="inlineStr">
        <is>
          <t>Tilt-up warehouses, retail centers and schools recur in Houston.</t>
        </is>
      </c>
      <c r="K171" s="8" t="inlineStr">
        <is>
          <t>Partly</t>
        </is>
      </c>
      <c r="L171" s="9" t="inlineStr">
        <is>
          <t>One published job, 32 panels across four floors. No crew count or annual volume.</t>
        </is>
      </c>
      <c r="M171" s="8" t="inlineStr">
        <is>
          <t>No</t>
        </is>
      </c>
      <c r="N171" s="9" t="inlineStr">
        <is>
          <t>No method statement published.</t>
        </is>
      </c>
      <c r="O171" s="6" t="inlineStr">
        <is>
          <t>https://www.linkedin.com/in/tim-manherz-9a2b62148/</t>
        </is>
      </c>
      <c r="P171" s="6" t="inlineStr"/>
      <c r="Q171" s="11">
        <f>IF(O171="","ADD LINKEDIN","ok")</f>
        <v/>
      </c>
      <c r="R171" s="6" t="inlineStr">
        <is>
          <t>https://www.encoreconcrete.com/</t>
        </is>
      </c>
      <c r="S171" s="9" t="inlineStr">
        <is>
          <t>The capital decision is made inside the company, and elevated multifamily is among the seven project types it publishes.</t>
        </is>
      </c>
      <c r="T171" s="6" t="inlineStr">
        <is>
          <t>YES</t>
        </is>
      </c>
      <c r="U171" s="9" t="inlineStr">
        <is>
          <t>LinkedIn headline: Vice President, Encore Concrete Construction. Greater Houston.</t>
        </is>
      </c>
      <c r="V171" s="6" t="inlineStr"/>
      <c r="W171" s="6" t="inlineStr"/>
      <c r="X171" s="6" t="inlineStr"/>
      <c r="Y171" s="6" t="inlineStr"/>
      <c r="Z171" s="6" t="inlineStr">
        <is>
          <t>(832) 663-6800</t>
        </is>
      </c>
      <c r="AA171" s="6" t="inlineStr"/>
      <c r="AB171" s="6" t="inlineStr">
        <is>
          <t>https://www.encoreconcrete.com/</t>
        </is>
      </c>
      <c r="AC171" s="6" t="inlineStr"/>
      <c r="AD171" s="6" t="inlineStr"/>
    </row>
    <row r="172">
      <c r="A172" s="12" t="inlineStr">
        <is>
          <t>Kevin Medlin</t>
        </is>
      </c>
      <c r="B172" s="12" t="inlineStr">
        <is>
          <t>NAPCO Precast</t>
        </is>
      </c>
      <c r="C172" s="12" t="inlineStr">
        <is>
          <t>President</t>
        </is>
      </c>
      <c r="D172" s="13" t="inlineStr">
        <is>
          <t>Builds the wall, not the house</t>
        </is>
      </c>
      <c r="E172" s="14" t="n">
        <v>2</v>
      </c>
      <c r="F172" s="12" t="inlineStr">
        <is>
          <t>Builds the wall</t>
        </is>
      </c>
      <c r="G172" s="12" t="inlineStr">
        <is>
          <t>San Antonio, Low Bid Lane</t>
        </is>
      </c>
      <c r="H172" s="12" t="inlineStr">
        <is>
          <t>500-plus projects since 1994</t>
        </is>
      </c>
      <c r="I172" s="14" t="inlineStr">
        <is>
          <t>Yes</t>
        </is>
      </c>
      <c r="J172" s="15" t="inlineStr">
        <is>
          <t>One plant casting parking structures and multi-family elements repeatedly since 1994.</t>
        </is>
      </c>
      <c r="K172" s="14" t="inlineStr">
        <is>
          <t>Partly</t>
        </is>
      </c>
      <c r="L172" s="15" t="inlineStr">
        <is>
          <t>A statewide plant, larger than one or two printers cover. Smaller than multi-plant producers.</t>
        </is>
      </c>
      <c r="M172" s="14" t="inlineStr">
        <is>
          <t>No</t>
        </is>
      </c>
      <c r="N172" s="15" t="inlineStr">
        <is>
          <t>No record of buying an unproven method.</t>
        </is>
      </c>
      <c r="O172" s="6" t="inlineStr">
        <is>
          <t>https://www.linkedin.com/in/kevin-medlin-8693832b/</t>
        </is>
      </c>
      <c r="P172" s="12" t="inlineStr"/>
      <c r="Q172" s="16">
        <f>IF(O172="","ADD LINKEDIN","ok")</f>
        <v/>
      </c>
      <c r="R172" s="12" t="inlineStr">
        <is>
          <t>https://www.napcoprecast.com/</t>
        </is>
      </c>
      <c r="S172" s="15" t="inlineStr">
        <is>
          <t>Its published markets include multi-family residential, but its single plant already casts more than one or two printers would cover.</t>
        </is>
      </c>
      <c r="T172" s="12" t="inlineStr">
        <is>
          <t>YES</t>
        </is>
      </c>
      <c r="U172" s="15" t="inlineStr">
        <is>
          <t>Firm history, present tense: leads the company, expanding product lines.</t>
        </is>
      </c>
      <c r="V172" s="12" t="inlineStr"/>
      <c r="W172" s="12" t="inlineStr"/>
      <c r="X172" s="12" t="inlineStr"/>
      <c r="Y172" s="12" t="inlineStr"/>
      <c r="Z172" s="12" t="inlineStr">
        <is>
          <t>(210) 509-9100</t>
        </is>
      </c>
      <c r="AA172" s="12" t="inlineStr">
        <is>
          <t>the only number published</t>
        </is>
      </c>
      <c r="AB172" s="12" t="inlineStr">
        <is>
          <t>https://www.napcoprecast.com/contact</t>
        </is>
      </c>
      <c r="AC172" s="12" t="inlineStr"/>
      <c r="AD172" s="12" t="inlineStr"/>
    </row>
    <row r="173">
      <c r="A173" s="6" t="inlineStr">
        <is>
          <t>Jaime Iragorri</t>
        </is>
      </c>
      <c r="B173" s="6" t="inlineStr">
        <is>
          <t>NAPCO Precast</t>
        </is>
      </c>
      <c r="C173" s="6" t="inlineStr">
        <is>
          <t>Founder</t>
        </is>
      </c>
      <c r="D173" s="7" t="inlineStr">
        <is>
          <t>Builds the wall, not the house</t>
        </is>
      </c>
      <c r="E173" s="8" t="n">
        <v>2</v>
      </c>
      <c r="F173" s="6" t="inlineStr">
        <is>
          <t>Builds the wall</t>
        </is>
      </c>
      <c r="G173" s="6" t="inlineStr">
        <is>
          <t>San Antonio, Low Bid Lane</t>
        </is>
      </c>
      <c r="H173" s="6" t="inlineStr">
        <is>
          <t>500-plus projects since 1994</t>
        </is>
      </c>
      <c r="I173" s="8" t="inlineStr">
        <is>
          <t>Yes</t>
        </is>
      </c>
      <c r="J173" s="9" t="inlineStr">
        <is>
          <t>One plant casting parking structures and multi-family elements repeatedly since 1994.</t>
        </is>
      </c>
      <c r="K173" s="8" t="inlineStr">
        <is>
          <t>Partly</t>
        </is>
      </c>
      <c r="L173" s="9" t="inlineStr">
        <is>
          <t>A statewide plant, larger than one or two printers cover. Smaller than multi-plant producers.</t>
        </is>
      </c>
      <c r="M173" s="8" t="inlineStr">
        <is>
          <t>No</t>
        </is>
      </c>
      <c r="N173" s="9" t="inlineStr">
        <is>
          <t>No record of buying an unproven method.</t>
        </is>
      </c>
      <c r="O173" s="10" t="inlineStr"/>
      <c r="P173" s="6" t="inlineStr"/>
      <c r="Q173" s="11">
        <f>IF(O173="","ADD LINKEDIN","ok")</f>
        <v/>
      </c>
      <c r="R173" s="6" t="inlineStr">
        <is>
          <t>https://www.napcoprecast.com/</t>
        </is>
      </c>
      <c r="S173" s="9" t="inlineStr">
        <is>
          <t>Its published markets include multi-family residential, but its single plant already casts more than one or two printers would cover.</t>
        </is>
      </c>
      <c r="T173" s="6" t="inlineStr"/>
      <c r="U173" s="9" t="inlineStr">
        <is>
          <t>Firm history.</t>
        </is>
      </c>
      <c r="V173" s="6" t="inlineStr">
        <is>
          <t>https://www.napcoprecast.com/the-company/our-story</t>
        </is>
      </c>
      <c r="W173" s="6" t="inlineStr"/>
      <c r="X173" s="6" t="inlineStr"/>
      <c r="Y173" s="6" t="inlineStr"/>
      <c r="Z173" s="6" t="inlineStr">
        <is>
          <t>(210) 509-9100</t>
        </is>
      </c>
      <c r="AA173" s="6" t="inlineStr">
        <is>
          <t>the only number published</t>
        </is>
      </c>
      <c r="AB173" s="6" t="inlineStr">
        <is>
          <t>https://www.napcoprecast.com/contact</t>
        </is>
      </c>
      <c r="AC173" s="6" t="inlineStr"/>
      <c r="AD173" s="6" t="inlineStr"/>
    </row>
    <row r="174">
      <c r="A174" s="12" t="inlineStr">
        <is>
          <t>Steve Salverino</t>
        </is>
      </c>
      <c r="B174" s="12" t="inlineStr">
        <is>
          <t>Rino Construction</t>
        </is>
      </c>
      <c r="C174" s="12" t="inlineStr">
        <is>
          <t>Chief Executive Officer</t>
        </is>
      </c>
      <c r="D174" s="13" t="inlineStr">
        <is>
          <t>Builds the wall, not the house</t>
        </is>
      </c>
      <c r="E174" s="14" t="n">
        <v>2</v>
      </c>
      <c r="F174" s="12" t="inlineStr">
        <is>
          <t>Builds the wall</t>
        </is>
      </c>
      <c r="G174" s="12" t="inlineStr">
        <is>
          <t>Katy, Harris and Fort Bend, with Austin</t>
        </is>
      </c>
      <c r="H174" s="12" t="inlineStr">
        <is>
          <t>Operating since 1991, tilt-up its stated specialty</t>
        </is>
      </c>
      <c r="I174" s="14" t="inlineStr">
        <is>
          <t>Yes</t>
        </is>
      </c>
      <c r="J174" s="15" t="inlineStr">
        <is>
          <t>48 million square feet of tilt-up across two Texas metros since 1991, on its own count.</t>
        </is>
      </c>
      <c r="K174" s="14" t="inlineStr">
        <is>
          <t>Partly</t>
        </is>
      </c>
      <c r="L174" s="15" t="inlineStr">
        <is>
          <t>48 million square feet, its own count. Older page figure: 38 million. No yearly figure.</t>
        </is>
      </c>
      <c r="M174" s="14" t="inlineStr">
        <is>
          <t>No</t>
        </is>
      </c>
      <c r="N174" s="15" t="inlineStr">
        <is>
          <t>No method statement published.</t>
        </is>
      </c>
      <c r="O174" s="10" t="inlineStr"/>
      <c r="P174" s="12" t="inlineStr"/>
      <c r="Q174" s="16">
        <f>IF(O174="","ADD LINKEDIN","ok")</f>
        <v/>
      </c>
      <c r="R174" s="12" t="inlineStr">
        <is>
          <t>https://rino-con.com/</t>
        </is>
      </c>
      <c r="S174" s="15" t="inlineStr">
        <is>
          <t>Its own site puts its self-performed concrete in the past tense, so whether it still owns concrete crews is unconfirmed.</t>
        </is>
      </c>
      <c r="T174" s="12" t="inlineStr"/>
      <c r="U174" s="15" t="inlineStr">
        <is>
          <t>Leadership page.</t>
        </is>
      </c>
      <c r="V174" s="12" t="inlineStr">
        <is>
          <t>https://rino-con.com/leadership/</t>
        </is>
      </c>
      <c r="W174" s="12" t="inlineStr"/>
      <c r="X174" s="12" t="inlineStr">
        <is>
          <t>https://rino-con.com/leadership/</t>
        </is>
      </c>
      <c r="Y174" s="12" t="inlineStr"/>
      <c r="Z174" s="12" t="inlineStr">
        <is>
          <t>(281) 207-0700</t>
        </is>
      </c>
      <c r="AA174" s="12" t="inlineStr">
        <is>
          <t>Houston, at Katy</t>
        </is>
      </c>
      <c r="AB174" s="12" t="inlineStr">
        <is>
          <t>https://rino-con.com/</t>
        </is>
      </c>
      <c r="AC174" s="12" t="inlineStr"/>
      <c r="AD174" s="12" t="inlineStr"/>
    </row>
    <row r="175">
      <c r="A175" s="6" t="inlineStr">
        <is>
          <t>Jacob Aswad</t>
        </is>
      </c>
      <c r="B175" s="6" t="inlineStr">
        <is>
          <t>Rino Construction</t>
        </is>
      </c>
      <c r="C175" s="6" t="inlineStr">
        <is>
          <t>President</t>
        </is>
      </c>
      <c r="D175" s="7" t="inlineStr">
        <is>
          <t>Builds the wall, not the house</t>
        </is>
      </c>
      <c r="E175" s="8" t="n">
        <v>2</v>
      </c>
      <c r="F175" s="6" t="inlineStr">
        <is>
          <t>Builds the wall</t>
        </is>
      </c>
      <c r="G175" s="6" t="inlineStr">
        <is>
          <t>Katy, Harris and Fort Bend, with Austin</t>
        </is>
      </c>
      <c r="H175" s="6" t="inlineStr">
        <is>
          <t>Operating since 1991, tilt-up its stated specialty</t>
        </is>
      </c>
      <c r="I175" s="8" t="inlineStr">
        <is>
          <t>Yes</t>
        </is>
      </c>
      <c r="J175" s="9" t="inlineStr">
        <is>
          <t>48 million square feet of tilt-up across two Texas metros since 1991, on its own count.</t>
        </is>
      </c>
      <c r="K175" s="8" t="inlineStr">
        <is>
          <t>Partly</t>
        </is>
      </c>
      <c r="L175" s="9" t="inlineStr">
        <is>
          <t>48 million square feet, its own count. Older page figure: 38 million. No yearly figure.</t>
        </is>
      </c>
      <c r="M175" s="8" t="inlineStr">
        <is>
          <t>No</t>
        </is>
      </c>
      <c r="N175" s="9" t="inlineStr">
        <is>
          <t>No method statement published.</t>
        </is>
      </c>
      <c r="O175" s="10" t="inlineStr"/>
      <c r="P175" s="6" t="inlineStr"/>
      <c r="Q175" s="11">
        <f>IF(O175="","ADD LINKEDIN","ok")</f>
        <v/>
      </c>
      <c r="R175" s="6" t="inlineStr">
        <is>
          <t>https://rino-con.com/</t>
        </is>
      </c>
      <c r="S175" s="9" t="inlineStr">
        <is>
          <t>Its own site puts its self-performed concrete in the past tense, so whether it still owns concrete crews is unconfirmed.</t>
        </is>
      </c>
      <c r="T175" s="6" t="inlineStr"/>
      <c r="U175" s="9" t="inlineStr">
        <is>
          <t>Leadership page.</t>
        </is>
      </c>
      <c r="V175" s="6" t="inlineStr">
        <is>
          <t>https://rino-con.com/leadership/</t>
        </is>
      </c>
      <c r="W175" s="6" t="inlineStr"/>
      <c r="X175" s="6" t="inlineStr">
        <is>
          <t>https://rino-con.com/leadership/</t>
        </is>
      </c>
      <c r="Y175" s="6" t="inlineStr"/>
      <c r="Z175" s="6" t="inlineStr">
        <is>
          <t>(281) 207-0700</t>
        </is>
      </c>
      <c r="AA175" s="6" t="inlineStr">
        <is>
          <t>Houston, at Katy</t>
        </is>
      </c>
      <c r="AB175" s="6" t="inlineStr">
        <is>
          <t>https://rino-con.com/</t>
        </is>
      </c>
      <c r="AC175" s="6" t="inlineStr"/>
      <c r="AD175" s="6" t="inlineStr"/>
    </row>
    <row r="176">
      <c r="A176" s="12" t="inlineStr">
        <is>
          <t>Justin Henderson</t>
        </is>
      </c>
      <c r="B176" s="12" t="inlineStr">
        <is>
          <t>Rino Construction</t>
        </is>
      </c>
      <c r="C176" s="12" t="inlineStr">
        <is>
          <t>Vice President</t>
        </is>
      </c>
      <c r="D176" s="13" t="inlineStr">
        <is>
          <t>Builds the wall, not the house</t>
        </is>
      </c>
      <c r="E176" s="14" t="n">
        <v>2</v>
      </c>
      <c r="F176" s="12" t="inlineStr">
        <is>
          <t>Builds the wall</t>
        </is>
      </c>
      <c r="G176" s="12" t="inlineStr">
        <is>
          <t>Katy, Harris and Fort Bend, with Austin</t>
        </is>
      </c>
      <c r="H176" s="12" t="inlineStr">
        <is>
          <t>Operating since 1991, tilt-up its stated specialty</t>
        </is>
      </c>
      <c r="I176" s="14" t="inlineStr">
        <is>
          <t>Yes</t>
        </is>
      </c>
      <c r="J176" s="15" t="inlineStr">
        <is>
          <t>48 million square feet of tilt-up across two Texas metros since 1991, on its own count.</t>
        </is>
      </c>
      <c r="K176" s="14" t="inlineStr">
        <is>
          <t>Partly</t>
        </is>
      </c>
      <c r="L176" s="15" t="inlineStr">
        <is>
          <t>48 million square feet, its own count. Older page figure: 38 million. No yearly figure.</t>
        </is>
      </c>
      <c r="M176" s="14" t="inlineStr">
        <is>
          <t>No</t>
        </is>
      </c>
      <c r="N176" s="15" t="inlineStr">
        <is>
          <t>No method statement published.</t>
        </is>
      </c>
      <c r="O176" s="10" t="inlineStr"/>
      <c r="P176" s="12" t="inlineStr"/>
      <c r="Q176" s="16">
        <f>IF(O176="","ADD LINKEDIN","ok")</f>
        <v/>
      </c>
      <c r="R176" s="12" t="inlineStr">
        <is>
          <t>https://rino-con.com/</t>
        </is>
      </c>
      <c r="S176" s="15" t="inlineStr">
        <is>
          <t>Its own site puts its self-performed concrete in the past tense, so whether it still owns concrete crews is unconfirmed.</t>
        </is>
      </c>
      <c r="T176" s="12" t="inlineStr"/>
      <c r="U176" s="15" t="inlineStr">
        <is>
          <t>Leadership page.</t>
        </is>
      </c>
      <c r="V176" s="12" t="inlineStr">
        <is>
          <t>https://rino-con.com/leadership/</t>
        </is>
      </c>
      <c r="W176" s="12" t="inlineStr"/>
      <c r="X176" s="12" t="inlineStr">
        <is>
          <t>https://rino-con.com/leadership/</t>
        </is>
      </c>
      <c r="Y176" s="12" t="inlineStr"/>
      <c r="Z176" s="12" t="inlineStr">
        <is>
          <t>(281) 207-0700</t>
        </is>
      </c>
      <c r="AA176" s="12" t="inlineStr">
        <is>
          <t>Houston, at Katy</t>
        </is>
      </c>
      <c r="AB176" s="12" t="inlineStr">
        <is>
          <t>https://rino-con.com/</t>
        </is>
      </c>
      <c r="AC176" s="12" t="inlineStr"/>
      <c r="AD176" s="12" t="inlineStr"/>
    </row>
    <row r="177">
      <c r="A177" s="6" t="inlineStr">
        <is>
          <t>Jeff Rager</t>
        </is>
      </c>
      <c r="B177" s="6" t="inlineStr">
        <is>
          <t>Rino Construction</t>
        </is>
      </c>
      <c r="C177" s="6" t="inlineStr">
        <is>
          <t>Senior Project Manager</t>
        </is>
      </c>
      <c r="D177" s="7" t="inlineStr">
        <is>
          <t>Builds the wall, not the house</t>
        </is>
      </c>
      <c r="E177" s="8" t="n">
        <v>2</v>
      </c>
      <c r="F177" s="6" t="inlineStr">
        <is>
          <t>Builds the wall</t>
        </is>
      </c>
      <c r="G177" s="6" t="inlineStr">
        <is>
          <t>Katy, Harris and Fort Bend, with Austin</t>
        </is>
      </c>
      <c r="H177" s="6" t="inlineStr">
        <is>
          <t>Operating since 1991, tilt-up its stated specialty</t>
        </is>
      </c>
      <c r="I177" s="8" t="inlineStr">
        <is>
          <t>Yes</t>
        </is>
      </c>
      <c r="J177" s="9" t="inlineStr">
        <is>
          <t>48 million square feet of tilt-up across two Texas metros since 1991, on its own count.</t>
        </is>
      </c>
      <c r="K177" s="8" t="inlineStr">
        <is>
          <t>Partly</t>
        </is>
      </c>
      <c r="L177" s="9" t="inlineStr">
        <is>
          <t>48 million square feet, its own count. Older page figure: 38 million. No yearly figure.</t>
        </is>
      </c>
      <c r="M177" s="8" t="inlineStr">
        <is>
          <t>No</t>
        </is>
      </c>
      <c r="N177" s="9" t="inlineStr">
        <is>
          <t>No method statement published.</t>
        </is>
      </c>
      <c r="O177" s="6" t="inlineStr">
        <is>
          <t>https://www.linkedin.com/in/jeff-rager-b0ab6a380/</t>
        </is>
      </c>
      <c r="P177" s="6" t="inlineStr"/>
      <c r="Q177" s="11">
        <f>IF(O177="","ADD LINKEDIN","ok")</f>
        <v/>
      </c>
      <c r="R177" s="6" t="inlineStr">
        <is>
          <t>https://rino-con.com/</t>
        </is>
      </c>
      <c r="S177" s="9" t="inlineStr">
        <is>
          <t>Its own site puts its self-performed concrete in the past tense, so whether it still owns concrete crews is unconfirmed.</t>
        </is>
      </c>
      <c r="T177" s="6" t="inlineStr"/>
      <c r="U177" s="9" t="inlineStr">
        <is>
          <t>LinkedIn headline: Senior Project Manager, Rino (Rosenberger) Construction. Spring, Texas. Confirms the rename.</t>
        </is>
      </c>
      <c r="V177" s="6" t="inlineStr"/>
      <c r="W177" s="6" t="inlineStr"/>
      <c r="X177" s="6" t="inlineStr">
        <is>
          <t>https://rino-con.com/leadership/</t>
        </is>
      </c>
      <c r="Y177" s="6" t="inlineStr"/>
      <c r="Z177" s="6" t="inlineStr">
        <is>
          <t>(281) 207-0700</t>
        </is>
      </c>
      <c r="AA177" s="6" t="inlineStr">
        <is>
          <t>Houston, at Katy</t>
        </is>
      </c>
      <c r="AB177" s="6" t="inlineStr">
        <is>
          <t>https://rino-con.com/</t>
        </is>
      </c>
      <c r="AC177" s="6" t="inlineStr"/>
      <c r="AD177" s="6" t="inlineStr"/>
    </row>
    <row r="178">
      <c r="A178" s="12" t="inlineStr">
        <is>
          <t>James Abbate</t>
        </is>
      </c>
      <c r="B178" s="12" t="inlineStr">
        <is>
          <t>Rino Construction</t>
        </is>
      </c>
      <c r="C178" s="12" t="inlineStr">
        <is>
          <t>Controller</t>
        </is>
      </c>
      <c r="D178" s="13" t="inlineStr">
        <is>
          <t>Builds the wall, not the house</t>
        </is>
      </c>
      <c r="E178" s="14" t="n">
        <v>2</v>
      </c>
      <c r="F178" s="12" t="inlineStr">
        <is>
          <t>Builds the wall</t>
        </is>
      </c>
      <c r="G178" s="12" t="inlineStr">
        <is>
          <t>Katy, Harris and Fort Bend, with Austin</t>
        </is>
      </c>
      <c r="H178" s="12" t="inlineStr">
        <is>
          <t>Operating since 1991, tilt-up its stated specialty</t>
        </is>
      </c>
      <c r="I178" s="14" t="inlineStr">
        <is>
          <t>Yes</t>
        </is>
      </c>
      <c r="J178" s="15" t="inlineStr">
        <is>
          <t>48 million square feet of tilt-up across two Texas metros since 1991, on its own count.</t>
        </is>
      </c>
      <c r="K178" s="14" t="inlineStr">
        <is>
          <t>Partly</t>
        </is>
      </c>
      <c r="L178" s="15" t="inlineStr">
        <is>
          <t>48 million square feet, its own count. Older page figure: 38 million. No yearly figure.</t>
        </is>
      </c>
      <c r="M178" s="14" t="inlineStr">
        <is>
          <t>No</t>
        </is>
      </c>
      <c r="N178" s="15" t="inlineStr">
        <is>
          <t>No method statement published.</t>
        </is>
      </c>
      <c r="O178" s="6" t="inlineStr">
        <is>
          <t>https://www.linkedin.com/in/james-abbate/</t>
        </is>
      </c>
      <c r="P178" s="12" t="inlineStr"/>
      <c r="Q178" s="16">
        <f>IF(O178="","ADD LINKEDIN","ok")</f>
        <v/>
      </c>
      <c r="R178" s="12" t="inlineStr">
        <is>
          <t>https://rino-con.com/</t>
        </is>
      </c>
      <c r="S178" s="15" t="inlineStr">
        <is>
          <t>Its own site puts its self-performed concrete in the past tense, so whether it still owns concrete crews is unconfirmed.</t>
        </is>
      </c>
      <c r="T178" s="12" t="inlineStr"/>
      <c r="U178" s="15" t="inlineStr">
        <is>
          <t>LinkedIn headline: Controller, Rosenberger Construction. Katy, Texas.</t>
        </is>
      </c>
      <c r="V178" s="12" t="inlineStr"/>
      <c r="W178" s="12" t="inlineStr"/>
      <c r="X178" s="12" t="inlineStr">
        <is>
          <t>https://rino-con.com/leadership/</t>
        </is>
      </c>
      <c r="Y178" s="12" t="inlineStr"/>
      <c r="Z178" s="12" t="inlineStr">
        <is>
          <t>(281) 207-0700</t>
        </is>
      </c>
      <c r="AA178" s="12" t="inlineStr">
        <is>
          <t>Houston, at Katy</t>
        </is>
      </c>
      <c r="AB178" s="12" t="inlineStr">
        <is>
          <t>https://rino-con.com/</t>
        </is>
      </c>
      <c r="AC178" s="12" t="inlineStr"/>
      <c r="AD178" s="12" t="inlineStr"/>
    </row>
    <row r="179">
      <c r="A179" s="6" t="inlineStr">
        <is>
          <t>Don Jackson</t>
        </is>
      </c>
      <c r="B179" s="6" t="inlineStr">
        <is>
          <t>Solid Foundations</t>
        </is>
      </c>
      <c r="C179" s="6" t="inlineStr">
        <is>
          <t>Owner and President</t>
        </is>
      </c>
      <c r="D179" s="7" t="inlineStr">
        <is>
          <t>Builds the wall, not the house</t>
        </is>
      </c>
      <c r="E179" s="8" t="n">
        <v>2</v>
      </c>
      <c r="F179" s="6" t="inlineStr">
        <is>
          <t>Builds the wall</t>
        </is>
      </c>
      <c r="G179" s="6" t="inlineStr">
        <is>
          <t>Conroe, Montgomery County, and across the state</t>
        </is>
      </c>
      <c r="H179" s="6" t="inlineStr">
        <is>
          <t>Founded 1999, rebar and post-tension foundations</t>
        </is>
      </c>
      <c r="I179" s="8" t="inlineStr">
        <is>
          <t>Partly</t>
        </is>
      </c>
      <c r="J179" s="9" t="inlineStr">
        <is>
          <t>Foundations repeat across the region. Listed projects are commercial, not production homes.</t>
        </is>
      </c>
      <c r="K179" s="8" t="inlineStr">
        <is>
          <t>Yes</t>
        </is>
      </c>
      <c r="L179" s="9" t="inlineStr">
        <is>
          <t>Single office. One or two machines cover a real share of its work.</t>
        </is>
      </c>
      <c r="M179" s="8" t="inlineStr">
        <is>
          <t>No</t>
        </is>
      </c>
      <c r="N179" s="9" t="inlineStr">
        <is>
          <t>No record of buying an unproven method.</t>
        </is>
      </c>
      <c r="O179" s="6" t="inlineStr">
        <is>
          <t>https://www.linkedin.com/in/don-jackson-2366351a/</t>
        </is>
      </c>
      <c r="P179" s="6" t="inlineStr"/>
      <c r="Q179" s="11">
        <f>IF(O179="","ADD LINKEDIN","ok")</f>
        <v/>
      </c>
      <c r="R179" s="6" t="inlineStr">
        <is>
          <t>https://solidfoundationsltd.com/about.php</t>
        </is>
      </c>
      <c r="S179" s="9" t="inlineStr">
        <is>
          <t>It works from a single Conroe office, so one or two machines would cover a real share of its work.</t>
        </is>
      </c>
      <c r="T179" s="6" t="inlineStr">
        <is>
          <t>YES</t>
        </is>
      </c>
      <c r="U179" s="9" t="inlineStr">
        <is>
          <t>LinkedIn headline names the firm. His name is common. The only person published.</t>
        </is>
      </c>
      <c r="V179" s="6" t="inlineStr"/>
      <c r="W179" s="6" t="inlineStr"/>
      <c r="X179" s="6" t="inlineStr"/>
      <c r="Y179" s="6" t="inlineStr"/>
      <c r="Z179" s="6" t="inlineStr">
        <is>
          <t>(281) 798-4821</t>
        </is>
      </c>
      <c r="AA179" s="6" t="inlineStr">
        <is>
          <t>main</t>
        </is>
      </c>
      <c r="AB179" s="6" t="inlineStr">
        <is>
          <t>https://solidfoundationsltd.com/about.php</t>
        </is>
      </c>
      <c r="AC179" s="6" t="inlineStr"/>
      <c r="AD179" s="6" t="inlineStr"/>
    </row>
    <row r="180">
      <c r="A180" s="12" t="inlineStr">
        <is>
          <t>Francisco Trevino</t>
        </is>
      </c>
      <c r="B180" s="12" t="inlineStr">
        <is>
          <t>Texan Pumpers Company</t>
        </is>
      </c>
      <c r="C180" s="12" t="inlineStr">
        <is>
          <t>Title not published</t>
        </is>
      </c>
      <c r="D180" s="13" t="inlineStr">
        <is>
          <t>Builds the wall, not the house</t>
        </is>
      </c>
      <c r="E180" s="14" t="n">
        <v>2</v>
      </c>
      <c r="F180" s="12" t="inlineStr">
        <is>
          <t>Builds the wall</t>
        </is>
      </c>
      <c r="G180" s="12" t="inlineStr">
        <is>
          <t>Kingwood, serving a 150-mile radius</t>
        </is>
      </c>
      <c r="H180" s="12" t="inlineStr">
        <is>
          <t>Over 30 pump trucks, 45 to 50 percent annual growth</t>
        </is>
      </c>
      <c r="I180" s="14" t="inlineStr">
        <is>
          <t>Yes</t>
        </is>
      </c>
      <c r="J180" s="15" t="inlineStr">
        <is>
          <t>Daily placement across one region.</t>
        </is>
      </c>
      <c r="K180" s="14" t="inlineStr">
        <is>
          <t>Partly</t>
        </is>
      </c>
      <c r="L180" s="15" t="inlineStr">
        <is>
          <t>More placement capacity than one or two printers.</t>
        </is>
      </c>
      <c r="M180" s="14" t="inlineStr">
        <is>
          <t>No</t>
        </is>
      </c>
      <c r="N180" s="15" t="inlineStr">
        <is>
          <t>No record of buying an unproven method. Focus is fleet growth and service.</t>
        </is>
      </c>
      <c r="O180" s="6" t="inlineStr">
        <is>
          <t>https://www.linkedin.com/in/francisco-trevino-3b122822b/</t>
        </is>
      </c>
      <c r="P180" s="12" t="inlineStr"/>
      <c r="Q180" s="16">
        <f>IF(O180="","ADD LINKEDIN","ok")</f>
        <v/>
      </c>
      <c r="R180" s="12" t="inlineStr">
        <is>
          <t>https://texconpumping.com/</t>
        </is>
      </c>
      <c r="S180" s="15" t="inlineStr">
        <is>
          <t>It already sells placement to home builders, but its focus is fleet growth and service, not a new method.</t>
        </is>
      </c>
      <c r="T180" s="12" t="inlineStr"/>
      <c r="U180" s="15" t="inlineStr">
        <is>
          <t>LinkedIn headline names the company. No title shown.</t>
        </is>
      </c>
      <c r="V180" s="12" t="inlineStr"/>
      <c r="W180" s="12" t="inlineStr"/>
      <c r="X180" s="12" t="inlineStr"/>
      <c r="Y180" s="12" t="inlineStr"/>
      <c r="Z180" s="12" t="inlineStr">
        <is>
          <t>(713) 588-3500</t>
        </is>
      </c>
      <c r="AA180" s="12" t="inlineStr">
        <is>
          <t>the only number published</t>
        </is>
      </c>
      <c r="AB180" s="12" t="inlineStr">
        <is>
          <t>https://texconpumping.com/</t>
        </is>
      </c>
      <c r="AC180" s="12" t="inlineStr"/>
      <c r="AD180" s="12" t="inlineStr"/>
    </row>
    <row r="181">
      <c r="A181" s="6" t="inlineStr">
        <is>
          <t>David Buzzelli</t>
        </is>
      </c>
      <c r="B181" s="6" t="inlineStr">
        <is>
          <t>Texas A&amp;M Concrete</t>
        </is>
      </c>
      <c r="C181" s="6" t="inlineStr">
        <is>
          <t>Vice President</t>
        </is>
      </c>
      <c r="D181" s="7" t="inlineStr">
        <is>
          <t>Builds the wall, not the house</t>
        </is>
      </c>
      <c r="E181" s="8" t="n">
        <v>2</v>
      </c>
      <c r="F181" s="6" t="inlineStr">
        <is>
          <t>Builds the wall</t>
        </is>
      </c>
      <c r="G181" s="6" t="inlineStr">
        <is>
          <t>Houston, Harris</t>
        </is>
      </c>
      <c r="H181" s="6" t="inlineStr">
        <is>
          <t>79 panels and 52,116 square feet of tilt-up wall on one job</t>
        </is>
      </c>
      <c r="I181" s="8" t="inlineStr">
        <is>
          <t>Yes</t>
        </is>
      </c>
      <c r="J181" s="9" t="inlineStr">
        <is>
          <t>Tilt-up panels repeat inside one metro even when the buildings differ.</t>
        </is>
      </c>
      <c r="K181" s="8" t="inlineStr">
        <is>
          <t>Partly</t>
        </is>
      </c>
      <c r="L181" s="9" t="inlineStr">
        <is>
          <t>Jobs run $500,000 to $15 million. A printer would be one line.</t>
        </is>
      </c>
      <c r="M181" s="8" t="inlineStr">
        <is>
          <t>No</t>
        </is>
      </c>
      <c r="N181" s="9" t="inlineStr">
        <is>
          <t>No method statement published. Sits on concrete standards committees.</t>
        </is>
      </c>
      <c r="O181" s="6" t="inlineStr">
        <is>
          <t>https://www.linkedin.com/in/david-buzzelli-faci-77109b29/</t>
        </is>
      </c>
      <c r="P181" s="6" t="inlineStr"/>
      <c r="Q181" s="11">
        <f>IF(O181="","ADD LINKEDIN","ok")</f>
        <v/>
      </c>
      <c r="R181" s="6" t="inlineStr">
        <is>
          <t>https://www.texasamconcrete.com/</t>
        </is>
      </c>
      <c r="S181" s="9" t="inlineStr">
        <is>
          <t>Its tilt-up panels repeat from job to job, but a printer would be one line on jobs of $500,000 to $15 million.</t>
        </is>
      </c>
      <c r="T181" s="6" t="inlineStr">
        <is>
          <t>YES</t>
        </is>
      </c>
      <c r="U181" s="9" t="inlineStr">
        <is>
          <t>LinkedIn headline: Vice President, Texas A&amp;M Concrete. Houston. Named a founder in its news post.</t>
        </is>
      </c>
      <c r="V181" s="6" t="inlineStr"/>
      <c r="W181" s="6" t="inlineStr"/>
      <c r="X181" s="6" t="inlineStr"/>
      <c r="Y181" s="6" t="inlineStr"/>
      <c r="Z181" s="6" t="inlineStr">
        <is>
          <t>(281) 405-9557</t>
        </is>
      </c>
      <c r="AA181" s="6" t="inlineStr">
        <is>
          <t>office</t>
        </is>
      </c>
      <c r="AB181" s="6" t="inlineStr">
        <is>
          <t>https://www.texasamconcrete.com/</t>
        </is>
      </c>
      <c r="AC181" s="6" t="inlineStr"/>
      <c r="AD181" s="6" t="inlineStr"/>
    </row>
    <row r="182">
      <c r="A182" s="12" t="inlineStr">
        <is>
          <t>Adrian Villarreal</t>
        </is>
      </c>
      <c r="B182" s="12" t="inlineStr">
        <is>
          <t>Texas A&amp;M Concrete</t>
        </is>
      </c>
      <c r="C182" s="12" t="inlineStr">
        <is>
          <t>Co-founder</t>
        </is>
      </c>
      <c r="D182" s="13" t="inlineStr">
        <is>
          <t>Builds the wall, not the house</t>
        </is>
      </c>
      <c r="E182" s="14" t="n">
        <v>2</v>
      </c>
      <c r="F182" s="12" t="inlineStr">
        <is>
          <t>Builds the wall</t>
        </is>
      </c>
      <c r="G182" s="12" t="inlineStr">
        <is>
          <t>Houston, Harris</t>
        </is>
      </c>
      <c r="H182" s="12" t="inlineStr">
        <is>
          <t>79 panels and 52,116 square feet of tilt-up wall on one job</t>
        </is>
      </c>
      <c r="I182" s="14" t="inlineStr">
        <is>
          <t>Yes</t>
        </is>
      </c>
      <c r="J182" s="15" t="inlineStr">
        <is>
          <t>Tilt-up panels repeat inside one metro even when the buildings differ.</t>
        </is>
      </c>
      <c r="K182" s="14" t="inlineStr">
        <is>
          <t>Partly</t>
        </is>
      </c>
      <c r="L182" s="15" t="inlineStr">
        <is>
          <t>Jobs run $500,000 to $15 million. A printer would be one line.</t>
        </is>
      </c>
      <c r="M182" s="14" t="inlineStr">
        <is>
          <t>No</t>
        </is>
      </c>
      <c r="N182" s="15" t="inlineStr">
        <is>
          <t>No method statement published. Sits on concrete standards committees.</t>
        </is>
      </c>
      <c r="O182" s="10" t="inlineStr"/>
      <c r="P182" s="12" t="inlineStr"/>
      <c r="Q182" s="16">
        <f>IF(O182="","ADD LINKEDIN","ok")</f>
        <v/>
      </c>
      <c r="R182" s="12" t="inlineStr">
        <is>
          <t>https://www.texasamconcrete.com/</t>
        </is>
      </c>
      <c r="S182" s="15" t="inlineStr">
        <is>
          <t>Its tilt-up panels repeat from job to job, but a printer would be one line on jobs of $500,000 to $15 million.</t>
        </is>
      </c>
      <c r="T182" s="12" t="inlineStr"/>
      <c r="U182" s="15" t="inlineStr"/>
      <c r="V182" s="12" t="inlineStr">
        <is>
          <t>https://www.texasamconcrete.com/blogs/news/texas-concrete-contractor-makes-it-big</t>
        </is>
      </c>
      <c r="W182" s="12" t="inlineStr"/>
      <c r="X182" s="12" t="inlineStr"/>
      <c r="Y182" s="12" t="inlineStr"/>
      <c r="Z182" s="12" t="inlineStr">
        <is>
          <t>(281) 405-9557</t>
        </is>
      </c>
      <c r="AA182" s="12" t="inlineStr">
        <is>
          <t>office</t>
        </is>
      </c>
      <c r="AB182" s="12" t="inlineStr">
        <is>
          <t>https://www.texasamconcrete.com/</t>
        </is>
      </c>
      <c r="AC182" s="12" t="inlineStr"/>
      <c r="AD182" s="12" t="inlineStr"/>
    </row>
    <row r="183">
      <c r="A183" s="6" t="inlineStr">
        <is>
          <t>Marcos Chavez</t>
        </is>
      </c>
      <c r="B183" s="6" t="inlineStr">
        <is>
          <t>Texas A&amp;M Concrete</t>
        </is>
      </c>
      <c r="C183" s="6" t="inlineStr">
        <is>
          <t>Co-founder</t>
        </is>
      </c>
      <c r="D183" s="7" t="inlineStr">
        <is>
          <t>Builds the wall, not the house</t>
        </is>
      </c>
      <c r="E183" s="8" t="n">
        <v>2</v>
      </c>
      <c r="F183" s="6" t="inlineStr">
        <is>
          <t>Builds the wall</t>
        </is>
      </c>
      <c r="G183" s="6" t="inlineStr">
        <is>
          <t>Houston, Harris</t>
        </is>
      </c>
      <c r="H183" s="6" t="inlineStr">
        <is>
          <t>79 panels and 52,116 square feet of tilt-up wall on one job</t>
        </is>
      </c>
      <c r="I183" s="8" t="inlineStr">
        <is>
          <t>Yes</t>
        </is>
      </c>
      <c r="J183" s="9" t="inlineStr">
        <is>
          <t>Tilt-up panels repeat inside one metro even when the buildings differ.</t>
        </is>
      </c>
      <c r="K183" s="8" t="inlineStr">
        <is>
          <t>Partly</t>
        </is>
      </c>
      <c r="L183" s="9" t="inlineStr">
        <is>
          <t>Jobs run $500,000 to $15 million. A printer would be one line.</t>
        </is>
      </c>
      <c r="M183" s="8" t="inlineStr">
        <is>
          <t>No</t>
        </is>
      </c>
      <c r="N183" s="9" t="inlineStr">
        <is>
          <t>No method statement published. Sits on concrete standards committees.</t>
        </is>
      </c>
      <c r="O183" s="10" t="inlineStr"/>
      <c r="P183" s="6" t="inlineStr"/>
      <c r="Q183" s="11">
        <f>IF(O183="","ADD LINKEDIN","ok")</f>
        <v/>
      </c>
      <c r="R183" s="6" t="inlineStr">
        <is>
          <t>https://www.texasamconcrete.com/</t>
        </is>
      </c>
      <c r="S183" s="9" t="inlineStr">
        <is>
          <t>Its tilt-up panels repeat from job to job, but a printer would be one line on jobs of $500,000 to $15 million.</t>
        </is>
      </c>
      <c r="T183" s="6" t="inlineStr"/>
      <c r="U183" s="9" t="inlineStr"/>
      <c r="V183" s="6" t="inlineStr">
        <is>
          <t>https://www.texasamconcrete.com/blogs/news/texas-concrete-contractor-makes-it-big</t>
        </is>
      </c>
      <c r="W183" s="6" t="inlineStr"/>
      <c r="X183" s="6" t="inlineStr"/>
      <c r="Y183" s="6" t="inlineStr"/>
      <c r="Z183" s="6" t="inlineStr">
        <is>
          <t>(281) 405-9557</t>
        </is>
      </c>
      <c r="AA183" s="6" t="inlineStr">
        <is>
          <t>office</t>
        </is>
      </c>
      <c r="AB183" s="6" t="inlineStr">
        <is>
          <t>https://www.texasamconcrete.com/</t>
        </is>
      </c>
      <c r="AC183" s="6" t="inlineStr"/>
      <c r="AD183" s="6" t="inlineStr"/>
    </row>
    <row r="184">
      <c r="A184" s="12" t="inlineStr">
        <is>
          <t>Robert May</t>
        </is>
      </c>
      <c r="B184" s="12" t="inlineStr">
        <is>
          <t>Tricon Precast</t>
        </is>
      </c>
      <c r="C184" s="12" t="inlineStr">
        <is>
          <t>Business Development</t>
        </is>
      </c>
      <c r="D184" s="13" t="inlineStr">
        <is>
          <t>Builds the wall, not the house</t>
        </is>
      </c>
      <c r="E184" s="14" t="n">
        <v>2</v>
      </c>
      <c r="F184" s="12" t="inlineStr">
        <is>
          <t>Builds the wall</t>
        </is>
      </c>
      <c r="G184" s="12" t="inlineStr">
        <is>
          <t>Houston, Henry Road, with a second Texas plant</t>
        </is>
      </c>
      <c r="H184" s="12" t="inlineStr">
        <is>
          <t>ACI and PCI Level 1 certified quality control</t>
        </is>
      </c>
      <c r="I184" s="14" t="inlineStr">
        <is>
          <t>Yes</t>
        </is>
      </c>
      <c r="J184" s="15" t="inlineStr">
        <is>
          <t>Two Texas plants casting bridge and substructure elements repeatedly.</t>
        </is>
      </c>
      <c r="K184" s="14" t="inlineStr">
        <is>
          <t>Partly</t>
        </is>
      </c>
      <c r="L184" s="15" t="inlineStr">
        <is>
          <t>More capacity than one or two printers would cover.</t>
        </is>
      </c>
      <c r="M184" s="14" t="inlineStr">
        <is>
          <t>No</t>
        </is>
      </c>
      <c r="N184" s="15" t="inlineStr">
        <is>
          <t>No record of buying an unproven method.</t>
        </is>
      </c>
      <c r="O184" s="6" t="inlineStr">
        <is>
          <t>https://www.linkedin.com/in/robert-may-18560560</t>
        </is>
      </c>
      <c r="P184" s="12" t="inlineStr"/>
      <c r="Q184" s="16">
        <f>IF(O184="","ADD LINKEDIN","ok")</f>
        <v/>
      </c>
      <c r="R184" s="12" t="inlineStr">
        <is>
          <t>https://www.triconprecast.com</t>
        </is>
      </c>
      <c r="S184" s="15" t="inlineStr">
        <is>
          <t>Its products are bridge, highway and industrial precast, not building wall, and its plants exceed what one or two printers would cover.</t>
        </is>
      </c>
      <c r="T184" s="12" t="inlineStr"/>
      <c r="U184" s="15" t="inlineStr">
        <is>
          <t>Texas precast association contact. His headline gives the function. Tricon publishes no leadership.</t>
        </is>
      </c>
      <c r="V184" s="12" t="inlineStr"/>
      <c r="W184" s="12" t="inlineStr"/>
      <c r="X184" s="12" t="inlineStr"/>
      <c r="Y184" s="12" t="inlineStr"/>
      <c r="Z184" s="12" t="inlineStr">
        <is>
          <t>(281) 931-9832</t>
        </is>
      </c>
      <c r="AA184" s="12" t="inlineStr">
        <is>
          <t>Houston, Henry Road</t>
        </is>
      </c>
      <c r="AB184" s="12" t="inlineStr">
        <is>
          <t>https://tricon-industrial.com/contact</t>
        </is>
      </c>
      <c r="AC184" s="12" t="inlineStr"/>
      <c r="AD184" s="12" t="inlineStr"/>
    </row>
    <row r="185">
      <c r="A185" s="6" t="inlineStr">
        <is>
          <t>Don Groom</t>
        </is>
      </c>
      <c r="B185" s="6" t="inlineStr">
        <is>
          <t>Trussworks Operations</t>
        </is>
      </c>
      <c r="C185" s="6" t="inlineStr">
        <is>
          <t>President, Chief Executive Officer and Managing Partner</t>
        </is>
      </c>
      <c r="D185" s="7" t="inlineStr">
        <is>
          <t>Builds the wall, not the house</t>
        </is>
      </c>
      <c r="E185" s="8" t="n">
        <v>2</v>
      </c>
      <c r="F185" s="6" t="inlineStr">
        <is>
          <t>Builds the wall</t>
        </is>
      </c>
      <c r="G185" s="6" t="inlineStr">
        <is>
          <t>Caldwell plant, about 90 minutes from Houston</t>
        </is>
      </c>
      <c r="H185" s="6" t="inlineStr">
        <is>
          <t>Wall panels for production builder projects</t>
        </is>
      </c>
      <c r="I185" s="8" t="inlineStr">
        <is>
          <t>Yes</t>
        </is>
      </c>
      <c r="J185" s="9" t="inlineStr">
        <is>
          <t>One plant making wall panels repeatedly for production builders across the region.</t>
        </is>
      </c>
      <c r="K185" s="8" t="inlineStr">
        <is>
          <t>Partly</t>
        </is>
      </c>
      <c r="L185" s="9" t="inlineStr">
        <is>
          <t>Seven-plant group, beyond one or two printers. Caldwell is regional, not in Houston.</t>
        </is>
      </c>
      <c r="M185" s="8" t="inlineStr">
        <is>
          <t>No</t>
        </is>
      </c>
      <c r="N185" s="9" t="inlineStr">
        <is>
          <t>No record of buying an unproven method.</t>
        </is>
      </c>
      <c r="O185" s="6" t="inlineStr">
        <is>
          <t>https://www.linkedin.com/in/don-groom-a60811147</t>
        </is>
      </c>
      <c r="P185" s="6" t="inlineStr"/>
      <c r="Q185" s="11">
        <f>IF(O185="","ADD LINKEDIN","ok")</f>
        <v/>
      </c>
      <c r="R185" s="6" t="inlineStr">
        <is>
          <t>https://www.trussworksllc.net/</t>
        </is>
      </c>
      <c r="S185" s="9" t="inlineStr">
        <is>
          <t>Its Caldwell plant already sells wall panels to production builders, so a printer would replace a product it makes.</t>
        </is>
      </c>
      <c r="T185" s="6" t="inlineStr">
        <is>
          <t>YES</t>
        </is>
      </c>
      <c r="U185" s="9" t="inlineStr">
        <is>
          <t>Firm staff page. Managing partner means ownership.</t>
        </is>
      </c>
      <c r="V185" s="6" t="inlineStr"/>
      <c r="W185" s="6" t="inlineStr"/>
      <c r="X185" s="6" t="inlineStr"/>
      <c r="Y185" s="6" t="inlineStr"/>
      <c r="Z185" s="6" t="inlineStr">
        <is>
          <t>(979) 567-0400</t>
        </is>
      </c>
      <c r="AA185" s="6" t="inlineStr">
        <is>
          <t>the line published against every location</t>
        </is>
      </c>
      <c r="AB185" s="6" t="inlineStr">
        <is>
          <t>https://www.trussworksllc.net/locations</t>
        </is>
      </c>
      <c r="AC185" s="6" t="inlineStr"/>
      <c r="AD185" s="6" t="inlineStr"/>
    </row>
    <row r="186">
      <c r="A186" s="12" t="inlineStr">
        <is>
          <t>Justin Groom</t>
        </is>
      </c>
      <c r="B186" s="12" t="inlineStr">
        <is>
          <t>Trussworks Operations</t>
        </is>
      </c>
      <c r="C186" s="12" t="inlineStr">
        <is>
          <t>Executive Vice President, Manufacturing and Distribution</t>
        </is>
      </c>
      <c r="D186" s="13" t="inlineStr">
        <is>
          <t>Builds the wall, not the house</t>
        </is>
      </c>
      <c r="E186" s="14" t="n">
        <v>2</v>
      </c>
      <c r="F186" s="12" t="inlineStr">
        <is>
          <t>Builds the wall</t>
        </is>
      </c>
      <c r="G186" s="12" t="inlineStr">
        <is>
          <t>Caldwell plant, about 90 minutes from Houston</t>
        </is>
      </c>
      <c r="H186" s="12" t="inlineStr">
        <is>
          <t>Wall panels for production builder projects</t>
        </is>
      </c>
      <c r="I186" s="14" t="inlineStr">
        <is>
          <t>Yes</t>
        </is>
      </c>
      <c r="J186" s="15" t="inlineStr">
        <is>
          <t>One plant making wall panels repeatedly for production builders across the region.</t>
        </is>
      </c>
      <c r="K186" s="14" t="inlineStr">
        <is>
          <t>Partly</t>
        </is>
      </c>
      <c r="L186" s="15" t="inlineStr">
        <is>
          <t>Seven-plant group, beyond one or two printers. Caldwell is regional, not in Houston.</t>
        </is>
      </c>
      <c r="M186" s="14" t="inlineStr">
        <is>
          <t>No</t>
        </is>
      </c>
      <c r="N186" s="15" t="inlineStr">
        <is>
          <t>No record of buying an unproven method.</t>
        </is>
      </c>
      <c r="O186" s="10" t="inlineStr"/>
      <c r="P186" s="12" t="inlineStr"/>
      <c r="Q186" s="16">
        <f>IF(O186="","ADD LINKEDIN","ok")</f>
        <v/>
      </c>
      <c r="R186" s="12" t="inlineStr">
        <is>
          <t>https://www.trussworksllc.net/</t>
        </is>
      </c>
      <c r="S186" s="15" t="inlineStr">
        <is>
          <t>Its Caldwell plant already sells wall panels to production builders, so a printer would replace a product it makes.</t>
        </is>
      </c>
      <c r="T186" s="12" t="inlineStr">
        <is>
          <t>YES</t>
        </is>
      </c>
      <c r="U186" s="15" t="inlineStr">
        <is>
          <t>Team page. Runs the plant floor.</t>
        </is>
      </c>
      <c r="V186" s="12" t="inlineStr">
        <is>
          <t>https://www.trussworksllc.net/our-team</t>
        </is>
      </c>
      <c r="W186" s="12" t="inlineStr"/>
      <c r="X186" s="12" t="inlineStr"/>
      <c r="Y186" s="12" t="inlineStr"/>
      <c r="Z186" s="12" t="inlineStr">
        <is>
          <t>(979) 567-0400</t>
        </is>
      </c>
      <c r="AA186" s="12" t="inlineStr">
        <is>
          <t>the line published against every location</t>
        </is>
      </c>
      <c r="AB186" s="12" t="inlineStr">
        <is>
          <t>https://www.trussworksllc.net/locations</t>
        </is>
      </c>
      <c r="AC186" s="12" t="inlineStr"/>
      <c r="AD186" s="12" t="inlineStr"/>
    </row>
    <row r="187">
      <c r="A187" s="6" t="inlineStr">
        <is>
          <t>Mike Bellows</t>
        </is>
      </c>
      <c r="B187" s="6" t="inlineStr">
        <is>
          <t>Trussworks Operations</t>
        </is>
      </c>
      <c r="C187" s="6" t="inlineStr">
        <is>
          <t>Partner</t>
        </is>
      </c>
      <c r="D187" s="7" t="inlineStr">
        <is>
          <t>Builds the wall, not the house</t>
        </is>
      </c>
      <c r="E187" s="8" t="n">
        <v>2</v>
      </c>
      <c r="F187" s="6" t="inlineStr">
        <is>
          <t>Builds the wall</t>
        </is>
      </c>
      <c r="G187" s="6" t="inlineStr">
        <is>
          <t>Caldwell plant, about 90 minutes from Houston</t>
        </is>
      </c>
      <c r="H187" s="6" t="inlineStr">
        <is>
          <t>Wall panels for production builder projects</t>
        </is>
      </c>
      <c r="I187" s="8" t="inlineStr">
        <is>
          <t>Yes</t>
        </is>
      </c>
      <c r="J187" s="9" t="inlineStr">
        <is>
          <t>One plant making wall panels repeatedly for production builders across the region.</t>
        </is>
      </c>
      <c r="K187" s="8" t="inlineStr">
        <is>
          <t>Partly</t>
        </is>
      </c>
      <c r="L187" s="9" t="inlineStr">
        <is>
          <t>Seven-plant group, beyond one or two printers. Caldwell is regional, not in Houston.</t>
        </is>
      </c>
      <c r="M187" s="8" t="inlineStr">
        <is>
          <t>No</t>
        </is>
      </c>
      <c r="N187" s="9" t="inlineStr">
        <is>
          <t>No record of buying an unproven method.</t>
        </is>
      </c>
      <c r="O187" s="10" t="inlineStr"/>
      <c r="P187" s="6" t="inlineStr"/>
      <c r="Q187" s="11">
        <f>IF(O187="","ADD LINKEDIN","ok")</f>
        <v/>
      </c>
      <c r="R187" s="6" t="inlineStr">
        <is>
          <t>https://www.trussworksllc.net/</t>
        </is>
      </c>
      <c r="S187" s="9" t="inlineStr">
        <is>
          <t>Its Caldwell plant already sells wall panels to production builders, so a printer would replace a product it makes.</t>
        </is>
      </c>
      <c r="T187" s="6" t="inlineStr"/>
      <c r="U187" s="9" t="inlineStr"/>
      <c r="V187" s="6" t="inlineStr">
        <is>
          <t>https://www.trussworksllc.net/our-team</t>
        </is>
      </c>
      <c r="W187" s="6" t="inlineStr"/>
      <c r="X187" s="6" t="inlineStr"/>
      <c r="Y187" s="6" t="inlineStr"/>
      <c r="Z187" s="6" t="inlineStr">
        <is>
          <t>(979) 567-0400</t>
        </is>
      </c>
      <c r="AA187" s="6" t="inlineStr">
        <is>
          <t>the line published against every location</t>
        </is>
      </c>
      <c r="AB187" s="6" t="inlineStr">
        <is>
          <t>https://www.trussworksllc.net/locations</t>
        </is>
      </c>
      <c r="AC187" s="6" t="inlineStr"/>
      <c r="AD187" s="6" t="inlineStr"/>
    </row>
    <row r="188">
      <c r="A188" s="12" t="inlineStr">
        <is>
          <t>Tony Urban</t>
        </is>
      </c>
      <c r="B188" s="12" t="inlineStr">
        <is>
          <t>Trussworks Operations</t>
        </is>
      </c>
      <c r="C188" s="12" t="inlineStr">
        <is>
          <t>Partner</t>
        </is>
      </c>
      <c r="D188" s="13" t="inlineStr">
        <is>
          <t>Builds the wall, not the house</t>
        </is>
      </c>
      <c r="E188" s="14" t="n">
        <v>2</v>
      </c>
      <c r="F188" s="12" t="inlineStr">
        <is>
          <t>Builds the wall</t>
        </is>
      </c>
      <c r="G188" s="12" t="inlineStr">
        <is>
          <t>Caldwell plant, about 90 minutes from Houston</t>
        </is>
      </c>
      <c r="H188" s="12" t="inlineStr">
        <is>
          <t>Wall panels for production builder projects</t>
        </is>
      </c>
      <c r="I188" s="14" t="inlineStr">
        <is>
          <t>Yes</t>
        </is>
      </c>
      <c r="J188" s="15" t="inlineStr">
        <is>
          <t>One plant making wall panels repeatedly for production builders across the region.</t>
        </is>
      </c>
      <c r="K188" s="14" t="inlineStr">
        <is>
          <t>Partly</t>
        </is>
      </c>
      <c r="L188" s="15" t="inlineStr">
        <is>
          <t>Seven-plant group, beyond one or two printers. Caldwell is regional, not in Houston.</t>
        </is>
      </c>
      <c r="M188" s="14" t="inlineStr">
        <is>
          <t>No</t>
        </is>
      </c>
      <c r="N188" s="15" t="inlineStr">
        <is>
          <t>No record of buying an unproven method.</t>
        </is>
      </c>
      <c r="O188" s="10" t="inlineStr"/>
      <c r="P188" s="12" t="inlineStr"/>
      <c r="Q188" s="16">
        <f>IF(O188="","ADD LINKEDIN","ok")</f>
        <v/>
      </c>
      <c r="R188" s="12" t="inlineStr">
        <is>
          <t>https://www.trussworksllc.net/</t>
        </is>
      </c>
      <c r="S188" s="15" t="inlineStr">
        <is>
          <t>Its Caldwell plant already sells wall panels to production builders, so a printer would replace a product it makes.</t>
        </is>
      </c>
      <c r="T188" s="12" t="inlineStr"/>
      <c r="U188" s="15" t="inlineStr"/>
      <c r="V188" s="12" t="inlineStr">
        <is>
          <t>https://www.trussworksllc.net/our-team</t>
        </is>
      </c>
      <c r="W188" s="12" t="inlineStr"/>
      <c r="X188" s="12" t="inlineStr"/>
      <c r="Y188" s="12" t="inlineStr"/>
      <c r="Z188" s="12" t="inlineStr">
        <is>
          <t>(979) 567-0400</t>
        </is>
      </c>
      <c r="AA188" s="12" t="inlineStr">
        <is>
          <t>the line published against every location</t>
        </is>
      </c>
      <c r="AB188" s="12" t="inlineStr">
        <is>
          <t>https://www.trussworksllc.net/locations</t>
        </is>
      </c>
      <c r="AC188" s="12" t="inlineStr"/>
      <c r="AD188" s="12" t="inlineStr"/>
    </row>
    <row r="189">
      <c r="A189" s="6" t="inlineStr">
        <is>
          <t>David Veazey</t>
        </is>
      </c>
      <c r="B189" s="6" t="inlineStr">
        <is>
          <t>Veazey Enterprises</t>
        </is>
      </c>
      <c r="C189" s="6" t="inlineStr">
        <is>
          <t>President</t>
        </is>
      </c>
      <c r="D189" s="7" t="inlineStr">
        <is>
          <t>Builds the wall, not the house</t>
        </is>
      </c>
      <c r="E189" s="8" t="n">
        <v>2</v>
      </c>
      <c r="F189" s="6" t="inlineStr">
        <is>
          <t>Builds the wall</t>
        </is>
      </c>
      <c r="G189" s="6" t="inlineStr">
        <is>
          <t>Houston, Appleton Street, serving Greater Houston and Galveston</t>
        </is>
      </c>
      <c r="H189" s="6" t="inlineStr">
        <is>
          <t>Four generations, operating since the early 1960s</t>
        </is>
      </c>
      <c r="I189" s="8" t="inlineStr">
        <is>
          <t>Yes</t>
        </is>
      </c>
      <c r="J189" s="9" t="inlineStr">
        <is>
          <t>Masonry laid repeatedly across one metro.</t>
        </is>
      </c>
      <c r="K189" s="8" t="inlineStr">
        <is>
          <t>Partly</t>
        </is>
      </c>
      <c r="L189" s="9" t="inlineStr">
        <is>
          <t>Puts up more wall than one or two printers would cover.</t>
        </is>
      </c>
      <c r="M189" s="8" t="inlineStr">
        <is>
          <t>No</t>
        </is>
      </c>
      <c r="N189" s="9" t="inlineStr">
        <is>
          <t>No record of buying an unproven method.</t>
        </is>
      </c>
      <c r="O189" s="6" t="inlineStr">
        <is>
          <t>https://www.linkedin.com/in/david-veazey-0b585b17/</t>
        </is>
      </c>
      <c r="P189" s="6" t="inlineStr"/>
      <c r="Q189" s="11">
        <f>IF(O189="","ADD LINKEDIN","ok")</f>
        <v/>
      </c>
      <c r="R189" s="6" t="inlineStr">
        <is>
          <t>https://vzmasonry.com/</t>
        </is>
      </c>
      <c r="S189" s="9" t="inlineStr">
        <is>
          <t>It builds institutional masonry where load-bearing block is still specified, and puts up more wall than one or two printers would cover.</t>
        </is>
      </c>
      <c r="T189" s="6" t="inlineStr">
        <is>
          <t>YES</t>
        </is>
      </c>
      <c r="U189" s="9" t="inlineStr">
        <is>
          <t>LinkedIn headline carries the title. Byline on a Mason Contractors Association interview. Site names nobody.</t>
        </is>
      </c>
      <c r="V189" s="6" t="inlineStr"/>
      <c r="W189" s="6" t="inlineStr"/>
      <c r="X189" s="6" t="inlineStr"/>
      <c r="Y189" s="6" t="inlineStr"/>
      <c r="Z189" s="6" t="inlineStr">
        <is>
          <t>(713) 695-6500</t>
        </is>
      </c>
      <c r="AA189" s="6" t="inlineStr">
        <is>
          <t>main line</t>
        </is>
      </c>
      <c r="AB189" s="6" t="inlineStr">
        <is>
          <t>https://vzmasonry.com/</t>
        </is>
      </c>
      <c r="AC189" s="6" t="inlineStr"/>
      <c r="AD189" s="6" t="inlineStr"/>
    </row>
    <row r="190">
      <c r="A190" s="12" t="inlineStr">
        <is>
          <t>Sharon Stelter</t>
        </is>
      </c>
      <c r="B190" s="12" t="inlineStr">
        <is>
          <t>Veazey Enterprises</t>
        </is>
      </c>
      <c r="C190" s="12" t="inlineStr">
        <is>
          <t>Vice President</t>
        </is>
      </c>
      <c r="D190" s="13" t="inlineStr">
        <is>
          <t>Builds the wall, not the house</t>
        </is>
      </c>
      <c r="E190" s="14" t="n">
        <v>2</v>
      </c>
      <c r="F190" s="12" t="inlineStr">
        <is>
          <t>Builds the wall</t>
        </is>
      </c>
      <c r="G190" s="12" t="inlineStr">
        <is>
          <t>Houston, Appleton Street, serving Greater Houston and Galveston</t>
        </is>
      </c>
      <c r="H190" s="12" t="inlineStr">
        <is>
          <t>Four generations, operating since the early 1960s</t>
        </is>
      </c>
      <c r="I190" s="14" t="inlineStr">
        <is>
          <t>Yes</t>
        </is>
      </c>
      <c r="J190" s="15" t="inlineStr">
        <is>
          <t>Masonry laid repeatedly across one metro.</t>
        </is>
      </c>
      <c r="K190" s="14" t="inlineStr">
        <is>
          <t>Partly</t>
        </is>
      </c>
      <c r="L190" s="15" t="inlineStr">
        <is>
          <t>Puts up more wall than one or two printers would cover.</t>
        </is>
      </c>
      <c r="M190" s="14" t="inlineStr">
        <is>
          <t>No</t>
        </is>
      </c>
      <c r="N190" s="15" t="inlineStr">
        <is>
          <t>No record of buying an unproven method.</t>
        </is>
      </c>
      <c r="O190" s="10" t="inlineStr"/>
      <c r="P190" s="12" t="inlineStr"/>
      <c r="Q190" s="16">
        <f>IF(O190="","ADD LINKEDIN","ok")</f>
        <v/>
      </c>
      <c r="R190" s="12" t="inlineStr">
        <is>
          <t>https://vzmasonry.com/</t>
        </is>
      </c>
      <c r="S190" s="15" t="inlineStr">
        <is>
          <t>It builds institutional masonry where load-bearing block is still specified, and puts up more wall than one or two printers would cover.</t>
        </is>
      </c>
      <c r="T190" s="12" t="inlineStr"/>
      <c r="U190" s="15" t="inlineStr">
        <is>
          <t>American Subcontractors Association directory.</t>
        </is>
      </c>
      <c r="V190" s="12" t="inlineStr">
        <is>
          <t>https://members.asaonline.com/directory/Details/veazey-enterprises-inc-542938</t>
        </is>
      </c>
      <c r="W190" s="12" t="inlineStr"/>
      <c r="X190" s="12" t="inlineStr"/>
      <c r="Y190" s="12" t="inlineStr"/>
      <c r="Z190" s="12" t="inlineStr">
        <is>
          <t>(713) 695-6500</t>
        </is>
      </c>
      <c r="AA190" s="12" t="inlineStr">
        <is>
          <t>main line</t>
        </is>
      </c>
      <c r="AB190" s="12" t="inlineStr">
        <is>
          <t>https://vzmasonry.com/</t>
        </is>
      </c>
      <c r="AC190" s="12" t="inlineStr"/>
      <c r="AD190" s="12" t="inlineStr"/>
    </row>
    <row r="191">
      <c r="A191" s="6" t="inlineStr">
        <is>
          <t>Gerald Guzman</t>
        </is>
      </c>
      <c r="B191" s="6" t="inlineStr">
        <is>
          <t>Winco Masonry</t>
        </is>
      </c>
      <c r="C191" s="6" t="inlineStr">
        <is>
          <t>President</t>
        </is>
      </c>
      <c r="D191" s="7" t="inlineStr">
        <is>
          <t>Builds the wall, not the house</t>
        </is>
      </c>
      <c r="E191" s="8" t="n">
        <v>2</v>
      </c>
      <c r="F191" s="6" t="inlineStr">
        <is>
          <t>Builds the wall</t>
        </is>
      </c>
      <c r="G191" s="6" t="inlineStr">
        <is>
          <t>Porter, Montgomery County</t>
        </is>
      </c>
      <c r="H191" s="6" t="inlineStr">
        <is>
          <t>Serving Texas for over 52 years</t>
        </is>
      </c>
      <c r="I191" s="8" t="inlineStr">
        <is>
          <t>Yes</t>
        </is>
      </c>
      <c r="J191" s="9" t="inlineStr">
        <is>
          <t>Brick, block and cast stone laid repeatedly across one region.</t>
        </is>
      </c>
      <c r="K191" s="8" t="inlineStr">
        <is>
          <t>Partly</t>
        </is>
      </c>
      <c r="L191" s="9" t="inlineStr">
        <is>
          <t>Projects run all over town at once. More wall than one or two printers cover.</t>
        </is>
      </c>
      <c r="M191" s="8" t="inlineStr">
        <is>
          <t>No</t>
        </is>
      </c>
      <c r="N191" s="9" t="inlineStr">
        <is>
          <t>No record of buying an unproven method. Pitches schedule reliability.</t>
        </is>
      </c>
      <c r="O191" s="10" t="inlineStr"/>
      <c r="P191" s="6" t="inlineStr"/>
      <c r="Q191" s="11">
        <f>IF(O191="","ADD LINKEDIN","ok")</f>
        <v/>
      </c>
      <c r="R191" s="6" t="inlineStr">
        <is>
          <t>http://www.wincomasonry.com/</t>
        </is>
      </c>
      <c r="S191" s="9" t="inlineStr">
        <is>
          <t>It runs projects all over town at once, so it lays more wall than one or two printers would cover.</t>
        </is>
      </c>
      <c r="T191" s="6" t="inlineStr">
        <is>
          <t>YES</t>
        </is>
      </c>
      <c r="U191" s="9" t="inlineStr">
        <is>
          <t>AGC Houston member directory. The firm's site names no leaders.</t>
        </is>
      </c>
      <c r="V191" s="6" t="inlineStr">
        <is>
          <t>https://members.agchouston.org/directory/Details/winco-masonry-inc-2123266</t>
        </is>
      </c>
      <c r="W191" s="6" t="inlineStr"/>
      <c r="X191" s="6" t="inlineStr"/>
      <c r="Y191" s="6" t="inlineStr"/>
      <c r="Z191" s="6" t="inlineStr">
        <is>
          <t>(281) 354-2515</t>
        </is>
      </c>
      <c r="AA191" s="6" t="inlineStr">
        <is>
          <t>the only number on the firm's own site</t>
        </is>
      </c>
      <c r="AB191" s="6" t="inlineStr">
        <is>
          <t>http://www.wincomasonry.com/</t>
        </is>
      </c>
      <c r="AC191" s="6" t="inlineStr"/>
      <c r="AD191" s="6" t="inlineStr"/>
    </row>
    <row r="192">
      <c r="A192" s="12" t="inlineStr">
        <is>
          <t>Nathan Frazier</t>
        </is>
      </c>
      <c r="B192" s="12" t="inlineStr">
        <is>
          <t>All About Concrete</t>
        </is>
      </c>
      <c r="C192" s="12" t="inlineStr">
        <is>
          <t>Founder and Chief Executive Officer</t>
        </is>
      </c>
      <c r="D192" s="13" t="inlineStr">
        <is>
          <t>Builds the wall, not the house</t>
        </is>
      </c>
      <c r="E192" s="14" t="n">
        <v>2</v>
      </c>
      <c r="F192" s="12" t="inlineStr">
        <is>
          <t>Builds the wall</t>
        </is>
      </c>
      <c r="G192" s="12" t="inlineStr">
        <is>
          <t>Tomball, Houston primary, also Dallas-Fort Worth, Austin and San Antonio</t>
        </is>
      </c>
      <c r="H192" s="12" t="inlineStr">
        <is>
          <t>Turn-key concrete for production builders</t>
        </is>
      </c>
      <c r="I192" s="14" t="inlineStr">
        <is>
          <t>Yes</t>
        </is>
      </c>
      <c r="J192" s="15" t="inlineStr">
        <is>
          <t>Repeat work in the same Houston submarkets.</t>
        </is>
      </c>
      <c r="K192" s="14" t="inlineStr">
        <is>
          <t>Partly</t>
        </is>
      </c>
      <c r="L192" s="15" t="inlineStr">
        <is>
          <t>Single office. No slab count published.</t>
        </is>
      </c>
      <c r="M192" s="14" t="inlineStr">
        <is>
          <t>No</t>
        </is>
      </c>
      <c r="N192" s="15" t="inlineStr">
        <is>
          <t>No record of buying an unproven method. No method content.</t>
        </is>
      </c>
      <c r="O192" s="6" t="inlineStr">
        <is>
          <t>https://www.linkedin.com/in/nathan-frazier-frazier-528106104</t>
        </is>
      </c>
      <c r="P192" s="12" t="inlineStr"/>
      <c r="Q192" s="16">
        <f>IF(O192="","ADD LINKEDIN","ok")</f>
        <v/>
      </c>
      <c r="R192" s="12" t="inlineStr">
        <is>
          <t>https://allaboutconcretellc.net/</t>
        </is>
      </c>
      <c r="S192" s="15" t="inlineStr">
        <is>
          <t>It repeats work in the same Houston submarkets from a single office, but publishes no slab count.</t>
        </is>
      </c>
      <c r="T192" s="12" t="inlineStr">
        <is>
          <t>YES</t>
        </is>
      </c>
      <c r="U192" s="15" t="inlineStr">
        <is>
          <t>High Street Capital announcement, August 2026. Continues as chief executive.</t>
        </is>
      </c>
      <c r="V192" s="12" t="inlineStr"/>
      <c r="W192" s="12" t="inlineStr"/>
      <c r="X192" s="12" t="inlineStr"/>
      <c r="Y192" s="12" t="inlineStr"/>
      <c r="Z192" s="12" t="inlineStr">
        <is>
          <t>(281) 370-4470</t>
        </is>
      </c>
      <c r="AA192" s="12" t="inlineStr">
        <is>
          <t>Tomball</t>
        </is>
      </c>
      <c r="AB192" s="12" t="inlineStr">
        <is>
          <t>https://allaboutconcretellc.net/partner-with-us/</t>
        </is>
      </c>
      <c r="AC192" s="12" t="inlineStr"/>
      <c r="AD192" s="12" t="inlineStr"/>
    </row>
    <row r="193">
      <c r="A193" s="6" t="inlineStr">
        <is>
          <t>Don Edwards</t>
        </is>
      </c>
      <c r="B193" s="6" t="inlineStr">
        <is>
          <t>All About Concrete</t>
        </is>
      </c>
      <c r="C193" s="6" t="inlineStr">
        <is>
          <t>Chief Operating Officer</t>
        </is>
      </c>
      <c r="D193" s="7" t="inlineStr">
        <is>
          <t>Builds the wall, not the house</t>
        </is>
      </c>
      <c r="E193" s="8" t="n">
        <v>2</v>
      </c>
      <c r="F193" s="6" t="inlineStr">
        <is>
          <t>Builds the wall</t>
        </is>
      </c>
      <c r="G193" s="6" t="inlineStr">
        <is>
          <t>Tomball, Houston primary, also Dallas-Fort Worth, Austin and San Antonio</t>
        </is>
      </c>
      <c r="H193" s="6" t="inlineStr">
        <is>
          <t>Turn-key concrete for production builders</t>
        </is>
      </c>
      <c r="I193" s="8" t="inlineStr">
        <is>
          <t>Yes</t>
        </is>
      </c>
      <c r="J193" s="9" t="inlineStr">
        <is>
          <t>Repeat work in the same Houston submarkets.</t>
        </is>
      </c>
      <c r="K193" s="8" t="inlineStr">
        <is>
          <t>Partly</t>
        </is>
      </c>
      <c r="L193" s="9" t="inlineStr">
        <is>
          <t>Single office. No slab count published.</t>
        </is>
      </c>
      <c r="M193" s="8" t="inlineStr">
        <is>
          <t>No</t>
        </is>
      </c>
      <c r="N193" s="9" t="inlineStr">
        <is>
          <t>No record of buying an unproven method. No method content.</t>
        </is>
      </c>
      <c r="O193" s="10" t="inlineStr"/>
      <c r="P193" s="6" t="inlineStr"/>
      <c r="Q193" s="11">
        <f>IF(O193="","ADD LINKEDIN","ok")</f>
        <v/>
      </c>
      <c r="R193" s="6" t="inlineStr">
        <is>
          <t>https://allaboutconcretellc.net/</t>
        </is>
      </c>
      <c r="S193" s="9" t="inlineStr">
        <is>
          <t>It repeats work in the same Houston submarkets from a single office, but publishes no slab count.</t>
        </is>
      </c>
      <c r="T193" s="6" t="inlineStr"/>
      <c r="U193" s="9" t="inlineStr">
        <is>
          <t>Same announcement. Continues as chief operating officer.</t>
        </is>
      </c>
      <c r="V193" s="6" t="inlineStr">
        <is>
          <t>https://www.highstreetcapital.com/news/high-street-capital-invests-in-all-about-concrete/</t>
        </is>
      </c>
      <c r="W193" s="6" t="inlineStr"/>
      <c r="X193" s="6" t="inlineStr"/>
      <c r="Y193" s="6" t="inlineStr"/>
      <c r="Z193" s="6" t="inlineStr">
        <is>
          <t>(281) 370-4470</t>
        </is>
      </c>
      <c r="AA193" s="6" t="inlineStr">
        <is>
          <t>Tomball</t>
        </is>
      </c>
      <c r="AB193" s="6" t="inlineStr">
        <is>
          <t>https://allaboutconcretellc.net/partner-with-us/</t>
        </is>
      </c>
      <c r="AC193" s="6" t="inlineStr"/>
      <c r="AD193" s="6" t="inlineStr"/>
    </row>
    <row r="194">
      <c r="A194" s="12" t="inlineStr">
        <is>
          <t>no contact identified</t>
        </is>
      </c>
      <c r="B194" s="12" t="inlineStr">
        <is>
          <t>Texas Lite Gauge Steel MFG</t>
        </is>
      </c>
      <c r="C194" s="12" t="inlineStr"/>
      <c r="D194" s="13" t="inlineStr">
        <is>
          <t>Builds the wall, not the house</t>
        </is>
      </c>
      <c r="E194" s="14" t="n">
        <v>2</v>
      </c>
      <c r="F194" s="12" t="inlineStr">
        <is>
          <t>Builds the wall</t>
        </is>
      </c>
      <c r="G194" s="12" t="inlineStr">
        <is>
          <t>Texas, Houston telephone exchange</t>
        </is>
      </c>
      <c r="H194" s="12" t="inlineStr">
        <is>
          <t>Prefab walls to plus or minus 0.3mm</t>
        </is>
      </c>
      <c r="I194" s="14" t="inlineStr">
        <is>
          <t>Partly</t>
        </is>
      </c>
      <c r="J194" s="15" t="inlineStr">
        <is>
          <t>Prefab wall made repeatedly. No market, city or repeat customer named.</t>
        </is>
      </c>
      <c r="K194" s="14" t="inlineStr">
        <is>
          <t>Yes</t>
        </is>
      </c>
      <c r="L194" s="15" t="inlineStr">
        <is>
          <t>Single-line fabricator. One or two machines would cover a real share.</t>
        </is>
      </c>
      <c r="M194" s="14" t="inlineStr">
        <is>
          <t>No</t>
        </is>
      </c>
      <c r="N194" s="15" t="inlineStr">
        <is>
          <t>No record of buying an unproven method.</t>
        </is>
      </c>
      <c r="O194" s="10" t="inlineStr"/>
      <c r="P194" s="12" t="inlineStr"/>
      <c r="Q194" s="16">
        <f>IF(O194="","ADD LINKEDIN","ok")</f>
        <v/>
      </c>
      <c r="R194" s="12" t="inlineStr">
        <is>
          <t>https://txlitegaugesteel.com/</t>
        </is>
      </c>
      <c r="S194" s="15" t="inlineStr">
        <is>
          <t>It already makes and installs prefab wall on a single line, so one or two machines would cover a real share of its business.</t>
        </is>
      </c>
      <c r="T194" s="12" t="inlineStr"/>
      <c r="U194" s="15" t="inlineStr"/>
      <c r="V194" s="12" t="inlineStr"/>
      <c r="W194" s="12" t="inlineStr"/>
      <c r="X194" s="12" t="inlineStr"/>
      <c r="Y194" s="12" t="inlineStr"/>
      <c r="Z194" s="12" t="inlineStr">
        <is>
          <t>(281) 799-1501</t>
        </is>
      </c>
      <c r="AA194" s="12" t="inlineStr">
        <is>
          <t>call or text</t>
        </is>
      </c>
      <c r="AB194" s="12" t="inlineStr">
        <is>
          <t>https://txlitegaugesteel.com/</t>
        </is>
      </c>
      <c r="AC194" s="12" t="inlineStr"/>
      <c r="AD194" s="12" t="inlineStr"/>
    </row>
    <row r="195">
      <c r="A195" s="6" t="inlineStr">
        <is>
          <t>Martin Jordana</t>
        </is>
      </c>
      <c r="B195" s="6" t="inlineStr">
        <is>
          <t>Baker Construction</t>
        </is>
      </c>
      <c r="C195" s="6" t="inlineStr">
        <is>
          <t>President, Central and Great West Region</t>
        </is>
      </c>
      <c r="D195" s="7" t="inlineStr">
        <is>
          <t>Builds the wall, not the house</t>
        </is>
      </c>
      <c r="E195" s="8" t="n">
        <v>1</v>
      </c>
      <c r="F195" s="6" t="inlineStr">
        <is>
          <t>Builds the wall</t>
        </is>
      </c>
      <c r="G195" s="6" t="inlineStr">
        <is>
          <t>Houston industrial office, Harris, inside a national firm</t>
        </is>
      </c>
      <c r="H195" s="6" t="inlineStr">
        <is>
          <t>61 panels over 70 feet, the heaviest about 87 tons</t>
        </is>
      </c>
      <c r="I195" s="8" t="inlineStr">
        <is>
          <t>Yes</t>
        </is>
      </c>
      <c r="J195" s="9" t="inlineStr">
        <is>
          <t>Panel and structural concrete recur in Houston.</t>
        </is>
      </c>
      <c r="K195" s="8" t="inlineStr">
        <is>
          <t>No</t>
        </is>
      </c>
      <c r="L195" s="9" t="inlineStr">
        <is>
          <t>12,500-plus people nationally, its own count. Purchases run through a national desk.</t>
        </is>
      </c>
      <c r="M195" s="8" t="inlineStr">
        <is>
          <t>No</t>
        </is>
      </c>
      <c r="N195" s="9" t="inlineStr">
        <is>
          <t>Panels over 70 feet are size, not a new method. No method statement on record.</t>
        </is>
      </c>
      <c r="O195" s="10" t="inlineStr"/>
      <c r="P195" s="6" t="inlineStr"/>
      <c r="Q195" s="11">
        <f>IF(O195="","ADD LINKEDIN","ok")</f>
        <v/>
      </c>
      <c r="R195" s="6" t="inlineStr">
        <is>
          <t>https://bakerconstruction.com/</t>
        </is>
      </c>
      <c r="S195" s="9" t="inlineStr">
        <is>
          <t>Its Houston tilt-wall work sits inside a national firm, so purchases run through a national desk.</t>
        </is>
      </c>
      <c r="T195" s="6" t="inlineStr">
        <is>
          <t>YES</t>
        </is>
      </c>
      <c r="U195" s="9" t="inlineStr">
        <is>
          <t>Regional seat covering Texas.</t>
        </is>
      </c>
      <c r="V195" s="6" t="inlineStr">
        <is>
          <t>https://bakerconstruction.com/leadership/</t>
        </is>
      </c>
      <c r="W195" s="6" t="inlineStr"/>
      <c r="X195" s="6" t="inlineStr"/>
      <c r="Y195" s="6" t="inlineStr"/>
      <c r="Z195" s="6" t="inlineStr">
        <is>
          <t>(800) 539-2224</t>
        </is>
      </c>
      <c r="AA195" s="6" t="inlineStr">
        <is>
          <t>headquarters</t>
        </is>
      </c>
      <c r="AB195" s="6" t="inlineStr">
        <is>
          <t>https://bakerconstruction.com/</t>
        </is>
      </c>
      <c r="AC195" s="6" t="inlineStr"/>
      <c r="AD195" s="6" t="inlineStr"/>
    </row>
    <row r="196">
      <c r="A196" s="12" t="inlineStr">
        <is>
          <t>Karl Watson</t>
        </is>
      </c>
      <c r="B196" s="12" t="inlineStr">
        <is>
          <t>Baker Construction</t>
        </is>
      </c>
      <c r="C196" s="12" t="inlineStr">
        <is>
          <t>Chief Executive Officer, Baker Construction Enterprises</t>
        </is>
      </c>
      <c r="D196" s="13" t="inlineStr">
        <is>
          <t>Builds the wall, not the house</t>
        </is>
      </c>
      <c r="E196" s="14" t="n">
        <v>1</v>
      </c>
      <c r="F196" s="12" t="inlineStr">
        <is>
          <t>Builds the wall</t>
        </is>
      </c>
      <c r="G196" s="12" t="inlineStr">
        <is>
          <t>Houston industrial office, Harris, inside a national firm</t>
        </is>
      </c>
      <c r="H196" s="12" t="inlineStr">
        <is>
          <t>61 panels over 70 feet, the heaviest about 87 tons</t>
        </is>
      </c>
      <c r="I196" s="14" t="inlineStr">
        <is>
          <t>Yes</t>
        </is>
      </c>
      <c r="J196" s="15" t="inlineStr">
        <is>
          <t>Panel and structural concrete recur in Houston.</t>
        </is>
      </c>
      <c r="K196" s="14" t="inlineStr">
        <is>
          <t>No</t>
        </is>
      </c>
      <c r="L196" s="15" t="inlineStr">
        <is>
          <t>12,500-plus people nationally, its own count. Purchases run through a national desk.</t>
        </is>
      </c>
      <c r="M196" s="14" t="inlineStr">
        <is>
          <t>No</t>
        </is>
      </c>
      <c r="N196" s="15" t="inlineStr">
        <is>
          <t>Panels over 70 feet are size, not a new method. No method statement on record.</t>
        </is>
      </c>
      <c r="O196" s="10" t="inlineStr"/>
      <c r="P196" s="12" t="inlineStr"/>
      <c r="Q196" s="16">
        <f>IF(O196="","ADD LINKEDIN","ok")</f>
        <v/>
      </c>
      <c r="R196" s="12" t="inlineStr">
        <is>
          <t>https://bakerconstruction.com/</t>
        </is>
      </c>
      <c r="S196" s="15" t="inlineStr">
        <is>
          <t>Its Houston tilt-wall work sits inside a national firm, so purchases run through a national desk.</t>
        </is>
      </c>
      <c r="T196" s="12" t="inlineStr"/>
      <c r="U196" s="15" t="inlineStr"/>
      <c r="V196" s="12" t="inlineStr">
        <is>
          <t>https://bakerconstruction.com/leadership/</t>
        </is>
      </c>
      <c r="W196" s="12" t="inlineStr"/>
      <c r="X196" s="12" t="inlineStr"/>
      <c r="Y196" s="12" t="inlineStr"/>
      <c r="Z196" s="12" t="inlineStr">
        <is>
          <t>(800) 539-2224</t>
        </is>
      </c>
      <c r="AA196" s="12" t="inlineStr">
        <is>
          <t>headquarters</t>
        </is>
      </c>
      <c r="AB196" s="12" t="inlineStr">
        <is>
          <t>https://bakerconstruction.com/</t>
        </is>
      </c>
      <c r="AC196" s="12" t="inlineStr"/>
      <c r="AD196" s="12" t="inlineStr"/>
    </row>
    <row r="197">
      <c r="A197" s="6" t="inlineStr">
        <is>
          <t>Dan T. Baker</t>
        </is>
      </c>
      <c r="B197" s="6" t="inlineStr">
        <is>
          <t>Baker Construction</t>
        </is>
      </c>
      <c r="C197" s="6" t="inlineStr">
        <is>
          <t>Executive Vice Chair and President</t>
        </is>
      </c>
      <c r="D197" s="7" t="inlineStr">
        <is>
          <t>Builds the wall, not the house</t>
        </is>
      </c>
      <c r="E197" s="8" t="n">
        <v>1</v>
      </c>
      <c r="F197" s="6" t="inlineStr">
        <is>
          <t>Builds the wall</t>
        </is>
      </c>
      <c r="G197" s="6" t="inlineStr">
        <is>
          <t>Houston industrial office, Harris, inside a national firm</t>
        </is>
      </c>
      <c r="H197" s="6" t="inlineStr">
        <is>
          <t>61 panels over 70 feet, the heaviest about 87 tons</t>
        </is>
      </c>
      <c r="I197" s="8" t="inlineStr">
        <is>
          <t>Yes</t>
        </is>
      </c>
      <c r="J197" s="9" t="inlineStr">
        <is>
          <t>Panel and structural concrete recur in Houston.</t>
        </is>
      </c>
      <c r="K197" s="8" t="inlineStr">
        <is>
          <t>No</t>
        </is>
      </c>
      <c r="L197" s="9" t="inlineStr">
        <is>
          <t>12,500-plus people nationally, its own count. Purchases run through a national desk.</t>
        </is>
      </c>
      <c r="M197" s="8" t="inlineStr">
        <is>
          <t>No</t>
        </is>
      </c>
      <c r="N197" s="9" t="inlineStr">
        <is>
          <t>Panels over 70 feet are size, not a new method. No method statement on record.</t>
        </is>
      </c>
      <c r="O197" s="10" t="inlineStr"/>
      <c r="P197" s="6" t="inlineStr"/>
      <c r="Q197" s="11">
        <f>IF(O197="","ADD LINKEDIN","ok")</f>
        <v/>
      </c>
      <c r="R197" s="6" t="inlineStr">
        <is>
          <t>https://bakerconstruction.com/</t>
        </is>
      </c>
      <c r="S197" s="9" t="inlineStr">
        <is>
          <t>Its Houston tilt-wall work sits inside a national firm, so purchases run through a national desk.</t>
        </is>
      </c>
      <c r="T197" s="6" t="inlineStr"/>
      <c r="U197" s="9" t="inlineStr"/>
      <c r="V197" s="6" t="inlineStr">
        <is>
          <t>https://bakerconstruction.com/leadership/</t>
        </is>
      </c>
      <c r="W197" s="6" t="inlineStr"/>
      <c r="X197" s="6" t="inlineStr"/>
      <c r="Y197" s="6" t="inlineStr"/>
      <c r="Z197" s="6" t="inlineStr">
        <is>
          <t>(800) 539-2224</t>
        </is>
      </c>
      <c r="AA197" s="6" t="inlineStr">
        <is>
          <t>headquarters</t>
        </is>
      </c>
      <c r="AB197" s="6" t="inlineStr">
        <is>
          <t>https://bakerconstruction.com/</t>
        </is>
      </c>
      <c r="AC197" s="6" t="inlineStr"/>
      <c r="AD197" s="6" t="inlineStr"/>
    </row>
    <row r="198">
      <c r="A198" s="12" t="inlineStr">
        <is>
          <t>Jonas Barboza</t>
        </is>
      </c>
      <c r="B198" s="12" t="inlineStr">
        <is>
          <t>Brundage-Bone Concrete Pumping</t>
        </is>
      </c>
      <c r="C198" s="12" t="inlineStr">
        <is>
          <t>Regional Director South, Texas</t>
        </is>
      </c>
      <c r="D198" s="13" t="inlineStr">
        <is>
          <t>Builds the wall, not the house</t>
        </is>
      </c>
      <c r="E198" s="14" t="n">
        <v>1</v>
      </c>
      <c r="F198" s="12" t="inlineStr">
        <is>
          <t>Builds the wall</t>
        </is>
      </c>
      <c r="G198" s="12" t="inlineStr">
        <is>
          <t>Houston, two yards on West Old Spanish Trail and Sellers Road</t>
        </is>
      </c>
      <c r="H198" s="12" t="inlineStr">
        <is>
          <t>Boom pumps from 17 to 65 meters, plus placing booms</t>
        </is>
      </c>
      <c r="I198" s="14" t="inlineStr">
        <is>
          <t>Yes</t>
        </is>
      </c>
      <c r="J198" s="15" t="inlineStr">
        <is>
          <t>Daily placement across one metro from two yards.</t>
        </is>
      </c>
      <c r="K198" s="14" t="inlineStr">
        <is>
          <t>No</t>
        </is>
      </c>
      <c r="L198" s="15" t="inlineStr">
        <is>
          <t>National pump fleet, bought at a scale beyond one or two printers.</t>
        </is>
      </c>
      <c r="M198" s="14" t="inlineStr">
        <is>
          <t>No</t>
        </is>
      </c>
      <c r="N198" s="15" t="inlineStr">
        <is>
          <t>Advertises low carbon and pervious concrete pumping. Advertising a method is not buying one.</t>
        </is>
      </c>
      <c r="O198" s="6" t="inlineStr">
        <is>
          <t>https://www.linkedin.com/in/jonas-barboza-9794a1136/</t>
        </is>
      </c>
      <c r="P198" s="12" t="inlineStr"/>
      <c r="Q198" s="16">
        <f>IF(O198="","ADD LINKEDIN","ok")</f>
        <v/>
      </c>
      <c r="R198" s="12" t="inlineStr">
        <is>
          <t>https://brundagebone.com/locations/houston/</t>
        </is>
      </c>
      <c r="S198" s="15" t="inlineStr">
        <is>
          <t>It places other firms' concrete with owned equipment, like a printer operator, but its national fleet is beyond one or two printers.</t>
        </is>
      </c>
      <c r="T198" s="12" t="inlineStr">
        <is>
          <t>YES</t>
        </is>
      </c>
      <c r="U198" s="15" t="inlineStr">
        <is>
          <t>Management page. Runs the Texas region. Operations vice president excludes Texas. Escalate to the division president.</t>
        </is>
      </c>
      <c r="V198" s="12" t="inlineStr"/>
      <c r="W198" s="12" t="inlineStr"/>
      <c r="X198" s="12" t="inlineStr"/>
      <c r="Y198" s="12" t="inlineStr"/>
      <c r="Z198" s="12" t="inlineStr">
        <is>
          <t>(713) 455-1464</t>
        </is>
      </c>
      <c r="AA198" s="12" t="inlineStr">
        <is>
          <t>West Old Spanish Trail yard</t>
        </is>
      </c>
      <c r="AB198" s="12" t="inlineStr">
        <is>
          <t>https://brundagebone.com/locations/houston/</t>
        </is>
      </c>
      <c r="AC198" s="12" t="inlineStr"/>
      <c r="AD198" s="12" t="inlineStr"/>
    </row>
    <row r="199">
      <c r="A199" s="6" t="inlineStr">
        <is>
          <t>Mark Young</t>
        </is>
      </c>
      <c r="B199" s="6" t="inlineStr">
        <is>
          <t>Brundage-Bone Concrete Pumping</t>
        </is>
      </c>
      <c r="C199" s="6" t="inlineStr">
        <is>
          <t>President, US Concrete Pumping</t>
        </is>
      </c>
      <c r="D199" s="7" t="inlineStr">
        <is>
          <t>Builds the wall, not the house</t>
        </is>
      </c>
      <c r="E199" s="8" t="n">
        <v>1</v>
      </c>
      <c r="F199" s="6" t="inlineStr">
        <is>
          <t>Builds the wall</t>
        </is>
      </c>
      <c r="G199" s="6" t="inlineStr">
        <is>
          <t>Houston, two yards on West Old Spanish Trail and Sellers Road</t>
        </is>
      </c>
      <c r="H199" s="6" t="inlineStr">
        <is>
          <t>Boom pumps from 17 to 65 meters, plus placing booms</t>
        </is>
      </c>
      <c r="I199" s="8" t="inlineStr">
        <is>
          <t>Yes</t>
        </is>
      </c>
      <c r="J199" s="9" t="inlineStr">
        <is>
          <t>Daily placement across one metro from two yards.</t>
        </is>
      </c>
      <c r="K199" s="8" t="inlineStr">
        <is>
          <t>No</t>
        </is>
      </c>
      <c r="L199" s="9" t="inlineStr">
        <is>
          <t>National pump fleet, bought at a scale beyond one or two printers.</t>
        </is>
      </c>
      <c r="M199" s="8" t="inlineStr">
        <is>
          <t>No</t>
        </is>
      </c>
      <c r="N199" s="9" t="inlineStr">
        <is>
          <t>Advertises low carbon and pervious concrete pumping. Advertising a method is not buying one.</t>
        </is>
      </c>
      <c r="O199" s="10" t="inlineStr"/>
      <c r="P199" s="6" t="inlineStr"/>
      <c r="Q199" s="11">
        <f>IF(O199="","ADD LINKEDIN","ok")</f>
        <v/>
      </c>
      <c r="R199" s="6" t="inlineStr">
        <is>
          <t>https://brundagebone.com/locations/houston/</t>
        </is>
      </c>
      <c r="S199" s="9" t="inlineStr">
        <is>
          <t>It places other firms' concrete with owned equipment, like a printer operator, but its national fleet is beyond one or two printers.</t>
        </is>
      </c>
      <c r="T199" s="6" t="inlineStr"/>
      <c r="U199" s="9" t="inlineStr">
        <is>
          <t>Management and investor pages. Not the public parent's chief executive.</t>
        </is>
      </c>
      <c r="V199" s="6" t="inlineStr">
        <is>
          <t>https://brundagebone.com/about/</t>
        </is>
      </c>
      <c r="W199" s="6" t="inlineStr"/>
      <c r="X199" s="6" t="inlineStr"/>
      <c r="Y199" s="6" t="inlineStr"/>
      <c r="Z199" s="6" t="inlineStr">
        <is>
          <t>(713) 455-1464</t>
        </is>
      </c>
      <c r="AA199" s="6" t="inlineStr">
        <is>
          <t>West Old Spanish Trail yard</t>
        </is>
      </c>
      <c r="AB199" s="6" t="inlineStr">
        <is>
          <t>https://brundagebone.com/locations/houston/</t>
        </is>
      </c>
      <c r="AC199" s="6" t="inlineStr"/>
      <c r="AD199" s="6" t="inlineStr"/>
    </row>
    <row r="200">
      <c r="A200" s="12" t="inlineStr">
        <is>
          <t>Gary Engasser</t>
        </is>
      </c>
      <c r="B200" s="12" t="inlineStr">
        <is>
          <t>Tealstone Residential Concrete</t>
        </is>
      </c>
      <c r="C200" s="12" t="inlineStr">
        <is>
          <t>President</t>
        </is>
      </c>
      <c r="D200" s="13" t="inlineStr">
        <is>
          <t>Builds the wall, not the house</t>
        </is>
      </c>
      <c r="E200" s="14" t="n">
        <v>1</v>
      </c>
      <c r="F200" s="12" t="inlineStr">
        <is>
          <t>Builds the wall</t>
        </is>
      </c>
      <c r="G200" s="12" t="inlineStr">
        <is>
          <t>Entire Houston region, plus Dallas-Fort Worth, Austin and San Antonio</t>
        </is>
      </c>
      <c r="H200" s="12" t="inlineStr">
        <is>
          <t>10,000-plus slabs placed a year</t>
        </is>
      </c>
      <c r="I200" s="14" t="inlineStr">
        <is>
          <t>Yes</t>
        </is>
      </c>
      <c r="J200" s="15" t="inlineStr">
        <is>
          <t>Ten thousand foundations a year for production builders, in the same communities and metros.</t>
        </is>
      </c>
      <c r="K200" s="14" t="inlineStr">
        <is>
          <t>No</t>
        </is>
      </c>
      <c r="L200" s="15" t="inlineStr">
        <is>
          <t>Far beyond one or two printers. A machine would be a pilot line.</t>
        </is>
      </c>
      <c r="M200" s="14" t="inlineStr">
        <is>
          <t>No</t>
        </is>
      </c>
      <c r="N200" s="15" t="inlineStr">
        <is>
          <t>No record of buying an unproven method.</t>
        </is>
      </c>
      <c r="O200" s="6" t="inlineStr">
        <is>
          <t>https://www.linkedin.com/in/gary-engasser-1b39b219/</t>
        </is>
      </c>
      <c r="P200" s="12" t="inlineStr"/>
      <c r="Q200" s="16">
        <f>IF(O200="","ADD LINKEDIN","ok")</f>
        <v/>
      </c>
      <c r="R200" s="12" t="inlineStr">
        <is>
          <t>https://www.tealstonelp.com/</t>
        </is>
      </c>
      <c r="S200" s="15" t="inlineStr">
        <is>
          <t>It pours foundations for production builders at a volume far beyond one or two printers, so a machine would be a pilot line.</t>
        </is>
      </c>
      <c r="T200" s="12" t="inlineStr">
        <is>
          <t>YES</t>
        </is>
      </c>
      <c r="U200" s="15" t="inlineStr">
        <is>
          <t>Co-founder retained in Sterling's April 2017 acquisition. Operating company president, not a Sterling officer.</t>
        </is>
      </c>
      <c r="V200" s="12" t="inlineStr"/>
      <c r="W200" s="12" t="inlineStr"/>
      <c r="X200" s="12" t="inlineStr"/>
      <c r="Y200" s="12" t="inlineStr"/>
      <c r="Z200" s="12" t="inlineStr">
        <is>
          <t>(940) 383-2887</t>
        </is>
      </c>
      <c r="AA200" s="12" t="inlineStr">
        <is>
          <t>Denton office, the only number on the firm's own site</t>
        </is>
      </c>
      <c r="AB200" s="12" t="inlineStr">
        <is>
          <t>https://www.tealstonelp.com/contact-us/</t>
        </is>
      </c>
      <c r="AC200" s="12" t="inlineStr"/>
      <c r="AD200" s="12" t="inlineStr"/>
    </row>
    <row r="201">
      <c r="A201" s="6" t="inlineStr">
        <is>
          <t>Rick Callihan</t>
        </is>
      </c>
      <c r="B201" s="6" t="inlineStr">
        <is>
          <t>Tealstone Residential Concrete</t>
        </is>
      </c>
      <c r="C201" s="6" t="inlineStr">
        <is>
          <t>Vice President</t>
        </is>
      </c>
      <c r="D201" s="7" t="inlineStr">
        <is>
          <t>Builds the wall, not the house</t>
        </is>
      </c>
      <c r="E201" s="8" t="n">
        <v>1</v>
      </c>
      <c r="F201" s="6" t="inlineStr">
        <is>
          <t>Builds the wall</t>
        </is>
      </c>
      <c r="G201" s="6" t="inlineStr">
        <is>
          <t>Entire Houston region, plus Dallas-Fort Worth, Austin and San Antonio</t>
        </is>
      </c>
      <c r="H201" s="6" t="inlineStr">
        <is>
          <t>10,000-plus slabs placed a year</t>
        </is>
      </c>
      <c r="I201" s="8" t="inlineStr">
        <is>
          <t>Yes</t>
        </is>
      </c>
      <c r="J201" s="9" t="inlineStr">
        <is>
          <t>Ten thousand foundations a year for production builders, in the same communities and metros.</t>
        </is>
      </c>
      <c r="K201" s="8" t="inlineStr">
        <is>
          <t>No</t>
        </is>
      </c>
      <c r="L201" s="9" t="inlineStr">
        <is>
          <t>Far beyond one or two printers. A machine would be a pilot line.</t>
        </is>
      </c>
      <c r="M201" s="8" t="inlineStr">
        <is>
          <t>No</t>
        </is>
      </c>
      <c r="N201" s="9" t="inlineStr">
        <is>
          <t>No record of buying an unproven method.</t>
        </is>
      </c>
      <c r="O201" s="10" t="inlineStr"/>
      <c r="P201" s="6" t="inlineStr"/>
      <c r="Q201" s="11">
        <f>IF(O201="","ADD LINKEDIN","ok")</f>
        <v/>
      </c>
      <c r="R201" s="6" t="inlineStr">
        <is>
          <t>https://www.tealstonelp.com/</t>
        </is>
      </c>
      <c r="S201" s="9" t="inlineStr">
        <is>
          <t>It pours foundations for production builders at a volume far beyond one or two printers, so a machine would be a pilot line.</t>
        </is>
      </c>
      <c r="T201" s="6" t="inlineStr"/>
      <c r="U201" s="9" t="inlineStr"/>
      <c r="V201" s="6" t="inlineStr">
        <is>
          <t>https://www.tealstonelp.com/who-we-are/</t>
        </is>
      </c>
      <c r="W201" s="6" t="inlineStr"/>
      <c r="X201" s="6" t="inlineStr"/>
      <c r="Y201" s="6" t="inlineStr"/>
      <c r="Z201" s="6" t="inlineStr">
        <is>
          <t>(940) 383-2887</t>
        </is>
      </c>
      <c r="AA201" s="6" t="inlineStr">
        <is>
          <t>Denton office, the only number on the firm's own site</t>
        </is>
      </c>
      <c r="AB201" s="6" t="inlineStr">
        <is>
          <t>https://www.tealstonelp.com/contact-us/</t>
        </is>
      </c>
      <c r="AC201" s="6" t="inlineStr"/>
      <c r="AD201" s="6" t="inlineStr"/>
    </row>
    <row r="202">
      <c r="A202" s="12" t="inlineStr">
        <is>
          <t>Logan Lippoldt</t>
        </is>
      </c>
      <c r="B202" s="12" t="inlineStr">
        <is>
          <t>Tealstone Residential Concrete</t>
        </is>
      </c>
      <c r="C202" s="12" t="inlineStr">
        <is>
          <t>General Superintendent</t>
        </is>
      </c>
      <c r="D202" s="13" t="inlineStr">
        <is>
          <t>Builds the wall, not the house</t>
        </is>
      </c>
      <c r="E202" s="14" t="n">
        <v>1</v>
      </c>
      <c r="F202" s="12" t="inlineStr">
        <is>
          <t>Builds the wall</t>
        </is>
      </c>
      <c r="G202" s="12" t="inlineStr">
        <is>
          <t>Entire Houston region, plus Dallas-Fort Worth, Austin and San Antonio</t>
        </is>
      </c>
      <c r="H202" s="12" t="inlineStr">
        <is>
          <t>10,000-plus slabs placed a year</t>
        </is>
      </c>
      <c r="I202" s="14" t="inlineStr">
        <is>
          <t>Yes</t>
        </is>
      </c>
      <c r="J202" s="15" t="inlineStr">
        <is>
          <t>Ten thousand foundations a year for production builders, in the same communities and metros.</t>
        </is>
      </c>
      <c r="K202" s="14" t="inlineStr">
        <is>
          <t>No</t>
        </is>
      </c>
      <c r="L202" s="15" t="inlineStr">
        <is>
          <t>Far beyond one or two printers. A machine would be a pilot line.</t>
        </is>
      </c>
      <c r="M202" s="14" t="inlineStr">
        <is>
          <t>No</t>
        </is>
      </c>
      <c r="N202" s="15" t="inlineStr">
        <is>
          <t>No record of buying an unproven method.</t>
        </is>
      </c>
      <c r="O202" s="10" t="inlineStr"/>
      <c r="P202" s="12" t="inlineStr"/>
      <c r="Q202" s="16">
        <f>IF(O202="","ADD LINKEDIN","ok")</f>
        <v/>
      </c>
      <c r="R202" s="12" t="inlineStr">
        <is>
          <t>https://www.tealstonelp.com/</t>
        </is>
      </c>
      <c r="S202" s="15" t="inlineStr">
        <is>
          <t>It pours foundations for production builders at a volume far beyond one or two printers, so a machine would be a pilot line.</t>
        </is>
      </c>
      <c r="T202" s="12" t="inlineStr"/>
      <c r="U202" s="15" t="inlineStr">
        <is>
          <t>Greater Houston Builders Association: primary Houston contact. Does not set specifications. Leadership in Denton.</t>
        </is>
      </c>
      <c r="V202" s="12" t="inlineStr">
        <is>
          <t>https://members.ghba.org/memberdirectory/Details/tealstone-residential-concrete-1307510</t>
        </is>
      </c>
      <c r="W202" s="12" t="inlineStr"/>
      <c r="X202" s="12" t="inlineStr"/>
      <c r="Y202" s="12" t="inlineStr"/>
      <c r="Z202" s="12" t="inlineStr">
        <is>
          <t>(940) 383-2887</t>
        </is>
      </c>
      <c r="AA202" s="12" t="inlineStr">
        <is>
          <t>Denton office, the only number on the firm's own site</t>
        </is>
      </c>
      <c r="AB202" s="12" t="inlineStr">
        <is>
          <t>https://www.tealstonelp.com/contact-us/</t>
        </is>
      </c>
      <c r="AC202" s="12" t="inlineStr"/>
      <c r="AD202" s="12" t="inlineStr"/>
    </row>
    <row r="203">
      <c r="A203" s="6" t="inlineStr">
        <is>
          <t>Brandon Buskohl</t>
        </is>
      </c>
      <c r="B203" s="6" t="inlineStr">
        <is>
          <t>Trussway Manufacturing</t>
        </is>
      </c>
      <c r="C203" s="6" t="inlineStr">
        <is>
          <t>Assistant General Manager</t>
        </is>
      </c>
      <c r="D203" s="7" t="inlineStr">
        <is>
          <t>Builds the wall, not the house</t>
        </is>
      </c>
      <c r="E203" s="8" t="n">
        <v>1</v>
      </c>
      <c r="F203" s="6" t="inlineStr">
        <is>
          <t>Builds the wall</t>
        </is>
      </c>
      <c r="G203" s="6" t="inlineStr">
        <is>
          <t>Houston headquarters, Alcorn Street</t>
        </is>
      </c>
      <c r="H203" s="6" t="inlineStr">
        <is>
          <t>About $340 million in sales, 1,000 employees, per Builders FirstSource, 2022</t>
        </is>
      </c>
      <c r="I203" s="8" t="inlineStr">
        <is>
          <t>Yes</t>
        </is>
      </c>
      <c r="J203" s="9" t="inlineStr">
        <is>
          <t>Wall panels made repeatedly from a Houston plant.</t>
        </is>
      </c>
      <c r="K203" s="8" t="inlineStr">
        <is>
          <t>No</t>
        </is>
      </c>
      <c r="L203" s="9" t="inlineStr">
        <is>
          <t>Six plants, $340 million sales, beyond one or two printers. Purchasing sits with a national parent.</t>
        </is>
      </c>
      <c r="M203" s="8" t="inlineStr">
        <is>
          <t>No</t>
        </is>
      </c>
      <c r="N203" s="9" t="inlineStr">
        <is>
          <t>No record of buying an unproven method.</t>
        </is>
      </c>
      <c r="O203" s="6" t="inlineStr">
        <is>
          <t>https://www.linkedin.com/in/brandon-buskohl-40649a75/</t>
        </is>
      </c>
      <c r="P203" s="6" t="inlineStr"/>
      <c r="Q203" s="11">
        <f>IF(O203="","ADD LINKEDIN","ok")</f>
        <v/>
      </c>
      <c r="R203" s="6" t="inlineStr">
        <is>
          <t>https://trussway.com/products/</t>
        </is>
      </c>
      <c r="S203" s="9" t="inlineStr">
        <is>
          <t>It already sells wall panels to Houston multifamily builders, but purchasing sits with its national parent.</t>
        </is>
      </c>
      <c r="T203" s="6" t="inlineStr"/>
      <c r="U203" s="9" t="inlineStr">
        <is>
          <t>LinkedIn headline: Trussway Manufacturing, a Builders FirstSource company.</t>
        </is>
      </c>
      <c r="V203" s="6" t="inlineStr"/>
      <c r="W203" s="6" t="inlineStr"/>
      <c r="X203" s="6" t="inlineStr"/>
      <c r="Y203" s="6" t="inlineStr"/>
      <c r="Z203" s="6" t="inlineStr">
        <is>
          <t>(713) 691-6900</t>
        </is>
      </c>
      <c r="AA203" s="6" t="inlineStr">
        <is>
          <t>Houston, Alcorn Street</t>
        </is>
      </c>
      <c r="AB203" s="6" t="inlineStr">
        <is>
          <t>https://www.sbcacomponents.com/tmat-directory/trussway</t>
        </is>
      </c>
      <c r="AC203" s="6" t="inlineStr"/>
      <c r="AD203" s="6" t="inlineStr"/>
    </row>
    <row r="204">
      <c r="A204" s="12" t="inlineStr">
        <is>
          <t>Chris Vogler</t>
        </is>
      </c>
      <c r="B204" s="12" t="inlineStr">
        <is>
          <t>Leola Construction</t>
        </is>
      </c>
      <c r="C204" s="12" t="inlineStr">
        <is>
          <t>Business Development Manager</t>
        </is>
      </c>
      <c r="D204" s="13" t="inlineStr">
        <is>
          <t>Builds the wall, not the house</t>
        </is>
      </c>
      <c r="E204" s="14" t="n">
        <v>1</v>
      </c>
      <c r="F204" s="12" t="inlineStr">
        <is>
          <t>Builds the wall</t>
        </is>
      </c>
      <c r="G204" s="12" t="inlineStr">
        <is>
          <t>Houston division, working Harris, Fort Bend, Montgomery and Waller</t>
        </is>
      </c>
      <c r="H204" s="12" t="inlineStr">
        <is>
          <t>9,900 homes a year company-wide, across 300 communities</t>
        </is>
      </c>
      <c r="I204" s="14" t="inlineStr">
        <is>
          <t>Yes</t>
        </is>
      </c>
      <c r="J204" s="15" t="inlineStr">
        <is>
          <t>Same wall package, community after community, north and west of the metro.</t>
        </is>
      </c>
      <c r="K204" s="14" t="inlineStr">
        <is>
          <t>No</t>
        </is>
      </c>
      <c r="L204" s="15" t="inlineStr">
        <is>
          <t>9,900 homes a year across Florida and Texas, far above what one or two printers cover.</t>
        </is>
      </c>
      <c r="M204" s="14" t="inlineStr">
        <is>
          <t>No</t>
        </is>
      </c>
      <c r="N204" s="15" t="inlineStr">
        <is>
          <t>No method statement published.</t>
        </is>
      </c>
      <c r="O204" s="6" t="inlineStr">
        <is>
          <t>https://www.linkedin.com/in/chris-vogler-56239a52/</t>
        </is>
      </c>
      <c r="P204" s="12" t="inlineStr"/>
      <c r="Q204" s="16">
        <f>IF(O204="","ADD LINKEDIN","ok")</f>
        <v/>
      </c>
      <c r="R204" s="12" t="inlineStr">
        <is>
          <t>https://leolaconstruction.com/houston/</t>
        </is>
      </c>
      <c r="S204" s="15" t="inlineStr">
        <is>
          <t>It sells the whole wall package to production builders, the purchase a printed wall would displace, but owns almost no field labor.</t>
        </is>
      </c>
      <c r="T204" s="12" t="inlineStr"/>
      <c r="U204" s="15" t="inlineStr">
        <is>
          <t>LinkedIn headline: Business Development Manager, Leola Construction. Spring, Texas.</t>
        </is>
      </c>
      <c r="V204" s="12" t="inlineStr"/>
      <c r="W204" s="12" t="inlineStr"/>
      <c r="X204" s="12" t="inlineStr"/>
      <c r="Y204" s="12" t="inlineStr"/>
      <c r="Z204" s="12" t="inlineStr">
        <is>
          <t>(813) 397-6100</t>
        </is>
      </c>
      <c r="AA204" s="12" t="inlineStr"/>
      <c r="AB204" s="12" t="inlineStr">
        <is>
          <t>https://leolaconstruction.com/houston/</t>
        </is>
      </c>
      <c r="AC204" s="12" t="inlineStr"/>
      <c r="AD204" s="12" t="inlineStr"/>
    </row>
    <row r="205">
      <c r="A205" s="6" t="inlineStr">
        <is>
          <t>Michael G. Scheurich</t>
        </is>
      </c>
      <c r="B205" s="6" t="inlineStr">
        <is>
          <t>Arch-Con Corporation</t>
        </is>
      </c>
      <c r="C205" s="6" t="inlineStr">
        <is>
          <t>Founder and Chief Executive Officer</t>
        </is>
      </c>
      <c r="D205" s="7" t="inlineStr">
        <is>
          <t>Builds the wall, not the house</t>
        </is>
      </c>
      <c r="E205" s="8" t="n">
        <v>3</v>
      </c>
      <c r="F205" s="6" t="inlineStr">
        <is>
          <t>Builds the wall</t>
        </is>
      </c>
      <c r="G205" s="6" t="inlineStr">
        <is>
          <t>Houston, Harris</t>
        </is>
      </c>
      <c r="H205" s="6" t="inlineStr">
        <is>
          <t>Reversed the standard tilt-wall sequence to save a month</t>
        </is>
      </c>
      <c r="I205" s="8" t="inlineStr">
        <is>
          <t>Partly</t>
        </is>
      </c>
      <c r="J205" s="9" t="inlineStr">
        <is>
          <t>Eight divisions across commercial, retail, healthcare and multifamily. Buildings differ project to project.</t>
        </is>
      </c>
      <c r="K205" s="8" t="inlineStr">
        <is>
          <t>Partly</t>
        </is>
      </c>
      <c r="L205" s="9" t="inlineStr">
        <is>
          <t>One published job, 770,640 square feet, with panels poured by somebody else. No annual volume.</t>
        </is>
      </c>
      <c r="M205" s="8" t="inlineStr">
        <is>
          <t>Partly</t>
        </is>
      </c>
      <c r="N205" s="9" t="inlineStr">
        <is>
          <t>Set a 275-ton lattice boom crane on the perimeter to spare the slab. No new method bought.</t>
        </is>
      </c>
      <c r="O205" s="6" t="inlineStr">
        <is>
          <t>https://www.linkedin.com/in/michael-scheurich-07811331/</t>
        </is>
      </c>
      <c r="P205" s="6" t="inlineStr"/>
      <c r="Q205" s="11">
        <f>IF(O205="","ADD LINKEDIN","ok")</f>
        <v/>
      </c>
      <c r="R205" s="6" t="inlineStr">
        <is>
          <t>https://www.arch-con.com/</t>
        </is>
      </c>
      <c r="S205" s="9" t="inlineStr">
        <is>
          <t>It buys its concrete rather than pouring it, and Encore Concrete Construction poured its award-listed tilt-up panels.</t>
        </is>
      </c>
      <c r="T205" s="6" t="inlineStr">
        <is>
          <t>YES</t>
        </is>
      </c>
      <c r="U205" s="9" t="inlineStr">
        <is>
          <t>LinkedIn headline: Chief Executive Officer, Arch-Con Corporation. Houston.</t>
        </is>
      </c>
      <c r="V205" s="6" t="inlineStr"/>
      <c r="W205" s="6" t="inlineStr"/>
      <c r="X205" s="6" t="inlineStr"/>
      <c r="Y205" s="6" t="inlineStr">
        <is>
          <t>2026-07-21 Construction Owners. Arch-Con Tops Out 330-Unit Artis Montrose Apartment Project  https://www.constructionowners.com/news/arch-con-reaches-topping-out-milestone-on-330-unit-artis-montrose-apartment-project</t>
        </is>
      </c>
      <c r="Z205" s="6" t="inlineStr">
        <is>
          <t>(713) 533-1900</t>
        </is>
      </c>
      <c r="AA205" s="6" t="inlineStr">
        <is>
          <t>Houston</t>
        </is>
      </c>
      <c r="AB205" s="6" t="inlineStr">
        <is>
          <t>https://www.arch-con.com/contact-us/</t>
        </is>
      </c>
      <c r="AC205" s="6" t="inlineStr"/>
      <c r="AD205" s="6" t="inlineStr"/>
    </row>
    <row r="206">
      <c r="A206" s="12" t="inlineStr">
        <is>
          <t>Jason M. Cooper</t>
        </is>
      </c>
      <c r="B206" s="12" t="inlineStr">
        <is>
          <t>Arch-Con Corporation</t>
        </is>
      </c>
      <c r="C206" s="12" t="inlineStr">
        <is>
          <t>President</t>
        </is>
      </c>
      <c r="D206" s="13" t="inlineStr">
        <is>
          <t>Builds the wall, not the house</t>
        </is>
      </c>
      <c r="E206" s="14" t="n">
        <v>3</v>
      </c>
      <c r="F206" s="12" t="inlineStr">
        <is>
          <t>Builds the wall</t>
        </is>
      </c>
      <c r="G206" s="12" t="inlineStr">
        <is>
          <t>Houston, Harris</t>
        </is>
      </c>
      <c r="H206" s="12" t="inlineStr">
        <is>
          <t>Reversed the standard tilt-wall sequence to save a month</t>
        </is>
      </c>
      <c r="I206" s="14" t="inlineStr">
        <is>
          <t>Partly</t>
        </is>
      </c>
      <c r="J206" s="15" t="inlineStr">
        <is>
          <t>Eight divisions across commercial, retail, healthcare and multifamily. Buildings differ project to project.</t>
        </is>
      </c>
      <c r="K206" s="14" t="inlineStr">
        <is>
          <t>Partly</t>
        </is>
      </c>
      <c r="L206" s="15" t="inlineStr">
        <is>
          <t>One published job, 770,640 square feet, with panels poured by somebody else. No annual volume.</t>
        </is>
      </c>
      <c r="M206" s="14" t="inlineStr">
        <is>
          <t>Partly</t>
        </is>
      </c>
      <c r="N206" s="15" t="inlineStr">
        <is>
          <t>Set a 275-ton lattice boom crane on the perimeter to spare the slab. No new method bought.</t>
        </is>
      </c>
      <c r="O206" s="10" t="inlineStr"/>
      <c r="P206" s="12">
        <f>HYPERLINK("https://www.linkedin.com/search/results/people/?keywords=Jason%20M.%20Cooper%20Arch-Con%20Corporation","search")</f>
        <v/>
      </c>
      <c r="Q206" s="16">
        <f>IF(O206="","ADD LINKEDIN","ok")</f>
        <v/>
      </c>
      <c r="R206" s="12" t="inlineStr">
        <is>
          <t>https://www.arch-con.com/</t>
        </is>
      </c>
      <c r="S206" s="15" t="inlineStr">
        <is>
          <t>It buys its concrete rather than pouring it, and Encore Concrete Construction poured its award-listed tilt-up panels.</t>
        </is>
      </c>
      <c r="T206" s="12" t="inlineStr">
        <is>
          <t>YES</t>
        </is>
      </c>
      <c r="U206" s="15" t="inlineStr"/>
      <c r="V206" s="12" t="inlineStr"/>
      <c r="W206" s="12" t="inlineStr"/>
      <c r="X206" s="12" t="inlineStr"/>
      <c r="Y206" s="12" t="inlineStr">
        <is>
          <t>2026-07-21 Construction Owners. Arch-Con Tops Out 330-Unit Artis Montrose Apartment Project  https://www.constructionowners.com/news/arch-con-reaches-topping-out-milestone-on-330-unit-artis-montrose-apartment-project</t>
        </is>
      </c>
      <c r="Z206" s="12" t="inlineStr">
        <is>
          <t>(713) 533-1900</t>
        </is>
      </c>
      <c r="AA206" s="12" t="inlineStr">
        <is>
          <t>Houston</t>
        </is>
      </c>
      <c r="AB206" s="12" t="inlineStr">
        <is>
          <t>https://www.arch-con.com/contact-us/</t>
        </is>
      </c>
      <c r="AC206" s="12" t="inlineStr"/>
      <c r="AD206" s="12" t="inlineStr"/>
    </row>
    <row r="207">
      <c r="A207" s="6" t="inlineStr">
        <is>
          <t>Daniel J. O'Hare</t>
        </is>
      </c>
      <c r="B207" s="6" t="inlineStr">
        <is>
          <t>Arch-Con Corporation</t>
        </is>
      </c>
      <c r="C207" s="6" t="inlineStr">
        <is>
          <t>Chief Financial Officer</t>
        </is>
      </c>
      <c r="D207" s="7" t="inlineStr">
        <is>
          <t>Builds the wall, not the house</t>
        </is>
      </c>
      <c r="E207" s="8" t="n">
        <v>3</v>
      </c>
      <c r="F207" s="6" t="inlineStr">
        <is>
          <t>Builds the wall</t>
        </is>
      </c>
      <c r="G207" s="6" t="inlineStr">
        <is>
          <t>Houston, Harris</t>
        </is>
      </c>
      <c r="H207" s="6" t="inlineStr">
        <is>
          <t>Reversed the standard tilt-wall sequence to save a month</t>
        </is>
      </c>
      <c r="I207" s="8" t="inlineStr">
        <is>
          <t>Partly</t>
        </is>
      </c>
      <c r="J207" s="9" t="inlineStr">
        <is>
          <t>Eight divisions across commercial, retail, healthcare and multifamily. Buildings differ project to project.</t>
        </is>
      </c>
      <c r="K207" s="8" t="inlineStr">
        <is>
          <t>Partly</t>
        </is>
      </c>
      <c r="L207" s="9" t="inlineStr">
        <is>
          <t>One published job, 770,640 square feet, with panels poured by somebody else. No annual volume.</t>
        </is>
      </c>
      <c r="M207" s="8" t="inlineStr">
        <is>
          <t>Partly</t>
        </is>
      </c>
      <c r="N207" s="9" t="inlineStr">
        <is>
          <t>Set a 275-ton lattice boom crane on the perimeter to spare the slab. No new method bought.</t>
        </is>
      </c>
      <c r="O207" s="10" t="inlineStr"/>
      <c r="P207" s="6">
        <f>HYPERLINK("https://www.linkedin.com/search/results/people/?keywords=Daniel%20J.%20O%27Hare%20Arch-Con%20Corporation","search")</f>
        <v/>
      </c>
      <c r="Q207" s="11">
        <f>IF(O207="","ADD LINKEDIN","ok")</f>
        <v/>
      </c>
      <c r="R207" s="6" t="inlineStr">
        <is>
          <t>https://www.arch-con.com/</t>
        </is>
      </c>
      <c r="S207" s="9" t="inlineStr">
        <is>
          <t>It buys its concrete rather than pouring it, and Encore Concrete Construction poured its award-listed tilt-up panels.</t>
        </is>
      </c>
      <c r="T207" s="6" t="inlineStr"/>
      <c r="U207" s="9" t="inlineStr"/>
      <c r="V207" s="6" t="inlineStr"/>
      <c r="W207" s="6" t="inlineStr"/>
      <c r="X207" s="6" t="inlineStr"/>
      <c r="Y207" s="6" t="inlineStr">
        <is>
          <t>2026-07-21 Construction Owners. Arch-Con Tops Out 330-Unit Artis Montrose Apartment Project  https://www.constructionowners.com/news/arch-con-reaches-topping-out-milestone-on-330-unit-artis-montrose-apartment-project</t>
        </is>
      </c>
      <c r="Z207" s="6" t="inlineStr">
        <is>
          <t>(713) 533-1900</t>
        </is>
      </c>
      <c r="AA207" s="6" t="inlineStr">
        <is>
          <t>Houston</t>
        </is>
      </c>
      <c r="AB207" s="6" t="inlineStr">
        <is>
          <t>https://www.arch-con.com/contact-us/</t>
        </is>
      </c>
      <c r="AC207" s="6" t="inlineStr"/>
      <c r="AD207" s="6" t="inlineStr"/>
    </row>
    <row r="208">
      <c r="A208" s="12" t="inlineStr">
        <is>
          <t>Christopher Scheurich</t>
        </is>
      </c>
      <c r="B208" s="12" t="inlineStr">
        <is>
          <t>Arch-Con Corporation</t>
        </is>
      </c>
      <c r="C208" s="12" t="inlineStr">
        <is>
          <t>General Counsel</t>
        </is>
      </c>
      <c r="D208" s="13" t="inlineStr">
        <is>
          <t>Builds the wall, not the house</t>
        </is>
      </c>
      <c r="E208" s="14" t="n">
        <v>3</v>
      </c>
      <c r="F208" s="12" t="inlineStr">
        <is>
          <t>Builds the wall</t>
        </is>
      </c>
      <c r="G208" s="12" t="inlineStr">
        <is>
          <t>Houston, Harris</t>
        </is>
      </c>
      <c r="H208" s="12" t="inlineStr">
        <is>
          <t>Reversed the standard tilt-wall sequence to save a month</t>
        </is>
      </c>
      <c r="I208" s="14" t="inlineStr">
        <is>
          <t>Partly</t>
        </is>
      </c>
      <c r="J208" s="15" t="inlineStr">
        <is>
          <t>Eight divisions across commercial, retail, healthcare and multifamily. Buildings differ project to project.</t>
        </is>
      </c>
      <c r="K208" s="14" t="inlineStr">
        <is>
          <t>Partly</t>
        </is>
      </c>
      <c r="L208" s="15" t="inlineStr">
        <is>
          <t>One published job, 770,640 square feet, with panels poured by somebody else. No annual volume.</t>
        </is>
      </c>
      <c r="M208" s="14" t="inlineStr">
        <is>
          <t>Partly</t>
        </is>
      </c>
      <c r="N208" s="15" t="inlineStr">
        <is>
          <t>Set a 275-ton lattice boom crane on the perimeter to spare the slab. No new method bought.</t>
        </is>
      </c>
      <c r="O208" s="10" t="inlineStr"/>
      <c r="P208" s="12">
        <f>HYPERLINK("https://www.linkedin.com/search/results/people/?keywords=Christopher%20Scheurich%20Arch-Con%20Corporation","search")</f>
        <v/>
      </c>
      <c r="Q208" s="16">
        <f>IF(O208="","ADD LINKEDIN","ok")</f>
        <v/>
      </c>
      <c r="R208" s="12" t="inlineStr">
        <is>
          <t>https://www.arch-con.com/</t>
        </is>
      </c>
      <c r="S208" s="15" t="inlineStr">
        <is>
          <t>It buys its concrete rather than pouring it, and Encore Concrete Construction poured its award-listed tilt-up panels.</t>
        </is>
      </c>
      <c r="T208" s="12" t="inlineStr"/>
      <c r="U208" s="15" t="inlineStr">
        <is>
          <t>LinkedIn headline: General Counsel, Arch-Con Corporation. Houston.</t>
        </is>
      </c>
      <c r="V208" s="12" t="inlineStr"/>
      <c r="W208" s="12" t="inlineStr"/>
      <c r="X208" s="12" t="inlineStr"/>
      <c r="Y208" s="12" t="inlineStr">
        <is>
          <t>2026-07-21 Construction Owners. Arch-Con Tops Out 330-Unit Artis Montrose Apartment Project  https://www.constructionowners.com/news/arch-con-reaches-topping-out-milestone-on-330-unit-artis-montrose-apartment-project</t>
        </is>
      </c>
      <c r="Z208" s="12" t="inlineStr">
        <is>
          <t>(713) 533-1900</t>
        </is>
      </c>
      <c r="AA208" s="12" t="inlineStr">
        <is>
          <t>Houston</t>
        </is>
      </c>
      <c r="AB208" s="12" t="inlineStr">
        <is>
          <t>https://www.arch-con.com/contact-us/</t>
        </is>
      </c>
      <c r="AC208" s="12" t="inlineStr"/>
      <c r="AD208" s="12" t="inlineStr"/>
    </row>
    <row r="209">
      <c r="A209" s="6" t="inlineStr">
        <is>
          <t>Trent Tellepsen</t>
        </is>
      </c>
      <c r="B209" s="6" t="inlineStr">
        <is>
          <t>Building Concrete Solutions</t>
        </is>
      </c>
      <c r="C209" s="6" t="inlineStr">
        <is>
          <t>President</t>
        </is>
      </c>
      <c r="D209" s="7" t="inlineStr">
        <is>
          <t>Builds the wall, not the house</t>
        </is>
      </c>
      <c r="E209" s="8" t="n">
        <v>3</v>
      </c>
      <c r="F209" s="6" t="inlineStr">
        <is>
          <t>Builds the wall</t>
        </is>
      </c>
      <c r="G209" s="6" t="inlineStr">
        <is>
          <t>Houston, Harris</t>
        </is>
      </c>
      <c r="H209" s="6" t="inlineStr">
        <is>
          <t>Runs Revit, Tekla, AutoCAD and Navisworks in house</t>
        </is>
      </c>
      <c r="I209" s="8" t="inlineStr">
        <is>
          <t>Partly</t>
        </is>
      </c>
      <c r="J209" s="9" t="inlineStr">
        <is>
          <t>Concrete packages recur across Houston projects.</t>
        </is>
      </c>
      <c r="K209" s="8" t="inlineStr">
        <is>
          <t>Partly</t>
        </is>
      </c>
      <c r="L209" s="9" t="inlineStr">
        <is>
          <t>No crew count, revenue or project size published.</t>
        </is>
      </c>
      <c r="M209" s="8" t="inlineStr">
        <is>
          <t>Partly</t>
        </is>
      </c>
      <c r="N209" s="9" t="inlineStr">
        <is>
          <t>Bought and staffed Revit, Tekla, AutoCAD and Navisworks. A printed wall is a model first.</t>
        </is>
      </c>
      <c r="O209" s="6" t="inlineStr">
        <is>
          <t>https://www.linkedin.com/in/trent-tellepsen-b8608024/</t>
        </is>
      </c>
      <c r="P209" s="6" t="inlineStr"/>
      <c r="Q209" s="11">
        <f>IF(O209="","ADD LINKEDIN","ok")</f>
        <v/>
      </c>
      <c r="R209" s="6" t="inlineStr">
        <is>
          <t>https://www.bcshouston.com/</t>
        </is>
      </c>
      <c r="S209" s="9" t="inlineStr">
        <is>
          <t>It models its work in three dimensions before pouring, and a printed wall starts as a model too.</t>
        </is>
      </c>
      <c r="T209" s="6" t="inlineStr">
        <is>
          <t>YES</t>
        </is>
      </c>
      <c r="U209" s="9" t="inlineStr">
        <is>
          <t>LinkedIn headline: President, Building Concrete Solutions. Houston.</t>
        </is>
      </c>
      <c r="V209" s="6" t="inlineStr"/>
      <c r="W209" s="6" t="inlineStr"/>
      <c r="X209" s="6" t="inlineStr"/>
      <c r="Y209" s="6" t="inlineStr"/>
      <c r="Z209" s="6" t="inlineStr">
        <is>
          <t>(281) 272-7900</t>
        </is>
      </c>
      <c r="AA209" s="6" t="inlineStr"/>
      <c r="AB209" s="6" t="inlineStr">
        <is>
          <t>https://www.bcshouston.com/</t>
        </is>
      </c>
      <c r="AC209" s="6" t="inlineStr"/>
      <c r="AD209" s="6" t="inlineStr"/>
    </row>
    <row r="210">
      <c r="A210" s="12" t="inlineStr">
        <is>
          <t>Daniel Lara</t>
        </is>
      </c>
      <c r="B210" s="12" t="inlineStr">
        <is>
          <t>Building Concrete Solutions</t>
        </is>
      </c>
      <c r="C210" s="12" t="inlineStr">
        <is>
          <t>Vice President</t>
        </is>
      </c>
      <c r="D210" s="13" t="inlineStr">
        <is>
          <t>Builds the wall, not the house</t>
        </is>
      </c>
      <c r="E210" s="14" t="n">
        <v>3</v>
      </c>
      <c r="F210" s="12" t="inlineStr">
        <is>
          <t>Builds the wall</t>
        </is>
      </c>
      <c r="G210" s="12" t="inlineStr">
        <is>
          <t>Houston, Harris</t>
        </is>
      </c>
      <c r="H210" s="12" t="inlineStr">
        <is>
          <t>Runs Revit, Tekla, AutoCAD and Navisworks in house</t>
        </is>
      </c>
      <c r="I210" s="14" t="inlineStr">
        <is>
          <t>Partly</t>
        </is>
      </c>
      <c r="J210" s="15" t="inlineStr">
        <is>
          <t>Concrete packages recur across Houston projects.</t>
        </is>
      </c>
      <c r="K210" s="14" t="inlineStr">
        <is>
          <t>Partly</t>
        </is>
      </c>
      <c r="L210" s="15" t="inlineStr">
        <is>
          <t>No crew count, revenue or project size published.</t>
        </is>
      </c>
      <c r="M210" s="14" t="inlineStr">
        <is>
          <t>Partly</t>
        </is>
      </c>
      <c r="N210" s="15" t="inlineStr">
        <is>
          <t>Bought and staffed Revit, Tekla, AutoCAD and Navisworks. A printed wall is a model first.</t>
        </is>
      </c>
      <c r="O210" s="6" t="inlineStr">
        <is>
          <t>https://www.linkedin.com/in/daniel-lara-24329570/</t>
        </is>
      </c>
      <c r="P210" s="12" t="inlineStr"/>
      <c r="Q210" s="16">
        <f>IF(O210="","ADD LINKEDIN","ok")</f>
        <v/>
      </c>
      <c r="R210" s="12" t="inlineStr">
        <is>
          <t>https://www.bcshouston.com/</t>
        </is>
      </c>
      <c r="S210" s="15" t="inlineStr">
        <is>
          <t>It models its work in three dimensions before pouring, and a printed wall starts as a model too.</t>
        </is>
      </c>
      <c r="T210" s="12" t="inlineStr">
        <is>
          <t>YES</t>
        </is>
      </c>
      <c r="U210" s="15" t="inlineStr">
        <is>
          <t>LinkedIn headline: Vice President, Building Concrete Solutions. Houston.</t>
        </is>
      </c>
      <c r="V210" s="12" t="inlineStr"/>
      <c r="W210" s="12" t="inlineStr"/>
      <c r="X210" s="12" t="inlineStr"/>
      <c r="Y210" s="12" t="inlineStr"/>
      <c r="Z210" s="12" t="inlineStr">
        <is>
          <t>(281) 272-7900</t>
        </is>
      </c>
      <c r="AA210" s="12" t="inlineStr"/>
      <c r="AB210" s="12" t="inlineStr">
        <is>
          <t>https://www.bcshouston.com/</t>
        </is>
      </c>
      <c r="AC210" s="12" t="inlineStr"/>
      <c r="AD210" s="12" t="inlineStr"/>
    </row>
    <row r="211">
      <c r="A211" s="6" t="inlineStr">
        <is>
          <t>Jorge Hernandez</t>
        </is>
      </c>
      <c r="B211" s="6" t="inlineStr">
        <is>
          <t>Building Concrete Solutions</t>
        </is>
      </c>
      <c r="C211" s="6" t="inlineStr">
        <is>
          <t>Manager of Operations</t>
        </is>
      </c>
      <c r="D211" s="7" t="inlineStr">
        <is>
          <t>Builds the wall, not the house</t>
        </is>
      </c>
      <c r="E211" s="8" t="n">
        <v>3</v>
      </c>
      <c r="F211" s="6" t="inlineStr">
        <is>
          <t>Builds the wall</t>
        </is>
      </c>
      <c r="G211" s="6" t="inlineStr">
        <is>
          <t>Houston, Harris</t>
        </is>
      </c>
      <c r="H211" s="6" t="inlineStr">
        <is>
          <t>Runs Revit, Tekla, AutoCAD and Navisworks in house</t>
        </is>
      </c>
      <c r="I211" s="8" t="inlineStr">
        <is>
          <t>Partly</t>
        </is>
      </c>
      <c r="J211" s="9" t="inlineStr">
        <is>
          <t>Concrete packages recur across Houston projects.</t>
        </is>
      </c>
      <c r="K211" s="8" t="inlineStr">
        <is>
          <t>Partly</t>
        </is>
      </c>
      <c r="L211" s="9" t="inlineStr">
        <is>
          <t>No crew count, revenue or project size published.</t>
        </is>
      </c>
      <c r="M211" s="8" t="inlineStr">
        <is>
          <t>Partly</t>
        </is>
      </c>
      <c r="N211" s="9" t="inlineStr">
        <is>
          <t>Bought and staffed Revit, Tekla, AutoCAD and Navisworks. A printed wall is a model first.</t>
        </is>
      </c>
      <c r="O211" s="6" t="inlineStr">
        <is>
          <t>https://www.linkedin.com/in/jorge-hern%C3%A1ndez-614616204/</t>
        </is>
      </c>
      <c r="P211" s="6" t="inlineStr"/>
      <c r="Q211" s="11">
        <f>IF(O211="","ADD LINKEDIN","ok")</f>
        <v/>
      </c>
      <c r="R211" s="6" t="inlineStr">
        <is>
          <t>https://www.bcshouston.com/</t>
        </is>
      </c>
      <c r="S211" s="9" t="inlineStr">
        <is>
          <t>It models its work in three dimensions before pouring, and a printed wall starts as a model too.</t>
        </is>
      </c>
      <c r="T211" s="6" t="inlineStr"/>
      <c r="U211" s="9" t="inlineStr">
        <is>
          <t>LinkedIn headline: Manager of Operations, Building Concrete Solutions. Houston.</t>
        </is>
      </c>
      <c r="V211" s="6" t="inlineStr"/>
      <c r="W211" s="6" t="inlineStr"/>
      <c r="X211" s="6" t="inlineStr"/>
      <c r="Y211" s="6" t="inlineStr"/>
      <c r="Z211" s="6" t="inlineStr">
        <is>
          <t>(281) 272-7900</t>
        </is>
      </c>
      <c r="AA211" s="6" t="inlineStr"/>
      <c r="AB211" s="6" t="inlineStr">
        <is>
          <t>https://www.bcshouston.com/</t>
        </is>
      </c>
      <c r="AC211" s="6" t="inlineStr"/>
      <c r="AD211" s="6" t="inlineStr"/>
    </row>
    <row r="212">
      <c r="A212" s="12" t="inlineStr">
        <is>
          <t>Marc Deer</t>
        </is>
      </c>
      <c r="B212" s="12" t="inlineStr">
        <is>
          <t>M.L. Deer Construction</t>
        </is>
      </c>
      <c r="C212" s="12" t="inlineStr">
        <is>
          <t>Managing General Partner</t>
        </is>
      </c>
      <c r="D212" s="13" t="inlineStr">
        <is>
          <t>Builds the wall, not the house</t>
        </is>
      </c>
      <c r="E212" s="14" t="n">
        <v>3</v>
      </c>
      <c r="F212" s="12" t="inlineStr">
        <is>
          <t>Builds the wall</t>
        </is>
      </c>
      <c r="G212" s="12" t="inlineStr">
        <is>
          <t>Houston, Harris, and the Texas Gulf Coast</t>
        </is>
      </c>
      <c r="H212" s="12" t="inlineStr">
        <is>
          <t>Carries insulated concrete form buildings as a standard offering</t>
        </is>
      </c>
      <c r="I212" s="14" t="inlineStr">
        <is>
          <t>Partly</t>
        </is>
      </c>
      <c r="J212" s="15" t="inlineStr">
        <is>
          <t>Gulf Coast commercial buildings. Each structure differs.</t>
        </is>
      </c>
      <c r="K212" s="14" t="inlineStr">
        <is>
          <t>Partly</t>
        </is>
      </c>
      <c r="L212" s="15" t="inlineStr">
        <is>
          <t>No revenue, crew count or project count published.</t>
        </is>
      </c>
      <c r="M212" s="14" t="inlineStr">
        <is>
          <t>Partly</t>
        </is>
      </c>
      <c r="N212" s="15" t="inlineStr">
        <is>
          <t>Sells an insulated concrete form wall, not only a wood one. No named project dates it.</t>
        </is>
      </c>
      <c r="O212" s="10" t="inlineStr"/>
      <c r="P212" s="12" t="inlineStr"/>
      <c r="Q212" s="16">
        <f>IF(O212="","ADD LINKEDIN","ok")</f>
        <v/>
      </c>
      <c r="R212" s="12" t="inlineStr">
        <is>
          <t>https://www.mldeer.com/</t>
        </is>
      </c>
      <c r="S212" s="15" t="inlineStr">
        <is>
          <t>It already sells a concrete wall system to commercial clients, but no residential project appears on its site.</t>
        </is>
      </c>
      <c r="T212" s="12" t="inlineStr"/>
      <c r="U212" s="15" t="inlineStr"/>
      <c r="V212" s="12" t="inlineStr">
        <is>
          <t>https://www.mldeer.com/our-team</t>
        </is>
      </c>
      <c r="W212" s="12" t="inlineStr"/>
      <c r="X212" s="12" t="inlineStr"/>
      <c r="Y212" s="12" t="inlineStr"/>
      <c r="Z212" s="12" t="inlineStr">
        <is>
          <t>(713) 681-1100</t>
        </is>
      </c>
      <c r="AA212" s="12" t="inlineStr">
        <is>
          <t>office</t>
        </is>
      </c>
      <c r="AB212" s="12" t="inlineStr">
        <is>
          <t>https://www.mldeer.com/</t>
        </is>
      </c>
      <c r="AC212" s="12" t="inlineStr"/>
      <c r="AD212" s="12" t="inlineStr"/>
    </row>
    <row r="213">
      <c r="A213" s="6" t="inlineStr">
        <is>
          <t>Richard Rolland</t>
        </is>
      </c>
      <c r="B213" s="6" t="inlineStr">
        <is>
          <t>M.L. Deer Construction</t>
        </is>
      </c>
      <c r="C213" s="6" t="inlineStr">
        <is>
          <t>Managing General Partner</t>
        </is>
      </c>
      <c r="D213" s="7" t="inlineStr">
        <is>
          <t>Builds the wall, not the house</t>
        </is>
      </c>
      <c r="E213" s="8" t="n">
        <v>3</v>
      </c>
      <c r="F213" s="6" t="inlineStr">
        <is>
          <t>Builds the wall</t>
        </is>
      </c>
      <c r="G213" s="6" t="inlineStr">
        <is>
          <t>Houston, Harris, and the Texas Gulf Coast</t>
        </is>
      </c>
      <c r="H213" s="6" t="inlineStr">
        <is>
          <t>Carries insulated concrete form buildings as a standard offering</t>
        </is>
      </c>
      <c r="I213" s="8" t="inlineStr">
        <is>
          <t>Partly</t>
        </is>
      </c>
      <c r="J213" s="9" t="inlineStr">
        <is>
          <t>Gulf Coast commercial buildings. Each structure differs.</t>
        </is>
      </c>
      <c r="K213" s="8" t="inlineStr">
        <is>
          <t>Partly</t>
        </is>
      </c>
      <c r="L213" s="9" t="inlineStr">
        <is>
          <t>No revenue, crew count or project count published.</t>
        </is>
      </c>
      <c r="M213" s="8" t="inlineStr">
        <is>
          <t>Partly</t>
        </is>
      </c>
      <c r="N213" s="9" t="inlineStr">
        <is>
          <t>Sells an insulated concrete form wall, not only a wood one. No named project dates it.</t>
        </is>
      </c>
      <c r="O213" s="10" t="inlineStr"/>
      <c r="P213" s="6" t="inlineStr"/>
      <c r="Q213" s="11">
        <f>IF(O213="","ADD LINKEDIN","ok")</f>
        <v/>
      </c>
      <c r="R213" s="6" t="inlineStr">
        <is>
          <t>https://www.mldeer.com/</t>
        </is>
      </c>
      <c r="S213" s="9" t="inlineStr">
        <is>
          <t>It already sells a concrete wall system to commercial clients, but no residential project appears on its site.</t>
        </is>
      </c>
      <c r="T213" s="6" t="inlineStr"/>
      <c r="U213" s="9" t="inlineStr"/>
      <c r="V213" s="6" t="inlineStr">
        <is>
          <t>https://www.mldeer.com/our-team</t>
        </is>
      </c>
      <c r="W213" s="6" t="inlineStr"/>
      <c r="X213" s="6" t="inlineStr"/>
      <c r="Y213" s="6" t="inlineStr"/>
      <c r="Z213" s="6" t="inlineStr">
        <is>
          <t>(713) 681-1100</t>
        </is>
      </c>
      <c r="AA213" s="6" t="inlineStr">
        <is>
          <t>office</t>
        </is>
      </c>
      <c r="AB213" s="6" t="inlineStr">
        <is>
          <t>https://www.mldeer.com/</t>
        </is>
      </c>
      <c r="AC213" s="6" t="inlineStr"/>
      <c r="AD213" s="6" t="inlineStr"/>
    </row>
    <row r="214">
      <c r="A214" s="12" t="inlineStr">
        <is>
          <t>Jack Baker</t>
        </is>
      </c>
      <c r="B214" s="12" t="inlineStr">
        <is>
          <t>M.L. Deer Construction</t>
        </is>
      </c>
      <c r="C214" s="12" t="inlineStr">
        <is>
          <t>Senior Project Manager, ML Deer Construction</t>
        </is>
      </c>
      <c r="D214" s="13" t="inlineStr">
        <is>
          <t>Builds the wall, not the house</t>
        </is>
      </c>
      <c r="E214" s="14" t="n">
        <v>3</v>
      </c>
      <c r="F214" s="12" t="inlineStr">
        <is>
          <t>Builds the wall</t>
        </is>
      </c>
      <c r="G214" s="12" t="inlineStr">
        <is>
          <t>Houston, Harris, and the Texas Gulf Coast</t>
        </is>
      </c>
      <c r="H214" s="12" t="inlineStr">
        <is>
          <t>Carries insulated concrete form buildings as a standard offering</t>
        </is>
      </c>
      <c r="I214" s="14" t="inlineStr">
        <is>
          <t>Partly</t>
        </is>
      </c>
      <c r="J214" s="15" t="inlineStr">
        <is>
          <t>Gulf Coast commercial buildings. Each structure differs.</t>
        </is>
      </c>
      <c r="K214" s="14" t="inlineStr">
        <is>
          <t>Partly</t>
        </is>
      </c>
      <c r="L214" s="15" t="inlineStr">
        <is>
          <t>No revenue, crew count or project count published.</t>
        </is>
      </c>
      <c r="M214" s="14" t="inlineStr">
        <is>
          <t>Partly</t>
        </is>
      </c>
      <c r="N214" s="15" t="inlineStr">
        <is>
          <t>Sells an insulated concrete form wall, not only a wood one. No named project dates it.</t>
        </is>
      </c>
      <c r="O214" s="10" t="inlineStr"/>
      <c r="P214" s="12" t="inlineStr"/>
      <c r="Q214" s="16">
        <f>IF(O214="","ADD LINKEDIN","ok")</f>
        <v/>
      </c>
      <c r="R214" s="12" t="inlineStr">
        <is>
          <t>https://www.mldeer.com/</t>
        </is>
      </c>
      <c r="S214" s="15" t="inlineStr">
        <is>
          <t>It already sells a concrete wall system to commercial clients, but no residential project appears on its site.</t>
        </is>
      </c>
      <c r="T214" s="12" t="inlineStr"/>
      <c r="U214" s="15" t="inlineStr">
        <is>
          <t>Only construction-side name published.</t>
        </is>
      </c>
      <c r="V214" s="12" t="inlineStr">
        <is>
          <t>https://www.mldeer.com/our-team</t>
        </is>
      </c>
      <c r="W214" s="12" t="inlineStr"/>
      <c r="X214" s="12" t="inlineStr"/>
      <c r="Y214" s="12" t="inlineStr"/>
      <c r="Z214" s="12" t="inlineStr">
        <is>
          <t>(713) 681-1100</t>
        </is>
      </c>
      <c r="AA214" s="12" t="inlineStr">
        <is>
          <t>office</t>
        </is>
      </c>
      <c r="AB214" s="12" t="inlineStr">
        <is>
          <t>https://www.mldeer.com/</t>
        </is>
      </c>
      <c r="AC214" s="12" t="inlineStr"/>
      <c r="AD214" s="12" t="inlineStr"/>
    </row>
    <row r="215">
      <c r="A215" s="6" t="inlineStr">
        <is>
          <t>Ryan Taylor</t>
        </is>
      </c>
      <c r="B215" s="6" t="inlineStr">
        <is>
          <t>T&amp;T Construction</t>
        </is>
      </c>
      <c r="C215" s="6" t="inlineStr">
        <is>
          <t>Third generation, assumed leadership in 2001</t>
        </is>
      </c>
      <c r="D215" s="7" t="inlineStr">
        <is>
          <t>Builds the wall, not the house</t>
        </is>
      </c>
      <c r="E215" s="8" t="n">
        <v>3</v>
      </c>
      <c r="F215" s="6" t="inlineStr">
        <is>
          <t>Builds the wall</t>
        </is>
      </c>
      <c r="G215" s="6" t="inlineStr">
        <is>
          <t>Pasadena, Harris</t>
        </is>
      </c>
      <c r="H215" s="6" t="inlineStr">
        <is>
          <t>65 employees, 1,000-plus Houston projects since 1969</t>
        </is>
      </c>
      <c r="I215" s="8" t="inlineStr">
        <is>
          <t>Partly</t>
        </is>
      </c>
      <c r="J215" s="9" t="inlineStr">
        <is>
          <t>Industrial and commercial concrete recur on the metro's east side.</t>
        </is>
      </c>
      <c r="K215" s="8" t="inlineStr">
        <is>
          <t>Partly</t>
        </is>
      </c>
      <c r="L215" s="9" t="inlineStr">
        <is>
          <t>65 employees and over 1,000 Greater Houston projects since 1969. No annual wall figure published.</t>
        </is>
      </c>
      <c r="M215" s="8" t="inlineStr">
        <is>
          <t>Partly</t>
        </is>
      </c>
      <c r="N215" s="9" t="inlineStr">
        <is>
          <t>Bought volumetric mixers in place of plant ready-mix. Not a wall method.</t>
        </is>
      </c>
      <c r="O215" s="10" t="inlineStr"/>
      <c r="P215" s="6" t="inlineStr"/>
      <c r="Q215" s="11">
        <f>IF(O215="","ADD LINKEDIN","ok")</f>
        <v/>
      </c>
      <c r="R215" s="6" t="inlineStr">
        <is>
          <t>https://tandtconstruction.com/</t>
        </is>
      </c>
      <c r="S215" s="9" t="inlineStr">
        <is>
          <t>It delivers its own concrete on volumetric mixers, so it already supplies the continuous feed a printer needs.</t>
        </is>
      </c>
      <c r="T215" s="6" t="inlineStr"/>
      <c r="U215" s="9" t="inlineStr">
        <is>
          <t>About page. Jeff's son, joined 1988. Surname not printed beside him.</t>
        </is>
      </c>
      <c r="V215" s="6" t="inlineStr">
        <is>
          <t>https://tandtconstruction.com/about-us/</t>
        </is>
      </c>
      <c r="W215" s="6" t="inlineStr"/>
      <c r="X215" s="6" t="inlineStr">
        <is>
          <t>https://tandtconstruction.com/about-us/</t>
        </is>
      </c>
      <c r="Y215" s="6" t="inlineStr"/>
      <c r="Z215" s="6" t="inlineStr">
        <is>
          <t>(713) 477-6660</t>
        </is>
      </c>
      <c r="AA215" s="6" t="inlineStr"/>
      <c r="AB215" s="6" t="inlineStr">
        <is>
          <t>https://tandtconstruction.com/</t>
        </is>
      </c>
      <c r="AC215" s="6" t="inlineStr"/>
      <c r="AD215" s="6" t="inlineStr"/>
    </row>
    <row r="216">
      <c r="A216" s="12" t="inlineStr">
        <is>
          <t>Jeff Taylor</t>
        </is>
      </c>
      <c r="B216" s="12" t="inlineStr">
        <is>
          <t>T&amp;T Construction</t>
        </is>
      </c>
      <c r="C216" s="12" t="inlineStr">
        <is>
          <t>Second-generation co-owner</t>
        </is>
      </c>
      <c r="D216" s="13" t="inlineStr">
        <is>
          <t>Builds the wall, not the house</t>
        </is>
      </c>
      <c r="E216" s="14" t="n">
        <v>3</v>
      </c>
      <c r="F216" s="12" t="inlineStr">
        <is>
          <t>Builds the wall</t>
        </is>
      </c>
      <c r="G216" s="12" t="inlineStr">
        <is>
          <t>Pasadena, Harris</t>
        </is>
      </c>
      <c r="H216" s="12" t="inlineStr">
        <is>
          <t>65 employees, 1,000-plus Houston projects since 1969</t>
        </is>
      </c>
      <c r="I216" s="14" t="inlineStr">
        <is>
          <t>Partly</t>
        </is>
      </c>
      <c r="J216" s="15" t="inlineStr">
        <is>
          <t>Industrial and commercial concrete recur on the metro's east side.</t>
        </is>
      </c>
      <c r="K216" s="14" t="inlineStr">
        <is>
          <t>Partly</t>
        </is>
      </c>
      <c r="L216" s="15" t="inlineStr">
        <is>
          <t>65 employees and over 1,000 Greater Houston projects since 1969. No annual wall figure published.</t>
        </is>
      </c>
      <c r="M216" s="14" t="inlineStr">
        <is>
          <t>Partly</t>
        </is>
      </c>
      <c r="N216" s="15" t="inlineStr">
        <is>
          <t>Bought volumetric mixers in place of plant ready-mix. Not a wall method.</t>
        </is>
      </c>
      <c r="O216" s="10" t="inlineStr"/>
      <c r="P216" s="12" t="inlineStr"/>
      <c r="Q216" s="16">
        <f>IF(O216="","ADD LINKEDIN","ok")</f>
        <v/>
      </c>
      <c r="R216" s="12" t="inlineStr">
        <is>
          <t>https://tandtconstruction.com/</t>
        </is>
      </c>
      <c r="S216" s="15" t="inlineStr">
        <is>
          <t>It delivers its own concrete on volumetric mixers, so it already supplies the continuous feed a printer needs.</t>
        </is>
      </c>
      <c r="T216" s="12" t="inlineStr"/>
      <c r="U216" s="15" t="inlineStr">
        <is>
          <t>About page. Founder's son. First name only.</t>
        </is>
      </c>
      <c r="V216" s="12" t="inlineStr">
        <is>
          <t>https://tandtconstruction.com/about-us/</t>
        </is>
      </c>
      <c r="W216" s="12" t="inlineStr"/>
      <c r="X216" s="12" t="inlineStr">
        <is>
          <t>https://tandtconstruction.com/about-us/</t>
        </is>
      </c>
      <c r="Y216" s="12" t="inlineStr"/>
      <c r="Z216" s="12" t="inlineStr">
        <is>
          <t>(713) 477-6660</t>
        </is>
      </c>
      <c r="AA216" s="12" t="inlineStr"/>
      <c r="AB216" s="12" t="inlineStr">
        <is>
          <t>https://tandtconstruction.com/</t>
        </is>
      </c>
      <c r="AC216" s="12" t="inlineStr"/>
      <c r="AD216" s="12" t="inlineStr"/>
    </row>
    <row r="217">
      <c r="A217" s="6" t="inlineStr">
        <is>
          <t>Dianna Taylor</t>
        </is>
      </c>
      <c r="B217" s="6" t="inlineStr">
        <is>
          <t>T&amp;T Construction</t>
        </is>
      </c>
      <c r="C217" s="6" t="inlineStr">
        <is>
          <t>Second-generation co-owner</t>
        </is>
      </c>
      <c r="D217" s="7" t="inlineStr">
        <is>
          <t>Builds the wall, not the house</t>
        </is>
      </c>
      <c r="E217" s="8" t="n">
        <v>3</v>
      </c>
      <c r="F217" s="6" t="inlineStr">
        <is>
          <t>Builds the wall</t>
        </is>
      </c>
      <c r="G217" s="6" t="inlineStr">
        <is>
          <t>Pasadena, Harris</t>
        </is>
      </c>
      <c r="H217" s="6" t="inlineStr">
        <is>
          <t>65 employees, 1,000-plus Houston projects since 1969</t>
        </is>
      </c>
      <c r="I217" s="8" t="inlineStr">
        <is>
          <t>Partly</t>
        </is>
      </c>
      <c r="J217" s="9" t="inlineStr">
        <is>
          <t>Industrial and commercial concrete recur on the metro's east side.</t>
        </is>
      </c>
      <c r="K217" s="8" t="inlineStr">
        <is>
          <t>Partly</t>
        </is>
      </c>
      <c r="L217" s="9" t="inlineStr">
        <is>
          <t>65 employees and over 1,000 Greater Houston projects since 1969. No annual wall figure published.</t>
        </is>
      </c>
      <c r="M217" s="8" t="inlineStr">
        <is>
          <t>Partly</t>
        </is>
      </c>
      <c r="N217" s="9" t="inlineStr">
        <is>
          <t>Bought volumetric mixers in place of plant ready-mix. Not a wall method.</t>
        </is>
      </c>
      <c r="O217" s="10" t="inlineStr"/>
      <c r="P217" s="6" t="inlineStr"/>
      <c r="Q217" s="11">
        <f>IF(O217="","ADD LINKEDIN","ok")</f>
        <v/>
      </c>
      <c r="R217" s="6" t="inlineStr">
        <is>
          <t>https://tandtconstruction.com/</t>
        </is>
      </c>
      <c r="S217" s="9" t="inlineStr">
        <is>
          <t>It delivers its own concrete on volumetric mixers, so it already supplies the continuous feed a printer needs.</t>
        </is>
      </c>
      <c r="T217" s="6" t="inlineStr"/>
      <c r="U217" s="9" t="inlineStr">
        <is>
          <t>About page. Jeff's wife. First name only.</t>
        </is>
      </c>
      <c r="V217" s="6" t="inlineStr">
        <is>
          <t>https://tandtconstruction.com/about-us/</t>
        </is>
      </c>
      <c r="W217" s="6" t="inlineStr"/>
      <c r="X217" s="6" t="inlineStr">
        <is>
          <t>https://tandtconstruction.com/about-us/</t>
        </is>
      </c>
      <c r="Y217" s="6" t="inlineStr"/>
      <c r="Z217" s="6" t="inlineStr">
        <is>
          <t>(713) 477-6660</t>
        </is>
      </c>
      <c r="AA217" s="6" t="inlineStr"/>
      <c r="AB217" s="6" t="inlineStr">
        <is>
          <t>https://tandtconstruction.com/</t>
        </is>
      </c>
      <c r="AC217" s="6" t="inlineStr"/>
      <c r="AD217" s="6" t="inlineStr"/>
    </row>
    <row r="218">
      <c r="A218" s="12" t="inlineStr">
        <is>
          <t>Victor Andrade</t>
        </is>
      </c>
      <c r="B218" s="12" t="inlineStr">
        <is>
          <t>Andrade Construction Companies</t>
        </is>
      </c>
      <c r="C218" s="12" t="inlineStr">
        <is>
          <t>Founder</t>
        </is>
      </c>
      <c r="D218" s="13" t="inlineStr">
        <is>
          <t>Builds the wall, not the house</t>
        </is>
      </c>
      <c r="E218" s="14" t="n">
        <v>2</v>
      </c>
      <c r="F218" s="12" t="inlineStr">
        <is>
          <t>Builds the wall</t>
        </is>
      </c>
      <c r="G218" s="12" t="inlineStr">
        <is>
          <t>Houston, working Harris and Brazoria</t>
        </is>
      </c>
      <c r="H218" s="12" t="inlineStr">
        <is>
          <t>Owns earthwork, utilities and concrete</t>
        </is>
      </c>
      <c r="I218" s="14" t="inlineStr">
        <is>
          <t>Partly</t>
        </is>
      </c>
      <c r="J218" s="15" t="inlineStr">
        <is>
          <t>Site and concrete packages recur across Houston jobs.</t>
        </is>
      </c>
      <c r="K218" s="14" t="inlineStr">
        <is>
          <t>Partly</t>
        </is>
      </c>
      <c r="L218" s="15" t="inlineStr">
        <is>
          <t>No crew count, revenue or annual volume published.</t>
        </is>
      </c>
      <c r="M218" s="14" t="inlineStr">
        <is>
          <t>No</t>
        </is>
      </c>
      <c r="N218" s="15" t="inlineStr">
        <is>
          <t>No method statement published.</t>
        </is>
      </c>
      <c r="O218" s="10" t="inlineStr"/>
      <c r="P218" s="12" t="inlineStr"/>
      <c r="Q218" s="16">
        <f>IF(O218="","ADD LINKEDIN","ok")</f>
        <v/>
      </c>
      <c r="R218" s="12" t="inlineStr">
        <is>
          <t>https://andradeconstructioncompanies.com/</t>
        </is>
      </c>
      <c r="S218" s="15" t="inlineStr">
        <is>
          <t>Its own crews pour the slab a printer would stand on, but it publishes no crew count, revenue or annual volume.</t>
        </is>
      </c>
      <c r="T218" s="12" t="inlineStr"/>
      <c r="U218" s="15" t="inlineStr">
        <is>
          <t>About page. Founded 2003 in residential, commercial from 2013.</t>
        </is>
      </c>
      <c r="V218" s="12" t="inlineStr">
        <is>
          <t>http://andradeconstructioncompanies.com/about-us/</t>
        </is>
      </c>
      <c r="W218" s="12" t="inlineStr"/>
      <c r="X218" s="12" t="inlineStr"/>
      <c r="Y218" s="12" t="inlineStr"/>
      <c r="Z218" s="12" t="inlineStr">
        <is>
          <t>(281) 227-8225</t>
        </is>
      </c>
      <c r="AA218" s="12" t="inlineStr"/>
      <c r="AB218" s="12" t="inlineStr">
        <is>
          <t>https://andradeconstructioncompanies.com/</t>
        </is>
      </c>
      <c r="AC218" s="12" t="inlineStr"/>
      <c r="AD218" s="12" t="inlineStr"/>
    </row>
    <row r="219">
      <c r="A219" s="6" t="inlineStr">
        <is>
          <t>Eric Rice</t>
        </is>
      </c>
      <c r="B219" s="6" t="inlineStr">
        <is>
          <t>Andrade Construction Companies</t>
        </is>
      </c>
      <c r="C219" s="6" t="inlineStr">
        <is>
          <t>Business Development Manager</t>
        </is>
      </c>
      <c r="D219" s="7" t="inlineStr">
        <is>
          <t>Builds the wall, not the house</t>
        </is>
      </c>
      <c r="E219" s="8" t="n">
        <v>2</v>
      </c>
      <c r="F219" s="6" t="inlineStr">
        <is>
          <t>Builds the wall</t>
        </is>
      </c>
      <c r="G219" s="6" t="inlineStr">
        <is>
          <t>Houston, working Harris and Brazoria</t>
        </is>
      </c>
      <c r="H219" s="6" t="inlineStr">
        <is>
          <t>Owns earthwork, utilities and concrete</t>
        </is>
      </c>
      <c r="I219" s="8" t="inlineStr">
        <is>
          <t>Partly</t>
        </is>
      </c>
      <c r="J219" s="9" t="inlineStr">
        <is>
          <t>Site and concrete packages recur across Houston jobs.</t>
        </is>
      </c>
      <c r="K219" s="8" t="inlineStr">
        <is>
          <t>Partly</t>
        </is>
      </c>
      <c r="L219" s="9" t="inlineStr">
        <is>
          <t>No crew count, revenue or annual volume published.</t>
        </is>
      </c>
      <c r="M219" s="8" t="inlineStr">
        <is>
          <t>No</t>
        </is>
      </c>
      <c r="N219" s="9" t="inlineStr">
        <is>
          <t>No method statement published.</t>
        </is>
      </c>
      <c r="O219" s="6" t="inlineStr">
        <is>
          <t>https://www.linkedin.com/in/eric-rice-177124352/</t>
        </is>
      </c>
      <c r="P219" s="6" t="inlineStr"/>
      <c r="Q219" s="11">
        <f>IF(O219="","ADD LINKEDIN","ok")</f>
        <v/>
      </c>
      <c r="R219" s="6" t="inlineStr">
        <is>
          <t>https://andradeconstructioncompanies.com/</t>
        </is>
      </c>
      <c r="S219" s="9" t="inlineStr">
        <is>
          <t>Its own crews pour the slab a printer would stand on, but it publishes no crew count, revenue or annual volume.</t>
        </is>
      </c>
      <c r="T219" s="6" t="inlineStr"/>
      <c r="U219" s="9" t="inlineStr">
        <is>
          <t>LinkedIn headline: Business Development Manager, Andrade Construction Companies. Houston.</t>
        </is>
      </c>
      <c r="V219" s="6" t="inlineStr"/>
      <c r="W219" s="6" t="inlineStr"/>
      <c r="X219" s="6" t="inlineStr"/>
      <c r="Y219" s="6" t="inlineStr"/>
      <c r="Z219" s="6" t="inlineStr">
        <is>
          <t>(281) 227-8225</t>
        </is>
      </c>
      <c r="AA219" s="6" t="inlineStr"/>
      <c r="AB219" s="6" t="inlineStr">
        <is>
          <t>https://andradeconstructioncompanies.com/</t>
        </is>
      </c>
      <c r="AC219" s="6" t="inlineStr"/>
      <c r="AD219" s="6" t="inlineStr"/>
    </row>
    <row r="220">
      <c r="A220" s="12" t="inlineStr">
        <is>
          <t>Luis Andrade</t>
        </is>
      </c>
      <c r="B220" s="12" t="inlineStr">
        <is>
          <t>Andrade Construction Companies</t>
        </is>
      </c>
      <c r="C220" s="12" t="inlineStr">
        <is>
          <t>Chief Operating Officer, Andrade Concrete and Construction</t>
        </is>
      </c>
      <c r="D220" s="13" t="inlineStr">
        <is>
          <t>Builds the wall, not the house</t>
        </is>
      </c>
      <c r="E220" s="14" t="n">
        <v>2</v>
      </c>
      <c r="F220" s="12" t="inlineStr">
        <is>
          <t>Builds the wall</t>
        </is>
      </c>
      <c r="G220" s="12" t="inlineStr">
        <is>
          <t>Houston, working Harris and Brazoria</t>
        </is>
      </c>
      <c r="H220" s="12" t="inlineStr">
        <is>
          <t>Owns earthwork, utilities and concrete</t>
        </is>
      </c>
      <c r="I220" s="14" t="inlineStr">
        <is>
          <t>Partly</t>
        </is>
      </c>
      <c r="J220" s="15" t="inlineStr">
        <is>
          <t>Site and concrete packages recur across Houston jobs.</t>
        </is>
      </c>
      <c r="K220" s="14" t="inlineStr">
        <is>
          <t>Partly</t>
        </is>
      </c>
      <c r="L220" s="15" t="inlineStr">
        <is>
          <t>No crew count, revenue or annual volume published.</t>
        </is>
      </c>
      <c r="M220" s="14" t="inlineStr">
        <is>
          <t>No</t>
        </is>
      </c>
      <c r="N220" s="15" t="inlineStr">
        <is>
          <t>No method statement published.</t>
        </is>
      </c>
      <c r="O220" s="6" t="inlineStr">
        <is>
          <t>https://www.linkedin.com/in/luis-andrade-128317159/</t>
        </is>
      </c>
      <c r="P220" s="12" t="inlineStr"/>
      <c r="Q220" s="16">
        <f>IF(O220="","ADD LINKEDIN","ok")</f>
        <v/>
      </c>
      <c r="R220" s="12" t="inlineStr">
        <is>
          <t>https://andradeconstructioncompanies.com/</t>
        </is>
      </c>
      <c r="S220" s="15" t="inlineStr">
        <is>
          <t>Its own crews pour the slab a printer would stand on, but it publishes no crew count, revenue or annual volume.</t>
        </is>
      </c>
      <c r="T220" s="12" t="inlineStr"/>
      <c r="U220" s="15" t="inlineStr">
        <is>
          <t>LinkedIn headline: COO, Andrade Concrete &amp; Construction Inc. A different registered name. Same business: unsettled.</t>
        </is>
      </c>
      <c r="V220" s="12" t="inlineStr"/>
      <c r="W220" s="12" t="inlineStr"/>
      <c r="X220" s="12" t="inlineStr"/>
      <c r="Y220" s="12" t="inlineStr"/>
      <c r="Z220" s="12" t="inlineStr">
        <is>
          <t>(281) 227-8225</t>
        </is>
      </c>
      <c r="AA220" s="12" t="inlineStr"/>
      <c r="AB220" s="12" t="inlineStr">
        <is>
          <t>https://andradeconstructioncompanies.com/</t>
        </is>
      </c>
      <c r="AC220" s="12" t="inlineStr"/>
      <c r="AD220" s="12" t="inlineStr"/>
    </row>
    <row r="221">
      <c r="A221" s="6" t="inlineStr">
        <is>
          <t>Shawn McAlpin</t>
        </is>
      </c>
      <c r="B221" s="6" t="inlineStr">
        <is>
          <t>Burton Construction</t>
        </is>
      </c>
      <c r="C221" s="6" t="inlineStr">
        <is>
          <t>Chief Executive Officer</t>
        </is>
      </c>
      <c r="D221" s="7" t="inlineStr">
        <is>
          <t>Builds the wall, not the house</t>
        </is>
      </c>
      <c r="E221" s="8" t="n">
        <v>2</v>
      </c>
      <c r="F221" s="6" t="inlineStr">
        <is>
          <t>Builds the wall</t>
        </is>
      </c>
      <c r="G221" s="6" t="inlineStr">
        <is>
          <t>Houston, with Austin, San Antonio and Phoenix</t>
        </is>
      </c>
      <c r="H221" s="6" t="inlineStr">
        <is>
          <t>Founded 2004, with multifamily in its published portfolio</t>
        </is>
      </c>
      <c r="I221" s="8" t="inlineStr">
        <is>
          <t>Partly</t>
        </is>
      </c>
      <c r="J221" s="9" t="inlineStr">
        <is>
          <t>Work across four metros. Buildings differ project to project.</t>
        </is>
      </c>
      <c r="K221" s="8" t="inlineStr">
        <is>
          <t>Partly</t>
        </is>
      </c>
      <c r="L221" s="9" t="inlineStr">
        <is>
          <t>No revenue, crew count or project size published.</t>
        </is>
      </c>
      <c r="M221" s="8" t="inlineStr">
        <is>
          <t>No</t>
        </is>
      </c>
      <c r="N221" s="9" t="inlineStr">
        <is>
          <t>No method statement published. The award is for execution.</t>
        </is>
      </c>
      <c r="O221" s="6" t="inlineStr">
        <is>
          <t>https://www.linkedin.com/in/shawn-mcalpin-b1260312/</t>
        </is>
      </c>
      <c r="P221" s="6" t="inlineStr"/>
      <c r="Q221" s="11">
        <f>IF(O221="","ADD LINKEDIN","ok")</f>
        <v/>
      </c>
      <c r="R221" s="6" t="inlineStr">
        <is>
          <t>https://burtonconstruction.com/</t>
        </is>
      </c>
      <c r="S221" s="9" t="inlineStr">
        <is>
          <t>It does not state its self-perform scope, so whether it owns concrete crews is unconfirmed.</t>
        </is>
      </c>
      <c r="T221" s="6" t="inlineStr">
        <is>
          <t>YES</t>
        </is>
      </c>
      <c r="U221" s="9" t="inlineStr">
        <is>
          <t>LinkedIn headline: CEO, Burton Construction. Katy, Texas.</t>
        </is>
      </c>
      <c r="V221" s="6" t="inlineStr"/>
      <c r="W221" s="6" t="inlineStr"/>
      <c r="X221" s="6" t="inlineStr"/>
      <c r="Y221" s="6" t="inlineStr"/>
      <c r="Z221" s="6" t="inlineStr">
        <is>
          <t>(281) 313-5055</t>
        </is>
      </c>
      <c r="AA221" s="6" t="inlineStr">
        <is>
          <t>Houston office</t>
        </is>
      </c>
      <c r="AB221" s="6" t="inlineStr">
        <is>
          <t>https://burtonconstruction.com/</t>
        </is>
      </c>
      <c r="AC221" s="6" t="inlineStr"/>
      <c r="AD221" s="6" t="inlineStr"/>
    </row>
    <row r="222">
      <c r="A222" s="12" t="inlineStr">
        <is>
          <t>Cullen Burton</t>
        </is>
      </c>
      <c r="B222" s="12" t="inlineStr">
        <is>
          <t>Burton Construction</t>
        </is>
      </c>
      <c r="C222" s="12" t="inlineStr">
        <is>
          <t>President</t>
        </is>
      </c>
      <c r="D222" s="13" t="inlineStr">
        <is>
          <t>Builds the wall, not the house</t>
        </is>
      </c>
      <c r="E222" s="14" t="n">
        <v>2</v>
      </c>
      <c r="F222" s="12" t="inlineStr">
        <is>
          <t>Builds the wall</t>
        </is>
      </c>
      <c r="G222" s="12" t="inlineStr">
        <is>
          <t>Houston, with Austin, San Antonio and Phoenix</t>
        </is>
      </c>
      <c r="H222" s="12" t="inlineStr">
        <is>
          <t>Founded 2004, with multifamily in its published portfolio</t>
        </is>
      </c>
      <c r="I222" s="14" t="inlineStr">
        <is>
          <t>Partly</t>
        </is>
      </c>
      <c r="J222" s="15" t="inlineStr">
        <is>
          <t>Work across four metros. Buildings differ project to project.</t>
        </is>
      </c>
      <c r="K222" s="14" t="inlineStr">
        <is>
          <t>Partly</t>
        </is>
      </c>
      <c r="L222" s="15" t="inlineStr">
        <is>
          <t>No revenue, crew count or project size published.</t>
        </is>
      </c>
      <c r="M222" s="14" t="inlineStr">
        <is>
          <t>No</t>
        </is>
      </c>
      <c r="N222" s="15" t="inlineStr">
        <is>
          <t>No method statement published. The award is for execution.</t>
        </is>
      </c>
      <c r="O222" s="10" t="inlineStr"/>
      <c r="P222" s="12" t="inlineStr"/>
      <c r="Q222" s="16">
        <f>IF(O222="","ADD LINKEDIN","ok")</f>
        <v/>
      </c>
      <c r="R222" s="12" t="inlineStr">
        <is>
          <t>https://burtonconstruction.com/</t>
        </is>
      </c>
      <c r="S222" s="15" t="inlineStr">
        <is>
          <t>It does not state its self-perform scope, so whether it owns concrete crews is unconfirmed.</t>
        </is>
      </c>
      <c r="T222" s="12" t="inlineStr">
        <is>
          <t>YES</t>
        </is>
      </c>
      <c r="U222" s="15" t="inlineStr"/>
      <c r="V222" s="12" t="inlineStr">
        <is>
          <t>https://burtonconstruction.com/leadership/</t>
        </is>
      </c>
      <c r="W222" s="12" t="inlineStr"/>
      <c r="X222" s="12" t="inlineStr"/>
      <c r="Y222" s="12" t="inlineStr"/>
      <c r="Z222" s="12" t="inlineStr">
        <is>
          <t>(281) 313-5055</t>
        </is>
      </c>
      <c r="AA222" s="12" t="inlineStr">
        <is>
          <t>Houston office</t>
        </is>
      </c>
      <c r="AB222" s="12" t="inlineStr">
        <is>
          <t>https://burtonconstruction.com/</t>
        </is>
      </c>
      <c r="AC222" s="12" t="inlineStr"/>
      <c r="AD222" s="12" t="inlineStr"/>
    </row>
    <row r="223">
      <c r="A223" s="6" t="inlineStr">
        <is>
          <t>J. Cameron Guinn</t>
        </is>
      </c>
      <c r="B223" s="6" t="inlineStr">
        <is>
          <t>HTX Concrete</t>
        </is>
      </c>
      <c r="C223" s="6" t="inlineStr">
        <is>
          <t>Vice President, Business Development</t>
        </is>
      </c>
      <c r="D223" s="7" t="inlineStr">
        <is>
          <t>Builds the wall, not the house</t>
        </is>
      </c>
      <c r="E223" s="8" t="n">
        <v>2</v>
      </c>
      <c r="F223" s="6" t="inlineStr">
        <is>
          <t>Builds the wall</t>
        </is>
      </c>
      <c r="G223" s="6" t="inlineStr">
        <is>
          <t>Houston, working Harris, Fort Bend and Brazoria</t>
        </is>
      </c>
      <c r="H223" s="6" t="inlineStr">
        <is>
          <t>Names a garden-style multifamily project on its own site</t>
        </is>
      </c>
      <c r="I223" s="8" t="inlineStr">
        <is>
          <t>Partly</t>
        </is>
      </c>
      <c r="J223" s="9" t="inlineStr">
        <is>
          <t>Commercial shells and paving recur across the metro.</t>
        </is>
      </c>
      <c r="K223" s="8" t="inlineStr">
        <is>
          <t>Partly</t>
        </is>
      </c>
      <c r="L223" s="9" t="inlineStr">
        <is>
          <t>12,000 square feet of tilt wall against 155,000 of paving on one job. No annual volume.</t>
        </is>
      </c>
      <c r="M223" s="8" t="inlineStr">
        <is>
          <t>No</t>
        </is>
      </c>
      <c r="N223" s="9" t="inlineStr">
        <is>
          <t>No method statement published.</t>
        </is>
      </c>
      <c r="O223" s="6" t="inlineStr">
        <is>
          <t>https://www.linkedin.com/in/j-cameron-guinn-2047686/</t>
        </is>
      </c>
      <c r="P223" s="6" t="inlineStr"/>
      <c r="Q223" s="11">
        <f>IF(O223="","ADD LINKEDIN","ok")</f>
        <v/>
      </c>
      <c r="R223" s="6" t="inlineStr">
        <is>
          <t>https://htxconcrete.com/</t>
        </is>
      </c>
      <c r="S223" s="9" t="inlineStr">
        <is>
          <t>Its published paving runs many times its tilt-wall square footage, and it publishes no annual volume.</t>
        </is>
      </c>
      <c r="T223" s="6" t="inlineStr"/>
      <c r="U223" s="9" t="inlineStr">
        <is>
          <t>LinkedIn headline: Vice President Business Development, HTX Concrete. Houston.</t>
        </is>
      </c>
      <c r="V223" s="6" t="inlineStr"/>
      <c r="W223" s="6" t="inlineStr"/>
      <c r="X223" s="6" t="inlineStr"/>
      <c r="Y223" s="6" t="inlineStr"/>
      <c r="Z223" s="6" t="inlineStr">
        <is>
          <t>(832) 930-7739</t>
        </is>
      </c>
      <c r="AA223" s="6" t="inlineStr"/>
      <c r="AB223" s="6" t="inlineStr">
        <is>
          <t>https://htxconcrete.com/</t>
        </is>
      </c>
      <c r="AC223" s="6" t="inlineStr"/>
      <c r="AD223" s="6" t="inlineStr"/>
    </row>
    <row r="224">
      <c r="A224" s="12" t="inlineStr">
        <is>
          <t>Tony Le</t>
        </is>
      </c>
      <c r="B224" s="12" t="inlineStr">
        <is>
          <t>HTX Concrete</t>
        </is>
      </c>
      <c r="C224" s="12" t="inlineStr">
        <is>
          <t>Chief Estimator</t>
        </is>
      </c>
      <c r="D224" s="13" t="inlineStr">
        <is>
          <t>Builds the wall, not the house</t>
        </is>
      </c>
      <c r="E224" s="14" t="n">
        <v>2</v>
      </c>
      <c r="F224" s="12" t="inlineStr">
        <is>
          <t>Builds the wall</t>
        </is>
      </c>
      <c r="G224" s="12" t="inlineStr">
        <is>
          <t>Houston, working Harris, Fort Bend and Brazoria</t>
        </is>
      </c>
      <c r="H224" s="12" t="inlineStr">
        <is>
          <t>Names a garden-style multifamily project on its own site</t>
        </is>
      </c>
      <c r="I224" s="14" t="inlineStr">
        <is>
          <t>Partly</t>
        </is>
      </c>
      <c r="J224" s="15" t="inlineStr">
        <is>
          <t>Commercial shells and paving recur across the metro.</t>
        </is>
      </c>
      <c r="K224" s="14" t="inlineStr">
        <is>
          <t>Partly</t>
        </is>
      </c>
      <c r="L224" s="15" t="inlineStr">
        <is>
          <t>12,000 square feet of tilt wall against 155,000 of paving on one job. No annual volume.</t>
        </is>
      </c>
      <c r="M224" s="14" t="inlineStr">
        <is>
          <t>No</t>
        </is>
      </c>
      <c r="N224" s="15" t="inlineStr">
        <is>
          <t>No method statement published.</t>
        </is>
      </c>
      <c r="O224" s="6" t="inlineStr">
        <is>
          <t>https://www.linkedin.com/in/tony-le-81ba0032/</t>
        </is>
      </c>
      <c r="P224" s="12" t="inlineStr"/>
      <c r="Q224" s="16">
        <f>IF(O224="","ADD LINKEDIN","ok")</f>
        <v/>
      </c>
      <c r="R224" s="12" t="inlineStr">
        <is>
          <t>https://htxconcrete.com/</t>
        </is>
      </c>
      <c r="S224" s="15" t="inlineStr">
        <is>
          <t>Its published paving runs many times its tilt-wall square footage, and it publishes no annual volume.</t>
        </is>
      </c>
      <c r="T224" s="12" t="inlineStr"/>
      <c r="U224" s="15" t="inlineStr">
        <is>
          <t>LinkedIn headline: Chief Estimator, HTX Concrete. Houston.</t>
        </is>
      </c>
      <c r="V224" s="12" t="inlineStr"/>
      <c r="W224" s="12" t="inlineStr"/>
      <c r="X224" s="12" t="inlineStr"/>
      <c r="Y224" s="12" t="inlineStr"/>
      <c r="Z224" s="12" t="inlineStr">
        <is>
          <t>(832) 930-7739</t>
        </is>
      </c>
      <c r="AA224" s="12" t="inlineStr"/>
      <c r="AB224" s="12" t="inlineStr">
        <is>
          <t>https://htxconcrete.com/</t>
        </is>
      </c>
      <c r="AC224" s="12" t="inlineStr"/>
      <c r="AD224" s="12" t="inlineStr"/>
    </row>
    <row r="225">
      <c r="A225" s="6" t="inlineStr">
        <is>
          <t>Trent Mitchell</t>
        </is>
      </c>
      <c r="B225" s="6" t="inlineStr">
        <is>
          <t>Silver Spur Concrete Contractors</t>
        </is>
      </c>
      <c r="C225" s="6" t="inlineStr">
        <is>
          <t>Owner</t>
        </is>
      </c>
      <c r="D225" s="7" t="inlineStr">
        <is>
          <t>Builds the wall, not the house</t>
        </is>
      </c>
      <c r="E225" s="8" t="n">
        <v>2</v>
      </c>
      <c r="F225" s="6" t="inlineStr">
        <is>
          <t>Builds the wall</t>
        </is>
      </c>
      <c r="G225" s="6" t="inlineStr">
        <is>
          <t>Tomball and north Houston, Harris and Montgomery</t>
        </is>
      </c>
      <c r="H225" s="6" t="inlineStr">
        <is>
          <t>Publishes a custom residential concrete line</t>
        </is>
      </c>
      <c r="I225" s="8" t="inlineStr">
        <is>
          <t>Partly</t>
        </is>
      </c>
      <c r="J225" s="9" t="inlineStr">
        <is>
          <t>Commercial concrete and metal buildings recur on the metro's north side.</t>
        </is>
      </c>
      <c r="K225" s="8" t="inlineStr">
        <is>
          <t>Partly</t>
        </is>
      </c>
      <c r="L225" s="9" t="inlineStr">
        <is>
          <t>No crew count, revenue or project size published.</t>
        </is>
      </c>
      <c r="M225" s="8" t="inlineStr">
        <is>
          <t>No</t>
        </is>
      </c>
      <c r="N225" s="9" t="inlineStr">
        <is>
          <t>No method statement published.</t>
        </is>
      </c>
      <c r="O225" s="10" t="inlineStr"/>
      <c r="P225" s="6" t="inlineStr"/>
      <c r="Q225" s="11">
        <f>IF(O225="","ADD LINKEDIN","ok")</f>
        <v/>
      </c>
      <c r="R225" s="6" t="inlineStr">
        <is>
          <t>https://silverspurconcrete.com/</t>
        </is>
      </c>
      <c r="S225" s="9" t="inlineStr">
        <is>
          <t>It pours engineered slabs in its residential line beside tilt-wall, but publishes no crew count, revenue or project size.</t>
        </is>
      </c>
      <c r="T225" s="6" t="inlineStr">
        <is>
          <t>YES</t>
        </is>
      </c>
      <c r="U225" s="9" t="inlineStr">
        <is>
          <t>Firm's about page. Work includes ExxonMobil World Headquarters and Baylor College of Medicine.</t>
        </is>
      </c>
      <c r="V225" s="6" t="inlineStr">
        <is>
          <t>https://www.silverspurconcrete.com/about-silver-spur-concrete-contractors/</t>
        </is>
      </c>
      <c r="W225" s="6" t="inlineStr"/>
      <c r="X225" s="6" t="inlineStr">
        <is>
          <t>https://www.silverspurconcrete.com/about-silver-spur-concrete-contractors/</t>
        </is>
      </c>
      <c r="Y225" s="6" t="inlineStr"/>
      <c r="Z225" s="6" t="inlineStr">
        <is>
          <t>(713) 482-7712</t>
        </is>
      </c>
      <c r="AA225" s="6" t="inlineStr"/>
      <c r="AB225" s="6" t="inlineStr">
        <is>
          <t>https://silverspurconcrete.com/</t>
        </is>
      </c>
      <c r="AC225" s="6" t="inlineStr"/>
      <c r="AD225" s="6" t="inlineStr"/>
    </row>
    <row r="226">
      <c r="A226" s="12" t="inlineStr">
        <is>
          <t>Scott Arnoldy</t>
        </is>
      </c>
      <c r="B226" s="12" t="inlineStr">
        <is>
          <t>Triten Real Estate Partners</t>
        </is>
      </c>
      <c r="C226" s="12" t="inlineStr">
        <is>
          <t>Chief Executive Officer, Founder</t>
        </is>
      </c>
      <c r="D226" s="13" t="inlineStr">
        <is>
          <t>Custom and hybrid job</t>
        </is>
      </c>
      <c r="E226" s="14" t="n">
        <v>2</v>
      </c>
      <c r="F226" s="12" t="inlineStr">
        <is>
          <t>Buys walls</t>
        </is>
      </c>
      <c r="G226" s="12" t="inlineStr">
        <is>
          <t>East End / Fort Bend, Harris County</t>
        </is>
      </c>
      <c r="H226" s="12" t="inlineStr">
        <is>
          <t>341 units at The Mill, 294 more under construction at Aliana</t>
        </is>
      </c>
      <c r="I226" s="14" t="inlineStr">
        <is>
          <t>Yes</t>
        </is>
      </c>
      <c r="J226" s="15" t="inlineStr">
        <is>
          <t>341 units delivered, 294 under construction.</t>
        </is>
      </c>
      <c r="K226" s="14" t="inlineStr">
        <is>
          <t>Partly</t>
        </is>
      </c>
      <c r="L226" s="15" t="inlineStr">
        <is>
          <t>294 units of three-story garden-style housing on one Fort Bend site. No yearly figure is published.</t>
        </is>
      </c>
      <c r="M226" s="14" t="inlineStr">
        <is>
          <t>No</t>
        </is>
      </c>
      <c r="N226" s="15" t="inlineStr">
        <is>
          <t>Six-story mass timber office planned, contingent on retail leasing. Missing from its own portfolio entry.</t>
        </is>
      </c>
      <c r="O226" s="6" t="inlineStr">
        <is>
          <t>https://www.linkedin.com/in/scottarnoldy/</t>
        </is>
      </c>
      <c r="P226" s="12" t="inlineStr"/>
      <c r="Q226" s="16">
        <f>IF(O226="","ADD LINKEDIN","ok")</f>
        <v/>
      </c>
      <c r="R226" s="12" t="inlineStr">
        <is>
          <t>https://www.tritenre.com/</t>
        </is>
      </c>
      <c r="S226" s="15" t="inlineStr">
        <is>
          <t>Its Aliana project is three-story garden-style housing on one site, but no source shows the timber office it planned in 2021 was built.</t>
        </is>
      </c>
      <c r="T226" s="12" t="inlineStr"/>
      <c r="U226" s="15" t="inlineStr">
        <is>
          <t>Founder and CEO, Triten. Houston.</t>
        </is>
      </c>
      <c r="V226" s="12" t="inlineStr"/>
      <c r="W226" s="12" t="inlineStr">
        <is>
          <t>https://www.linkedin.com/company/triten-real-estate-partners</t>
        </is>
      </c>
      <c r="X226" s="12" t="inlineStr">
        <is>
          <t>https://www.tritenre.com/team</t>
        </is>
      </c>
      <c r="Y226" s="12" t="inlineStr"/>
      <c r="Z226" s="12" t="inlineStr">
        <is>
          <t>(832) 214-5000</t>
        </is>
      </c>
      <c r="AA226" s="12" t="inlineStr"/>
      <c r="AB226" s="12" t="inlineStr">
        <is>
          <t>https://www.tritenre.com/</t>
        </is>
      </c>
      <c r="AC226" s="12" t="inlineStr"/>
      <c r="AD226" s="12" t="inlineStr"/>
    </row>
    <row r="227">
      <c r="A227" s="6" t="inlineStr">
        <is>
          <t>Larry Sloan</t>
        </is>
      </c>
      <c r="B227" s="6" t="inlineStr">
        <is>
          <t>Triten Real Estate Partners</t>
        </is>
      </c>
      <c r="C227" s="6" t="inlineStr">
        <is>
          <t>Partner, Chief Development Officer</t>
        </is>
      </c>
      <c r="D227" s="7" t="inlineStr">
        <is>
          <t>Custom and hybrid job</t>
        </is>
      </c>
      <c r="E227" s="8" t="n">
        <v>2</v>
      </c>
      <c r="F227" s="6" t="inlineStr">
        <is>
          <t>Buys walls</t>
        </is>
      </c>
      <c r="G227" s="6" t="inlineStr">
        <is>
          <t>East End / Fort Bend, Harris County</t>
        </is>
      </c>
      <c r="H227" s="6" t="inlineStr">
        <is>
          <t>341 units at The Mill, 294 more under construction at Aliana</t>
        </is>
      </c>
      <c r="I227" s="8" t="inlineStr">
        <is>
          <t>Yes</t>
        </is>
      </c>
      <c r="J227" s="9" t="inlineStr">
        <is>
          <t>341 units delivered, 294 under construction.</t>
        </is>
      </c>
      <c r="K227" s="8" t="inlineStr">
        <is>
          <t>Partly</t>
        </is>
      </c>
      <c r="L227" s="9" t="inlineStr">
        <is>
          <t>294 units of three-story garden-style housing on one Fort Bend site. No yearly figure is published.</t>
        </is>
      </c>
      <c r="M227" s="8" t="inlineStr">
        <is>
          <t>No</t>
        </is>
      </c>
      <c r="N227" s="9" t="inlineStr">
        <is>
          <t>Six-story mass timber office planned, contingent on retail leasing. Missing from its own portfolio entry.</t>
        </is>
      </c>
      <c r="O227" s="6" t="inlineStr">
        <is>
          <t>https://www.linkedin.com/in/larry-sloan-894204b/</t>
        </is>
      </c>
      <c r="P227" s="6" t="inlineStr"/>
      <c r="Q227" s="11">
        <f>IF(O227="","ADD LINKEDIN","ok")</f>
        <v/>
      </c>
      <c r="R227" s="6" t="inlineStr">
        <is>
          <t>https://www.tritenre.com/</t>
        </is>
      </c>
      <c r="S227" s="9" t="inlineStr">
        <is>
          <t>Its Aliana project is three-story garden-style housing on one site, but no source shows the timber office it planned in 2021 was built.</t>
        </is>
      </c>
      <c r="T227" s="6" t="inlineStr"/>
      <c r="U227" s="9" t="inlineStr">
        <is>
          <t>Chief Development Officer, Triten. Houston. Left Midway as EVP, investment and development, November 2023.</t>
        </is>
      </c>
      <c r="V227" s="6" t="inlineStr"/>
      <c r="W227" s="6" t="inlineStr">
        <is>
          <t>https://www.linkedin.com/company/triten-real-estate-partners</t>
        </is>
      </c>
      <c r="X227" s="6" t="inlineStr">
        <is>
          <t>https://www.tritenre.com/team</t>
        </is>
      </c>
      <c r="Y227" s="6" t="inlineStr"/>
      <c r="Z227" s="6" t="inlineStr">
        <is>
          <t>(832) 214-5000</t>
        </is>
      </c>
      <c r="AA227" s="6" t="inlineStr"/>
      <c r="AB227" s="6" t="inlineStr">
        <is>
          <t>https://www.tritenre.com/</t>
        </is>
      </c>
      <c r="AC227" s="6" t="inlineStr"/>
      <c r="AD227" s="6" t="inlineStr"/>
    </row>
    <row r="228">
      <c r="A228" s="12" t="inlineStr">
        <is>
          <t>Brent Ozenbaugh</t>
        </is>
      </c>
      <c r="B228" s="12" t="inlineStr">
        <is>
          <t>Triten Real Estate Partners</t>
        </is>
      </c>
      <c r="C228" s="12" t="inlineStr">
        <is>
          <t>Partner, Chief Operating Officer</t>
        </is>
      </c>
      <c r="D228" s="13" t="inlineStr">
        <is>
          <t>Custom and hybrid job</t>
        </is>
      </c>
      <c r="E228" s="14" t="n">
        <v>2</v>
      </c>
      <c r="F228" s="12" t="inlineStr">
        <is>
          <t>Buys walls</t>
        </is>
      </c>
      <c r="G228" s="12" t="inlineStr">
        <is>
          <t>East End / Fort Bend, Harris County</t>
        </is>
      </c>
      <c r="H228" s="12" t="inlineStr">
        <is>
          <t>341 units at The Mill, 294 more under construction at Aliana</t>
        </is>
      </c>
      <c r="I228" s="14" t="inlineStr">
        <is>
          <t>Yes</t>
        </is>
      </c>
      <c r="J228" s="15" t="inlineStr">
        <is>
          <t>341 units delivered, 294 under construction.</t>
        </is>
      </c>
      <c r="K228" s="14" t="inlineStr">
        <is>
          <t>Partly</t>
        </is>
      </c>
      <c r="L228" s="15" t="inlineStr">
        <is>
          <t>294 units of three-story garden-style housing on one Fort Bend site. No yearly figure is published.</t>
        </is>
      </c>
      <c r="M228" s="14" t="inlineStr">
        <is>
          <t>No</t>
        </is>
      </c>
      <c r="N228" s="15" t="inlineStr">
        <is>
          <t>Six-story mass timber office planned, contingent on retail leasing. Missing from its own portfolio entry.</t>
        </is>
      </c>
      <c r="O228" s="6" t="inlineStr">
        <is>
          <t>https://www.linkedin.com/in/brent-ozenbaugh-b99872/</t>
        </is>
      </c>
      <c r="P228" s="12" t="inlineStr"/>
      <c r="Q228" s="16">
        <f>IF(O228="","ADD LINKEDIN","ok")</f>
        <v/>
      </c>
      <c r="R228" s="12" t="inlineStr">
        <is>
          <t>https://www.tritenre.com/</t>
        </is>
      </c>
      <c r="S228" s="15" t="inlineStr">
        <is>
          <t>Its Aliana project is three-story garden-style housing on one site, but no source shows the timber office it planned in 2021 was built.</t>
        </is>
      </c>
      <c r="T228" s="12" t="inlineStr"/>
      <c r="U228" s="15" t="inlineStr">
        <is>
          <t>COO, Triten. Greater Houston.</t>
        </is>
      </c>
      <c r="V228" s="12" t="inlineStr"/>
      <c r="W228" s="12" t="inlineStr">
        <is>
          <t>https://www.linkedin.com/company/triten-real-estate-partners</t>
        </is>
      </c>
      <c r="X228" s="12" t="inlineStr">
        <is>
          <t>https://www.tritenre.com/team</t>
        </is>
      </c>
      <c r="Y228" s="12" t="inlineStr"/>
      <c r="Z228" s="12" t="inlineStr">
        <is>
          <t>(832) 214-5000</t>
        </is>
      </c>
      <c r="AA228" s="12" t="inlineStr"/>
      <c r="AB228" s="12" t="inlineStr">
        <is>
          <t>https://www.tritenre.com/</t>
        </is>
      </c>
      <c r="AC228" s="12" t="inlineStr"/>
      <c r="AD228" s="12" t="inlineStr"/>
    </row>
    <row r="229">
      <c r="A229" s="6" t="inlineStr">
        <is>
          <t>Carter Bechtol</t>
        </is>
      </c>
      <c r="B229" s="6" t="inlineStr">
        <is>
          <t>Triten Real Estate Partners</t>
        </is>
      </c>
      <c r="C229" s="6" t="inlineStr">
        <is>
          <t>Partner, Head of Triten Residential</t>
        </is>
      </c>
      <c r="D229" s="7" t="inlineStr">
        <is>
          <t>Custom and hybrid job</t>
        </is>
      </c>
      <c r="E229" s="8" t="n">
        <v>2</v>
      </c>
      <c r="F229" s="6" t="inlineStr">
        <is>
          <t>Buys walls</t>
        </is>
      </c>
      <c r="G229" s="6" t="inlineStr">
        <is>
          <t>East End / Fort Bend, Harris County</t>
        </is>
      </c>
      <c r="H229" s="6" t="inlineStr">
        <is>
          <t>341 units at The Mill, 294 more under construction at Aliana</t>
        </is>
      </c>
      <c r="I229" s="8" t="inlineStr">
        <is>
          <t>Yes</t>
        </is>
      </c>
      <c r="J229" s="9" t="inlineStr">
        <is>
          <t>341 units delivered, 294 under construction.</t>
        </is>
      </c>
      <c r="K229" s="8" t="inlineStr">
        <is>
          <t>Partly</t>
        </is>
      </c>
      <c r="L229" s="9" t="inlineStr">
        <is>
          <t>294 units of three-story garden-style housing on one Fort Bend site. No yearly figure is published.</t>
        </is>
      </c>
      <c r="M229" s="8" t="inlineStr">
        <is>
          <t>No</t>
        </is>
      </c>
      <c r="N229" s="9" t="inlineStr">
        <is>
          <t>Six-story mass timber office planned, contingent on retail leasing. Missing from its own portfolio entry.</t>
        </is>
      </c>
      <c r="O229" s="10" t="inlineStr"/>
      <c r="P229" s="6">
        <f>HYPERLINK("https://www.linkedin.com/search/results/people/?keywords=Carter%20Bechtol%20Triten%20Real%20Estate%20Partners","search")</f>
        <v/>
      </c>
      <c r="Q229" s="11">
        <f>IF(O229="","ADD LINKEDIN","ok")</f>
        <v/>
      </c>
      <c r="R229" s="6" t="inlineStr">
        <is>
          <t>https://www.tritenre.com/</t>
        </is>
      </c>
      <c r="S229" s="9" t="inlineStr">
        <is>
          <t>Its Aliana project is three-story garden-style housing on one site, but no source shows the timber office it planned in 2021 was built.</t>
        </is>
      </c>
      <c r="T229" s="6" t="inlineStr"/>
      <c r="U229" s="9" t="inlineStr">
        <is>
          <t>Triten's bio page. Residential is the arm that would buy a repeated wall.</t>
        </is>
      </c>
      <c r="V229" s="6" t="inlineStr">
        <is>
          <t>https://www.tritenre.com/team/carter-becthol</t>
        </is>
      </c>
      <c r="W229" s="6" t="inlineStr">
        <is>
          <t>https://www.linkedin.com/company/triten-real-estate-partners</t>
        </is>
      </c>
      <c r="X229" s="6" t="inlineStr">
        <is>
          <t>https://www.tritenre.com/team</t>
        </is>
      </c>
      <c r="Y229" s="6" t="inlineStr"/>
      <c r="Z229" s="6" t="inlineStr">
        <is>
          <t>(832) 214-5000</t>
        </is>
      </c>
      <c r="AA229" s="6" t="inlineStr"/>
      <c r="AB229" s="6" t="inlineStr">
        <is>
          <t>https://www.tritenre.com/</t>
        </is>
      </c>
      <c r="AC229" s="6" t="inlineStr"/>
      <c r="AD229" s="6" t="inlineStr"/>
    </row>
    <row r="230">
      <c r="A230" s="12" t="inlineStr">
        <is>
          <t>Jim Lemming</t>
        </is>
      </c>
      <c r="B230" s="12" t="inlineStr">
        <is>
          <t>Partners in Building</t>
        </is>
      </c>
      <c r="C230" s="12" t="inlineStr">
        <is>
          <t>Chairman, formerly President and Chief Executive Officer until June 2026</t>
        </is>
      </c>
      <c r="D230" s="13" t="inlineStr">
        <is>
          <t>Custom and hybrid job</t>
        </is>
      </c>
      <c r="E230" s="14" t="n">
        <v>1</v>
      </c>
      <c r="F230" s="12" t="inlineStr">
        <is>
          <t>Buys walls</t>
        </is>
      </c>
      <c r="G230" s="12" t="inlineStr">
        <is>
          <t>Houston, build on your lot</t>
        </is>
      </c>
      <c r="H230" s="12" t="inlineStr">
        <is>
          <t>286 closings in 2025 per BUILDER, Texas and Tennessee</t>
        </is>
      </c>
      <c r="I230" s="14" t="inlineStr">
        <is>
          <t>No</t>
        </is>
      </c>
      <c r="J230" s="15" t="inlineStr">
        <is>
          <t>Build on your lot, one-of-a-kind by its own description. No plan set to repeat.</t>
        </is>
      </c>
      <c r="K230" s="14" t="inlineStr">
        <is>
          <t>Yes</t>
        </is>
      </c>
      <c r="L230" s="15" t="inlineStr">
        <is>
          <t>286 closings in 2025 per BUILDER, company-wide.</t>
        </is>
      </c>
      <c r="M230" s="14" t="inlineStr">
        <is>
          <t>No</t>
        </is>
      </c>
      <c r="N230" s="15" t="inlineStr">
        <is>
          <t>No method evidence.</t>
        </is>
      </c>
      <c r="O230" s="10" t="inlineStr"/>
      <c r="P230" s="12">
        <f>HYPERLINK("https://www.linkedin.com/search/results/people/?keywords=Jim%20Lemming%20Partners%20in%20Building","search")</f>
        <v/>
      </c>
      <c r="Q230" s="16">
        <f>IF(O230="","ADD LINKEDIN","ok")</f>
        <v/>
      </c>
      <c r="R230" s="12" t="inlineStr">
        <is>
          <t>https://partnersinbuilding.com/</t>
        </is>
      </c>
      <c r="S230" s="15" t="inlineStr">
        <is>
          <t>Every house is one-of-a-kind by its own description, so no plan set repeats, but it has a vice president of purchasing.</t>
        </is>
      </c>
      <c r="T230" s="12" t="inlineStr"/>
      <c r="U230" s="15" t="inlineStr">
        <is>
          <t>HousingWire, 15 June 2026.</t>
        </is>
      </c>
      <c r="V230" s="12" t="inlineStr">
        <is>
          <t>https://www.housingwire.com/articles/partners-building-succession-plan/</t>
        </is>
      </c>
      <c r="W230" s="12" t="inlineStr"/>
      <c r="X230" s="12" t="inlineStr"/>
      <c r="Y230" s="12" t="inlineStr"/>
      <c r="Z230" s="12" t="inlineStr">
        <is>
          <t>(713) 937-1121</t>
        </is>
      </c>
      <c r="AA230" s="12" t="inlineStr">
        <is>
          <t>Houston office, corporate</t>
        </is>
      </c>
      <c r="AB230" s="12" t="inlineStr">
        <is>
          <t>https://partnersinbuilding.com/</t>
        </is>
      </c>
      <c r="AC230" s="12" t="inlineStr"/>
      <c r="AD230" s="12" t="inlineStr"/>
    </row>
    <row r="231">
      <c r="A231" s="6" t="inlineStr">
        <is>
          <t>Dewey Hennessee</t>
        </is>
      </c>
      <c r="B231" s="6" t="inlineStr">
        <is>
          <t>Partners in Building</t>
        </is>
      </c>
      <c r="C231" s="6" t="inlineStr">
        <is>
          <t>Vice President of Purchasing</t>
        </is>
      </c>
      <c r="D231" s="7" t="inlineStr">
        <is>
          <t>Custom and hybrid job</t>
        </is>
      </c>
      <c r="E231" s="8" t="n">
        <v>1</v>
      </c>
      <c r="F231" s="6" t="inlineStr">
        <is>
          <t>Buys walls</t>
        </is>
      </c>
      <c r="G231" s="6" t="inlineStr">
        <is>
          <t>Houston, build on your lot</t>
        </is>
      </c>
      <c r="H231" s="6" t="inlineStr">
        <is>
          <t>286 closings in 2025 per BUILDER, Texas and Tennessee</t>
        </is>
      </c>
      <c r="I231" s="8" t="inlineStr">
        <is>
          <t>No</t>
        </is>
      </c>
      <c r="J231" s="9" t="inlineStr">
        <is>
          <t>Build on your lot, one-of-a-kind by its own description. No plan set to repeat.</t>
        </is>
      </c>
      <c r="K231" s="8" t="inlineStr">
        <is>
          <t>Yes</t>
        </is>
      </c>
      <c r="L231" s="9" t="inlineStr">
        <is>
          <t>286 closings in 2025 per BUILDER, company-wide.</t>
        </is>
      </c>
      <c r="M231" s="8" t="inlineStr">
        <is>
          <t>No</t>
        </is>
      </c>
      <c r="N231" s="9" t="inlineStr">
        <is>
          <t>No method evidence.</t>
        </is>
      </c>
      <c r="O231" s="6" t="inlineStr">
        <is>
          <t>https://www.linkedin.com/in/dewey-hennessee-gmb-caps-cgp-95418531</t>
        </is>
      </c>
      <c r="P231" s="6" t="inlineStr"/>
      <c r="Q231" s="11">
        <f>IF(O231="","ADD LINKEDIN","ok")</f>
        <v/>
      </c>
      <c r="R231" s="6" t="inlineStr">
        <is>
          <t>https://partnersinbuilding.com/</t>
        </is>
      </c>
      <c r="S231" s="9" t="inlineStr">
        <is>
          <t>Every house is one-of-a-kind by its own description, so no plan set repeats, but it has a vice president of purchasing.</t>
        </is>
      </c>
      <c r="T231" s="6" t="inlineStr">
        <is>
          <t>YES</t>
        </is>
      </c>
      <c r="U231" s="9" t="inlineStr">
        <is>
          <t>Indexed title at Partners in Building.</t>
        </is>
      </c>
      <c r="V231" s="6" t="inlineStr"/>
      <c r="W231" s="6" t="inlineStr"/>
      <c r="X231" s="6" t="inlineStr"/>
      <c r="Y231" s="6" t="inlineStr"/>
      <c r="Z231" s="6" t="inlineStr">
        <is>
          <t>(713) 937-1121</t>
        </is>
      </c>
      <c r="AA231" s="6" t="inlineStr">
        <is>
          <t>Houston office, corporate</t>
        </is>
      </c>
      <c r="AB231" s="6" t="inlineStr">
        <is>
          <t>https://partnersinbuilding.com/</t>
        </is>
      </c>
      <c r="AC231" s="6" t="inlineStr"/>
      <c r="AD231" s="6" t="inlineStr"/>
    </row>
    <row r="232">
      <c r="A232" s="12" t="inlineStr">
        <is>
          <t>Chris Lemming</t>
        </is>
      </c>
      <c r="B232" s="12" t="inlineStr">
        <is>
          <t>Partners in Building</t>
        </is>
      </c>
      <c r="C232" s="12" t="inlineStr">
        <is>
          <t>President, since June 2026</t>
        </is>
      </c>
      <c r="D232" s="13" t="inlineStr">
        <is>
          <t>Custom and hybrid job</t>
        </is>
      </c>
      <c r="E232" s="14" t="n">
        <v>1</v>
      </c>
      <c r="F232" s="12" t="inlineStr">
        <is>
          <t>Buys walls</t>
        </is>
      </c>
      <c r="G232" s="12" t="inlineStr">
        <is>
          <t>Houston, build on your lot</t>
        </is>
      </c>
      <c r="H232" s="12" t="inlineStr">
        <is>
          <t>286 closings in 2025 per BUILDER, Texas and Tennessee</t>
        </is>
      </c>
      <c r="I232" s="14" t="inlineStr">
        <is>
          <t>No</t>
        </is>
      </c>
      <c r="J232" s="15" t="inlineStr">
        <is>
          <t>Build on your lot, one-of-a-kind by its own description. No plan set to repeat.</t>
        </is>
      </c>
      <c r="K232" s="14" t="inlineStr">
        <is>
          <t>Yes</t>
        </is>
      </c>
      <c r="L232" s="15" t="inlineStr">
        <is>
          <t>286 closings in 2025 per BUILDER, company-wide.</t>
        </is>
      </c>
      <c r="M232" s="14" t="inlineStr">
        <is>
          <t>No</t>
        </is>
      </c>
      <c r="N232" s="15" t="inlineStr">
        <is>
          <t>No method evidence.</t>
        </is>
      </c>
      <c r="O232" s="10" t="inlineStr"/>
      <c r="P232" s="12">
        <f>HYPERLINK("https://www.linkedin.com/search/results/people/?keywords=Chris%20Lemming%20Partners%20in%20Building","search")</f>
        <v/>
      </c>
      <c r="Q232" s="16">
        <f>IF(O232="","ADD LINKEDIN","ok")</f>
        <v/>
      </c>
      <c r="R232" s="12" t="inlineStr">
        <is>
          <t>https://partnersinbuilding.com/</t>
        </is>
      </c>
      <c r="S232" s="15" t="inlineStr">
        <is>
          <t>Every house is one-of-a-kind by its own description, so no plan set repeats, but it has a vice president of purchasing.</t>
        </is>
      </c>
      <c r="T232" s="12" t="inlineStr"/>
      <c r="U232" s="15" t="inlineStr">
        <is>
          <t>HousingWire, 15 June 2026. Son of Jim Lemming.</t>
        </is>
      </c>
      <c r="V232" s="12" t="inlineStr">
        <is>
          <t>https://www.housingwire.com/articles/partners-building-succession-plan/</t>
        </is>
      </c>
      <c r="W232" s="12" t="inlineStr"/>
      <c r="X232" s="12" t="inlineStr"/>
      <c r="Y232" s="12" t="inlineStr"/>
      <c r="Z232" s="12" t="inlineStr">
        <is>
          <t>(713) 937-1121</t>
        </is>
      </c>
      <c r="AA232" s="12" t="inlineStr">
        <is>
          <t>Houston office, corporate</t>
        </is>
      </c>
      <c r="AB232" s="12" t="inlineStr">
        <is>
          <t>https://partnersinbuilding.com/</t>
        </is>
      </c>
      <c r="AC232" s="12" t="inlineStr"/>
      <c r="AD232" s="12" t="inlineStr"/>
    </row>
    <row r="233">
      <c r="A233" s="6" t="inlineStr">
        <is>
          <t>Dan Braun</t>
        </is>
      </c>
      <c r="B233" s="6" t="inlineStr">
        <is>
          <t>Braun Enterprises</t>
        </is>
      </c>
      <c r="C233" s="6" t="inlineStr">
        <is>
          <t>President</t>
        </is>
      </c>
      <c r="D233" s="7" t="inlineStr">
        <is>
          <t>Custom and hybrid job</t>
        </is>
      </c>
      <c r="E233" s="8" t="n">
        <v>2</v>
      </c>
      <c r="F233" s="6" t="inlineStr">
        <is>
          <t>Buys walls</t>
        </is>
      </c>
      <c r="G233" s="6" t="inlineStr">
        <is>
          <t>Houston, San Antonio and Austin</t>
        </is>
      </c>
      <c r="H233" s="6" t="inlineStr">
        <is>
          <t>Ground-up retail in the Heights and small flex industrial</t>
        </is>
      </c>
      <c r="I233" s="8" t="inlineStr">
        <is>
          <t>Partly</t>
        </is>
      </c>
      <c r="J233" s="9" t="inlineStr">
        <is>
          <t>Small retail buildings repeated across three cities.</t>
        </is>
      </c>
      <c r="K233" s="8" t="inlineStr">
        <is>
          <t>Partly</t>
        </is>
      </c>
      <c r="L233" s="9" t="inlineStr">
        <is>
          <t>One published building, 24,000 square feet. A printed wall would compete with tilt-wall.</t>
        </is>
      </c>
      <c r="M233" s="8" t="inlineStr">
        <is>
          <t>No</t>
        </is>
      </c>
      <c r="N233" s="9" t="inlineStr">
        <is>
          <t>No method evidence.</t>
        </is>
      </c>
      <c r="O233" s="6" t="inlineStr">
        <is>
          <t>https://www.linkedin.com/in/dan-braun-36451a15/</t>
        </is>
      </c>
      <c r="P233" s="6" t="inlineStr"/>
      <c r="Q233" s="11">
        <f>IF(O233="","ADD LINKEDIN","ok")</f>
        <v/>
      </c>
      <c r="R233" s="6" t="inlineStr">
        <is>
          <t>https://braunenterprises.com/</t>
        </is>
      </c>
      <c r="S233" s="9" t="inlineStr">
        <is>
          <t>Repeats small retail buildings across three Texas cities, but a printed wall would compete with tilt-wall.</t>
        </is>
      </c>
      <c r="T233" s="6" t="inlineStr"/>
      <c r="U233" s="9" t="inlineStr">
        <is>
          <t>Indexed title: President, Braun Enterprises.</t>
        </is>
      </c>
      <c r="V233" s="6" t="inlineStr"/>
      <c r="W233" s="6" t="inlineStr"/>
      <c r="X233" s="6" t="inlineStr"/>
      <c r="Y233" s="6" t="inlineStr"/>
      <c r="Z233" s="6" t="inlineStr">
        <is>
          <t>(713) 541-0066</t>
        </is>
      </c>
      <c r="AA233" s="6" t="inlineStr"/>
      <c r="AB233" s="6" t="inlineStr">
        <is>
          <t>https://braunenterprises.com/</t>
        </is>
      </c>
      <c r="AC233" s="6" t="inlineStr"/>
      <c r="AD233" s="6" t="inlineStr"/>
    </row>
    <row r="234">
      <c r="A234" s="12" t="inlineStr">
        <is>
          <t>Steve Radom</t>
        </is>
      </c>
      <c r="B234" s="12" t="inlineStr">
        <is>
          <t>Radom Capital</t>
        </is>
      </c>
      <c r="C234" s="12" t="inlineStr">
        <is>
          <t>Managing Principal</t>
        </is>
      </c>
      <c r="D234" s="13" t="inlineStr">
        <is>
          <t>Custom and hybrid job</t>
        </is>
      </c>
      <c r="E234" s="14" t="n">
        <v>1</v>
      </c>
      <c r="F234" s="12" t="inlineStr">
        <is>
          <t>Buys walls</t>
        </is>
      </c>
      <c r="G234" s="12" t="inlineStr">
        <is>
          <t>Heights / Montrose, Harris County</t>
        </is>
      </c>
      <c r="H234" s="12" t="inlineStr">
        <is>
          <t>$104.75M Montrose Collective financing, 2020</t>
        </is>
      </c>
      <c r="I234" s="14" t="inlineStr">
        <is>
          <t>Partly</t>
        </is>
      </c>
      <c r="J234" s="15" t="inlineStr">
        <is>
          <t>Fifteen projects in one district. 218 units at Clock Tower.</t>
        </is>
      </c>
      <c r="K234" s="14" t="inlineStr">
        <is>
          <t>No</t>
        </is>
      </c>
      <c r="L234" s="15" t="inlineStr">
        <is>
          <t>Adaptive reuse and retail. Every project is its own building.</t>
        </is>
      </c>
      <c r="M234" s="14" t="inlineStr">
        <is>
          <t>No</t>
        </is>
      </c>
      <c r="N234" s="15" t="inlineStr">
        <is>
          <t>No method on record.</t>
        </is>
      </c>
      <c r="O234" s="6" t="inlineStr">
        <is>
          <t>https://www.linkedin.com/in/steveradom/</t>
        </is>
      </c>
      <c r="P234" s="12" t="inlineStr"/>
      <c r="Q234" s="16">
        <f>IF(O234="","ADD LINKEDIN","ok")</f>
        <v/>
      </c>
      <c r="R234" s="12" t="inlineStr">
        <is>
          <t>https://www.radomcapital.com/</t>
        </is>
      </c>
      <c r="S234" s="15" t="inlineStr">
        <is>
          <t>Every project is its own adaptive reuse or retail building, but its architect, Michael Hsu, also drew ICON's printed homes at Mueller.</t>
        </is>
      </c>
      <c r="T234" s="12" t="inlineStr"/>
      <c r="U234" s="15" t="inlineStr"/>
      <c r="V234" s="12" t="inlineStr"/>
      <c r="W234" s="12" t="inlineStr">
        <is>
          <t>https://www.linkedin.com/company/radom-capital-llc</t>
        </is>
      </c>
      <c r="X234" s="12" t="inlineStr">
        <is>
          <t>https://www.radomcapital.com/team</t>
        </is>
      </c>
      <c r="Y234" s="12" t="inlineStr"/>
      <c r="Z234" s="12" t="inlineStr">
        <is>
          <t>(713) 783-4444</t>
        </is>
      </c>
      <c r="AA234" s="12" t="inlineStr"/>
      <c r="AB234" s="12" t="inlineStr">
        <is>
          <t>https://www.radomcapital.com/</t>
        </is>
      </c>
      <c r="AC234" s="12" t="inlineStr"/>
      <c r="AD234" s="12" t="inlineStr"/>
    </row>
    <row r="235">
      <c r="A235" s="6" t="inlineStr">
        <is>
          <t>Barton Kelly</t>
        </is>
      </c>
      <c r="B235" s="6" t="inlineStr">
        <is>
          <t>Radom Capital</t>
        </is>
      </c>
      <c r="C235" s="6" t="inlineStr">
        <is>
          <t>Principal</t>
        </is>
      </c>
      <c r="D235" s="7" t="inlineStr">
        <is>
          <t>Custom and hybrid job</t>
        </is>
      </c>
      <c r="E235" s="8" t="n">
        <v>1</v>
      </c>
      <c r="F235" s="6" t="inlineStr">
        <is>
          <t>Buys walls</t>
        </is>
      </c>
      <c r="G235" s="6" t="inlineStr">
        <is>
          <t>Heights / Montrose, Harris County</t>
        </is>
      </c>
      <c r="H235" s="6" t="inlineStr">
        <is>
          <t>$104.75M Montrose Collective financing, 2020</t>
        </is>
      </c>
      <c r="I235" s="8" t="inlineStr">
        <is>
          <t>Partly</t>
        </is>
      </c>
      <c r="J235" s="9" t="inlineStr">
        <is>
          <t>Fifteen projects in one district. 218 units at Clock Tower.</t>
        </is>
      </c>
      <c r="K235" s="8" t="inlineStr">
        <is>
          <t>No</t>
        </is>
      </c>
      <c r="L235" s="9" t="inlineStr">
        <is>
          <t>Adaptive reuse and retail. Every project is its own building.</t>
        </is>
      </c>
      <c r="M235" s="8" t="inlineStr">
        <is>
          <t>No</t>
        </is>
      </c>
      <c r="N235" s="9" t="inlineStr">
        <is>
          <t>No method on record.</t>
        </is>
      </c>
      <c r="O235" s="6" t="inlineStr">
        <is>
          <t>https://www.linkedin.com/in/bartonk/</t>
        </is>
      </c>
      <c r="P235" s="6" t="inlineStr"/>
      <c r="Q235" s="11">
        <f>IF(O235="","ADD LINKEDIN","ok")</f>
        <v/>
      </c>
      <c r="R235" s="6" t="inlineStr">
        <is>
          <t>https://www.radomcapital.com/</t>
        </is>
      </c>
      <c r="S235" s="9" t="inlineStr">
        <is>
          <t>Every project is its own adaptive reuse or retail building, but its architect, Michael Hsu, also drew ICON's printed homes at Mueller.</t>
        </is>
      </c>
      <c r="T235" s="6" t="inlineStr"/>
      <c r="U235" s="9" t="inlineStr">
        <is>
          <t>Vice President, Radom Capital. Houston. Team page says Principal. The titles conflict.</t>
        </is>
      </c>
      <c r="V235" s="6" t="inlineStr"/>
      <c r="W235" s="6" t="inlineStr">
        <is>
          <t>https://www.linkedin.com/company/radom-capital-llc</t>
        </is>
      </c>
      <c r="X235" s="6" t="inlineStr">
        <is>
          <t>https://www.radomcapital.com/team</t>
        </is>
      </c>
      <c r="Y235" s="6" t="inlineStr"/>
      <c r="Z235" s="6" t="inlineStr">
        <is>
          <t>(713) 783-4444</t>
        </is>
      </c>
      <c r="AA235" s="6" t="inlineStr"/>
      <c r="AB235" s="6" t="inlineStr">
        <is>
          <t>https://www.radomcapital.com/</t>
        </is>
      </c>
      <c r="AC235" s="6" t="inlineStr"/>
      <c r="AD235" s="6" t="inlineStr"/>
    </row>
    <row r="236">
      <c r="A236" s="12" t="inlineStr">
        <is>
          <t>Evan Peterson</t>
        </is>
      </c>
      <c r="B236" s="12" t="inlineStr">
        <is>
          <t>Radom Capital</t>
        </is>
      </c>
      <c r="C236" s="12" t="inlineStr">
        <is>
          <t>Principal</t>
        </is>
      </c>
      <c r="D236" s="13" t="inlineStr">
        <is>
          <t>Custom and hybrid job</t>
        </is>
      </c>
      <c r="E236" s="14" t="n">
        <v>1</v>
      </c>
      <c r="F236" s="12" t="inlineStr">
        <is>
          <t>Buys walls</t>
        </is>
      </c>
      <c r="G236" s="12" t="inlineStr">
        <is>
          <t>Heights / Montrose, Harris County</t>
        </is>
      </c>
      <c r="H236" s="12" t="inlineStr">
        <is>
          <t>$104.75M Montrose Collective financing, 2020</t>
        </is>
      </c>
      <c r="I236" s="14" t="inlineStr">
        <is>
          <t>Partly</t>
        </is>
      </c>
      <c r="J236" s="15" t="inlineStr">
        <is>
          <t>Fifteen projects in one district. 218 units at Clock Tower.</t>
        </is>
      </c>
      <c r="K236" s="14" t="inlineStr">
        <is>
          <t>No</t>
        </is>
      </c>
      <c r="L236" s="15" t="inlineStr">
        <is>
          <t>Adaptive reuse and retail. Every project is its own building.</t>
        </is>
      </c>
      <c r="M236" s="14" t="inlineStr">
        <is>
          <t>No</t>
        </is>
      </c>
      <c r="N236" s="15" t="inlineStr">
        <is>
          <t>No method on record.</t>
        </is>
      </c>
      <c r="O236" s="6" t="inlineStr">
        <is>
          <t>https://www.linkedin.com/in/evan-peterson-19656548/</t>
        </is>
      </c>
      <c r="P236" s="12" t="inlineStr"/>
      <c r="Q236" s="16">
        <f>IF(O236="","ADD LINKEDIN","ok")</f>
        <v/>
      </c>
      <c r="R236" s="12" t="inlineStr">
        <is>
          <t>https://www.radomcapital.com/</t>
        </is>
      </c>
      <c r="S236" s="15" t="inlineStr">
        <is>
          <t>Every project is its own adaptive reuse or retail building, but its architect, Michael Hsu, also drew ICON's printed homes at Mueller.</t>
        </is>
      </c>
      <c r="T236" s="12" t="inlineStr"/>
      <c r="U236" s="15" t="inlineStr">
        <is>
          <t>Principal, Radom Capital. Houston.</t>
        </is>
      </c>
      <c r="V236" s="12" t="inlineStr"/>
      <c r="W236" s="12" t="inlineStr">
        <is>
          <t>https://www.linkedin.com/company/radom-capital-llc</t>
        </is>
      </c>
      <c r="X236" s="12" t="inlineStr">
        <is>
          <t>https://www.radomcapital.com/team</t>
        </is>
      </c>
      <c r="Y236" s="12" t="inlineStr"/>
      <c r="Z236" s="12" t="inlineStr">
        <is>
          <t>(713) 783-4444</t>
        </is>
      </c>
      <c r="AA236" s="12" t="inlineStr"/>
      <c r="AB236" s="12" t="inlineStr">
        <is>
          <t>https://www.radomcapital.com/</t>
        </is>
      </c>
      <c r="AC236" s="12" t="inlineStr"/>
      <c r="AD236" s="12" t="inlineStr"/>
    </row>
    <row r="237">
      <c r="A237" s="6" t="inlineStr">
        <is>
          <t>Paul Coonrod</t>
        </is>
      </c>
      <c r="B237" s="6" t="inlineStr">
        <is>
          <t>Pagewood</t>
        </is>
      </c>
      <c r="C237" s="6" t="inlineStr">
        <is>
          <t>Founder and Managing Principal</t>
        </is>
      </c>
      <c r="D237" s="7" t="inlineStr">
        <is>
          <t>Custom and hybrid job</t>
        </is>
      </c>
      <c r="E237" s="8" t="n">
        <v>1</v>
      </c>
      <c r="F237" s="6" t="inlineStr">
        <is>
          <t>Buys walls</t>
        </is>
      </c>
      <c r="G237" s="6" t="inlineStr">
        <is>
          <t>Houston</t>
        </is>
      </c>
      <c r="H237" s="6" t="inlineStr">
        <is>
          <t>East Blocks phase one, 30,000 sf across two warehouses</t>
        </is>
      </c>
      <c r="I237" s="8" t="inlineStr">
        <is>
          <t>Partly</t>
        </is>
      </c>
      <c r="J237" s="9" t="inlineStr">
        <is>
          <t>One district plan. Every building is a one-off.</t>
        </is>
      </c>
      <c r="K237" s="8" t="inlineStr">
        <is>
          <t>No</t>
        </is>
      </c>
      <c r="L237" s="9" t="inlineStr">
        <is>
          <t>Rest of the district is one-offs. Its build-to-rent line is outside Houston.</t>
        </is>
      </c>
      <c r="M237" s="8" t="inlineStr">
        <is>
          <t>No</t>
        </is>
      </c>
      <c r="N237" s="9" t="inlineStr">
        <is>
          <t>Kept eighty-year-old warehouses that would have been cheaper to demolish, per the partner.</t>
        </is>
      </c>
      <c r="O237" s="10" t="inlineStr"/>
      <c r="P237" s="6">
        <f>HYPERLINK("https://www.linkedin.com/search/results/people/?keywords=Paul%20Coonrod%20Pagewood","search")</f>
        <v/>
      </c>
      <c r="Q237" s="11">
        <f>IF(O237="","ADD LINKEDIN","ok")</f>
        <v/>
      </c>
      <c r="R237" s="6" t="inlineStr">
        <is>
          <t>https://www.pagewood.com/</t>
        </is>
      </c>
      <c r="S237" s="9" t="inlineStr">
        <is>
          <t>East Blocks is one district plan of one-off buildings, and its build-to-rent line is outside Houston.</t>
        </is>
      </c>
      <c r="T237" s="6" t="inlineStr"/>
      <c r="U237" s="9" t="inlineStr"/>
      <c r="V237" s="6" t="inlineStr">
        <is>
          <t>https://www.pagewood.com/team</t>
        </is>
      </c>
      <c r="W237" s="6" t="inlineStr"/>
      <c r="X237" s="6" t="inlineStr"/>
      <c r="Y237" s="6" t="inlineStr"/>
      <c r="Z237" s="6" t="inlineStr">
        <is>
          <t>(713) 804-4000</t>
        </is>
      </c>
      <c r="AA237" s="6" t="inlineStr"/>
      <c r="AB237" s="6" t="inlineStr">
        <is>
          <t>https://www.pagewood.com/</t>
        </is>
      </c>
      <c r="AC237" s="6" t="inlineStr"/>
      <c r="AD237" s="6" t="inlineStr"/>
    </row>
    <row r="238">
      <c r="A238" s="12" t="inlineStr">
        <is>
          <t>Mat Volz</t>
        </is>
      </c>
      <c r="B238" s="12" t="inlineStr">
        <is>
          <t>Pagewood</t>
        </is>
      </c>
      <c r="C238" s="12" t="inlineStr">
        <is>
          <t>Managing Principal</t>
        </is>
      </c>
      <c r="D238" s="13" t="inlineStr">
        <is>
          <t>Custom and hybrid job</t>
        </is>
      </c>
      <c r="E238" s="14" t="n">
        <v>1</v>
      </c>
      <c r="F238" s="12" t="inlineStr">
        <is>
          <t>Buys walls</t>
        </is>
      </c>
      <c r="G238" s="12" t="inlineStr">
        <is>
          <t>Houston</t>
        </is>
      </c>
      <c r="H238" s="12" t="inlineStr">
        <is>
          <t>East Blocks phase one, 30,000 sf across two warehouses</t>
        </is>
      </c>
      <c r="I238" s="14" t="inlineStr">
        <is>
          <t>Partly</t>
        </is>
      </c>
      <c r="J238" s="15" t="inlineStr">
        <is>
          <t>One district plan. Every building is a one-off.</t>
        </is>
      </c>
      <c r="K238" s="14" t="inlineStr">
        <is>
          <t>No</t>
        </is>
      </c>
      <c r="L238" s="15" t="inlineStr">
        <is>
          <t>Rest of the district is one-offs. Its build-to-rent line is outside Houston.</t>
        </is>
      </c>
      <c r="M238" s="14" t="inlineStr">
        <is>
          <t>No</t>
        </is>
      </c>
      <c r="N238" s="15" t="inlineStr">
        <is>
          <t>Kept eighty-year-old warehouses that would have been cheaper to demolish, per the partner.</t>
        </is>
      </c>
      <c r="O238" s="6" t="inlineStr">
        <is>
          <t>https://www.linkedin.com/in/mathew-volz-14684850/</t>
        </is>
      </c>
      <c r="P238" s="12" t="inlineStr"/>
      <c r="Q238" s="16">
        <f>IF(O238="","ADD LINKEDIN","ok")</f>
        <v/>
      </c>
      <c r="R238" s="12" t="inlineStr">
        <is>
          <t>https://www.pagewood.com/</t>
        </is>
      </c>
      <c r="S238" s="15" t="inlineStr">
        <is>
          <t>East Blocks is one district plan of one-off buildings, and its build-to-rent line is outside Houston.</t>
        </is>
      </c>
      <c r="T238" s="12" t="inlineStr"/>
      <c r="U238" s="15" t="inlineStr">
        <is>
          <t>Indexed as Mathew Volz, Managing Principal. Team page spells it Mat.</t>
        </is>
      </c>
      <c r="V238" s="12" t="inlineStr">
        <is>
          <t>https://www.pagewood.com/team</t>
        </is>
      </c>
      <c r="W238" s="12" t="inlineStr"/>
      <c r="X238" s="12" t="inlineStr"/>
      <c r="Y238" s="12" t="inlineStr"/>
      <c r="Z238" s="12" t="inlineStr">
        <is>
          <t>(713) 804-4000</t>
        </is>
      </c>
      <c r="AA238" s="12" t="inlineStr"/>
      <c r="AB238" s="12" t="inlineStr">
        <is>
          <t>https://www.pagewood.com/</t>
        </is>
      </c>
      <c r="AC238" s="12" t="inlineStr"/>
      <c r="AD238" s="12" t="inlineStr"/>
    </row>
    <row r="239">
      <c r="A239" s="6" t="inlineStr">
        <is>
          <t>Preston Luster</t>
        </is>
      </c>
      <c r="B239" s="6" t="inlineStr">
        <is>
          <t>Pagewood</t>
        </is>
      </c>
      <c r="C239" s="6" t="inlineStr">
        <is>
          <t>Senior Construction Manager</t>
        </is>
      </c>
      <c r="D239" s="7" t="inlineStr">
        <is>
          <t>Custom and hybrid job</t>
        </is>
      </c>
      <c r="E239" s="8" t="n">
        <v>1</v>
      </c>
      <c r="F239" s="6" t="inlineStr">
        <is>
          <t>Buys walls</t>
        </is>
      </c>
      <c r="G239" s="6" t="inlineStr">
        <is>
          <t>Houston</t>
        </is>
      </c>
      <c r="H239" s="6" t="inlineStr">
        <is>
          <t>East Blocks phase one, 30,000 sf across two warehouses</t>
        </is>
      </c>
      <c r="I239" s="8" t="inlineStr">
        <is>
          <t>Partly</t>
        </is>
      </c>
      <c r="J239" s="9" t="inlineStr">
        <is>
          <t>One district plan. Every building is a one-off.</t>
        </is>
      </c>
      <c r="K239" s="8" t="inlineStr">
        <is>
          <t>No</t>
        </is>
      </c>
      <c r="L239" s="9" t="inlineStr">
        <is>
          <t>Rest of the district is one-offs. Its build-to-rent line is outside Houston.</t>
        </is>
      </c>
      <c r="M239" s="8" t="inlineStr">
        <is>
          <t>No</t>
        </is>
      </c>
      <c r="N239" s="9" t="inlineStr">
        <is>
          <t>Kept eighty-year-old warehouses that would have been cheaper to demolish, per the partner.</t>
        </is>
      </c>
      <c r="O239" s="10" t="inlineStr"/>
      <c r="P239" s="6">
        <f>HYPERLINK("https://www.linkedin.com/search/results/people/?keywords=Preston%20Luster%20Pagewood","search")</f>
        <v/>
      </c>
      <c r="Q239" s="11">
        <f>IF(O239="","ADD LINKEDIN","ok")</f>
        <v/>
      </c>
      <c r="R239" s="6" t="inlineStr">
        <is>
          <t>https://www.pagewood.com/</t>
        </is>
      </c>
      <c r="S239" s="9" t="inlineStr">
        <is>
          <t>East Blocks is one district plan of one-off buildings, and its build-to-rent line is outside Houston.</t>
        </is>
      </c>
      <c r="T239" s="6" t="inlineStr"/>
      <c r="U239" s="9" t="inlineStr"/>
      <c r="V239" s="6" t="inlineStr">
        <is>
          <t>https://www.pagewood.com/team</t>
        </is>
      </c>
      <c r="W239" s="6" t="inlineStr"/>
      <c r="X239" s="6" t="inlineStr"/>
      <c r="Y239" s="6" t="inlineStr"/>
      <c r="Z239" s="6" t="inlineStr">
        <is>
          <t>(713) 804-4000</t>
        </is>
      </c>
      <c r="AA239" s="6" t="inlineStr"/>
      <c r="AB239" s="6" t="inlineStr">
        <is>
          <t>https://www.pagewood.com/</t>
        </is>
      </c>
      <c r="AC239" s="6" t="inlineStr"/>
      <c r="AD239" s="6" t="inlineStr"/>
    </row>
    <row r="240">
      <c r="A240" s="12" t="inlineStr">
        <is>
          <t>Bradley Freels</t>
        </is>
      </c>
      <c r="B240" s="12" t="inlineStr">
        <is>
          <t>Midway</t>
        </is>
      </c>
      <c r="C240" s="12" t="inlineStr">
        <is>
          <t>Chairman and Chief Executive Officer</t>
        </is>
      </c>
      <c r="D240" s="13" t="inlineStr">
        <is>
          <t>Custom and hybrid job</t>
        </is>
      </c>
      <c r="E240" s="14" t="n">
        <v>1</v>
      </c>
      <c r="F240" s="12" t="inlineStr">
        <is>
          <t>Buys walls</t>
        </is>
      </c>
      <c r="G240" s="12" t="inlineStr">
        <is>
          <t>Houston HQ / East End, Harris County</t>
        </is>
      </c>
      <c r="H240" s="12" t="inlineStr">
        <is>
          <t>East River: 150 acres, 60 city blocks</t>
        </is>
      </c>
      <c r="I240" s="14" t="inlineStr">
        <is>
          <t>Partly</t>
        </is>
      </c>
      <c r="J240" s="15" t="inlineStr">
        <is>
          <t>60 city blocks on one site, phased over decades.</t>
        </is>
      </c>
      <c r="K240" s="14" t="inlineStr">
        <is>
          <t>No</t>
        </is>
      </c>
      <c r="L240" s="15" t="inlineStr">
        <is>
          <t>Mixed-use blocks. The buildings are one-offs.</t>
        </is>
      </c>
      <c r="M240" s="14" t="inlineStr">
        <is>
          <t>No</t>
        </is>
      </c>
      <c r="N240" s="15" t="inlineStr">
        <is>
          <t>No construction method on record.</t>
        </is>
      </c>
      <c r="O240" s="10" t="inlineStr"/>
      <c r="P240" s="12">
        <f>HYPERLINK("https://www.linkedin.com/search/results/people/?keywords=Bradley%20Freels%20Midway","search")</f>
        <v/>
      </c>
      <c r="Q240" s="16">
        <f>IF(O240="","ADD LINKEDIN","ok")</f>
        <v/>
      </c>
      <c r="R240" s="12" t="inlineStr">
        <is>
          <t>https://www.midway.team/</t>
        </is>
      </c>
      <c r="S240" s="15" t="inlineStr">
        <is>
          <t>East River is one site phased over decades, but its mixed-use buildings are one-offs, so there is no repeated unit to print.</t>
        </is>
      </c>
      <c r="T240" s="12" t="inlineStr"/>
      <c r="U240" s="15" t="inlineStr">
        <is>
          <t>Midway's people page.</t>
        </is>
      </c>
      <c r="V240" s="12" t="inlineStr">
        <is>
          <t>https://www.midway.team/our-people</t>
        </is>
      </c>
      <c r="W240" s="12" t="inlineStr">
        <is>
          <t>https://www.linkedin.com/company/midway</t>
        </is>
      </c>
      <c r="X240" s="12" t="inlineStr">
        <is>
          <t>https://www.midway.team/our-people</t>
        </is>
      </c>
      <c r="Y240" s="12" t="inlineStr"/>
      <c r="Z240" s="12" t="inlineStr">
        <is>
          <t>(713) 629-5200</t>
        </is>
      </c>
      <c r="AA240" s="12" t="inlineStr"/>
      <c r="AB240" s="12" t="inlineStr">
        <is>
          <t>https://www.midway.team/contact</t>
        </is>
      </c>
      <c r="AC240" s="12" t="inlineStr"/>
      <c r="AD240" s="12" t="inlineStr"/>
    </row>
    <row r="241">
      <c r="A241" s="6" t="inlineStr">
        <is>
          <t>David Hightower</t>
        </is>
      </c>
      <c r="B241" s="6" t="inlineStr">
        <is>
          <t>Midway</t>
        </is>
      </c>
      <c r="C241" s="6" t="inlineStr">
        <is>
          <t>Executive Vice President</t>
        </is>
      </c>
      <c r="D241" s="7" t="inlineStr">
        <is>
          <t>Custom and hybrid job</t>
        </is>
      </c>
      <c r="E241" s="8" t="n">
        <v>1</v>
      </c>
      <c r="F241" s="6" t="inlineStr">
        <is>
          <t>Buys walls</t>
        </is>
      </c>
      <c r="G241" s="6" t="inlineStr">
        <is>
          <t>Houston HQ / East End, Harris County</t>
        </is>
      </c>
      <c r="H241" s="6" t="inlineStr">
        <is>
          <t>East River: 150 acres, 60 city blocks</t>
        </is>
      </c>
      <c r="I241" s="8" t="inlineStr">
        <is>
          <t>Partly</t>
        </is>
      </c>
      <c r="J241" s="9" t="inlineStr">
        <is>
          <t>60 city blocks on one site, phased over decades.</t>
        </is>
      </c>
      <c r="K241" s="8" t="inlineStr">
        <is>
          <t>No</t>
        </is>
      </c>
      <c r="L241" s="9" t="inlineStr">
        <is>
          <t>Mixed-use blocks. The buildings are one-offs.</t>
        </is>
      </c>
      <c r="M241" s="8" t="inlineStr">
        <is>
          <t>No</t>
        </is>
      </c>
      <c r="N241" s="9" t="inlineStr">
        <is>
          <t>No construction method on record.</t>
        </is>
      </c>
      <c r="O241" s="6" t="inlineStr">
        <is>
          <t>https://www.linkedin.com/in/dahightower/</t>
        </is>
      </c>
      <c r="P241" s="6" t="inlineStr"/>
      <c r="Q241" s="11">
        <f>IF(O241="","ADD LINKEDIN","ok")</f>
        <v/>
      </c>
      <c r="R241" s="6" t="inlineStr">
        <is>
          <t>https://www.midway.team/</t>
        </is>
      </c>
      <c r="S241" s="9" t="inlineStr">
        <is>
          <t>East River is one site phased over decades, but its mixed-use buildings are one-offs, so there is no repeated unit to print.</t>
        </is>
      </c>
      <c r="T241" s="6" t="inlineStr"/>
      <c r="U241" s="9" t="inlineStr">
        <is>
          <t>Executive Vice President, Development, Midway Companies. Houston.</t>
        </is>
      </c>
      <c r="V241" s="6" t="inlineStr"/>
      <c r="W241" s="6" t="inlineStr">
        <is>
          <t>https://www.linkedin.com/company/midway</t>
        </is>
      </c>
      <c r="X241" s="6" t="inlineStr">
        <is>
          <t>https://www.midway.team/our-people</t>
        </is>
      </c>
      <c r="Y241" s="6" t="inlineStr"/>
      <c r="Z241" s="6" t="inlineStr">
        <is>
          <t>(713) 629-5200</t>
        </is>
      </c>
      <c r="AA241" s="6" t="inlineStr"/>
      <c r="AB241" s="6" t="inlineStr">
        <is>
          <t>https://www.midway.team/contact</t>
        </is>
      </c>
      <c r="AC241" s="6" t="inlineStr"/>
      <c r="AD241" s="6" t="inlineStr"/>
    </row>
    <row r="242">
      <c r="A242" s="12" t="inlineStr">
        <is>
          <t>Clark Thompson</t>
        </is>
      </c>
      <c r="B242" s="12" t="inlineStr">
        <is>
          <t>Midway</t>
        </is>
      </c>
      <c r="C242" s="12" t="inlineStr">
        <is>
          <t>Executive Vice President and General Counsel</t>
        </is>
      </c>
      <c r="D242" s="13" t="inlineStr">
        <is>
          <t>Custom and hybrid job</t>
        </is>
      </c>
      <c r="E242" s="14" t="n">
        <v>1</v>
      </c>
      <c r="F242" s="12" t="inlineStr">
        <is>
          <t>Buys walls</t>
        </is>
      </c>
      <c r="G242" s="12" t="inlineStr">
        <is>
          <t>Houston HQ / East End, Harris County</t>
        </is>
      </c>
      <c r="H242" s="12" t="inlineStr">
        <is>
          <t>East River: 150 acres, 60 city blocks</t>
        </is>
      </c>
      <c r="I242" s="14" t="inlineStr">
        <is>
          <t>Partly</t>
        </is>
      </c>
      <c r="J242" s="15" t="inlineStr">
        <is>
          <t>60 city blocks on one site, phased over decades.</t>
        </is>
      </c>
      <c r="K242" s="14" t="inlineStr">
        <is>
          <t>No</t>
        </is>
      </c>
      <c r="L242" s="15" t="inlineStr">
        <is>
          <t>Mixed-use blocks. The buildings are one-offs.</t>
        </is>
      </c>
      <c r="M242" s="14" t="inlineStr">
        <is>
          <t>No</t>
        </is>
      </c>
      <c r="N242" s="15" t="inlineStr">
        <is>
          <t>No construction method on record.</t>
        </is>
      </c>
      <c r="O242" s="10" t="inlineStr"/>
      <c r="P242" s="12">
        <f>HYPERLINK("https://www.linkedin.com/search/results/people/?keywords=Clark%20Thompson%20Midway","search")</f>
        <v/>
      </c>
      <c r="Q242" s="16">
        <f>IF(O242="","ADD LINKEDIN","ok")</f>
        <v/>
      </c>
      <c r="R242" s="12" t="inlineStr">
        <is>
          <t>https://www.midway.team/</t>
        </is>
      </c>
      <c r="S242" s="15" t="inlineStr">
        <is>
          <t>East River is one site phased over decades, but its mixed-use buildings are one-offs, so there is no repeated unit to print.</t>
        </is>
      </c>
      <c r="T242" s="12" t="inlineStr"/>
      <c r="U242" s="15" t="inlineStr"/>
      <c r="V242" s="12" t="inlineStr">
        <is>
          <t>https://www.midway.team/our-people</t>
        </is>
      </c>
      <c r="W242" s="12" t="inlineStr">
        <is>
          <t>https://www.linkedin.com/company/midway</t>
        </is>
      </c>
      <c r="X242" s="12" t="inlineStr">
        <is>
          <t>https://www.midway.team/our-people</t>
        </is>
      </c>
      <c r="Y242" s="12" t="inlineStr"/>
      <c r="Z242" s="12" t="inlineStr">
        <is>
          <t>(713) 629-5200</t>
        </is>
      </c>
      <c r="AA242" s="12" t="inlineStr"/>
      <c r="AB242" s="12" t="inlineStr">
        <is>
          <t>https://www.midway.team/contact</t>
        </is>
      </c>
      <c r="AC242" s="12" t="inlineStr"/>
      <c r="AD242" s="12" t="inlineStr"/>
    </row>
    <row r="243">
      <c r="A243" s="6" t="inlineStr">
        <is>
          <t>Rob Sigler</t>
        </is>
      </c>
      <c r="B243" s="6" t="inlineStr">
        <is>
          <t>Midway</t>
        </is>
      </c>
      <c r="C243" s="6" t="inlineStr">
        <is>
          <t>Executive Vice President, Construction, Investment and Development, Midway</t>
        </is>
      </c>
      <c r="D243" s="7" t="inlineStr">
        <is>
          <t>Custom and hybrid job</t>
        </is>
      </c>
      <c r="E243" s="8" t="n">
        <v>1</v>
      </c>
      <c r="F243" s="6" t="inlineStr">
        <is>
          <t>Buys walls</t>
        </is>
      </c>
      <c r="G243" s="6" t="inlineStr">
        <is>
          <t>Houston HQ / East End, Harris County</t>
        </is>
      </c>
      <c r="H243" s="6" t="inlineStr">
        <is>
          <t>East River: 150 acres, 60 city blocks</t>
        </is>
      </c>
      <c r="I243" s="8" t="inlineStr">
        <is>
          <t>Partly</t>
        </is>
      </c>
      <c r="J243" s="9" t="inlineStr">
        <is>
          <t>60 city blocks on one site, phased over decades.</t>
        </is>
      </c>
      <c r="K243" s="8" t="inlineStr">
        <is>
          <t>No</t>
        </is>
      </c>
      <c r="L243" s="9" t="inlineStr">
        <is>
          <t>Mixed-use blocks. The buildings are one-offs.</t>
        </is>
      </c>
      <c r="M243" s="8" t="inlineStr">
        <is>
          <t>No</t>
        </is>
      </c>
      <c r="N243" s="9" t="inlineStr">
        <is>
          <t>No construction method on record.</t>
        </is>
      </c>
      <c r="O243" s="6" t="inlineStr">
        <is>
          <t>https://www.linkedin.com/in/robsigler/</t>
        </is>
      </c>
      <c r="P243" s="6" t="inlineStr"/>
      <c r="Q243" s="11">
        <f>IF(O243="","ADD LINKEDIN","ok")</f>
        <v/>
      </c>
      <c r="R243" s="6" t="inlineStr">
        <is>
          <t>https://www.midway.team/</t>
        </is>
      </c>
      <c r="S243" s="9" t="inlineStr">
        <is>
          <t>East River is one site phased over decades, but its mixed-use buildings are one-offs, so there is no repeated unit to print.</t>
        </is>
      </c>
      <c r="T243" s="6" t="inlineStr">
        <is>
          <t>YES</t>
        </is>
      </c>
      <c r="U243" s="9" t="inlineStr">
        <is>
          <t>Headline and company line match the role.</t>
        </is>
      </c>
      <c r="V243" s="6" t="inlineStr"/>
      <c r="W243" s="6" t="inlineStr">
        <is>
          <t>https://www.linkedin.com/company/midway</t>
        </is>
      </c>
      <c r="X243" s="6" t="inlineStr">
        <is>
          <t>https://www.midway.team/our-people</t>
        </is>
      </c>
      <c r="Y243" s="6" t="inlineStr"/>
      <c r="Z243" s="6" t="inlineStr">
        <is>
          <t>(713) 629-5200</t>
        </is>
      </c>
      <c r="AA243" s="6" t="inlineStr"/>
      <c r="AB243" s="6" t="inlineStr">
        <is>
          <t>https://www.midway.team/contact</t>
        </is>
      </c>
      <c r="AC243" s="6" t="inlineStr"/>
      <c r="AD243" s="6" t="inlineStr"/>
    </row>
    <row r="244">
      <c r="A244" s="12" t="inlineStr">
        <is>
          <t>Anna Deans</t>
        </is>
      </c>
      <c r="B244" s="12" t="inlineStr">
        <is>
          <t>Midway</t>
        </is>
      </c>
      <c r="C244" s="12" t="inlineStr">
        <is>
          <t>Executive Vice President, Midway</t>
        </is>
      </c>
      <c r="D244" s="13" t="inlineStr">
        <is>
          <t>Custom and hybrid job</t>
        </is>
      </c>
      <c r="E244" s="14" t="n">
        <v>1</v>
      </c>
      <c r="F244" s="12" t="inlineStr">
        <is>
          <t>Buys walls</t>
        </is>
      </c>
      <c r="G244" s="12" t="inlineStr">
        <is>
          <t>Houston HQ / East End, Harris County</t>
        </is>
      </c>
      <c r="H244" s="12" t="inlineStr">
        <is>
          <t>East River: 150 acres, 60 city blocks</t>
        </is>
      </c>
      <c r="I244" s="14" t="inlineStr">
        <is>
          <t>Partly</t>
        </is>
      </c>
      <c r="J244" s="15" t="inlineStr">
        <is>
          <t>60 city blocks on one site, phased over decades.</t>
        </is>
      </c>
      <c r="K244" s="14" t="inlineStr">
        <is>
          <t>No</t>
        </is>
      </c>
      <c r="L244" s="15" t="inlineStr">
        <is>
          <t>Mixed-use blocks. The buildings are one-offs.</t>
        </is>
      </c>
      <c r="M244" s="14" t="inlineStr">
        <is>
          <t>No</t>
        </is>
      </c>
      <c r="N244" s="15" t="inlineStr">
        <is>
          <t>No construction method on record.</t>
        </is>
      </c>
      <c r="O244" s="6" t="inlineStr">
        <is>
          <t>https://www.linkedin.com/in/anna-deans-bbbab03/</t>
        </is>
      </c>
      <c r="P244" s="12" t="inlineStr"/>
      <c r="Q244" s="16">
        <f>IF(O244="","ADD LINKEDIN","ok")</f>
        <v/>
      </c>
      <c r="R244" s="12" t="inlineStr">
        <is>
          <t>https://www.midway.team/</t>
        </is>
      </c>
      <c r="S244" s="15" t="inlineStr">
        <is>
          <t>East River is one site phased over decades, but its mixed-use buildings are one-offs, so there is no repeated unit to print.</t>
        </is>
      </c>
      <c r="T244" s="12" t="inlineStr"/>
      <c r="U244" s="15" t="inlineStr"/>
      <c r="V244" s="12" t="inlineStr"/>
      <c r="W244" s="12" t="inlineStr">
        <is>
          <t>https://www.linkedin.com/company/midway</t>
        </is>
      </c>
      <c r="X244" s="12" t="inlineStr">
        <is>
          <t>https://www.midway.team/our-people</t>
        </is>
      </c>
      <c r="Y244" s="12" t="inlineStr"/>
      <c r="Z244" s="12" t="inlineStr">
        <is>
          <t>(713) 629-5200</t>
        </is>
      </c>
      <c r="AA244" s="12" t="inlineStr"/>
      <c r="AB244" s="12" t="inlineStr">
        <is>
          <t>https://www.midway.team/contact</t>
        </is>
      </c>
      <c r="AC244" s="12" t="inlineStr"/>
      <c r="AD244" s="12" t="inlineStr"/>
    </row>
    <row r="245">
      <c r="A245" s="6" t="inlineStr">
        <is>
          <t>Jon Deal</t>
        </is>
      </c>
      <c r="B245" s="6" t="inlineStr">
        <is>
          <t>The Deal Company (Sawyer Yards)</t>
        </is>
      </c>
      <c r="C245" s="6" t="inlineStr">
        <is>
          <t>Founder and Chief Executive Officer</t>
        </is>
      </c>
      <c r="D245" s="7" t="inlineStr">
        <is>
          <t>Custom and hybrid job</t>
        </is>
      </c>
      <c r="E245" s="8" t="n">
        <v>1</v>
      </c>
      <c r="F245" s="6" t="inlineStr">
        <is>
          <t>Buys walls</t>
        </is>
      </c>
      <c r="G245" s="6" t="inlineStr">
        <is>
          <t>Washington Corridor, Harris County</t>
        </is>
      </c>
      <c r="H245" s="6" t="inlineStr">
        <is>
          <t>55 acres, 27 buildings, 2M+ sf</t>
        </is>
      </c>
      <c r="I245" s="8" t="inlineStr">
        <is>
          <t>Partly</t>
        </is>
      </c>
      <c r="J245" s="9" t="inlineStr">
        <is>
          <t>27 buildings across 55 acres since 2005.</t>
        </is>
      </c>
      <c r="K245" s="8" t="inlineStr">
        <is>
          <t>No</t>
        </is>
      </c>
      <c r="L245" s="9" t="inlineStr">
        <is>
          <t>Conversions leave almost no new wall to print.</t>
        </is>
      </c>
      <c r="M245" s="8" t="inlineStr">
        <is>
          <t>No</t>
        </is>
      </c>
      <c r="N245" s="9" t="inlineStr">
        <is>
          <t>No method on record.</t>
        </is>
      </c>
      <c r="O245" s="10" t="inlineStr"/>
      <c r="P245" s="6">
        <f>HYPERLINK("https://www.linkedin.com/search/results/people/?keywords=Jon%20Deal%20The%20Deal%20Company","search")</f>
        <v/>
      </c>
      <c r="Q245" s="11">
        <f>IF(O245="","ADD LINKEDIN","ok")</f>
        <v/>
      </c>
      <c r="R245" s="6" t="inlineStr">
        <is>
          <t>https://www.dealco.net/</t>
        </is>
      </c>
      <c r="S245" s="9" t="inlineStr">
        <is>
          <t>Every project on record is a conversion of an industrial building, so almost no new wall is left to print.</t>
        </is>
      </c>
      <c r="T245" s="6" t="inlineStr"/>
      <c r="U245" s="9" t="inlineStr">
        <is>
          <t>Co-developer of Sawyer Yards.</t>
        </is>
      </c>
      <c r="V245" s="6" t="inlineStr">
        <is>
          <t>https://www.dealco.net/about/</t>
        </is>
      </c>
      <c r="W245" s="6" t="inlineStr"/>
      <c r="X245" s="6" t="inlineStr">
        <is>
          <t>https://www.dealco.net/about/</t>
        </is>
      </c>
      <c r="Y245" s="6" t="inlineStr"/>
      <c r="Z245" s="6" t="inlineStr">
        <is>
          <t>(713) 993-9823</t>
        </is>
      </c>
      <c r="AA245" s="6" t="inlineStr">
        <is>
          <t>office</t>
        </is>
      </c>
      <c r="AB245" s="6" t="inlineStr">
        <is>
          <t>https://www.dealco.net/</t>
        </is>
      </c>
      <c r="AC245" s="6" t="inlineStr"/>
      <c r="AD245" s="6" t="inlineStr"/>
    </row>
    <row r="246">
      <c r="A246" s="12" t="inlineStr">
        <is>
          <t>Randolph Wile</t>
        </is>
      </c>
      <c r="B246" s="12" t="inlineStr">
        <is>
          <t>Wile Interests</t>
        </is>
      </c>
      <c r="C246" s="12" t="inlineStr">
        <is>
          <t>Founder and President</t>
        </is>
      </c>
      <c r="D246" s="13" t="inlineStr">
        <is>
          <t>Custom and hybrid job</t>
        </is>
      </c>
      <c r="E246" s="14" t="n">
        <v>1</v>
      </c>
      <c r="F246" s="12" t="inlineStr">
        <is>
          <t>Buys walls</t>
        </is>
      </c>
      <c r="G246" s="12" t="inlineStr">
        <is>
          <t>Houston and Katy</t>
        </is>
      </c>
      <c r="H246" s="12" t="inlineStr">
        <is>
          <t>About 513,000 sq ft in the East Blocks first phase</t>
        </is>
      </c>
      <c r="I246" s="14" t="inlineStr">
        <is>
          <t>Partly</t>
        </is>
      </c>
      <c r="J246" s="15" t="inlineStr">
        <is>
          <t>Two different programs in two submarkets. No repeated unit.</t>
        </is>
      </c>
      <c r="K246" s="14" t="inlineStr">
        <is>
          <t>No</t>
        </is>
      </c>
      <c r="L246" s="15" t="inlineStr">
        <is>
          <t>Medical office and retail shells.</t>
        </is>
      </c>
      <c r="M246" s="14" t="inlineStr">
        <is>
          <t>No</t>
        </is>
      </c>
      <c r="N246" s="15" t="inlineStr">
        <is>
          <t>Its president is the one quoted on keeping the old warehouses rather than clearing the site.</t>
        </is>
      </c>
      <c r="O246" s="6" t="inlineStr">
        <is>
          <t>https://www.linkedin.com/in/randolph-wile/</t>
        </is>
      </c>
      <c r="P246" s="12" t="inlineStr"/>
      <c r="Q246" s="16">
        <f>IF(O246="","ADD LINKEDIN","ok")</f>
        <v/>
      </c>
      <c r="R246" s="12" t="inlineStr">
        <is>
          <t>https://www.wileinterests.com/</t>
        </is>
      </c>
      <c r="S246" s="15" t="inlineStr">
        <is>
          <t>Its medical office and retail shells and its warehouse conversion are two programs, so no unit repeats.</t>
        </is>
      </c>
      <c r="T246" s="12" t="inlineStr"/>
      <c r="U246" s="15" t="inlineStr">
        <is>
          <t>Indexed title: Wile Interests, Inc. The Real Deal, November 2023.</t>
        </is>
      </c>
      <c r="V246" s="12" t="inlineStr">
        <is>
          <t>https://therealdeal.com/texas/houston/2023/11/13/pagewood-wile-to-convert-eado-houston-warehouses/</t>
        </is>
      </c>
      <c r="W246" s="12" t="inlineStr"/>
      <c r="X246" s="12" t="inlineStr"/>
      <c r="Y246" s="12" t="inlineStr"/>
      <c r="Z246" s="12" t="inlineStr"/>
      <c r="AA246" s="12" t="inlineStr"/>
      <c r="AB246" s="12" t="inlineStr"/>
      <c r="AC246" s="12" t="inlineStr"/>
      <c r="AD246" s="12" t="inlineStr"/>
    </row>
    <row r="247">
      <c r="A247" s="6" t="inlineStr">
        <is>
          <t>Dougal A. Cameron</t>
        </is>
      </c>
      <c r="B247" s="6" t="inlineStr">
        <is>
          <t>Cameron Management</t>
        </is>
      </c>
      <c r="C247" s="6" t="inlineStr">
        <is>
          <t>President and Owner</t>
        </is>
      </c>
      <c r="D247" s="7" t="inlineStr">
        <is>
          <t>Custom and hybrid job</t>
        </is>
      </c>
      <c r="E247" s="8" t="n">
        <v>0</v>
      </c>
      <c r="F247" s="6" t="inlineStr">
        <is>
          <t>Buys walls</t>
        </is>
      </c>
      <c r="G247" s="6" t="inlineStr">
        <is>
          <t>Downtown Houston, Harris County</t>
        </is>
      </c>
      <c r="H247" s="6" t="inlineStr">
        <is>
          <t>$50M conversion stated in 2023, up to 100 units</t>
        </is>
      </c>
      <c r="I247" s="8" t="inlineStr">
        <is>
          <t>No</t>
        </is>
      </c>
      <c r="J247" s="9" t="inlineStr">
        <is>
          <t>Two towers, one conversion each. Nothing repeats.</t>
        </is>
      </c>
      <c r="K247" s="8" t="inlineStr">
        <is>
          <t>No</t>
        </is>
      </c>
      <c r="L247" s="9" t="inlineStr">
        <is>
          <t>Two 1927 and 1941 office towers converting to residential. No new exterior wall.</t>
        </is>
      </c>
      <c r="M247" s="8" t="inlineStr">
        <is>
          <t>No</t>
        </is>
      </c>
      <c r="N247" s="9" t="inlineStr">
        <is>
          <t>$50 million two-tower conversion planned, not shown surviving the 2024 sale. No method on record.</t>
        </is>
      </c>
      <c r="O247" s="10" t="inlineStr"/>
      <c r="P247" s="6">
        <f>HYPERLINK("https://www.linkedin.com/search/results/people/?keywords=Dougal%20A.%20Cameron%20Cameron%20Management","search")</f>
        <v/>
      </c>
      <c r="Q247" s="11">
        <f>IF(O247="","ADD LINKEDIN","ok")</f>
        <v/>
      </c>
      <c r="R247" s="6" t="inlineStr">
        <is>
          <t>https://cameronmanagement.com/</t>
        </is>
      </c>
      <c r="S247" s="9" t="inlineStr">
        <is>
          <t>It no longer owns the towers, and no source shows the conversion surviving the sale.</t>
        </is>
      </c>
      <c r="T247" s="6" t="inlineStr"/>
      <c r="U247" s="9" t="inlineStr">
        <is>
          <t>Founded the firm in 1995, after asset and project management at Hines.</t>
        </is>
      </c>
      <c r="V247" s="6" t="inlineStr">
        <is>
          <t>https://cameronmanagement.com/team_member/dougal-a-cameron</t>
        </is>
      </c>
      <c r="W247" s="6" t="inlineStr">
        <is>
          <t>https://www.linkedin.com/company/cameron-management</t>
        </is>
      </c>
      <c r="X247" s="6" t="inlineStr">
        <is>
          <t>https://cameronmanagement.com/about</t>
        </is>
      </c>
      <c r="Y247" s="6" t="inlineStr"/>
      <c r="Z247" s="6" t="inlineStr">
        <is>
          <t>(713) 224-1663</t>
        </is>
      </c>
      <c r="AA247" s="6" t="inlineStr"/>
      <c r="AB247" s="6" t="inlineStr">
        <is>
          <t>https://cameronmanagement.com/contact</t>
        </is>
      </c>
      <c r="AC247" s="6" t="inlineStr"/>
      <c r="AD247" s="6" t="inlineStr"/>
    </row>
    <row r="248">
      <c r="A248" s="12" t="inlineStr">
        <is>
          <t>William T. Dom</t>
        </is>
      </c>
      <c r="B248" s="12" t="inlineStr">
        <is>
          <t>Cameron Management</t>
        </is>
      </c>
      <c r="C248" s="12" t="inlineStr">
        <is>
          <t>Chief Operating Officer</t>
        </is>
      </c>
      <c r="D248" s="13" t="inlineStr">
        <is>
          <t>Custom and hybrid job</t>
        </is>
      </c>
      <c r="E248" s="14" t="n">
        <v>0</v>
      </c>
      <c r="F248" s="12" t="inlineStr">
        <is>
          <t>Buys walls</t>
        </is>
      </c>
      <c r="G248" s="12" t="inlineStr">
        <is>
          <t>Downtown Houston, Harris County</t>
        </is>
      </c>
      <c r="H248" s="12" t="inlineStr">
        <is>
          <t>$50M conversion stated in 2023, up to 100 units</t>
        </is>
      </c>
      <c r="I248" s="14" t="inlineStr">
        <is>
          <t>No</t>
        </is>
      </c>
      <c r="J248" s="15" t="inlineStr">
        <is>
          <t>Two towers, one conversion each. Nothing repeats.</t>
        </is>
      </c>
      <c r="K248" s="14" t="inlineStr">
        <is>
          <t>No</t>
        </is>
      </c>
      <c r="L248" s="15" t="inlineStr">
        <is>
          <t>Two 1927 and 1941 office towers converting to residential. No new exterior wall.</t>
        </is>
      </c>
      <c r="M248" s="14" t="inlineStr">
        <is>
          <t>No</t>
        </is>
      </c>
      <c r="N248" s="15" t="inlineStr">
        <is>
          <t>$50 million two-tower conversion planned, not shown surviving the 2024 sale. No method on record.</t>
        </is>
      </c>
      <c r="O248" s="10" t="inlineStr"/>
      <c r="P248" s="12">
        <f>HYPERLINK("https://www.linkedin.com/search/results/people/?keywords=William%20T.%20Dom%20Cameron%20Management","search")</f>
        <v/>
      </c>
      <c r="Q248" s="16">
        <f>IF(O248="","ADD LINKEDIN","ok")</f>
        <v/>
      </c>
      <c r="R248" s="12" t="inlineStr">
        <is>
          <t>https://cameronmanagement.com/</t>
        </is>
      </c>
      <c r="S248" s="15" t="inlineStr">
        <is>
          <t>It no longer owns the towers, and no source shows the conversion surviving the sale.</t>
        </is>
      </c>
      <c r="T248" s="12" t="inlineStr"/>
      <c r="U248" s="15" t="inlineStr">
        <is>
          <t>Partner since 2000. Formerly an asset manager at Hines.</t>
        </is>
      </c>
      <c r="V248" s="12" t="inlineStr">
        <is>
          <t>https://cameronmanagement.com/team_member/william-t-ted-dom</t>
        </is>
      </c>
      <c r="W248" s="12" t="inlineStr">
        <is>
          <t>https://www.linkedin.com/company/cameron-management</t>
        </is>
      </c>
      <c r="X248" s="12" t="inlineStr">
        <is>
          <t>https://cameronmanagement.com/about</t>
        </is>
      </c>
      <c r="Y248" s="12" t="inlineStr"/>
      <c r="Z248" s="12" t="inlineStr">
        <is>
          <t>(713) 224-1663</t>
        </is>
      </c>
      <c r="AA248" s="12" t="inlineStr"/>
      <c r="AB248" s="12" t="inlineStr">
        <is>
          <t>https://cameronmanagement.com/contact</t>
        </is>
      </c>
      <c r="AC248" s="12" t="inlineStr"/>
      <c r="AD248" s="12" t="inlineStr"/>
    </row>
    <row r="249">
      <c r="A249" s="6" t="inlineStr">
        <is>
          <t>David Kelley</t>
        </is>
      </c>
      <c r="B249" s="6" t="inlineStr">
        <is>
          <t>Concept Neighborhood</t>
        </is>
      </c>
      <c r="C249" s="6" t="inlineStr">
        <is>
          <t>Managing Partner, Projects and Finance</t>
        </is>
      </c>
      <c r="D249" s="7" t="inlineStr">
        <is>
          <t>Custom and hybrid job</t>
        </is>
      </c>
      <c r="E249" s="8" t="n">
        <v>0</v>
      </c>
      <c r="F249" s="6" t="inlineStr">
        <is>
          <t>Buys walls</t>
        </is>
      </c>
      <c r="G249" s="6" t="inlineStr">
        <is>
          <t>East End, Harris</t>
        </is>
      </c>
      <c r="H249" s="6" t="inlineStr">
        <is>
          <t>17 acres at The Plant, Second Ward</t>
        </is>
      </c>
      <c r="I249" s="8" t="inlineStr">
        <is>
          <t>No</t>
        </is>
      </c>
      <c r="J249" s="9" t="inlineStr">
        <is>
          <t>Eighty-year-old industrial buildings, each one different. No plan to repeat.</t>
        </is>
      </c>
      <c r="K249" s="8" t="inlineStr">
        <is>
          <t>No</t>
        </is>
      </c>
      <c r="L249" s="9" t="inlineStr">
        <is>
          <t>Conversion leaves little new wall. A printed element would be an addition.</t>
        </is>
      </c>
      <c r="M249" s="8" t="inlineStr">
        <is>
          <t>No</t>
        </is>
      </c>
      <c r="N249" s="9" t="inlineStr">
        <is>
          <t>Restored an 1890s building to open Axelrad. Adaptive reuse is not a new building method.</t>
        </is>
      </c>
      <c r="O249" s="6" t="inlineStr">
        <is>
          <t>https://www.linkedin.com/in/david-kelley-275240105/</t>
        </is>
      </c>
      <c r="P249" s="6" t="inlineStr"/>
      <c r="Q249" s="11">
        <f>IF(O249="","ADD LINKEDIN","ok")</f>
        <v/>
      </c>
      <c r="R249" s="6" t="inlineStr">
        <is>
          <t>https://www.conceptneighborhood.com/</t>
        </is>
      </c>
      <c r="S249" s="9" t="inlineStr">
        <is>
          <t>It converts eighty-year-old industrial buildings, each one different, so a printed element would be an addition.</t>
        </is>
      </c>
      <c r="T249" s="6" t="inlineStr"/>
      <c r="U249" s="9" t="inlineStr"/>
      <c r="V249" s="6" t="inlineStr">
        <is>
          <t>https://www.conceptneighborhood.com/team</t>
        </is>
      </c>
      <c r="W249" s="6" t="inlineStr"/>
      <c r="X249" s="6" t="inlineStr"/>
      <c r="Y249" s="6" t="inlineStr"/>
      <c r="Z249" s="6" t="inlineStr">
        <is>
          <t>(713) 821-7052</t>
        </is>
      </c>
      <c r="AA249" s="6" t="inlineStr"/>
      <c r="AB249" s="6" t="inlineStr">
        <is>
          <t>https://www.conceptneighborhood.com/</t>
        </is>
      </c>
      <c r="AC249" s="6" t="inlineStr"/>
      <c r="AD249" s="6" t="inlineStr"/>
    </row>
    <row r="250">
      <c r="A250" s="12" t="inlineStr">
        <is>
          <t>Jeffrey Kaplan</t>
        </is>
      </c>
      <c r="B250" s="12" t="inlineStr">
        <is>
          <t>Concept Neighborhood</t>
        </is>
      </c>
      <c r="C250" s="12" t="inlineStr">
        <is>
          <t>Managing Partner, Brokerage and Placemaking, co-founder of Axelrad</t>
        </is>
      </c>
      <c r="D250" s="13" t="inlineStr">
        <is>
          <t>Custom and hybrid job</t>
        </is>
      </c>
      <c r="E250" s="14" t="n">
        <v>0</v>
      </c>
      <c r="F250" s="12" t="inlineStr">
        <is>
          <t>Buys walls</t>
        </is>
      </c>
      <c r="G250" s="12" t="inlineStr">
        <is>
          <t>East End, Harris</t>
        </is>
      </c>
      <c r="H250" s="12" t="inlineStr">
        <is>
          <t>17 acres at The Plant, Second Ward</t>
        </is>
      </c>
      <c r="I250" s="14" t="inlineStr">
        <is>
          <t>No</t>
        </is>
      </c>
      <c r="J250" s="15" t="inlineStr">
        <is>
          <t>Eighty-year-old industrial buildings, each one different. No plan to repeat.</t>
        </is>
      </c>
      <c r="K250" s="14" t="inlineStr">
        <is>
          <t>No</t>
        </is>
      </c>
      <c r="L250" s="15" t="inlineStr">
        <is>
          <t>Conversion leaves little new wall. A printed element would be an addition.</t>
        </is>
      </c>
      <c r="M250" s="14" t="inlineStr">
        <is>
          <t>No</t>
        </is>
      </c>
      <c r="N250" s="15" t="inlineStr">
        <is>
          <t>Restored an 1890s building to open Axelrad. Adaptive reuse is not a new building method.</t>
        </is>
      </c>
      <c r="O250" s="6" t="inlineStr">
        <is>
          <t>https://www.linkedin.com/in/jeffrey-kaplan-71190150/</t>
        </is>
      </c>
      <c r="P250" s="12" t="inlineStr"/>
      <c r="Q250" s="16">
        <f>IF(O250="","ADD LINKEDIN","ok")</f>
        <v/>
      </c>
      <c r="R250" s="12" t="inlineStr">
        <is>
          <t>https://www.conceptneighborhood.com/</t>
        </is>
      </c>
      <c r="S250" s="15" t="inlineStr">
        <is>
          <t>It converts eighty-year-old industrial buildings, each one different, so a printed element would be an addition.</t>
        </is>
      </c>
      <c r="T250" s="12" t="inlineStr"/>
      <c r="U250" s="15" t="inlineStr"/>
      <c r="V250" s="12" t="inlineStr">
        <is>
          <t>https://www.conceptneighborhood.com/team</t>
        </is>
      </c>
      <c r="W250" s="12" t="inlineStr"/>
      <c r="X250" s="12" t="inlineStr"/>
      <c r="Y250" s="12" t="inlineStr"/>
      <c r="Z250" s="12" t="inlineStr">
        <is>
          <t>(713) 821-7052</t>
        </is>
      </c>
      <c r="AA250" s="12" t="inlineStr"/>
      <c r="AB250" s="12" t="inlineStr">
        <is>
          <t>https://www.conceptneighborhood.com/</t>
        </is>
      </c>
      <c r="AC250" s="12" t="inlineStr"/>
      <c r="AD250" s="12" t="inlineStr"/>
    </row>
    <row r="251">
      <c r="A251" s="6" t="inlineStr">
        <is>
          <t>Monte Large</t>
        </is>
      </c>
      <c r="B251" s="6" t="inlineStr">
        <is>
          <t>Concept Neighborhood</t>
        </is>
      </c>
      <c r="C251" s="6" t="inlineStr">
        <is>
          <t>Partner, Design and Placemaking</t>
        </is>
      </c>
      <c r="D251" s="7" t="inlineStr">
        <is>
          <t>Custom and hybrid job</t>
        </is>
      </c>
      <c r="E251" s="8" t="n">
        <v>0</v>
      </c>
      <c r="F251" s="6" t="inlineStr">
        <is>
          <t>Buys walls</t>
        </is>
      </c>
      <c r="G251" s="6" t="inlineStr">
        <is>
          <t>East End, Harris</t>
        </is>
      </c>
      <c r="H251" s="6" t="inlineStr">
        <is>
          <t>17 acres at The Plant, Second Ward</t>
        </is>
      </c>
      <c r="I251" s="8" t="inlineStr">
        <is>
          <t>No</t>
        </is>
      </c>
      <c r="J251" s="9" t="inlineStr">
        <is>
          <t>Eighty-year-old industrial buildings, each one different. No plan to repeat.</t>
        </is>
      </c>
      <c r="K251" s="8" t="inlineStr">
        <is>
          <t>No</t>
        </is>
      </c>
      <c r="L251" s="9" t="inlineStr">
        <is>
          <t>Conversion leaves little new wall. A printed element would be an addition.</t>
        </is>
      </c>
      <c r="M251" s="8" t="inlineStr">
        <is>
          <t>No</t>
        </is>
      </c>
      <c r="N251" s="9" t="inlineStr">
        <is>
          <t>Restored an 1890s building to open Axelrad. Adaptive reuse is not a new building method.</t>
        </is>
      </c>
      <c r="O251" s="6" t="inlineStr">
        <is>
          <t>https://www.linkedin.com/in/montelarge/</t>
        </is>
      </c>
      <c r="P251" s="6" t="inlineStr"/>
      <c r="Q251" s="11">
        <f>IF(O251="","ADD LINKEDIN","ok")</f>
        <v/>
      </c>
      <c r="R251" s="6" t="inlineStr">
        <is>
          <t>https://www.conceptneighborhood.com/</t>
        </is>
      </c>
      <c r="S251" s="9" t="inlineStr">
        <is>
          <t>It converts eighty-year-old industrial buildings, each one different, so a printed element would be an addition.</t>
        </is>
      </c>
      <c r="T251" s="6" t="inlineStr"/>
      <c r="U251" s="9" t="inlineStr"/>
      <c r="V251" s="6" t="inlineStr">
        <is>
          <t>https://www.conceptneighborhood.com/team</t>
        </is>
      </c>
      <c r="W251" s="6" t="inlineStr"/>
      <c r="X251" s="6" t="inlineStr"/>
      <c r="Y251" s="6" t="inlineStr"/>
      <c r="Z251" s="6" t="inlineStr">
        <is>
          <t>(713) 821-7052</t>
        </is>
      </c>
      <c r="AA251" s="6" t="inlineStr"/>
      <c r="AB251" s="6" t="inlineStr">
        <is>
          <t>https://www.conceptneighborhood.com/</t>
        </is>
      </c>
      <c r="AC251" s="6" t="inlineStr"/>
      <c r="AD251" s="6" t="inlineStr"/>
    </row>
    <row r="252">
      <c r="A252" s="12" t="inlineStr">
        <is>
          <t>Jeremy Roberts</t>
        </is>
      </c>
      <c r="B252" s="12" t="inlineStr">
        <is>
          <t>Concept Neighborhood</t>
        </is>
      </c>
      <c r="C252" s="12" t="inlineStr">
        <is>
          <t>Managing Partner, Projects and Legal</t>
        </is>
      </c>
      <c r="D252" s="13" t="inlineStr">
        <is>
          <t>Custom and hybrid job</t>
        </is>
      </c>
      <c r="E252" s="14" t="n">
        <v>0</v>
      </c>
      <c r="F252" s="12" t="inlineStr">
        <is>
          <t>Buys walls</t>
        </is>
      </c>
      <c r="G252" s="12" t="inlineStr">
        <is>
          <t>East End, Harris</t>
        </is>
      </c>
      <c r="H252" s="12" t="inlineStr">
        <is>
          <t>17 acres at The Plant, Second Ward</t>
        </is>
      </c>
      <c r="I252" s="14" t="inlineStr">
        <is>
          <t>No</t>
        </is>
      </c>
      <c r="J252" s="15" t="inlineStr">
        <is>
          <t>Eighty-year-old industrial buildings, each one different. No plan to repeat.</t>
        </is>
      </c>
      <c r="K252" s="14" t="inlineStr">
        <is>
          <t>No</t>
        </is>
      </c>
      <c r="L252" s="15" t="inlineStr">
        <is>
          <t>Conversion leaves little new wall. A printed element would be an addition.</t>
        </is>
      </c>
      <c r="M252" s="14" t="inlineStr">
        <is>
          <t>No</t>
        </is>
      </c>
      <c r="N252" s="15" t="inlineStr">
        <is>
          <t>Restored an 1890s building to open Axelrad. Adaptive reuse is not a new building method.</t>
        </is>
      </c>
      <c r="O252" s="6" t="inlineStr">
        <is>
          <t>https://www.linkedin.com/in/jeremyaaronroberts/</t>
        </is>
      </c>
      <c r="P252" s="12" t="inlineStr"/>
      <c r="Q252" s="16">
        <f>IF(O252="","ADD LINKEDIN","ok")</f>
        <v/>
      </c>
      <c r="R252" s="12" t="inlineStr">
        <is>
          <t>https://www.conceptneighborhood.com/</t>
        </is>
      </c>
      <c r="S252" s="15" t="inlineStr">
        <is>
          <t>It converts eighty-year-old industrial buildings, each one different, so a printed element would be an addition.</t>
        </is>
      </c>
      <c r="T252" s="12" t="inlineStr"/>
      <c r="U252" s="15" t="inlineStr"/>
      <c r="V252" s="12" t="inlineStr">
        <is>
          <t>https://www.conceptneighborhood.com/team</t>
        </is>
      </c>
      <c r="W252" s="12" t="inlineStr"/>
      <c r="X252" s="12" t="inlineStr"/>
      <c r="Y252" s="12" t="inlineStr"/>
      <c r="Z252" s="12" t="inlineStr">
        <is>
          <t>(713) 821-7052</t>
        </is>
      </c>
      <c r="AA252" s="12" t="inlineStr"/>
      <c r="AB252" s="12" t="inlineStr">
        <is>
          <t>https://www.conceptneighborhood.com/</t>
        </is>
      </c>
      <c r="AC252" s="12" t="inlineStr"/>
      <c r="AD252" s="12" t="inlineStr"/>
    </row>
    <row r="253">
      <c r="A253" s="6" t="inlineStr">
        <is>
          <t>Paul J. Romanowski</t>
        </is>
      </c>
      <c r="B253" s="6" t="inlineStr">
        <is>
          <t>D.R. Horton, Inc.</t>
        </is>
      </c>
      <c r="C253" s="6" t="inlineStr">
        <is>
          <t>President and Chief Executive Officer</t>
        </is>
      </c>
      <c r="D253" s="7" t="inlineStr">
        <is>
          <t>National builder</t>
        </is>
      </c>
      <c r="E253" s="8" t="n">
        <v>2</v>
      </c>
      <c r="F253" s="6" t="inlineStr">
        <is>
          <t>Buys walls</t>
        </is>
      </c>
      <c r="G253" s="6" t="inlineStr">
        <is>
          <t>Arlington HQ / Sugar Land, Richmond, Conroe</t>
        </is>
      </c>
      <c r="H253" s="6" t="inlineStr">
        <is>
          <t>4,925 Houston closings in 2025, second in the metro</t>
        </is>
      </c>
      <c r="I253" s="8" t="inlineStr">
        <is>
          <t>Yes</t>
        </is>
      </c>
      <c r="J253" s="9" t="inlineStr">
        <is>
          <t>65 Houston communities, 668 standing homes, one national plan library.</t>
        </is>
      </c>
      <c r="K253" s="8" t="inlineStr">
        <is>
          <t>No</t>
        </is>
      </c>
      <c r="L253" s="9" t="inlineStr">
        <is>
          <t>84,863 closings company-wide in fiscal 2025.</t>
        </is>
      </c>
      <c r="M253" s="8" t="inlineStr">
        <is>
          <t>Yes</t>
        </is>
      </c>
      <c r="N253" s="9" t="inlineStr">
        <is>
          <t>Invested in Apis Cor, maker of construction 3D printers, in March 2024. Amount undisclosed.</t>
        </is>
      </c>
      <c r="O253" s="10" t="inlineStr"/>
      <c r="P253" s="6">
        <f>HYPERLINK("https://www.linkedin.com/search/results/people/?keywords=Paul%20J.%20Romanowski%20D.R.%20Horton%2C%20Inc.","search")</f>
        <v/>
      </c>
      <c r="Q253" s="11">
        <f>IF(O253="","ADD LINKEDIN","ok")</f>
        <v/>
      </c>
      <c r="R253" s="6" t="inlineStr">
        <is>
          <t>https://www.drhorton.com/texas/houston</t>
        </is>
      </c>
      <c r="S253" s="9" t="inlineStr">
        <is>
          <t>It invested in Apis Cor, a maker of construction 3D printers, in March 2024, but it closed 84,863 homes company-wide in fiscal 2025.</t>
        </is>
      </c>
      <c r="T253" s="6" t="inlineStr"/>
      <c r="U253" s="9" t="inlineStr"/>
      <c r="V253" s="6" t="inlineStr">
        <is>
          <t>https://investor.drhorton.com/corporate-governance/executive-officers</t>
        </is>
      </c>
      <c r="W253" s="6" t="inlineStr"/>
      <c r="X253" s="6" t="inlineStr"/>
      <c r="Y253" s="6" t="inlineStr"/>
      <c r="Z253" s="6" t="inlineStr"/>
      <c r="AA253" s="6" t="inlineStr"/>
      <c r="AB253" s="6" t="inlineStr">
        <is>
          <t>https://www.drhorton.com/contact-us-page</t>
        </is>
      </c>
      <c r="AC253" s="6" t="inlineStr"/>
      <c r="AD253" s="6" t="inlineStr"/>
    </row>
    <row r="254">
      <c r="A254" s="12" t="inlineStr">
        <is>
          <t>Michael J. Murray</t>
        </is>
      </c>
      <c r="B254" s="12" t="inlineStr">
        <is>
          <t>D.R. Horton, Inc.</t>
        </is>
      </c>
      <c r="C254" s="12" t="inlineStr">
        <is>
          <t>Executive Vice President and Chief Operating Officer</t>
        </is>
      </c>
      <c r="D254" s="13" t="inlineStr">
        <is>
          <t>National builder</t>
        </is>
      </c>
      <c r="E254" s="14" t="n">
        <v>2</v>
      </c>
      <c r="F254" s="12" t="inlineStr">
        <is>
          <t>Buys walls</t>
        </is>
      </c>
      <c r="G254" s="12" t="inlineStr">
        <is>
          <t>Arlington HQ / Sugar Land, Richmond, Conroe</t>
        </is>
      </c>
      <c r="H254" s="12" t="inlineStr">
        <is>
          <t>4,925 Houston closings in 2025, second in the metro</t>
        </is>
      </c>
      <c r="I254" s="14" t="inlineStr">
        <is>
          <t>Yes</t>
        </is>
      </c>
      <c r="J254" s="15" t="inlineStr">
        <is>
          <t>65 Houston communities, 668 standing homes, one national plan library.</t>
        </is>
      </c>
      <c r="K254" s="14" t="inlineStr">
        <is>
          <t>No</t>
        </is>
      </c>
      <c r="L254" s="15" t="inlineStr">
        <is>
          <t>84,863 closings company-wide in fiscal 2025.</t>
        </is>
      </c>
      <c r="M254" s="14" t="inlineStr">
        <is>
          <t>Yes</t>
        </is>
      </c>
      <c r="N254" s="15" t="inlineStr">
        <is>
          <t>Invested in Apis Cor, maker of construction 3D printers, in March 2024. Amount undisclosed.</t>
        </is>
      </c>
      <c r="O254" s="10" t="inlineStr"/>
      <c r="P254" s="12">
        <f>HYPERLINK("https://www.linkedin.com/search/results/people/?keywords=Michael%20J.%20Murray%20D.R.%20Horton%2C%20Inc.","search")</f>
        <v/>
      </c>
      <c r="Q254" s="16">
        <f>IF(O254="","ADD LINKEDIN","ok")</f>
        <v/>
      </c>
      <c r="R254" s="12" t="inlineStr">
        <is>
          <t>https://www.drhorton.com/texas/houston</t>
        </is>
      </c>
      <c r="S254" s="15" t="inlineStr">
        <is>
          <t>It invested in Apis Cor, a maker of construction 3D printers, in March 2024, but it closed 84,863 homes company-wide in fiscal 2025.</t>
        </is>
      </c>
      <c r="T254" s="12" t="inlineStr"/>
      <c r="U254" s="15" t="inlineStr"/>
      <c r="V254" s="12" t="inlineStr">
        <is>
          <t>https://investor.drhorton.com/corporate-governance/executive-officers</t>
        </is>
      </c>
      <c r="W254" s="12" t="inlineStr"/>
      <c r="X254" s="12" t="inlineStr"/>
      <c r="Y254" s="12" t="inlineStr"/>
      <c r="Z254" s="12" t="inlineStr"/>
      <c r="AA254" s="12" t="inlineStr"/>
      <c r="AB254" s="12" t="inlineStr">
        <is>
          <t>https://www.drhorton.com/contact-us-page</t>
        </is>
      </c>
      <c r="AC254" s="12" t="inlineStr"/>
      <c r="AD254" s="12" t="inlineStr"/>
    </row>
    <row r="255">
      <c r="A255" s="6" t="inlineStr">
        <is>
          <t>Brad Conlon</t>
        </is>
      </c>
      <c r="B255" s="6" t="inlineStr">
        <is>
          <t>D.R. Horton, Inc.</t>
        </is>
      </c>
      <c r="C255" s="6" t="inlineStr">
        <is>
          <t>Senior Vice President of Business Development</t>
        </is>
      </c>
      <c r="D255" s="7" t="inlineStr">
        <is>
          <t>National builder</t>
        </is>
      </c>
      <c r="E255" s="8" t="n">
        <v>2</v>
      </c>
      <c r="F255" s="6" t="inlineStr">
        <is>
          <t>Buys walls</t>
        </is>
      </c>
      <c r="G255" s="6" t="inlineStr">
        <is>
          <t>Arlington HQ / Sugar Land, Richmond, Conroe</t>
        </is>
      </c>
      <c r="H255" s="6" t="inlineStr">
        <is>
          <t>4,925 Houston closings in 2025, second in the metro</t>
        </is>
      </c>
      <c r="I255" s="8" t="inlineStr">
        <is>
          <t>Yes</t>
        </is>
      </c>
      <c r="J255" s="9" t="inlineStr">
        <is>
          <t>65 Houston communities, 668 standing homes, one national plan library.</t>
        </is>
      </c>
      <c r="K255" s="8" t="inlineStr">
        <is>
          <t>No</t>
        </is>
      </c>
      <c r="L255" s="9" t="inlineStr">
        <is>
          <t>84,863 closings company-wide in fiscal 2025.</t>
        </is>
      </c>
      <c r="M255" s="8" t="inlineStr">
        <is>
          <t>Yes</t>
        </is>
      </c>
      <c r="N255" s="9" t="inlineStr">
        <is>
          <t>Invested in Apis Cor, maker of construction 3D printers, in March 2024. Amount undisclosed.</t>
        </is>
      </c>
      <c r="O255" s="10" t="inlineStr"/>
      <c r="P255" s="6">
        <f>HYPERLINK("https://www.linkedin.com/search/results/people/?keywords=Brad%20Conlon%20D.R.%20Horton%2C%20Inc.","search")</f>
        <v/>
      </c>
      <c r="Q255" s="11">
        <f>IF(O255="","ADD LINKEDIN","ok")</f>
        <v/>
      </c>
      <c r="R255" s="6" t="inlineStr">
        <is>
          <t>https://www.drhorton.com/texas/houston</t>
        </is>
      </c>
      <c r="S255" s="9" t="inlineStr">
        <is>
          <t>It invested in Apis Cor, a maker of construction 3D printers, in March 2024, but it closed 84,863 homes company-wide in fiscal 2025.</t>
        </is>
      </c>
      <c r="T255" s="6" t="inlineStr"/>
      <c r="U255" s="9" t="inlineStr">
        <is>
          <t>Spoke for the company on Apis Cor. Not an executive officer.</t>
        </is>
      </c>
      <c r="V255" s="6" t="inlineStr">
        <is>
          <t>https://www.prnewswire.com/news-releases/apis-cor-a-manufacturer-of-construction-3d-printing-robots-announces-strategic-investment-by-dr-horton-302084850.html</t>
        </is>
      </c>
      <c r="W255" s="6" t="inlineStr"/>
      <c r="X255" s="6" t="inlineStr"/>
      <c r="Y255" s="6" t="inlineStr"/>
      <c r="Z255" s="6" t="inlineStr"/>
      <c r="AA255" s="6" t="inlineStr"/>
      <c r="AB255" s="6" t="inlineStr">
        <is>
          <t>https://www.drhorton.com/contact-us-page</t>
        </is>
      </c>
      <c r="AC255" s="6" t="inlineStr"/>
      <c r="AD255" s="6" t="inlineStr"/>
    </row>
    <row r="256">
      <c r="A256" s="12" t="inlineStr">
        <is>
          <t>Lindy Oliva</t>
        </is>
      </c>
      <c r="B256" s="12" t="inlineStr">
        <is>
          <t>PulteGroup, Houston Division</t>
        </is>
      </c>
      <c r="C256" s="12" t="inlineStr">
        <is>
          <t>Houston Division President</t>
        </is>
      </c>
      <c r="D256" s="13" t="inlineStr">
        <is>
          <t>National builder</t>
        </is>
      </c>
      <c r="E256" s="14" t="n">
        <v>2</v>
      </c>
      <c r="F256" s="12" t="inlineStr">
        <is>
          <t>Buys walls</t>
        </is>
      </c>
      <c r="G256" s="12" t="inlineStr">
        <is>
          <t>Houston / Pulte, Centex and Del Webb</t>
        </is>
      </c>
      <c r="H256" s="12" t="inlineStr">
        <is>
          <t>1,146 Houston closings in 2025, fifth in the metro</t>
        </is>
      </c>
      <c r="I256" s="14" t="inlineStr">
        <is>
          <t>Yes</t>
        </is>
      </c>
      <c r="J256" s="15" t="inlineStr">
        <is>
          <t>Communities from Conroe to Fulshear and Sugar Land.</t>
        </is>
      </c>
      <c r="K256" s="14" t="inlineStr">
        <is>
          <t>No</t>
        </is>
      </c>
      <c r="L256" s="15" t="inlineStr">
        <is>
          <t>1,146 Houston closings in 2025. Certain materials negotiated nationally or regionally make change a corporate pilot.</t>
        </is>
      </c>
      <c r="M256" s="14" t="inlineStr">
        <is>
          <t>Yes</t>
        </is>
      </c>
      <c r="N256" s="15" t="inlineStr">
        <is>
          <t>Owned a framing plant and piloted a robotic wall.</t>
        </is>
      </c>
      <c r="O256" s="10" t="inlineStr"/>
      <c r="P256" s="12" t="inlineStr"/>
      <c r="Q256" s="16">
        <f>IF(O256="","ADD LINKEDIN","ok")</f>
        <v/>
      </c>
      <c r="R256" s="12" t="inlineStr">
        <is>
          <t>https://www.pulte.com/homes/texas/houston</t>
        </is>
      </c>
      <c r="S256" s="15" t="inlineStr">
        <is>
          <t>Its chief executive wants to use new building methods, not operate them, and in August 2026 it agreed to sell its framing plant.</t>
        </is>
      </c>
      <c r="T256" s="12" t="inlineStr">
        <is>
          <t>YES</t>
        </is>
      </c>
      <c r="U256" s="15" t="inlineStr">
        <is>
          <t>Ryehill release, 3 July 2024. Fulshear release, 6 October 2022.</t>
        </is>
      </c>
      <c r="V256" s="12" t="inlineStr">
        <is>
          <t>https://www.pultegroupinc.com/investor-relations/news/news-details/2024/PulteGroup-Breaks-Ground-on-New-Master-Planned-Ryehill-Communities-in-Sugar-Land/default.aspx</t>
        </is>
      </c>
      <c r="W256" s="12" t="inlineStr"/>
      <c r="X256" s="12" t="inlineStr"/>
      <c r="Y256" s="12" t="inlineStr"/>
      <c r="Z256" s="12" t="inlineStr">
        <is>
          <t>(281) 801-6008</t>
        </is>
      </c>
      <c r="AA256" s="12" t="inlineStr">
        <is>
          <t>Houston sales</t>
        </is>
      </c>
      <c r="AB256" s="12" t="inlineStr">
        <is>
          <t>https://www.pulte.com/homes/texas/houston</t>
        </is>
      </c>
      <c r="AC256" s="12" t="inlineStr"/>
      <c r="AD256" s="12" t="inlineStr"/>
    </row>
    <row r="257">
      <c r="A257" s="6" t="inlineStr">
        <is>
          <t>Rob Francescon</t>
        </is>
      </c>
      <c r="B257" s="6" t="inlineStr">
        <is>
          <t>Century Communities, Inc.</t>
        </is>
      </c>
      <c r="C257" s="6" t="inlineStr">
        <is>
          <t>Chief Executive Officer</t>
        </is>
      </c>
      <c r="D257" s="7" t="inlineStr">
        <is>
          <t>National builder</t>
        </is>
      </c>
      <c r="E257" s="8" t="n">
        <v>2</v>
      </c>
      <c r="F257" s="6" t="inlineStr">
        <is>
          <t>Buys walls</t>
        </is>
      </c>
      <c r="G257" s="6" t="inlineStr">
        <is>
          <t>Waller, Harris</t>
        </is>
      </c>
      <c r="H257" s="6" t="inlineStr">
        <is>
          <t>1,017 Houston closings in 2025, ninth in the metro</t>
        </is>
      </c>
      <c r="I257" s="8" t="inlineStr">
        <is>
          <t>Yes</t>
        </is>
      </c>
      <c r="J257" s="9" t="inlineStr">
        <is>
          <t>1,200 homes on 18 floor plans.</t>
        </is>
      </c>
      <c r="K257" s="8" t="inlineStr">
        <is>
          <t>Partly</t>
        </is>
      </c>
      <c r="L257" s="9" t="inlineStr">
        <is>
          <t>1,017 Houston closings in 2025. Mirabella alone puts 1,200 homes on one site.</t>
        </is>
      </c>
      <c r="M257" s="8" t="inlineStr">
        <is>
          <t>No</t>
        </is>
      </c>
      <c r="N257" s="9" t="inlineStr">
        <is>
          <t>Record 112-day cycle and a 5 percent direct-cost cut. No method change.</t>
        </is>
      </c>
      <c r="O257" s="10" t="inlineStr"/>
      <c r="P257" s="6">
        <f>HYPERLINK("https://www.linkedin.com/search/results/people/?keywords=Rob%20Francescon%20Century%20Communities%2C%20Inc.","search")</f>
        <v/>
      </c>
      <c r="Q257" s="11">
        <f>IF(O257="","ADD LINKEDIN","ok")</f>
        <v/>
      </c>
      <c r="R257" s="6" t="inlineStr">
        <is>
          <t>https://www.centurycommunities.com/</t>
        </is>
      </c>
      <c r="S257" s="9" t="inlineStr">
        <is>
          <t>Mirabella puts 1,200 homes on 18 floor plans at one site, but it publishes nothing on modular, panelized or printed construction.</t>
        </is>
      </c>
      <c r="T257" s="6" t="inlineStr"/>
      <c r="U257" s="9" t="inlineStr">
        <is>
          <t>Executive page. Sole chief executive since 1 January 2025, previously co-chief.</t>
        </is>
      </c>
      <c r="V257" s="6" t="inlineStr">
        <is>
          <t>https://investors.centurycommunities.com/governance/executive-management/default.aspx</t>
        </is>
      </c>
      <c r="W257" s="6" t="inlineStr">
        <is>
          <t>https://www.linkedin.com/company/century-communities</t>
        </is>
      </c>
      <c r="X257" s="6" t="inlineStr">
        <is>
          <t>https://investors.centurycommunities.com/governance/executive-management/default.aspx</t>
        </is>
      </c>
      <c r="Y257" s="6" t="inlineStr"/>
      <c r="Z257" s="6" t="inlineStr">
        <is>
          <t>(888) 885-5653</t>
        </is>
      </c>
      <c r="AA257" s="6" t="inlineStr">
        <is>
          <t>warranty service</t>
        </is>
      </c>
      <c r="AB257" s="6" t="inlineStr">
        <is>
          <t>https://www.centurycommunities.com/</t>
        </is>
      </c>
      <c r="AC257" s="6" t="inlineStr"/>
      <c r="AD257" s="6" t="inlineStr"/>
    </row>
    <row r="258">
      <c r="A258" s="12" t="inlineStr">
        <is>
          <t>Tanya Rizzo</t>
        </is>
      </c>
      <c r="B258" s="12" t="inlineStr">
        <is>
          <t>Century Communities, Inc.</t>
        </is>
      </c>
      <c r="C258" s="12" t="inlineStr">
        <is>
          <t>Houston Division President</t>
        </is>
      </c>
      <c r="D258" s="13" t="inlineStr">
        <is>
          <t>National builder</t>
        </is>
      </c>
      <c r="E258" s="14" t="n">
        <v>2</v>
      </c>
      <c r="F258" s="12" t="inlineStr">
        <is>
          <t>Buys walls</t>
        </is>
      </c>
      <c r="G258" s="12" t="inlineStr">
        <is>
          <t>Waller, Harris</t>
        </is>
      </c>
      <c r="H258" s="12" t="inlineStr">
        <is>
          <t>1,017 Houston closings in 2025, ninth in the metro</t>
        </is>
      </c>
      <c r="I258" s="14" t="inlineStr">
        <is>
          <t>Yes</t>
        </is>
      </c>
      <c r="J258" s="15" t="inlineStr">
        <is>
          <t>1,200 homes on 18 floor plans.</t>
        </is>
      </c>
      <c r="K258" s="14" t="inlineStr">
        <is>
          <t>Partly</t>
        </is>
      </c>
      <c r="L258" s="15" t="inlineStr">
        <is>
          <t>1,017 Houston closings in 2025. Mirabella alone puts 1,200 homes on one site.</t>
        </is>
      </c>
      <c r="M258" s="14" t="inlineStr">
        <is>
          <t>No</t>
        </is>
      </c>
      <c r="N258" s="15" t="inlineStr">
        <is>
          <t>Record 112-day cycle and a 5 percent direct-cost cut. No method change.</t>
        </is>
      </c>
      <c r="O258" s="6" t="inlineStr">
        <is>
          <t>https://www.linkedin.com/in/tanya-rizzo-75738016/</t>
        </is>
      </c>
      <c r="P258" s="12" t="inlineStr"/>
      <c r="Q258" s="16">
        <f>IF(O258="","ADD LINKEDIN","ok")</f>
        <v/>
      </c>
      <c r="R258" s="12" t="inlineStr">
        <is>
          <t>https://www.centurycommunities.com/</t>
        </is>
      </c>
      <c r="S258" s="15" t="inlineStr">
        <is>
          <t>Mirabella puts 1,200 homes on 18 floor plans at one site, but it publishes nothing on modular, panelized or printed construction.</t>
        </is>
      </c>
      <c r="T258" s="12" t="inlineStr">
        <is>
          <t>YES</t>
        </is>
      </c>
      <c r="U258" s="15" t="inlineStr">
        <is>
          <t>Recruiting for Century in Houston. Title from September 2026 trade press.</t>
        </is>
      </c>
      <c r="V258" s="12" t="inlineStr"/>
      <c r="W258" s="12" t="inlineStr">
        <is>
          <t>https://www.linkedin.com/company/century-communities</t>
        </is>
      </c>
      <c r="X258" s="12" t="inlineStr">
        <is>
          <t>https://investors.centurycommunities.com/governance/executive-management/default.aspx</t>
        </is>
      </c>
      <c r="Y258" s="12" t="inlineStr"/>
      <c r="Z258" s="12" t="inlineStr">
        <is>
          <t>(888) 885-5653</t>
        </is>
      </c>
      <c r="AA258" s="12" t="inlineStr">
        <is>
          <t>warranty service</t>
        </is>
      </c>
      <c r="AB258" s="12" t="inlineStr">
        <is>
          <t>https://www.centurycommunities.com/</t>
        </is>
      </c>
      <c r="AC258" s="12" t="inlineStr"/>
      <c r="AD258" s="12" t="inlineStr"/>
    </row>
    <row r="259">
      <c r="A259" s="6" t="inlineStr">
        <is>
          <t>Saun Sullivan</t>
        </is>
      </c>
      <c r="B259" s="6" t="inlineStr">
        <is>
          <t>DSLD Homes</t>
        </is>
      </c>
      <c r="C259" s="6" t="inlineStr">
        <is>
          <t>Chief Executive Officer</t>
        </is>
      </c>
      <c r="D259" s="7" t="inlineStr">
        <is>
          <t>National builder</t>
        </is>
      </c>
      <c r="E259" s="8" t="n">
        <v>1</v>
      </c>
      <c r="F259" s="6" t="inlineStr">
        <is>
          <t>Buys walls</t>
        </is>
      </c>
      <c r="G259" s="6" t="inlineStr">
        <is>
          <t>Baton Rouge HQ / Bonney, Magnolia, Montgomery</t>
        </is>
      </c>
      <c r="H259" s="6" t="inlineStr">
        <is>
          <t>3,989 closings company-wide in 2025, three Houston communities</t>
        </is>
      </c>
      <c r="I259" s="8" t="inlineStr">
        <is>
          <t>Yes</t>
        </is>
      </c>
      <c r="J259" s="9" t="inlineStr">
        <is>
          <t>One plan library across six states.</t>
        </is>
      </c>
      <c r="K259" s="8" t="inlineStr">
        <is>
          <t>No</t>
        </is>
      </c>
      <c r="L259" s="9" t="inlineStr">
        <is>
          <t>3,989 closings a year, above what one or two printers cover. Houston is three communities.</t>
        </is>
      </c>
      <c r="M259" s="8" t="inlineStr">
        <is>
          <t>No</t>
        </is>
      </c>
      <c r="N259" s="9" t="inlineStr">
        <is>
          <t>Claims energy efficiency and structural excellence. No method named.</t>
        </is>
      </c>
      <c r="O259" s="10" t="inlineStr"/>
      <c r="P259" s="6">
        <f>HYPERLINK("https://www.linkedin.com/search/results/people/?keywords=Saun%20Sullivan%20DSLD%20Homes","search")</f>
        <v/>
      </c>
      <c r="Q259" s="11">
        <f>IF(O259="","ADD LINKEDIN","ok")</f>
        <v/>
      </c>
      <c r="R259" s="6" t="inlineStr">
        <is>
          <t>https://www.dsldhomes.com/</t>
        </is>
      </c>
      <c r="S259" s="9" t="inlineStr">
        <is>
          <t>One plan library runs across six states, but no Texas or Houston division head is published to call.</t>
        </is>
      </c>
      <c r="T259" s="6" t="inlineStr"/>
      <c r="U259" s="9" t="inlineStr"/>
      <c r="V259" s="6" t="inlineStr">
        <is>
          <t>https://www.builderonline.com/firms/dsld-homes/</t>
        </is>
      </c>
      <c r="W259" s="6" t="inlineStr"/>
      <c r="X259" s="6" t="inlineStr"/>
      <c r="Y259" s="6" t="inlineStr"/>
      <c r="Z259" s="6" t="inlineStr">
        <is>
          <t>(844) 767-2713</t>
        </is>
      </c>
      <c r="AA259" s="6" t="inlineStr">
        <is>
          <t>main office, Baton Rouge</t>
        </is>
      </c>
      <c r="AB259" s="6" t="inlineStr">
        <is>
          <t>https://www.dsldhomes.com/</t>
        </is>
      </c>
      <c r="AC259" s="6" t="inlineStr"/>
      <c r="AD259" s="6" t="inlineStr"/>
    </row>
    <row r="260">
      <c r="A260" s="12" t="inlineStr">
        <is>
          <t>Eric Lipar</t>
        </is>
      </c>
      <c r="B260" s="12" t="inlineStr">
        <is>
          <t>LGI Homes, Inc.</t>
        </is>
      </c>
      <c r="C260" s="12" t="inlineStr">
        <is>
          <t>Chief Executive Officer and Chairman of the Board</t>
        </is>
      </c>
      <c r="D260" s="13" t="inlineStr">
        <is>
          <t>National builder</t>
        </is>
      </c>
      <c r="E260" s="14" t="n">
        <v>1</v>
      </c>
      <c r="F260" s="12" t="inlineStr">
        <is>
          <t>Buys walls</t>
        </is>
      </c>
      <c r="G260" s="12" t="inlineStr">
        <is>
          <t>The Woodlands HQ, Montgomery County</t>
        </is>
      </c>
      <c r="H260" s="12" t="inlineStr">
        <is>
          <t>153 active selling communities, 36 markets, 21 states</t>
        </is>
      </c>
      <c r="I260" s="14" t="inlineStr">
        <is>
          <t>Yes</t>
        </is>
      </c>
      <c r="J260" s="15" t="inlineStr">
        <is>
          <t>153 active selling communities on one systematic plan set.</t>
        </is>
      </c>
      <c r="K260" s="14" t="inlineStr">
        <is>
          <t>No</t>
        </is>
      </c>
      <c r="L260" s="15" t="inlineStr">
        <is>
          <t>Thousands of closings a year across 36 markets in 21 states.</t>
        </is>
      </c>
      <c r="M260" s="14" t="inlineStr">
        <is>
          <t>No</t>
        </is>
      </c>
      <c r="N260" s="15" t="inlineStr">
        <is>
          <t>Nothing on record.</t>
        </is>
      </c>
      <c r="O260" s="10" t="inlineStr"/>
      <c r="P260" s="12">
        <f>HYPERLINK("https://www.linkedin.com/search/results/people/?keywords=Eric%20Lipar%20LGI%20Homes%2C%20Inc.","search")</f>
        <v/>
      </c>
      <c r="Q260" s="16">
        <f>IF(O260="","ADD LINKEDIN","ok")</f>
        <v/>
      </c>
      <c r="R260" s="12" t="inlineStr">
        <is>
          <t>https://www.lgihomes.com/</t>
        </is>
      </c>
      <c r="S260" s="15" t="inlineStr">
        <is>
          <t>One systematic plan set is bought through a national purchasing function, and its Q2 2026 call never mentions method.</t>
        </is>
      </c>
      <c r="T260" s="12" t="inlineStr"/>
      <c r="U260" s="15" t="inlineStr"/>
      <c r="V260" s="12" t="inlineStr">
        <is>
          <t>https://investor.lgihomes.com/corporate-governance/management</t>
        </is>
      </c>
      <c r="W260" s="12" t="inlineStr">
        <is>
          <t>https://www.linkedin.com/company/lgi-homes</t>
        </is>
      </c>
      <c r="X260" s="12" t="inlineStr">
        <is>
          <t>https://investor.lgihomes.com/corporate-governance/management</t>
        </is>
      </c>
      <c r="Y260" s="12" t="inlineStr"/>
      <c r="Z260" s="12" t="inlineStr"/>
      <c r="AA260" s="12" t="inlineStr"/>
      <c r="AB260" s="12" t="inlineStr"/>
      <c r="AC260" s="12" t="inlineStr"/>
      <c r="AD260" s="12" t="inlineStr"/>
    </row>
    <row r="261">
      <c r="A261" s="6" t="inlineStr">
        <is>
          <t>Mike Snider</t>
        </is>
      </c>
      <c r="B261" s="6" t="inlineStr">
        <is>
          <t>LGI Homes, Inc.</t>
        </is>
      </c>
      <c r="C261" s="6" t="inlineStr">
        <is>
          <t>President and Chief Operating Officer</t>
        </is>
      </c>
      <c r="D261" s="7" t="inlineStr">
        <is>
          <t>National builder</t>
        </is>
      </c>
      <c r="E261" s="8" t="n">
        <v>1</v>
      </c>
      <c r="F261" s="6" t="inlineStr">
        <is>
          <t>Buys walls</t>
        </is>
      </c>
      <c r="G261" s="6" t="inlineStr">
        <is>
          <t>The Woodlands HQ, Montgomery County</t>
        </is>
      </c>
      <c r="H261" s="6" t="inlineStr">
        <is>
          <t>153 active selling communities, 36 markets, 21 states</t>
        </is>
      </c>
      <c r="I261" s="8" t="inlineStr">
        <is>
          <t>Yes</t>
        </is>
      </c>
      <c r="J261" s="9" t="inlineStr">
        <is>
          <t>153 active selling communities on one systematic plan set.</t>
        </is>
      </c>
      <c r="K261" s="8" t="inlineStr">
        <is>
          <t>No</t>
        </is>
      </c>
      <c r="L261" s="9" t="inlineStr">
        <is>
          <t>Thousands of closings a year across 36 markets in 21 states.</t>
        </is>
      </c>
      <c r="M261" s="8" t="inlineStr">
        <is>
          <t>No</t>
        </is>
      </c>
      <c r="N261" s="9" t="inlineStr">
        <is>
          <t>Nothing on record.</t>
        </is>
      </c>
      <c r="O261" s="10" t="inlineStr"/>
      <c r="P261" s="6">
        <f>HYPERLINK("https://www.linkedin.com/search/results/people/?keywords=Mike%20Snider%20LGI%20Homes%2C%20Inc.","search")</f>
        <v/>
      </c>
      <c r="Q261" s="11">
        <f>IF(O261="","ADD LINKEDIN","ok")</f>
        <v/>
      </c>
      <c r="R261" s="6" t="inlineStr">
        <is>
          <t>https://www.lgihomes.com/</t>
        </is>
      </c>
      <c r="S261" s="9" t="inlineStr">
        <is>
          <t>One systematic plan set is bought through a national purchasing function, and its Q2 2026 call never mentions method.</t>
        </is>
      </c>
      <c r="T261" s="6" t="inlineStr"/>
      <c r="U261" s="9" t="inlineStr"/>
      <c r="V261" s="6" t="inlineStr">
        <is>
          <t>https://investor.lgihomes.com/corporate-governance/management</t>
        </is>
      </c>
      <c r="W261" s="6" t="inlineStr">
        <is>
          <t>https://www.linkedin.com/company/lgi-homes</t>
        </is>
      </c>
      <c r="X261" s="6" t="inlineStr">
        <is>
          <t>https://investor.lgihomes.com/corporate-governance/management</t>
        </is>
      </c>
      <c r="Y261" s="6" t="inlineStr"/>
      <c r="Z261" s="6" t="inlineStr"/>
      <c r="AA261" s="6" t="inlineStr"/>
      <c r="AB261" s="6" t="inlineStr"/>
      <c r="AC261" s="6" t="inlineStr"/>
      <c r="AD261" s="6" t="inlineStr"/>
    </row>
    <row r="262">
      <c r="A262" s="12" t="inlineStr">
        <is>
          <t>Charles Merdian</t>
        </is>
      </c>
      <c r="B262" s="12" t="inlineStr">
        <is>
          <t>LGI Homes, Inc.</t>
        </is>
      </c>
      <c r="C262" s="12" t="inlineStr">
        <is>
          <t>Chief Financial Officer and Treasurer</t>
        </is>
      </c>
      <c r="D262" s="13" t="inlineStr">
        <is>
          <t>National builder</t>
        </is>
      </c>
      <c r="E262" s="14" t="n">
        <v>1</v>
      </c>
      <c r="F262" s="12" t="inlineStr">
        <is>
          <t>Buys walls</t>
        </is>
      </c>
      <c r="G262" s="12" t="inlineStr">
        <is>
          <t>The Woodlands HQ, Montgomery County</t>
        </is>
      </c>
      <c r="H262" s="12" t="inlineStr">
        <is>
          <t>153 active selling communities, 36 markets, 21 states</t>
        </is>
      </c>
      <c r="I262" s="14" t="inlineStr">
        <is>
          <t>Yes</t>
        </is>
      </c>
      <c r="J262" s="15" t="inlineStr">
        <is>
          <t>153 active selling communities on one systematic plan set.</t>
        </is>
      </c>
      <c r="K262" s="14" t="inlineStr">
        <is>
          <t>No</t>
        </is>
      </c>
      <c r="L262" s="15" t="inlineStr">
        <is>
          <t>Thousands of closings a year across 36 markets in 21 states.</t>
        </is>
      </c>
      <c r="M262" s="14" t="inlineStr">
        <is>
          <t>No</t>
        </is>
      </c>
      <c r="N262" s="15" t="inlineStr">
        <is>
          <t>Nothing on record.</t>
        </is>
      </c>
      <c r="O262" s="10" t="inlineStr"/>
      <c r="P262" s="12">
        <f>HYPERLINK("https://www.linkedin.com/search/results/people/?keywords=Charles%20Merdian%20LGI%20Homes%2C%20Inc.","search")</f>
        <v/>
      </c>
      <c r="Q262" s="16">
        <f>IF(O262="","ADD LINKEDIN","ok")</f>
        <v/>
      </c>
      <c r="R262" s="12" t="inlineStr">
        <is>
          <t>https://www.lgihomes.com/</t>
        </is>
      </c>
      <c r="S262" s="15" t="inlineStr">
        <is>
          <t>One systematic plan set is bought through a national purchasing function, and its Q2 2026 call never mentions method.</t>
        </is>
      </c>
      <c r="T262" s="12" t="inlineStr"/>
      <c r="U262" s="15" t="inlineStr"/>
      <c r="V262" s="12" t="inlineStr">
        <is>
          <t>https://investor.lgihomes.com/corporate-governance/management</t>
        </is>
      </c>
      <c r="W262" s="12" t="inlineStr">
        <is>
          <t>https://www.linkedin.com/company/lgi-homes</t>
        </is>
      </c>
      <c r="X262" s="12" t="inlineStr">
        <is>
          <t>https://investor.lgihomes.com/corporate-governance/management</t>
        </is>
      </c>
      <c r="Y262" s="12" t="inlineStr"/>
      <c r="Z262" s="12" t="inlineStr"/>
      <c r="AA262" s="12" t="inlineStr"/>
      <c r="AB262" s="12" t="inlineStr"/>
      <c r="AC262" s="12" t="inlineStr"/>
      <c r="AD262" s="12" t="inlineStr"/>
    </row>
    <row r="263">
      <c r="A263" s="6" t="inlineStr">
        <is>
          <t>Chuck Collier</t>
        </is>
      </c>
      <c r="B263" s="6" t="inlineStr">
        <is>
          <t>LGI Homes, Inc.</t>
        </is>
      </c>
      <c r="C263" s="6" t="inlineStr">
        <is>
          <t>Vice President of Construction, Houston, LGI Homes</t>
        </is>
      </c>
      <c r="D263" s="7" t="inlineStr">
        <is>
          <t>National builder</t>
        </is>
      </c>
      <c r="E263" s="8" t="n">
        <v>1</v>
      </c>
      <c r="F263" s="6" t="inlineStr">
        <is>
          <t>Buys walls</t>
        </is>
      </c>
      <c r="G263" s="6" t="inlineStr">
        <is>
          <t>The Woodlands HQ, Montgomery County</t>
        </is>
      </c>
      <c r="H263" s="6" t="inlineStr">
        <is>
          <t>153 active selling communities, 36 markets, 21 states</t>
        </is>
      </c>
      <c r="I263" s="8" t="inlineStr">
        <is>
          <t>Yes</t>
        </is>
      </c>
      <c r="J263" s="9" t="inlineStr">
        <is>
          <t>153 active selling communities on one systematic plan set.</t>
        </is>
      </c>
      <c r="K263" s="8" t="inlineStr">
        <is>
          <t>No</t>
        </is>
      </c>
      <c r="L263" s="9" t="inlineStr">
        <is>
          <t>Thousands of closings a year across 36 markets in 21 states.</t>
        </is>
      </c>
      <c r="M263" s="8" t="inlineStr">
        <is>
          <t>No</t>
        </is>
      </c>
      <c r="N263" s="9" t="inlineStr">
        <is>
          <t>Nothing on record.</t>
        </is>
      </c>
      <c r="O263" s="6" t="inlineStr">
        <is>
          <t>https://www.linkedin.com/in/chuck-collier-48286829/</t>
        </is>
      </c>
      <c r="P263" s="6" t="inlineStr"/>
      <c r="Q263" s="11">
        <f>IF(O263="","ADD LINKEDIN","ok")</f>
        <v/>
      </c>
      <c r="R263" s="6" t="inlineStr">
        <is>
          <t>https://www.lgihomes.com/</t>
        </is>
      </c>
      <c r="S263" s="9" t="inlineStr">
        <is>
          <t>One systematic plan set is bought through a national purchasing function, and its Q2 2026 call never mentions method.</t>
        </is>
      </c>
      <c r="T263" s="6" t="inlineStr">
        <is>
          <t>YES</t>
        </is>
      </c>
      <c r="U263" s="9" t="inlineStr">
        <is>
          <t>Own headline: VP of Construction, Houston. Location shows only United States.</t>
        </is>
      </c>
      <c r="V263" s="6" t="inlineStr"/>
      <c r="W263" s="6" t="inlineStr">
        <is>
          <t>https://www.linkedin.com/company/lgi-homes</t>
        </is>
      </c>
      <c r="X263" s="6" t="inlineStr">
        <is>
          <t>https://investor.lgihomes.com/corporate-governance/management</t>
        </is>
      </c>
      <c r="Y263" s="6" t="inlineStr"/>
      <c r="Z263" s="6" t="inlineStr"/>
      <c r="AA263" s="6" t="inlineStr"/>
      <c r="AB263" s="6" t="inlineStr"/>
      <c r="AC263" s="6" t="inlineStr"/>
      <c r="AD263" s="6" t="inlineStr"/>
    </row>
    <row r="264">
      <c r="A264" s="12" t="inlineStr">
        <is>
          <t>Kyle Hanna</t>
        </is>
      </c>
      <c r="B264" s="12" t="inlineStr">
        <is>
          <t>LGI Homes, Inc.</t>
        </is>
      </c>
      <c r="C264" s="12" t="inlineStr">
        <is>
          <t>Vice President of Purchasing, LGI Homes</t>
        </is>
      </c>
      <c r="D264" s="13" t="inlineStr">
        <is>
          <t>National builder</t>
        </is>
      </c>
      <c r="E264" s="14" t="n">
        <v>1</v>
      </c>
      <c r="F264" s="12" t="inlineStr">
        <is>
          <t>Buys walls</t>
        </is>
      </c>
      <c r="G264" s="12" t="inlineStr">
        <is>
          <t>The Woodlands HQ, Montgomery County</t>
        </is>
      </c>
      <c r="H264" s="12" t="inlineStr">
        <is>
          <t>153 active selling communities, 36 markets, 21 states</t>
        </is>
      </c>
      <c r="I264" s="14" t="inlineStr">
        <is>
          <t>Yes</t>
        </is>
      </c>
      <c r="J264" s="15" t="inlineStr">
        <is>
          <t>153 active selling communities on one systematic plan set.</t>
        </is>
      </c>
      <c r="K264" s="14" t="inlineStr">
        <is>
          <t>No</t>
        </is>
      </c>
      <c r="L264" s="15" t="inlineStr">
        <is>
          <t>Thousands of closings a year across 36 markets in 21 states.</t>
        </is>
      </c>
      <c r="M264" s="14" t="inlineStr">
        <is>
          <t>No</t>
        </is>
      </c>
      <c r="N264" s="15" t="inlineStr">
        <is>
          <t>Nothing on record.</t>
        </is>
      </c>
      <c r="O264" s="6" t="inlineStr">
        <is>
          <t>https://www.linkedin.com/in/kylemhanna/</t>
        </is>
      </c>
      <c r="P264" s="12" t="inlineStr"/>
      <c r="Q264" s="16">
        <f>IF(O264="","ADD LINKEDIN","ok")</f>
        <v/>
      </c>
      <c r="R264" s="12" t="inlineStr">
        <is>
          <t>https://www.lgihomes.com/</t>
        </is>
      </c>
      <c r="S264" s="15" t="inlineStr">
        <is>
          <t>One systematic plan set is bought through a national purchasing function, and its Q2 2026 call never mentions method.</t>
        </is>
      </c>
      <c r="T264" s="12" t="inlineStr">
        <is>
          <t>YES</t>
        </is>
      </c>
      <c r="U264" s="15" t="inlineStr">
        <is>
          <t>Construction vice presidents sit in the markets. Purchasing sits in Greater Houston.</t>
        </is>
      </c>
      <c r="V264" s="12" t="inlineStr"/>
      <c r="W264" s="12" t="inlineStr">
        <is>
          <t>https://www.linkedin.com/company/lgi-homes</t>
        </is>
      </c>
      <c r="X264" s="12" t="inlineStr">
        <is>
          <t>https://investor.lgihomes.com/corporate-governance/management</t>
        </is>
      </c>
      <c r="Y264" s="12" t="inlineStr"/>
      <c r="Z264" s="12" t="inlineStr"/>
      <c r="AA264" s="12" t="inlineStr"/>
      <c r="AB264" s="12" t="inlineStr"/>
      <c r="AC264" s="12" t="inlineStr"/>
      <c r="AD264" s="12" t="inlineStr"/>
    </row>
    <row r="265">
      <c r="A265" s="6" t="inlineStr">
        <is>
          <t>Bob Schottenstein</t>
        </is>
      </c>
      <c r="B265" s="6" t="inlineStr">
        <is>
          <t>M/I Homes, Inc.</t>
        </is>
      </c>
      <c r="C265" s="6" t="inlineStr">
        <is>
          <t>Chief Executive Officer</t>
        </is>
      </c>
      <c r="D265" s="7" t="inlineStr">
        <is>
          <t>National builder</t>
        </is>
      </c>
      <c r="E265" s="8" t="n">
        <v>1</v>
      </c>
      <c r="F265" s="6" t="inlineStr">
        <is>
          <t>Buys walls</t>
        </is>
      </c>
      <c r="G265" s="6" t="inlineStr">
        <is>
          <t>Columbus HQ / Liberty, Harris</t>
        </is>
      </c>
      <c r="H265" s="6" t="inlineStr">
        <is>
          <t>3 Houston land deals in 6 months</t>
        </is>
      </c>
      <c r="I265" s="8" t="inlineStr">
        <is>
          <t>Yes</t>
        </is>
      </c>
      <c r="J265" s="9" t="inlineStr">
        <is>
          <t>1,000 homes at Trinity Landing. Three Houston land deals in six months.</t>
        </is>
      </c>
      <c r="K265" s="8" t="inlineStr">
        <is>
          <t>No</t>
        </is>
      </c>
      <c r="L265" s="9" t="inlineStr">
        <is>
          <t>A national builder, bought centrally.</t>
        </is>
      </c>
      <c r="M265" s="8" t="inlineStr">
        <is>
          <t>No</t>
        </is>
      </c>
      <c r="N265" s="9" t="inlineStr">
        <is>
          <t>CEO cites shorter cycle time. No cause given.</t>
        </is>
      </c>
      <c r="O265" s="10" t="inlineStr"/>
      <c r="P265" s="6">
        <f>HYPERLINK("https://www.linkedin.com/search/results/people/?keywords=Bob%20Schottenstein%20M/I%20Homes%2C%20Inc.","search")</f>
        <v/>
      </c>
      <c r="Q265" s="11">
        <f>IF(O265="","ADD LINKEDIN","ok")</f>
        <v/>
      </c>
      <c r="R265" s="6" t="inlineStr">
        <is>
          <t>https://www.mihomes.com/</t>
        </is>
      </c>
      <c r="S265" s="9" t="inlineStr">
        <is>
          <t>Buys centrally as a national builder, but its Houston division, under a named president, plans 1,000 homes at Trinity Landing.</t>
        </is>
      </c>
      <c r="T265" s="6" t="inlineStr"/>
      <c r="U265" s="9" t="inlineStr">
        <is>
          <t>Chairman. CEO since January 2004. M/I officers page.</t>
        </is>
      </c>
      <c r="V265" s="6" t="inlineStr">
        <is>
          <t>https://investors.mihomes.com/investor-relations/officers-directors/default.aspx</t>
        </is>
      </c>
      <c r="W265" s="6" t="inlineStr">
        <is>
          <t>https://www.linkedin.com/company/mihomes/</t>
        </is>
      </c>
      <c r="X265" s="6" t="inlineStr">
        <is>
          <t>https://investors.mihomes.com/investor-relations/officers-directors/default.aspx</t>
        </is>
      </c>
      <c r="Y265" s="6" t="inlineStr"/>
      <c r="Z265" s="6" t="inlineStr"/>
      <c r="AA265" s="6" t="inlineStr"/>
      <c r="AB265" s="6" t="inlineStr"/>
      <c r="AC265" s="6" t="inlineStr"/>
      <c r="AD265" s="6" t="inlineStr"/>
    </row>
    <row r="266">
      <c r="A266" s="12" t="inlineStr">
        <is>
          <t>Jay McManus</t>
        </is>
      </c>
      <c r="B266" s="12" t="inlineStr">
        <is>
          <t>M/I Homes, Inc.</t>
        </is>
      </c>
      <c r="C266" s="12" t="inlineStr">
        <is>
          <t>Houston Division President</t>
        </is>
      </c>
      <c r="D266" s="13" t="inlineStr">
        <is>
          <t>National builder</t>
        </is>
      </c>
      <c r="E266" s="14" t="n">
        <v>1</v>
      </c>
      <c r="F266" s="12" t="inlineStr">
        <is>
          <t>Buys walls</t>
        </is>
      </c>
      <c r="G266" s="12" t="inlineStr">
        <is>
          <t>Columbus HQ / Liberty, Harris</t>
        </is>
      </c>
      <c r="H266" s="12" t="inlineStr">
        <is>
          <t>3 Houston land deals in 6 months</t>
        </is>
      </c>
      <c r="I266" s="14" t="inlineStr">
        <is>
          <t>Yes</t>
        </is>
      </c>
      <c r="J266" s="15" t="inlineStr">
        <is>
          <t>1,000 homes at Trinity Landing. Three Houston land deals in six months.</t>
        </is>
      </c>
      <c r="K266" s="14" t="inlineStr">
        <is>
          <t>No</t>
        </is>
      </c>
      <c r="L266" s="15" t="inlineStr">
        <is>
          <t>A national builder, bought centrally.</t>
        </is>
      </c>
      <c r="M266" s="14" t="inlineStr">
        <is>
          <t>No</t>
        </is>
      </c>
      <c r="N266" s="15" t="inlineStr">
        <is>
          <t>CEO cites shorter cycle time. No cause given.</t>
        </is>
      </c>
      <c r="O266" s="10" t="inlineStr"/>
      <c r="P266" s="12">
        <f>HYPERLINK("https://www.linkedin.com/search/results/people/?keywords=Jay%20McManus%20M/I%20Homes%2C%20Inc.","search")</f>
        <v/>
      </c>
      <c r="Q266" s="16">
        <f>IF(O266="","ADD LINKEDIN","ok")</f>
        <v/>
      </c>
      <c r="R266" s="12" t="inlineStr">
        <is>
          <t>https://www.mihomes.com/</t>
        </is>
      </c>
      <c r="S266" s="15" t="inlineStr">
        <is>
          <t>Buys centrally as a national builder, but its Houston division, under a named president, plans 1,000 homes at Trinity Landing.</t>
        </is>
      </c>
      <c r="T266" s="12" t="inlineStr">
        <is>
          <t>YES</t>
        </is>
      </c>
      <c r="U266" s="15" t="inlineStr">
        <is>
          <t>Trade coverage of the Houston expansion. M/I's site names corporate officers only.</t>
        </is>
      </c>
      <c r="V266" s="12" t="inlineStr">
        <is>
          <t>https://houstonagentmagazine.com/2021/08/23/m-i-homes-to-double-presence-in-houston-area/</t>
        </is>
      </c>
      <c r="W266" s="12" t="inlineStr">
        <is>
          <t>https://www.linkedin.com/company/mihomes/</t>
        </is>
      </c>
      <c r="X266" s="12" t="inlineStr">
        <is>
          <t>https://investors.mihomes.com/investor-relations/officers-directors/default.aspx</t>
        </is>
      </c>
      <c r="Y266" s="12" t="inlineStr"/>
      <c r="Z266" s="12" t="inlineStr"/>
      <c r="AA266" s="12" t="inlineStr"/>
      <c r="AB266" s="12" t="inlineStr"/>
      <c r="AC266" s="12" t="inlineStr"/>
      <c r="AD266" s="12" t="inlineStr"/>
    </row>
    <row r="267">
      <c r="A267" s="6" t="inlineStr">
        <is>
          <t>Patrick Mayhan</t>
        </is>
      </c>
      <c r="B267" s="6" t="inlineStr">
        <is>
          <t>M/I Homes, Inc.</t>
        </is>
      </c>
      <c r="C267" s="6" t="inlineStr">
        <is>
          <t>Vice President of Purchasing, M/I Homes</t>
        </is>
      </c>
      <c r="D267" s="7" t="inlineStr">
        <is>
          <t>National builder</t>
        </is>
      </c>
      <c r="E267" s="8" t="n">
        <v>1</v>
      </c>
      <c r="F267" s="6" t="inlineStr">
        <is>
          <t>Buys walls</t>
        </is>
      </c>
      <c r="G267" s="6" t="inlineStr">
        <is>
          <t>Columbus HQ / Liberty, Harris</t>
        </is>
      </c>
      <c r="H267" s="6" t="inlineStr">
        <is>
          <t>3 Houston land deals in 6 months</t>
        </is>
      </c>
      <c r="I267" s="8" t="inlineStr">
        <is>
          <t>Yes</t>
        </is>
      </c>
      <c r="J267" s="9" t="inlineStr">
        <is>
          <t>1,000 homes at Trinity Landing. Three Houston land deals in six months.</t>
        </is>
      </c>
      <c r="K267" s="8" t="inlineStr">
        <is>
          <t>No</t>
        </is>
      </c>
      <c r="L267" s="9" t="inlineStr">
        <is>
          <t>A national builder, bought centrally.</t>
        </is>
      </c>
      <c r="M267" s="8" t="inlineStr">
        <is>
          <t>No</t>
        </is>
      </c>
      <c r="N267" s="9" t="inlineStr">
        <is>
          <t>CEO cites shorter cycle time. No cause given.</t>
        </is>
      </c>
      <c r="O267" s="6" t="inlineStr">
        <is>
          <t>https://www.linkedin.com/in/patrick-mayhan-5591478/</t>
        </is>
      </c>
      <c r="P267" s="6" t="inlineStr"/>
      <c r="Q267" s="11">
        <f>IF(O267="","ADD LINKEDIN","ok")</f>
        <v/>
      </c>
      <c r="R267" s="6" t="inlineStr">
        <is>
          <t>https://www.mihomes.com/</t>
        </is>
      </c>
      <c r="S267" s="9" t="inlineStr">
        <is>
          <t>Buys centrally as a national builder, but its Houston division, under a named president, plans 1,000 homes at Trinity Landing.</t>
        </is>
      </c>
      <c r="T267" s="6" t="inlineStr">
        <is>
          <t>YES</t>
        </is>
      </c>
      <c r="U267" s="9" t="inlineStr">
        <is>
          <t>Houston. His title carries the corporate entity. Randy Barras's carries the Houston division.</t>
        </is>
      </c>
      <c r="V267" s="6" t="inlineStr"/>
      <c r="W267" s="6" t="inlineStr">
        <is>
          <t>https://www.linkedin.com/company/mihomes/</t>
        </is>
      </c>
      <c r="X267" s="6" t="inlineStr">
        <is>
          <t>https://investors.mihomes.com/investor-relations/officers-directors/default.aspx</t>
        </is>
      </c>
      <c r="Y267" s="6" t="inlineStr"/>
      <c r="Z267" s="6" t="inlineStr"/>
      <c r="AA267" s="6" t="inlineStr"/>
      <c r="AB267" s="6" t="inlineStr"/>
      <c r="AC267" s="6" t="inlineStr"/>
      <c r="AD267" s="6" t="inlineStr"/>
    </row>
    <row r="268">
      <c r="A268" s="12" t="inlineStr">
        <is>
          <t>Randy Barras</t>
        </is>
      </c>
      <c r="B268" s="12" t="inlineStr">
        <is>
          <t>M/I Homes, Inc.</t>
        </is>
      </c>
      <c r="C268" s="12" t="inlineStr">
        <is>
          <t>Vice President of Purchasing, M/I Homes Houston</t>
        </is>
      </c>
      <c r="D268" s="13" t="inlineStr">
        <is>
          <t>National builder</t>
        </is>
      </c>
      <c r="E268" s="14" t="n">
        <v>1</v>
      </c>
      <c r="F268" s="12" t="inlineStr">
        <is>
          <t>Buys walls</t>
        </is>
      </c>
      <c r="G268" s="12" t="inlineStr">
        <is>
          <t>Columbus HQ / Liberty, Harris</t>
        </is>
      </c>
      <c r="H268" s="12" t="inlineStr">
        <is>
          <t>3 Houston land deals in 6 months</t>
        </is>
      </c>
      <c r="I268" s="14" t="inlineStr">
        <is>
          <t>Yes</t>
        </is>
      </c>
      <c r="J268" s="15" t="inlineStr">
        <is>
          <t>1,000 homes at Trinity Landing. Three Houston land deals in six months.</t>
        </is>
      </c>
      <c r="K268" s="14" t="inlineStr">
        <is>
          <t>No</t>
        </is>
      </c>
      <c r="L268" s="15" t="inlineStr">
        <is>
          <t>A national builder, bought centrally.</t>
        </is>
      </c>
      <c r="M268" s="14" t="inlineStr">
        <is>
          <t>No</t>
        </is>
      </c>
      <c r="N268" s="15" t="inlineStr">
        <is>
          <t>CEO cites shorter cycle time. No cause given.</t>
        </is>
      </c>
      <c r="O268" s="6" t="inlineStr">
        <is>
          <t>https://www.linkedin.com/in/rbarras/</t>
        </is>
      </c>
      <c r="P268" s="12" t="inlineStr"/>
      <c r="Q268" s="16">
        <f>IF(O268="","ADD LINKEDIN","ok")</f>
        <v/>
      </c>
      <c r="R268" s="12" t="inlineStr">
        <is>
          <t>https://www.mihomes.com/</t>
        </is>
      </c>
      <c r="S268" s="15" t="inlineStr">
        <is>
          <t>Buys centrally as a national builder, but its Houston division, under a named president, plans 1,000 homes at Trinity Landing.</t>
        </is>
      </c>
      <c r="T268" s="12" t="inlineStr">
        <is>
          <t>YES</t>
        </is>
      </c>
      <c r="U268" s="15" t="inlineStr"/>
      <c r="V268" s="12" t="inlineStr"/>
      <c r="W268" s="12" t="inlineStr">
        <is>
          <t>https://www.linkedin.com/company/mihomes/</t>
        </is>
      </c>
      <c r="X268" s="12" t="inlineStr">
        <is>
          <t>https://investors.mihomes.com/investor-relations/officers-directors/default.aspx</t>
        </is>
      </c>
      <c r="Y268" s="12" t="inlineStr"/>
      <c r="Z268" s="12" t="inlineStr"/>
      <c r="AA268" s="12" t="inlineStr"/>
      <c r="AB268" s="12" t="inlineStr"/>
      <c r="AC268" s="12" t="inlineStr"/>
      <c r="AD268" s="12" t="inlineStr"/>
    </row>
    <row r="269">
      <c r="A269" s="6" t="inlineStr">
        <is>
          <t>Phillippe Lord</t>
        </is>
      </c>
      <c r="B269" s="6" t="inlineStr">
        <is>
          <t>Meritage Homes Corporation</t>
        </is>
      </c>
      <c r="C269" s="6" t="inlineStr">
        <is>
          <t>Chief Executive Officer</t>
        </is>
      </c>
      <c r="D269" s="7" t="inlineStr">
        <is>
          <t>National builder</t>
        </is>
      </c>
      <c r="E269" s="8" t="n">
        <v>1</v>
      </c>
      <c r="F269" s="6" t="inlineStr">
        <is>
          <t>Buys walls</t>
        </is>
      </c>
      <c r="G269" s="6" t="inlineStr">
        <is>
          <t>Scottsdale HQ / Liberty, Harris</t>
        </is>
      </c>
      <c r="H269" s="6" t="inlineStr">
        <is>
          <t>1,428 Houston closings in 2025, fourth in the metro</t>
        </is>
      </c>
      <c r="I269" s="8" t="inlineStr">
        <is>
          <t>Yes</t>
        </is>
      </c>
      <c r="J269" s="9" t="inlineStr">
        <is>
          <t>45 to 60 foot lots at one site.</t>
        </is>
      </c>
      <c r="K269" s="8" t="inlineStr">
        <is>
          <t>No</t>
        </is>
      </c>
      <c r="L269" s="9" t="inlineStr">
        <is>
          <t>1,428 Houston closings in 2025, but it buys through a corporate purchasing desk.</t>
        </is>
      </c>
      <c r="M269" s="8" t="inlineStr">
        <is>
          <t>No</t>
        </is>
      </c>
      <c r="N269" s="9" t="inlineStr">
        <is>
          <t>Sub-110-day construction cycle held for four quarters. Nothing on wall systems.</t>
        </is>
      </c>
      <c r="O269" s="6" t="inlineStr">
        <is>
          <t>https://www.linkedin.com/in/phillippe-lord-72924012/</t>
        </is>
      </c>
      <c r="P269" s="6" t="inlineStr"/>
      <c r="Q269" s="11">
        <f>IF(O269="","ADD LINKEDIN","ok")</f>
        <v/>
      </c>
      <c r="R269" s="6" t="inlineStr">
        <is>
          <t>https://www.meritagehomes.com/</t>
        </is>
      </c>
      <c r="S269" s="9" t="inlineStr">
        <is>
          <t>It plans 1,000 homes at Trinity Landing, but buys through a corporate purchasing desk.</t>
        </is>
      </c>
      <c r="T269" s="6" t="inlineStr"/>
      <c r="U269" s="9" t="inlineStr">
        <is>
          <t>CEO, EVP at Meritage Homes.</t>
        </is>
      </c>
      <c r="V269" s="6" t="inlineStr"/>
      <c r="W269" s="6" t="inlineStr">
        <is>
          <t>https://www.linkedin.com/company/meritage-homes</t>
        </is>
      </c>
      <c r="X269" s="6" t="inlineStr">
        <is>
          <t>https://investors.meritagehomes.com/company-information/management-team</t>
        </is>
      </c>
      <c r="Y269" s="6" t="inlineStr"/>
      <c r="Z269" s="6" t="inlineStr">
        <is>
          <t>(833) 684-6527</t>
        </is>
      </c>
      <c r="AA269" s="6" t="inlineStr">
        <is>
          <t>warranty</t>
        </is>
      </c>
      <c r="AB269" s="6" t="inlineStr">
        <is>
          <t>https://www.meritagehomes.com/company/contact</t>
        </is>
      </c>
      <c r="AC269" s="6" t="inlineStr"/>
      <c r="AD269" s="6" t="inlineStr"/>
    </row>
    <row r="270">
      <c r="A270" s="12" t="inlineStr">
        <is>
          <t>Hilla Sferruzza</t>
        </is>
      </c>
      <c r="B270" s="12" t="inlineStr">
        <is>
          <t>Meritage Homes Corporation</t>
        </is>
      </c>
      <c r="C270" s="12" t="inlineStr">
        <is>
          <t>Executive Vice President and Chief Financial Officer</t>
        </is>
      </c>
      <c r="D270" s="13" t="inlineStr">
        <is>
          <t>National builder</t>
        </is>
      </c>
      <c r="E270" s="14" t="n">
        <v>1</v>
      </c>
      <c r="F270" s="12" t="inlineStr">
        <is>
          <t>Buys walls</t>
        </is>
      </c>
      <c r="G270" s="12" t="inlineStr">
        <is>
          <t>Scottsdale HQ / Liberty, Harris</t>
        </is>
      </c>
      <c r="H270" s="12" t="inlineStr">
        <is>
          <t>1,428 Houston closings in 2025, fourth in the metro</t>
        </is>
      </c>
      <c r="I270" s="14" t="inlineStr">
        <is>
          <t>Yes</t>
        </is>
      </c>
      <c r="J270" s="15" t="inlineStr">
        <is>
          <t>45 to 60 foot lots at one site.</t>
        </is>
      </c>
      <c r="K270" s="14" t="inlineStr">
        <is>
          <t>No</t>
        </is>
      </c>
      <c r="L270" s="15" t="inlineStr">
        <is>
          <t>1,428 Houston closings in 2025, but it buys through a corporate purchasing desk.</t>
        </is>
      </c>
      <c r="M270" s="14" t="inlineStr">
        <is>
          <t>No</t>
        </is>
      </c>
      <c r="N270" s="15" t="inlineStr">
        <is>
          <t>Sub-110-day construction cycle held for four quarters. Nothing on wall systems.</t>
        </is>
      </c>
      <c r="O270" s="10" t="inlineStr"/>
      <c r="P270" s="12">
        <f>HYPERLINK("https://www.linkedin.com/search/results/people/?keywords=Hilla%20Sferruzza%20Meritage%20Homes%20Corporation","search")</f>
        <v/>
      </c>
      <c r="Q270" s="16">
        <f>IF(O270="","ADD LINKEDIN","ok")</f>
        <v/>
      </c>
      <c r="R270" s="12" t="inlineStr">
        <is>
          <t>https://www.meritagehomes.com/</t>
        </is>
      </c>
      <c r="S270" s="15" t="inlineStr">
        <is>
          <t>It plans 1,000 homes at Trinity Landing, but buys through a corporate purchasing desk.</t>
        </is>
      </c>
      <c r="T270" s="12" t="inlineStr"/>
      <c r="U270" s="15" t="inlineStr"/>
      <c r="V270" s="12" t="inlineStr">
        <is>
          <t>https://investors.meritagehomes.com/company-information/management-team</t>
        </is>
      </c>
      <c r="W270" s="12" t="inlineStr">
        <is>
          <t>https://www.linkedin.com/company/meritage-homes</t>
        </is>
      </c>
      <c r="X270" s="12" t="inlineStr">
        <is>
          <t>https://investors.meritagehomes.com/company-information/management-team</t>
        </is>
      </c>
      <c r="Y270" s="12" t="inlineStr"/>
      <c r="Z270" s="12" t="inlineStr">
        <is>
          <t>(833) 684-6527</t>
        </is>
      </c>
      <c r="AA270" s="12" t="inlineStr">
        <is>
          <t>warranty</t>
        </is>
      </c>
      <c r="AB270" s="12" t="inlineStr">
        <is>
          <t>https://www.meritagehomes.com/company/contact</t>
        </is>
      </c>
      <c r="AC270" s="12" t="inlineStr"/>
      <c r="AD270" s="12" t="inlineStr"/>
    </row>
    <row r="271">
      <c r="A271" s="6" t="inlineStr">
        <is>
          <t>Steven J. Hilton</t>
        </is>
      </c>
      <c r="B271" s="6" t="inlineStr">
        <is>
          <t>Meritage Homes Corporation</t>
        </is>
      </c>
      <c r="C271" s="6" t="inlineStr">
        <is>
          <t>Executive Chairman of the Board</t>
        </is>
      </c>
      <c r="D271" s="7" t="inlineStr">
        <is>
          <t>National builder</t>
        </is>
      </c>
      <c r="E271" s="8" t="n">
        <v>1</v>
      </c>
      <c r="F271" s="6" t="inlineStr">
        <is>
          <t>Buys walls</t>
        </is>
      </c>
      <c r="G271" s="6" t="inlineStr">
        <is>
          <t>Scottsdale HQ / Liberty, Harris</t>
        </is>
      </c>
      <c r="H271" s="6" t="inlineStr">
        <is>
          <t>1,428 Houston closings in 2025, fourth in the metro</t>
        </is>
      </c>
      <c r="I271" s="8" t="inlineStr">
        <is>
          <t>Yes</t>
        </is>
      </c>
      <c r="J271" s="9" t="inlineStr">
        <is>
          <t>45 to 60 foot lots at one site.</t>
        </is>
      </c>
      <c r="K271" s="8" t="inlineStr">
        <is>
          <t>No</t>
        </is>
      </c>
      <c r="L271" s="9" t="inlineStr">
        <is>
          <t>1,428 Houston closings in 2025, but it buys through a corporate purchasing desk.</t>
        </is>
      </c>
      <c r="M271" s="8" t="inlineStr">
        <is>
          <t>No</t>
        </is>
      </c>
      <c r="N271" s="9" t="inlineStr">
        <is>
          <t>Sub-110-day construction cycle held for four quarters. Nothing on wall systems.</t>
        </is>
      </c>
      <c r="O271" s="10" t="inlineStr"/>
      <c r="P271" s="6">
        <f>HYPERLINK("https://www.linkedin.com/search/results/people/?keywords=Steven%20J.%20Hilton%20Meritage%20Homes%20Corporation","search")</f>
        <v/>
      </c>
      <c r="Q271" s="11">
        <f>IF(O271="","ADD LINKEDIN","ok")</f>
        <v/>
      </c>
      <c r="R271" s="6" t="inlineStr">
        <is>
          <t>https://www.meritagehomes.com/</t>
        </is>
      </c>
      <c r="S271" s="9" t="inlineStr">
        <is>
          <t>It plans 1,000 homes at Trinity Landing, but buys through a corporate purchasing desk.</t>
        </is>
      </c>
      <c r="T271" s="6" t="inlineStr"/>
      <c r="U271" s="9" t="inlineStr"/>
      <c r="V271" s="6" t="inlineStr">
        <is>
          <t>https://investors.meritagehomes.com/company-information/management-team</t>
        </is>
      </c>
      <c r="W271" s="6" t="inlineStr">
        <is>
          <t>https://www.linkedin.com/company/meritage-homes</t>
        </is>
      </c>
      <c r="X271" s="6" t="inlineStr">
        <is>
          <t>https://investors.meritagehomes.com/company-information/management-team</t>
        </is>
      </c>
      <c r="Y271" s="6" t="inlineStr"/>
      <c r="Z271" s="6" t="inlineStr">
        <is>
          <t>(833) 684-6527</t>
        </is>
      </c>
      <c r="AA271" s="6" t="inlineStr">
        <is>
          <t>warranty</t>
        </is>
      </c>
      <c r="AB271" s="6" t="inlineStr">
        <is>
          <t>https://www.meritagehomes.com/company/contact</t>
        </is>
      </c>
      <c r="AC271" s="6" t="inlineStr"/>
      <c r="AD271" s="6" t="inlineStr"/>
    </row>
    <row r="272">
      <c r="A272" s="12" t="inlineStr">
        <is>
          <t>Darin Rowe</t>
        </is>
      </c>
      <c r="B272" s="12" t="inlineStr">
        <is>
          <t>Taylor Morrison Home Corporation</t>
        </is>
      </c>
      <c r="C272" s="12" t="inlineStr">
        <is>
          <t>National President, Build-to-Rent</t>
        </is>
      </c>
      <c r="D272" s="13" t="inlineStr">
        <is>
          <t>National builder</t>
        </is>
      </c>
      <c r="E272" s="14" t="n">
        <v>1</v>
      </c>
      <c r="F272" s="12" t="inlineStr">
        <is>
          <t>Buys walls</t>
        </is>
      </c>
      <c r="G272" s="12" t="inlineStr">
        <is>
          <t>Scottsdale HQ / Harris County</t>
        </is>
      </c>
      <c r="H272" s="12" t="inlineStr">
        <is>
          <t>240-home Houston BTR community</t>
        </is>
      </c>
      <c r="I272" s="14" t="inlineStr">
        <is>
          <t>Yes</t>
        </is>
      </c>
      <c r="J272" s="15" t="inlineStr">
        <is>
          <t>A 240-home Houston build-to-rent community and a dedicated brand.</t>
        </is>
      </c>
      <c r="K272" s="14" t="inlineStr">
        <is>
          <t>No</t>
        </is>
      </c>
      <c r="L272" s="15" t="inlineStr">
        <is>
          <t>National builder, national rental brand.</t>
        </is>
      </c>
      <c r="M272" s="14" t="inlineStr">
        <is>
          <t>No</t>
        </is>
      </c>
      <c r="N272" s="15" t="inlineStr">
        <is>
          <t>Yardly retrospective cites input costs. No method detail.</t>
        </is>
      </c>
      <c r="O272" s="10" t="inlineStr"/>
      <c r="P272" s="12">
        <f>HYPERLINK("https://www.linkedin.com/search/results/people/?keywords=Darin%20Rowe%20Taylor%20Morrison%20Home%20Corporation","search")</f>
        <v/>
      </c>
      <c r="Q272" s="16">
        <f>IF(O272="","ADD LINKEDIN","ok")</f>
        <v/>
      </c>
      <c r="R272" s="12" t="inlineStr">
        <is>
          <t>https://www.taylormorrison.com/</t>
        </is>
      </c>
      <c r="S272" s="15" t="inlineStr">
        <is>
          <t>Runs Yardly, a national build-to-rent brand, but its Houston division president is unconfirmed, last dated 2018.</t>
        </is>
      </c>
      <c r="T272" s="12" t="inlineStr"/>
      <c r="U272" s="15" t="inlineStr">
        <is>
          <t>Quoted on the Yardly launch. National, not Houston.</t>
        </is>
      </c>
      <c r="V272" s="12" t="inlineStr">
        <is>
          <t>https://newsroom.taylormorrison.com/2022-11-14-Taylor-Morrison-Unveils-New-Build-To-Rent-Brand,-Yardly</t>
        </is>
      </c>
      <c r="W272" s="12" t="inlineStr">
        <is>
          <t>https://www.linkedin.com/company/taylor-morrison</t>
        </is>
      </c>
      <c r="X272" s="12" t="inlineStr">
        <is>
          <t>https://newsroom.taylormorrison.com/Leadership</t>
        </is>
      </c>
      <c r="Y272" s="12" t="inlineStr"/>
      <c r="Z272" s="12" t="inlineStr"/>
      <c r="AA272" s="12" t="inlineStr"/>
      <c r="AB272" s="12" t="inlineStr">
        <is>
          <t>https://www.taylormorrison.com/contact-us</t>
        </is>
      </c>
      <c r="AC272" s="12" t="inlineStr"/>
      <c r="AD272" s="12" t="inlineStr"/>
    </row>
    <row r="273">
      <c r="A273" s="6" t="inlineStr">
        <is>
          <t>Amy Rino</t>
        </is>
      </c>
      <c r="B273" s="6" t="inlineStr">
        <is>
          <t>Taylor Morrison Home Corporation</t>
        </is>
      </c>
      <c r="C273" s="6" t="inlineStr">
        <is>
          <t>Chief Customer Officer, Taylor Morrison, Scottsdale (2026), formerly Houston Division President</t>
        </is>
      </c>
      <c r="D273" s="7" t="inlineStr">
        <is>
          <t>National builder</t>
        </is>
      </c>
      <c r="E273" s="8" t="n">
        <v>1</v>
      </c>
      <c r="F273" s="6" t="inlineStr">
        <is>
          <t>Buys walls</t>
        </is>
      </c>
      <c r="G273" s="6" t="inlineStr">
        <is>
          <t>Scottsdale HQ / Harris County</t>
        </is>
      </c>
      <c r="H273" s="6" t="inlineStr">
        <is>
          <t>240-home Houston BTR community</t>
        </is>
      </c>
      <c r="I273" s="8" t="inlineStr">
        <is>
          <t>Yes</t>
        </is>
      </c>
      <c r="J273" s="9" t="inlineStr">
        <is>
          <t>A 240-home Houston build-to-rent community and a dedicated brand.</t>
        </is>
      </c>
      <c r="K273" s="8" t="inlineStr">
        <is>
          <t>No</t>
        </is>
      </c>
      <c r="L273" s="9" t="inlineStr">
        <is>
          <t>National builder, national rental brand.</t>
        </is>
      </c>
      <c r="M273" s="8" t="inlineStr">
        <is>
          <t>No</t>
        </is>
      </c>
      <c r="N273" s="9" t="inlineStr">
        <is>
          <t>Yardly retrospective cites input costs. No method detail.</t>
        </is>
      </c>
      <c r="O273" s="6" t="inlineStr">
        <is>
          <t>https://www.linkedin.com/in/amy-rino-5152b111/</t>
        </is>
      </c>
      <c r="P273" s="6" t="inlineStr"/>
      <c r="Q273" s="11">
        <f>IF(O273="","ADD LINKEDIN","ok")</f>
        <v/>
      </c>
      <c r="R273" s="6" t="inlineStr">
        <is>
          <t>https://www.taylormorrison.com/</t>
        </is>
      </c>
      <c r="S273" s="9" t="inlineStr">
        <is>
          <t>Runs Yardly, a national build-to-rent brand, but its Houston division president is unconfirmed, last dated 2018.</t>
        </is>
      </c>
      <c r="T273" s="6" t="inlineStr"/>
      <c r="U273" s="9" t="inlineStr">
        <is>
          <t>Scottsdale in 2026. No longer Houston division president.</t>
        </is>
      </c>
      <c r="V273" s="6" t="inlineStr"/>
      <c r="W273" s="6" t="inlineStr">
        <is>
          <t>https://www.linkedin.com/company/taylor-morrison</t>
        </is>
      </c>
      <c r="X273" s="6" t="inlineStr">
        <is>
          <t>https://newsroom.taylormorrison.com/Leadership</t>
        </is>
      </c>
      <c r="Y273" s="6" t="inlineStr"/>
      <c r="Z273" s="6" t="inlineStr"/>
      <c r="AA273" s="6" t="inlineStr"/>
      <c r="AB273" s="6" t="inlineStr">
        <is>
          <t>https://www.taylormorrison.com/contact-us</t>
        </is>
      </c>
      <c r="AC273" s="6" t="inlineStr"/>
      <c r="AD273" s="6" t="inlineStr"/>
    </row>
    <row r="274">
      <c r="A274" s="12" t="inlineStr">
        <is>
          <t>Ken Balogh</t>
        </is>
      </c>
      <c r="B274" s="12" t="inlineStr">
        <is>
          <t>Ashton Woods Homes</t>
        </is>
      </c>
      <c r="C274" s="12" t="inlineStr">
        <is>
          <t>President and Chief Executive Officer</t>
        </is>
      </c>
      <c r="D274" s="13" t="inlineStr">
        <is>
          <t>National builder</t>
        </is>
      </c>
      <c r="E274" s="14" t="n">
        <v>1</v>
      </c>
      <c r="F274" s="12" t="inlineStr">
        <is>
          <t>Buys walls</t>
        </is>
      </c>
      <c r="G274" s="12" t="inlineStr">
        <is>
          <t>Alpharetta HQ / Harris, Fort Bend</t>
        </is>
      </c>
      <c r="H274" s="12" t="inlineStr">
        <is>
          <t>1,115 Houston closings in 2025, sixth in the metro</t>
        </is>
      </c>
      <c r="I274" s="14" t="inlineStr">
        <is>
          <t>Yes</t>
        </is>
      </c>
      <c r="J274" s="15" t="inlineStr">
        <is>
          <t>Fourteen named Houston communities.</t>
        </is>
      </c>
      <c r="K274" s="14" t="inlineStr">
        <is>
          <t>No</t>
        </is>
      </c>
      <c r="L274" s="15" t="inlineStr">
        <is>
          <t>1,115 Houston closings in 2025. Purchasing is a corporate function.</t>
        </is>
      </c>
      <c r="M274" s="14" t="inlineStr">
        <is>
          <t>No</t>
        </is>
      </c>
      <c r="N274" s="15" t="inlineStr">
        <is>
          <t>No method evidence.</t>
        </is>
      </c>
      <c r="O274" s="10" t="inlineStr"/>
      <c r="P274" s="12">
        <f>HYPERLINK("https://www.linkedin.com/search/results/people/?keywords=Ken%20Balogh%20Ashton%20Woods%20Homes","search")</f>
        <v/>
      </c>
      <c r="Q274" s="16">
        <f>IF(O274="","ADD LINKEDIN","ok")</f>
        <v/>
      </c>
      <c r="R274" s="12" t="inlineStr">
        <is>
          <t>https://www.ashtonwoods.com/</t>
        </is>
      </c>
      <c r="S274" s="15" t="inlineStr">
        <is>
          <t>Purchasing is a corporate function, but it has a named Texas regional president.</t>
        </is>
      </c>
      <c r="T274" s="12" t="inlineStr"/>
      <c r="U274" s="15" t="inlineStr"/>
      <c r="V274" s="12" t="inlineStr">
        <is>
          <t>https://www.ashtonwoods.com/corporate-info</t>
        </is>
      </c>
      <c r="W274" s="12" t="inlineStr">
        <is>
          <t>https://www.linkedin.com/company/ashton-woods-homes</t>
        </is>
      </c>
      <c r="X274" s="12" t="inlineStr">
        <is>
          <t>https://www.ashtonwoods.com/corporate-info</t>
        </is>
      </c>
      <c r="Y274" s="12" t="inlineStr"/>
      <c r="Z274" s="12" t="inlineStr">
        <is>
          <t>(770) 998-9663</t>
        </is>
      </c>
      <c r="AA274" s="12" t="inlineStr">
        <is>
          <t>corporate headquarters, Alpharetta, Georgia</t>
        </is>
      </c>
      <c r="AB274" s="12" t="inlineStr">
        <is>
          <t>https://www.ashtonwoods.com/corporate-info</t>
        </is>
      </c>
      <c r="AC274" s="12" t="inlineStr"/>
      <c r="AD274" s="12" t="inlineStr"/>
    </row>
    <row r="275">
      <c r="A275" s="6" t="inlineStr">
        <is>
          <t>Lindsay Motley</t>
        </is>
      </c>
      <c r="B275" s="6" t="inlineStr">
        <is>
          <t>Ashton Woods Homes</t>
        </is>
      </c>
      <c r="C275" s="6" t="inlineStr">
        <is>
          <t>Regional President, Texas</t>
        </is>
      </c>
      <c r="D275" s="7" t="inlineStr">
        <is>
          <t>National builder</t>
        </is>
      </c>
      <c r="E275" s="8" t="n">
        <v>1</v>
      </c>
      <c r="F275" s="6" t="inlineStr">
        <is>
          <t>Buys walls</t>
        </is>
      </c>
      <c r="G275" s="6" t="inlineStr">
        <is>
          <t>Alpharetta HQ / Harris, Fort Bend</t>
        </is>
      </c>
      <c r="H275" s="6" t="inlineStr">
        <is>
          <t>1,115 Houston closings in 2025, sixth in the metro</t>
        </is>
      </c>
      <c r="I275" s="8" t="inlineStr">
        <is>
          <t>Yes</t>
        </is>
      </c>
      <c r="J275" s="9" t="inlineStr">
        <is>
          <t>Fourteen named Houston communities.</t>
        </is>
      </c>
      <c r="K275" s="8" t="inlineStr">
        <is>
          <t>No</t>
        </is>
      </c>
      <c r="L275" s="9" t="inlineStr">
        <is>
          <t>1,115 Houston closings in 2025. Purchasing is a corporate function.</t>
        </is>
      </c>
      <c r="M275" s="8" t="inlineStr">
        <is>
          <t>No</t>
        </is>
      </c>
      <c r="N275" s="9" t="inlineStr">
        <is>
          <t>No method evidence.</t>
        </is>
      </c>
      <c r="O275" s="10" t="inlineStr"/>
      <c r="P275" s="6">
        <f>HYPERLINK("https://www.linkedin.com/search/results/people/?keywords=Lindsay%20Motley%20Ashton%20Woods%20Homes","search")</f>
        <v/>
      </c>
      <c r="Q275" s="11">
        <f>IF(O275="","ADD LINKEDIN","ok")</f>
        <v/>
      </c>
      <c r="R275" s="6" t="inlineStr">
        <is>
          <t>https://www.ashtonwoods.com/</t>
        </is>
      </c>
      <c r="S275" s="9" t="inlineStr">
        <is>
          <t>Purchasing is a corporate function, but it has a named Texas regional president.</t>
        </is>
      </c>
      <c r="T275" s="6" t="inlineStr">
        <is>
          <t>YES</t>
        </is>
      </c>
      <c r="U275" s="9" t="inlineStr">
        <is>
          <t>Corporate page.</t>
        </is>
      </c>
      <c r="V275" s="6" t="inlineStr">
        <is>
          <t>https://www.ashtonwoods.com/corporate-info</t>
        </is>
      </c>
      <c r="W275" s="6" t="inlineStr">
        <is>
          <t>https://www.linkedin.com/company/ashton-woods-homes</t>
        </is>
      </c>
      <c r="X275" s="6" t="inlineStr">
        <is>
          <t>https://www.ashtonwoods.com/corporate-info</t>
        </is>
      </c>
      <c r="Y275" s="6" t="inlineStr"/>
      <c r="Z275" s="6" t="inlineStr">
        <is>
          <t>(770) 998-9663</t>
        </is>
      </c>
      <c r="AA275" s="6" t="inlineStr">
        <is>
          <t>corporate headquarters, Alpharetta, Georgia</t>
        </is>
      </c>
      <c r="AB275" s="6" t="inlineStr">
        <is>
          <t>https://www.ashtonwoods.com/corporate-info</t>
        </is>
      </c>
      <c r="AC275" s="6" t="inlineStr"/>
      <c r="AD275" s="6" t="inlineStr"/>
    </row>
    <row r="276">
      <c r="A276" s="12" t="inlineStr">
        <is>
          <t>Ryan Lewis</t>
        </is>
      </c>
      <c r="B276" s="12" t="inlineStr">
        <is>
          <t>Ashton Woods Homes</t>
        </is>
      </c>
      <c r="C276" s="12" t="inlineStr">
        <is>
          <t>Chief Operating Officer</t>
        </is>
      </c>
      <c r="D276" s="13" t="inlineStr">
        <is>
          <t>National builder</t>
        </is>
      </c>
      <c r="E276" s="14" t="n">
        <v>1</v>
      </c>
      <c r="F276" s="12" t="inlineStr">
        <is>
          <t>Buys walls</t>
        </is>
      </c>
      <c r="G276" s="12" t="inlineStr">
        <is>
          <t>Alpharetta HQ / Harris, Fort Bend</t>
        </is>
      </c>
      <c r="H276" s="12" t="inlineStr">
        <is>
          <t>1,115 Houston closings in 2025, sixth in the metro</t>
        </is>
      </c>
      <c r="I276" s="14" t="inlineStr">
        <is>
          <t>Yes</t>
        </is>
      </c>
      <c r="J276" s="15" t="inlineStr">
        <is>
          <t>Fourteen named Houston communities.</t>
        </is>
      </c>
      <c r="K276" s="14" t="inlineStr">
        <is>
          <t>No</t>
        </is>
      </c>
      <c r="L276" s="15" t="inlineStr">
        <is>
          <t>1,115 Houston closings in 2025. Purchasing is a corporate function.</t>
        </is>
      </c>
      <c r="M276" s="14" t="inlineStr">
        <is>
          <t>No</t>
        </is>
      </c>
      <c r="N276" s="15" t="inlineStr">
        <is>
          <t>No method evidence.</t>
        </is>
      </c>
      <c r="O276" s="10" t="inlineStr"/>
      <c r="P276" s="12">
        <f>HYPERLINK("https://www.linkedin.com/search/results/people/?keywords=Ryan%20Lewis%20Ashton%20Woods%20Homes","search")</f>
        <v/>
      </c>
      <c r="Q276" s="16">
        <f>IF(O276="","ADD LINKEDIN","ok")</f>
        <v/>
      </c>
      <c r="R276" s="12" t="inlineStr">
        <is>
          <t>https://www.ashtonwoods.com/</t>
        </is>
      </c>
      <c r="S276" s="15" t="inlineStr">
        <is>
          <t>Purchasing is a corporate function, but it has a named Texas regional president.</t>
        </is>
      </c>
      <c r="T276" s="12" t="inlineStr"/>
      <c r="U276" s="15" t="inlineStr"/>
      <c r="V276" s="12" t="inlineStr">
        <is>
          <t>https://www.ashtonwoods.com/corporate-info</t>
        </is>
      </c>
      <c r="W276" s="12" t="inlineStr">
        <is>
          <t>https://www.linkedin.com/company/ashton-woods-homes</t>
        </is>
      </c>
      <c r="X276" s="12" t="inlineStr">
        <is>
          <t>https://www.ashtonwoods.com/corporate-info</t>
        </is>
      </c>
      <c r="Y276" s="12" t="inlineStr"/>
      <c r="Z276" s="12" t="inlineStr">
        <is>
          <t>(770) 998-9663</t>
        </is>
      </c>
      <c r="AA276" s="12" t="inlineStr">
        <is>
          <t>corporate headquarters, Alpharetta, Georgia</t>
        </is>
      </c>
      <c r="AB276" s="12" t="inlineStr">
        <is>
          <t>https://www.ashtonwoods.com/corporate-info</t>
        </is>
      </c>
      <c r="AC276" s="12" t="inlineStr"/>
      <c r="AD276" s="12" t="inlineStr"/>
    </row>
    <row r="277">
      <c r="A277" s="6" t="inlineStr">
        <is>
          <t>Adam Weaver</t>
        </is>
      </c>
      <c r="B277" s="6" t="inlineStr">
        <is>
          <t>Ashton Woods Homes</t>
        </is>
      </c>
      <c r="C277" s="6" t="inlineStr">
        <is>
          <t>Senior Vice President of Purchasing</t>
        </is>
      </c>
      <c r="D277" s="7" t="inlineStr">
        <is>
          <t>National builder</t>
        </is>
      </c>
      <c r="E277" s="8" t="n">
        <v>1</v>
      </c>
      <c r="F277" s="6" t="inlineStr">
        <is>
          <t>Buys walls</t>
        </is>
      </c>
      <c r="G277" s="6" t="inlineStr">
        <is>
          <t>Alpharetta HQ / Harris, Fort Bend</t>
        </is>
      </c>
      <c r="H277" s="6" t="inlineStr">
        <is>
          <t>1,115 Houston closings in 2025, sixth in the metro</t>
        </is>
      </c>
      <c r="I277" s="8" t="inlineStr">
        <is>
          <t>Yes</t>
        </is>
      </c>
      <c r="J277" s="9" t="inlineStr">
        <is>
          <t>Fourteen named Houston communities.</t>
        </is>
      </c>
      <c r="K277" s="8" t="inlineStr">
        <is>
          <t>No</t>
        </is>
      </c>
      <c r="L277" s="9" t="inlineStr">
        <is>
          <t>1,115 Houston closings in 2025. Purchasing is a corporate function.</t>
        </is>
      </c>
      <c r="M277" s="8" t="inlineStr">
        <is>
          <t>No</t>
        </is>
      </c>
      <c r="N277" s="9" t="inlineStr">
        <is>
          <t>No method evidence.</t>
        </is>
      </c>
      <c r="O277" s="10" t="inlineStr"/>
      <c r="P277" s="6" t="inlineStr"/>
      <c r="Q277" s="11">
        <f>IF(O277="","ADD LINKEDIN","ok")</f>
        <v/>
      </c>
      <c r="R277" s="6" t="inlineStr">
        <is>
          <t>https://www.ashtonwoods.com/</t>
        </is>
      </c>
      <c r="S277" s="9" t="inlineStr">
        <is>
          <t>Purchasing is a corporate function, but it has a named Texas regional president.</t>
        </is>
      </c>
      <c r="T277" s="6" t="inlineStr">
        <is>
          <t>YES</t>
        </is>
      </c>
      <c r="U277" s="9" t="inlineStr"/>
      <c r="V277" s="6" t="inlineStr">
        <is>
          <t>https://www.ashtonwoods.com/corporate-info</t>
        </is>
      </c>
      <c r="W277" s="6" t="inlineStr">
        <is>
          <t>https://www.linkedin.com/company/ashton-woods-homes</t>
        </is>
      </c>
      <c r="X277" s="6" t="inlineStr">
        <is>
          <t>https://www.ashtonwoods.com/corporate-info</t>
        </is>
      </c>
      <c r="Y277" s="6" t="inlineStr"/>
      <c r="Z277" s="6" t="inlineStr">
        <is>
          <t>(770) 998-9663</t>
        </is>
      </c>
      <c r="AA277" s="6" t="inlineStr">
        <is>
          <t>corporate headquarters, Alpharetta, Georgia</t>
        </is>
      </c>
      <c r="AB277" s="6" t="inlineStr">
        <is>
          <t>https://www.ashtonwoods.com/corporate-info</t>
        </is>
      </c>
      <c r="AC277" s="6" t="inlineStr"/>
      <c r="AD277" s="6" t="inlineStr"/>
    </row>
    <row r="278">
      <c r="A278" s="12" t="inlineStr">
        <is>
          <t>Ken Newman</t>
        </is>
      </c>
      <c r="B278" s="12" t="inlineStr">
        <is>
          <t>Ashton Woods Homes</t>
        </is>
      </c>
      <c r="C278" s="12" t="inlineStr">
        <is>
          <t>Senior Vice President of Construction Operations</t>
        </is>
      </c>
      <c r="D278" s="13" t="inlineStr">
        <is>
          <t>National builder</t>
        </is>
      </c>
      <c r="E278" s="14" t="n">
        <v>1</v>
      </c>
      <c r="F278" s="12" t="inlineStr">
        <is>
          <t>Buys walls</t>
        </is>
      </c>
      <c r="G278" s="12" t="inlineStr">
        <is>
          <t>Alpharetta HQ / Harris, Fort Bend</t>
        </is>
      </c>
      <c r="H278" s="12" t="inlineStr">
        <is>
          <t>1,115 Houston closings in 2025, sixth in the metro</t>
        </is>
      </c>
      <c r="I278" s="14" t="inlineStr">
        <is>
          <t>Yes</t>
        </is>
      </c>
      <c r="J278" s="15" t="inlineStr">
        <is>
          <t>Fourteen named Houston communities.</t>
        </is>
      </c>
      <c r="K278" s="14" t="inlineStr">
        <is>
          <t>No</t>
        </is>
      </c>
      <c r="L278" s="15" t="inlineStr">
        <is>
          <t>1,115 Houston closings in 2025. Purchasing is a corporate function.</t>
        </is>
      </c>
      <c r="M278" s="14" t="inlineStr">
        <is>
          <t>No</t>
        </is>
      </c>
      <c r="N278" s="15" t="inlineStr">
        <is>
          <t>No method evidence.</t>
        </is>
      </c>
      <c r="O278" s="10" t="inlineStr"/>
      <c r="P278" s="12" t="inlineStr"/>
      <c r="Q278" s="16">
        <f>IF(O278="","ADD LINKEDIN","ok")</f>
        <v/>
      </c>
      <c r="R278" s="12" t="inlineStr">
        <is>
          <t>https://www.ashtonwoods.com/</t>
        </is>
      </c>
      <c r="S278" s="15" t="inlineStr">
        <is>
          <t>Purchasing is a corporate function, but it has a named Texas regional president.</t>
        </is>
      </c>
      <c r="T278" s="12" t="inlineStr">
        <is>
          <t>YES</t>
        </is>
      </c>
      <c r="U278" s="15" t="inlineStr"/>
      <c r="V278" s="12" t="inlineStr">
        <is>
          <t>https://www.ashtonwoods.com/corporate-info</t>
        </is>
      </c>
      <c r="W278" s="12" t="inlineStr">
        <is>
          <t>https://www.linkedin.com/company/ashton-woods-homes</t>
        </is>
      </c>
      <c r="X278" s="12" t="inlineStr">
        <is>
          <t>https://www.ashtonwoods.com/corporate-info</t>
        </is>
      </c>
      <c r="Y278" s="12" t="inlineStr"/>
      <c r="Z278" s="12" t="inlineStr">
        <is>
          <t>(770) 998-9663</t>
        </is>
      </c>
      <c r="AA278" s="12" t="inlineStr">
        <is>
          <t>corporate headquarters, Alpharetta, Georgia</t>
        </is>
      </c>
      <c r="AB278" s="12" t="inlineStr">
        <is>
          <t>https://www.ashtonwoods.com/corporate-info</t>
        </is>
      </c>
      <c r="AC278" s="12" t="inlineStr"/>
      <c r="AD278" s="12" t="inlineStr"/>
    </row>
    <row r="279">
      <c r="A279" s="6" t="inlineStr">
        <is>
          <t>Jay Brown</t>
        </is>
      </c>
      <c r="B279" s="6" t="inlineStr">
        <is>
          <t>David Weekley Homes</t>
        </is>
      </c>
      <c r="C279" s="6" t="inlineStr">
        <is>
          <t>Chief Executive Officer</t>
        </is>
      </c>
      <c r="D279" s="7" t="inlineStr">
        <is>
          <t>National builder</t>
        </is>
      </c>
      <c r="E279" s="8" t="n">
        <v>1</v>
      </c>
      <c r="F279" s="6" t="inlineStr">
        <is>
          <t>Buys walls</t>
        </is>
      </c>
      <c r="G279" s="6" t="inlineStr">
        <is>
          <t>Houston HQ, Harris County</t>
        </is>
      </c>
      <c r="H279" s="6" t="inlineStr">
        <is>
          <t>125,000+ homes, 19 markets, Houston HQ</t>
        </is>
      </c>
      <c r="I279" s="8" t="inlineStr">
        <is>
          <t>Yes</t>
        </is>
      </c>
      <c r="J279" s="9" t="inlineStr">
        <is>
          <t>Home market. Builds across the metro.</t>
        </is>
      </c>
      <c r="K279" s="8" t="inlineStr">
        <is>
          <t>No</t>
        </is>
      </c>
      <c r="L279" s="9" t="inlineStr">
        <is>
          <t>National builder, national supply chain.</t>
        </is>
      </c>
      <c r="M279" s="8" t="inlineStr">
        <is>
          <t>No</t>
        </is>
      </c>
      <c r="N279" s="9" t="inlineStr">
        <is>
          <t>Named suppliers for the whole envelope in 2026. A supply commitment, no method.</t>
        </is>
      </c>
      <c r="O279" s="6" t="inlineStr">
        <is>
          <t>https://www.linkedin.com/in/jay-brown-14305a12/</t>
        </is>
      </c>
      <c r="P279" s="6" t="inlineStr"/>
      <c r="Q279" s="11">
        <f>IF(O279="","ADD LINKEDIN","ok")</f>
        <v/>
      </c>
      <c r="R279" s="6" t="inlineStr">
        <is>
          <t>https://www.davidweekleyhomes.com/</t>
        </is>
      </c>
      <c r="S279" s="9" t="inlineStr">
        <is>
          <t>Its 2026 partner list names suppliers for the whole envelope, so a printed wall would replace part of a supply commitment.</t>
        </is>
      </c>
      <c r="T279" s="6" t="inlineStr"/>
      <c r="U279" s="9" t="inlineStr">
        <is>
          <t>Chief Executive Officer, David Weekley Homes. Houston.</t>
        </is>
      </c>
      <c r="V279" s="6" t="inlineStr"/>
      <c r="W279" s="6" t="inlineStr">
        <is>
          <t>https://www.linkedin.com/company/david-weekley-homes</t>
        </is>
      </c>
      <c r="X279" s="6" t="inlineStr">
        <is>
          <t>https://www.davidweekleyhomes.com/about-us/meet-the-team</t>
        </is>
      </c>
      <c r="Y279" s="6" t="inlineStr"/>
      <c r="Z279" s="6" t="inlineStr">
        <is>
          <t>(844) 777-3717</t>
        </is>
      </c>
      <c r="AA279" s="6" t="inlineStr"/>
      <c r="AB279" s="6" t="inlineStr">
        <is>
          <t>https://www.davidweekleyhomes.com/</t>
        </is>
      </c>
      <c r="AC279" s="6" t="inlineStr"/>
      <c r="AD279" s="6" t="inlineStr"/>
    </row>
    <row r="280">
      <c r="A280" s="12" t="inlineStr">
        <is>
          <t>Chris Weekley</t>
        </is>
      </c>
      <c r="B280" s="12" t="inlineStr">
        <is>
          <t>David Weekley Homes</t>
        </is>
      </c>
      <c r="C280" s="12" t="inlineStr">
        <is>
          <t>President and Vice Chairman</t>
        </is>
      </c>
      <c r="D280" s="13" t="inlineStr">
        <is>
          <t>National builder</t>
        </is>
      </c>
      <c r="E280" s="14" t="n">
        <v>1</v>
      </c>
      <c r="F280" s="12" t="inlineStr">
        <is>
          <t>Buys walls</t>
        </is>
      </c>
      <c r="G280" s="12" t="inlineStr">
        <is>
          <t>Houston HQ, Harris County</t>
        </is>
      </c>
      <c r="H280" s="12" t="inlineStr">
        <is>
          <t>125,000+ homes, 19 markets, Houston HQ</t>
        </is>
      </c>
      <c r="I280" s="14" t="inlineStr">
        <is>
          <t>Yes</t>
        </is>
      </c>
      <c r="J280" s="15" t="inlineStr">
        <is>
          <t>Home market. Builds across the metro.</t>
        </is>
      </c>
      <c r="K280" s="14" t="inlineStr">
        <is>
          <t>No</t>
        </is>
      </c>
      <c r="L280" s="15" t="inlineStr">
        <is>
          <t>National builder, national supply chain.</t>
        </is>
      </c>
      <c r="M280" s="14" t="inlineStr">
        <is>
          <t>No</t>
        </is>
      </c>
      <c r="N280" s="15" t="inlineStr">
        <is>
          <t>Named suppliers for the whole envelope in 2026. A supply commitment, no method.</t>
        </is>
      </c>
      <c r="O280" s="10" t="inlineStr"/>
      <c r="P280" s="12">
        <f>HYPERLINK("https://www.linkedin.com/search/results/people/?keywords=Chris%20Weekley%20David%20Weekley%20Homes","search")</f>
        <v/>
      </c>
      <c r="Q280" s="16">
        <f>IF(O280="","ADD LINKEDIN","ok")</f>
        <v/>
      </c>
      <c r="R280" s="12" t="inlineStr">
        <is>
          <t>https://www.davidweekleyhomes.com/</t>
        </is>
      </c>
      <c r="S280" s="15" t="inlineStr">
        <is>
          <t>Its 2026 partner list names suppliers for the whole envelope, so a printed wall would replace part of a supply commitment.</t>
        </is>
      </c>
      <c r="T280" s="12" t="inlineStr"/>
      <c r="U280" s="15" t="inlineStr">
        <is>
          <t>Firm's page credits him with innovation and developer relationships.</t>
        </is>
      </c>
      <c r="V280" s="12" t="inlineStr">
        <is>
          <t>https://www.davidweekleyhomes.com/about-us/meet-the-team</t>
        </is>
      </c>
      <c r="W280" s="12" t="inlineStr">
        <is>
          <t>https://www.linkedin.com/company/david-weekley-homes</t>
        </is>
      </c>
      <c r="X280" s="12" t="inlineStr">
        <is>
          <t>https://www.davidweekleyhomes.com/about-us/meet-the-team</t>
        </is>
      </c>
      <c r="Y280" s="12" t="inlineStr"/>
      <c r="Z280" s="12" t="inlineStr">
        <is>
          <t>(844) 777-3717</t>
        </is>
      </c>
      <c r="AA280" s="12" t="inlineStr"/>
      <c r="AB280" s="12" t="inlineStr">
        <is>
          <t>https://www.davidweekleyhomes.com/</t>
        </is>
      </c>
      <c r="AC280" s="12" t="inlineStr"/>
      <c r="AD280" s="12" t="inlineStr"/>
    </row>
    <row r="281">
      <c r="A281" s="6" t="inlineStr">
        <is>
          <t>David Weekley</t>
        </is>
      </c>
      <c r="B281" s="6" t="inlineStr">
        <is>
          <t>David Weekley Homes</t>
        </is>
      </c>
      <c r="C281" s="6" t="inlineStr">
        <is>
          <t>Chairman and Founder</t>
        </is>
      </c>
      <c r="D281" s="7" t="inlineStr">
        <is>
          <t>National builder</t>
        </is>
      </c>
      <c r="E281" s="8" t="n">
        <v>1</v>
      </c>
      <c r="F281" s="6" t="inlineStr">
        <is>
          <t>Buys walls</t>
        </is>
      </c>
      <c r="G281" s="6" t="inlineStr">
        <is>
          <t>Houston HQ, Harris County</t>
        </is>
      </c>
      <c r="H281" s="6" t="inlineStr">
        <is>
          <t>125,000+ homes, 19 markets, Houston HQ</t>
        </is>
      </c>
      <c r="I281" s="8" t="inlineStr">
        <is>
          <t>Yes</t>
        </is>
      </c>
      <c r="J281" s="9" t="inlineStr">
        <is>
          <t>Home market. Builds across the metro.</t>
        </is>
      </c>
      <c r="K281" s="8" t="inlineStr">
        <is>
          <t>No</t>
        </is>
      </c>
      <c r="L281" s="9" t="inlineStr">
        <is>
          <t>National builder, national supply chain.</t>
        </is>
      </c>
      <c r="M281" s="8" t="inlineStr">
        <is>
          <t>No</t>
        </is>
      </c>
      <c r="N281" s="9" t="inlineStr">
        <is>
          <t>Named suppliers for the whole envelope in 2026. A supply commitment, no method.</t>
        </is>
      </c>
      <c r="O281" s="10" t="inlineStr"/>
      <c r="P281" s="6">
        <f>HYPERLINK("https://www.linkedin.com/search/results/people/?keywords=David%20Weekley%20David%20Weekley%20Homes","search")</f>
        <v/>
      </c>
      <c r="Q281" s="11">
        <f>IF(O281="","ADD LINKEDIN","ok")</f>
        <v/>
      </c>
      <c r="R281" s="6" t="inlineStr">
        <is>
          <t>https://www.davidweekleyhomes.com/</t>
        </is>
      </c>
      <c r="S281" s="9" t="inlineStr">
        <is>
          <t>Its 2026 partner list names suppliers for the whole envelope, so a printed wall would replace part of a supply commitment.</t>
        </is>
      </c>
      <c r="T281" s="6" t="inlineStr"/>
      <c r="U281" s="9" t="inlineStr">
        <is>
          <t>Started the company in 1976 at twenty-three.</t>
        </is>
      </c>
      <c r="V281" s="6" t="inlineStr">
        <is>
          <t>https://www.davidweekleyhomes.com/about-us/meet-the-team</t>
        </is>
      </c>
      <c r="W281" s="6" t="inlineStr">
        <is>
          <t>https://www.linkedin.com/company/david-weekley-homes</t>
        </is>
      </c>
      <c r="X281" s="6" t="inlineStr">
        <is>
          <t>https://www.davidweekleyhomes.com/about-us/meet-the-team</t>
        </is>
      </c>
      <c r="Y281" s="6" t="inlineStr"/>
      <c r="Z281" s="6" t="inlineStr">
        <is>
          <t>(844) 777-3717</t>
        </is>
      </c>
      <c r="AA281" s="6" t="inlineStr"/>
      <c r="AB281" s="6" t="inlineStr">
        <is>
          <t>https://www.davidweekleyhomes.com/</t>
        </is>
      </c>
      <c r="AC281" s="6" t="inlineStr"/>
      <c r="AD281" s="6" t="inlineStr"/>
    </row>
    <row r="282">
      <c r="A282" s="12" t="inlineStr">
        <is>
          <t>John Schiegg</t>
        </is>
      </c>
      <c r="B282" s="12" t="inlineStr">
        <is>
          <t>David Weekley Homes</t>
        </is>
      </c>
      <c r="C282" s="12" t="inlineStr">
        <is>
          <t>Vice President of Purchasing and Supply Chain, David Weekley Homes</t>
        </is>
      </c>
      <c r="D282" s="13" t="inlineStr">
        <is>
          <t>National builder</t>
        </is>
      </c>
      <c r="E282" s="14" t="n">
        <v>1</v>
      </c>
      <c r="F282" s="12" t="inlineStr">
        <is>
          <t>Buys walls</t>
        </is>
      </c>
      <c r="G282" s="12" t="inlineStr">
        <is>
          <t>Houston HQ, Harris County</t>
        </is>
      </c>
      <c r="H282" s="12" t="inlineStr">
        <is>
          <t>125,000+ homes, 19 markets, Houston HQ</t>
        </is>
      </c>
      <c r="I282" s="14" t="inlineStr">
        <is>
          <t>Yes</t>
        </is>
      </c>
      <c r="J282" s="15" t="inlineStr">
        <is>
          <t>Home market. Builds across the metro.</t>
        </is>
      </c>
      <c r="K282" s="14" t="inlineStr">
        <is>
          <t>No</t>
        </is>
      </c>
      <c r="L282" s="15" t="inlineStr">
        <is>
          <t>National builder, national supply chain.</t>
        </is>
      </c>
      <c r="M282" s="14" t="inlineStr">
        <is>
          <t>No</t>
        </is>
      </c>
      <c r="N282" s="15" t="inlineStr">
        <is>
          <t>Named suppliers for the whole envelope in 2026. A supply commitment, no method.</t>
        </is>
      </c>
      <c r="O282" s="6" t="inlineStr">
        <is>
          <t>https://www.linkedin.com/in/john-schiegg-7593996/</t>
        </is>
      </c>
      <c r="P282" s="12" t="inlineStr"/>
      <c r="Q282" s="16">
        <f>IF(O282="","ADD LINKEDIN","ok")</f>
        <v/>
      </c>
      <c r="R282" s="12" t="inlineStr">
        <is>
          <t>https://www.davidweekleyhomes.com/</t>
        </is>
      </c>
      <c r="S282" s="15" t="inlineStr">
        <is>
          <t>Its 2026 partner list names suppliers for the whole envelope, so a printed wall would replace part of a supply commitment.</t>
        </is>
      </c>
      <c r="T282" s="12" t="inlineStr">
        <is>
          <t>YES</t>
        </is>
      </c>
      <c r="U282" s="15" t="inlineStr">
        <is>
          <t>David Weekley Homes, Houston.</t>
        </is>
      </c>
      <c r="V282" s="12" t="inlineStr">
        <is>
          <t>https://www.prnewswire.com/news-releases/david-weekley-homes-announces-2026-national-preferred-partners-302809074.html</t>
        </is>
      </c>
      <c r="W282" s="12" t="inlineStr">
        <is>
          <t>https://www.linkedin.com/company/david-weekley-homes</t>
        </is>
      </c>
      <c r="X282" s="12" t="inlineStr">
        <is>
          <t>https://www.davidweekleyhomes.com/about-us/meet-the-team</t>
        </is>
      </c>
      <c r="Y282" s="12" t="inlineStr"/>
      <c r="Z282" s="12" t="inlineStr">
        <is>
          <t>(844) 777-3717</t>
        </is>
      </c>
      <c r="AA282" s="12" t="inlineStr"/>
      <c r="AB282" s="12" t="inlineStr">
        <is>
          <t>https://www.davidweekleyhomes.com/</t>
        </is>
      </c>
      <c r="AC282" s="12" t="inlineStr"/>
      <c r="AD282" s="12" t="inlineStr"/>
    </row>
    <row r="283">
      <c r="A283" s="6" t="inlineStr">
        <is>
          <t>Ladd Fargo</t>
        </is>
      </c>
      <c r="B283" s="6" t="inlineStr">
        <is>
          <t>David Weekley Homes</t>
        </is>
      </c>
      <c r="C283" s="6" t="inlineStr">
        <is>
          <t>Chief Operating Officer, David Weekley Homes</t>
        </is>
      </c>
      <c r="D283" s="7" t="inlineStr">
        <is>
          <t>National builder</t>
        </is>
      </c>
      <c r="E283" s="8" t="n">
        <v>1</v>
      </c>
      <c r="F283" s="6" t="inlineStr">
        <is>
          <t>Buys walls</t>
        </is>
      </c>
      <c r="G283" s="6" t="inlineStr">
        <is>
          <t>Houston HQ, Harris County</t>
        </is>
      </c>
      <c r="H283" s="6" t="inlineStr">
        <is>
          <t>125,000+ homes, 19 markets, Houston HQ</t>
        </is>
      </c>
      <c r="I283" s="8" t="inlineStr">
        <is>
          <t>Yes</t>
        </is>
      </c>
      <c r="J283" s="9" t="inlineStr">
        <is>
          <t>Home market. Builds across the metro.</t>
        </is>
      </c>
      <c r="K283" s="8" t="inlineStr">
        <is>
          <t>No</t>
        </is>
      </c>
      <c r="L283" s="9" t="inlineStr">
        <is>
          <t>National builder, national supply chain.</t>
        </is>
      </c>
      <c r="M283" s="8" t="inlineStr">
        <is>
          <t>No</t>
        </is>
      </c>
      <c r="N283" s="9" t="inlineStr">
        <is>
          <t>Named suppliers for the whole envelope in 2026. A supply commitment, no method.</t>
        </is>
      </c>
      <c r="O283" s="6" t="inlineStr">
        <is>
          <t>https://www.linkedin.com/in/ladd-fargo-241a47259/</t>
        </is>
      </c>
      <c r="P283" s="6" t="inlineStr"/>
      <c r="Q283" s="11">
        <f>IF(O283="","ADD LINKEDIN","ok")</f>
        <v/>
      </c>
      <c r="R283" s="6" t="inlineStr">
        <is>
          <t>https://www.davidweekleyhomes.com/</t>
        </is>
      </c>
      <c r="S283" s="9" t="inlineStr">
        <is>
          <t>Its 2026 partner list names suppliers for the whole envelope, so a printed wall would replace part of a supply commitment.</t>
        </is>
      </c>
      <c r="T283" s="6" t="inlineStr"/>
      <c r="U283" s="9" t="inlineStr"/>
      <c r="V283" s="6" t="inlineStr"/>
      <c r="W283" s="6" t="inlineStr">
        <is>
          <t>https://www.linkedin.com/company/david-weekley-homes</t>
        </is>
      </c>
      <c r="X283" s="6" t="inlineStr">
        <is>
          <t>https://www.davidweekleyhomes.com/about-us/meet-the-team</t>
        </is>
      </c>
      <c r="Y283" s="6" t="inlineStr"/>
      <c r="Z283" s="6" t="inlineStr">
        <is>
          <t>(844) 777-3717</t>
        </is>
      </c>
      <c r="AA283" s="6" t="inlineStr"/>
      <c r="AB283" s="6" t="inlineStr">
        <is>
          <t>https://www.davidweekleyhomes.com/</t>
        </is>
      </c>
      <c r="AC283" s="6" t="inlineStr"/>
      <c r="AD283" s="6" t="inlineStr"/>
    </row>
    <row r="284">
      <c r="A284" s="12" t="inlineStr">
        <is>
          <t>Kathy Britton</t>
        </is>
      </c>
      <c r="B284" s="12" t="inlineStr">
        <is>
          <t>Perry Homes</t>
        </is>
      </c>
      <c r="C284" s="12" t="inlineStr">
        <is>
          <t>Owner and Executive Chair</t>
        </is>
      </c>
      <c r="D284" s="13" t="inlineStr">
        <is>
          <t>National builder</t>
        </is>
      </c>
      <c r="E284" s="14" t="n">
        <v>1</v>
      </c>
      <c r="F284" s="12" t="inlineStr">
        <is>
          <t>Buys walls</t>
        </is>
      </c>
      <c r="G284" s="12" t="inlineStr">
        <is>
          <t>Houston HQ, Harris County</t>
        </is>
      </c>
      <c r="H284" s="12" t="inlineStr">
        <is>
          <t>1,809 Houston closings in 2025, third in the metro</t>
        </is>
      </c>
      <c r="I284" s="14" t="inlineStr">
        <is>
          <t>Yes</t>
        </is>
      </c>
      <c r="J284" s="15" t="inlineStr">
        <is>
          <t>One plan library, nine markets.</t>
        </is>
      </c>
      <c r="K284" s="14" t="inlineStr">
        <is>
          <t>No</t>
        </is>
      </c>
      <c r="L284" s="15" t="inlineStr">
        <is>
          <t>1,809 Houston closings in 2025, above what one or two printers cover. Bought centrally.</t>
        </is>
      </c>
      <c r="M284" s="14" t="inlineStr">
        <is>
          <t>No</t>
        </is>
      </c>
      <c r="N284" s="15" t="inlineStr">
        <is>
          <t>Innovation means smart-home features and floor plans, by its own definition.</t>
        </is>
      </c>
      <c r="O284" s="10" t="inlineStr"/>
      <c r="P284" s="12">
        <f>HYPERLINK("https://www.linkedin.com/search/results/people/?keywords=Kathy%20Britton%20Perry%20Homes","search")</f>
        <v/>
      </c>
      <c r="Q284" s="16">
        <f>IF(O284="","ADD LINKEDIN","ok")</f>
        <v/>
      </c>
      <c r="R284" s="12" t="inlineStr">
        <is>
          <t>https://www.perryhomes.com/</t>
        </is>
      </c>
      <c r="S284" s="15" t="inlineStr">
        <is>
          <t>Its Houston volume is above what one or two printers cover, and it defines innovation as smart-home features and floor plans.</t>
        </is>
      </c>
      <c r="T284" s="12" t="inlineStr"/>
      <c r="U284" s="15" t="inlineStr">
        <is>
          <t>Perry's page. Succeeded her father, Bob Perry, as chief executive.</t>
        </is>
      </c>
      <c r="V284" s="12" t="inlineStr">
        <is>
          <t>https://www.perryhomes.com/about-perry-homes</t>
        </is>
      </c>
      <c r="W284" s="12" t="inlineStr">
        <is>
          <t>https://www.linkedin.com/company/perry-homes</t>
        </is>
      </c>
      <c r="X284" s="12" t="inlineStr">
        <is>
          <t>https://www.perryhomes.com/about-perry-homes</t>
        </is>
      </c>
      <c r="Y284" s="12" t="inlineStr"/>
      <c r="Z284" s="12" t="inlineStr">
        <is>
          <t>(800) 247-3779</t>
        </is>
      </c>
      <c r="AA284" s="12" t="inlineStr"/>
      <c r="AB284" s="12" t="inlineStr">
        <is>
          <t>https://www.perryhomes.com/contact-us</t>
        </is>
      </c>
      <c r="AC284" s="12" t="inlineStr"/>
      <c r="AD284" s="12" t="inlineStr"/>
    </row>
    <row r="285">
      <c r="A285" s="6" t="inlineStr">
        <is>
          <t>Todd Chachere</t>
        </is>
      </c>
      <c r="B285" s="6" t="inlineStr">
        <is>
          <t>Perry Homes</t>
        </is>
      </c>
      <c r="C285" s="6" t="inlineStr">
        <is>
          <t>Chief Executive Officer</t>
        </is>
      </c>
      <c r="D285" s="7" t="inlineStr">
        <is>
          <t>National builder</t>
        </is>
      </c>
      <c r="E285" s="8" t="n">
        <v>1</v>
      </c>
      <c r="F285" s="6" t="inlineStr">
        <is>
          <t>Buys walls</t>
        </is>
      </c>
      <c r="G285" s="6" t="inlineStr">
        <is>
          <t>Houston HQ, Harris County</t>
        </is>
      </c>
      <c r="H285" s="6" t="inlineStr">
        <is>
          <t>1,809 Houston closings in 2025, third in the metro</t>
        </is>
      </c>
      <c r="I285" s="8" t="inlineStr">
        <is>
          <t>Yes</t>
        </is>
      </c>
      <c r="J285" s="9" t="inlineStr">
        <is>
          <t>One plan library, nine markets.</t>
        </is>
      </c>
      <c r="K285" s="8" t="inlineStr">
        <is>
          <t>No</t>
        </is>
      </c>
      <c r="L285" s="9" t="inlineStr">
        <is>
          <t>1,809 Houston closings in 2025, above what one or two printers cover. Bought centrally.</t>
        </is>
      </c>
      <c r="M285" s="8" t="inlineStr">
        <is>
          <t>No</t>
        </is>
      </c>
      <c r="N285" s="9" t="inlineStr">
        <is>
          <t>Innovation means smart-home features and floor plans, by its own definition.</t>
        </is>
      </c>
      <c r="O285" s="10" t="inlineStr"/>
      <c r="P285" s="6">
        <f>HYPERLINK("https://www.linkedin.com/search/results/people/?keywords=Todd%20Chachere%20Perry%20Homes","search")</f>
        <v/>
      </c>
      <c r="Q285" s="11">
        <f>IF(O285="","ADD LINKEDIN","ok")</f>
        <v/>
      </c>
      <c r="R285" s="6" t="inlineStr">
        <is>
          <t>https://www.perryhomes.com/</t>
        </is>
      </c>
      <c r="S285" s="9" t="inlineStr">
        <is>
          <t>Its Houston volume is above what one or two printers cover, and it defines innovation as smart-home features and floor plans.</t>
        </is>
      </c>
      <c r="T285" s="6" t="inlineStr"/>
      <c r="U285" s="9" t="inlineStr"/>
      <c r="V285" s="6" t="inlineStr">
        <is>
          <t>https://www.perryhomes.com/about-perry-homes</t>
        </is>
      </c>
      <c r="W285" s="6" t="inlineStr">
        <is>
          <t>https://www.linkedin.com/company/perry-homes</t>
        </is>
      </c>
      <c r="X285" s="6" t="inlineStr">
        <is>
          <t>https://www.perryhomes.com/about-perry-homes</t>
        </is>
      </c>
      <c r="Y285" s="6" t="inlineStr"/>
      <c r="Z285" s="6" t="inlineStr">
        <is>
          <t>(800) 247-3779</t>
        </is>
      </c>
      <c r="AA285" s="6" t="inlineStr"/>
      <c r="AB285" s="6" t="inlineStr">
        <is>
          <t>https://www.perryhomes.com/contact-us</t>
        </is>
      </c>
      <c r="AC285" s="6" t="inlineStr"/>
      <c r="AD285" s="6" t="inlineStr"/>
    </row>
    <row r="286">
      <c r="A286" s="12" t="inlineStr">
        <is>
          <t>Ronny Salameh</t>
        </is>
      </c>
      <c r="B286" s="12" t="inlineStr">
        <is>
          <t>Brightland Homes</t>
        </is>
      </c>
      <c r="C286" s="12" t="inlineStr">
        <is>
          <t>President and Chief Executive Officer, The DRB Group</t>
        </is>
      </c>
      <c r="D286" s="13" t="inlineStr">
        <is>
          <t>National builder</t>
        </is>
      </c>
      <c r="E286" s="14" t="n">
        <v>1</v>
      </c>
      <c r="F286" s="12" t="inlineStr">
        <is>
          <t>Buys walls</t>
        </is>
      </c>
      <c r="G286" s="12" t="inlineStr">
        <is>
          <t>Addison HQ / Montgomery, Harris</t>
        </is>
      </c>
      <c r="H286" s="12" t="inlineStr">
        <is>
          <t>110 communities and 17,000+ homes company-wide at its 2023 rename</t>
        </is>
      </c>
      <c r="I286" s="14" t="inlineStr">
        <is>
          <t>Partly</t>
        </is>
      </c>
      <c r="J286" s="15" t="inlineStr">
        <is>
          <t>110 active communities.</t>
        </is>
      </c>
      <c r="K286" s="14" t="inlineStr">
        <is>
          <t>No</t>
        </is>
      </c>
      <c r="L286" s="15" t="inlineStr">
        <is>
          <t>110 communities inside the DRB platform. The parent has put capital into wood.</t>
        </is>
      </c>
      <c r="M286" s="14" t="inlineStr">
        <is>
          <t>No</t>
        </is>
      </c>
      <c r="N286" s="15" t="inlineStr">
        <is>
          <t>Nothing on record. Its owner is a timber group.</t>
        </is>
      </c>
      <c r="O286" s="10" t="inlineStr"/>
      <c r="P286" s="12">
        <f>HYPERLINK("https://www.linkedin.com/search/results/people/?keywords=Ronny%20Salameh%20Brightland%20Homes","search")</f>
        <v/>
      </c>
      <c r="Q286" s="16">
        <f>IF(O286="","ADD LINKEDIN","ok")</f>
        <v/>
      </c>
      <c r="R286" s="12" t="inlineStr">
        <is>
          <t>https://www.brightlandhomes.com/</t>
        </is>
      </c>
      <c r="S286" s="15" t="inlineStr">
        <is>
          <t>Its parent, Sumitomo Forestry, bought a sawmill in 2025 to supply wood framing across DRB, so a printer would compete with its own lumber.</t>
        </is>
      </c>
      <c r="T286" s="12" t="inlineStr"/>
      <c r="U286" s="15" t="inlineStr">
        <is>
          <t>DRB Group, Brightland's owner.</t>
        </is>
      </c>
      <c r="V286" s="12" t="inlineStr">
        <is>
          <t>https://www.drbgroup.com/about</t>
        </is>
      </c>
      <c r="W286" s="12" t="inlineStr">
        <is>
          <t>https://www.linkedin.com/company/brightlandhomes</t>
        </is>
      </c>
      <c r="X286" s="12" t="inlineStr">
        <is>
          <t>https://www.drbgroup.com/about</t>
        </is>
      </c>
      <c r="Y286" s="12" t="inlineStr"/>
      <c r="Z286" s="12" t="inlineStr">
        <is>
          <t>(281) 201-6961</t>
        </is>
      </c>
      <c r="AA286" s="12" t="inlineStr">
        <is>
          <t>Houston office, published by DRB Homes</t>
        </is>
      </c>
      <c r="AB286" s="12" t="inlineStr">
        <is>
          <t>https://www.drbhomes.com/drbhomes/contact/contact-us</t>
        </is>
      </c>
      <c r="AC286" s="12" t="inlineStr"/>
      <c r="AD286" s="12" t="inlineStr"/>
    </row>
    <row r="287">
      <c r="A287" s="6" t="inlineStr">
        <is>
          <t>Young Nam</t>
        </is>
      </c>
      <c r="B287" s="6" t="inlineStr">
        <is>
          <t>Brightland Homes</t>
        </is>
      </c>
      <c r="C287" s="6" t="inlineStr">
        <is>
          <t>Senior Vice President of Purchasing, The DRB Group</t>
        </is>
      </c>
      <c r="D287" s="7" t="inlineStr">
        <is>
          <t>National builder</t>
        </is>
      </c>
      <c r="E287" s="8" t="n">
        <v>1</v>
      </c>
      <c r="F287" s="6" t="inlineStr">
        <is>
          <t>Buys walls</t>
        </is>
      </c>
      <c r="G287" s="6" t="inlineStr">
        <is>
          <t>Addison HQ / Montgomery, Harris</t>
        </is>
      </c>
      <c r="H287" s="6" t="inlineStr">
        <is>
          <t>110 communities and 17,000+ homes company-wide at its 2023 rename</t>
        </is>
      </c>
      <c r="I287" s="8" t="inlineStr">
        <is>
          <t>Partly</t>
        </is>
      </c>
      <c r="J287" s="9" t="inlineStr">
        <is>
          <t>110 active communities.</t>
        </is>
      </c>
      <c r="K287" s="8" t="inlineStr">
        <is>
          <t>No</t>
        </is>
      </c>
      <c r="L287" s="9" t="inlineStr">
        <is>
          <t>110 communities inside the DRB platform. The parent has put capital into wood.</t>
        </is>
      </c>
      <c r="M287" s="8" t="inlineStr">
        <is>
          <t>No</t>
        </is>
      </c>
      <c r="N287" s="9" t="inlineStr">
        <is>
          <t>Nothing on record. Its owner is a timber group.</t>
        </is>
      </c>
      <c r="O287" s="6" t="inlineStr">
        <is>
          <t>https://www.linkedin.com/in/young-nam-78b36229/</t>
        </is>
      </c>
      <c r="P287" s="6" t="inlineStr"/>
      <c r="Q287" s="11">
        <f>IF(O287="","ADD LINKEDIN","ok")</f>
        <v/>
      </c>
      <c r="R287" s="6" t="inlineStr">
        <is>
          <t>https://www.brightlandhomes.com/</t>
        </is>
      </c>
      <c r="S287" s="9" t="inlineStr">
        <is>
          <t>Its parent, Sumitomo Forestry, bought a sawmill in 2025 to supply wood framing across DRB, so a printer would compete with its own lumber.</t>
        </is>
      </c>
      <c r="T287" s="6" t="inlineStr">
        <is>
          <t>YES</t>
        </is>
      </c>
      <c r="U287" s="9" t="inlineStr">
        <is>
          <t>Senior Vice President of Supply Chain, Bethesda, Maryland. DRB is headquartered in the Maryland suburbs. Buys for the DRB platform Brightland sits inside.</t>
        </is>
      </c>
      <c r="V287" s="6" t="inlineStr">
        <is>
          <t>https://www.drbgroup.com/about</t>
        </is>
      </c>
      <c r="W287" s="6" t="inlineStr">
        <is>
          <t>https://www.linkedin.com/company/brightlandhomes</t>
        </is>
      </c>
      <c r="X287" s="6" t="inlineStr">
        <is>
          <t>https://www.drbgroup.com/about</t>
        </is>
      </c>
      <c r="Y287" s="6" t="inlineStr"/>
      <c r="Z287" s="6" t="inlineStr">
        <is>
          <t>(281) 201-6961</t>
        </is>
      </c>
      <c r="AA287" s="6" t="inlineStr">
        <is>
          <t>Houston office, published by DRB Homes</t>
        </is>
      </c>
      <c r="AB287" s="6" t="inlineStr">
        <is>
          <t>https://www.drbhomes.com/drbhomes/contact/contact-us</t>
        </is>
      </c>
      <c r="AC287" s="6" t="inlineStr"/>
      <c r="AD287" s="6" t="inlineStr"/>
    </row>
    <row r="288">
      <c r="A288" s="12" t="inlineStr">
        <is>
          <t>David O'Reilly</t>
        </is>
      </c>
      <c r="B288" s="12" t="inlineStr">
        <is>
          <t>Howard Hughes Holdings Inc.</t>
        </is>
      </c>
      <c r="C288" s="12" t="inlineStr">
        <is>
          <t>Chief Executive Officer</t>
        </is>
      </c>
      <c r="D288" s="13" t="inlineStr">
        <is>
          <t>Land owner, not the buyer</t>
        </is>
      </c>
      <c r="E288" s="14" t="n">
        <v>2</v>
      </c>
      <c r="F288" s="12" t="inlineStr">
        <is>
          <t>Sells lots</t>
        </is>
      </c>
      <c r="G288" s="12" t="inlineStr">
        <is>
          <t>The Woodlands HQ / Harris, Montgomery</t>
        </is>
      </c>
      <c r="H288" s="12" t="inlineStr">
        <is>
          <t>1,802 residential acres left to sell</t>
        </is>
      </c>
      <c r="I288" s="14" t="inlineStr">
        <is>
          <t>Yes</t>
        </is>
      </c>
      <c r="J288" s="15" t="inlineStr">
        <is>
          <t>1,802 residential acres still to sell. Three communities on one metro's edge.</t>
        </is>
      </c>
      <c r="K288" s="14" t="inlineStr">
        <is>
          <t>No</t>
        </is>
      </c>
      <c r="L288" s="15" t="inlineStr">
        <is>
          <t>Sells finished lots and builds no houses.</t>
        </is>
      </c>
      <c r="M288" s="14" t="inlineStr">
        <is>
          <t>Yes</t>
        </is>
      </c>
      <c r="N288" s="15" t="inlineStr">
        <is>
          <t>Mass timber and low-carbon concrete in one building, One Bridgeland Green.</t>
        </is>
      </c>
      <c r="O288" s="10" t="inlineStr"/>
      <c r="P288" s="12">
        <f>HYPERLINK("https://www.linkedin.com/search/results/people/?keywords=David%20O%27Reilly%20Howard%20Hughes%20Holdings%20Inc.","search")</f>
        <v/>
      </c>
      <c r="Q288" s="16">
        <f>IF(O288="","ADD LINKEDIN","ok")</f>
        <v/>
      </c>
      <c r="R288" s="12" t="inlineStr">
        <is>
          <t>https://www.howardhughes.com/</t>
        </is>
      </c>
      <c r="S288" s="15" t="inlineStr">
        <is>
          <t>It sells finished lots and builds no houses, so builders buy the wall, but it paid for Greater Houston's first mass timber office.</t>
        </is>
      </c>
      <c r="T288" s="12" t="inlineStr"/>
      <c r="U288" s="15" t="inlineStr"/>
      <c r="V288" s="12" t="inlineStr">
        <is>
          <t>https://investor.howardhughes.com/governance/leadership</t>
        </is>
      </c>
      <c r="W288" s="12" t="inlineStr">
        <is>
          <t>https://www.linkedin.com/company/the-howard-hughes-corporation</t>
        </is>
      </c>
      <c r="X288" s="12" t="inlineStr">
        <is>
          <t>https://investor.howardhughes.com/governance/leadership</t>
        </is>
      </c>
      <c r="Y288" s="12" t="inlineStr"/>
      <c r="Z288" s="12" t="inlineStr">
        <is>
          <t>(281) 929-7700</t>
        </is>
      </c>
      <c r="AA288" s="12" t="inlineStr"/>
      <c r="AB288" s="12" t="inlineStr">
        <is>
          <t>https://www.howardhughes.com/contact/</t>
        </is>
      </c>
      <c r="AC288" s="12" t="inlineStr"/>
      <c r="AD288" s="12" t="inlineStr"/>
    </row>
    <row r="289">
      <c r="A289" s="6" t="inlineStr">
        <is>
          <t>Bill Ackman</t>
        </is>
      </c>
      <c r="B289" s="6" t="inlineStr">
        <is>
          <t>Howard Hughes Holdings Inc.</t>
        </is>
      </c>
      <c r="C289" s="6" t="inlineStr">
        <is>
          <t>Executive Chairman of the Board</t>
        </is>
      </c>
      <c r="D289" s="7" t="inlineStr">
        <is>
          <t>Land owner, not the buyer</t>
        </is>
      </c>
      <c r="E289" s="8" t="n">
        <v>2</v>
      </c>
      <c r="F289" s="6" t="inlineStr">
        <is>
          <t>Sells lots</t>
        </is>
      </c>
      <c r="G289" s="6" t="inlineStr">
        <is>
          <t>The Woodlands HQ / Harris, Montgomery</t>
        </is>
      </c>
      <c r="H289" s="6" t="inlineStr">
        <is>
          <t>1,802 residential acres left to sell</t>
        </is>
      </c>
      <c r="I289" s="8" t="inlineStr">
        <is>
          <t>Yes</t>
        </is>
      </c>
      <c r="J289" s="9" t="inlineStr">
        <is>
          <t>1,802 residential acres still to sell. Three communities on one metro's edge.</t>
        </is>
      </c>
      <c r="K289" s="8" t="inlineStr">
        <is>
          <t>No</t>
        </is>
      </c>
      <c r="L289" s="9" t="inlineStr">
        <is>
          <t>Sells finished lots and builds no houses.</t>
        </is>
      </c>
      <c r="M289" s="8" t="inlineStr">
        <is>
          <t>Yes</t>
        </is>
      </c>
      <c r="N289" s="9" t="inlineStr">
        <is>
          <t>Mass timber and low-carbon concrete in one building, One Bridgeland Green.</t>
        </is>
      </c>
      <c r="O289" s="10" t="inlineStr"/>
      <c r="P289" s="6">
        <f>HYPERLINK("https://www.linkedin.com/search/results/people/?keywords=Bill%20Ackman%20Howard%20Hughes%20Holdings%20Inc.","search")</f>
        <v/>
      </c>
      <c r="Q289" s="11">
        <f>IF(O289="","ADD LINKEDIN","ok")</f>
        <v/>
      </c>
      <c r="R289" s="6" t="inlineStr">
        <is>
          <t>https://www.howardhughes.com/</t>
        </is>
      </c>
      <c r="S289" s="9" t="inlineStr">
        <is>
          <t>It sells finished lots and builds no houses, so builders buy the wall, but it paid for Greater Houston's first mass timber office.</t>
        </is>
      </c>
      <c r="T289" s="6" t="inlineStr"/>
      <c r="U289" s="9" t="inlineStr"/>
      <c r="V289" s="6" t="inlineStr">
        <is>
          <t>https://investor.howardhughes.com/governance/leadership</t>
        </is>
      </c>
      <c r="W289" s="6" t="inlineStr">
        <is>
          <t>https://www.linkedin.com/company/the-howard-hughes-corporation</t>
        </is>
      </c>
      <c r="X289" s="6" t="inlineStr">
        <is>
          <t>https://investor.howardhughes.com/governance/leadership</t>
        </is>
      </c>
      <c r="Y289" s="6" t="inlineStr"/>
      <c r="Z289" s="6" t="inlineStr">
        <is>
          <t>(281) 929-7700</t>
        </is>
      </c>
      <c r="AA289" s="6" t="inlineStr"/>
      <c r="AB289" s="6" t="inlineStr">
        <is>
          <t>https://www.howardhughes.com/contact/</t>
        </is>
      </c>
      <c r="AC289" s="6" t="inlineStr"/>
      <c r="AD289" s="6" t="inlineStr"/>
    </row>
    <row r="290">
      <c r="A290" s="12" t="inlineStr">
        <is>
          <t>Ryan Israel</t>
        </is>
      </c>
      <c r="B290" s="12" t="inlineStr">
        <is>
          <t>Howard Hughes Holdings Inc.</t>
        </is>
      </c>
      <c r="C290" s="12" t="inlineStr">
        <is>
          <t>Chief Investment Officer</t>
        </is>
      </c>
      <c r="D290" s="13" t="inlineStr">
        <is>
          <t>Land owner, not the buyer</t>
        </is>
      </c>
      <c r="E290" s="14" t="n">
        <v>2</v>
      </c>
      <c r="F290" s="12" t="inlineStr">
        <is>
          <t>Sells lots</t>
        </is>
      </c>
      <c r="G290" s="12" t="inlineStr">
        <is>
          <t>The Woodlands HQ / Harris, Montgomery</t>
        </is>
      </c>
      <c r="H290" s="12" t="inlineStr">
        <is>
          <t>1,802 residential acres left to sell</t>
        </is>
      </c>
      <c r="I290" s="14" t="inlineStr">
        <is>
          <t>Yes</t>
        </is>
      </c>
      <c r="J290" s="15" t="inlineStr">
        <is>
          <t>1,802 residential acres still to sell. Three communities on one metro's edge.</t>
        </is>
      </c>
      <c r="K290" s="14" t="inlineStr">
        <is>
          <t>No</t>
        </is>
      </c>
      <c r="L290" s="15" t="inlineStr">
        <is>
          <t>Sells finished lots and builds no houses.</t>
        </is>
      </c>
      <c r="M290" s="14" t="inlineStr">
        <is>
          <t>Yes</t>
        </is>
      </c>
      <c r="N290" s="15" t="inlineStr">
        <is>
          <t>Mass timber and low-carbon concrete in one building, One Bridgeland Green.</t>
        </is>
      </c>
      <c r="O290" s="10" t="inlineStr"/>
      <c r="P290" s="12">
        <f>HYPERLINK("https://www.linkedin.com/search/results/people/?keywords=Ryan%20Israel%20Howard%20Hughes%20Holdings%20Inc.","search")</f>
        <v/>
      </c>
      <c r="Q290" s="16">
        <f>IF(O290="","ADD LINKEDIN","ok")</f>
        <v/>
      </c>
      <c r="R290" s="12" t="inlineStr">
        <is>
          <t>https://www.howardhughes.com/</t>
        </is>
      </c>
      <c r="S290" s="15" t="inlineStr">
        <is>
          <t>It sells finished lots and builds no houses, so builders buy the wall, but it paid for Greater Houston's first mass timber office.</t>
        </is>
      </c>
      <c r="T290" s="12" t="inlineStr"/>
      <c r="U290" s="15" t="inlineStr"/>
      <c r="V290" s="12" t="inlineStr">
        <is>
          <t>https://investor.howardhughes.com/governance/leadership</t>
        </is>
      </c>
      <c r="W290" s="12" t="inlineStr">
        <is>
          <t>https://www.linkedin.com/company/the-howard-hughes-corporation</t>
        </is>
      </c>
      <c r="X290" s="12" t="inlineStr">
        <is>
          <t>https://investor.howardhughes.com/governance/leadership</t>
        </is>
      </c>
      <c r="Y290" s="12" t="inlineStr"/>
      <c r="Z290" s="12" t="inlineStr">
        <is>
          <t>(281) 929-7700</t>
        </is>
      </c>
      <c r="AA290" s="12" t="inlineStr"/>
      <c r="AB290" s="12" t="inlineStr">
        <is>
          <t>https://www.howardhughes.com/contact/</t>
        </is>
      </c>
      <c r="AC290" s="12" t="inlineStr"/>
      <c r="AD290" s="12" t="inlineStr"/>
    </row>
    <row r="291">
      <c r="A291" s="6" t="inlineStr">
        <is>
          <t>Jim Carman</t>
        </is>
      </c>
      <c r="B291" s="6" t="inlineStr">
        <is>
          <t>Howard Hughes Holdings Inc.</t>
        </is>
      </c>
      <c r="C291" s="6" t="inlineStr">
        <is>
          <t>President, Texas Region</t>
        </is>
      </c>
      <c r="D291" s="7" t="inlineStr">
        <is>
          <t>Land owner, not the buyer</t>
        </is>
      </c>
      <c r="E291" s="8" t="n">
        <v>2</v>
      </c>
      <c r="F291" s="6" t="inlineStr">
        <is>
          <t>Sells lots</t>
        </is>
      </c>
      <c r="G291" s="6" t="inlineStr">
        <is>
          <t>The Woodlands HQ / Harris, Montgomery</t>
        </is>
      </c>
      <c r="H291" s="6" t="inlineStr">
        <is>
          <t>1,802 residential acres left to sell</t>
        </is>
      </c>
      <c r="I291" s="8" t="inlineStr">
        <is>
          <t>Yes</t>
        </is>
      </c>
      <c r="J291" s="9" t="inlineStr">
        <is>
          <t>1,802 residential acres still to sell. Three communities on one metro's edge.</t>
        </is>
      </c>
      <c r="K291" s="8" t="inlineStr">
        <is>
          <t>No</t>
        </is>
      </c>
      <c r="L291" s="9" t="inlineStr">
        <is>
          <t>Sells finished lots and builds no houses.</t>
        </is>
      </c>
      <c r="M291" s="8" t="inlineStr">
        <is>
          <t>Yes</t>
        </is>
      </c>
      <c r="N291" s="9" t="inlineStr">
        <is>
          <t>Mass timber and low-carbon concrete in one building, One Bridgeland Green.</t>
        </is>
      </c>
      <c r="O291" s="6" t="inlineStr">
        <is>
          <t>https://www.linkedin.com/in/carmanjim/</t>
        </is>
      </c>
      <c r="P291" s="6" t="inlineStr"/>
      <c r="Q291" s="11">
        <f>IF(O291="","ADD LINKEDIN","ok")</f>
        <v/>
      </c>
      <c r="R291" s="6" t="inlineStr">
        <is>
          <t>https://www.howardhughes.com/</t>
        </is>
      </c>
      <c r="S291" s="9" t="inlineStr">
        <is>
          <t>It sells finished lots and builds no houses, so builders buy the wall, but it paid for Greater Houston's first mass timber office.</t>
        </is>
      </c>
      <c r="T291" s="6" t="inlineStr"/>
      <c r="U291" s="9" t="inlineStr">
        <is>
          <t>President, Texas Region at Howard Hughes Communities. Greater Houston.</t>
        </is>
      </c>
      <c r="V291" s="6" t="inlineStr"/>
      <c r="W291" s="6" t="inlineStr">
        <is>
          <t>https://www.linkedin.com/company/the-howard-hughes-corporation</t>
        </is>
      </c>
      <c r="X291" s="6" t="inlineStr">
        <is>
          <t>https://investor.howardhughes.com/governance/leadership</t>
        </is>
      </c>
      <c r="Y291" s="6" t="inlineStr"/>
      <c r="Z291" s="6" t="inlineStr">
        <is>
          <t>(281) 929-7700</t>
        </is>
      </c>
      <c r="AA291" s="6" t="inlineStr"/>
      <c r="AB291" s="6" t="inlineStr">
        <is>
          <t>https://www.howardhughes.com/contact/</t>
        </is>
      </c>
      <c r="AC291" s="6" t="inlineStr"/>
      <c r="AD291" s="6" t="inlineStr"/>
    </row>
    <row r="292">
      <c r="A292" s="12" t="inlineStr">
        <is>
          <t>Danny Signorelli</t>
        </is>
      </c>
      <c r="B292" s="12" t="inlineStr">
        <is>
          <t>The Signorelli Company</t>
        </is>
      </c>
      <c r="C292" s="12" t="inlineStr">
        <is>
          <t>Founder and Chief Executive Officer</t>
        </is>
      </c>
      <c r="D292" s="13" t="inlineStr">
        <is>
          <t>Land owner, not the buyer</t>
        </is>
      </c>
      <c r="E292" s="14" t="n">
        <v>2</v>
      </c>
      <c r="F292" s="12" t="inlineStr">
        <is>
          <t>Sells lots</t>
        </is>
      </c>
      <c r="G292" s="12" t="inlineStr">
        <is>
          <t>The Woodlands HQ / Fort Bend, Liberty</t>
        </is>
      </c>
      <c r="H292" s="12" t="inlineStr">
        <is>
          <t>23,000+ paper lots in pipeline</t>
        </is>
      </c>
      <c r="I292" s="14" t="inlineStr">
        <is>
          <t>Yes</t>
        </is>
      </c>
      <c r="J292" s="15" t="inlineStr">
        <is>
          <t>More than 16 masterplans. Lot count as of August 6, 2026.</t>
        </is>
      </c>
      <c r="K292" s="14" t="inlineStr">
        <is>
          <t>Partly</t>
        </is>
      </c>
      <c r="L292" s="15" t="inlineStr">
        <is>
          <t>Land and vertical under one owner.</t>
        </is>
      </c>
      <c r="M292" s="14" t="inlineStr">
        <is>
          <t>No</t>
        </is>
      </c>
      <c r="N292" s="15" t="inlineStr">
        <is>
          <t>Nothing on record about construction method.</t>
        </is>
      </c>
      <c r="O292" s="6" t="inlineStr">
        <is>
          <t>https://www.linkedin.com/in/danny-signorelli-6284461b/</t>
        </is>
      </c>
      <c r="P292" s="12" t="inlineStr"/>
      <c r="Q292" s="16">
        <f>IF(O292="","ADD LINKEDIN","ok")</f>
        <v/>
      </c>
      <c r="R292" s="12" t="inlineStr">
        <is>
          <t>https://www.signorellicompany.com/</t>
        </is>
      </c>
      <c r="S292" s="15" t="inlineStr">
        <is>
          <t>Sells lots but owns First America Homes, and one president, John Winniford, runs both.</t>
        </is>
      </c>
      <c r="T292" s="12" t="inlineStr"/>
      <c r="U292" s="15" t="inlineStr">
        <is>
          <t>CEO, President, The Signorelli Company. Greater Houston.</t>
        </is>
      </c>
      <c r="V292" s="12" t="inlineStr"/>
      <c r="W292" s="12" t="inlineStr">
        <is>
          <t>https://www.linkedin.com/company/signorelli-company</t>
        </is>
      </c>
      <c r="X292" s="12" t="inlineStr">
        <is>
          <t>https://www.signorellicompany.com/our-leadership</t>
        </is>
      </c>
      <c r="Y292" s="12" t="inlineStr"/>
      <c r="Z292" s="12" t="inlineStr">
        <is>
          <t>(713) 452-1700</t>
        </is>
      </c>
      <c r="AA292" s="12" t="inlineStr"/>
      <c r="AB292" s="12" t="inlineStr">
        <is>
          <t>https://www.signorellicompany.com/</t>
        </is>
      </c>
      <c r="AC292" s="12" t="inlineStr"/>
      <c r="AD292" s="12" t="inlineStr"/>
    </row>
    <row r="293">
      <c r="A293" s="6" t="inlineStr">
        <is>
          <t>Jeff Dewese</t>
        </is>
      </c>
      <c r="B293" s="6" t="inlineStr">
        <is>
          <t>The Signorelli Company</t>
        </is>
      </c>
      <c r="C293" s="6" t="inlineStr">
        <is>
          <t>President, Land Division</t>
        </is>
      </c>
      <c r="D293" s="7" t="inlineStr">
        <is>
          <t>Land owner, not the buyer</t>
        </is>
      </c>
      <c r="E293" s="8" t="n">
        <v>2</v>
      </c>
      <c r="F293" s="6" t="inlineStr">
        <is>
          <t>Sells lots</t>
        </is>
      </c>
      <c r="G293" s="6" t="inlineStr">
        <is>
          <t>The Woodlands HQ / Fort Bend, Liberty</t>
        </is>
      </c>
      <c r="H293" s="6" t="inlineStr">
        <is>
          <t>23,000+ paper lots in pipeline</t>
        </is>
      </c>
      <c r="I293" s="8" t="inlineStr">
        <is>
          <t>Yes</t>
        </is>
      </c>
      <c r="J293" s="9" t="inlineStr">
        <is>
          <t>More than 16 masterplans. Lot count as of August 6, 2026.</t>
        </is>
      </c>
      <c r="K293" s="8" t="inlineStr">
        <is>
          <t>Partly</t>
        </is>
      </c>
      <c r="L293" s="9" t="inlineStr">
        <is>
          <t>Land and vertical under one owner.</t>
        </is>
      </c>
      <c r="M293" s="8" t="inlineStr">
        <is>
          <t>No</t>
        </is>
      </c>
      <c r="N293" s="9" t="inlineStr">
        <is>
          <t>Nothing on record about construction method.</t>
        </is>
      </c>
      <c r="O293" s="10" t="inlineStr"/>
      <c r="P293" s="6">
        <f>HYPERLINK("https://www.linkedin.com/search/results/people/?keywords=Jeff%20Dewese%20The%20Signorelli%20Company","search")</f>
        <v/>
      </c>
      <c r="Q293" s="11">
        <f>IF(O293="","ADD LINKEDIN","ok")</f>
        <v/>
      </c>
      <c r="R293" s="6" t="inlineStr">
        <is>
          <t>https://www.signorellicompany.com/</t>
        </is>
      </c>
      <c r="S293" s="9" t="inlineStr">
        <is>
          <t>Sells lots but owns First America Homes, and one president, John Winniford, runs both.</t>
        </is>
      </c>
      <c r="T293" s="6" t="inlineStr"/>
      <c r="U293" s="9" t="inlineStr">
        <is>
          <t>Bio page. Oversees acquisition, planning and construction for Granger Pines, Cielo, Austin Point.</t>
        </is>
      </c>
      <c r="V293" s="6" t="inlineStr">
        <is>
          <t>https://www.signorellicompany.com/our-leadership/15/jeff-dewese</t>
        </is>
      </c>
      <c r="W293" s="6" t="inlineStr">
        <is>
          <t>https://www.linkedin.com/company/signorelli-company</t>
        </is>
      </c>
      <c r="X293" s="6" t="inlineStr">
        <is>
          <t>https://www.signorellicompany.com/our-leadership</t>
        </is>
      </c>
      <c r="Y293" s="6" t="inlineStr"/>
      <c r="Z293" s="6" t="inlineStr">
        <is>
          <t>(713) 452-1700</t>
        </is>
      </c>
      <c r="AA293" s="6" t="inlineStr"/>
      <c r="AB293" s="6" t="inlineStr">
        <is>
          <t>https://www.signorellicompany.com/</t>
        </is>
      </c>
      <c r="AC293" s="6" t="inlineStr"/>
      <c r="AD293" s="6" t="inlineStr"/>
    </row>
    <row r="294">
      <c r="A294" s="12" t="inlineStr">
        <is>
          <t>Harry Dinham</t>
        </is>
      </c>
      <c r="B294" s="12" t="inlineStr">
        <is>
          <t>The Signorelli Company</t>
        </is>
      </c>
      <c r="C294" s="12" t="inlineStr">
        <is>
          <t>Chief Financial Officer</t>
        </is>
      </c>
      <c r="D294" s="13" t="inlineStr">
        <is>
          <t>Land owner, not the buyer</t>
        </is>
      </c>
      <c r="E294" s="14" t="n">
        <v>2</v>
      </c>
      <c r="F294" s="12" t="inlineStr">
        <is>
          <t>Sells lots</t>
        </is>
      </c>
      <c r="G294" s="12" t="inlineStr">
        <is>
          <t>The Woodlands HQ / Fort Bend, Liberty</t>
        </is>
      </c>
      <c r="H294" s="12" t="inlineStr">
        <is>
          <t>23,000+ paper lots in pipeline</t>
        </is>
      </c>
      <c r="I294" s="14" t="inlineStr">
        <is>
          <t>Yes</t>
        </is>
      </c>
      <c r="J294" s="15" t="inlineStr">
        <is>
          <t>More than 16 masterplans. Lot count as of August 6, 2026.</t>
        </is>
      </c>
      <c r="K294" s="14" t="inlineStr">
        <is>
          <t>Partly</t>
        </is>
      </c>
      <c r="L294" s="15" t="inlineStr">
        <is>
          <t>Land and vertical under one owner.</t>
        </is>
      </c>
      <c r="M294" s="14" t="inlineStr">
        <is>
          <t>No</t>
        </is>
      </c>
      <c r="N294" s="15" t="inlineStr">
        <is>
          <t>Nothing on record about construction method.</t>
        </is>
      </c>
      <c r="O294" s="10" t="inlineStr"/>
      <c r="P294" s="12">
        <f>HYPERLINK("https://www.linkedin.com/search/results/people/?keywords=Harry%20Dinham%20The%20Signorelli%20Company","search")</f>
        <v/>
      </c>
      <c r="Q294" s="16">
        <f>IF(O294="","ADD LINKEDIN","ok")</f>
        <v/>
      </c>
      <c r="R294" s="12" t="inlineStr">
        <is>
          <t>https://www.signorellicompany.com/</t>
        </is>
      </c>
      <c r="S294" s="15" t="inlineStr">
        <is>
          <t>Sells lots but owns First America Homes, and one president, John Winniford, runs both.</t>
        </is>
      </c>
      <c r="T294" s="12" t="inlineStr"/>
      <c r="U294" s="15" t="inlineStr">
        <is>
          <t>Signorelli bio page.</t>
        </is>
      </c>
      <c r="V294" s="12" t="inlineStr">
        <is>
          <t>https://www.signorellicompany.com/our-leadership/30/harry-dinham</t>
        </is>
      </c>
      <c r="W294" s="12" t="inlineStr">
        <is>
          <t>https://www.linkedin.com/company/signorelli-company</t>
        </is>
      </c>
      <c r="X294" s="12" t="inlineStr">
        <is>
          <t>https://www.signorellicompany.com/our-leadership</t>
        </is>
      </c>
      <c r="Y294" s="12" t="inlineStr"/>
      <c r="Z294" s="12" t="inlineStr">
        <is>
          <t>(713) 452-1700</t>
        </is>
      </c>
      <c r="AA294" s="12" t="inlineStr"/>
      <c r="AB294" s="12" t="inlineStr">
        <is>
          <t>https://www.signorellicompany.com/</t>
        </is>
      </c>
      <c r="AC294" s="12" t="inlineStr"/>
      <c r="AD294" s="12" t="inlineStr"/>
    </row>
    <row r="295">
      <c r="A295" s="6" t="inlineStr">
        <is>
          <t>John Winniford</t>
        </is>
      </c>
      <c r="B295" s="6" t="inlineStr">
        <is>
          <t>The Signorelli Company</t>
        </is>
      </c>
      <c r="C295" s="6" t="inlineStr">
        <is>
          <t>President, Homebuilding, The Signorelli Company</t>
        </is>
      </c>
      <c r="D295" s="7" t="inlineStr">
        <is>
          <t>Land owner, not the buyer</t>
        </is>
      </c>
      <c r="E295" s="8" t="n">
        <v>2</v>
      </c>
      <c r="F295" s="6" t="inlineStr">
        <is>
          <t>Sells lots</t>
        </is>
      </c>
      <c r="G295" s="6" t="inlineStr">
        <is>
          <t>The Woodlands HQ / Fort Bend, Liberty</t>
        </is>
      </c>
      <c r="H295" s="6" t="inlineStr">
        <is>
          <t>23,000+ paper lots in pipeline</t>
        </is>
      </c>
      <c r="I295" s="8" t="inlineStr">
        <is>
          <t>Yes</t>
        </is>
      </c>
      <c r="J295" s="9" t="inlineStr">
        <is>
          <t>More than 16 masterplans. Lot count as of August 6, 2026.</t>
        </is>
      </c>
      <c r="K295" s="8" t="inlineStr">
        <is>
          <t>Partly</t>
        </is>
      </c>
      <c r="L295" s="9" t="inlineStr">
        <is>
          <t>Land and vertical under one owner.</t>
        </is>
      </c>
      <c r="M295" s="8" t="inlineStr">
        <is>
          <t>No</t>
        </is>
      </c>
      <c r="N295" s="9" t="inlineStr">
        <is>
          <t>Nothing on record about construction method.</t>
        </is>
      </c>
      <c r="O295" s="10" t="inlineStr"/>
      <c r="P295" s="6">
        <f>HYPERLINK("https://www.linkedin.com/search/results/people/?keywords=John%20Winniford%20The%20Signorelli%20Company","search")</f>
        <v/>
      </c>
      <c r="Q295" s="11">
        <f>IF(O295="","ADD LINKEDIN","ok")</f>
        <v/>
      </c>
      <c r="R295" s="6" t="inlineStr">
        <is>
          <t>https://www.signorellicompany.com/</t>
        </is>
      </c>
      <c r="S295" s="9" t="inlineStr">
        <is>
          <t>Sells lots but owns First America Homes, and one president, John Winniford, runs both.</t>
        </is>
      </c>
      <c r="T295" s="6" t="inlineStr"/>
      <c r="U295" s="9" t="inlineStr">
        <is>
          <t>Also president of First America Homes.</t>
        </is>
      </c>
      <c r="V295" s="6" t="inlineStr">
        <is>
          <t>https://www.signorellicompany.com/our-leadership/34/john-winniford</t>
        </is>
      </c>
      <c r="W295" s="6" t="inlineStr">
        <is>
          <t>https://www.linkedin.com/company/signorelli-company</t>
        </is>
      </c>
      <c r="X295" s="6" t="inlineStr">
        <is>
          <t>https://www.signorellicompany.com/our-leadership</t>
        </is>
      </c>
      <c r="Y295" s="6" t="inlineStr"/>
      <c r="Z295" s="6" t="inlineStr">
        <is>
          <t>(713) 452-1700</t>
        </is>
      </c>
      <c r="AA295" s="6" t="inlineStr"/>
      <c r="AB295" s="6" t="inlineStr">
        <is>
          <t>https://www.signorellicompany.com/</t>
        </is>
      </c>
      <c r="AC295" s="6" t="inlineStr"/>
      <c r="AD295" s="6" t="inlineStr"/>
    </row>
    <row r="296">
      <c r="A296" s="12" t="inlineStr">
        <is>
          <t>Fred Caldwell</t>
        </is>
      </c>
      <c r="B296" s="12" t="inlineStr">
        <is>
          <t>Caldwell Companies</t>
        </is>
      </c>
      <c r="C296" s="12" t="inlineStr">
        <is>
          <t>Chief Executive Officer, Caldwell Companies</t>
        </is>
      </c>
      <c r="D296" s="13" t="inlineStr">
        <is>
          <t>Land owner, not the buyer</t>
        </is>
      </c>
      <c r="E296" s="14" t="n">
        <v>2</v>
      </c>
      <c r="F296" s="12" t="inlineStr">
        <is>
          <t>Sells lots</t>
        </is>
      </c>
      <c r="G296" s="12" t="inlineStr">
        <is>
          <t>Cypress / Montgomery, Harris</t>
        </is>
      </c>
      <c r="H296" s="12" t="inlineStr">
        <is>
          <t>Towne Lake and The Highlands, more than 4,000 homes at The Highlands alone</t>
        </is>
      </c>
      <c r="I296" s="14" t="inlineStr">
        <is>
          <t>Yes</t>
        </is>
      </c>
      <c r="J296" s="15" t="inlineStr">
        <is>
          <t>Over 4,000 planned homes, thirteen builders at The Highlands alone. Towne Lake is a second community.</t>
        </is>
      </c>
      <c r="K296" s="14" t="inlineStr">
        <is>
          <t>Partly</t>
        </is>
      </c>
      <c r="L296" s="15" t="inlineStr">
        <is>
          <t>The wall decision sits inside the group, at Caldwell Homes.</t>
        </is>
      </c>
      <c r="M296" s="14" t="inlineStr">
        <is>
          <t>No</t>
        </is>
      </c>
      <c r="N296" s="15" t="inlineStr">
        <is>
          <t>No construction-method content published.</t>
        </is>
      </c>
      <c r="O296" s="10" t="inlineStr"/>
      <c r="P296" s="12">
        <f>HYPERLINK("https://www.linkedin.com/search/results/people/?keywords=Fred%20Caldwell%20Caldwell%20Companies","search")</f>
        <v/>
      </c>
      <c r="Q296" s="16">
        <f>IF(O296="","ADD LINKEDIN","ok")</f>
        <v/>
      </c>
      <c r="R296" s="12" t="inlineStr">
        <is>
          <t>https://caldwellcos.com/</t>
        </is>
      </c>
      <c r="S296" s="15" t="inlineStr">
        <is>
          <t>It sells lots, but the wall decision sits inside the group at Caldwell Homes, its own builder, screened separately.</t>
        </is>
      </c>
      <c r="T296" s="12" t="inlineStr"/>
      <c r="U296" s="15" t="inlineStr"/>
      <c r="V296" s="12" t="inlineStr">
        <is>
          <t>https://caldwellcos.com/our-team</t>
        </is>
      </c>
      <c r="W296" s="12" t="inlineStr">
        <is>
          <t>https://www.linkedin.com/company/caldwell-companies</t>
        </is>
      </c>
      <c r="X296" s="12" t="inlineStr">
        <is>
          <t>https://caldwellcos.com/our-team</t>
        </is>
      </c>
      <c r="Y296" s="12" t="inlineStr"/>
      <c r="Z296" s="12" t="inlineStr">
        <is>
          <t>(713) 690-0000</t>
        </is>
      </c>
      <c r="AA296" s="12" t="inlineStr">
        <is>
          <t>Houston and Cypress</t>
        </is>
      </c>
      <c r="AB296" s="12" t="inlineStr">
        <is>
          <t>https://caldwellcos.com/</t>
        </is>
      </c>
      <c r="AC296" s="12" t="inlineStr"/>
      <c r="AD296" s="12" t="inlineStr"/>
    </row>
    <row r="297">
      <c r="A297" s="6" t="inlineStr">
        <is>
          <t>Fred Balda</t>
        </is>
      </c>
      <c r="B297" s="6" t="inlineStr">
        <is>
          <t>Hillwood Communities</t>
        </is>
      </c>
      <c r="C297" s="6" t="inlineStr">
        <is>
          <t>President</t>
        </is>
      </c>
      <c r="D297" s="7" t="inlineStr">
        <is>
          <t>Land owner, not the buyer</t>
        </is>
      </c>
      <c r="E297" s="8" t="n">
        <v>1</v>
      </c>
      <c r="F297" s="6" t="inlineStr">
        <is>
          <t>Sells lots</t>
        </is>
      </c>
      <c r="G297" s="6" t="inlineStr">
        <is>
          <t>Dallas HQ / Manvel, Pearland, League City</t>
        </is>
      </c>
      <c r="H297" s="6" t="inlineStr">
        <is>
          <t>Three Houston masterplans, 700 acres at Legacy alone</t>
        </is>
      </c>
      <c r="I297" s="8" t="inlineStr">
        <is>
          <t>Yes</t>
        </is>
      </c>
      <c r="J297" s="9" t="inlineStr">
        <is>
          <t>700 acres at Legacy alone. Three concurrent Houston masterplans.</t>
        </is>
      </c>
      <c r="K297" s="8" t="inlineStr">
        <is>
          <t>No</t>
        </is>
      </c>
      <c r="L297" s="9" t="inlineStr">
        <is>
          <t>Sells lots to vertical builders.</t>
        </is>
      </c>
      <c r="M297" s="8" t="inlineStr">
        <is>
          <t>No</t>
        </is>
      </c>
      <c r="N297" s="9" t="inlineStr">
        <is>
          <t>Its own blog calls Wolf Ranch a collaboration of ICON, Lennar, BIG and Hillwood.</t>
        </is>
      </c>
      <c r="O297" s="10" t="inlineStr"/>
      <c r="P297" s="6">
        <f>HYPERLINK("https://www.linkedin.com/search/results/people/?keywords=Fred%20Balda%20Hillwood%20Communities","search")</f>
        <v/>
      </c>
      <c r="Q297" s="11">
        <f>IF(O297="","ADD LINKEDIN","ok")</f>
        <v/>
      </c>
      <c r="R297" s="6" t="inlineStr">
        <is>
          <t>https://www.hillwoodcommunities.com/</t>
        </is>
      </c>
      <c r="S297" s="9" t="inlineStr">
        <is>
          <t>It sells lots to vertical builders, but it developed Wolf Ranch, where ICON printed a hundred homes for Lennar.</t>
        </is>
      </c>
      <c r="T297" s="6" t="inlineStr"/>
      <c r="U297" s="9" t="inlineStr"/>
      <c r="V297" s="6" t="inlineStr">
        <is>
          <t>https://www.hillwoodcommunities.com/leadership/</t>
        </is>
      </c>
      <c r="W297" s="6" t="inlineStr"/>
      <c r="X297" s="6" t="inlineStr"/>
      <c r="Y297" s="6" t="inlineStr"/>
      <c r="Z297" s="6" t="inlineStr">
        <is>
          <t>(214) 449-0914</t>
        </is>
      </c>
      <c r="AA297" s="6" t="inlineStr">
        <is>
          <t>Dallas office</t>
        </is>
      </c>
      <c r="AB297" s="6" t="inlineStr">
        <is>
          <t>https://www.hillwoodcommunities.com/</t>
        </is>
      </c>
      <c r="AC297" s="6" t="inlineStr"/>
      <c r="AD297" s="6" t="inlineStr"/>
    </row>
    <row r="298">
      <c r="A298" s="12" t="inlineStr">
        <is>
          <t>Russell Bynum</t>
        </is>
      </c>
      <c r="B298" s="12" t="inlineStr">
        <is>
          <t>Hillwood Communities</t>
        </is>
      </c>
      <c r="C298" s="12" t="inlineStr">
        <is>
          <t>Senior Vice President, General Manager, Houston MSA</t>
        </is>
      </c>
      <c r="D298" s="13" t="inlineStr">
        <is>
          <t>Land owner, not the buyer</t>
        </is>
      </c>
      <c r="E298" s="14" t="n">
        <v>1</v>
      </c>
      <c r="F298" s="12" t="inlineStr">
        <is>
          <t>Sells lots</t>
        </is>
      </c>
      <c r="G298" s="12" t="inlineStr">
        <is>
          <t>Dallas HQ / Manvel, Pearland, League City</t>
        </is>
      </c>
      <c r="H298" s="12" t="inlineStr">
        <is>
          <t>Three Houston masterplans, 700 acres at Legacy alone</t>
        </is>
      </c>
      <c r="I298" s="14" t="inlineStr">
        <is>
          <t>Yes</t>
        </is>
      </c>
      <c r="J298" s="15" t="inlineStr">
        <is>
          <t>700 acres at Legacy alone. Three concurrent Houston masterplans.</t>
        </is>
      </c>
      <c r="K298" s="14" t="inlineStr">
        <is>
          <t>No</t>
        </is>
      </c>
      <c r="L298" s="15" t="inlineStr">
        <is>
          <t>Sells lots to vertical builders.</t>
        </is>
      </c>
      <c r="M298" s="14" t="inlineStr">
        <is>
          <t>No</t>
        </is>
      </c>
      <c r="N298" s="15" t="inlineStr">
        <is>
          <t>Its own blog calls Wolf Ranch a collaboration of ICON, Lennar, BIG and Hillwood.</t>
        </is>
      </c>
      <c r="O298" s="10" t="inlineStr"/>
      <c r="P298" s="12">
        <f>HYPERLINK("https://www.linkedin.com/search/results/people/?keywords=Russell%20Bynum%20Hillwood%20Communities","search")</f>
        <v/>
      </c>
      <c r="Q298" s="16">
        <f>IF(O298="","ADD LINKEDIN","ok")</f>
        <v/>
      </c>
      <c r="R298" s="12" t="inlineStr">
        <is>
          <t>https://www.hillwoodcommunities.com/</t>
        </is>
      </c>
      <c r="S298" s="15" t="inlineStr">
        <is>
          <t>It sells lots to vertical builders, but it developed Wolf Ranch, where ICON printed a hundred homes for Lennar.</t>
        </is>
      </c>
      <c r="T298" s="12" t="inlineStr">
        <is>
          <t>YES</t>
        </is>
      </c>
      <c r="U298" s="15" t="inlineStr"/>
      <c r="V298" s="12" t="inlineStr">
        <is>
          <t>https://www.hillwoodcommunities.com/leadership/</t>
        </is>
      </c>
      <c r="W298" s="12" t="inlineStr"/>
      <c r="X298" s="12" t="inlineStr"/>
      <c r="Y298" s="12" t="inlineStr"/>
      <c r="Z298" s="12" t="inlineStr">
        <is>
          <t>(214) 449-0914</t>
        </is>
      </c>
      <c r="AA298" s="12" t="inlineStr">
        <is>
          <t>Dallas office</t>
        </is>
      </c>
      <c r="AB298" s="12" t="inlineStr">
        <is>
          <t>https://www.hillwoodcommunities.com/</t>
        </is>
      </c>
      <c r="AC298" s="12" t="inlineStr"/>
      <c r="AD298" s="12" t="inlineStr"/>
    </row>
    <row r="299">
      <c r="A299" s="6" t="inlineStr">
        <is>
          <t>Mark Meyer</t>
        </is>
      </c>
      <c r="B299" s="6" t="inlineStr">
        <is>
          <t>Hillwood Communities</t>
        </is>
      </c>
      <c r="C299" s="6" t="inlineStr">
        <is>
          <t>Senior Vice President, Planning and Innovation</t>
        </is>
      </c>
      <c r="D299" s="7" t="inlineStr">
        <is>
          <t>Land owner, not the buyer</t>
        </is>
      </c>
      <c r="E299" s="8" t="n">
        <v>1</v>
      </c>
      <c r="F299" s="6" t="inlineStr">
        <is>
          <t>Sells lots</t>
        </is>
      </c>
      <c r="G299" s="6" t="inlineStr">
        <is>
          <t>Dallas HQ / Manvel, Pearland, League City</t>
        </is>
      </c>
      <c r="H299" s="6" t="inlineStr">
        <is>
          <t>Three Houston masterplans, 700 acres at Legacy alone</t>
        </is>
      </c>
      <c r="I299" s="8" t="inlineStr">
        <is>
          <t>Yes</t>
        </is>
      </c>
      <c r="J299" s="9" t="inlineStr">
        <is>
          <t>700 acres at Legacy alone. Three concurrent Houston masterplans.</t>
        </is>
      </c>
      <c r="K299" s="8" t="inlineStr">
        <is>
          <t>No</t>
        </is>
      </c>
      <c r="L299" s="9" t="inlineStr">
        <is>
          <t>Sells lots to vertical builders.</t>
        </is>
      </c>
      <c r="M299" s="8" t="inlineStr">
        <is>
          <t>No</t>
        </is>
      </c>
      <c r="N299" s="9" t="inlineStr">
        <is>
          <t>Its own blog calls Wolf Ranch a collaboration of ICON, Lennar, BIG and Hillwood.</t>
        </is>
      </c>
      <c r="O299" s="10" t="inlineStr"/>
      <c r="P299" s="6">
        <f>HYPERLINK("https://www.linkedin.com/search/results/people/?keywords=Mark%20Meyer%20Hillwood%20Communities","search")</f>
        <v/>
      </c>
      <c r="Q299" s="11">
        <f>IF(O299="","ADD LINKEDIN","ok")</f>
        <v/>
      </c>
      <c r="R299" s="6" t="inlineStr">
        <is>
          <t>https://www.hillwoodcommunities.com/</t>
        </is>
      </c>
      <c r="S299" s="9" t="inlineStr">
        <is>
          <t>It sells lots to vertical builders, but it developed Wolf Ranch, where ICON printed a hundred homes for Lennar.</t>
        </is>
      </c>
      <c r="T299" s="6" t="inlineStr"/>
      <c r="U299" s="9" t="inlineStr"/>
      <c r="V299" s="6" t="inlineStr">
        <is>
          <t>https://www.hillwoodcommunities.com/leadership/</t>
        </is>
      </c>
      <c r="W299" s="6" t="inlineStr"/>
      <c r="X299" s="6" t="inlineStr"/>
      <c r="Y299" s="6" t="inlineStr"/>
      <c r="Z299" s="6" t="inlineStr">
        <is>
          <t>(214) 449-0914</t>
        </is>
      </c>
      <c r="AA299" s="6" t="inlineStr">
        <is>
          <t>Dallas office</t>
        </is>
      </c>
      <c r="AB299" s="6" t="inlineStr">
        <is>
          <t>https://www.hillwoodcommunities.com/</t>
        </is>
      </c>
      <c r="AC299" s="6" t="inlineStr"/>
      <c r="AD299" s="6" t="inlineStr"/>
    </row>
    <row r="300">
      <c r="A300" s="12" t="inlineStr">
        <is>
          <t>Patrick Cowden</t>
        </is>
      </c>
      <c r="B300" s="12" t="inlineStr">
        <is>
          <t>Hillwood Communities</t>
        </is>
      </c>
      <c r="C300" s="12" t="inlineStr">
        <is>
          <t>Senior Vice President, Development</t>
        </is>
      </c>
      <c r="D300" s="13" t="inlineStr">
        <is>
          <t>Land owner, not the buyer</t>
        </is>
      </c>
      <c r="E300" s="14" t="n">
        <v>1</v>
      </c>
      <c r="F300" s="12" t="inlineStr">
        <is>
          <t>Sells lots</t>
        </is>
      </c>
      <c r="G300" s="12" t="inlineStr">
        <is>
          <t>Dallas HQ / Manvel, Pearland, League City</t>
        </is>
      </c>
      <c r="H300" s="12" t="inlineStr">
        <is>
          <t>Three Houston masterplans, 700 acres at Legacy alone</t>
        </is>
      </c>
      <c r="I300" s="14" t="inlineStr">
        <is>
          <t>Yes</t>
        </is>
      </c>
      <c r="J300" s="15" t="inlineStr">
        <is>
          <t>700 acres at Legacy alone. Three concurrent Houston masterplans.</t>
        </is>
      </c>
      <c r="K300" s="14" t="inlineStr">
        <is>
          <t>No</t>
        </is>
      </c>
      <c r="L300" s="15" t="inlineStr">
        <is>
          <t>Sells lots to vertical builders.</t>
        </is>
      </c>
      <c r="M300" s="14" t="inlineStr">
        <is>
          <t>No</t>
        </is>
      </c>
      <c r="N300" s="15" t="inlineStr">
        <is>
          <t>Its own blog calls Wolf Ranch a collaboration of ICON, Lennar, BIG and Hillwood.</t>
        </is>
      </c>
      <c r="O300" s="10" t="inlineStr"/>
      <c r="P300" s="12">
        <f>HYPERLINK("https://www.linkedin.com/search/results/people/?keywords=Patrick%20Cowden%20Hillwood%20Communities","search")</f>
        <v/>
      </c>
      <c r="Q300" s="16">
        <f>IF(O300="","ADD LINKEDIN","ok")</f>
        <v/>
      </c>
      <c r="R300" s="12" t="inlineStr">
        <is>
          <t>https://www.hillwoodcommunities.com/</t>
        </is>
      </c>
      <c r="S300" s="15" t="inlineStr">
        <is>
          <t>It sells lots to vertical builders, but it developed Wolf Ranch, where ICON printed a hundred homes for Lennar.</t>
        </is>
      </c>
      <c r="T300" s="12" t="inlineStr"/>
      <c r="U300" s="15" t="inlineStr"/>
      <c r="V300" s="12" t="inlineStr">
        <is>
          <t>https://www.hillwoodcommunities.com/leadership/</t>
        </is>
      </c>
      <c r="W300" s="12" t="inlineStr"/>
      <c r="X300" s="12" t="inlineStr"/>
      <c r="Y300" s="12" t="inlineStr"/>
      <c r="Z300" s="12" t="inlineStr">
        <is>
          <t>(214) 449-0914</t>
        </is>
      </c>
      <c r="AA300" s="12" t="inlineStr">
        <is>
          <t>Dallas office</t>
        </is>
      </c>
      <c r="AB300" s="12" t="inlineStr">
        <is>
          <t>https://www.hillwoodcommunities.com/</t>
        </is>
      </c>
      <c r="AC300" s="12" t="inlineStr"/>
      <c r="AD300" s="12" t="inlineStr"/>
    </row>
    <row r="301">
      <c r="A301" s="6" t="inlineStr">
        <is>
          <t>Alan Brende</t>
        </is>
      </c>
      <c r="B301" s="6" t="inlineStr">
        <is>
          <t>Land Tejas</t>
        </is>
      </c>
      <c r="C301" s="6" t="inlineStr">
        <is>
          <t>Co-President, Land Tejas</t>
        </is>
      </c>
      <c r="D301" s="7" t="inlineStr">
        <is>
          <t>Land owner, not the buyer</t>
        </is>
      </c>
      <c r="E301" s="8" t="n">
        <v>1</v>
      </c>
      <c r="F301" s="6" t="inlineStr">
        <is>
          <t>Sells lots</t>
        </is>
      </c>
      <c r="G301" s="6" t="inlineStr">
        <is>
          <t>Houston / Katy, Harris-Waller</t>
        </is>
      </c>
      <c r="H301" s="6" t="inlineStr">
        <is>
          <t>Sunterra in Katy, eighteen builder names on its own page</t>
        </is>
      </c>
      <c r="I301" s="8" t="inlineStr">
        <is>
          <t>Yes</t>
        </is>
      </c>
      <c r="J301" s="9" t="inlineStr">
        <is>
          <t>Eighteen builders inside one community.</t>
        </is>
      </c>
      <c r="K301" s="8" t="inlineStr">
        <is>
          <t>No</t>
        </is>
      </c>
      <c r="L301" s="9" t="inlineStr">
        <is>
          <t>Builders buy the wall.</t>
        </is>
      </c>
      <c r="M301" s="8" t="inlineStr">
        <is>
          <t>No</t>
        </is>
      </c>
      <c r="N301" s="9" t="inlineStr">
        <is>
          <t>Nothing on record about construction method.</t>
        </is>
      </c>
      <c r="O301" s="10" t="inlineStr"/>
      <c r="P301" s="6">
        <f>HYPERLINK("https://www.linkedin.com/search/results/people/?keywords=Alan%20Brende%20Land%20Tejas","search")</f>
        <v/>
      </c>
      <c r="Q301" s="11">
        <f>IF(O301="","ADD LINKEDIN","ok")</f>
        <v/>
      </c>
      <c r="R301" s="6" t="inlineStr">
        <is>
          <t>https://landtejas.com/</t>
        </is>
      </c>
      <c r="S301" s="9" t="inlineStr">
        <is>
          <t>It sells lots to builders, so the builders buy the wall.</t>
        </is>
      </c>
      <c r="T301" s="6" t="inlineStr"/>
      <c r="U301" s="9" t="inlineStr"/>
      <c r="V301" s="6" t="inlineStr">
        <is>
          <t>https://landtejas.com/about-us/our-leadership/</t>
        </is>
      </c>
      <c r="W301" s="6" t="inlineStr">
        <is>
          <t>https://www.linkedin.com/company/land-tejas-companies</t>
        </is>
      </c>
      <c r="X301" s="6" t="inlineStr">
        <is>
          <t>https://landtejas.com/about-us/our-leadership/</t>
        </is>
      </c>
      <c r="Y301" s="6" t="inlineStr"/>
      <c r="Z301" s="6" t="inlineStr">
        <is>
          <t>(713) 783-6702</t>
        </is>
      </c>
      <c r="AA301" s="6" t="inlineStr"/>
      <c r="AB301" s="6" t="inlineStr">
        <is>
          <t>https://landtejas.com/</t>
        </is>
      </c>
      <c r="AC301" s="6" t="inlineStr"/>
      <c r="AD301" s="6" t="inlineStr"/>
    </row>
    <row r="302">
      <c r="A302" s="12" t="inlineStr">
        <is>
          <t>Melanie Ohl</t>
        </is>
      </c>
      <c r="B302" s="12" t="inlineStr">
        <is>
          <t>Land Tejas</t>
        </is>
      </c>
      <c r="C302" s="12" t="inlineStr">
        <is>
          <t>Co-President, Land Tejas</t>
        </is>
      </c>
      <c r="D302" s="13" t="inlineStr">
        <is>
          <t>Land owner, not the buyer</t>
        </is>
      </c>
      <c r="E302" s="14" t="n">
        <v>1</v>
      </c>
      <c r="F302" s="12" t="inlineStr">
        <is>
          <t>Sells lots</t>
        </is>
      </c>
      <c r="G302" s="12" t="inlineStr">
        <is>
          <t>Houston / Katy, Harris-Waller</t>
        </is>
      </c>
      <c r="H302" s="12" t="inlineStr">
        <is>
          <t>Sunterra in Katy, eighteen builder names on its own page</t>
        </is>
      </c>
      <c r="I302" s="14" t="inlineStr">
        <is>
          <t>Yes</t>
        </is>
      </c>
      <c r="J302" s="15" t="inlineStr">
        <is>
          <t>Eighteen builders inside one community.</t>
        </is>
      </c>
      <c r="K302" s="14" t="inlineStr">
        <is>
          <t>No</t>
        </is>
      </c>
      <c r="L302" s="15" t="inlineStr">
        <is>
          <t>Builders buy the wall.</t>
        </is>
      </c>
      <c r="M302" s="14" t="inlineStr">
        <is>
          <t>No</t>
        </is>
      </c>
      <c r="N302" s="15" t="inlineStr">
        <is>
          <t>Nothing on record about construction method.</t>
        </is>
      </c>
      <c r="O302" s="10" t="inlineStr"/>
      <c r="P302" s="12">
        <f>HYPERLINK("https://www.linkedin.com/search/results/people/?keywords=Melanie%20Ohl%20Land%20Tejas","search")</f>
        <v/>
      </c>
      <c r="Q302" s="16">
        <f>IF(O302="","ADD LINKEDIN","ok")</f>
        <v/>
      </c>
      <c r="R302" s="12" t="inlineStr">
        <is>
          <t>https://landtejas.com/</t>
        </is>
      </c>
      <c r="S302" s="15" t="inlineStr">
        <is>
          <t>It sells lots to builders, so the builders buy the wall.</t>
        </is>
      </c>
      <c r="T302" s="12" t="inlineStr"/>
      <c r="U302" s="15" t="inlineStr"/>
      <c r="V302" s="12" t="inlineStr">
        <is>
          <t>https://landtejas.com/about-us/our-leadership/</t>
        </is>
      </c>
      <c r="W302" s="12" t="inlineStr">
        <is>
          <t>https://www.linkedin.com/company/land-tejas-companies</t>
        </is>
      </c>
      <c r="X302" s="12" t="inlineStr">
        <is>
          <t>https://landtejas.com/about-us/our-leadership/</t>
        </is>
      </c>
      <c r="Y302" s="12" t="inlineStr"/>
      <c r="Z302" s="12" t="inlineStr">
        <is>
          <t>(713) 783-6702</t>
        </is>
      </c>
      <c r="AA302" s="12" t="inlineStr"/>
      <c r="AB302" s="12" t="inlineStr">
        <is>
          <t>https://landtejas.com/</t>
        </is>
      </c>
      <c r="AC302" s="12" t="inlineStr"/>
      <c r="AD302" s="12" t="inlineStr"/>
    </row>
    <row r="303">
      <c r="A303" s="6" t="inlineStr">
        <is>
          <t>Michael J. Smith</t>
        </is>
      </c>
      <c r="B303" s="6" t="inlineStr">
        <is>
          <t>Johnson Development Corp</t>
        </is>
      </c>
      <c r="C303" s="6" t="inlineStr">
        <is>
          <t>President and Chief Executive Officer, Johnson Development</t>
        </is>
      </c>
      <c r="D303" s="7" t="inlineStr">
        <is>
          <t>Land owner, not the buyer</t>
        </is>
      </c>
      <c r="E303" s="8" t="n">
        <v>1</v>
      </c>
      <c r="F303" s="6" t="inlineStr">
        <is>
          <t>Sells lots</t>
        </is>
      </c>
      <c r="G303" s="6" t="inlineStr">
        <is>
          <t>Houston / Fort Bend, Montgomery</t>
        </is>
      </c>
      <c r="H303" s="6" t="inlineStr">
        <is>
          <t>Fifteen concurrent Houston masterplans</t>
        </is>
      </c>
      <c r="I303" s="8" t="inlineStr">
        <is>
          <t>Yes</t>
        </is>
      </c>
      <c r="J303" s="9" t="inlineStr">
        <is>
          <t>Fifteen at once, its own count.</t>
        </is>
      </c>
      <c r="K303" s="8" t="inlineStr">
        <is>
          <t>No</t>
        </is>
      </c>
      <c r="L303" s="9" t="inlineStr">
        <is>
          <t>Does not pour walls.</t>
        </is>
      </c>
      <c r="M303" s="8" t="inlineStr">
        <is>
          <t>No</t>
        </is>
      </c>
      <c r="N303" s="9" t="inlineStr">
        <is>
          <t>No construction-method content published.</t>
        </is>
      </c>
      <c r="O303" s="10" t="inlineStr"/>
      <c r="P303" s="6">
        <f>HYPERLINK("https://www.linkedin.com/search/results/people/?keywords=Michael%20J.%20Smith%20Johnson%20Development%20Corp","search")</f>
        <v/>
      </c>
      <c r="Q303" s="11">
        <f>IF(O303="","ADD LINKEDIN","ok")</f>
        <v/>
      </c>
      <c r="R303" s="6" t="inlineStr">
        <is>
          <t>https://www.johnsondevelopment.com/</t>
        </is>
      </c>
      <c r="S303" s="9" t="inlineStr">
        <is>
          <t>It sells lots and buys no walls, so the wall decision sits with the builders on its land.</t>
        </is>
      </c>
      <c r="T303" s="6" t="inlineStr"/>
      <c r="U303" s="9" t="inlineStr"/>
      <c r="V303" s="6" t="inlineStr">
        <is>
          <t>https://www.johnsondevelopment.com/our-leaders</t>
        </is>
      </c>
      <c r="W303" s="6" t="inlineStr">
        <is>
          <t>https://www.linkedin.com/company/the-johnson-development-corp</t>
        </is>
      </c>
      <c r="X303" s="6" t="inlineStr">
        <is>
          <t>https://www.johnsondevelopment.com/our-leaders</t>
        </is>
      </c>
      <c r="Y303" s="6" t="inlineStr"/>
      <c r="Z303" s="6" t="inlineStr">
        <is>
          <t>(713) 960-9977</t>
        </is>
      </c>
      <c r="AA303" s="6" t="inlineStr"/>
      <c r="AB303" s="6" t="inlineStr">
        <is>
          <t>https://www.johnsondevelopment.com/</t>
        </is>
      </c>
      <c r="AC303" s="6" t="inlineStr"/>
      <c r="AD303" s="6" t="inlineStr"/>
    </row>
    <row r="304">
      <c r="A304" s="12" t="inlineStr">
        <is>
          <t>Alan Bauer</t>
        </is>
      </c>
      <c r="B304" s="12" t="inlineStr">
        <is>
          <t>Newland Communities</t>
        </is>
      </c>
      <c r="C304" s="12" t="inlineStr">
        <is>
          <t>Senior Vice President and Houston Division Manager, Newland (2019)</t>
        </is>
      </c>
      <c r="D304" s="13" t="inlineStr">
        <is>
          <t>Land owner, not the buyer</t>
        </is>
      </c>
      <c r="E304" s="14" t="n">
        <v>1</v>
      </c>
      <c r="F304" s="12" t="inlineStr">
        <is>
          <t>Sells lots</t>
        </is>
      </c>
      <c r="G304" s="12" t="inlineStr">
        <is>
          <t>Katy, Harris</t>
        </is>
      </c>
      <c r="H304" s="12" t="inlineStr">
        <is>
          <t>Elyson, 3,600 acres in Katy</t>
        </is>
      </c>
      <c r="I304" s="14" t="inlineStr">
        <is>
          <t>Partly</t>
        </is>
      </c>
      <c r="J304" s="15" t="inlineStr">
        <is>
          <t>3,600 acres at Elyson, one Houston community.</t>
        </is>
      </c>
      <c r="K304" s="14" t="inlineStr">
        <is>
          <t>No</t>
        </is>
      </c>
      <c r="L304" s="15" t="inlineStr">
        <is>
          <t>Sells lots.</t>
        </is>
      </c>
      <c r="M304" s="14" t="inlineStr">
        <is>
          <t>No</t>
        </is>
      </c>
      <c r="N304" s="15" t="inlineStr">
        <is>
          <t>Nothing on record about construction method.</t>
        </is>
      </c>
      <c r="O304" s="10" t="inlineStr"/>
      <c r="P304" s="12">
        <f>HYPERLINK("https://www.linkedin.com/search/results/people/?keywords=Alan%20Bauer%20Newland%20Communities","search")</f>
        <v/>
      </c>
      <c r="Q304" s="16">
        <f>IF(O304="","ADD LINKEDIN","ok")</f>
        <v/>
      </c>
      <c r="R304" s="12" t="inlineStr">
        <is>
          <t>https://newlandco.com/</t>
        </is>
      </c>
      <c r="S304" s="15" t="inlineStr">
        <is>
          <t>It sells lots, so builders buy the wall, and the one Houston name on record is from 2019.</t>
        </is>
      </c>
      <c r="T304" s="12" t="inlineStr"/>
      <c r="U304" s="15" t="inlineStr">
        <is>
          <t>West Houston Association board announcement, 2019. Unconfirmed since.</t>
        </is>
      </c>
      <c r="V304" s="12" t="inlineStr">
        <is>
          <t>https://www.westhouston.org/2019/01/18/welcome-to-the-2019-board-or-directors/</t>
        </is>
      </c>
      <c r="W304" s="12" t="inlineStr">
        <is>
          <t>https://www.linkedin.com/company/newland-communities-llc</t>
        </is>
      </c>
      <c r="X304" s="12" t="inlineStr"/>
      <c r="Y304" s="12" t="inlineStr"/>
      <c r="Z304" s="12" t="inlineStr"/>
      <c r="AA304" s="12" t="inlineStr"/>
      <c r="AB304" s="12" t="inlineStr"/>
      <c r="AC304" s="12" t="inlineStr"/>
      <c r="AD304" s="12" t="inlineStr"/>
    </row>
    <row r="305">
      <c r="A305" s="6" t="inlineStr">
        <is>
          <t>Michael Reamer</t>
        </is>
      </c>
      <c r="B305" s="6" t="inlineStr">
        <is>
          <t>Lennar, Houston Division</t>
        </is>
      </c>
      <c r="C305" s="6" t="inlineStr">
        <is>
          <t>Division President, Houston</t>
        </is>
      </c>
      <c r="D305" s="7" t="inlineStr">
        <is>
          <t>Lennar and the firms it owns</t>
        </is>
      </c>
      <c r="E305" s="8" t="n">
        <v>2</v>
      </c>
      <c r="F305" s="6" t="inlineStr">
        <is>
          <t>Buys walls</t>
        </is>
      </c>
      <c r="G305" s="6" t="inlineStr">
        <is>
          <t>Houston / 36 cities, Angleton to Bay City</t>
        </is>
      </c>
      <c r="H305" s="6" t="inlineStr">
        <is>
          <t>6,362 Houston closings in 2025, first in the metro</t>
        </is>
      </c>
      <c r="I305" s="8" t="inlineStr">
        <is>
          <t>Yes</t>
        </is>
      </c>
      <c r="J305" s="9" t="inlineStr">
        <is>
          <t>Same standard features, built in 36 Houston-area cities.</t>
        </is>
      </c>
      <c r="K305" s="8" t="inlineStr">
        <is>
          <t>No</t>
        </is>
      </c>
      <c r="L305" s="9" t="inlineStr">
        <is>
          <t>6,362 Houston closings in 2025, beyond one or two printers.</t>
        </is>
      </c>
      <c r="M305" s="8" t="inlineStr">
        <is>
          <t>Yes</t>
        </is>
      </c>
      <c r="N305" s="9" t="inlineStr">
        <is>
          <t>Lennar built the 100-home Wolf Ranch with ICON. LEN X invested in ICON in August 2021 and again in February 2025.</t>
        </is>
      </c>
      <c r="O305" s="10" t="inlineStr"/>
      <c r="P305" s="6" t="inlineStr"/>
      <c r="Q305" s="11">
        <f>IF(O305="","ADD LINKEDIN","ok")</f>
        <v/>
      </c>
      <c r="R305" s="6" t="inlineStr">
        <is>
          <t>https://www.lennar.com/new-homes/texas/houston</t>
        </is>
      </c>
      <c r="S305" s="9" t="inlineStr">
        <is>
          <t>Its division president controls home design and construction.</t>
        </is>
      </c>
      <c r="T305" s="6" t="inlineStr">
        <is>
          <t>YES</t>
        </is>
      </c>
      <c r="U305" s="9" t="inlineStr">
        <is>
          <t>Release, 14 December 2023. Appointed early 2021, succeeding John Hammond.</t>
        </is>
      </c>
      <c r="V305" s="6" t="inlineStr">
        <is>
          <t>https://www.prnewswire.com/news-releases/lennar-helping-a-hero-bass-pro-shops-and-the-highlands-by-caldwell-communities-welcome-corporal-matthew-houston-usa-ret-an-amputee-injured-in-iraq-to-his-new-home-302016046.html</t>
        </is>
      </c>
      <c r="W305" s="6" t="inlineStr"/>
      <c r="X305" s="6" t="inlineStr"/>
      <c r="Y305" s="6" t="inlineStr"/>
      <c r="Z305" s="6" t="inlineStr">
        <is>
          <t>(888) 671-8175</t>
        </is>
      </c>
      <c r="AA305" s="6" t="inlineStr">
        <is>
          <t>Houston new-home consultants, toll-free</t>
        </is>
      </c>
      <c r="AB305" s="6" t="inlineStr">
        <is>
          <t>https://www.lennar.com/contact?divisionNumber=HOULEN&amp;market=HOU&amp;state=TX</t>
        </is>
      </c>
      <c r="AC305" s="6" t="inlineStr"/>
      <c r="AD305" s="6" t="inlineStr"/>
    </row>
    <row r="306">
      <c r="A306" s="12" t="inlineStr">
        <is>
          <t>Michael Reamer</t>
        </is>
      </c>
      <c r="B306" s="12" t="inlineStr">
        <is>
          <t>Friendswood Development Company</t>
        </is>
      </c>
      <c r="C306" s="12" t="inlineStr">
        <is>
          <t>President, Friendswood Development Company</t>
        </is>
      </c>
      <c r="D306" s="13" t="inlineStr">
        <is>
          <t>Lennar and the firms it owns</t>
        </is>
      </c>
      <c r="E306" s="14" t="n">
        <v>2</v>
      </c>
      <c r="F306" s="12" t="inlineStr">
        <is>
          <t>Sells lots</t>
        </is>
      </c>
      <c r="G306" s="12" t="inlineStr">
        <is>
          <t>Houston / Montgomery, Galveston</t>
        </is>
      </c>
      <c r="H306" s="12" t="inlineStr">
        <is>
          <t>Sells lots inside its own masterplans, and Lennar builds</t>
        </is>
      </c>
      <c r="I306" s="14" t="inlineStr">
        <is>
          <t>Partly</t>
        </is>
      </c>
      <c r="J306" s="15" t="inlineStr">
        <is>
          <t>Sells lots inside its own masterplans. Lennar builds the houses.</t>
        </is>
      </c>
      <c r="K306" s="14" t="inlineStr">
        <is>
          <t>No</t>
        </is>
      </c>
      <c r="L306" s="15" t="inlineStr">
        <is>
          <t>The route is Lennar.</t>
        </is>
      </c>
      <c r="M306" s="14" t="inlineStr">
        <is>
          <t>Partly</t>
        </is>
      </c>
      <c r="N306" s="15" t="inlineStr">
        <is>
          <t>Parent Lennar built a hundred printed homes with ICON. Friendswood itself buys no walls.</t>
        </is>
      </c>
      <c r="O306" s="10" t="inlineStr"/>
      <c r="P306" s="12">
        <f>HYPERLINK("https://www.linkedin.com/search/results/people/?keywords=Michael%20Reamer%20Friendswood%20Development%20Company","search")</f>
        <v/>
      </c>
      <c r="Q306" s="16">
        <f>IF(O306="","ADD LINKEDIN","ok")</f>
        <v/>
      </c>
      <c r="R306" s="12" t="inlineStr">
        <is>
          <t>https://friendswooddevelopment.com/</t>
        </is>
      </c>
      <c r="S306" s="15" t="inlineStr">
        <is>
          <t>It sells lots inside its own masterplans and buys no walls, so the route to a printer is Lennar.</t>
        </is>
      </c>
      <c r="T306" s="12" t="inlineStr"/>
      <c r="U306" s="15" t="inlineStr"/>
      <c r="V306" s="12" t="inlineStr">
        <is>
          <t>https://friendswooddevelopment.com/people</t>
        </is>
      </c>
      <c r="W306" s="12" t="inlineStr">
        <is>
          <t>https://www.linkedin.com/company/friendswood-development-company</t>
        </is>
      </c>
      <c r="X306" s="12" t="inlineStr">
        <is>
          <t>https://friendswooddevelopment.com/people</t>
        </is>
      </c>
      <c r="Y306" s="12" t="inlineStr"/>
      <c r="Z306" s="12" t="inlineStr">
        <is>
          <t>(281) 875-1552</t>
        </is>
      </c>
      <c r="AA306" s="12" t="inlineStr"/>
      <c r="AB306" s="12" t="inlineStr">
        <is>
          <t>https://friendswooddevelopment.com/contact-us</t>
        </is>
      </c>
      <c r="AC306" s="12" t="inlineStr"/>
      <c r="AD306" s="12" t="inlineStr"/>
    </row>
    <row r="307">
      <c r="A307" s="6" t="inlineStr">
        <is>
          <t>George Kopecky</t>
        </is>
      </c>
      <c r="B307" s="6" t="inlineStr">
        <is>
          <t>GreenEco Builders</t>
        </is>
      </c>
      <c r="C307" s="6" t="inlineStr">
        <is>
          <t>President</t>
        </is>
      </c>
      <c r="D307" s="7" t="inlineStr">
        <is>
          <t>Lennar and the firms it owns</t>
        </is>
      </c>
      <c r="E307" s="8" t="n">
        <v>2</v>
      </c>
      <c r="F307" s="6" t="inlineStr">
        <is>
          <t>Buys walls</t>
        </is>
      </c>
      <c r="G307" s="6" t="inlineStr">
        <is>
          <t>Katy</t>
        </is>
      </c>
      <c r="H307" s="6" t="inlineStr">
        <is>
          <t>Owned by Rausch Coleman, which Lennar bought in February 2025</t>
        </is>
      </c>
      <c r="I307" s="8" t="inlineStr">
        <is>
          <t>Partly</t>
        </is>
      </c>
      <c r="J307" s="9" t="inlineStr">
        <is>
          <t>Entry-level and move-up detached homes, per BUILDER.</t>
        </is>
      </c>
      <c r="K307" s="8" t="inlineStr">
        <is>
          <t>Partly</t>
        </is>
      </c>
      <c r="L307" s="9" t="inlineStr">
        <is>
          <t>185 closings in 2016, per BUILDER. No figure since the 2020 sale.</t>
        </is>
      </c>
      <c r="M307" s="8" t="inlineStr">
        <is>
          <t>No</t>
        </is>
      </c>
      <c r="N307" s="9" t="inlineStr">
        <is>
          <t>No method on record.</t>
        </is>
      </c>
      <c r="O307" s="6" t="inlineStr">
        <is>
          <t>https://www.linkedin.com/in/george-kopecky-7ba08a26/</t>
        </is>
      </c>
      <c r="P307" s="6" t="inlineStr"/>
      <c r="Q307" s="11">
        <f>IF(O307="","ADD LINKEDIN","ok")</f>
        <v/>
      </c>
      <c r="R307" s="6" t="inlineStr"/>
      <c r="S307" s="9" t="inlineStr">
        <is>
          <t>Part of Lennar through Rausch Coleman since February 2025. Its last published figure is 185 closings in 2016.</t>
        </is>
      </c>
      <c r="T307" s="6" t="inlineStr"/>
      <c r="U307" s="9" t="inlineStr">
        <is>
          <t>Indexed title: President, GreenEco Builders. Principal in coverage of the 2020 sale.</t>
        </is>
      </c>
      <c r="V307" s="6" t="inlineStr"/>
      <c r="W307" s="6" t="inlineStr"/>
      <c r="X307" s="6" t="inlineStr"/>
      <c r="Y307" s="6" t="inlineStr"/>
      <c r="Z307" s="6" t="inlineStr"/>
      <c r="AA307" s="6" t="inlineStr"/>
      <c r="AB307" s="6" t="inlineStr"/>
      <c r="AC307" s="6" t="inlineStr"/>
      <c r="AD307" s="6" t="inlineStr"/>
    </row>
    <row r="309">
      <c r="A309" s="17" t="inlineStr">
        <is>
          <t>NOTE. A filled LinkedIn cell means the profile was opened or the search result read and the headline named the firm; the verification column records what was read. Where that test failed the cell is left empty rather than guessed, because a fabricated slug passes visual inspection and then fails in front of the person it names. The Find column searches for the empty ones in your own session. Each of the three counts reads Yes, Partly or No, with the reason in the column beside it. Yes and Partly both count as holding a count. A No does not. Holds counts how many of the three are Yes or Partly. Rolodex, Greater Houston, 2026-09-26.</t>
        </is>
      </c>
    </row>
  </sheetData>
  <autoFilter ref="A6:AD3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8" customWidth="1" min="1" max="1"/>
    <col width="16"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s>
  <sheetData>
    <row r="1">
      <c r="A1" s="18" t="inlineStr">
        <is>
          <t>Single-family units authorised by building permit, Houston-Pasadena-The Woodlands, TX</t>
        </is>
      </c>
    </row>
    <row r="2">
      <c r="A2" s="17" t="inlineStr">
        <is>
          <t>Source: HUD SOCDS Building Permits, republishing the Census Building Permits Survey. An authorisation is not a start, a completion or a closing. Census counts townhouses and row houses as single family. The jurisdictions sum to the counties and the counties sum to the metro exactly, in every year.</t>
        </is>
      </c>
    </row>
    <row r="4">
      <c r="A4" s="19" t="inlineStr">
        <is>
          <t>County</t>
        </is>
      </c>
      <c r="B4" s="19" t="n">
        <v>2000</v>
      </c>
      <c r="C4" s="19" t="n">
        <v>2001</v>
      </c>
      <c r="D4" s="19" t="n">
        <v>2002</v>
      </c>
      <c r="E4" s="19" t="n">
        <v>2003</v>
      </c>
      <c r="F4" s="19" t="n">
        <v>2004</v>
      </c>
      <c r="G4" s="19" t="n">
        <v>2005</v>
      </c>
      <c r="H4" s="19" t="n">
        <v>2006</v>
      </c>
      <c r="I4" s="19" t="n">
        <v>2007</v>
      </c>
      <c r="J4" s="19" t="n">
        <v>2008</v>
      </c>
      <c r="K4" s="19" t="n">
        <v>2009</v>
      </c>
      <c r="L4" s="19" t="n">
        <v>2010</v>
      </c>
      <c r="M4" s="19" t="n">
        <v>2011</v>
      </c>
      <c r="N4" s="19" t="n">
        <v>2012</v>
      </c>
      <c r="O4" s="19" t="n">
        <v>2013</v>
      </c>
      <c r="P4" s="19" t="n">
        <v>2014</v>
      </c>
      <c r="Q4" s="19" t="n">
        <v>2015</v>
      </c>
      <c r="R4" s="19" t="n">
        <v>2016</v>
      </c>
      <c r="S4" s="19" t="n">
        <v>2017</v>
      </c>
      <c r="T4" s="19" t="n">
        <v>2018</v>
      </c>
      <c r="U4" s="19" t="n">
        <v>2019</v>
      </c>
      <c r="V4" s="19" t="n">
        <v>2020</v>
      </c>
      <c r="W4" s="19" t="n">
        <v>2021</v>
      </c>
      <c r="X4" s="19" t="n">
        <v>2022</v>
      </c>
      <c r="Y4" s="19" t="n">
        <v>2023</v>
      </c>
      <c r="Z4" s="19" t="n">
        <v>2024</v>
      </c>
      <c r="AA4" s="19" t="n">
        <v>2025</v>
      </c>
    </row>
    <row r="5">
      <c r="A5" s="20" t="inlineStr">
        <is>
          <t>Harris</t>
        </is>
      </c>
      <c r="B5" s="20" t="n">
        <v>18244</v>
      </c>
      <c r="C5" s="20" t="n">
        <v>20122</v>
      </c>
      <c r="D5" s="20" t="n">
        <v>23052</v>
      </c>
      <c r="E5" s="20" t="n">
        <v>26450</v>
      </c>
      <c r="F5" s="20" t="n">
        <v>28020</v>
      </c>
      <c r="G5" s="20" t="n">
        <v>32465</v>
      </c>
      <c r="H5" s="20" t="n">
        <v>33023</v>
      </c>
      <c r="I5" s="20" t="n">
        <v>23985</v>
      </c>
      <c r="J5" s="20" t="n">
        <v>14823</v>
      </c>
      <c r="K5" s="20" t="n">
        <v>11591</v>
      </c>
      <c r="L5" s="20" t="n">
        <v>11057</v>
      </c>
      <c r="M5" s="20" t="n">
        <v>11107</v>
      </c>
      <c r="N5" s="20" t="n">
        <v>14550</v>
      </c>
      <c r="O5" s="20" t="n">
        <v>16986</v>
      </c>
      <c r="P5" s="20" t="n">
        <v>18533</v>
      </c>
      <c r="Q5" s="20" t="n">
        <v>16721</v>
      </c>
      <c r="R5" s="20" t="n">
        <v>15511</v>
      </c>
      <c r="S5" s="20" t="n">
        <v>16980</v>
      </c>
      <c r="T5" s="20" t="n">
        <v>17732</v>
      </c>
      <c r="U5" s="20" t="n">
        <v>17903</v>
      </c>
      <c r="V5" s="20" t="n">
        <v>20834</v>
      </c>
      <c r="W5" s="20" t="n">
        <v>21260</v>
      </c>
      <c r="X5" s="20" t="n">
        <v>18156</v>
      </c>
      <c r="Y5" s="20" t="n">
        <v>20324</v>
      </c>
      <c r="Z5" s="20" t="n">
        <v>20087</v>
      </c>
      <c r="AA5" s="20" t="n">
        <v>16940</v>
      </c>
    </row>
    <row r="6">
      <c r="A6" s="20" t="inlineStr">
        <is>
          <t>Montgomery</t>
        </is>
      </c>
      <c r="B6" s="20" t="n">
        <v>4067</v>
      </c>
      <c r="C6" s="20" t="n">
        <v>3997</v>
      </c>
      <c r="D6" s="20" t="n">
        <v>4497</v>
      </c>
      <c r="E6" s="20" t="n">
        <v>5581</v>
      </c>
      <c r="F6" s="20" t="n">
        <v>6023</v>
      </c>
      <c r="G6" s="20" t="n">
        <v>6586</v>
      </c>
      <c r="H6" s="20" t="n">
        <v>7417</v>
      </c>
      <c r="I6" s="20" t="n">
        <v>5074</v>
      </c>
      <c r="J6" s="20" t="n">
        <v>3583</v>
      </c>
      <c r="K6" s="20" t="n">
        <v>2773</v>
      </c>
      <c r="L6" s="20" t="n">
        <v>2723</v>
      </c>
      <c r="M6" s="20" t="n">
        <v>2795</v>
      </c>
      <c r="N6" s="20" t="n">
        <v>3364</v>
      </c>
      <c r="O6" s="20" t="n">
        <v>4976</v>
      </c>
      <c r="P6" s="20" t="n">
        <v>5511</v>
      </c>
      <c r="Q6" s="20" t="n">
        <v>4970</v>
      </c>
      <c r="R6" s="20" t="n">
        <v>4175</v>
      </c>
      <c r="S6" s="20" t="n">
        <v>5290</v>
      </c>
      <c r="T6" s="20" t="n">
        <v>6663</v>
      </c>
      <c r="U6" s="20" t="n">
        <v>6082</v>
      </c>
      <c r="V6" s="20" t="n">
        <v>8901</v>
      </c>
      <c r="W6" s="20" t="n">
        <v>12227</v>
      </c>
      <c r="X6" s="20" t="n">
        <v>11820</v>
      </c>
      <c r="Y6" s="20" t="n">
        <v>11259</v>
      </c>
      <c r="Z6" s="20" t="n">
        <v>11586</v>
      </c>
      <c r="AA6" s="20" t="n">
        <v>11597</v>
      </c>
    </row>
    <row r="7">
      <c r="A7" s="20" t="inlineStr">
        <is>
          <t>Fort Bend</t>
        </is>
      </c>
      <c r="B7" s="20" t="n">
        <v>1063</v>
      </c>
      <c r="C7" s="20" t="n">
        <v>936</v>
      </c>
      <c r="D7" s="20" t="n">
        <v>1130</v>
      </c>
      <c r="E7" s="20" t="n">
        <v>3476</v>
      </c>
      <c r="F7" s="20" t="n">
        <v>3858</v>
      </c>
      <c r="G7" s="20" t="n">
        <v>4097</v>
      </c>
      <c r="H7" s="20" t="n">
        <v>7910</v>
      </c>
      <c r="I7" s="20" t="n">
        <v>7046</v>
      </c>
      <c r="J7" s="20" t="n">
        <v>5689</v>
      </c>
      <c r="K7" s="20" t="n">
        <v>4845</v>
      </c>
      <c r="L7" s="20" t="n">
        <v>4724</v>
      </c>
      <c r="M7" s="20" t="n">
        <v>5110</v>
      </c>
      <c r="N7" s="20" t="n">
        <v>6517</v>
      </c>
      <c r="O7" s="20" t="n">
        <v>7913</v>
      </c>
      <c r="P7" s="20" t="n">
        <v>8465</v>
      </c>
      <c r="Q7" s="20" t="n">
        <v>9096</v>
      </c>
      <c r="R7" s="20" t="n">
        <v>9777</v>
      </c>
      <c r="S7" s="20" t="n">
        <v>7711</v>
      </c>
      <c r="T7" s="20" t="n">
        <v>8949</v>
      </c>
      <c r="U7" s="20" t="n">
        <v>8452</v>
      </c>
      <c r="V7" s="20" t="n">
        <v>11403</v>
      </c>
      <c r="W7" s="20" t="n">
        <v>9938</v>
      </c>
      <c r="X7" s="20" t="n">
        <v>8917</v>
      </c>
      <c r="Y7" s="20" t="n">
        <v>9953</v>
      </c>
      <c r="Z7" s="20" t="n">
        <v>11200</v>
      </c>
      <c r="AA7" s="20" t="n">
        <v>9760</v>
      </c>
    </row>
    <row r="8">
      <c r="A8" s="20" t="inlineStr">
        <is>
          <t>Brazoria</t>
        </is>
      </c>
      <c r="B8" s="20" t="n">
        <v>1903</v>
      </c>
      <c r="C8" s="20" t="n">
        <v>2405</v>
      </c>
      <c r="D8" s="20" t="n">
        <v>2738</v>
      </c>
      <c r="E8" s="20" t="n">
        <v>3025</v>
      </c>
      <c r="F8" s="20" t="n">
        <v>3288</v>
      </c>
      <c r="G8" s="20" t="n">
        <v>3989</v>
      </c>
      <c r="H8" s="20" t="n">
        <v>3287</v>
      </c>
      <c r="I8" s="20" t="n">
        <v>2703</v>
      </c>
      <c r="J8" s="20" t="n">
        <v>1977</v>
      </c>
      <c r="K8" s="20" t="n">
        <v>1496</v>
      </c>
      <c r="L8" s="20" t="n">
        <v>1647</v>
      </c>
      <c r="M8" s="20" t="n">
        <v>1562</v>
      </c>
      <c r="N8" s="20" t="n">
        <v>1922</v>
      </c>
      <c r="O8" s="20" t="n">
        <v>1965</v>
      </c>
      <c r="P8" s="20" t="n">
        <v>2466</v>
      </c>
      <c r="Q8" s="20" t="n">
        <v>2975</v>
      </c>
      <c r="R8" s="20" t="n">
        <v>2909</v>
      </c>
      <c r="S8" s="20" t="n">
        <v>3132</v>
      </c>
      <c r="T8" s="20" t="n">
        <v>3365</v>
      </c>
      <c r="U8" s="20" t="n">
        <v>3207</v>
      </c>
      <c r="V8" s="20" t="n">
        <v>3895</v>
      </c>
      <c r="W8" s="20" t="n">
        <v>4455</v>
      </c>
      <c r="X8" s="20" t="n">
        <v>4174</v>
      </c>
      <c r="Y8" s="20" t="n">
        <v>3750</v>
      </c>
      <c r="Z8" s="20" t="n">
        <v>3363</v>
      </c>
      <c r="AA8" s="20" t="n">
        <v>2789</v>
      </c>
    </row>
    <row r="9">
      <c r="A9" s="20" t="inlineStr">
        <is>
          <t>Galveston</t>
        </is>
      </c>
      <c r="B9" s="20" t="n">
        <v>2235</v>
      </c>
      <c r="C9" s="20" t="n">
        <v>2441</v>
      </c>
      <c r="D9" s="20" t="n">
        <v>2687</v>
      </c>
      <c r="E9" s="20" t="n">
        <v>2733</v>
      </c>
      <c r="F9" s="20" t="n">
        <v>2995</v>
      </c>
      <c r="G9" s="20" t="n">
        <v>3148</v>
      </c>
      <c r="H9" s="20" t="n">
        <v>2732</v>
      </c>
      <c r="I9" s="20" t="n">
        <v>2587</v>
      </c>
      <c r="J9" s="20" t="n">
        <v>1517</v>
      </c>
      <c r="K9" s="20" t="n">
        <v>1140</v>
      </c>
      <c r="L9" s="20" t="n">
        <v>1731</v>
      </c>
      <c r="M9" s="20" t="n">
        <v>1823</v>
      </c>
      <c r="N9" s="20" t="n">
        <v>1784</v>
      </c>
      <c r="O9" s="20" t="n">
        <v>2176</v>
      </c>
      <c r="P9" s="20" t="n">
        <v>2638</v>
      </c>
      <c r="Q9" s="20" t="n">
        <v>2372</v>
      </c>
      <c r="R9" s="20" t="n">
        <v>2209</v>
      </c>
      <c r="S9" s="20" t="n">
        <v>2095</v>
      </c>
      <c r="T9" s="20" t="n">
        <v>2201</v>
      </c>
      <c r="U9" s="20" t="n">
        <v>2197</v>
      </c>
      <c r="V9" s="20" t="n">
        <v>2926</v>
      </c>
      <c r="W9" s="20" t="n">
        <v>2474</v>
      </c>
      <c r="X9" s="20" t="n">
        <v>2065</v>
      </c>
      <c r="Y9" s="20" t="n">
        <v>2667</v>
      </c>
      <c r="Z9" s="20" t="n">
        <v>3148</v>
      </c>
      <c r="AA9" s="20" t="n">
        <v>2521</v>
      </c>
    </row>
    <row r="10">
      <c r="A10" s="20" t="inlineStr">
        <is>
          <t>Liberty</t>
        </is>
      </c>
      <c r="B10" s="20" t="n">
        <v>213</v>
      </c>
      <c r="C10" s="20" t="n">
        <v>212</v>
      </c>
      <c r="D10" s="20" t="n">
        <v>235</v>
      </c>
      <c r="E10" s="20" t="n">
        <v>258</v>
      </c>
      <c r="F10" s="20" t="n">
        <v>263</v>
      </c>
      <c r="G10" s="20" t="n">
        <v>287</v>
      </c>
      <c r="H10" s="20" t="n">
        <v>293</v>
      </c>
      <c r="I10" s="20" t="n">
        <v>251</v>
      </c>
      <c r="J10" s="20" t="n">
        <v>240</v>
      </c>
      <c r="K10" s="20" t="n">
        <v>231</v>
      </c>
      <c r="L10" s="20" t="n">
        <v>193</v>
      </c>
      <c r="M10" s="20" t="n">
        <v>252</v>
      </c>
      <c r="N10" s="20" t="n">
        <v>165</v>
      </c>
      <c r="O10" s="20" t="n">
        <v>175</v>
      </c>
      <c r="P10" s="20" t="n">
        <v>300</v>
      </c>
      <c r="Q10" s="20" t="n">
        <v>306</v>
      </c>
      <c r="R10" s="20" t="n">
        <v>456</v>
      </c>
      <c r="S10" s="20" t="n">
        <v>544</v>
      </c>
      <c r="T10" s="20" t="n">
        <v>722</v>
      </c>
      <c r="U10" s="20" t="n">
        <v>823</v>
      </c>
      <c r="V10" s="20" t="n">
        <v>964</v>
      </c>
      <c r="W10" s="20" t="n">
        <v>1234</v>
      </c>
      <c r="X10" s="20" t="n">
        <v>1558</v>
      </c>
      <c r="Y10" s="20" t="n">
        <v>1295</v>
      </c>
      <c r="Z10" s="20" t="n">
        <v>1319</v>
      </c>
      <c r="AA10" s="20" t="n">
        <v>1010</v>
      </c>
    </row>
    <row r="11">
      <c r="A11" s="20" t="inlineStr">
        <is>
          <t>Chambers</t>
        </is>
      </c>
      <c r="B11" s="20" t="n">
        <v>309</v>
      </c>
      <c r="C11" s="20" t="n">
        <v>326</v>
      </c>
      <c r="D11" s="20" t="n">
        <v>270</v>
      </c>
      <c r="E11" s="20" t="n">
        <v>417</v>
      </c>
      <c r="F11" s="20" t="n">
        <v>571</v>
      </c>
      <c r="G11" s="20" t="n">
        <v>517</v>
      </c>
      <c r="H11" s="20" t="n">
        <v>368</v>
      </c>
      <c r="I11" s="20" t="n">
        <v>457</v>
      </c>
      <c r="J11" s="20" t="n">
        <v>316</v>
      </c>
      <c r="K11" s="20" t="n">
        <v>257</v>
      </c>
      <c r="L11" s="20" t="n">
        <v>226</v>
      </c>
      <c r="M11" s="20" t="n">
        <v>216</v>
      </c>
      <c r="N11" s="20" t="n">
        <v>293</v>
      </c>
      <c r="O11" s="20" t="n">
        <v>318</v>
      </c>
      <c r="P11" s="20" t="n">
        <v>377</v>
      </c>
      <c r="Q11" s="20" t="n">
        <v>317</v>
      </c>
      <c r="R11" s="20" t="n">
        <v>295</v>
      </c>
      <c r="S11" s="20" t="n">
        <v>526</v>
      </c>
      <c r="T11" s="20" t="n">
        <v>593</v>
      </c>
      <c r="U11" s="20" t="n">
        <v>792</v>
      </c>
      <c r="V11" s="20" t="n">
        <v>932</v>
      </c>
      <c r="W11" s="20" t="n">
        <v>1052</v>
      </c>
      <c r="X11" s="20" t="n">
        <v>745</v>
      </c>
      <c r="Y11" s="20" t="n">
        <v>582</v>
      </c>
      <c r="Z11" s="20" t="n">
        <v>642</v>
      </c>
      <c r="AA11" s="20" t="n">
        <v>562</v>
      </c>
    </row>
    <row r="12">
      <c r="A12" s="20" t="inlineStr">
        <is>
          <t>San Jacinto</t>
        </is>
      </c>
      <c r="B12" s="20" t="n">
        <v>11</v>
      </c>
      <c r="C12" s="20" t="n">
        <v>6</v>
      </c>
      <c r="D12" s="20" t="n">
        <v>0</v>
      </c>
      <c r="E12" s="20" t="n">
        <v>13</v>
      </c>
      <c r="F12" s="20" t="n">
        <v>11</v>
      </c>
      <c r="G12" s="20" t="n">
        <v>3</v>
      </c>
      <c r="H12" s="20" t="n">
        <v>3</v>
      </c>
      <c r="I12" s="20" t="n">
        <v>0</v>
      </c>
      <c r="J12" s="20" t="n">
        <v>4</v>
      </c>
      <c r="K12" s="20" t="n">
        <v>0</v>
      </c>
      <c r="L12" s="20" t="n">
        <v>2</v>
      </c>
      <c r="M12" s="20" t="n">
        <v>2</v>
      </c>
      <c r="N12" s="20" t="n">
        <v>7</v>
      </c>
      <c r="O12" s="20" t="n">
        <v>5</v>
      </c>
      <c r="P12" s="20" t="n">
        <v>2</v>
      </c>
      <c r="Q12" s="20" t="n">
        <v>177</v>
      </c>
      <c r="R12" s="20" t="n">
        <v>265</v>
      </c>
      <c r="S12" s="20" t="n">
        <v>368</v>
      </c>
      <c r="T12" s="20" t="n">
        <v>376</v>
      </c>
      <c r="U12" s="20" t="n">
        <v>394</v>
      </c>
      <c r="V12" s="20" t="n">
        <v>457</v>
      </c>
      <c r="W12" s="20" t="n">
        <v>575</v>
      </c>
      <c r="X12" s="20" t="n">
        <v>586</v>
      </c>
      <c r="Y12" s="20" t="n">
        <v>548</v>
      </c>
      <c r="Z12" s="20" t="n">
        <v>578</v>
      </c>
      <c r="AA12" s="20" t="n">
        <v>519</v>
      </c>
    </row>
    <row r="13">
      <c r="A13" s="20" t="inlineStr">
        <is>
          <t>Waller</t>
        </is>
      </c>
      <c r="B13" s="20" t="n">
        <v>21</v>
      </c>
      <c r="C13" s="20" t="n">
        <v>17</v>
      </c>
      <c r="D13" s="20" t="n">
        <v>31</v>
      </c>
      <c r="E13" s="20" t="n">
        <v>55</v>
      </c>
      <c r="F13" s="20" t="n">
        <v>46</v>
      </c>
      <c r="G13" s="20" t="n">
        <v>67</v>
      </c>
      <c r="H13" s="20" t="n">
        <v>90</v>
      </c>
      <c r="I13" s="20" t="n">
        <v>60</v>
      </c>
      <c r="J13" s="20" t="n">
        <v>7</v>
      </c>
      <c r="K13" s="20" t="n">
        <v>6</v>
      </c>
      <c r="L13" s="20" t="n">
        <v>9</v>
      </c>
      <c r="M13" s="20" t="n">
        <v>5</v>
      </c>
      <c r="N13" s="20" t="n">
        <v>8</v>
      </c>
      <c r="O13" s="20" t="n">
        <v>4</v>
      </c>
      <c r="P13" s="20" t="n">
        <v>5</v>
      </c>
      <c r="Q13" s="20" t="n">
        <v>10</v>
      </c>
      <c r="R13" s="20" t="n">
        <v>13</v>
      </c>
      <c r="S13" s="20" t="n">
        <v>36</v>
      </c>
      <c r="T13" s="20" t="n">
        <v>75</v>
      </c>
      <c r="U13" s="20" t="n">
        <v>24</v>
      </c>
      <c r="V13" s="20" t="n">
        <v>31</v>
      </c>
      <c r="W13" s="20" t="n">
        <v>57</v>
      </c>
      <c r="X13" s="20" t="n">
        <v>90</v>
      </c>
      <c r="Y13" s="20" t="n">
        <v>247</v>
      </c>
      <c r="Z13" s="20" t="n">
        <v>368</v>
      </c>
      <c r="AA13" s="20" t="n">
        <v>339</v>
      </c>
    </row>
    <row r="14">
      <c r="A14" s="20" t="inlineStr">
        <is>
          <t>Austin</t>
        </is>
      </c>
      <c r="B14" s="20" t="n">
        <v>114</v>
      </c>
      <c r="C14" s="20" t="n">
        <v>34</v>
      </c>
      <c r="D14" s="20" t="n">
        <v>45</v>
      </c>
      <c r="E14" s="20" t="n">
        <v>45</v>
      </c>
      <c r="F14" s="20" t="n">
        <v>28</v>
      </c>
      <c r="G14" s="20" t="n">
        <v>46</v>
      </c>
      <c r="H14" s="20" t="n">
        <v>39</v>
      </c>
      <c r="I14" s="20" t="n">
        <v>54</v>
      </c>
      <c r="J14" s="20" t="n">
        <v>36</v>
      </c>
      <c r="K14" s="20" t="n">
        <v>30</v>
      </c>
      <c r="L14" s="20" t="n">
        <v>18</v>
      </c>
      <c r="M14" s="20" t="n">
        <v>17</v>
      </c>
      <c r="N14" s="20" t="n">
        <v>21</v>
      </c>
      <c r="O14" s="20" t="n">
        <v>30</v>
      </c>
      <c r="P14" s="20" t="n">
        <v>24</v>
      </c>
      <c r="Q14" s="20" t="n">
        <v>19</v>
      </c>
      <c r="R14" s="20" t="n">
        <v>22</v>
      </c>
      <c r="S14" s="20" t="n">
        <v>34</v>
      </c>
      <c r="T14" s="20" t="n">
        <v>211</v>
      </c>
      <c r="U14" s="20" t="n">
        <v>27</v>
      </c>
      <c r="V14" s="20" t="n">
        <v>289</v>
      </c>
      <c r="W14" s="20" t="n">
        <v>43</v>
      </c>
      <c r="X14" s="20" t="n">
        <v>374</v>
      </c>
      <c r="Y14" s="20" t="n">
        <v>367</v>
      </c>
      <c r="Z14" s="20" t="n">
        <v>412</v>
      </c>
      <c r="AA14" s="20" t="n">
        <v>304</v>
      </c>
    </row>
    <row r="15">
      <c r="A15" s="21" t="inlineStr">
        <is>
          <t>Metro total</t>
        </is>
      </c>
      <c r="B15" s="21" t="n">
        <v>28180</v>
      </c>
      <c r="C15" s="21" t="n">
        <v>30496</v>
      </c>
      <c r="D15" s="21" t="n">
        <v>34685</v>
      </c>
      <c r="E15" s="21" t="n">
        <v>42053</v>
      </c>
      <c r="F15" s="21" t="n">
        <v>45103</v>
      </c>
      <c r="G15" s="21" t="n">
        <v>51205</v>
      </c>
      <c r="H15" s="21" t="n">
        <v>55162</v>
      </c>
      <c r="I15" s="21" t="n">
        <v>42217</v>
      </c>
      <c r="J15" s="21" t="n">
        <v>28192</v>
      </c>
      <c r="K15" s="21" t="n">
        <v>22369</v>
      </c>
      <c r="L15" s="21" t="n">
        <v>22330</v>
      </c>
      <c r="M15" s="21" t="n">
        <v>22889</v>
      </c>
      <c r="N15" s="21" t="n">
        <v>28631</v>
      </c>
      <c r="O15" s="21" t="n">
        <v>34548</v>
      </c>
      <c r="P15" s="21" t="n">
        <v>38321</v>
      </c>
      <c r="Q15" s="21" t="n">
        <v>36963</v>
      </c>
      <c r="R15" s="21" t="n">
        <v>35632</v>
      </c>
      <c r="S15" s="21" t="n">
        <v>36716</v>
      </c>
      <c r="T15" s="21" t="n">
        <v>40887</v>
      </c>
      <c r="U15" s="21" t="n">
        <v>39901</v>
      </c>
      <c r="V15" s="21" t="n">
        <v>50632</v>
      </c>
      <c r="W15" s="21" t="n">
        <v>53315</v>
      </c>
      <c r="X15" s="21" t="n">
        <v>48485</v>
      </c>
      <c r="Y15" s="21" t="n">
        <v>50992</v>
      </c>
      <c r="Z15" s="21" t="n">
        <v>52703</v>
      </c>
      <c r="AA15" s="21" t="n">
        <v>46341</v>
      </c>
    </row>
    <row r="18">
      <c r="A18" s="19" t="inlineStr">
        <is>
          <t>Permit-issuing jurisdiction</t>
        </is>
      </c>
      <c r="B18" s="19" t="inlineStr">
        <is>
          <t>County</t>
        </is>
      </c>
      <c r="C18" s="19" t="n">
        <v>2020</v>
      </c>
      <c r="D18" s="19" t="n">
        <v>2021</v>
      </c>
      <c r="E18" s="19" t="n">
        <v>2022</v>
      </c>
      <c r="F18" s="19" t="n">
        <v>2023</v>
      </c>
      <c r="G18" s="19" t="n">
        <v>2024</v>
      </c>
      <c r="H18" s="19" t="n">
        <v>2025</v>
      </c>
    </row>
    <row r="19">
      <c r="A19" s="20" t="inlineStr">
        <is>
          <t>Harris County Unincorporated Area</t>
        </is>
      </c>
      <c r="B19" s="22" t="inlineStr">
        <is>
          <t>Harris</t>
        </is>
      </c>
      <c r="C19" s="20" t="n">
        <v>13017</v>
      </c>
      <c r="D19" s="20" t="n">
        <v>12023</v>
      </c>
      <c r="E19" s="20" t="n">
        <v>9645</v>
      </c>
      <c r="F19" s="20" t="n">
        <v>12252</v>
      </c>
      <c r="G19" s="20" t="n">
        <v>12151</v>
      </c>
      <c r="H19" s="20" t="n">
        <v>11014</v>
      </c>
    </row>
    <row r="20">
      <c r="A20" s="20" t="inlineStr">
        <is>
          <t>Montgomery County Unincorporated Area</t>
        </is>
      </c>
      <c r="B20" s="22" t="inlineStr">
        <is>
          <t>Montgomery</t>
        </is>
      </c>
      <c r="C20" s="20" t="n">
        <v>6940</v>
      </c>
      <c r="D20" s="20" t="n">
        <v>9027</v>
      </c>
      <c r="E20" s="20" t="n">
        <v>9131</v>
      </c>
      <c r="F20" s="20" t="n">
        <v>8880</v>
      </c>
      <c r="G20" s="20" t="n">
        <v>8895</v>
      </c>
      <c r="H20" s="20" t="n">
        <v>9056</v>
      </c>
    </row>
    <row r="21">
      <c r="A21" s="20" t="inlineStr">
        <is>
          <t>Fort Bend County Unincorporated Area</t>
        </is>
      </c>
      <c r="B21" s="22" t="inlineStr">
        <is>
          <t>Fort Bend</t>
        </is>
      </c>
      <c r="C21" s="20" t="n">
        <v>7892</v>
      </c>
      <c r="D21" s="20" t="n">
        <v>5351</v>
      </c>
      <c r="E21" s="20" t="n">
        <v>4741</v>
      </c>
      <c r="F21" s="20" t="n">
        <v>5014</v>
      </c>
      <c r="G21" s="20" t="n">
        <v>6547</v>
      </c>
      <c r="H21" s="20" t="n">
        <v>5673</v>
      </c>
    </row>
    <row r="22">
      <c r="A22" s="20" t="inlineStr">
        <is>
          <t>Houston</t>
        </is>
      </c>
      <c r="B22" s="22" t="inlineStr">
        <is>
          <t>Harris</t>
        </is>
      </c>
      <c r="C22" s="20" t="n">
        <v>5923</v>
      </c>
      <c r="D22" s="20" t="n">
        <v>7146</v>
      </c>
      <c r="E22" s="20" t="n">
        <v>6800</v>
      </c>
      <c r="F22" s="20" t="n">
        <v>6609</v>
      </c>
      <c r="G22" s="20" t="n">
        <v>6808</v>
      </c>
      <c r="H22" s="20" t="n">
        <v>4774</v>
      </c>
    </row>
    <row r="23">
      <c r="A23" s="20" t="inlineStr">
        <is>
          <t>Fulshear</t>
        </is>
      </c>
      <c r="B23" s="22" t="inlineStr">
        <is>
          <t>Fort Bend</t>
        </is>
      </c>
      <c r="C23" s="20" t="n">
        <v>2345</v>
      </c>
      <c r="D23" s="20" t="n">
        <v>3008</v>
      </c>
      <c r="E23" s="20" t="n">
        <v>3001</v>
      </c>
      <c r="F23" s="20" t="n">
        <v>3854</v>
      </c>
      <c r="G23" s="20" t="n">
        <v>3970</v>
      </c>
      <c r="H23" s="20" t="n">
        <v>3264</v>
      </c>
    </row>
    <row r="24">
      <c r="A24" s="20" t="inlineStr">
        <is>
          <t>Conroe</t>
        </is>
      </c>
      <c r="B24" s="22" t="inlineStr">
        <is>
          <t>Montgomery</t>
        </is>
      </c>
      <c r="C24" s="20" t="n">
        <v>1545</v>
      </c>
      <c r="D24" s="20" t="n">
        <v>2574</v>
      </c>
      <c r="E24" s="20" t="n">
        <v>1865</v>
      </c>
      <c r="F24" s="20" t="n">
        <v>1814</v>
      </c>
      <c r="G24" s="20" t="n">
        <v>2069</v>
      </c>
      <c r="H24" s="20" t="n">
        <v>1839</v>
      </c>
    </row>
    <row r="25">
      <c r="A25" s="20" t="inlineStr">
        <is>
          <t>Liberty County Unincorporated Area</t>
        </is>
      </c>
      <c r="B25" s="22" t="inlineStr">
        <is>
          <t>Liberty</t>
        </is>
      </c>
      <c r="C25" s="20" t="n">
        <v>776</v>
      </c>
      <c r="D25" s="20" t="n">
        <v>972</v>
      </c>
      <c r="E25" s="20" t="n">
        <v>1261</v>
      </c>
      <c r="F25" s="20" t="n">
        <v>992</v>
      </c>
      <c r="G25" s="20" t="n">
        <v>1128</v>
      </c>
      <c r="H25" s="20" t="n">
        <v>882</v>
      </c>
    </row>
    <row r="26">
      <c r="A26" s="20" t="inlineStr">
        <is>
          <t>League City</t>
        </is>
      </c>
      <c r="B26" s="22" t="inlineStr">
        <is>
          <t>Galveston</t>
        </is>
      </c>
      <c r="C26" s="20" t="n">
        <v>847</v>
      </c>
      <c r="D26" s="20" t="n">
        <v>388</v>
      </c>
      <c r="E26" s="20" t="n">
        <v>427</v>
      </c>
      <c r="F26" s="20" t="n">
        <v>842</v>
      </c>
      <c r="G26" s="20" t="n">
        <v>928</v>
      </c>
      <c r="H26" s="20" t="n">
        <v>816</v>
      </c>
    </row>
    <row r="27">
      <c r="A27" s="20" t="inlineStr">
        <is>
          <t>Brazoria County Unincorporated Area</t>
        </is>
      </c>
      <c r="B27" s="22" t="inlineStr">
        <is>
          <t>Brazoria</t>
        </is>
      </c>
      <c r="C27" s="20" t="n">
        <v>1217</v>
      </c>
      <c r="D27" s="20" t="n">
        <v>1361</v>
      </c>
      <c r="E27" s="20" t="n">
        <v>1644</v>
      </c>
      <c r="F27" s="20" t="n">
        <v>1280</v>
      </c>
      <c r="G27" s="20" t="n">
        <v>1167</v>
      </c>
      <c r="H27" s="20" t="n">
        <v>815</v>
      </c>
    </row>
    <row r="28">
      <c r="A28" s="20" t="inlineStr">
        <is>
          <t>Manvel</t>
        </is>
      </c>
      <c r="B28" s="22" t="inlineStr">
        <is>
          <t>Brazoria</t>
        </is>
      </c>
      <c r="C28" s="20" t="n">
        <v>774</v>
      </c>
      <c r="D28" s="20" t="n">
        <v>931</v>
      </c>
      <c r="E28" s="20" t="n">
        <v>891</v>
      </c>
      <c r="F28" s="20" t="n">
        <v>686</v>
      </c>
      <c r="G28" s="20" t="n">
        <v>630</v>
      </c>
      <c r="H28" s="20" t="n">
        <v>745</v>
      </c>
    </row>
    <row r="29">
      <c r="A29" s="20" t="inlineStr">
        <is>
          <t>Iowa Colony Village</t>
        </is>
      </c>
      <c r="B29" s="22" t="inlineStr">
        <is>
          <t>Brazoria</t>
        </is>
      </c>
      <c r="C29" s="20" t="n">
        <v>796</v>
      </c>
      <c r="D29" s="20" t="n">
        <v>759</v>
      </c>
      <c r="E29" s="20" t="n">
        <v>627</v>
      </c>
      <c r="F29" s="20" t="n">
        <v>780</v>
      </c>
      <c r="G29" s="20" t="n">
        <v>883</v>
      </c>
      <c r="H29" s="20" t="n">
        <v>743</v>
      </c>
    </row>
    <row r="30">
      <c r="A30" s="20" t="inlineStr">
        <is>
          <t>Texas City</t>
        </is>
      </c>
      <c r="B30" s="22" t="inlineStr">
        <is>
          <t>Galveston</t>
        </is>
      </c>
      <c r="C30" s="20" t="n">
        <v>778</v>
      </c>
      <c r="D30" s="20" t="n">
        <v>829</v>
      </c>
      <c r="E30" s="20" t="n">
        <v>481</v>
      </c>
      <c r="F30" s="20" t="n">
        <v>596</v>
      </c>
      <c r="G30" s="20" t="n">
        <v>974</v>
      </c>
      <c r="H30" s="20" t="n">
        <v>640</v>
      </c>
    </row>
    <row r="31">
      <c r="A31" s="20" t="inlineStr">
        <is>
          <t>San Jacinto County Unincorporated Area</t>
        </is>
      </c>
      <c r="B31" s="22" t="inlineStr">
        <is>
          <t>San Jacinto</t>
        </is>
      </c>
      <c r="C31" s="20" t="n">
        <v>457</v>
      </c>
      <c r="D31" s="20" t="n">
        <v>573</v>
      </c>
      <c r="E31" s="20" t="n">
        <v>578</v>
      </c>
      <c r="F31" s="20" t="n">
        <v>543</v>
      </c>
      <c r="G31" s="20" t="n">
        <v>569</v>
      </c>
      <c r="H31" s="20" t="n">
        <v>511</v>
      </c>
    </row>
    <row r="32">
      <c r="A32" s="20" t="inlineStr">
        <is>
          <t>Rosenberg</t>
        </is>
      </c>
      <c r="B32" s="22" t="inlineStr">
        <is>
          <t>Fort Bend</t>
        </is>
      </c>
      <c r="C32" s="20" t="n">
        <v>355</v>
      </c>
      <c r="D32" s="20" t="n">
        <v>511</v>
      </c>
      <c r="E32" s="20" t="n">
        <v>346</v>
      </c>
      <c r="F32" s="20" t="n">
        <v>385</v>
      </c>
      <c r="G32" s="20" t="n">
        <v>311</v>
      </c>
      <c r="H32" s="20" t="n">
        <v>419</v>
      </c>
    </row>
    <row r="33">
      <c r="A33" s="20" t="inlineStr">
        <is>
          <t>Chambers County Unincorporated Area</t>
        </is>
      </c>
      <c r="B33" s="22" t="inlineStr">
        <is>
          <t>Chambers</t>
        </is>
      </c>
      <c r="C33" s="20" t="n">
        <v>665</v>
      </c>
      <c r="D33" s="20" t="n">
        <v>793</v>
      </c>
      <c r="E33" s="20" t="n">
        <v>481</v>
      </c>
      <c r="F33" s="20" t="n">
        <v>382</v>
      </c>
      <c r="G33" s="20" t="n">
        <v>414</v>
      </c>
      <c r="H33" s="20" t="n">
        <v>379</v>
      </c>
    </row>
    <row r="34">
      <c r="A34" s="20" t="inlineStr">
        <is>
          <t>Tomball</t>
        </is>
      </c>
      <c r="B34" s="22" t="inlineStr">
        <is>
          <t>Harris</t>
        </is>
      </c>
      <c r="C34" s="20" t="n">
        <v>350</v>
      </c>
      <c r="D34" s="20" t="n">
        <v>448</v>
      </c>
      <c r="E34" s="20" t="n">
        <v>339</v>
      </c>
      <c r="F34" s="20" t="n">
        <v>332</v>
      </c>
      <c r="G34" s="20" t="n">
        <v>345</v>
      </c>
      <c r="H34" s="20" t="n">
        <v>309</v>
      </c>
    </row>
    <row r="35">
      <c r="A35" s="20" t="inlineStr">
        <is>
          <t>Alvin</t>
        </is>
      </c>
      <c r="B35" s="22" t="inlineStr">
        <is>
          <t>Brazoria</t>
        </is>
      </c>
      <c r="C35" s="20" t="n">
        <v>283</v>
      </c>
      <c r="D35" s="20" t="n">
        <v>345</v>
      </c>
      <c r="E35" s="20" t="n">
        <v>183</v>
      </c>
      <c r="F35" s="20" t="n">
        <v>382</v>
      </c>
      <c r="G35" s="20" t="n">
        <v>282</v>
      </c>
      <c r="H35" s="20" t="n">
        <v>285</v>
      </c>
    </row>
    <row r="36">
      <c r="A36" s="20" t="inlineStr">
        <is>
          <t>Waller</t>
        </is>
      </c>
      <c r="B36" s="22" t="inlineStr">
        <is>
          <t>Waller</t>
        </is>
      </c>
      <c r="C36" s="20" t="n">
        <v>4</v>
      </c>
      <c r="D36" s="20" t="n">
        <v>23</v>
      </c>
      <c r="E36" s="20" t="n">
        <v>64</v>
      </c>
      <c r="F36" s="20" t="n">
        <v>170</v>
      </c>
      <c r="G36" s="20" t="n">
        <v>304</v>
      </c>
      <c r="H36" s="20" t="n">
        <v>284</v>
      </c>
    </row>
    <row r="37">
      <c r="A37" s="20" t="inlineStr">
        <is>
          <t>Magnolia Town</t>
        </is>
      </c>
      <c r="B37" s="22" t="inlineStr">
        <is>
          <t>Montgomery</t>
        </is>
      </c>
      <c r="C37" s="20" t="n">
        <v>103</v>
      </c>
      <c r="D37" s="20" t="n">
        <v>272</v>
      </c>
      <c r="E37" s="20" t="n">
        <v>493</v>
      </c>
      <c r="F37" s="20" t="n">
        <v>374</v>
      </c>
      <c r="G37" s="20" t="n">
        <v>304</v>
      </c>
      <c r="H37" s="20" t="n">
        <v>275</v>
      </c>
    </row>
    <row r="38">
      <c r="A38" s="20" t="inlineStr">
        <is>
          <t>Montgomery</t>
        </is>
      </c>
      <c r="B38" s="22" t="inlineStr">
        <is>
          <t>Montgomery</t>
        </is>
      </c>
      <c r="C38" s="20" t="n">
        <v>94</v>
      </c>
      <c r="D38" s="20" t="n">
        <v>76</v>
      </c>
      <c r="E38" s="20" t="n">
        <v>98</v>
      </c>
      <c r="F38" s="20" t="n">
        <v>45</v>
      </c>
      <c r="G38" s="20" t="n">
        <v>117</v>
      </c>
      <c r="H38" s="20" t="n">
        <v>270</v>
      </c>
    </row>
    <row r="39">
      <c r="A39" s="20" t="inlineStr">
        <is>
          <t>Santa Fe</t>
        </is>
      </c>
      <c r="B39" s="22" t="inlineStr">
        <is>
          <t>Galveston</t>
        </is>
      </c>
      <c r="C39" s="20" t="n">
        <v>62</v>
      </c>
      <c r="D39" s="20" t="n">
        <v>70</v>
      </c>
      <c r="E39" s="20" t="n">
        <v>63</v>
      </c>
      <c r="F39" s="20" t="n">
        <v>58</v>
      </c>
      <c r="G39" s="20" t="n">
        <v>364</v>
      </c>
      <c r="H39" s="20" t="n">
        <v>261</v>
      </c>
    </row>
    <row r="40">
      <c r="A40" s="20" t="inlineStr">
        <is>
          <t>Galveston</t>
        </is>
      </c>
      <c r="B40" s="22" t="inlineStr">
        <is>
          <t>Galveston</t>
        </is>
      </c>
      <c r="C40" s="20" t="n">
        <v>237</v>
      </c>
      <c r="D40" s="20" t="n">
        <v>251</v>
      </c>
      <c r="E40" s="20" t="n">
        <v>215</v>
      </c>
      <c r="F40" s="20" t="n">
        <v>289</v>
      </c>
      <c r="G40" s="20" t="n">
        <v>279</v>
      </c>
      <c r="H40" s="20" t="n">
        <v>254</v>
      </c>
    </row>
    <row r="41">
      <c r="A41" s="20" t="inlineStr">
        <is>
          <t>Baytown</t>
        </is>
      </c>
      <c r="B41" s="22" t="inlineStr">
        <is>
          <t>Harris</t>
        </is>
      </c>
      <c r="C41" s="20" t="n">
        <v>283</v>
      </c>
      <c r="D41" s="20" t="n">
        <v>309</v>
      </c>
      <c r="E41" s="20" t="n">
        <v>154</v>
      </c>
      <c r="F41" s="20" t="n">
        <v>140</v>
      </c>
      <c r="G41" s="20" t="n">
        <v>142</v>
      </c>
      <c r="H41" s="20" t="n">
        <v>229</v>
      </c>
    </row>
    <row r="42">
      <c r="A42" s="20" t="inlineStr">
        <is>
          <t>Austin County Unincorporated Area</t>
        </is>
      </c>
      <c r="B42" s="22" t="inlineStr">
        <is>
          <t>Austin</t>
        </is>
      </c>
      <c r="C42" s="20" t="n">
        <v>260</v>
      </c>
      <c r="D42" s="20" t="n">
        <v>21</v>
      </c>
      <c r="E42" s="20" t="n">
        <v>196</v>
      </c>
      <c r="F42" s="20" t="n">
        <v>196</v>
      </c>
      <c r="G42" s="20" t="n">
        <v>210</v>
      </c>
      <c r="H42" s="20" t="n">
        <v>189</v>
      </c>
    </row>
    <row r="43">
      <c r="A43" s="20" t="inlineStr">
        <is>
          <t>Galveston County Unincorporated Area</t>
        </is>
      </c>
      <c r="B43" s="22" t="inlineStr">
        <is>
          <t>Galveston</t>
        </is>
      </c>
      <c r="C43" s="20" t="n">
        <v>318</v>
      </c>
      <c r="D43" s="20" t="n">
        <v>344</v>
      </c>
      <c r="E43" s="20" t="n">
        <v>422</v>
      </c>
      <c r="F43" s="20" t="n">
        <v>271</v>
      </c>
      <c r="G43" s="20" t="n">
        <v>166</v>
      </c>
      <c r="H43" s="20" t="n">
        <v>171</v>
      </c>
    </row>
    <row r="44">
      <c r="A44" s="20" t="inlineStr">
        <is>
          <t>Mont Belvieu</t>
        </is>
      </c>
      <c r="B44" s="22" t="inlineStr">
        <is>
          <t>Chambers</t>
        </is>
      </c>
      <c r="C44" s="20" t="n">
        <v>240</v>
      </c>
      <c r="D44" s="20" t="n">
        <v>230</v>
      </c>
      <c r="E44" s="20" t="n">
        <v>209</v>
      </c>
      <c r="F44" s="20" t="n">
        <v>178</v>
      </c>
      <c r="G44" s="20" t="n">
        <v>188</v>
      </c>
      <c r="H44" s="20" t="n">
        <v>167</v>
      </c>
    </row>
    <row r="45">
      <c r="A45" s="20" t="inlineStr">
        <is>
          <t>La Marque</t>
        </is>
      </c>
      <c r="B45" s="22" t="inlineStr">
        <is>
          <t>Galveston</t>
        </is>
      </c>
      <c r="C45" s="20" t="n">
        <v>241</v>
      </c>
      <c r="D45" s="20" t="n">
        <v>225</v>
      </c>
      <c r="E45" s="20" t="n">
        <v>217</v>
      </c>
      <c r="F45" s="20" t="n">
        <v>268</v>
      </c>
      <c r="G45" s="20" t="n">
        <v>105</v>
      </c>
      <c r="H45" s="20" t="n">
        <v>137</v>
      </c>
    </row>
    <row r="46">
      <c r="A46" s="20" t="inlineStr">
        <is>
          <t>Willis</t>
        </is>
      </c>
      <c r="B46" s="22" t="inlineStr">
        <is>
          <t>Montgomery</t>
        </is>
      </c>
      <c r="C46" s="20" t="n">
        <v>96</v>
      </c>
      <c r="D46" s="20" t="n">
        <v>105</v>
      </c>
      <c r="E46" s="20" t="n">
        <v>17</v>
      </c>
      <c r="F46" s="20" t="n">
        <v>80</v>
      </c>
      <c r="G46" s="20" t="n">
        <v>173</v>
      </c>
      <c r="H46" s="20" t="n">
        <v>129</v>
      </c>
    </row>
    <row r="47">
      <c r="A47" s="20" t="inlineStr">
        <is>
          <t>Dayton</t>
        </is>
      </c>
      <c r="B47" s="22" t="inlineStr">
        <is>
          <t>Liberty</t>
        </is>
      </c>
      <c r="C47" s="20" t="n">
        <v>34</v>
      </c>
      <c r="D47" s="20" t="n">
        <v>58</v>
      </c>
      <c r="E47" s="20" t="n">
        <v>80</v>
      </c>
      <c r="F47" s="20" t="n">
        <v>105</v>
      </c>
      <c r="G47" s="20" t="n">
        <v>135</v>
      </c>
      <c r="H47" s="20" t="n">
        <v>119</v>
      </c>
    </row>
    <row r="48">
      <c r="A48" s="20" t="inlineStr">
        <is>
          <t>Katy</t>
        </is>
      </c>
      <c r="B48" s="22" t="inlineStr">
        <is>
          <t>Harris</t>
        </is>
      </c>
      <c r="C48" s="20" t="n">
        <v>576</v>
      </c>
      <c r="D48" s="20" t="n">
        <v>527</v>
      </c>
      <c r="E48" s="20" t="n">
        <v>430</v>
      </c>
      <c r="F48" s="20" t="n">
        <v>390</v>
      </c>
      <c r="G48" s="20" t="n">
        <v>170</v>
      </c>
      <c r="H48" s="20" t="n">
        <v>116</v>
      </c>
    </row>
    <row r="49">
      <c r="A49" s="20" t="inlineStr">
        <is>
          <t>Missouri City</t>
        </is>
      </c>
      <c r="B49" s="22" t="inlineStr">
        <is>
          <t>Fort Bend</t>
        </is>
      </c>
      <c r="C49" s="20" t="n">
        <v>634</v>
      </c>
      <c r="D49" s="20" t="n">
        <v>693</v>
      </c>
      <c r="E49" s="20" t="n">
        <v>421</v>
      </c>
      <c r="F49" s="20" t="n">
        <v>435</v>
      </c>
      <c r="G49" s="20" t="n">
        <v>118</v>
      </c>
      <c r="H49" s="20" t="n">
        <v>109</v>
      </c>
    </row>
    <row r="50">
      <c r="A50" s="20" t="inlineStr">
        <is>
          <t>Kemah</t>
        </is>
      </c>
      <c r="B50" s="22" t="inlineStr">
        <is>
          <t>Galveston</t>
        </is>
      </c>
      <c r="C50" s="20" t="n">
        <v>2</v>
      </c>
      <c r="D50" s="20" t="n">
        <v>4</v>
      </c>
      <c r="E50" s="20" t="n">
        <v>17</v>
      </c>
      <c r="F50" s="20" t="n">
        <v>145</v>
      </c>
      <c r="G50" s="20" t="n">
        <v>131</v>
      </c>
      <c r="H50" s="20" t="n">
        <v>102</v>
      </c>
    </row>
    <row r="51">
      <c r="A51" s="20" t="inlineStr">
        <is>
          <t>Pearland</t>
        </is>
      </c>
      <c r="B51" s="22" t="inlineStr">
        <is>
          <t>Brazoria</t>
        </is>
      </c>
      <c r="C51" s="20" t="n">
        <v>531</v>
      </c>
      <c r="D51" s="20" t="n">
        <v>715</v>
      </c>
      <c r="E51" s="20" t="n">
        <v>338</v>
      </c>
      <c r="F51" s="20" t="n">
        <v>214</v>
      </c>
      <c r="G51" s="20" t="n">
        <v>60</v>
      </c>
      <c r="H51" s="20" t="n">
        <v>101</v>
      </c>
    </row>
    <row r="52">
      <c r="A52" s="20" t="inlineStr">
        <is>
          <t>Arcola</t>
        </is>
      </c>
      <c r="B52" s="22" t="inlineStr">
        <is>
          <t>Fort Bend</t>
        </is>
      </c>
      <c r="C52" s="20" t="n">
        <v>0</v>
      </c>
      <c r="D52" s="20" t="n">
        <v>0</v>
      </c>
      <c r="E52" s="20" t="n">
        <v>0</v>
      </c>
      <c r="F52" s="20" t="n">
        <v>0</v>
      </c>
      <c r="G52" s="20" t="n">
        <v>0</v>
      </c>
      <c r="H52" s="20" t="n">
        <v>95</v>
      </c>
    </row>
    <row r="53">
      <c r="A53" s="20" t="inlineStr">
        <is>
          <t>Friendswood</t>
        </is>
      </c>
      <c r="B53" s="22" t="inlineStr">
        <is>
          <t>Galveston</t>
        </is>
      </c>
      <c r="C53" s="20" t="n">
        <v>156</v>
      </c>
      <c r="D53" s="20" t="n">
        <v>81</v>
      </c>
      <c r="E53" s="20" t="n">
        <v>102</v>
      </c>
      <c r="F53" s="20" t="n">
        <v>111</v>
      </c>
      <c r="G53" s="20" t="n">
        <v>130</v>
      </c>
      <c r="H53" s="20" t="n">
        <v>92</v>
      </c>
    </row>
    <row r="54">
      <c r="A54" s="20" t="inlineStr">
        <is>
          <t>Pasadena</t>
        </is>
      </c>
      <c r="B54" s="22" t="inlineStr">
        <is>
          <t>Harris</t>
        </is>
      </c>
      <c r="C54" s="20" t="n">
        <v>144</v>
      </c>
      <c r="D54" s="20" t="n">
        <v>119</v>
      </c>
      <c r="E54" s="20" t="n">
        <v>138</v>
      </c>
      <c r="F54" s="20" t="n">
        <v>109</v>
      </c>
      <c r="G54" s="20" t="n">
        <v>47</v>
      </c>
      <c r="H54" s="20" t="n">
        <v>87</v>
      </c>
    </row>
    <row r="55">
      <c r="A55" s="20" t="inlineStr">
        <is>
          <t>La Porte</t>
        </is>
      </c>
      <c r="B55" s="22" t="inlineStr">
        <is>
          <t>Harris</t>
        </is>
      </c>
      <c r="C55" s="20" t="n">
        <v>255</v>
      </c>
      <c r="D55" s="20" t="n">
        <v>320</v>
      </c>
      <c r="E55" s="20" t="n">
        <v>285</v>
      </c>
      <c r="F55" s="20" t="n">
        <v>154</v>
      </c>
      <c r="G55" s="20" t="n">
        <v>109</v>
      </c>
      <c r="H55" s="20" t="n">
        <v>84</v>
      </c>
    </row>
    <row r="56">
      <c r="A56" s="20" t="inlineStr">
        <is>
          <t>Sealy</t>
        </is>
      </c>
      <c r="B56" s="22" t="inlineStr">
        <is>
          <t>Austin</t>
        </is>
      </c>
      <c r="C56" s="20" t="n">
        <v>9</v>
      </c>
      <c r="D56" s="20" t="n">
        <v>12</v>
      </c>
      <c r="E56" s="20" t="n">
        <v>147</v>
      </c>
      <c r="F56" s="20" t="n">
        <v>138</v>
      </c>
      <c r="G56" s="20" t="n">
        <v>146</v>
      </c>
      <c r="H56" s="20" t="n">
        <v>76</v>
      </c>
    </row>
    <row r="57">
      <c r="A57" s="20" t="inlineStr">
        <is>
          <t>Bellaire</t>
        </is>
      </c>
      <c r="B57" s="22" t="inlineStr">
        <is>
          <t>Harris</t>
        </is>
      </c>
      <c r="C57" s="20" t="n">
        <v>61</v>
      </c>
      <c r="D57" s="20" t="n">
        <v>60</v>
      </c>
      <c r="E57" s="20" t="n">
        <v>73</v>
      </c>
      <c r="F57" s="20" t="n">
        <v>51</v>
      </c>
      <c r="G57" s="20" t="n">
        <v>46</v>
      </c>
      <c r="H57" s="20" t="n">
        <v>48</v>
      </c>
    </row>
    <row r="58">
      <c r="A58" s="20" t="inlineStr">
        <is>
          <t>West University Place</t>
        </is>
      </c>
      <c r="B58" s="22" t="inlineStr">
        <is>
          <t>Harris</t>
        </is>
      </c>
      <c r="C58" s="20" t="n">
        <v>45</v>
      </c>
      <c r="D58" s="20" t="n">
        <v>48</v>
      </c>
      <c r="E58" s="20" t="n">
        <v>55</v>
      </c>
      <c r="F58" s="20" t="n">
        <v>37</v>
      </c>
      <c r="G58" s="20" t="n">
        <v>35</v>
      </c>
      <c r="H58" s="20" t="n">
        <v>48</v>
      </c>
    </row>
    <row r="59">
      <c r="A59" s="20" t="inlineStr">
        <is>
          <t>Hempstead</t>
        </is>
      </c>
      <c r="B59" s="22" t="inlineStr">
        <is>
          <t>Waller</t>
        </is>
      </c>
      <c r="C59" s="20" t="n">
        <v>0</v>
      </c>
      <c r="D59" s="20" t="n">
        <v>0</v>
      </c>
      <c r="E59" s="20" t="n">
        <v>0</v>
      </c>
      <c r="F59" s="20" t="n">
        <v>49</v>
      </c>
      <c r="G59" s="20" t="n">
        <v>52</v>
      </c>
      <c r="H59" s="20" t="n">
        <v>45</v>
      </c>
    </row>
    <row r="60">
      <c r="A60" s="20" t="inlineStr">
        <is>
          <t>Sugar Land</t>
        </is>
      </c>
      <c r="B60" s="22" t="inlineStr">
        <is>
          <t>Fort Bend</t>
        </is>
      </c>
      <c r="C60" s="20" t="n">
        <v>148</v>
      </c>
      <c r="D60" s="20" t="n">
        <v>151</v>
      </c>
      <c r="E60" s="20" t="n">
        <v>136</v>
      </c>
      <c r="F60" s="20" t="n">
        <v>36</v>
      </c>
      <c r="G60" s="20" t="n">
        <v>67</v>
      </c>
      <c r="H60" s="20" t="n">
        <v>44</v>
      </c>
    </row>
    <row r="61">
      <c r="A61" s="20" t="inlineStr">
        <is>
          <t>Beasley</t>
        </is>
      </c>
      <c r="B61" s="22" t="inlineStr">
        <is>
          <t>Fort Bend</t>
        </is>
      </c>
      <c r="C61" s="20" t="n">
        <v>1</v>
      </c>
      <c r="D61" s="20" t="n">
        <v>13</v>
      </c>
      <c r="E61" s="20" t="n">
        <v>20</v>
      </c>
      <c r="F61" s="20" t="n">
        <v>41</v>
      </c>
      <c r="G61" s="20" t="n">
        <v>41</v>
      </c>
      <c r="H61" s="20" t="n">
        <v>39</v>
      </c>
    </row>
    <row r="62">
      <c r="A62" s="20" t="inlineStr">
        <is>
          <t>Needville</t>
        </is>
      </c>
      <c r="B62" s="22" t="inlineStr">
        <is>
          <t>Fort Bend</t>
        </is>
      </c>
      <c r="C62" s="20" t="n">
        <v>10</v>
      </c>
      <c r="D62" s="20" t="n">
        <v>16</v>
      </c>
      <c r="E62" s="20" t="n">
        <v>12</v>
      </c>
      <c r="F62" s="20" t="n">
        <v>15</v>
      </c>
      <c r="G62" s="20" t="n">
        <v>11</v>
      </c>
      <c r="H62" s="20" t="n">
        <v>39</v>
      </c>
    </row>
    <row r="63">
      <c r="A63" s="20" t="inlineStr">
        <is>
          <t>Humble</t>
        </is>
      </c>
      <c r="B63" s="22" t="inlineStr">
        <is>
          <t>Harris</t>
        </is>
      </c>
      <c r="C63" s="20" t="n">
        <v>4</v>
      </c>
      <c r="D63" s="20" t="n">
        <v>1</v>
      </c>
      <c r="E63" s="20" t="n">
        <v>0</v>
      </c>
      <c r="F63" s="20" t="n">
        <v>3</v>
      </c>
      <c r="G63" s="20" t="n">
        <v>9</v>
      </c>
      <c r="H63" s="20" t="n">
        <v>38</v>
      </c>
    </row>
    <row r="64">
      <c r="A64" s="20" t="inlineStr">
        <is>
          <t>Dickinson</t>
        </is>
      </c>
      <c r="B64" s="22" t="inlineStr">
        <is>
          <t>Galveston</t>
        </is>
      </c>
      <c r="C64" s="20" t="n">
        <v>176</v>
      </c>
      <c r="D64" s="20" t="n">
        <v>101</v>
      </c>
      <c r="E64" s="20" t="n">
        <v>46</v>
      </c>
      <c r="F64" s="20" t="n">
        <v>52</v>
      </c>
      <c r="G64" s="20" t="n">
        <v>48</v>
      </c>
      <c r="H64" s="20" t="n">
        <v>37</v>
      </c>
    </row>
    <row r="65">
      <c r="A65" s="20" t="inlineStr">
        <is>
          <t>Spring Valley Village</t>
        </is>
      </c>
      <c r="B65" s="22" t="inlineStr">
        <is>
          <t>Harris</t>
        </is>
      </c>
      <c r="C65" s="20" t="n">
        <v>30</v>
      </c>
      <c r="D65" s="20" t="n">
        <v>31</v>
      </c>
      <c r="E65" s="20" t="n">
        <v>20</v>
      </c>
      <c r="F65" s="20" t="n">
        <v>19</v>
      </c>
      <c r="G65" s="20" t="n">
        <v>13</v>
      </c>
      <c r="H65" s="20" t="n">
        <v>35</v>
      </c>
    </row>
    <row r="66">
      <c r="A66" s="20" t="inlineStr">
        <is>
          <t>Bellville</t>
        </is>
      </c>
      <c r="B66" s="22" t="inlineStr">
        <is>
          <t>Austin</t>
        </is>
      </c>
      <c r="C66" s="20" t="n">
        <v>6</v>
      </c>
      <c r="D66" s="20" t="n">
        <v>4</v>
      </c>
      <c r="E66" s="20" t="n">
        <v>24</v>
      </c>
      <c r="F66" s="20" t="n">
        <v>31</v>
      </c>
      <c r="G66" s="20" t="n">
        <v>52</v>
      </c>
      <c r="H66" s="20" t="n">
        <v>30</v>
      </c>
    </row>
    <row r="67">
      <c r="A67" s="20" t="inlineStr">
        <is>
          <t>Seabrook</t>
        </is>
      </c>
      <c r="B67" s="22" t="inlineStr">
        <is>
          <t>Harris</t>
        </is>
      </c>
      <c r="C67" s="20" t="n">
        <v>34</v>
      </c>
      <c r="D67" s="20" t="n">
        <v>35</v>
      </c>
      <c r="E67" s="20" t="n">
        <v>39</v>
      </c>
      <c r="F67" s="20" t="n">
        <v>31</v>
      </c>
      <c r="G67" s="20" t="n">
        <v>60</v>
      </c>
      <c r="H67" s="20" t="n">
        <v>30</v>
      </c>
    </row>
    <row r="68">
      <c r="A68" s="20" t="inlineStr">
        <is>
          <t>Clute</t>
        </is>
      </c>
      <c r="B68" s="22" t="inlineStr">
        <is>
          <t>Brazoria</t>
        </is>
      </c>
      <c r="C68" s="20" t="n">
        <v>46</v>
      </c>
      <c r="D68" s="20" t="n">
        <v>58</v>
      </c>
      <c r="E68" s="20" t="n">
        <v>39</v>
      </c>
      <c r="F68" s="20" t="n">
        <v>46</v>
      </c>
      <c r="G68" s="20" t="n">
        <v>21</v>
      </c>
      <c r="H68" s="20" t="n">
        <v>29</v>
      </c>
    </row>
    <row r="69">
      <c r="A69" s="20" t="inlineStr">
        <is>
          <t>Weston Lakes</t>
        </is>
      </c>
      <c r="B69" s="22" t="inlineStr">
        <is>
          <t>Fort Bend</t>
        </is>
      </c>
      <c r="C69" s="20" t="n">
        <v>0</v>
      </c>
      <c r="D69" s="20" t="n">
        <v>0</v>
      </c>
      <c r="E69" s="20" t="n">
        <v>0</v>
      </c>
      <c r="F69" s="20" t="n">
        <v>0</v>
      </c>
      <c r="G69" s="20" t="n">
        <v>0</v>
      </c>
      <c r="H69" s="20" t="n">
        <v>27</v>
      </c>
    </row>
    <row r="70">
      <c r="A70" s="20" t="inlineStr">
        <is>
          <t>Hunters Creek Village</t>
        </is>
      </c>
      <c r="B70" s="22" t="inlineStr">
        <is>
          <t>Harris</t>
        </is>
      </c>
      <c r="C70" s="20" t="n">
        <v>11</v>
      </c>
      <c r="D70" s="20" t="n">
        <v>20</v>
      </c>
      <c r="E70" s="20" t="n">
        <v>22</v>
      </c>
      <c r="F70" s="20" t="n">
        <v>20</v>
      </c>
      <c r="G70" s="20" t="n">
        <v>16</v>
      </c>
      <c r="H70" s="20" t="n">
        <v>21</v>
      </c>
    </row>
    <row r="71">
      <c r="A71" s="20" t="inlineStr">
        <is>
          <t>Stafford</t>
        </is>
      </c>
      <c r="B71" s="22" t="inlineStr">
        <is>
          <t>Fort Bend</t>
        </is>
      </c>
      <c r="C71" s="20" t="n">
        <v>3</v>
      </c>
      <c r="D71" s="20" t="n">
        <v>49</v>
      </c>
      <c r="E71" s="20" t="n">
        <v>39</v>
      </c>
      <c r="F71" s="20" t="n">
        <v>39</v>
      </c>
      <c r="G71" s="20" t="n">
        <v>29</v>
      </c>
      <c r="H71" s="20" t="n">
        <v>21</v>
      </c>
    </row>
    <row r="72">
      <c r="A72" s="20" t="inlineStr">
        <is>
          <t>Richwood</t>
        </is>
      </c>
      <c r="B72" s="22" t="inlineStr">
        <is>
          <t>Brazoria</t>
        </is>
      </c>
      <c r="C72" s="20" t="n">
        <v>12</v>
      </c>
      <c r="D72" s="20" t="n">
        <v>19</v>
      </c>
      <c r="E72" s="20" t="n">
        <v>14</v>
      </c>
      <c r="F72" s="20" t="n">
        <v>11</v>
      </c>
      <c r="G72" s="20" t="n">
        <v>8</v>
      </c>
      <c r="H72" s="20" t="n">
        <v>19</v>
      </c>
    </row>
    <row r="73">
      <c r="A73" s="20" t="inlineStr">
        <is>
          <t>South Houston</t>
        </is>
      </c>
      <c r="B73" s="22" t="inlineStr">
        <is>
          <t>Harris</t>
        </is>
      </c>
      <c r="C73" s="20" t="n">
        <v>17</v>
      </c>
      <c r="D73" s="20" t="n">
        <v>30</v>
      </c>
      <c r="E73" s="20" t="n">
        <v>26</v>
      </c>
      <c r="F73" s="20" t="n">
        <v>12</v>
      </c>
      <c r="G73" s="20" t="n">
        <v>16</v>
      </c>
      <c r="H73" s="20" t="n">
        <v>17</v>
      </c>
    </row>
    <row r="74">
      <c r="A74" s="20" t="inlineStr">
        <is>
          <t>Kendleton</t>
        </is>
      </c>
      <c r="B74" s="22" t="inlineStr">
        <is>
          <t>Fort Bend</t>
        </is>
      </c>
      <c r="C74" s="20" t="n">
        <v>2</v>
      </c>
      <c r="D74" s="20" t="n">
        <v>2</v>
      </c>
      <c r="E74" s="20" t="n">
        <v>4</v>
      </c>
      <c r="F74" s="20" t="n">
        <v>4</v>
      </c>
      <c r="G74" s="20" t="n">
        <v>3</v>
      </c>
      <c r="H74" s="20" t="n">
        <v>16</v>
      </c>
    </row>
    <row r="75">
      <c r="A75" s="20" t="inlineStr">
        <is>
          <t>Surfside Beach</t>
        </is>
      </c>
      <c r="B75" s="22" t="inlineStr">
        <is>
          <t>Brazoria</t>
        </is>
      </c>
      <c r="C75" s="20" t="n">
        <v>37</v>
      </c>
      <c r="D75" s="20" t="n">
        <v>24</v>
      </c>
      <c r="E75" s="20" t="n">
        <v>39</v>
      </c>
      <c r="F75" s="20" t="n">
        <v>15</v>
      </c>
      <c r="G75" s="20" t="n">
        <v>16</v>
      </c>
      <c r="H75" s="20" t="n">
        <v>14</v>
      </c>
    </row>
    <row r="76">
      <c r="A76" s="20" t="inlineStr">
        <is>
          <t>Bunker Hill Village</t>
        </is>
      </c>
      <c r="B76" s="22" t="inlineStr">
        <is>
          <t>Harris</t>
        </is>
      </c>
      <c r="C76" s="20" t="n">
        <v>7</v>
      </c>
      <c r="D76" s="20" t="n">
        <v>16</v>
      </c>
      <c r="E76" s="20" t="n">
        <v>16</v>
      </c>
      <c r="F76" s="20" t="n">
        <v>14</v>
      </c>
      <c r="G76" s="20" t="n">
        <v>15</v>
      </c>
      <c r="H76" s="20" t="n">
        <v>12</v>
      </c>
    </row>
    <row r="77">
      <c r="A77" s="20" t="inlineStr">
        <is>
          <t>Beach City</t>
        </is>
      </c>
      <c r="B77" s="22" t="inlineStr">
        <is>
          <t>Chambers</t>
        </is>
      </c>
      <c r="C77" s="20" t="n">
        <v>14</v>
      </c>
      <c r="D77" s="20" t="n">
        <v>23</v>
      </c>
      <c r="E77" s="20" t="n">
        <v>42</v>
      </c>
      <c r="F77" s="20" t="n">
        <v>16</v>
      </c>
      <c r="G77" s="20" t="n">
        <v>8</v>
      </c>
      <c r="H77" s="20" t="n">
        <v>11</v>
      </c>
    </row>
    <row r="78">
      <c r="A78" s="20" t="inlineStr">
        <is>
          <t>Richmond</t>
        </is>
      </c>
      <c r="B78" s="22" t="inlineStr">
        <is>
          <t>Fort Bend</t>
        </is>
      </c>
      <c r="C78" s="20" t="n">
        <v>7</v>
      </c>
      <c r="D78" s="20" t="n">
        <v>136</v>
      </c>
      <c r="E78" s="20" t="n">
        <v>189</v>
      </c>
      <c r="F78" s="20" t="n">
        <v>126</v>
      </c>
      <c r="G78" s="20" t="n">
        <v>98</v>
      </c>
      <c r="H78" s="20" t="n">
        <v>11</v>
      </c>
    </row>
    <row r="79">
      <c r="A79" s="20" t="inlineStr">
        <is>
          <t>Prairie View</t>
        </is>
      </c>
      <c r="B79" s="22" t="inlineStr">
        <is>
          <t>Waller</t>
        </is>
      </c>
      <c r="C79" s="20" t="n">
        <v>3</v>
      </c>
      <c r="D79" s="20" t="n">
        <v>3</v>
      </c>
      <c r="E79" s="20" t="n">
        <v>9</v>
      </c>
      <c r="F79" s="20" t="n">
        <v>7</v>
      </c>
      <c r="G79" s="20" t="n">
        <v>10</v>
      </c>
      <c r="H79" s="20" t="n">
        <v>10</v>
      </c>
    </row>
    <row r="80">
      <c r="A80" s="20" t="inlineStr">
        <is>
          <t>Jersey Village</t>
        </is>
      </c>
      <c r="B80" s="22" t="inlineStr">
        <is>
          <t>Harris</t>
        </is>
      </c>
      <c r="C80" s="20" t="n">
        <v>2</v>
      </c>
      <c r="D80" s="20" t="n">
        <v>3</v>
      </c>
      <c r="E80" s="20" t="n">
        <v>0</v>
      </c>
      <c r="F80" s="20" t="n">
        <v>0</v>
      </c>
      <c r="G80" s="20" t="n">
        <v>2</v>
      </c>
      <c r="H80" s="20" t="n">
        <v>9</v>
      </c>
    </row>
    <row r="81">
      <c r="A81" s="20" t="inlineStr">
        <is>
          <t>Oyster Creek</t>
        </is>
      </c>
      <c r="B81" s="22" t="inlineStr">
        <is>
          <t>Brazoria</t>
        </is>
      </c>
      <c r="C81" s="20" t="n">
        <v>6</v>
      </c>
      <c r="D81" s="20" t="n">
        <v>1</v>
      </c>
      <c r="E81" s="20" t="n">
        <v>1</v>
      </c>
      <c r="F81" s="20" t="n">
        <v>2</v>
      </c>
      <c r="G81" s="20" t="n">
        <v>2</v>
      </c>
      <c r="H81" s="20" t="n">
        <v>9</v>
      </c>
    </row>
    <row r="82">
      <c r="A82" s="20" t="inlineStr">
        <is>
          <t>Piney Point Village</t>
        </is>
      </c>
      <c r="B82" s="22" t="inlineStr">
        <is>
          <t>Harris</t>
        </is>
      </c>
      <c r="C82" s="20" t="n">
        <v>10</v>
      </c>
      <c r="D82" s="20" t="n">
        <v>11</v>
      </c>
      <c r="E82" s="20" t="n">
        <v>10</v>
      </c>
      <c r="F82" s="20" t="n">
        <v>10</v>
      </c>
      <c r="G82" s="20" t="n">
        <v>9</v>
      </c>
      <c r="H82" s="20" t="n">
        <v>9</v>
      </c>
    </row>
    <row r="83">
      <c r="A83" s="20" t="inlineStr">
        <is>
          <t>Roman Forest Town</t>
        </is>
      </c>
      <c r="B83" s="22" t="inlineStr">
        <is>
          <t>Montgomery</t>
        </is>
      </c>
      <c r="C83" s="20" t="n">
        <v>19</v>
      </c>
      <c r="D83" s="20" t="n">
        <v>84</v>
      </c>
      <c r="E83" s="20" t="n">
        <v>94</v>
      </c>
      <c r="F83" s="20" t="n">
        <v>24</v>
      </c>
      <c r="G83" s="20" t="n">
        <v>2</v>
      </c>
      <c r="H83" s="20" t="n">
        <v>9</v>
      </c>
    </row>
    <row r="84">
      <c r="A84" s="20" t="inlineStr">
        <is>
          <t>Southside Place</t>
        </is>
      </c>
      <c r="B84" s="22" t="inlineStr">
        <is>
          <t>Harris</t>
        </is>
      </c>
      <c r="C84" s="20" t="n">
        <v>14</v>
      </c>
      <c r="D84" s="20" t="n">
        <v>16</v>
      </c>
      <c r="E84" s="20" t="n">
        <v>13</v>
      </c>
      <c r="F84" s="20" t="n">
        <v>11</v>
      </c>
      <c r="G84" s="20" t="n">
        <v>11</v>
      </c>
      <c r="H84" s="20" t="n">
        <v>9</v>
      </c>
    </row>
    <row r="85">
      <c r="A85" s="20" t="inlineStr">
        <is>
          <t>Cut And Shoot</t>
        </is>
      </c>
      <c r="B85" s="22" t="inlineStr">
        <is>
          <t>Montgomery</t>
        </is>
      </c>
      <c r="C85" s="20" t="n">
        <v>0</v>
      </c>
      <c r="D85" s="20" t="n">
        <v>0</v>
      </c>
      <c r="E85" s="20" t="n">
        <v>2</v>
      </c>
      <c r="F85" s="20" t="n">
        <v>1</v>
      </c>
      <c r="G85" s="20" t="n">
        <v>0</v>
      </c>
      <c r="H85" s="20" t="n">
        <v>8</v>
      </c>
    </row>
    <row r="86">
      <c r="A86" s="20" t="inlineStr">
        <is>
          <t>Deer Park</t>
        </is>
      </c>
      <c r="B86" s="22" t="inlineStr">
        <is>
          <t>Harris</t>
        </is>
      </c>
      <c r="C86" s="20" t="n">
        <v>17</v>
      </c>
      <c r="D86" s="20" t="n">
        <v>15</v>
      </c>
      <c r="E86" s="20" t="n">
        <v>2</v>
      </c>
      <c r="F86" s="20" t="n">
        <v>12</v>
      </c>
      <c r="G86" s="20" t="n">
        <v>5</v>
      </c>
      <c r="H86" s="20" t="n">
        <v>8</v>
      </c>
    </row>
    <row r="87">
      <c r="A87" s="20" t="inlineStr">
        <is>
          <t>Hedwig Village</t>
        </is>
      </c>
      <c r="B87" s="22" t="inlineStr">
        <is>
          <t>Harris</t>
        </is>
      </c>
      <c r="C87" s="20" t="n">
        <v>8</v>
      </c>
      <c r="D87" s="20" t="n">
        <v>7</v>
      </c>
      <c r="E87" s="20" t="n">
        <v>9</v>
      </c>
      <c r="F87" s="20" t="n">
        <v>7</v>
      </c>
      <c r="G87" s="20" t="n">
        <v>8</v>
      </c>
      <c r="H87" s="20" t="n">
        <v>8</v>
      </c>
    </row>
    <row r="88">
      <c r="A88" s="20" t="inlineStr">
        <is>
          <t>Shepherd</t>
        </is>
      </c>
      <c r="B88" s="22" t="inlineStr">
        <is>
          <t>San Jacinto</t>
        </is>
      </c>
      <c r="C88" s="20" t="n">
        <v>0</v>
      </c>
      <c r="D88" s="20" t="n">
        <v>2</v>
      </c>
      <c r="E88" s="20" t="n">
        <v>8</v>
      </c>
      <c r="F88" s="20" t="n">
        <v>5</v>
      </c>
      <c r="G88" s="20" t="n">
        <v>9</v>
      </c>
      <c r="H88" s="20" t="n">
        <v>8</v>
      </c>
    </row>
    <row r="89">
      <c r="A89" s="20" t="inlineStr">
        <is>
          <t>Hilshire Village</t>
        </is>
      </c>
      <c r="B89" s="22" t="inlineStr">
        <is>
          <t>Harris</t>
        </is>
      </c>
      <c r="C89" s="20" t="n">
        <v>3</v>
      </c>
      <c r="D89" s="20" t="n">
        <v>4</v>
      </c>
      <c r="E89" s="20" t="n">
        <v>4</v>
      </c>
      <c r="F89" s="20" t="n">
        <v>5</v>
      </c>
      <c r="G89" s="20" t="n">
        <v>5</v>
      </c>
      <c r="H89" s="20" t="n">
        <v>7</v>
      </c>
    </row>
    <row r="90">
      <c r="A90" s="20" t="inlineStr">
        <is>
          <t>Jacinto City</t>
        </is>
      </c>
      <c r="B90" s="22" t="inlineStr">
        <is>
          <t>Harris</t>
        </is>
      </c>
      <c r="C90" s="20" t="n">
        <v>5</v>
      </c>
      <c r="D90" s="20" t="n">
        <v>7</v>
      </c>
      <c r="E90" s="20" t="n">
        <v>12</v>
      </c>
      <c r="F90" s="20" t="n">
        <v>12</v>
      </c>
      <c r="G90" s="20" t="n">
        <v>5</v>
      </c>
      <c r="H90" s="20" t="n">
        <v>7</v>
      </c>
    </row>
    <row r="91">
      <c r="A91" s="20" t="inlineStr">
        <is>
          <t>Liberty</t>
        </is>
      </c>
      <c r="B91" s="22" t="inlineStr">
        <is>
          <t>Liberty</t>
        </is>
      </c>
      <c r="C91" s="20" t="n">
        <v>10</v>
      </c>
      <c r="D91" s="20" t="n">
        <v>12</v>
      </c>
      <c r="E91" s="20" t="n">
        <v>9</v>
      </c>
      <c r="F91" s="20" t="n">
        <v>12</v>
      </c>
      <c r="G91" s="20" t="n">
        <v>11</v>
      </c>
      <c r="H91" s="20" t="n">
        <v>7</v>
      </c>
    </row>
    <row r="92">
      <c r="A92" s="20" t="inlineStr">
        <is>
          <t>Wallis</t>
        </is>
      </c>
      <c r="B92" s="22" t="inlineStr">
        <is>
          <t>Austin</t>
        </is>
      </c>
      <c r="C92" s="20" t="n">
        <v>10</v>
      </c>
      <c r="D92" s="20" t="n">
        <v>2</v>
      </c>
      <c r="E92" s="20" t="n">
        <v>4</v>
      </c>
      <c r="F92" s="20" t="n">
        <v>1</v>
      </c>
      <c r="G92" s="20" t="n">
        <v>2</v>
      </c>
      <c r="H92" s="20" t="n">
        <v>7</v>
      </c>
    </row>
    <row r="93">
      <c r="A93" s="20" t="inlineStr">
        <is>
          <t>Holiday Lakes Town</t>
        </is>
      </c>
      <c r="B93" s="22" t="inlineStr">
        <is>
          <t>Brazoria</t>
        </is>
      </c>
      <c r="C93" s="20" t="n">
        <v>13</v>
      </c>
      <c r="D93" s="20" t="n">
        <v>4</v>
      </c>
      <c r="E93" s="20" t="n">
        <v>4</v>
      </c>
      <c r="F93" s="20" t="n">
        <v>1</v>
      </c>
      <c r="G93" s="20" t="n">
        <v>1</v>
      </c>
      <c r="H93" s="20" t="n">
        <v>6</v>
      </c>
    </row>
    <row r="94">
      <c r="A94" s="20" t="inlineStr">
        <is>
          <t>Lake Jackson</t>
        </is>
      </c>
      <c r="B94" s="22" t="inlineStr">
        <is>
          <t>Brazoria</t>
        </is>
      </c>
      <c r="C94" s="20" t="n">
        <v>35</v>
      </c>
      <c r="D94" s="20" t="n">
        <v>21</v>
      </c>
      <c r="E94" s="20" t="n">
        <v>73</v>
      </c>
      <c r="F94" s="20" t="n">
        <v>69</v>
      </c>
      <c r="G94" s="20" t="n">
        <v>5</v>
      </c>
      <c r="H94" s="20" t="n">
        <v>6</v>
      </c>
    </row>
    <row r="95">
      <c r="A95" s="20" t="inlineStr">
        <is>
          <t>Panorama Village</t>
        </is>
      </c>
      <c r="B95" s="22" t="inlineStr">
        <is>
          <t>Montgomery</t>
        </is>
      </c>
      <c r="C95" s="20" t="n">
        <v>17</v>
      </c>
      <c r="D95" s="20" t="n">
        <v>7</v>
      </c>
      <c r="E95" s="20" t="n">
        <v>3</v>
      </c>
      <c r="F95" s="20" t="n">
        <v>3</v>
      </c>
      <c r="G95" s="20" t="n">
        <v>4</v>
      </c>
      <c r="H95" s="20" t="n">
        <v>6</v>
      </c>
    </row>
    <row r="96">
      <c r="A96" s="20" t="inlineStr">
        <is>
          <t>Webster</t>
        </is>
      </c>
      <c r="B96" s="22" t="inlineStr">
        <is>
          <t>Harris</t>
        </is>
      </c>
      <c r="C96" s="20" t="n">
        <v>3</v>
      </c>
      <c r="D96" s="20" t="n">
        <v>46</v>
      </c>
      <c r="E96" s="20" t="n">
        <v>49</v>
      </c>
      <c r="F96" s="20" t="n">
        <v>79</v>
      </c>
      <c r="G96" s="20" t="n">
        <v>45</v>
      </c>
      <c r="H96" s="20" t="n">
        <v>6</v>
      </c>
    </row>
    <row r="97">
      <c r="A97" s="20" t="inlineStr">
        <is>
          <t>Nassau Bay</t>
        </is>
      </c>
      <c r="B97" s="22" t="inlineStr">
        <is>
          <t>Harris</t>
        </is>
      </c>
      <c r="C97" s="20" t="n">
        <v>3</v>
      </c>
      <c r="D97" s="20" t="n">
        <v>0</v>
      </c>
      <c r="E97" s="20" t="n">
        <v>0</v>
      </c>
      <c r="F97" s="20" t="n">
        <v>4</v>
      </c>
      <c r="G97" s="20" t="n">
        <v>3</v>
      </c>
      <c r="H97" s="20" t="n">
        <v>5</v>
      </c>
    </row>
    <row r="98">
      <c r="A98" s="20" t="inlineStr">
        <is>
          <t>Shoreacres</t>
        </is>
      </c>
      <c r="B98" s="22" t="inlineStr">
        <is>
          <t>Harris</t>
        </is>
      </c>
      <c r="C98" s="20" t="n">
        <v>2</v>
      </c>
      <c r="D98" s="20" t="n">
        <v>4</v>
      </c>
      <c r="E98" s="20" t="n">
        <v>2</v>
      </c>
      <c r="F98" s="20" t="n">
        <v>1</v>
      </c>
      <c r="G98" s="20" t="n">
        <v>2</v>
      </c>
      <c r="H98" s="20" t="n">
        <v>5</v>
      </c>
    </row>
    <row r="99">
      <c r="A99" s="20" t="inlineStr">
        <is>
          <t>Clear Lake Shores</t>
        </is>
      </c>
      <c r="B99" s="22" t="inlineStr">
        <is>
          <t>Galveston</t>
        </is>
      </c>
      <c r="C99" s="20" t="n">
        <v>9</v>
      </c>
      <c r="D99" s="20" t="n">
        <v>10</v>
      </c>
      <c r="E99" s="20" t="n">
        <v>5</v>
      </c>
      <c r="F99" s="20" t="n">
        <v>3</v>
      </c>
      <c r="G99" s="20" t="n">
        <v>3</v>
      </c>
      <c r="H99" s="20" t="n">
        <v>4</v>
      </c>
    </row>
    <row r="100">
      <c r="A100" s="20" t="inlineStr">
        <is>
          <t>El Lago</t>
        </is>
      </c>
      <c r="B100" s="22" t="inlineStr">
        <is>
          <t>Harris</t>
        </is>
      </c>
      <c r="C100" s="20" t="n">
        <v>1</v>
      </c>
      <c r="D100" s="20" t="n">
        <v>1</v>
      </c>
      <c r="E100" s="20" t="n">
        <v>0</v>
      </c>
      <c r="F100" s="20" t="n">
        <v>0</v>
      </c>
      <c r="G100" s="20" t="n">
        <v>5</v>
      </c>
      <c r="H100" s="20" t="n">
        <v>4</v>
      </c>
    </row>
    <row r="101">
      <c r="A101" s="20" t="inlineStr">
        <is>
          <t>Tiki Island Village</t>
        </is>
      </c>
      <c r="B101" s="22" t="inlineStr">
        <is>
          <t>Galveston</t>
        </is>
      </c>
      <c r="C101" s="20" t="n">
        <v>6</v>
      </c>
      <c r="D101" s="20" t="n">
        <v>8</v>
      </c>
      <c r="E101" s="20" t="n">
        <v>9</v>
      </c>
      <c r="F101" s="20" t="n">
        <v>8</v>
      </c>
      <c r="G101" s="20" t="n">
        <v>7</v>
      </c>
      <c r="H101" s="20" t="n">
        <v>4</v>
      </c>
    </row>
    <row r="102">
      <c r="A102" s="20" t="inlineStr">
        <is>
          <t>Anahuac</t>
        </is>
      </c>
      <c r="B102" s="22" t="inlineStr">
        <is>
          <t>Chambers</t>
        </is>
      </c>
      <c r="C102" s="20" t="n">
        <v>10</v>
      </c>
      <c r="D102" s="20" t="n">
        <v>5</v>
      </c>
      <c r="E102" s="20" t="n">
        <v>12</v>
      </c>
      <c r="F102" s="20" t="n">
        <v>3</v>
      </c>
      <c r="G102" s="20" t="n">
        <v>3</v>
      </c>
      <c r="H102" s="20" t="n">
        <v>3</v>
      </c>
    </row>
    <row r="103">
      <c r="A103" s="20" t="inlineStr">
        <is>
          <t>Freeport</t>
        </is>
      </c>
      <c r="B103" s="22" t="inlineStr">
        <is>
          <t>Brazoria</t>
        </is>
      </c>
      <c r="C103" s="20" t="n">
        <v>16</v>
      </c>
      <c r="D103" s="20" t="n">
        <v>18</v>
      </c>
      <c r="E103" s="20" t="n">
        <v>7</v>
      </c>
      <c r="F103" s="20" t="n">
        <v>7</v>
      </c>
      <c r="G103" s="20" t="n">
        <v>6</v>
      </c>
      <c r="H103" s="20" t="n">
        <v>3</v>
      </c>
    </row>
    <row r="104">
      <c r="A104" s="20" t="inlineStr">
        <is>
          <t>Simonton</t>
        </is>
      </c>
      <c r="B104" s="22" t="inlineStr">
        <is>
          <t>Fort Bend</t>
        </is>
      </c>
      <c r="C104" s="20" t="n">
        <v>4</v>
      </c>
      <c r="D104" s="20" t="n">
        <v>7</v>
      </c>
      <c r="E104" s="20" t="n">
        <v>4</v>
      </c>
      <c r="F104" s="20" t="n">
        <v>0</v>
      </c>
      <c r="G104" s="20" t="n">
        <v>3</v>
      </c>
      <c r="H104" s="20" t="n">
        <v>3</v>
      </c>
    </row>
    <row r="105">
      <c r="A105" s="20" t="inlineStr">
        <is>
          <t>West Columbia</t>
        </is>
      </c>
      <c r="B105" s="22" t="inlineStr">
        <is>
          <t>Brazoria</t>
        </is>
      </c>
      <c r="C105" s="20" t="n">
        <v>10</v>
      </c>
      <c r="D105" s="20" t="n">
        <v>6</v>
      </c>
      <c r="E105" s="20" t="n">
        <v>12</v>
      </c>
      <c r="F105" s="20" t="n">
        <v>7</v>
      </c>
      <c r="G105" s="20" t="n">
        <v>8</v>
      </c>
      <c r="H105" s="20" t="n">
        <v>3</v>
      </c>
    </row>
    <row r="106">
      <c r="A106" s="20" t="inlineStr">
        <is>
          <t>Woodbranch Village</t>
        </is>
      </c>
      <c r="B106" s="22" t="inlineStr">
        <is>
          <t>Montgomery</t>
        </is>
      </c>
      <c r="C106" s="20" t="n">
        <v>33</v>
      </c>
      <c r="D106" s="20" t="n">
        <v>31</v>
      </c>
      <c r="E106" s="20" t="n">
        <v>29</v>
      </c>
      <c r="F106" s="20" t="n">
        <v>21</v>
      </c>
      <c r="G106" s="20" t="n">
        <v>18</v>
      </c>
      <c r="H106" s="20" t="n">
        <v>3</v>
      </c>
    </row>
    <row r="107">
      <c r="A107" s="20" t="inlineStr">
        <is>
          <t>Brazoria</t>
        </is>
      </c>
      <c r="B107" s="22" t="inlineStr">
        <is>
          <t>Brazoria</t>
        </is>
      </c>
      <c r="C107" s="20" t="n">
        <v>5</v>
      </c>
      <c r="D107" s="20" t="n">
        <v>3</v>
      </c>
      <c r="E107" s="20" t="n">
        <v>4</v>
      </c>
      <c r="F107" s="20" t="n">
        <v>3</v>
      </c>
      <c r="G107" s="20" t="n">
        <v>9</v>
      </c>
      <c r="H107" s="20" t="n">
        <v>2</v>
      </c>
    </row>
    <row r="108">
      <c r="A108" s="20" t="inlineStr">
        <is>
          <t>Brookside Village</t>
        </is>
      </c>
      <c r="B108" s="22" t="inlineStr">
        <is>
          <t>Brazoria</t>
        </is>
      </c>
      <c r="C108" s="20" t="n">
        <v>10</v>
      </c>
      <c r="D108" s="20" t="n">
        <v>11</v>
      </c>
      <c r="E108" s="20" t="n">
        <v>10</v>
      </c>
      <c r="F108" s="20" t="n">
        <v>3</v>
      </c>
      <c r="G108" s="20" t="n">
        <v>3</v>
      </c>
      <c r="H108" s="20" t="n">
        <v>2</v>
      </c>
    </row>
    <row r="109">
      <c r="A109" s="20" t="inlineStr">
        <is>
          <t>Danbury</t>
        </is>
      </c>
      <c r="B109" s="22" t="inlineStr">
        <is>
          <t>Brazoria</t>
        </is>
      </c>
      <c r="C109" s="20" t="n">
        <v>3</v>
      </c>
      <c r="D109" s="20" t="n">
        <v>9</v>
      </c>
      <c r="E109" s="20" t="n">
        <v>6</v>
      </c>
      <c r="F109" s="20" t="n">
        <v>3</v>
      </c>
      <c r="G109" s="20" t="n">
        <v>2</v>
      </c>
      <c r="H109" s="20" t="n">
        <v>2</v>
      </c>
    </row>
    <row r="110">
      <c r="A110" s="20" t="inlineStr">
        <is>
          <t>Hardin</t>
        </is>
      </c>
      <c r="B110" s="22" t="inlineStr">
        <is>
          <t>Liberty</t>
        </is>
      </c>
      <c r="C110" s="20" t="n">
        <v>4</v>
      </c>
      <c r="D110" s="20" t="n">
        <v>2</v>
      </c>
      <c r="E110" s="20" t="n">
        <v>3</v>
      </c>
      <c r="F110" s="20" t="n">
        <v>0</v>
      </c>
      <c r="G110" s="20" t="n">
        <v>2</v>
      </c>
      <c r="H110" s="20" t="n">
        <v>2</v>
      </c>
    </row>
    <row r="111">
      <c r="A111" s="20" t="inlineStr">
        <is>
          <t>Jamaica Beach Village</t>
        </is>
      </c>
      <c r="B111" s="22" t="inlineStr">
        <is>
          <t>Galveston</t>
        </is>
      </c>
      <c r="C111" s="20" t="n">
        <v>8</v>
      </c>
      <c r="D111" s="20" t="n">
        <v>9</v>
      </c>
      <c r="E111" s="20" t="n">
        <v>15</v>
      </c>
      <c r="F111" s="20" t="n">
        <v>3</v>
      </c>
      <c r="G111" s="20" t="n">
        <v>2</v>
      </c>
      <c r="H111" s="20" t="n">
        <v>2</v>
      </c>
    </row>
    <row r="112">
      <c r="A112" s="20" t="inlineStr">
        <is>
          <t>Jones Creek Village</t>
        </is>
      </c>
      <c r="B112" s="22" t="inlineStr">
        <is>
          <t>Brazoria</t>
        </is>
      </c>
      <c r="C112" s="20" t="n">
        <v>4</v>
      </c>
      <c r="D112" s="20" t="n">
        <v>5</v>
      </c>
      <c r="E112" s="20" t="n">
        <v>2</v>
      </c>
      <c r="F112" s="20" t="n">
        <v>2</v>
      </c>
      <c r="G112" s="20" t="n">
        <v>0</v>
      </c>
      <c r="H112" s="20" t="n">
        <v>2</v>
      </c>
    </row>
    <row r="113">
      <c r="A113" s="20" t="inlineStr">
        <is>
          <t>Old River-Winfree</t>
        </is>
      </c>
      <c r="B113" s="22" t="inlineStr">
        <is>
          <t>Chambers</t>
        </is>
      </c>
      <c r="C113" s="20" t="n">
        <v>3</v>
      </c>
      <c r="D113" s="20" t="n">
        <v>1</v>
      </c>
      <c r="E113" s="20" t="n">
        <v>1</v>
      </c>
      <c r="F113" s="20" t="n">
        <v>3</v>
      </c>
      <c r="G113" s="20" t="n">
        <v>29</v>
      </c>
      <c r="H113" s="20" t="n">
        <v>2</v>
      </c>
    </row>
    <row r="114">
      <c r="A114" s="20" t="inlineStr">
        <is>
          <t>San Felipe Town</t>
        </is>
      </c>
      <c r="B114" s="22" t="inlineStr">
        <is>
          <t>Austin</t>
        </is>
      </c>
      <c r="C114" s="20" t="n">
        <v>4</v>
      </c>
      <c r="D114" s="20" t="n">
        <v>4</v>
      </c>
      <c r="E114" s="20" t="n">
        <v>3</v>
      </c>
      <c r="F114" s="20" t="n">
        <v>1</v>
      </c>
      <c r="G114" s="20" t="n">
        <v>2</v>
      </c>
      <c r="H114" s="20" t="n">
        <v>2</v>
      </c>
    </row>
    <row r="115">
      <c r="A115" s="20" t="inlineStr">
        <is>
          <t>Sweeny</t>
        </is>
      </c>
      <c r="B115" s="22" t="inlineStr">
        <is>
          <t>Brazoria</t>
        </is>
      </c>
      <c r="C115" s="20" t="n">
        <v>9</v>
      </c>
      <c r="D115" s="20" t="n">
        <v>6</v>
      </c>
      <c r="E115" s="20" t="n">
        <v>8</v>
      </c>
      <c r="F115" s="20" t="n">
        <v>5</v>
      </c>
      <c r="G115" s="20" t="n">
        <v>9</v>
      </c>
      <c r="H115" s="20" t="n">
        <v>2</v>
      </c>
    </row>
    <row r="116">
      <c r="A116" s="20" t="inlineStr">
        <is>
          <t>Baileys Prairie Village</t>
        </is>
      </c>
      <c r="B116" s="22" t="inlineStr">
        <is>
          <t>Brazoria</t>
        </is>
      </c>
      <c r="C116" s="20" t="n">
        <v>5</v>
      </c>
      <c r="D116" s="20" t="n">
        <v>5</v>
      </c>
      <c r="E116" s="20" t="n">
        <v>1</v>
      </c>
      <c r="F116" s="20" t="n">
        <v>2</v>
      </c>
      <c r="G116" s="20" t="n">
        <v>3</v>
      </c>
      <c r="H116" s="20" t="n">
        <v>1</v>
      </c>
    </row>
    <row r="117">
      <c r="A117" s="20" t="inlineStr">
        <is>
          <t>Bayou Vista Village</t>
        </is>
      </c>
      <c r="B117" s="22" t="inlineStr">
        <is>
          <t>Galveston</t>
        </is>
      </c>
      <c r="C117" s="20" t="n">
        <v>9</v>
      </c>
      <c r="D117" s="20" t="n">
        <v>12</v>
      </c>
      <c r="E117" s="20" t="n">
        <v>8</v>
      </c>
      <c r="F117" s="20" t="n">
        <v>1</v>
      </c>
      <c r="G117" s="20" t="n">
        <v>3</v>
      </c>
      <c r="H117" s="20" t="n">
        <v>1</v>
      </c>
    </row>
    <row r="118">
      <c r="A118" s="20" t="inlineStr">
        <is>
          <t>Shenandoah</t>
        </is>
      </c>
      <c r="B118" s="22" t="inlineStr">
        <is>
          <t>Montgomery</t>
        </is>
      </c>
      <c r="C118" s="20" t="n">
        <v>51</v>
      </c>
      <c r="D118" s="20" t="n">
        <v>45</v>
      </c>
      <c r="E118" s="20" t="n">
        <v>86</v>
      </c>
      <c r="F118" s="20" t="n">
        <v>8</v>
      </c>
      <c r="G118" s="20" t="n">
        <v>0</v>
      </c>
      <c r="H118" s="20" t="n">
        <v>1</v>
      </c>
    </row>
    <row r="119">
      <c r="A119" s="20" t="inlineStr">
        <is>
          <t>Stagecoach Town</t>
        </is>
      </c>
      <c r="B119" s="22" t="inlineStr">
        <is>
          <t>Montgomery</t>
        </is>
      </c>
      <c r="C119" s="20" t="n">
        <v>3</v>
      </c>
      <c r="D119" s="20" t="n">
        <v>6</v>
      </c>
      <c r="E119" s="20" t="n">
        <v>0</v>
      </c>
      <c r="F119" s="20" t="n">
        <v>4</v>
      </c>
      <c r="G119" s="20" t="n">
        <v>3</v>
      </c>
      <c r="H119" s="20" t="n">
        <v>1</v>
      </c>
    </row>
    <row r="120">
      <c r="A120" s="20" t="inlineStr">
        <is>
          <t>Taylor Lake Village</t>
        </is>
      </c>
      <c r="B120" s="22" t="inlineStr">
        <is>
          <t>Harris</t>
        </is>
      </c>
      <c r="C120" s="20" t="n">
        <v>4</v>
      </c>
      <c r="D120" s="20" t="n">
        <v>9</v>
      </c>
      <c r="E120" s="20" t="n">
        <v>9</v>
      </c>
      <c r="F120" s="20" t="n">
        <v>5</v>
      </c>
      <c r="G120" s="20" t="n">
        <v>5</v>
      </c>
      <c r="H120" s="20" t="n">
        <v>1</v>
      </c>
    </row>
    <row r="121">
      <c r="A121" s="20" t="inlineStr">
        <is>
          <t>Angleton</t>
        </is>
      </c>
      <c r="B121" s="22" t="inlineStr">
        <is>
          <t>Brazoria</t>
        </is>
      </c>
      <c r="C121" s="20" t="n">
        <v>83</v>
      </c>
      <c r="D121" s="20" t="n">
        <v>154</v>
      </c>
      <c r="E121" s="20" t="n">
        <v>271</v>
      </c>
      <c r="F121" s="20" t="n">
        <v>231</v>
      </c>
      <c r="G121" s="20" t="n">
        <v>248</v>
      </c>
      <c r="H121" s="20" t="n">
        <v>0</v>
      </c>
    </row>
    <row r="122">
      <c r="A122" s="20" t="inlineStr">
        <is>
          <t>Brookshire</t>
        </is>
      </c>
      <c r="B122" s="22" t="inlineStr">
        <is>
          <t>Waller</t>
        </is>
      </c>
      <c r="C122" s="20" t="n">
        <v>22</v>
      </c>
      <c r="D122" s="20" t="n">
        <v>22</v>
      </c>
      <c r="E122" s="20" t="n">
        <v>17</v>
      </c>
      <c r="F122" s="20" t="n">
        <v>20</v>
      </c>
      <c r="G122" s="20" t="n">
        <v>1</v>
      </c>
      <c r="H122" s="20" t="n">
        <v>0</v>
      </c>
    </row>
    <row r="123">
      <c r="A123" s="20" t="inlineStr">
        <is>
          <t>Cleveland</t>
        </is>
      </c>
      <c r="B123" s="22" t="inlineStr">
        <is>
          <t>Liberty</t>
        </is>
      </c>
      <c r="C123" s="20" t="n">
        <v>140</v>
      </c>
      <c r="D123" s="20" t="n">
        <v>190</v>
      </c>
      <c r="E123" s="20" t="n">
        <v>205</v>
      </c>
      <c r="F123" s="20" t="n">
        <v>186</v>
      </c>
      <c r="G123" s="20" t="n">
        <v>43</v>
      </c>
      <c r="H123" s="20" t="n">
        <v>0</v>
      </c>
    </row>
    <row r="124">
      <c r="A124" s="20" t="inlineStr">
        <is>
          <t>Galena Park</t>
        </is>
      </c>
      <c r="B124" s="22" t="inlineStr">
        <is>
          <t>Harris</t>
        </is>
      </c>
      <c r="C124" s="20" t="n">
        <v>2</v>
      </c>
      <c r="D124" s="20" t="n">
        <v>4</v>
      </c>
      <c r="E124" s="20" t="n">
        <v>3</v>
      </c>
      <c r="F124" s="20" t="n">
        <v>3</v>
      </c>
      <c r="G124" s="20" t="n">
        <v>0</v>
      </c>
      <c r="H124" s="20" t="n">
        <v>0</v>
      </c>
    </row>
    <row r="125">
      <c r="A125" s="20" t="inlineStr">
        <is>
          <t>Hitchcock</t>
        </is>
      </c>
      <c r="B125" s="22" t="inlineStr">
        <is>
          <t>Galveston</t>
        </is>
      </c>
      <c r="C125" s="20" t="n">
        <v>77</v>
      </c>
      <c r="D125" s="20" t="n">
        <v>142</v>
      </c>
      <c r="E125" s="20" t="n">
        <v>38</v>
      </c>
      <c r="F125" s="20" t="n">
        <v>20</v>
      </c>
      <c r="G125" s="20" t="n">
        <v>8</v>
      </c>
      <c r="H125" s="20" t="n">
        <v>0</v>
      </c>
    </row>
    <row r="126">
      <c r="A126" s="20" t="inlineStr">
        <is>
          <t>Morgans Point</t>
        </is>
      </c>
      <c r="B126" s="22" t="inlineStr">
        <is>
          <t>Harris</t>
        </is>
      </c>
      <c r="C126" s="20" t="n">
        <v>3</v>
      </c>
      <c r="D126" s="20" t="n">
        <v>0</v>
      </c>
      <c r="E126" s="20" t="n">
        <v>1</v>
      </c>
      <c r="F126" s="20" t="n">
        <v>2</v>
      </c>
      <c r="G126" s="20" t="n">
        <v>0</v>
      </c>
      <c r="H126" s="20" t="n">
        <v>0</v>
      </c>
    </row>
    <row r="127">
      <c r="A127" s="20" t="inlineStr">
        <is>
          <t>Oak Ridge North</t>
        </is>
      </c>
      <c r="B127" s="22" t="inlineStr">
        <is>
          <t>Montgomery</t>
        </is>
      </c>
      <c r="C127" s="20" t="n">
        <v>0</v>
      </c>
      <c r="D127" s="20" t="n">
        <v>0</v>
      </c>
      <c r="E127" s="20" t="n">
        <v>2</v>
      </c>
      <c r="F127" s="20" t="n">
        <v>5</v>
      </c>
      <c r="G127" s="20" t="n">
        <v>1</v>
      </c>
      <c r="H127" s="20" t="n">
        <v>0</v>
      </c>
    </row>
    <row r="128">
      <c r="A128" s="20" t="inlineStr">
        <is>
          <t>Orchard</t>
        </is>
      </c>
      <c r="B128" s="22" t="inlineStr">
        <is>
          <t>Fort Bend</t>
        </is>
      </c>
      <c r="C128" s="20" t="n">
        <v>2</v>
      </c>
      <c r="D128" s="20" t="n">
        <v>1</v>
      </c>
      <c r="E128" s="20" t="n">
        <v>4</v>
      </c>
      <c r="F128" s="20" t="n">
        <v>4</v>
      </c>
      <c r="G128" s="20" t="n">
        <v>2</v>
      </c>
      <c r="H128" s="20" t="n">
        <v>0</v>
      </c>
    </row>
    <row r="129">
      <c r="A129" s="20" t="inlineStr">
        <is>
          <t>Pattison</t>
        </is>
      </c>
      <c r="B129" s="22" t="inlineStr">
        <is>
          <t>Waller</t>
        </is>
      </c>
      <c r="C129" s="20" t="n">
        <v>2</v>
      </c>
      <c r="D129" s="20" t="n">
        <v>9</v>
      </c>
      <c r="E129" s="20" t="n">
        <v>0</v>
      </c>
      <c r="F129" s="20" t="n">
        <v>1</v>
      </c>
      <c r="G129" s="20" t="n">
        <v>1</v>
      </c>
      <c r="H129" s="20" t="n">
        <v>0</v>
      </c>
    </row>
    <row r="130">
      <c r="A130" s="20" t="inlineStr">
        <is>
          <t>Quintana Town</t>
        </is>
      </c>
      <c r="B130" s="22" t="inlineStr">
        <is>
          <t>Brazoria</t>
        </is>
      </c>
      <c r="C130" s="20" t="n">
        <v>0</v>
      </c>
      <c r="D130" s="20" t="n">
        <v>0</v>
      </c>
      <c r="E130" s="20" t="n">
        <v>0</v>
      </c>
      <c r="F130" s="20" t="n">
        <v>1</v>
      </c>
      <c r="G130" s="20" t="n">
        <v>0</v>
      </c>
      <c r="H130" s="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2026-09-26T03:31:51Z</dcterms:created>
  <dcterms:modified xmlns:dcterms="http://purl.org/dc/terms/" xmlns:xsi="http://www.w3.org/2001/XMLSchema-instance" xsi:type="dcterms:W3CDTF">2026-09-26T03:31:52Z</dcterms:modified>
</cp:coreProperties>
</file>