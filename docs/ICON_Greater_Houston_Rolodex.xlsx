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'Contacts'!$A$6:$AD$307</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0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Greater Houston · contacts</t>
        </is>
      </c>
    </row>
    <row r="2">
      <c r="A2" s="2" t="inlineStr">
        <is>
          <t>Héctor Ibarzábal · 2026-09-24</t>
        </is>
      </c>
    </row>
    <row r="3">
      <c r="A3" s="2" t="inlineStr">
        <is>
          <t>Rows</t>
        </is>
      </c>
      <c r="B3" s="3">
        <f>COUNTA($A$7:$A$307)</f>
        <v/>
      </c>
      <c r="C3" s="2" t="inlineStr">
        <is>
          <t>LinkedIn held</t>
        </is>
      </c>
      <c r="D3" s="3">
        <f>COUNTIF($Q$7:$Q$307,"ok")</f>
        <v/>
      </c>
      <c r="E3" s="2" t="inlineStr">
        <is>
          <t>Still to add</t>
        </is>
      </c>
      <c r="F3" s="3">
        <f>COUNTIF($Q$7:$Q$307,"ADD LINKEDIN")</f>
        <v/>
      </c>
      <c r="G3" s="2" t="inlineStr">
        <is>
          <t>Holds all three counts</t>
        </is>
      </c>
      <c r="H3" s="3">
        <f>SUMPRODUCT((COUNTIF(OFFSET($B$7,ROW($B$7:$B$307)-ROW($B$7),0,1,1),$B$7:$B$307)&gt;0)*($D$7:$D$307="Holds all three counts")/COUNTIF($B$7:$B$307,$B$7:$B$307&amp;""))</f>
        <v/>
      </c>
      <c r="I3" s="2" t="inlineStr">
        <is>
          <t>Wall deciders</t>
        </is>
      </c>
      <c r="J3" s="3">
        <f>COUNTIF($T$7:$T$307,"YES")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Partly</t>
        </is>
      </c>
      <c r="L7" s="9" t="inlineStr">
        <is>
          <t>One 80-home site. No yearly figure published.</t>
        </is>
      </c>
      <c r="M7" s="8" t="inlineStr">
        <is>
          <t>Yes</t>
        </is>
      </c>
      <c r="N7" s="9" t="inlineStr">
        <is>
          <t>All 80 committed to printing with HiveASMBLD.</t>
        </is>
      </c>
      <c r="O7" s="10" t="inlineStr"/>
      <c r="P7" s="6">
        <f>HYPERLINK("https://www.linkedin.com/search/results/people/?keywords=Vanessa%20Cole%20Cole%20Klein%20Builders","search")</f>
        <v/>
      </c>
      <c r="Q7" s="11">
        <f>IF(O7="","ADD LINKEDIN","ok")</f>
        <v/>
      </c>
      <c r="R7" s="6" t="inlineStr">
        <is>
          <t>https://colekleinbuilders.com/</t>
        </is>
      </c>
      <c r="S7" s="9" t="inlineStr">
        <is>
          <t>Already builds printed homes at Zuri Gardens with HiveASMBLD, and it reserved an ICON Titan, per The Real Deal in March 2026.</t>
        </is>
      </c>
      <c r="T7" s="6" t="inlineStr"/>
      <c r="U7" s="9" t="inlineStr">
        <is>
          <t>Firm's about page names both founders.</t>
        </is>
      </c>
      <c r="V7" s="6" t="inlineStr">
        <is>
          <t>https://colekleinbuilders.com/about/</t>
        </is>
      </c>
      <c r="W7" s="6" t="inlineStr">
        <is>
          <t>https://www.linkedin.com/company/cole-klein-builders</t>
        </is>
      </c>
      <c r="X7" s="6" t="inlineStr">
        <is>
          <t>https://colekleinbuilders.com/about/</t>
        </is>
      </c>
      <c r="Y7" s="6" t="inlineStr">
        <is>
          <t>2026-02 The Architect's Newspaper. Zuri Gardens, a 3D-printed Texas community, shows promise for attainable housing  https://www.archpaper.com/2026/02/zuri-gardens-3d-printed-texas-community/</t>
        </is>
      </c>
      <c r="Z7" s="6" t="inlineStr"/>
      <c r="AA7" s="6" t="inlineStr"/>
      <c r="AB7" s="6" t="inlineStr"/>
      <c r="AC7" s="6" t="inlineStr">
        <is>
          <t>newhome@colekleinbuilders.com</t>
        </is>
      </c>
      <c r="AD7" s="6" t="inlineStr">
        <is>
          <t>https://colekleinbuilders.com/contact/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Partly</t>
        </is>
      </c>
      <c r="L8" s="15" t="inlineStr">
        <is>
          <t>One 80-home site. No yearly figure published.</t>
        </is>
      </c>
      <c r="M8" s="14" t="inlineStr">
        <is>
          <t>Yes</t>
        </is>
      </c>
      <c r="N8" s="15" t="inlineStr">
        <is>
          <t>All 80 committed to printing with HiveASMBLD.</t>
        </is>
      </c>
      <c r="O8" s="10" t="inlineStr"/>
      <c r="P8" s="12">
        <f>HYPERLINK("https://www.linkedin.com/search/results/people/?keywords=Harry%20Klein%20Cole%20Klein%20Builders","search")</f>
        <v/>
      </c>
      <c r="Q8" s="16">
        <f>IF(O8="","ADD LINKEDIN","ok")</f>
        <v/>
      </c>
      <c r="R8" s="12" t="inlineStr">
        <is>
          <t>https://colekleinbuilders.com/</t>
        </is>
      </c>
      <c r="S8" s="15" t="inlineStr">
        <is>
          <t>Already builds printed homes at Zuri Gardens with HiveASMBLD, and it reserved an ICON Titan, per The Real Deal in March 2026.</t>
        </is>
      </c>
      <c r="T8" s="12" t="inlineStr"/>
      <c r="U8" s="15" t="inlineStr"/>
      <c r="V8" s="12" t="inlineStr">
        <is>
          <t>https://colekleinbuilders.com/about/</t>
        </is>
      </c>
      <c r="W8" s="12" t="inlineStr">
        <is>
          <t>https://www.linkedin.com/company/cole-klein-builders</t>
        </is>
      </c>
      <c r="X8" s="12" t="inlineStr">
        <is>
          <t>https://colekleinbuilders.com/about/</t>
        </is>
      </c>
      <c r="Y8" s="12" t="inlineStr">
        <is>
          <t>2026-02 The Architect's Newspaper. Zuri Gardens, a 3D-printed Texas community, shows promise for attainable housing  https://www.archpaper.com/2026/02/zuri-gardens-3d-printed-texas-community/</t>
        </is>
      </c>
      <c r="Z8" s="12" t="inlineStr"/>
      <c r="AA8" s="12" t="inlineStr"/>
      <c r="AB8" s="12" t="inlineStr"/>
      <c r="AC8" s="12" t="inlineStr">
        <is>
          <t>newhome@colekleinbuilders.com</t>
        </is>
      </c>
      <c r="AD8" s="12" t="inlineStr">
        <is>
          <t>https://colekleinbuilders.com/contact/</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planned homes to be printed, one under way</t>
        </is>
      </c>
      <c r="I9" s="8" t="inlineStr">
        <is>
          <t>Partly</t>
        </is>
      </c>
      <c r="J9" s="9" t="inlineStr">
        <is>
          <t>26 homes at one address, on one printer.</t>
        </is>
      </c>
      <c r="K9" s="8" t="inlineStr">
        <is>
          <t>Partly</t>
        </is>
      </c>
      <c r="L9" s="9" t="inlineStr">
        <is>
          <t>Twenty-six homes on one site. No yearly figure published.</t>
        </is>
      </c>
      <c r="M9" s="8" t="inlineStr">
        <is>
          <t>Yes</t>
        </is>
      </c>
      <c r="N9" s="9" t="inlineStr">
        <is>
          <t>First home under construction April 2026. None finished then.</t>
        </is>
      </c>
      <c r="O9" s="10" t="inlineStr"/>
      <c r="P9" s="6">
        <f>HYPERLINK("https://www.linkedin.com/search/results/people/?keywords=Steve%20Commander%20Commander%20Home%20Builders","search")</f>
        <v/>
      </c>
      <c r="Q9" s="11">
        <f>IF(O9="","ADD LINKEDIN","ok")</f>
        <v/>
      </c>
      <c r="R9" s="6" t="inlineStr">
        <is>
          <t>no website confirmed</t>
        </is>
      </c>
      <c r="S9" s="9" t="inlineStr">
        <is>
          <t>Already prints with HiveASMBLD, and the owner's own figures say 50 percent faster and 5 to 7 percent cheaper.</t>
        </is>
      </c>
      <c r="T9" s="6" t="inlineStr"/>
      <c r="U9" s="9" t="inlineStr">
        <is>
          <t>Quoted as developer of the San Leon project.</t>
        </is>
      </c>
      <c r="V9" s="6" t="inlineStr">
        <is>
          <t>https://www.homes.com/news/houstons-3d-printed-housing-push-grows-with-two-new-developments/647676272/</t>
        </is>
      </c>
      <c r="W9" s="6" t="inlineStr"/>
      <c r="X9" s="6" t="inlineStr"/>
      <c r="Y9" s="6" t="inlineStr">
        <is>
          <t>2026-04-30 Intelligent Build.tech. Partnership to develop an innovative 3D-printed residential community  https://www.intelligentbuild.tech/2026/04/30/partnership-to-develop-an-innovative-3d-printed-residential-community/</t>
        </is>
      </c>
      <c r="Z9" s="6" t="inlineStr"/>
      <c r="AA9" s="6" t="inlineStr"/>
      <c r="AB9" s="6" t="inlineStr"/>
      <c r="AC9" s="6" t="inlineStr"/>
      <c r="AD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about 1,727 sf per unit, $365,000</t>
        </is>
      </c>
      <c r="I10" s="14" t="inlineStr">
        <is>
          <t>No</t>
        </is>
      </c>
      <c r="J10" s="15" t="inlineStr">
        <is>
          <t>One duplex. Two units.</t>
        </is>
      </c>
      <c r="K10" s="14" t="inlineStr">
        <is>
          <t>Partly</t>
        </is>
      </c>
      <c r="L10" s="15" t="inlineStr">
        <is>
          <t>One duplex. Proof of method, not volume to keep a machine busy.</t>
        </is>
      </c>
      <c r="M10" s="14" t="inlineStr">
        <is>
          <t>Yes</t>
        </is>
      </c>
      <c r="N10" s="15" t="inlineStr">
        <is>
          <t>Printed duplex under way. No completion published.</t>
        </is>
      </c>
      <c r="O10" s="10" t="inlineStr"/>
      <c r="P10" s="12">
        <f>HYPERLINK("https://www.linkedin.com/search/results/people/?keywords=Tony%20M.%20Brown%20Elpis%203D%20Home%20Builders","search")</f>
        <v/>
      </c>
      <c r="Q10" s="16">
        <f>IF(O10="","ADD LINKEDIN","ok")</f>
        <v/>
      </c>
      <c r="R10" s="12" t="inlineStr">
        <is>
          <t>no website confirmed</t>
        </is>
      </c>
      <c r="S10" s="15" t="inlineStr">
        <is>
          <t>Already prints with HiveASMBLD, but one duplex proves the method, not volume to keep a machine busy.</t>
        </is>
      </c>
      <c r="T10" s="12" t="inlineStr"/>
      <c r="U10" s="15" t="inlineStr">
        <is>
          <t>Managing member, quoted on Avenue J.</t>
        </is>
      </c>
      <c r="V10" s="12" t="inlineStr">
        <is>
          <t>https://www.homes.com/news/houstons-3d-printed-housing-push-grows-with-two-new-developments/647676272/</t>
        </is>
      </c>
      <c r="W10" s="12" t="inlineStr"/>
      <c r="X10" s="12" t="inlineStr"/>
      <c r="Y10" s="12" t="inlineStr">
        <is>
          <t>2026-04-22 Homes.com. Houston's 3D-printed housing push grows with two new developments  https://www.homes.com/news/houstons-3d-printed-housing-push-grows-with-two-new-developments/647676272/</t>
        </is>
      </c>
      <c r="Z10" s="12" t="inlineStr"/>
      <c r="AA10" s="12" t="inlineStr"/>
      <c r="AB10" s="12" t="inlineStr"/>
      <c r="AC10" s="12" t="inlineStr"/>
      <c r="AD10" s="12" t="inlineStr"/>
    </row>
    <row r="11">
      <c r="A11" s="6" t="inlineStr">
        <is>
          <t>Ting Qiao</t>
        </is>
      </c>
      <c r="B11" s="6" t="inlineStr">
        <is>
          <t>Wan Bridge Group</t>
        </is>
      </c>
      <c r="C11" s="6" t="inlineStr">
        <is>
          <t>Co-Founder</t>
        </is>
      </c>
      <c r="D11" s="7" t="inlineStr">
        <is>
          <t>Holds all three counts</t>
        </is>
      </c>
      <c r="E11" s="8" t="n">
        <v>3</v>
      </c>
      <c r="F11" s="6" t="inlineStr">
        <is>
          <t>Buys walls</t>
        </is>
      </c>
      <c r="G11" s="6" t="inlineStr">
        <is>
          <t>Houston HQ / Harris, Fort Bend</t>
        </is>
      </c>
      <c r="H11" s="6" t="inlineStr">
        <is>
          <t>5 TX projects under way, 5 to 7 in pipeline (Apr 2025)</t>
        </is>
      </c>
      <c r="I11" s="8" t="inlineStr">
        <is>
          <t>Yes</t>
        </is>
      </c>
      <c r="J11" s="9" t="inlineStr">
        <is>
          <t>Five Texas projects announced in one release.</t>
        </is>
      </c>
      <c r="K11" s="8" t="inlineStr">
        <is>
          <t>Partly</t>
        </is>
      </c>
      <c r="L11" s="9" t="inlineStr">
        <is>
          <t>No yearly figure published.</t>
        </is>
      </c>
      <c r="M11" s="8" t="inlineStr">
        <is>
          <t>Yes</t>
        </is>
      </c>
      <c r="N11" s="9" t="inlineStr">
        <is>
          <t>Six years on its own construction software, plus robotic site inspection.</t>
        </is>
      </c>
      <c r="O11" s="6" t="inlineStr">
        <is>
          <t>https://www.linkedin.com/in/ting-qiao-b95436aa/</t>
        </is>
      </c>
      <c r="P11" s="6" t="inlineStr"/>
      <c r="Q11" s="11">
        <f>IF(O11="","ADD LINKEDIN","ok")</f>
        <v/>
      </c>
      <c r="R11" s="6" t="inlineStr">
        <is>
          <t>https://wanbridge.com/</t>
        </is>
      </c>
      <c r="S11" s="9" t="inlineStr">
        <is>
          <t>Spent six years on its own construction software and site robotics, but no construction or purchasing lead is published.</t>
        </is>
      </c>
      <c r="T11" s="6" t="inlineStr"/>
      <c r="U11" s="9" t="inlineStr">
        <is>
          <t>CEO of AiWB, Co-Founder at Wan Bridge. Bellaire, Texas.</t>
        </is>
      </c>
      <c r="V11" s="6" t="inlineStr"/>
      <c r="W11" s="6" t="inlineStr">
        <is>
          <t>https://www.linkedin.com/company/wan-bridge-group/</t>
        </is>
      </c>
      <c r="X11" s="6" t="inlineStr">
        <is>
          <t>https://wanbridge.com/leadership/</t>
        </is>
      </c>
      <c r="Y11" s="6" t="inlineStr">
        <is>
          <t>2025-11-24 Realty News Report. Build-To-Rent Boom: Dellrose, Yardly and More  https://realtynewsreport.com/build-to-rent-boom-dellrose-yardly-and-more/</t>
        </is>
      </c>
      <c r="Z11" s="6" t="inlineStr">
        <is>
          <t>(713) 219-9400</t>
        </is>
      </c>
      <c r="AA11" s="6" t="inlineStr">
        <is>
          <t>corporate</t>
        </is>
      </c>
      <c r="AB11" s="6" t="inlineStr">
        <is>
          <t>https://wanbridge.com/</t>
        </is>
      </c>
      <c r="AC11" s="6" t="inlineStr"/>
      <c r="AD11" s="6" t="inlineStr"/>
    </row>
    <row r="12">
      <c r="A12" s="12" t="inlineStr">
        <is>
          <t>Danting Li</t>
        </is>
      </c>
      <c r="B12" s="12" t="inlineStr">
        <is>
          <t>Wan Bridge Group</t>
        </is>
      </c>
      <c r="C12" s="12" t="inlineStr">
        <is>
          <t>Chief Operating Officer and Co-Founder</t>
        </is>
      </c>
      <c r="D12" s="13" t="inlineStr">
        <is>
          <t>Holds all three counts</t>
        </is>
      </c>
      <c r="E12" s="14" t="n">
        <v>3</v>
      </c>
      <c r="F12" s="12" t="inlineStr">
        <is>
          <t>Buys walls</t>
        </is>
      </c>
      <c r="G12" s="12" t="inlineStr">
        <is>
          <t>Houston HQ / Harris, Fort Bend</t>
        </is>
      </c>
      <c r="H12" s="12" t="inlineStr">
        <is>
          <t>5 TX projects under way, 5 to 7 in pipeline (Apr 2025)</t>
        </is>
      </c>
      <c r="I12" s="14" t="inlineStr">
        <is>
          <t>Yes</t>
        </is>
      </c>
      <c r="J12" s="15" t="inlineStr">
        <is>
          <t>Five Texas projects announced in one release.</t>
        </is>
      </c>
      <c r="K12" s="14" t="inlineStr">
        <is>
          <t>Partly</t>
        </is>
      </c>
      <c r="L12" s="15" t="inlineStr">
        <is>
          <t>No yearly figure published.</t>
        </is>
      </c>
      <c r="M12" s="14" t="inlineStr">
        <is>
          <t>Yes</t>
        </is>
      </c>
      <c r="N12" s="15" t="inlineStr">
        <is>
          <t>Six years on its own construction software, plus robotic site inspection.</t>
        </is>
      </c>
      <c r="O12" s="10" t="inlineStr"/>
      <c r="P12" s="12" t="inlineStr"/>
      <c r="Q12" s="16">
        <f>IF(O12="","ADD LINKEDIN","ok")</f>
        <v/>
      </c>
      <c r="R12" s="12" t="inlineStr">
        <is>
          <t>https://wanbridge.com/</t>
        </is>
      </c>
      <c r="S12" s="15" t="inlineStr">
        <is>
          <t>Spent six years on its own construction software and site robotics, but no construction or purchasing lead is published.</t>
        </is>
      </c>
      <c r="T12" s="12" t="inlineStr"/>
      <c r="U12" s="15" t="inlineStr"/>
      <c r="V12" s="12" t="inlineStr">
        <is>
          <t>https://wanbridge.com/leadership/</t>
        </is>
      </c>
      <c r="W12" s="12" t="inlineStr">
        <is>
          <t>https://www.linkedin.com/company/wan-bridge-group/</t>
        </is>
      </c>
      <c r="X12" s="12" t="inlineStr">
        <is>
          <t>https://wanbridge.com/leadership/</t>
        </is>
      </c>
      <c r="Y12" s="12" t="inlineStr">
        <is>
          <t>2025-11-24 Realty News Report. Build-To-Rent Boom: Dellrose, Yardly and More  https://realtynewsreport.com/build-to-rent-boom-dellrose-yardly-and-more/</t>
        </is>
      </c>
      <c r="Z12" s="12" t="inlineStr">
        <is>
          <t>(713) 219-9400</t>
        </is>
      </c>
      <c r="AA12" s="12" t="inlineStr">
        <is>
          <t>corporate</t>
        </is>
      </c>
      <c r="AB12" s="12" t="inlineStr">
        <is>
          <t>https://wanbridge.com/</t>
        </is>
      </c>
      <c r="AC12" s="12" t="inlineStr"/>
      <c r="AD12" s="12" t="inlineStr"/>
    </row>
    <row r="13">
      <c r="A13" s="6" t="inlineStr">
        <is>
          <t>Keith Clipp</t>
        </is>
      </c>
      <c r="B13" s="6" t="inlineStr">
        <is>
          <t>Wan Bridge Group</t>
        </is>
      </c>
      <c r="C13" s="6" t="inlineStr">
        <is>
          <t>Executive Vice President, Development and Operations</t>
        </is>
      </c>
      <c r="D13" s="7" t="inlineStr">
        <is>
          <t>Holds all three counts</t>
        </is>
      </c>
      <c r="E13" s="8" t="n">
        <v>3</v>
      </c>
      <c r="F13" s="6" t="inlineStr">
        <is>
          <t>Buys walls</t>
        </is>
      </c>
      <c r="G13" s="6" t="inlineStr">
        <is>
          <t>Houston HQ / Harris, Fort Bend</t>
        </is>
      </c>
      <c r="H13" s="6" t="inlineStr">
        <is>
          <t>5 TX projects under way, 5 to 7 in pipeline (Apr 2025)</t>
        </is>
      </c>
      <c r="I13" s="8" t="inlineStr">
        <is>
          <t>Yes</t>
        </is>
      </c>
      <c r="J13" s="9" t="inlineStr">
        <is>
          <t>Five Texas projects announced in one release.</t>
        </is>
      </c>
      <c r="K13" s="8" t="inlineStr">
        <is>
          <t>Partly</t>
        </is>
      </c>
      <c r="L13" s="9" t="inlineStr">
        <is>
          <t>No yearly figure published.</t>
        </is>
      </c>
      <c r="M13" s="8" t="inlineStr">
        <is>
          <t>Yes</t>
        </is>
      </c>
      <c r="N13" s="9" t="inlineStr">
        <is>
          <t>Six years on its own construction software, plus robotic site inspection.</t>
        </is>
      </c>
      <c r="O13" s="10" t="inlineStr"/>
      <c r="P13" s="6" t="inlineStr"/>
      <c r="Q13" s="11">
        <f>IF(O13="","ADD LINKEDIN","ok")</f>
        <v/>
      </c>
      <c r="R13" s="6" t="inlineStr">
        <is>
          <t>https://wanbridge.com/</t>
        </is>
      </c>
      <c r="S13" s="9" t="inlineStr">
        <is>
          <t>Spent six years on its own construction software and site robotics, but no construction or purchasing lead is published.</t>
        </is>
      </c>
      <c r="T13" s="6" t="inlineStr"/>
      <c r="U13" s="9" t="inlineStr">
        <is>
          <t>One of seven named leaders.</t>
        </is>
      </c>
      <c r="V13" s="6" t="inlineStr">
        <is>
          <t>https://wanbridge.com/leadership/</t>
        </is>
      </c>
      <c r="W13" s="6" t="inlineStr">
        <is>
          <t>https://www.linkedin.com/company/wan-bridge-group/</t>
        </is>
      </c>
      <c r="X13" s="6" t="inlineStr">
        <is>
          <t>https://wanbridge.com/leadership/</t>
        </is>
      </c>
      <c r="Y13" s="6" t="inlineStr">
        <is>
          <t>2025-11-24 Realty News Report. Build-To-Rent Boom: Dellrose, Yardly and More  https://realtynewsreport.com/build-to-rent-boom-dellrose-yardly-and-more/</t>
        </is>
      </c>
      <c r="Z13" s="6" t="inlineStr">
        <is>
          <t>(713) 219-9400</t>
        </is>
      </c>
      <c r="AA13" s="6" t="inlineStr">
        <is>
          <t>corporate</t>
        </is>
      </c>
      <c r="AB13" s="6" t="inlineStr">
        <is>
          <t>https://wanbridge.com/</t>
        </is>
      </c>
      <c r="AC13" s="6" t="inlineStr"/>
      <c r="AD13" s="6" t="inlineStr"/>
    </row>
    <row r="14">
      <c r="A14" s="12" t="inlineStr">
        <is>
          <t>Kyle Spicer</t>
        </is>
      </c>
      <c r="B14" s="12" t="inlineStr">
        <is>
          <t>Wan Bridge Group</t>
        </is>
      </c>
      <c r="C14" s="12" t="inlineStr">
        <is>
          <t>Senior Vice President of Land Acquisition</t>
        </is>
      </c>
      <c r="D14" s="13" t="inlineStr">
        <is>
          <t>Holds all three counts</t>
        </is>
      </c>
      <c r="E14" s="14" t="n">
        <v>3</v>
      </c>
      <c r="F14" s="12" t="inlineStr">
        <is>
          <t>Buys walls</t>
        </is>
      </c>
      <c r="G14" s="12" t="inlineStr">
        <is>
          <t>Houston HQ / Harris, Fort Bend</t>
        </is>
      </c>
      <c r="H14" s="12" t="inlineStr">
        <is>
          <t>5 TX projects under way, 5 to 7 in pipeline (Apr 2025)</t>
        </is>
      </c>
      <c r="I14" s="14" t="inlineStr">
        <is>
          <t>Yes</t>
        </is>
      </c>
      <c r="J14" s="15" t="inlineStr">
        <is>
          <t>Five Texas projects announced in one release.</t>
        </is>
      </c>
      <c r="K14" s="14" t="inlineStr">
        <is>
          <t>Partly</t>
        </is>
      </c>
      <c r="L14" s="15" t="inlineStr">
        <is>
          <t>No yearly figure published.</t>
        </is>
      </c>
      <c r="M14" s="14" t="inlineStr">
        <is>
          <t>Yes</t>
        </is>
      </c>
      <c r="N14" s="15" t="inlineStr">
        <is>
          <t>Six years on its own construction software, plus robotic site inspection.</t>
        </is>
      </c>
      <c r="O14" s="10" t="inlineStr"/>
      <c r="P14" s="12" t="inlineStr"/>
      <c r="Q14" s="16">
        <f>IF(O14="","ADD LINKEDIN","ok")</f>
        <v/>
      </c>
      <c r="R14" s="12" t="inlineStr">
        <is>
          <t>https://wanbridge.com/</t>
        </is>
      </c>
      <c r="S14" s="15" t="inlineStr">
        <is>
          <t>Spent six years on its own construction software and site robotics, but no construction or purchasing lead is published.</t>
        </is>
      </c>
      <c r="T14" s="12" t="inlineStr"/>
      <c r="U14" s="15" t="inlineStr"/>
      <c r="V14" s="12" t="inlineStr">
        <is>
          <t>https://wanbridge.com/leadership/</t>
        </is>
      </c>
      <c r="W14" s="12" t="inlineStr">
        <is>
          <t>https://www.linkedin.com/company/wan-bridge-group/</t>
        </is>
      </c>
      <c r="X14" s="12" t="inlineStr">
        <is>
          <t>https://wanbridge.com/leadership/</t>
        </is>
      </c>
      <c r="Y14" s="12" t="inlineStr">
        <is>
          <t>2025-11-24 Realty News Report. Build-To-Rent Boom: Dellrose, Yardly and More  https://realtynewsreport.com/build-to-rent-boom-dellrose-yardly-and-more/</t>
        </is>
      </c>
      <c r="Z14" s="12" t="inlineStr">
        <is>
          <t>(713) 219-9400</t>
        </is>
      </c>
      <c r="AA14" s="12" t="inlineStr">
        <is>
          <t>corporate</t>
        </is>
      </c>
      <c r="AB14" s="12" t="inlineStr">
        <is>
          <t>https://wanbridge.com/</t>
        </is>
      </c>
      <c r="AC14" s="12" t="inlineStr"/>
      <c r="AD14" s="12" t="inlineStr"/>
    </row>
    <row r="15">
      <c r="A15" s="6" t="inlineStr">
        <is>
          <t>Andrew Segal</t>
        </is>
      </c>
      <c r="B15" s="6" t="inlineStr">
        <is>
          <t>Boxer Property</t>
        </is>
      </c>
      <c r="C15" s="6" t="inlineStr">
        <is>
          <t>Chairman and Chief Executive Officer</t>
        </is>
      </c>
      <c r="D15" s="7" t="inlineStr">
        <is>
          <t>Holds all three counts</t>
        </is>
      </c>
      <c r="E15" s="8" t="n">
        <v>3</v>
      </c>
      <c r="F15" s="6" t="inlineStr">
        <is>
          <t>Buys walls</t>
        </is>
      </c>
      <c r="G15" s="6" t="inlineStr">
        <is>
          <t>Houston, Harris</t>
        </is>
      </c>
      <c r="H15" s="6" t="inlineStr">
        <is>
          <t>Paid for a printed house in Fort Worth</t>
        </is>
      </c>
      <c r="I15" s="8" t="inlineStr">
        <is>
          <t>Partly</t>
        </is>
      </c>
      <c r="J15" s="9" t="inlineStr">
        <is>
          <t>Commercial buildings across sixteen cities. Not a repeated house plan.</t>
        </is>
      </c>
      <c r="K15" s="8" t="inlineStr">
        <is>
          <t>Partly</t>
        </is>
      </c>
      <c r="L15" s="9" t="inlineStr">
        <is>
          <t>An owner, not a builder. It would hire the crew.</t>
        </is>
      </c>
      <c r="M15" s="8" t="inlineStr">
        <is>
          <t>Yes</t>
        </is>
      </c>
      <c r="N15" s="9" t="inlineStr">
        <is>
          <t>Walls printed in under 30 hours, May 2024.</t>
        </is>
      </c>
      <c r="O15" s="6" t="inlineStr">
        <is>
          <t>https://www.linkedin.com/in/andrew-segal-40049914/</t>
        </is>
      </c>
      <c r="P15" s="6" t="inlineStr"/>
      <c r="Q15" s="11">
        <f>IF(O15="","ADD LINKEDIN","ok")</f>
        <v/>
      </c>
      <c r="R15" s="6" t="inlineStr">
        <is>
          <t>https://www.boxerproperty.com/</t>
        </is>
      </c>
      <c r="S15" s="9" t="inlineStr">
        <is>
          <t>Its founder says the future is printed concrete houses, but it is an owner, not a builder, and would hire the crew.</t>
        </is>
      </c>
      <c r="T15" s="6" t="inlineStr">
        <is>
          <t>YES</t>
        </is>
      </c>
      <c r="U15" s="9" t="inlineStr">
        <is>
          <t>Headline: Boxer Property, Houston. Title from firm's about page.</t>
        </is>
      </c>
      <c r="V15" s="6" t="inlineStr"/>
      <c r="W15" s="6" t="inlineStr"/>
      <c r="X15" s="6" t="inlineStr"/>
      <c r="Y15" s="6" t="inlineStr">
        <is>
          <t>2013-10-30 Boxer Property. Boxer Announces Executive Leadership Changes  https://www.boxerproperty.com/blog/roles-responsibilities-evolve-executives/</t>
        </is>
      </c>
      <c r="Z15" s="6" t="inlineStr">
        <is>
          <t>(713) 777-7368</t>
        </is>
      </c>
      <c r="AA15" s="6" t="inlineStr"/>
      <c r="AB15" s="6" t="inlineStr">
        <is>
          <t>https://www.boxerproperty.com/</t>
        </is>
      </c>
      <c r="AC15" s="6" t="inlineStr"/>
      <c r="AD15" s="6" t="inlineStr"/>
    </row>
    <row r="16">
      <c r="A16" s="12" t="inlineStr">
        <is>
          <t>Justin Segal</t>
        </is>
      </c>
      <c r="B16" s="12" t="inlineStr">
        <is>
          <t>Boxer Property</t>
        </is>
      </c>
      <c r="C16" s="12" t="inlineStr">
        <is>
          <t>President</t>
        </is>
      </c>
      <c r="D16" s="13" t="inlineStr">
        <is>
          <t>Holds all three counts</t>
        </is>
      </c>
      <c r="E16" s="14" t="n">
        <v>3</v>
      </c>
      <c r="F16" s="12" t="inlineStr">
        <is>
          <t>Buys walls</t>
        </is>
      </c>
      <c r="G16" s="12" t="inlineStr">
        <is>
          <t>Houston, Harris</t>
        </is>
      </c>
      <c r="H16" s="12" t="inlineStr">
        <is>
          <t>Paid for a printed house in Fort Worth</t>
        </is>
      </c>
      <c r="I16" s="14" t="inlineStr">
        <is>
          <t>Partly</t>
        </is>
      </c>
      <c r="J16" s="15" t="inlineStr">
        <is>
          <t>Commercial buildings across sixteen cities. Not a repeated house plan.</t>
        </is>
      </c>
      <c r="K16" s="14" t="inlineStr">
        <is>
          <t>Partly</t>
        </is>
      </c>
      <c r="L16" s="15" t="inlineStr">
        <is>
          <t>An owner, not a builder. It would hire the crew.</t>
        </is>
      </c>
      <c r="M16" s="14" t="inlineStr">
        <is>
          <t>Yes</t>
        </is>
      </c>
      <c r="N16" s="15" t="inlineStr">
        <is>
          <t>Walls printed in under 30 hours, May 2024.</t>
        </is>
      </c>
      <c r="O16" s="6" t="inlineStr">
        <is>
          <t>https://www.linkedin.com/in/segaljustin/</t>
        </is>
      </c>
      <c r="P16" s="12" t="inlineStr"/>
      <c r="Q16" s="16">
        <f>IF(O16="","ADD LINKEDIN","ok")</f>
        <v/>
      </c>
      <c r="R16" s="12" t="inlineStr">
        <is>
          <t>https://www.boxerproperty.com/</t>
        </is>
      </c>
      <c r="S16" s="15" t="inlineStr">
        <is>
          <t>Its founder says the future is printed concrete houses, but it is an owner, not a builder, and would hire the crew.</t>
        </is>
      </c>
      <c r="T16" s="12" t="inlineStr">
        <is>
          <t>YES</t>
        </is>
      </c>
      <c r="U16" s="15" t="inlineStr">
        <is>
          <t>Headline: President, Boxer Property. Founder, Stemmons Enterprise. Houston.</t>
        </is>
      </c>
      <c r="V16" s="12" t="inlineStr"/>
      <c r="W16" s="12" t="inlineStr"/>
      <c r="X16" s="12" t="inlineStr"/>
      <c r="Y16" s="12" t="inlineStr">
        <is>
          <t>2013-10-30 Boxer Property. Boxer Announces Executive Leadership Changes  https://www.boxerproperty.com/blog/roles-responsibilities-evolve-executives/</t>
        </is>
      </c>
      <c r="Z16" s="12" t="inlineStr">
        <is>
          <t>(713) 777-7368</t>
        </is>
      </c>
      <c r="AA16" s="12" t="inlineStr"/>
      <c r="AB16" s="12" t="inlineStr">
        <is>
          <t>https://www.boxerproperty.com/</t>
        </is>
      </c>
      <c r="AC16" s="12" t="inlineStr"/>
      <c r="AD16" s="12" t="inlineStr"/>
    </row>
    <row r="17">
      <c r="A17" s="6" t="inlineStr">
        <is>
          <t>Blake Morris</t>
        </is>
      </c>
      <c r="B17" s="6" t="inlineStr">
        <is>
          <t>Boxer Property</t>
        </is>
      </c>
      <c r="C17" s="6" t="inlineStr">
        <is>
          <t>Chief Financial Officer</t>
        </is>
      </c>
      <c r="D17" s="7" t="inlineStr">
        <is>
          <t>Holds all three counts</t>
        </is>
      </c>
      <c r="E17" s="8" t="n">
        <v>3</v>
      </c>
      <c r="F17" s="6" t="inlineStr">
        <is>
          <t>Buys walls</t>
        </is>
      </c>
      <c r="G17" s="6" t="inlineStr">
        <is>
          <t>Houston, Harris</t>
        </is>
      </c>
      <c r="H17" s="6" t="inlineStr">
        <is>
          <t>Paid for a printed house in Fort Worth</t>
        </is>
      </c>
      <c r="I17" s="8" t="inlineStr">
        <is>
          <t>Partly</t>
        </is>
      </c>
      <c r="J17" s="9" t="inlineStr">
        <is>
          <t>Commercial buildings across sixteen cities. Not a repeated house plan.</t>
        </is>
      </c>
      <c r="K17" s="8" t="inlineStr">
        <is>
          <t>Partly</t>
        </is>
      </c>
      <c r="L17" s="9" t="inlineStr">
        <is>
          <t>An owner, not a builder. It would hire the crew.</t>
        </is>
      </c>
      <c r="M17" s="8" t="inlineStr">
        <is>
          <t>Yes</t>
        </is>
      </c>
      <c r="N17" s="9" t="inlineStr">
        <is>
          <t>Walls printed in under 30 hours, May 2024.</t>
        </is>
      </c>
      <c r="O17" s="10" t="inlineStr"/>
      <c r="P17" s="6">
        <f>HYPERLINK("https://www.linkedin.com/search/results/people/?keywords=Blake%20Morris%20Boxer%20Property","search")</f>
        <v/>
      </c>
      <c r="Q17" s="11">
        <f>IF(O17="","ADD LINKEDIN","ok")</f>
        <v/>
      </c>
      <c r="R17" s="6" t="inlineStr">
        <is>
          <t>https://www.boxerproperty.com/</t>
        </is>
      </c>
      <c r="S17" s="9" t="inlineStr">
        <is>
          <t>Its founder says the future is printed concrete houses, but it is an owner, not a builder, and would hire the crew.</t>
        </is>
      </c>
      <c r="T17" s="6" t="inlineStr"/>
      <c r="U17" s="9" t="inlineStr"/>
      <c r="V17" s="6" t="inlineStr"/>
      <c r="W17" s="6" t="inlineStr"/>
      <c r="X17" s="6" t="inlineStr"/>
      <c r="Y17" s="6" t="inlineStr">
        <is>
          <t>2013-10-30 Boxer Property. Boxer Announces Executive Leadership Changes  https://www.boxerproperty.com/blog/roles-responsibilities-evolve-executives/</t>
        </is>
      </c>
      <c r="Z17" s="6" t="inlineStr">
        <is>
          <t>(713) 777-7368</t>
        </is>
      </c>
      <c r="AA17" s="6" t="inlineStr"/>
      <c r="AB17" s="6" t="inlineStr">
        <is>
          <t>https://www.boxerproperty.com/</t>
        </is>
      </c>
      <c r="AC17" s="6" t="inlineStr"/>
      <c r="AD17" s="6" t="inlineStr"/>
    </row>
    <row r="18">
      <c r="A18" s="12" t="inlineStr">
        <is>
          <t>John Rentz</t>
        </is>
      </c>
      <c r="B18" s="12" t="inlineStr">
        <is>
          <t>Boxer Property</t>
        </is>
      </c>
      <c r="C18" s="12" t="inlineStr">
        <is>
          <t>Vice President and General Counsel</t>
        </is>
      </c>
      <c r="D18" s="13" t="inlineStr">
        <is>
          <t>Holds all three counts</t>
        </is>
      </c>
      <c r="E18" s="14" t="n">
        <v>3</v>
      </c>
      <c r="F18" s="12" t="inlineStr">
        <is>
          <t>Buys walls</t>
        </is>
      </c>
      <c r="G18" s="12" t="inlineStr">
        <is>
          <t>Houston, Harris</t>
        </is>
      </c>
      <c r="H18" s="12" t="inlineStr">
        <is>
          <t>Paid for a printed house in Fort Worth</t>
        </is>
      </c>
      <c r="I18" s="14" t="inlineStr">
        <is>
          <t>Partly</t>
        </is>
      </c>
      <c r="J18" s="15" t="inlineStr">
        <is>
          <t>Commercial buildings across sixteen cities. Not a repeated house plan.</t>
        </is>
      </c>
      <c r="K18" s="14" t="inlineStr">
        <is>
          <t>Partly</t>
        </is>
      </c>
      <c r="L18" s="15" t="inlineStr">
        <is>
          <t>An owner, not a builder. It would hire the crew.</t>
        </is>
      </c>
      <c r="M18" s="14" t="inlineStr">
        <is>
          <t>Yes</t>
        </is>
      </c>
      <c r="N18" s="15" t="inlineStr">
        <is>
          <t>Walls printed in under 30 hours, May 2024.</t>
        </is>
      </c>
      <c r="O18" s="10" t="inlineStr"/>
      <c r="P18" s="12">
        <f>HYPERLINK("https://www.linkedin.com/search/results/people/?keywords=John%20Rentz%20Boxer%20Property","search")</f>
        <v/>
      </c>
      <c r="Q18" s="16">
        <f>IF(O18="","ADD LINKEDIN","ok")</f>
        <v/>
      </c>
      <c r="R18" s="12" t="inlineStr">
        <is>
          <t>https://www.boxerproperty.com/</t>
        </is>
      </c>
      <c r="S18" s="15" t="inlineStr">
        <is>
          <t>Its founder says the future is printed concrete houses, but it is an owner, not a builder, and would hire the crew.</t>
        </is>
      </c>
      <c r="T18" s="12" t="inlineStr"/>
      <c r="U18" s="15" t="inlineStr"/>
      <c r="V18" s="12" t="inlineStr"/>
      <c r="W18" s="12" t="inlineStr"/>
      <c r="X18" s="12" t="inlineStr"/>
      <c r="Y18" s="12" t="inlineStr">
        <is>
          <t>2013-10-30 Boxer Property. Boxer Announces Executive Leadership Changes  https://www.boxerproperty.com/blog/roles-responsibilities-evolve-executives/</t>
        </is>
      </c>
      <c r="Z18" s="12" t="inlineStr">
        <is>
          <t>(713) 777-7368</t>
        </is>
      </c>
      <c r="AA18" s="12" t="inlineStr"/>
      <c r="AB18" s="12" t="inlineStr">
        <is>
          <t>https://www.boxerproperty.com/</t>
        </is>
      </c>
      <c r="AC18" s="12" t="inlineStr"/>
      <c r="AD18" s="12" t="inlineStr"/>
    </row>
    <row r="19">
      <c r="A19" s="6" t="inlineStr">
        <is>
          <t>Roderick Flint</t>
        </is>
      </c>
      <c r="B19" s="6" t="inlineStr">
        <is>
          <t>Brohn Homes</t>
        </is>
      </c>
      <c r="C19" s="6" t="inlineStr">
        <is>
          <t>Division President, Houston</t>
        </is>
      </c>
      <c r="D19" s="7" t="inlineStr">
        <is>
          <t>Holds all three counts</t>
        </is>
      </c>
      <c r="E19" s="8" t="n">
        <v>3</v>
      </c>
      <c r="F19" s="6" t="inlineStr">
        <is>
          <t>Buys walls</t>
        </is>
      </c>
      <c r="G19" s="6" t="inlineStr">
        <is>
          <t>Austin, with a Houston division</t>
        </is>
      </c>
      <c r="H19" s="6" t="inlineStr">
        <is>
          <t>Average build time of 3.5 months, company-wide</t>
        </is>
      </c>
      <c r="I19" s="8" t="inlineStr">
        <is>
          <t>Yes</t>
        </is>
      </c>
      <c r="J19" s="9" t="inlineStr">
        <is>
          <t>Communities in the north, west and south suburbs.</t>
        </is>
      </c>
      <c r="K19" s="8" t="inlineStr">
        <is>
          <t>Partly</t>
        </is>
      </c>
      <c r="L19" s="9" t="inlineStr">
        <is>
          <t>No Houston closings figure published.</t>
        </is>
      </c>
      <c r="M19" s="8" t="inlineStr">
        <is>
          <t>Partly</t>
        </is>
      </c>
      <c r="N19" s="9" t="inlineStr">
        <is>
          <t>Publishes a three and a half month average build time. Schedule is already how it competes.</t>
        </is>
      </c>
      <c r="O19" s="10" t="inlineStr"/>
      <c r="P19" s="6">
        <f>HYPERLINK("https://www.linkedin.com/search/results/people/?keywords=Roderick%20Flint%20Brohn%20Homes","search")</f>
        <v/>
      </c>
      <c r="Q19" s="11">
        <f>IF(O19="","ADD LINKEDIN","ok")</f>
        <v/>
      </c>
      <c r="R19" s="6" t="inlineStr">
        <is>
          <t>https://www.brohnhomes.com/</t>
        </is>
      </c>
      <c r="S19" s="9" t="inlineStr">
        <is>
          <t>Schedule is already how it competes, but Houston purchasing may run through the parent.</t>
        </is>
      </c>
      <c r="T19" s="6" t="inlineStr">
        <is>
          <t>YES</t>
        </is>
      </c>
      <c r="U19" s="9" t="inlineStr">
        <is>
          <t>Firm's Houston launch post. Quoted on folding in existing plans.</t>
        </is>
      </c>
      <c r="V19" s="6" t="inlineStr">
        <is>
          <t>https://brohnhomes.com/community-impact-features-brohn-homes-houston-vision/</t>
        </is>
      </c>
      <c r="W19" s="6" t="inlineStr"/>
      <c r="X19" s="6" t="inlineStr"/>
      <c r="Y19" s="6" t="inlineStr"/>
      <c r="Z19" s="6" t="inlineStr">
        <is>
          <t>(512) 334-6775</t>
        </is>
      </c>
      <c r="AA19" s="6" t="inlineStr"/>
      <c r="AB19" s="6" t="inlineStr">
        <is>
          <t>https://www.brohnhomes.com/</t>
        </is>
      </c>
      <c r="AC19" s="6" t="inlineStr"/>
      <c r="AD19" s="6" t="inlineStr"/>
    </row>
    <row r="20">
      <c r="A20" s="12" t="inlineStr">
        <is>
          <t>Rob Francescon</t>
        </is>
      </c>
      <c r="B20" s="12" t="inlineStr">
        <is>
          <t>Century Communities, Inc.</t>
        </is>
      </c>
      <c r="C20" s="12" t="inlineStr">
        <is>
          <t>Chief Executive Officer</t>
        </is>
      </c>
      <c r="D20" s="13" t="inlineStr">
        <is>
          <t>Holds all three counts</t>
        </is>
      </c>
      <c r="E20" s="14" t="n">
        <v>3</v>
      </c>
      <c r="F20" s="12" t="inlineStr">
        <is>
          <t>Buys walls</t>
        </is>
      </c>
      <c r="G20" s="12" t="inlineStr">
        <is>
          <t>Waller, Harris</t>
        </is>
      </c>
      <c r="H20" s="12" t="inlineStr">
        <is>
          <t>1,017 Houston closings in 2025, ninth in the metro</t>
        </is>
      </c>
      <c r="I20" s="14" t="inlineStr">
        <is>
          <t>Yes</t>
        </is>
      </c>
      <c r="J20" s="15" t="inlineStr">
        <is>
          <t>1,200 homes on 18 floor plans.</t>
        </is>
      </c>
      <c r="K20" s="14" t="inlineStr">
        <is>
          <t>Partly</t>
        </is>
      </c>
      <c r="L20" s="15" t="inlineStr">
        <is>
          <t>1,017 Houston closings in 2025. Mirabella alone puts 1,200 homes on one site.</t>
        </is>
      </c>
      <c r="M20" s="14" t="inlineStr">
        <is>
          <t>Partly</t>
        </is>
      </c>
      <c r="N20" s="15" t="inlineStr">
        <is>
          <t>Record 112-day cycle and a 5 percent direct-cost cut. No method change.</t>
        </is>
      </c>
      <c r="O20" s="10" t="inlineStr"/>
      <c r="P20" s="12">
        <f>HYPERLINK("https://www.linkedin.com/search/results/people/?keywords=Rob%20Francescon%20Century%20Communities%2C%20Inc.","search")</f>
        <v/>
      </c>
      <c r="Q20" s="16">
        <f>IF(O20="","ADD LINKEDIN","ok")</f>
        <v/>
      </c>
      <c r="R20" s="12" t="inlineStr">
        <is>
          <t>https://www.centurycommunities.com/</t>
        </is>
      </c>
      <c r="S20" s="15" t="inlineStr">
        <is>
          <t>Mirabella puts 1,200 homes on 18 floor plans at one site, but it publishes nothing on modular, panelized or printed construction.</t>
        </is>
      </c>
      <c r="T20" s="12" t="inlineStr"/>
      <c r="U20" s="15" t="inlineStr">
        <is>
          <t>Executive page. Sole chief executive since 1 January 2025, previously co-chief.</t>
        </is>
      </c>
      <c r="V20" s="12" t="inlineStr">
        <is>
          <t>https://investors.centurycommunities.com/governance/executive-management/default.aspx</t>
        </is>
      </c>
      <c r="W20" s="12" t="inlineStr">
        <is>
          <t>https://www.linkedin.com/company/century-communities</t>
        </is>
      </c>
      <c r="X20" s="12" t="inlineStr">
        <is>
          <t>https://investors.centurycommunities.com/governance/executive-management/default.aspx</t>
        </is>
      </c>
      <c r="Y20" s="12" t="inlineStr"/>
      <c r="Z20" s="12" t="inlineStr">
        <is>
          <t>(888) 885-5653</t>
        </is>
      </c>
      <c r="AA20" s="12" t="inlineStr">
        <is>
          <t>warranty service</t>
        </is>
      </c>
      <c r="AB20" s="12" t="inlineStr">
        <is>
          <t>https://www.centurycommunities.com/</t>
        </is>
      </c>
      <c r="AC20" s="12" t="inlineStr"/>
      <c r="AD20" s="12" t="inlineStr"/>
    </row>
    <row r="21">
      <c r="A21" s="6" t="inlineStr">
        <is>
          <t>Tanya Rizzo</t>
        </is>
      </c>
      <c r="B21" s="6" t="inlineStr">
        <is>
          <t>Century Communities, Inc.</t>
        </is>
      </c>
      <c r="C21" s="6" t="inlineStr">
        <is>
          <t>Houston Division President</t>
        </is>
      </c>
      <c r="D21" s="7" t="inlineStr">
        <is>
          <t>Holds all three counts</t>
        </is>
      </c>
      <c r="E21" s="8" t="n">
        <v>3</v>
      </c>
      <c r="F21" s="6" t="inlineStr">
        <is>
          <t>Buys walls</t>
        </is>
      </c>
      <c r="G21" s="6" t="inlineStr">
        <is>
          <t>Waller, Harris</t>
        </is>
      </c>
      <c r="H21" s="6" t="inlineStr">
        <is>
          <t>1,017 Houston closings in 2025, ninth in the metro</t>
        </is>
      </c>
      <c r="I21" s="8" t="inlineStr">
        <is>
          <t>Yes</t>
        </is>
      </c>
      <c r="J21" s="9" t="inlineStr">
        <is>
          <t>1,200 homes on 18 floor plans.</t>
        </is>
      </c>
      <c r="K21" s="8" t="inlineStr">
        <is>
          <t>Partly</t>
        </is>
      </c>
      <c r="L21" s="9" t="inlineStr">
        <is>
          <t>1,017 Houston closings in 2025. Mirabella alone puts 1,200 homes on one site.</t>
        </is>
      </c>
      <c r="M21" s="8" t="inlineStr">
        <is>
          <t>Partly</t>
        </is>
      </c>
      <c r="N21" s="9" t="inlineStr">
        <is>
          <t>Record 112-day cycle and a 5 percent direct-cost cut. No method change.</t>
        </is>
      </c>
      <c r="O21" s="6" t="inlineStr">
        <is>
          <t>https://www.linkedin.com/in/tanya-rizzo-75738016/</t>
        </is>
      </c>
      <c r="P21" s="6" t="inlineStr"/>
      <c r="Q21" s="11">
        <f>IF(O21="","ADD LINKEDIN","ok")</f>
        <v/>
      </c>
      <c r="R21" s="6" t="inlineStr">
        <is>
          <t>https://www.centurycommunities.com/</t>
        </is>
      </c>
      <c r="S21" s="9" t="inlineStr">
        <is>
          <t>Mirabella puts 1,200 homes on 18 floor plans at one site, but it publishes nothing on modular, panelized or printed construction.</t>
        </is>
      </c>
      <c r="T21" s="6" t="inlineStr">
        <is>
          <t>YES</t>
        </is>
      </c>
      <c r="U21" s="9" t="inlineStr">
        <is>
          <t>Recruiting for Century in Houston. Title from September 2026 trade press.</t>
        </is>
      </c>
      <c r="V21" s="6" t="inlineStr"/>
      <c r="W21" s="6" t="inlineStr">
        <is>
          <t>https://www.linkedin.com/company/century-communities</t>
        </is>
      </c>
      <c r="X21" s="6" t="inlineStr">
        <is>
          <t>https://investors.centurycommunities.com/governance/executive-management/default.aspx</t>
        </is>
      </c>
      <c r="Y21" s="6" t="inlineStr"/>
      <c r="Z21" s="6" t="inlineStr">
        <is>
          <t>(888) 885-5653</t>
        </is>
      </c>
      <c r="AA21" s="6" t="inlineStr">
        <is>
          <t>warranty service</t>
        </is>
      </c>
      <c r="AB21" s="6" t="inlineStr">
        <is>
          <t>https://www.centurycommunities.com/</t>
        </is>
      </c>
      <c r="AC21" s="6" t="inlineStr"/>
      <c r="AD21" s="6" t="inlineStr"/>
    </row>
    <row r="22">
      <c r="A22" s="12" t="inlineStr">
        <is>
          <t>Fred Caldwell</t>
        </is>
      </c>
      <c r="B22" s="12" t="inlineStr">
        <is>
          <t>Caldwell Homes</t>
        </is>
      </c>
      <c r="C22" s="12" t="inlineStr">
        <is>
          <t>Chief Executive Officer</t>
        </is>
      </c>
      <c r="D22" s="13" t="inlineStr">
        <is>
          <t>Holds all three counts</t>
        </is>
      </c>
      <c r="E22" s="14" t="n">
        <v>3</v>
      </c>
      <c r="F22" s="12" t="inlineStr">
        <is>
          <t>Buys walls</t>
        </is>
      </c>
      <c r="G22" s="12" t="inlineStr">
        <is>
          <t>Cypress, Porter, Willis / Harris, Montgomery</t>
        </is>
      </c>
      <c r="H22" s="12" t="inlineStr">
        <is>
          <t>Three 55+ communities, $448,600 to $875,000</t>
        </is>
      </c>
      <c r="I22" s="14" t="inlineStr">
        <is>
          <t>Yes</t>
        </is>
      </c>
      <c r="J22" s="15" t="inlineStr">
        <is>
          <t>Named plans such as Cardinal, Bluebell and Waterlily sell in more than one community.</t>
        </is>
      </c>
      <c r="K22" s="14" t="inlineStr">
        <is>
          <t>Partly</t>
        </is>
      </c>
      <c r="L22" s="15" t="inlineStr">
        <is>
          <t>41st on a 2023 Houston builder list. No yearly figure published.</t>
        </is>
      </c>
      <c r="M22" s="14" t="inlineStr">
        <is>
          <t>Partly</t>
        </is>
      </c>
      <c r="N22" s="15" t="inlineStr">
        <is>
          <t>ENERGY STAR homes and a 2020 PRISM energy award. Nothing structural.</t>
        </is>
      </c>
      <c r="O22" s="10" t="inlineStr"/>
      <c r="P22" s="12">
        <f>HYPERLINK("https://www.linkedin.com/search/results/people/?keywords=Fred%20Caldwell%20Caldwell%20Homes","search")</f>
        <v/>
      </c>
      <c r="Q22" s="16">
        <f>IF(O22="","ADD LINKEDIN","ok")</f>
        <v/>
      </c>
      <c r="R22" s="12" t="inlineStr">
        <is>
          <t>https://www.caldwellhomes.com/</t>
        </is>
      </c>
      <c r="S22" s="15" t="inlineStr">
        <is>
          <t>Named plans repeat across its communities, and one vice president holds both construction and purchasing.</t>
        </is>
      </c>
      <c r="T22" s="12" t="inlineStr"/>
      <c r="U22" s="15" t="inlineStr"/>
      <c r="V22" s="12" t="inlineStr">
        <is>
          <t>https://www.caldwellhomes.com/our-team</t>
        </is>
      </c>
      <c r="W22" s="12" t="inlineStr"/>
      <c r="X22" s="12" t="inlineStr"/>
      <c r="Y22" s="12" t="inlineStr"/>
      <c r="Z22" s="12" t="inlineStr"/>
      <c r="AA22" s="12" t="inlineStr"/>
      <c r="AB22" s="12" t="inlineStr">
        <is>
          <t>https://www.caldwellhomes.com/</t>
        </is>
      </c>
      <c r="AC22" s="12" t="inlineStr"/>
      <c r="AD22" s="12" t="inlineStr"/>
    </row>
    <row r="23">
      <c r="A23" s="6" t="inlineStr">
        <is>
          <t>Peter Barnhart</t>
        </is>
      </c>
      <c r="B23" s="6" t="inlineStr">
        <is>
          <t>Caldwell Homes</t>
        </is>
      </c>
      <c r="C23" s="6" t="inlineStr">
        <is>
          <t>President</t>
        </is>
      </c>
      <c r="D23" s="7" t="inlineStr">
        <is>
          <t>Holds all three counts</t>
        </is>
      </c>
      <c r="E23" s="8" t="n">
        <v>3</v>
      </c>
      <c r="F23" s="6" t="inlineStr">
        <is>
          <t>Buys walls</t>
        </is>
      </c>
      <c r="G23" s="6" t="inlineStr">
        <is>
          <t>Cypress, Porter, Willis / Harris, Montgomery</t>
        </is>
      </c>
      <c r="H23" s="6" t="inlineStr">
        <is>
          <t>Three 55+ communities, $448,600 to $875,000</t>
        </is>
      </c>
      <c r="I23" s="8" t="inlineStr">
        <is>
          <t>Yes</t>
        </is>
      </c>
      <c r="J23" s="9" t="inlineStr">
        <is>
          <t>Named plans such as Cardinal, Bluebell and Waterlily sell in more than one community.</t>
        </is>
      </c>
      <c r="K23" s="8" t="inlineStr">
        <is>
          <t>Partly</t>
        </is>
      </c>
      <c r="L23" s="9" t="inlineStr">
        <is>
          <t>41st on a 2023 Houston builder list. No yearly figure published.</t>
        </is>
      </c>
      <c r="M23" s="8" t="inlineStr">
        <is>
          <t>Partly</t>
        </is>
      </c>
      <c r="N23" s="9" t="inlineStr">
        <is>
          <t>ENERGY STAR homes and a 2020 PRISM energy award. Nothing structural.</t>
        </is>
      </c>
      <c r="O23" s="10" t="inlineStr"/>
      <c r="P23" s="6">
        <f>HYPERLINK("https://www.linkedin.com/search/results/people/?keywords=Peter%20Barnhart%20Caldwell%20Homes","search")</f>
        <v/>
      </c>
      <c r="Q23" s="11">
        <f>IF(O23="","ADD LINKEDIN","ok")</f>
        <v/>
      </c>
      <c r="R23" s="6" t="inlineStr">
        <is>
          <t>https://www.caldwellhomes.com/</t>
        </is>
      </c>
      <c r="S23" s="9" t="inlineStr">
        <is>
          <t>Named plans repeat across its communities, and one vice president holds both construction and purchasing.</t>
        </is>
      </c>
      <c r="T23" s="6" t="inlineStr"/>
      <c r="U23" s="9" t="inlineStr"/>
      <c r="V23" s="6" t="inlineStr">
        <is>
          <t>https://www.caldwellhomes.com/our-team</t>
        </is>
      </c>
      <c r="W23" s="6" t="inlineStr"/>
      <c r="X23" s="6" t="inlineStr"/>
      <c r="Y23" s="6" t="inlineStr"/>
      <c r="Z23" s="6" t="inlineStr"/>
      <c r="AA23" s="6" t="inlineStr"/>
      <c r="AB23" s="6" t="inlineStr">
        <is>
          <t>https://www.caldwellhomes.com/</t>
        </is>
      </c>
      <c r="AC23" s="6" t="inlineStr"/>
      <c r="AD23" s="6" t="inlineStr"/>
    </row>
    <row r="24">
      <c r="A24" s="12" t="inlineStr">
        <is>
          <t>Tim Mayo</t>
        </is>
      </c>
      <c r="B24" s="12" t="inlineStr">
        <is>
          <t>Caldwell Homes</t>
        </is>
      </c>
      <c r="C24" s="12" t="inlineStr">
        <is>
          <t>Senior Vice President of Operations</t>
        </is>
      </c>
      <c r="D24" s="13" t="inlineStr">
        <is>
          <t>Holds all three counts</t>
        </is>
      </c>
      <c r="E24" s="14" t="n">
        <v>3</v>
      </c>
      <c r="F24" s="12" t="inlineStr">
        <is>
          <t>Buys walls</t>
        </is>
      </c>
      <c r="G24" s="12" t="inlineStr">
        <is>
          <t>Cypress, Porter, Willis / Harris, Montgomery</t>
        </is>
      </c>
      <c r="H24" s="12" t="inlineStr">
        <is>
          <t>Three 55+ communities, $448,600 to $875,000</t>
        </is>
      </c>
      <c r="I24" s="14" t="inlineStr">
        <is>
          <t>Yes</t>
        </is>
      </c>
      <c r="J24" s="15" t="inlineStr">
        <is>
          <t>Named plans such as Cardinal, Bluebell and Waterlily sell in more than one community.</t>
        </is>
      </c>
      <c r="K24" s="14" t="inlineStr">
        <is>
          <t>Partly</t>
        </is>
      </c>
      <c r="L24" s="15" t="inlineStr">
        <is>
          <t>41st on a 2023 Houston builder list. No yearly figure published.</t>
        </is>
      </c>
      <c r="M24" s="14" t="inlineStr">
        <is>
          <t>Partly</t>
        </is>
      </c>
      <c r="N24" s="15" t="inlineStr">
        <is>
          <t>ENERGY STAR homes and a 2020 PRISM energy award. Nothing structural.</t>
        </is>
      </c>
      <c r="O24" s="10" t="inlineStr"/>
      <c r="P24" s="12">
        <f>HYPERLINK("https://www.linkedin.com/search/results/people/?keywords=Tim%20Mayo%20Caldwell%20Homes","search")</f>
        <v/>
      </c>
      <c r="Q24" s="16">
        <f>IF(O24="","ADD LINKEDIN","ok")</f>
        <v/>
      </c>
      <c r="R24" s="12" t="inlineStr">
        <is>
          <t>https://www.caldwellhomes.com/</t>
        </is>
      </c>
      <c r="S24" s="15" t="inlineStr">
        <is>
          <t>Named plans repeat across its communities, and one vice president holds both construction and purchasing.</t>
        </is>
      </c>
      <c r="T24" s="12" t="inlineStr"/>
      <c r="U24" s="15" t="inlineStr"/>
      <c r="V24" s="12" t="inlineStr">
        <is>
          <t>https://www.caldwellhomes.com/our-team</t>
        </is>
      </c>
      <c r="W24" s="12" t="inlineStr"/>
      <c r="X24" s="12" t="inlineStr"/>
      <c r="Y24" s="12" t="inlineStr"/>
      <c r="Z24" s="12" t="inlineStr"/>
      <c r="AA24" s="12" t="inlineStr"/>
      <c r="AB24" s="12" t="inlineStr">
        <is>
          <t>https://www.caldwellhomes.com/</t>
        </is>
      </c>
      <c r="AC24" s="12" t="inlineStr"/>
      <c r="AD24" s="12" t="inlineStr"/>
    </row>
    <row r="25">
      <c r="A25" s="6" t="inlineStr">
        <is>
          <t>Kevin Johnson</t>
        </is>
      </c>
      <c r="B25" s="6" t="inlineStr">
        <is>
          <t>Caldwell Homes</t>
        </is>
      </c>
      <c r="C25" s="6" t="inlineStr">
        <is>
          <t>Vice President of Construction and Purchasing</t>
        </is>
      </c>
      <c r="D25" s="7" t="inlineStr">
        <is>
          <t>Holds all three counts</t>
        </is>
      </c>
      <c r="E25" s="8" t="n">
        <v>3</v>
      </c>
      <c r="F25" s="6" t="inlineStr">
        <is>
          <t>Buys walls</t>
        </is>
      </c>
      <c r="G25" s="6" t="inlineStr">
        <is>
          <t>Cypress, Porter, Willis / Harris, Montgomery</t>
        </is>
      </c>
      <c r="H25" s="6" t="inlineStr">
        <is>
          <t>Three 55+ communities, $448,600 to $875,000</t>
        </is>
      </c>
      <c r="I25" s="8" t="inlineStr">
        <is>
          <t>Yes</t>
        </is>
      </c>
      <c r="J25" s="9" t="inlineStr">
        <is>
          <t>Named plans such as Cardinal, Bluebell and Waterlily sell in more than one community.</t>
        </is>
      </c>
      <c r="K25" s="8" t="inlineStr">
        <is>
          <t>Partly</t>
        </is>
      </c>
      <c r="L25" s="9" t="inlineStr">
        <is>
          <t>41st on a 2023 Houston builder list. No yearly figure published.</t>
        </is>
      </c>
      <c r="M25" s="8" t="inlineStr">
        <is>
          <t>Partly</t>
        </is>
      </c>
      <c r="N25" s="9" t="inlineStr">
        <is>
          <t>ENERGY STAR homes and a 2020 PRISM energy award. Nothing structural.</t>
        </is>
      </c>
      <c r="O25" s="10" t="inlineStr"/>
      <c r="P25" s="6">
        <f>HYPERLINK("https://www.linkedin.com/search/results/people/?keywords=Kevin%20Johnson%20Caldwell%20Homes","search")</f>
        <v/>
      </c>
      <c r="Q25" s="11">
        <f>IF(O25="","ADD LINKEDIN","ok")</f>
        <v/>
      </c>
      <c r="R25" s="6" t="inlineStr">
        <is>
          <t>https://www.caldwellhomes.com/</t>
        </is>
      </c>
      <c r="S25" s="9" t="inlineStr">
        <is>
          <t>Named plans repeat across its communities, and one vice president holds both construction and purchasing.</t>
        </is>
      </c>
      <c r="T25" s="6" t="inlineStr">
        <is>
          <t>YES</t>
        </is>
      </c>
      <c r="U25" s="9" t="inlineStr"/>
      <c r="V25" s="6" t="inlineStr">
        <is>
          <t>https://www.caldwellhomes.com/our-team</t>
        </is>
      </c>
      <c r="W25" s="6" t="inlineStr"/>
      <c r="X25" s="6" t="inlineStr"/>
      <c r="Y25" s="6" t="inlineStr"/>
      <c r="Z25" s="6" t="inlineStr"/>
      <c r="AA25" s="6" t="inlineStr"/>
      <c r="AB25" s="6" t="inlineStr">
        <is>
          <t>https://www.caldwellhomes.com/</t>
        </is>
      </c>
      <c r="AC25" s="6" t="inlineStr"/>
      <c r="AD25" s="6" t="inlineStr"/>
    </row>
    <row r="26">
      <c r="A26" s="12" t="inlineStr">
        <is>
          <t>Anthony Moreno</t>
        </is>
      </c>
      <c r="B26" s="12" t="inlineStr">
        <is>
          <t>Caldwell Homes</t>
        </is>
      </c>
      <c r="C26" s="12" t="inlineStr">
        <is>
          <t>Vice President of Sales</t>
        </is>
      </c>
      <c r="D26" s="13" t="inlineStr">
        <is>
          <t>Holds all three counts</t>
        </is>
      </c>
      <c r="E26" s="14" t="n">
        <v>3</v>
      </c>
      <c r="F26" s="12" t="inlineStr">
        <is>
          <t>Buys walls</t>
        </is>
      </c>
      <c r="G26" s="12" t="inlineStr">
        <is>
          <t>Cypress, Porter, Willis / Harris, Montgomery</t>
        </is>
      </c>
      <c r="H26" s="12" t="inlineStr">
        <is>
          <t>Three 55+ communities, $448,600 to $875,000</t>
        </is>
      </c>
      <c r="I26" s="14" t="inlineStr">
        <is>
          <t>Yes</t>
        </is>
      </c>
      <c r="J26" s="15" t="inlineStr">
        <is>
          <t>Named plans such as Cardinal, Bluebell and Waterlily sell in more than one community.</t>
        </is>
      </c>
      <c r="K26" s="14" t="inlineStr">
        <is>
          <t>Partly</t>
        </is>
      </c>
      <c r="L26" s="15" t="inlineStr">
        <is>
          <t>41st on a 2023 Houston builder list. No yearly figure published.</t>
        </is>
      </c>
      <c r="M26" s="14" t="inlineStr">
        <is>
          <t>Partly</t>
        </is>
      </c>
      <c r="N26" s="15" t="inlineStr">
        <is>
          <t>ENERGY STAR homes and a 2020 PRISM energy award. Nothing structural.</t>
        </is>
      </c>
      <c r="O26" s="10" t="inlineStr"/>
      <c r="P26" s="12">
        <f>HYPERLINK("https://www.linkedin.com/search/results/people/?keywords=Anthony%20Moreno%20Caldwell%20Homes","search")</f>
        <v/>
      </c>
      <c r="Q26" s="16">
        <f>IF(O26="","ADD LINKEDIN","ok")</f>
        <v/>
      </c>
      <c r="R26" s="12" t="inlineStr">
        <is>
          <t>https://www.caldwellhomes.com/</t>
        </is>
      </c>
      <c r="S26" s="15" t="inlineStr">
        <is>
          <t>Named plans repeat across its communities, and one vice president holds both construction and purchasing.</t>
        </is>
      </c>
      <c r="T26" s="12" t="inlineStr"/>
      <c r="U26" s="15" t="inlineStr"/>
      <c r="V26" s="12" t="inlineStr">
        <is>
          <t>https://www.caldwellhomes.com/our-team</t>
        </is>
      </c>
      <c r="W26" s="12" t="inlineStr"/>
      <c r="X26" s="12" t="inlineStr"/>
      <c r="Y26" s="12" t="inlineStr"/>
      <c r="Z26" s="12" t="inlineStr"/>
      <c r="AA26" s="12" t="inlineStr"/>
      <c r="AB26" s="12" t="inlineStr">
        <is>
          <t>https://www.caldwellhomes.com/</t>
        </is>
      </c>
      <c r="AC26" s="12" t="inlineStr"/>
      <c r="AD26" s="12" t="inlineStr"/>
    </row>
    <row r="27">
      <c r="A27" s="6" t="inlineStr">
        <is>
          <t>John Winniford</t>
        </is>
      </c>
      <c r="B27" s="6" t="inlineStr">
        <is>
          <t>First America Homes</t>
        </is>
      </c>
      <c r="C27" s="6" t="inlineStr">
        <is>
          <t>President, Homebuilding</t>
        </is>
      </c>
      <c r="D27" s="7" t="inlineStr">
        <is>
          <t>Holds all three counts</t>
        </is>
      </c>
      <c r="E27" s="8" t="n">
        <v>3</v>
      </c>
      <c r="F27" s="6" t="inlineStr">
        <is>
          <t>Buys walls</t>
        </is>
      </c>
      <c r="G27" s="6" t="inlineStr">
        <is>
          <t>The Woodlands HQ / Liberty, Fort Bend</t>
        </is>
      </c>
      <c r="H27" s="6" t="inlineStr">
        <is>
          <t>1,300+ homes planned across 14 new Texas communities</t>
        </is>
      </c>
      <c r="I27" s="8" t="inlineStr">
        <is>
          <t>Yes</t>
        </is>
      </c>
      <c r="J27" s="9" t="inlineStr">
        <is>
          <t>359 homes on one site at Valley Ranch.</t>
        </is>
      </c>
      <c r="K27" s="8" t="inlineStr">
        <is>
          <t>Partly</t>
        </is>
      </c>
      <c r="L27" s="9" t="inlineStr">
        <is>
          <t>750 homes sold in 2025 across two markets, per the parent.</t>
        </is>
      </c>
      <c r="M27" s="8" t="inlineStr">
        <is>
          <t>Partly</t>
        </is>
      </c>
      <c r="N27" s="9" t="inlineStr">
        <is>
          <t>Refined stick framing. No new method.</t>
        </is>
      </c>
      <c r="O27" s="10" t="inlineStr"/>
      <c r="P27" s="6">
        <f>HYPERLINK("https://www.linkedin.com/search/results/people/?keywords=John%20Winniford%20First%20America%20Homes","search")</f>
        <v/>
      </c>
      <c r="Q27" s="11">
        <f>IF(O27="","ADD LINKEDIN","ok")</f>
        <v/>
      </c>
      <c r="R27" s="6" t="inlineStr">
        <is>
          <t>https://www.firstamericahomes.com/</t>
        </is>
      </c>
      <c r="S27" s="9" t="inlineStr">
        <is>
          <t>It markets its own framed wall assembly, so a printed wall would replace a selling point it publishes.</t>
        </is>
      </c>
      <c r="T27" s="6" t="inlineStr"/>
      <c r="U27" s="9" t="inlineStr">
        <is>
          <t>Signorelli bio page. Ran Brightland, formerly Gehan, nearly a decade. 22,000-plus homes from 2016.</t>
        </is>
      </c>
      <c r="V27" s="6" t="inlineStr">
        <is>
          <t>https://www.signorellicompany.com/our-leadership/34/john-winniford</t>
        </is>
      </c>
      <c r="W27" s="6" t="inlineStr">
        <is>
          <t>https://www.linkedin.com/company/first-america-homes</t>
        </is>
      </c>
      <c r="X27" s="6" t="inlineStr">
        <is>
          <t>https://www.firstamericahomes.com/about/</t>
        </is>
      </c>
      <c r="Y27" s="6" t="inlineStr">
        <is>
          <t>2026-08-10 CEOWORLD magazine. Danny Signorelli Leads First America Homes Expansion Across Houston and Texas  https://ceoworld.biz/2026/08/10/danny-signorelli-leads-first-america-homes-expansion-across-houston-and-texas/</t>
        </is>
      </c>
      <c r="Z27" s="6" t="inlineStr">
        <is>
          <t>(713) 897-8986</t>
        </is>
      </c>
      <c r="AA27" s="6" t="inlineStr"/>
      <c r="AB27" s="6" t="inlineStr">
        <is>
          <t>https://www.firstamericahomes.com/</t>
        </is>
      </c>
      <c r="AC27" s="6" t="inlineStr"/>
      <c r="AD27" s="6" t="inlineStr"/>
    </row>
    <row r="28">
      <c r="A28" s="12" t="inlineStr">
        <is>
          <t>Danny Signorelli</t>
        </is>
      </c>
      <c r="B28" s="12" t="inlineStr">
        <is>
          <t>First America Homes</t>
        </is>
      </c>
      <c r="C28" s="12" t="inlineStr">
        <is>
          <t>Founder and Chief Executive Officer, The Signorelli Company</t>
        </is>
      </c>
      <c r="D28" s="13" t="inlineStr">
        <is>
          <t>Holds all three counts</t>
        </is>
      </c>
      <c r="E28" s="14" t="n">
        <v>3</v>
      </c>
      <c r="F28" s="12" t="inlineStr">
        <is>
          <t>Buys walls</t>
        </is>
      </c>
      <c r="G28" s="12" t="inlineStr">
        <is>
          <t>The Woodlands HQ / Liberty, Fort Bend</t>
        </is>
      </c>
      <c r="H28" s="12" t="inlineStr">
        <is>
          <t>1,300+ homes planned across 14 new Texas communities</t>
        </is>
      </c>
      <c r="I28" s="14" t="inlineStr">
        <is>
          <t>Yes</t>
        </is>
      </c>
      <c r="J28" s="15" t="inlineStr">
        <is>
          <t>359 homes on one site at Valley Ranch.</t>
        </is>
      </c>
      <c r="K28" s="14" t="inlineStr">
        <is>
          <t>Partly</t>
        </is>
      </c>
      <c r="L28" s="15" t="inlineStr">
        <is>
          <t>750 homes sold in 2025 across two markets, per the parent.</t>
        </is>
      </c>
      <c r="M28" s="14" t="inlineStr">
        <is>
          <t>Partly</t>
        </is>
      </c>
      <c r="N28" s="15" t="inlineStr">
        <is>
          <t>Refined stick framing. No new method.</t>
        </is>
      </c>
      <c r="O28" s="6" t="inlineStr">
        <is>
          <t>https://www.linkedin.com/in/danny-signorelli-6284461b/</t>
        </is>
      </c>
      <c r="P28" s="12" t="inlineStr"/>
      <c r="Q28" s="16">
        <f>IF(O28="","ADD LINKEDIN","ok")</f>
        <v/>
      </c>
      <c r="R28" s="12" t="inlineStr">
        <is>
          <t>https://www.firstamericahomes.com/</t>
        </is>
      </c>
      <c r="S28" s="15" t="inlineStr">
        <is>
          <t>It markets its own framed wall assembly, so a printed wall would replace a selling point it publishes.</t>
        </is>
      </c>
      <c r="T28" s="12" t="inlineStr"/>
      <c r="U28" s="15" t="inlineStr">
        <is>
          <t>CEO, President, The Signorelli Company. Greater Houston.</t>
        </is>
      </c>
      <c r="V28" s="12" t="inlineStr"/>
      <c r="W28" s="12" t="inlineStr">
        <is>
          <t>https://www.linkedin.com/company/first-america-homes</t>
        </is>
      </c>
      <c r="X28" s="12" t="inlineStr">
        <is>
          <t>https://www.firstamericahomes.com/about/</t>
        </is>
      </c>
      <c r="Y28" s="12" t="inlineStr">
        <is>
          <t>2026-08-10 CEOWORLD magazine. Danny Signorelli Leads First America Homes Expansion Across Houston and Texas  https://ceoworld.biz/2026/08/10/danny-signorelli-leads-first-america-homes-expansion-across-houston-and-texas/</t>
        </is>
      </c>
      <c r="Z28" s="12" t="inlineStr">
        <is>
          <t>(713) 897-8986</t>
        </is>
      </c>
      <c r="AA28" s="12" t="inlineStr"/>
      <c r="AB28" s="12" t="inlineStr">
        <is>
          <t>https://www.firstamericahomes.com/</t>
        </is>
      </c>
      <c r="AC28" s="12" t="inlineStr"/>
      <c r="AD28" s="12" t="inlineStr"/>
    </row>
    <row r="29">
      <c r="A29" s="6" t="inlineStr">
        <is>
          <t>David Assid</t>
        </is>
      </c>
      <c r="B29" s="6" t="inlineStr">
        <is>
          <t>First America Homes</t>
        </is>
      </c>
      <c r="C29" s="6" t="inlineStr">
        <is>
          <t>Houston Division President, Homebuilding</t>
        </is>
      </c>
      <c r="D29" s="7" t="inlineStr">
        <is>
          <t>Holds all three counts</t>
        </is>
      </c>
      <c r="E29" s="8" t="n">
        <v>3</v>
      </c>
      <c r="F29" s="6" t="inlineStr">
        <is>
          <t>Buys walls</t>
        </is>
      </c>
      <c r="G29" s="6" t="inlineStr">
        <is>
          <t>The Woodlands HQ / Liberty, Fort Bend</t>
        </is>
      </c>
      <c r="H29" s="6" t="inlineStr">
        <is>
          <t>1,300+ homes planned across 14 new Texas communities</t>
        </is>
      </c>
      <c r="I29" s="8" t="inlineStr">
        <is>
          <t>Yes</t>
        </is>
      </c>
      <c r="J29" s="9" t="inlineStr">
        <is>
          <t>359 homes on one site at Valley Ranch.</t>
        </is>
      </c>
      <c r="K29" s="8" t="inlineStr">
        <is>
          <t>Partly</t>
        </is>
      </c>
      <c r="L29" s="9" t="inlineStr">
        <is>
          <t>750 homes sold in 2025 across two markets, per the parent.</t>
        </is>
      </c>
      <c r="M29" s="8" t="inlineStr">
        <is>
          <t>Partly</t>
        </is>
      </c>
      <c r="N29" s="9" t="inlineStr">
        <is>
          <t>Refined stick framing. No new method.</t>
        </is>
      </c>
      <c r="O29" s="6" t="inlineStr">
        <is>
          <t>https://www.linkedin.com/in/davidassid/</t>
        </is>
      </c>
      <c r="P29" s="6" t="inlineStr"/>
      <c r="Q29" s="11">
        <f>IF(O29="","ADD LINKEDIN","ok")</f>
        <v/>
      </c>
      <c r="R29" s="6" t="inlineStr">
        <is>
          <t>https://www.firstamericahomes.com/</t>
        </is>
      </c>
      <c r="S29" s="9" t="inlineStr">
        <is>
          <t>It markets its own framed wall assembly, so a printed wall would replace a selling point it publishes.</t>
        </is>
      </c>
      <c r="T29" s="6" t="inlineStr">
        <is>
          <t>YES</t>
        </is>
      </c>
      <c r="U29" s="9" t="inlineStr">
        <is>
          <t>Division President, First America Homes. Houston, Texas.</t>
        </is>
      </c>
      <c r="V29" s="6" t="inlineStr">
        <is>
          <t>https://www.signorellicompany.com/our-leadership</t>
        </is>
      </c>
      <c r="W29" s="6" t="inlineStr">
        <is>
          <t>https://www.linkedin.com/company/first-america-homes</t>
        </is>
      </c>
      <c r="X29" s="6" t="inlineStr">
        <is>
          <t>https://www.firstamericahomes.com/about/</t>
        </is>
      </c>
      <c r="Y29" s="6" t="inlineStr">
        <is>
          <t>2026-08-10 CEOWORLD magazine. Danny Signorelli Leads First America Homes Expansion Across Houston and Texas  https://ceoworld.biz/2026/08/10/danny-signorelli-leads-first-america-homes-expansion-across-houston-and-texas/</t>
        </is>
      </c>
      <c r="Z29" s="6" t="inlineStr">
        <is>
          <t>(713) 897-8986</t>
        </is>
      </c>
      <c r="AA29" s="6" t="inlineStr"/>
      <c r="AB29" s="6" t="inlineStr">
        <is>
          <t>https://www.firstamericahomes.com/</t>
        </is>
      </c>
      <c r="AC29" s="6" t="inlineStr"/>
      <c r="AD29" s="6" t="inlineStr"/>
    </row>
    <row r="30">
      <c r="A30" s="12" t="inlineStr">
        <is>
          <t>Steve Ross</t>
        </is>
      </c>
      <c r="B30" s="12" t="inlineStr">
        <is>
          <t>Tiona Homes</t>
        </is>
      </c>
      <c r="C30" s="12" t="inlineStr">
        <is>
          <t>Founder and Chief Executive Officer</t>
        </is>
      </c>
      <c r="D30" s="13" t="inlineStr">
        <is>
          <t>Holds all three counts</t>
        </is>
      </c>
      <c r="E30" s="14" t="n">
        <v>3</v>
      </c>
      <c r="F30" s="12" t="inlineStr">
        <is>
          <t>Buys walls</t>
        </is>
      </c>
      <c r="G30" s="12" t="inlineStr">
        <is>
          <t>Greater Houston, Harris</t>
        </is>
      </c>
      <c r="H30" s="12" t="inlineStr">
        <is>
          <t>Builds only in insulated concrete form</t>
        </is>
      </c>
      <c r="I30" s="14" t="inlineStr">
        <is>
          <t>Partly</t>
        </is>
      </c>
      <c r="J30" s="15" t="inlineStr">
        <is>
          <t>One wall system across Greater Houston. Plans not published.</t>
        </is>
      </c>
      <c r="K30" s="14" t="inlineStr">
        <is>
          <t>Partly</t>
        </is>
      </c>
      <c r="L30" s="15" t="inlineStr">
        <is>
          <t>No volume figure published.</t>
        </is>
      </c>
      <c r="M30" s="14" t="inlineStr">
        <is>
          <t>Yes</t>
        </is>
      </c>
      <c r="N30" s="15" t="inlineStr">
        <is>
          <t>Builds every home in insulated concrete form. Its parent makes and licenses the block.</t>
        </is>
      </c>
      <c r="O30" s="10" t="inlineStr"/>
      <c r="P30" s="12">
        <f>HYPERLINK("https://www.linkedin.com/search/results/people/?keywords=Steve%20Ross%20Tiona%20Homes","search")</f>
        <v/>
      </c>
      <c r="Q30" s="16">
        <f>IF(O30="","ADD LINKEDIN","ok")</f>
        <v/>
      </c>
      <c r="R30" s="12" t="inlineStr">
        <is>
          <t>https://www.tionahomes.com/</t>
        </is>
      </c>
      <c r="S30" s="15" t="inlineStr">
        <is>
          <t>Its parent makes and licenses the foam block it builds with, so a printer would compete with a group product.</t>
        </is>
      </c>
      <c r="T30" s="12" t="inlineStr">
        <is>
          <t>YES</t>
        </is>
      </c>
      <c r="U30" s="15" t="inlineStr"/>
      <c r="V30" s="12" t="inlineStr"/>
      <c r="W30" s="12" t="inlineStr"/>
      <c r="X30" s="12" t="inlineStr"/>
      <c r="Y30" s="12" t="inlineStr"/>
      <c r="Z30" s="12" t="inlineStr">
        <is>
          <t>(346) 212-2153</t>
        </is>
      </c>
      <c r="AA30" s="12" t="inlineStr"/>
      <c r="AB30" s="12" t="inlineStr">
        <is>
          <t>https://www.tionahomes.com/</t>
        </is>
      </c>
      <c r="AC30" s="12" t="inlineStr"/>
      <c r="AD30" s="12" t="inlineStr"/>
    </row>
    <row r="31">
      <c r="A31" s="6" t="inlineStr">
        <is>
          <t>Jacob Ross</t>
        </is>
      </c>
      <c r="B31" s="6" t="inlineStr">
        <is>
          <t>Tiona Homes</t>
        </is>
      </c>
      <c r="C31" s="6" t="inlineStr">
        <is>
          <t>Product Manager</t>
        </is>
      </c>
      <c r="D31" s="7" t="inlineStr">
        <is>
          <t>Holds all three counts</t>
        </is>
      </c>
      <c r="E31" s="8" t="n">
        <v>3</v>
      </c>
      <c r="F31" s="6" t="inlineStr">
        <is>
          <t>Buys walls</t>
        </is>
      </c>
      <c r="G31" s="6" t="inlineStr">
        <is>
          <t>Greater Houston, Harris</t>
        </is>
      </c>
      <c r="H31" s="6" t="inlineStr">
        <is>
          <t>Builds only in insulated concrete form</t>
        </is>
      </c>
      <c r="I31" s="8" t="inlineStr">
        <is>
          <t>Partly</t>
        </is>
      </c>
      <c r="J31" s="9" t="inlineStr">
        <is>
          <t>One wall system across Greater Houston. Plans not published.</t>
        </is>
      </c>
      <c r="K31" s="8" t="inlineStr">
        <is>
          <t>Partly</t>
        </is>
      </c>
      <c r="L31" s="9" t="inlineStr">
        <is>
          <t>No volume figure published.</t>
        </is>
      </c>
      <c r="M31" s="8" t="inlineStr">
        <is>
          <t>Yes</t>
        </is>
      </c>
      <c r="N31" s="9" t="inlineStr">
        <is>
          <t>Builds every home in insulated concrete form. Its parent makes and licenses the block.</t>
        </is>
      </c>
      <c r="O31" s="10" t="inlineStr"/>
      <c r="P31" s="6">
        <f>HYPERLINK("https://www.linkedin.com/search/results/people/?keywords=Jacob%20Ross%20Tiona%20Homes","search")</f>
        <v/>
      </c>
      <c r="Q31" s="11">
        <f>IF(O31="","ADD LINKEDIN","ok")</f>
        <v/>
      </c>
      <c r="R31" s="6" t="inlineStr">
        <is>
          <t>https://www.tionahomes.com/</t>
        </is>
      </c>
      <c r="S31" s="9" t="inlineStr">
        <is>
          <t>Its parent makes and licenses the foam block it builds with, so a printer would compete with a group product.</t>
        </is>
      </c>
      <c r="T31" s="6" t="inlineStr"/>
      <c r="U31" s="9" t="inlineStr"/>
      <c r="V31" s="6" t="inlineStr"/>
      <c r="W31" s="6" t="inlineStr"/>
      <c r="X31" s="6" t="inlineStr"/>
      <c r="Y31" s="6" t="inlineStr"/>
      <c r="Z31" s="6" t="inlineStr">
        <is>
          <t>(346) 212-2153</t>
        </is>
      </c>
      <c r="AA31" s="6" t="inlineStr"/>
      <c r="AB31" s="6" t="inlineStr">
        <is>
          <t>https://www.tionahomes.com/</t>
        </is>
      </c>
      <c r="AC31" s="6" t="inlineStr"/>
      <c r="AD31" s="6" t="inlineStr"/>
    </row>
    <row r="32">
      <c r="A32" s="12" t="inlineStr">
        <is>
          <t>Victor Ramos</t>
        </is>
      </c>
      <c r="B32" s="12" t="inlineStr">
        <is>
          <t>Tiona Homes</t>
        </is>
      </c>
      <c r="C32" s="12" t="inlineStr">
        <is>
          <t>Construction Leader</t>
        </is>
      </c>
      <c r="D32" s="13" t="inlineStr">
        <is>
          <t>Holds all three counts</t>
        </is>
      </c>
      <c r="E32" s="14" t="n">
        <v>3</v>
      </c>
      <c r="F32" s="12" t="inlineStr">
        <is>
          <t>Buys walls</t>
        </is>
      </c>
      <c r="G32" s="12" t="inlineStr">
        <is>
          <t>Greater Houston, Harris</t>
        </is>
      </c>
      <c r="H32" s="12" t="inlineStr">
        <is>
          <t>Builds only in insulated concrete form</t>
        </is>
      </c>
      <c r="I32" s="14" t="inlineStr">
        <is>
          <t>Partly</t>
        </is>
      </c>
      <c r="J32" s="15" t="inlineStr">
        <is>
          <t>One wall system across Greater Houston. Plans not published.</t>
        </is>
      </c>
      <c r="K32" s="14" t="inlineStr">
        <is>
          <t>Partly</t>
        </is>
      </c>
      <c r="L32" s="15" t="inlineStr">
        <is>
          <t>No volume figure published.</t>
        </is>
      </c>
      <c r="M32" s="14" t="inlineStr">
        <is>
          <t>Yes</t>
        </is>
      </c>
      <c r="N32" s="15" t="inlineStr">
        <is>
          <t>Builds every home in insulated concrete form. Its parent makes and licenses the block.</t>
        </is>
      </c>
      <c r="O32" s="10" t="inlineStr"/>
      <c r="P32" s="12">
        <f>HYPERLINK("https://www.linkedin.com/search/results/people/?keywords=Victor%20Ramos%20Tiona%20Homes","search")</f>
        <v/>
      </c>
      <c r="Q32" s="16">
        <f>IF(O32="","ADD LINKEDIN","ok")</f>
        <v/>
      </c>
      <c r="R32" s="12" t="inlineStr">
        <is>
          <t>https://www.tionahomes.com/</t>
        </is>
      </c>
      <c r="S32" s="15" t="inlineStr">
        <is>
          <t>Its parent makes and licenses the foam block it builds with, so a printer would compete with a group product.</t>
        </is>
      </c>
      <c r="T32" s="12" t="inlineStr"/>
      <c r="U32" s="15" t="inlineStr"/>
      <c r="V32" s="12" t="inlineStr"/>
      <c r="W32" s="12" t="inlineStr"/>
      <c r="X32" s="12" t="inlineStr"/>
      <c r="Y32" s="12" t="inlineStr"/>
      <c r="Z32" s="12" t="inlineStr">
        <is>
          <t>(346) 212-2153</t>
        </is>
      </c>
      <c r="AA32" s="12" t="inlineStr"/>
      <c r="AB32" s="12" t="inlineStr">
        <is>
          <t>https://www.tionahomes.com/</t>
        </is>
      </c>
      <c r="AC32" s="12" t="inlineStr"/>
      <c r="AD32" s="12" t="inlineStr"/>
    </row>
    <row r="33">
      <c r="A33" s="6" t="inlineStr">
        <is>
          <t>Rame Hruska</t>
        </is>
      </c>
      <c r="B33" s="6" t="inlineStr">
        <is>
          <t>Aura Dwellings and Hospitality</t>
        </is>
      </c>
      <c r="C33" s="6" t="inlineStr">
        <is>
          <t>Co-founder and Chief Executive Officer</t>
        </is>
      </c>
      <c r="D33" s="7" t="inlineStr">
        <is>
          <t>Holds all three counts</t>
        </is>
      </c>
      <c r="E33" s="8" t="n">
        <v>3</v>
      </c>
      <c r="F33" s="6" t="inlineStr">
        <is>
          <t>Buys walls</t>
        </is>
      </c>
      <c r="G33" s="6" t="inlineStr">
        <is>
          <t>Houston, Harris</t>
        </is>
      </c>
      <c r="H33" s="6" t="inlineStr">
        <is>
          <t>Factory-built ADUs from $99,000 turnkey in Houston</t>
        </is>
      </c>
      <c r="I33" s="8" t="inlineStr">
        <is>
          <t>Partly</t>
        </is>
      </c>
      <c r="J33" s="9" t="inlineStr">
        <is>
          <t>A published product line, not one-off design. No built volume published.</t>
        </is>
      </c>
      <c r="K33" s="8" t="inlineStr">
        <is>
          <t>Partly</t>
        </is>
      </c>
      <c r="L33" s="9" t="inlineStr">
        <is>
          <t>No annual volume published.</t>
        </is>
      </c>
      <c r="M33" s="8" t="inlineStr">
        <is>
          <t>Yes</t>
        </is>
      </c>
      <c r="N33" s="9" t="inlineStr">
        <is>
          <t>Whole model is factory-built construction.</t>
        </is>
      </c>
      <c r="O33" s="10" t="inlineStr"/>
      <c r="P33" s="6" t="inlineStr"/>
      <c r="Q33" s="11">
        <f>IF(O33="","ADD LINKEDIN","ok")</f>
        <v/>
      </c>
      <c r="R33" s="6" t="inlineStr">
        <is>
          <t>https://www.auradwellings.com/</t>
        </is>
      </c>
      <c r="S33" s="9" t="inlineStr">
        <is>
          <t>It moved its wall production into a factory, but its own site names no individual to call.</t>
        </is>
      </c>
      <c r="T33" s="6" t="inlineStr">
        <is>
          <t>YES</t>
        </is>
      </c>
      <c r="U33" s="9" t="inlineStr">
        <is>
          <t>AGC Houston's Cornerstone, winter 2025 to 2026. Quoted as co-founder and chief executive.</t>
        </is>
      </c>
      <c r="V33" s="6" t="inlineStr">
        <is>
          <t>https://www.marekbros.com/the-future-is-factory-built/</t>
        </is>
      </c>
      <c r="W33" s="6" t="inlineStr"/>
      <c r="X33" s="6" t="inlineStr"/>
      <c r="Y33" s="6" t="inlineStr"/>
      <c r="Z33" s="6" t="inlineStr">
        <is>
          <t>(832) 224-3603</t>
        </is>
      </c>
      <c r="AA33" s="6" t="inlineStr"/>
      <c r="AB33" s="6" t="inlineStr">
        <is>
          <t>https://www.auradwellings.com/</t>
        </is>
      </c>
      <c r="AC33" s="6" t="inlineStr"/>
      <c r="AD33" s="6" t="inlineStr"/>
    </row>
    <row r="34">
      <c r="A34" s="12" t="inlineStr">
        <is>
          <t>Christian Sommer</t>
        </is>
      </c>
      <c r="B34" s="12" t="inlineStr">
        <is>
          <t>Tricoast Homes</t>
        </is>
      </c>
      <c r="C34" s="12" t="inlineStr">
        <is>
          <t>President and Chief Executive Officer</t>
        </is>
      </c>
      <c r="D34" s="13" t="inlineStr">
        <is>
          <t>Holds all three counts</t>
        </is>
      </c>
      <c r="E34" s="14" t="n">
        <v>3</v>
      </c>
      <c r="F34" s="12" t="inlineStr">
        <is>
          <t>Buys walls</t>
        </is>
      </c>
      <c r="G34" s="12" t="inlineStr">
        <is>
          <t>Houston, multi-county</t>
        </is>
      </c>
      <c r="H34" s="12" t="inlineStr">
        <is>
          <t>Nine floor plans across nine communities</t>
        </is>
      </c>
      <c r="I34" s="14" t="inlineStr">
        <is>
          <t>Yes</t>
        </is>
      </c>
      <c r="J34" s="15" t="inlineStr">
        <is>
          <t>Nine floor plans across nine communities. Plan repetition is the operating model.</t>
        </is>
      </c>
      <c r="K34" s="14" t="inlineStr">
        <is>
          <t>Partly</t>
        </is>
      </c>
      <c r="L34" s="15" t="inlineStr">
        <is>
          <t>No closings figure published.</t>
        </is>
      </c>
      <c r="M34" s="14" t="inlineStr">
        <is>
          <t>Partly</t>
        </is>
      </c>
      <c r="N34" s="15" t="inlineStr">
        <is>
          <t>Internal and third-party energy checks on every home. No method change.</t>
        </is>
      </c>
      <c r="O34" s="10" t="inlineStr"/>
      <c r="P34" s="12">
        <f>HYPERLINK("https://www.linkedin.com/search/results/people/?keywords=Christian%20Sommer%20Tricoast%20Homes","search")</f>
        <v/>
      </c>
      <c r="Q34" s="16">
        <f>IF(O34="","ADD LINKEDIN","ok")</f>
        <v/>
      </c>
      <c r="R34" s="12" t="inlineStr">
        <is>
          <t>https://www.tricoasthomes.com/</t>
        </is>
      </c>
      <c r="S34" s="15" t="inlineStr">
        <is>
          <t>Plan repetition is its operating model, but no closings figure is published.</t>
        </is>
      </c>
      <c r="T34" s="12" t="inlineStr"/>
      <c r="U34" s="15" t="inlineStr"/>
      <c r="V34" s="12" t="inlineStr"/>
      <c r="W34" s="12" t="inlineStr"/>
      <c r="X34" s="12" t="inlineStr"/>
      <c r="Y34" s="12" t="inlineStr"/>
      <c r="Z34" s="12" t="inlineStr">
        <is>
          <t>(713) 489-7738</t>
        </is>
      </c>
      <c r="AA34" s="12" t="inlineStr">
        <is>
          <t>the Westway Park office</t>
        </is>
      </c>
      <c r="AB34" s="12" t="inlineStr">
        <is>
          <t>https://www.tricoasthomes.com/</t>
        </is>
      </c>
      <c r="AC34" s="12" t="inlineStr"/>
      <c r="AD34" s="12" t="inlineStr"/>
    </row>
    <row r="35">
      <c r="A35" s="6" t="inlineStr">
        <is>
          <t>Keith Blum</t>
        </is>
      </c>
      <c r="B35" s="6" t="inlineStr">
        <is>
          <t>Tricoast Homes</t>
        </is>
      </c>
      <c r="C35" s="6" t="inlineStr">
        <is>
          <t>Executive Vice President and Chief Operating Officer</t>
        </is>
      </c>
      <c r="D35" s="7" t="inlineStr">
        <is>
          <t>Holds all three counts</t>
        </is>
      </c>
      <c r="E35" s="8" t="n">
        <v>3</v>
      </c>
      <c r="F35" s="6" t="inlineStr">
        <is>
          <t>Buys walls</t>
        </is>
      </c>
      <c r="G35" s="6" t="inlineStr">
        <is>
          <t>Houston, multi-county</t>
        </is>
      </c>
      <c r="H35" s="6" t="inlineStr">
        <is>
          <t>Nine floor plans across nine communities</t>
        </is>
      </c>
      <c r="I35" s="8" t="inlineStr">
        <is>
          <t>Yes</t>
        </is>
      </c>
      <c r="J35" s="9" t="inlineStr">
        <is>
          <t>Nine floor plans across nine communities. Plan repetition is the operating model.</t>
        </is>
      </c>
      <c r="K35" s="8" t="inlineStr">
        <is>
          <t>Partly</t>
        </is>
      </c>
      <c r="L35" s="9" t="inlineStr">
        <is>
          <t>No closings figure published.</t>
        </is>
      </c>
      <c r="M35" s="8" t="inlineStr">
        <is>
          <t>Partly</t>
        </is>
      </c>
      <c r="N35" s="9" t="inlineStr">
        <is>
          <t>Internal and third-party energy checks on every home. No method change.</t>
        </is>
      </c>
      <c r="O35" s="10" t="inlineStr"/>
      <c r="P35" s="6">
        <f>HYPERLINK("https://www.linkedin.com/search/results/people/?keywords=Keith%20Blum%20Tricoast%20Homes","search")</f>
        <v/>
      </c>
      <c r="Q35" s="11">
        <f>IF(O35="","ADD LINKEDIN","ok")</f>
        <v/>
      </c>
      <c r="R35" s="6" t="inlineStr">
        <is>
          <t>https://www.tricoasthomes.com/</t>
        </is>
      </c>
      <c r="S35" s="9" t="inlineStr">
        <is>
          <t>Plan repetition is its operating model, but no closings figure is published.</t>
        </is>
      </c>
      <c r="T35" s="6" t="inlineStr"/>
      <c r="U35" s="9" t="inlineStr"/>
      <c r="V35" s="6" t="inlineStr"/>
      <c r="W35" s="6" t="inlineStr"/>
      <c r="X35" s="6" t="inlineStr"/>
      <c r="Y35" s="6" t="inlineStr"/>
      <c r="Z35" s="6" t="inlineStr">
        <is>
          <t>(713) 489-7738</t>
        </is>
      </c>
      <c r="AA35" s="6" t="inlineStr">
        <is>
          <t>the Westway Park office</t>
        </is>
      </c>
      <c r="AB35" s="6" t="inlineStr">
        <is>
          <t>https://www.tricoasthomes.com/</t>
        </is>
      </c>
      <c r="AC35" s="6" t="inlineStr"/>
      <c r="AD35" s="6" t="inlineStr"/>
    </row>
    <row r="36">
      <c r="A36" s="12" t="inlineStr">
        <is>
          <t>Christina Wright</t>
        </is>
      </c>
      <c r="B36" s="12" t="inlineStr">
        <is>
          <t>Tricoast Homes</t>
        </is>
      </c>
      <c r="C36" s="12" t="inlineStr">
        <is>
          <t>Director of Purchasing</t>
        </is>
      </c>
      <c r="D36" s="13" t="inlineStr">
        <is>
          <t>Holds all three counts</t>
        </is>
      </c>
      <c r="E36" s="14" t="n">
        <v>3</v>
      </c>
      <c r="F36" s="12" t="inlineStr">
        <is>
          <t>Buys walls</t>
        </is>
      </c>
      <c r="G36" s="12" t="inlineStr">
        <is>
          <t>Houston, multi-county</t>
        </is>
      </c>
      <c r="H36" s="12" t="inlineStr">
        <is>
          <t>Nine floor plans across nine communities</t>
        </is>
      </c>
      <c r="I36" s="14" t="inlineStr">
        <is>
          <t>Yes</t>
        </is>
      </c>
      <c r="J36" s="15" t="inlineStr">
        <is>
          <t>Nine floor plans across nine communities. Plan repetition is the operating model.</t>
        </is>
      </c>
      <c r="K36" s="14" t="inlineStr">
        <is>
          <t>Partly</t>
        </is>
      </c>
      <c r="L36" s="15" t="inlineStr">
        <is>
          <t>No closings figure published.</t>
        </is>
      </c>
      <c r="M36" s="14" t="inlineStr">
        <is>
          <t>Partly</t>
        </is>
      </c>
      <c r="N36" s="15" t="inlineStr">
        <is>
          <t>Internal and third-party energy checks on every home. No method change.</t>
        </is>
      </c>
      <c r="O36" s="6" t="inlineStr">
        <is>
          <t>https://www.linkedin.com/in/christina-wright-4786b223/</t>
        </is>
      </c>
      <c r="P36" s="12" t="inlineStr"/>
      <c r="Q36" s="16">
        <f>IF(O36="","ADD LINKEDIN","ok")</f>
        <v/>
      </c>
      <c r="R36" s="12" t="inlineStr">
        <is>
          <t>https://www.tricoasthomes.com/</t>
        </is>
      </c>
      <c r="S36" s="15" t="inlineStr">
        <is>
          <t>Plan repetition is its operating model, but no closings figure is published.</t>
        </is>
      </c>
      <c r="T36" s="12" t="inlineStr">
        <is>
          <t>YES</t>
        </is>
      </c>
      <c r="U36" s="15" t="inlineStr">
        <is>
          <t>Indexed title matches the role.</t>
        </is>
      </c>
      <c r="V36" s="12" t="inlineStr"/>
      <c r="W36" s="12" t="inlineStr"/>
      <c r="X36" s="12" t="inlineStr"/>
      <c r="Y36" s="12" t="inlineStr"/>
      <c r="Z36" s="12" t="inlineStr">
        <is>
          <t>(713) 489-7738</t>
        </is>
      </c>
      <c r="AA36" s="12" t="inlineStr">
        <is>
          <t>the Westway Park office</t>
        </is>
      </c>
      <c r="AB36" s="12" t="inlineStr">
        <is>
          <t>https://www.tricoasthomes.com/</t>
        </is>
      </c>
      <c r="AC36" s="12" t="inlineStr"/>
      <c r="AD36" s="12" t="inlineStr"/>
    </row>
    <row r="37">
      <c r="A37" s="6" t="inlineStr">
        <is>
          <t>Michael Hundl</t>
        </is>
      </c>
      <c r="B37" s="6" t="inlineStr">
        <is>
          <t>Chesmar Homes</t>
        </is>
      </c>
      <c r="C37" s="6" t="inlineStr">
        <is>
          <t>Vice President of Construction, Houston North, Chesmar Homes</t>
        </is>
      </c>
      <c r="D37" s="7" t="inlineStr">
        <is>
          <t>Holds all three counts</t>
        </is>
      </c>
      <c r="E37" s="8" t="n">
        <v>3</v>
      </c>
      <c r="F37" s="6" t="inlineStr">
        <is>
          <t>Buys walls</t>
        </is>
      </c>
      <c r="G37" s="6" t="inlineStr">
        <is>
          <t>Spring, Harris-Montgomery</t>
        </is>
      </c>
      <c r="H37" s="6" t="inlineStr">
        <is>
          <t>1,087 Houston closings in 2025 across Sekisui House U.S., seventh in the metro</t>
        </is>
      </c>
      <c r="I37" s="8" t="inlineStr">
        <is>
          <t>Partly</t>
        </is>
      </c>
      <c r="J37" s="9" t="inlineStr">
        <is>
          <t>Builder at Sienna, selling across five Texas regions.</t>
        </is>
      </c>
      <c r="K37" s="8" t="inlineStr">
        <is>
          <t>Partly</t>
        </is>
      </c>
      <c r="L37" s="9" t="inlineStr">
        <is>
          <t>Parent closed 1,087 Houston homes in 2025. Brands are merging, so purchasing may move.</t>
        </is>
      </c>
      <c r="M37" s="8" t="inlineStr">
        <is>
          <t>Partly</t>
        </is>
      </c>
      <c r="N37" s="9" t="inlineStr">
        <is>
          <t>Folded into Sekisui House U.S. in January 2026.</t>
        </is>
      </c>
      <c r="O37" s="6" t="inlineStr">
        <is>
          <t>https://www.linkedin.com/in/michael-hundl-2a279025/</t>
        </is>
      </c>
      <c r="P37" s="6" t="inlineStr"/>
      <c r="Q37" s="11">
        <f>IF(O37="","ADD LINKEDIN","ok")</f>
        <v/>
      </c>
      <c r="R37" s="6" t="inlineStr">
        <is>
          <t>https://www.chesmar.com/</t>
        </is>
      </c>
      <c r="S37" s="9" t="inlineStr">
        <is>
          <t>Its parent is merging its US brands into one company, so purchasing may move.</t>
        </is>
      </c>
      <c r="T37" s="6" t="inlineStr">
        <is>
          <t>YES</t>
        </is>
      </c>
      <c r="U37" s="9" t="inlineStr">
        <is>
          <t>VP of Construction Houston North, Chesmar Homes. Spring, Texas.</t>
        </is>
      </c>
      <c r="V37" s="6" t="inlineStr"/>
      <c r="W37" s="6" t="inlineStr">
        <is>
          <t>https://www.linkedin.com/company/chesmar-homes</t>
        </is>
      </c>
      <c r="X37" s="6" t="inlineStr"/>
      <c r="Y37" s="6" t="inlineStr">
        <is>
          <t>Builder Magazine. Chesmar Homes, with the note that Sekisui House U.S. is the 2026 Builder of the Year  https://www.builderonline.com/organization/chesmar-homes/</t>
        </is>
      </c>
      <c r="Z37" s="6" t="inlineStr"/>
      <c r="AA37" s="6" t="inlineStr"/>
      <c r="AB37" s="6" t="inlineStr"/>
      <c r="AC37" s="6" t="inlineStr"/>
      <c r="AD37" s="6" t="inlineStr"/>
    </row>
    <row r="38">
      <c r="A38" s="12" t="inlineStr">
        <is>
          <t>Dan Renaud</t>
        </is>
      </c>
      <c r="B38" s="12" t="inlineStr">
        <is>
          <t>Chesmar Homes</t>
        </is>
      </c>
      <c r="C38" s="12" t="inlineStr">
        <is>
          <t>Vice President of Construction Operations, Chesmar Homes</t>
        </is>
      </c>
      <c r="D38" s="13" t="inlineStr">
        <is>
          <t>Holds all three counts</t>
        </is>
      </c>
      <c r="E38" s="14" t="n">
        <v>3</v>
      </c>
      <c r="F38" s="12" t="inlineStr">
        <is>
          <t>Buys walls</t>
        </is>
      </c>
      <c r="G38" s="12" t="inlineStr">
        <is>
          <t>Spring, Harris-Montgomery</t>
        </is>
      </c>
      <c r="H38" s="12" t="inlineStr">
        <is>
          <t>1,087 Houston closings in 2025 across Sekisui House U.S., seventh in the metro</t>
        </is>
      </c>
      <c r="I38" s="14" t="inlineStr">
        <is>
          <t>Partly</t>
        </is>
      </c>
      <c r="J38" s="15" t="inlineStr">
        <is>
          <t>Builder at Sienna, selling across five Texas regions.</t>
        </is>
      </c>
      <c r="K38" s="14" t="inlineStr">
        <is>
          <t>Partly</t>
        </is>
      </c>
      <c r="L38" s="15" t="inlineStr">
        <is>
          <t>Parent closed 1,087 Houston homes in 2025. Brands are merging, so purchasing may move.</t>
        </is>
      </c>
      <c r="M38" s="14" t="inlineStr">
        <is>
          <t>Partly</t>
        </is>
      </c>
      <c r="N38" s="15" t="inlineStr">
        <is>
          <t>Folded into Sekisui House U.S. in January 2026.</t>
        </is>
      </c>
      <c r="O38" s="6" t="inlineStr">
        <is>
          <t>https://www.linkedin.com/in/dan-renaud-8b244719/</t>
        </is>
      </c>
      <c r="P38" s="12" t="inlineStr"/>
      <c r="Q38" s="16">
        <f>IF(O38="","ADD LINKEDIN","ok")</f>
        <v/>
      </c>
      <c r="R38" s="12" t="inlineStr">
        <is>
          <t>https://www.chesmar.com/</t>
        </is>
      </c>
      <c r="S38" s="15" t="inlineStr">
        <is>
          <t>Its parent is merging its US brands into one company, so purchasing may move.</t>
        </is>
      </c>
      <c r="T38" s="12" t="inlineStr">
        <is>
          <t>YES</t>
        </is>
      </c>
      <c r="U38" s="15" t="inlineStr"/>
      <c r="V38" s="12" t="inlineStr"/>
      <c r="W38" s="12" t="inlineStr">
        <is>
          <t>https://www.linkedin.com/company/chesmar-homes</t>
        </is>
      </c>
      <c r="X38" s="12" t="inlineStr"/>
      <c r="Y38" s="12" t="inlineStr">
        <is>
          <t>Builder Magazine. Chesmar Homes, with the note that Sekisui House U.S. is the 2026 Builder of the Year  https://www.builderonline.com/organization/chesmar-homes/</t>
        </is>
      </c>
      <c r="Z38" s="12" t="inlineStr"/>
      <c r="AA38" s="12" t="inlineStr"/>
      <c r="AB38" s="12" t="inlineStr"/>
      <c r="AC38" s="12" t="inlineStr"/>
      <c r="AD38" s="12" t="inlineStr"/>
    </row>
    <row r="39">
      <c r="A39" s="6" t="inlineStr">
        <is>
          <t>David Ebarb</t>
        </is>
      </c>
      <c r="B39" s="6" t="inlineStr">
        <is>
          <t>Chesmar Homes</t>
        </is>
      </c>
      <c r="C39" s="6" t="inlineStr">
        <is>
          <t>Vice President of Purchasing, Chesmar Homes</t>
        </is>
      </c>
      <c r="D39" s="7" t="inlineStr">
        <is>
          <t>Holds all three counts</t>
        </is>
      </c>
      <c r="E39" s="8" t="n">
        <v>3</v>
      </c>
      <c r="F39" s="6" t="inlineStr">
        <is>
          <t>Buys walls</t>
        </is>
      </c>
      <c r="G39" s="6" t="inlineStr">
        <is>
          <t>Spring, Harris-Montgomery</t>
        </is>
      </c>
      <c r="H39" s="6" t="inlineStr">
        <is>
          <t>1,087 Houston closings in 2025 across Sekisui House U.S., seventh in the metro</t>
        </is>
      </c>
      <c r="I39" s="8" t="inlineStr">
        <is>
          <t>Partly</t>
        </is>
      </c>
      <c r="J39" s="9" t="inlineStr">
        <is>
          <t>Builder at Sienna, selling across five Texas regions.</t>
        </is>
      </c>
      <c r="K39" s="8" t="inlineStr">
        <is>
          <t>Partly</t>
        </is>
      </c>
      <c r="L39" s="9" t="inlineStr">
        <is>
          <t>Parent closed 1,087 Houston homes in 2025. Brands are merging, so purchasing may move.</t>
        </is>
      </c>
      <c r="M39" s="8" t="inlineStr">
        <is>
          <t>Partly</t>
        </is>
      </c>
      <c r="N39" s="9" t="inlineStr">
        <is>
          <t>Folded into Sekisui House U.S. in January 2026.</t>
        </is>
      </c>
      <c r="O39" s="6" t="inlineStr">
        <is>
          <t>https://www.linkedin.com/in/david-ebarb-73388541/</t>
        </is>
      </c>
      <c r="P39" s="6" t="inlineStr"/>
      <c r="Q39" s="11">
        <f>IF(O39="","ADD LINKEDIN","ok")</f>
        <v/>
      </c>
      <c r="R39" s="6" t="inlineStr">
        <is>
          <t>https://www.chesmar.com/</t>
        </is>
      </c>
      <c r="S39" s="9" t="inlineStr">
        <is>
          <t>Its parent is merging its US brands into one company, so purchasing may move.</t>
        </is>
      </c>
      <c r="T39" s="6" t="inlineStr">
        <is>
          <t>YES</t>
        </is>
      </c>
      <c r="U39" s="9" t="inlineStr">
        <is>
          <t>Vice President of Purchasing at Chesmar Home. Houston, Texas.</t>
        </is>
      </c>
      <c r="V39" s="6" t="inlineStr"/>
      <c r="W39" s="6" t="inlineStr">
        <is>
          <t>https://www.linkedin.com/company/chesmar-homes</t>
        </is>
      </c>
      <c r="X39" s="6" t="inlineStr"/>
      <c r="Y39" s="6" t="inlineStr">
        <is>
          <t>Builder Magazine. Chesmar Homes, with the note that Sekisui House U.S. is the 2026 Builder of the Year  https://www.builderonline.com/organization/chesmar-homes/</t>
        </is>
      </c>
      <c r="Z39" s="6" t="inlineStr"/>
      <c r="AA39" s="6" t="inlineStr"/>
      <c r="AB39" s="6" t="inlineStr"/>
      <c r="AC39" s="6" t="inlineStr"/>
      <c r="AD39" s="6" t="inlineStr"/>
    </row>
    <row r="40">
      <c r="A40" s="12" t="inlineStr">
        <is>
          <t>Tim Drone</t>
        </is>
      </c>
      <c r="B40" s="12" t="inlineStr">
        <is>
          <t>J. Patrick Homes</t>
        </is>
      </c>
      <c r="C40" s="12" t="inlineStr">
        <is>
          <t>President</t>
        </is>
      </c>
      <c r="D40" s="13" t="inlineStr">
        <is>
          <t>Holds all three counts</t>
        </is>
      </c>
      <c r="E40" s="14" t="n">
        <v>3</v>
      </c>
      <c r="F40" s="12" t="inlineStr">
        <is>
          <t>Buys walls</t>
        </is>
      </c>
      <c r="G40" s="12" t="inlineStr">
        <is>
          <t>Houston, 12 submarkets</t>
        </is>
      </c>
      <c r="H40" s="12" t="inlineStr">
        <is>
          <t>Houston PRISM Volume Builder of the Year, ten communities</t>
        </is>
      </c>
      <c r="I40" s="14" t="inlineStr">
        <is>
          <t>Partly</t>
        </is>
      </c>
      <c r="J40" s="15" t="inlineStr">
        <is>
          <t>Ten communities spread the plan set across many sites.</t>
        </is>
      </c>
      <c r="K40" s="14" t="inlineStr">
        <is>
          <t>Partly</t>
        </is>
      </c>
      <c r="L40" s="15" t="inlineStr">
        <is>
          <t>No closings figure published.</t>
        </is>
      </c>
      <c r="M40" s="14" t="inlineStr">
        <is>
          <t>Partly</t>
        </is>
      </c>
      <c r="N40" s="15" t="inlineStr">
        <is>
          <t>Energy Star and Environments for Living certified. Whole-home dehumidifiers standard. Nothing structural.</t>
        </is>
      </c>
      <c r="O40" s="10" t="inlineStr"/>
      <c r="P40" s="12">
        <f>HYPERLINK("https://www.linkedin.com/search/results/people/?keywords=Tim%20Drone%20J.%20Patrick%20Homes","search")</f>
        <v/>
      </c>
      <c r="Q40" s="16">
        <f>IF(O40="","ADD LINKEDIN","ok")</f>
        <v/>
      </c>
      <c r="R40" s="12" t="inlineStr">
        <is>
          <t>https://www.jpatrickhomes.com/</t>
        </is>
      </c>
      <c r="S40" s="15" t="inlineStr">
        <is>
          <t>It publishes no closings figure, but it names its purchasing manager.</t>
        </is>
      </c>
      <c r="T40" s="12" t="inlineStr"/>
      <c r="U40" s="15" t="inlineStr">
        <is>
          <t>Quoted as President, February 2026, on small-lot product.</t>
        </is>
      </c>
      <c r="V40" s="12" t="inlineStr">
        <is>
          <t>https://houstonagentmagazine.com/2026/02/10/j-patrick-homes-small-lots-grange/</t>
        </is>
      </c>
      <c r="W40" s="12" t="inlineStr"/>
      <c r="X40" s="12" t="inlineStr"/>
      <c r="Y40" s="12" t="inlineStr"/>
      <c r="Z40" s="12" t="inlineStr">
        <is>
          <t>(713) 789-8004</t>
        </is>
      </c>
      <c r="AA40" s="12" t="inlineStr"/>
      <c r="AB40" s="12" t="inlineStr">
        <is>
          <t>https://www.jpatrickhomes.com/</t>
        </is>
      </c>
      <c r="AC40" s="12" t="inlineStr"/>
      <c r="AD40" s="12" t="inlineStr"/>
    </row>
    <row r="41">
      <c r="A41" s="6" t="inlineStr">
        <is>
          <t>Bo Banowsky</t>
        </is>
      </c>
      <c r="B41" s="6" t="inlineStr">
        <is>
          <t>J. Patrick Homes</t>
        </is>
      </c>
      <c r="C41" s="6" t="inlineStr">
        <is>
          <t>Purchasing Manager</t>
        </is>
      </c>
      <c r="D41" s="7" t="inlineStr">
        <is>
          <t>Holds all three counts</t>
        </is>
      </c>
      <c r="E41" s="8" t="n">
        <v>3</v>
      </c>
      <c r="F41" s="6" t="inlineStr">
        <is>
          <t>Buys walls</t>
        </is>
      </c>
      <c r="G41" s="6" t="inlineStr">
        <is>
          <t>Houston, 12 submarkets</t>
        </is>
      </c>
      <c r="H41" s="6" t="inlineStr">
        <is>
          <t>Houston PRISM Volume Builder of the Year, ten communities</t>
        </is>
      </c>
      <c r="I41" s="8" t="inlineStr">
        <is>
          <t>Partly</t>
        </is>
      </c>
      <c r="J41" s="9" t="inlineStr">
        <is>
          <t>Ten communities spread the plan set across many sites.</t>
        </is>
      </c>
      <c r="K41" s="8" t="inlineStr">
        <is>
          <t>Partly</t>
        </is>
      </c>
      <c r="L41" s="9" t="inlineStr">
        <is>
          <t>No closings figure published.</t>
        </is>
      </c>
      <c r="M41" s="8" t="inlineStr">
        <is>
          <t>Partly</t>
        </is>
      </c>
      <c r="N41" s="9" t="inlineStr">
        <is>
          <t>Energy Star and Environments for Living certified. Whole-home dehumidifiers standard. Nothing structural.</t>
        </is>
      </c>
      <c r="O41" s="6" t="inlineStr">
        <is>
          <t>https://www.linkedin.com/in/bo-banowsky-3b11278/</t>
        </is>
      </c>
      <c r="P41" s="6" t="inlineStr"/>
      <c r="Q41" s="11">
        <f>IF(O41="","ADD LINKEDIN","ok")</f>
        <v/>
      </c>
      <c r="R41" s="6" t="inlineStr">
        <is>
          <t>https://www.jpatrickhomes.com/</t>
        </is>
      </c>
      <c r="S41" s="9" t="inlineStr">
        <is>
          <t>It publishes no closings figure, but it names its purchasing manager.</t>
        </is>
      </c>
      <c r="T41" s="6" t="inlineStr">
        <is>
          <t>YES</t>
        </is>
      </c>
      <c r="U41" s="9" t="inlineStr">
        <is>
          <t>Indexed title matches the role.</t>
        </is>
      </c>
      <c r="V41" s="6" t="inlineStr"/>
      <c r="W41" s="6" t="inlineStr"/>
      <c r="X41" s="6" t="inlineStr"/>
      <c r="Y41" s="6" t="inlineStr"/>
      <c r="Z41" s="6" t="inlineStr">
        <is>
          <t>(713) 789-8004</t>
        </is>
      </c>
      <c r="AA41" s="6" t="inlineStr"/>
      <c r="AB41" s="6" t="inlineStr">
        <is>
          <t>https://www.jpatrickhomes.com/</t>
        </is>
      </c>
      <c r="AC41" s="6" t="inlineStr"/>
      <c r="AD41" s="6" t="inlineStr"/>
    </row>
    <row r="42">
      <c r="A42" s="12" t="inlineStr">
        <is>
          <t>Kevin Holland</t>
        </is>
      </c>
      <c r="B42" s="12" t="inlineStr">
        <is>
          <t>Cervelle Homes</t>
        </is>
      </c>
      <c r="C42" s="12" t="inlineStr">
        <is>
          <t>Leads the firm with John Payson, no title published</t>
        </is>
      </c>
      <c r="D42" s="13" t="inlineStr">
        <is>
          <t>One gap</t>
        </is>
      </c>
      <c r="E42" s="14" t="n">
        <v>2</v>
      </c>
      <c r="F42" s="12" t="inlineStr">
        <is>
          <t>Buys walls</t>
        </is>
      </c>
      <c r="G42" s="12" t="inlineStr">
        <is>
          <t>Friendswood, Galveston-Harris</t>
        </is>
      </c>
      <c r="H42" s="12" t="inlineStr">
        <is>
          <t>150 to 200 homes a year since 1990</t>
        </is>
      </c>
      <c r="I42" s="14" t="inlineStr">
        <is>
          <t>Yes</t>
        </is>
      </c>
      <c r="J42" s="15" t="inlineStr">
        <is>
          <t>150 to 200 homes a year, every year, in the same southeast Houston corridor.</t>
        </is>
      </c>
      <c r="K42" s="14" t="inlineStr">
        <is>
          <t>Yes</t>
        </is>
      </c>
      <c r="L42" s="15" t="inlineStr">
        <is>
          <t>One machine would carry part of yearly output.</t>
        </is>
      </c>
      <c r="M42" s="14" t="inlineStr">
        <is>
          <t>No</t>
        </is>
      </c>
      <c r="N42" s="15" t="inlineStr">
        <is>
          <t>No method statement. Its efficiency claim is the same trades since 1990.</t>
        </is>
      </c>
      <c r="O42" s="10" t="inlineStr"/>
      <c r="P42" s="12">
        <f>HYPERLINK("https://www.linkedin.com/search/results/people/?keywords=Kevin%20Holland%20Cervelle%20Homes","search")</f>
        <v/>
      </c>
      <c r="Q42" s="16">
        <f>IF(O42="","ADD LINKEDIN","ok")</f>
        <v/>
      </c>
      <c r="R42" s="12" t="inlineStr">
        <is>
          <t>https://www.cervellehomes.com/</t>
        </is>
      </c>
      <c r="S42" s="15" t="inlineStr">
        <is>
          <t>It builds two standing plan families in one corridor, but its efficiency claim rests on the same trades, not a new method.</t>
        </is>
      </c>
      <c r="T42" s="12" t="inlineStr"/>
      <c r="U42" s="15" t="inlineStr">
        <is>
          <t>Homepage.</t>
        </is>
      </c>
      <c r="V42" s="12" t="inlineStr">
        <is>
          <t>https://www.cervellehomes.com/</t>
        </is>
      </c>
      <c r="W42" s="12" t="inlineStr"/>
      <c r="X42" s="12" t="inlineStr"/>
      <c r="Y42" s="12" t="inlineStr"/>
      <c r="Z42" s="12" t="inlineStr">
        <is>
          <t>(281) 482-5864</t>
        </is>
      </c>
      <c r="AA42" s="12" t="inlineStr">
        <is>
          <t>office</t>
        </is>
      </c>
      <c r="AB42" s="12" t="inlineStr">
        <is>
          <t>https://www.cervellehomes.com/</t>
        </is>
      </c>
      <c r="AC42" s="12" t="inlineStr"/>
      <c r="AD42" s="12" t="inlineStr"/>
    </row>
    <row r="43">
      <c r="A43" s="6" t="inlineStr">
        <is>
          <t>John Payson</t>
        </is>
      </c>
      <c r="B43" s="6" t="inlineStr">
        <is>
          <t>Cervelle Homes</t>
        </is>
      </c>
      <c r="C43" s="6" t="inlineStr">
        <is>
          <t>Leads the firm with Kevin Holland, no title published</t>
        </is>
      </c>
      <c r="D43" s="7" t="inlineStr">
        <is>
          <t>One gap</t>
        </is>
      </c>
      <c r="E43" s="8" t="n">
        <v>2</v>
      </c>
      <c r="F43" s="6" t="inlineStr">
        <is>
          <t>Buys walls</t>
        </is>
      </c>
      <c r="G43" s="6" t="inlineStr">
        <is>
          <t>Friendswood, Galveston-Harris</t>
        </is>
      </c>
      <c r="H43" s="6" t="inlineStr">
        <is>
          <t>150 to 200 homes a year since 1990</t>
        </is>
      </c>
      <c r="I43" s="8" t="inlineStr">
        <is>
          <t>Yes</t>
        </is>
      </c>
      <c r="J43" s="9" t="inlineStr">
        <is>
          <t>150 to 200 homes a year, every year, in the same southeast Houston corridor.</t>
        </is>
      </c>
      <c r="K43" s="8" t="inlineStr">
        <is>
          <t>Yes</t>
        </is>
      </c>
      <c r="L43" s="9" t="inlineStr">
        <is>
          <t>One machine would carry part of yearly output.</t>
        </is>
      </c>
      <c r="M43" s="8" t="inlineStr">
        <is>
          <t>No</t>
        </is>
      </c>
      <c r="N43" s="9" t="inlineStr">
        <is>
          <t>No method statement. Its efficiency claim is the same trades since 1990.</t>
        </is>
      </c>
      <c r="O43" s="10" t="inlineStr"/>
      <c r="P43" s="6">
        <f>HYPERLINK("https://www.linkedin.com/search/results/people/?keywords=John%20Payson%20Cervelle%20Homes","search")</f>
        <v/>
      </c>
      <c r="Q43" s="11">
        <f>IF(O43="","ADD LINKEDIN","ok")</f>
        <v/>
      </c>
      <c r="R43" s="6" t="inlineStr">
        <is>
          <t>https://www.cervellehomes.com/</t>
        </is>
      </c>
      <c r="S43" s="9" t="inlineStr">
        <is>
          <t>It builds two standing plan families in one corridor, but its efficiency claim rests on the same trades, not a new method.</t>
        </is>
      </c>
      <c r="T43" s="6" t="inlineStr"/>
      <c r="U43" s="9" t="inlineStr">
        <is>
          <t>Homepage.</t>
        </is>
      </c>
      <c r="V43" s="6" t="inlineStr">
        <is>
          <t>https://www.cervellehomes.com/</t>
        </is>
      </c>
      <c r="W43" s="6" t="inlineStr"/>
      <c r="X43" s="6" t="inlineStr"/>
      <c r="Y43" s="6" t="inlineStr"/>
      <c r="Z43" s="6" t="inlineStr">
        <is>
          <t>(281) 482-5864</t>
        </is>
      </c>
      <c r="AA43" s="6" t="inlineStr">
        <is>
          <t>office</t>
        </is>
      </c>
      <c r="AB43" s="6" t="inlineStr">
        <is>
          <t>https://www.cervellehomes.com/</t>
        </is>
      </c>
      <c r="AC43" s="6" t="inlineStr"/>
      <c r="AD43" s="6" t="inlineStr"/>
    </row>
    <row r="44">
      <c r="A44" s="12" t="inlineStr">
        <is>
          <t>Dru Kahlenberg</t>
        </is>
      </c>
      <c r="B44" s="12" t="inlineStr">
        <is>
          <t>Alta Homes</t>
        </is>
      </c>
      <c r="C44" s="12" t="inlineStr">
        <is>
          <t>Chief Executive Officer</t>
        </is>
      </c>
      <c r="D44" s="13" t="inlineStr">
        <is>
          <t>One gap</t>
        </is>
      </c>
      <c r="E44" s="14" t="n">
        <v>2</v>
      </c>
      <c r="F44" s="12" t="inlineStr">
        <is>
          <t>Buys walls</t>
        </is>
      </c>
      <c r="G44" s="12" t="inlineStr">
        <is>
          <t>Willis and Conroe, Montgomery</t>
        </is>
      </c>
      <c r="H44" s="12" t="inlineStr">
        <is>
          <t>45 closings in 2025, all in Montgomery County, 70 planned for 2026</t>
        </is>
      </c>
      <c r="I44" s="14" t="inlineStr">
        <is>
          <t>Yes</t>
        </is>
      </c>
      <c r="J44" s="15" t="inlineStr">
        <is>
          <t>Four communities, three more announced, one corridor.</t>
        </is>
      </c>
      <c r="K44" s="14" t="inlineStr">
        <is>
          <t>Yes</t>
        </is>
      </c>
      <c r="L44" s="15" t="inlineStr">
        <is>
          <t>45 closings in 2025, 70 planned for 2026. One machine would cover most of it.</t>
        </is>
      </c>
      <c r="M44" s="14" t="inlineStr">
        <is>
          <t>No</t>
        </is>
      </c>
      <c r="N44" s="15" t="inlineStr">
        <is>
          <t>No method evidence.</t>
        </is>
      </c>
      <c r="O44" s="10" t="inlineStr"/>
      <c r="P44" s="12">
        <f>HYPERLINK("https://www.linkedin.com/search/results/people/?keywords=Dru%20Kahlenberg%20Alta%20Homes","search")</f>
        <v/>
      </c>
      <c r="Q44" s="16">
        <f>IF(O44="","ADD LINKEDIN","ok")</f>
        <v/>
      </c>
      <c r="R44" s="12" t="inlineStr">
        <is>
          <t>https://www.myaltahomes.com/</t>
        </is>
      </c>
      <c r="S44" s="15" t="inlineStr">
        <is>
          <t>One machine would cover most of a year's walls, but it has six staff and no purchasing department.</t>
        </is>
      </c>
      <c r="T44" s="12" t="inlineStr"/>
      <c r="U44" s="15" t="inlineStr">
        <is>
          <t>About page. Signs off on every land deal and its financing.</t>
        </is>
      </c>
      <c r="V44" s="12" t="inlineStr">
        <is>
          <t>https://www.myaltahomes.com/about</t>
        </is>
      </c>
      <c r="W44" s="12" t="inlineStr"/>
      <c r="X44" s="12" t="inlineStr"/>
      <c r="Y44" s="12" t="inlineStr"/>
      <c r="Z44" s="12" t="inlineStr">
        <is>
          <t>(936) 299-4373</t>
        </is>
      </c>
      <c r="AA44" s="12" t="inlineStr"/>
      <c r="AB44" s="12" t="inlineStr">
        <is>
          <t>https://www.myaltahomes.com/</t>
        </is>
      </c>
      <c r="AC44" s="12" t="inlineStr"/>
      <c r="AD44" s="12" t="inlineStr"/>
    </row>
    <row r="45">
      <c r="A45" s="6" t="inlineStr">
        <is>
          <t>Scott Gilbert</t>
        </is>
      </c>
      <c r="B45" s="6" t="inlineStr">
        <is>
          <t>Alta Homes</t>
        </is>
      </c>
      <c r="C45" s="6" t="inlineStr">
        <is>
          <t>President</t>
        </is>
      </c>
      <c r="D45" s="7" t="inlineStr">
        <is>
          <t>One gap</t>
        </is>
      </c>
      <c r="E45" s="8" t="n">
        <v>2</v>
      </c>
      <c r="F45" s="6" t="inlineStr">
        <is>
          <t>Buys walls</t>
        </is>
      </c>
      <c r="G45" s="6" t="inlineStr">
        <is>
          <t>Willis and Conroe, Montgomery</t>
        </is>
      </c>
      <c r="H45" s="6" t="inlineStr">
        <is>
          <t>45 closings in 2025, all in Montgomery County, 70 planned for 2026</t>
        </is>
      </c>
      <c r="I45" s="8" t="inlineStr">
        <is>
          <t>Yes</t>
        </is>
      </c>
      <c r="J45" s="9" t="inlineStr">
        <is>
          <t>Four communities, three more announced, one corridor.</t>
        </is>
      </c>
      <c r="K45" s="8" t="inlineStr">
        <is>
          <t>Yes</t>
        </is>
      </c>
      <c r="L45" s="9" t="inlineStr">
        <is>
          <t>45 closings in 2025, 70 planned for 2026. One machine would cover most of it.</t>
        </is>
      </c>
      <c r="M45" s="8" t="inlineStr">
        <is>
          <t>No</t>
        </is>
      </c>
      <c r="N45" s="9" t="inlineStr">
        <is>
          <t>No method evidence.</t>
        </is>
      </c>
      <c r="O45" s="10" t="inlineStr"/>
      <c r="P45" s="6">
        <f>HYPERLINK("https://www.linkedin.com/search/results/people/?keywords=Scott%20Gilbert%20Alta%20Homes","search")</f>
        <v/>
      </c>
      <c r="Q45" s="11">
        <f>IF(O45="","ADD LINKEDIN","ok")</f>
        <v/>
      </c>
      <c r="R45" s="6" t="inlineStr">
        <is>
          <t>https://www.myaltahomes.com/</t>
        </is>
      </c>
      <c r="S45" s="9" t="inlineStr">
        <is>
          <t>One machine would cover most of a year's walls, but it has six staff and no purchasing department.</t>
        </is>
      </c>
      <c r="T45" s="6" t="inlineStr"/>
      <c r="U45" s="9" t="inlineStr">
        <is>
          <t>About page. Focused on teams, vendor partnerships and efficient construction.</t>
        </is>
      </c>
      <c r="V45" s="6" t="inlineStr">
        <is>
          <t>https://www.myaltahomes.com/about</t>
        </is>
      </c>
      <c r="W45" s="6" t="inlineStr"/>
      <c r="X45" s="6" t="inlineStr"/>
      <c r="Y45" s="6" t="inlineStr"/>
      <c r="Z45" s="6" t="inlineStr">
        <is>
          <t>(936) 299-4373</t>
        </is>
      </c>
      <c r="AA45" s="6" t="inlineStr"/>
      <c r="AB45" s="6" t="inlineStr">
        <is>
          <t>https://www.myaltahomes.com/</t>
        </is>
      </c>
      <c r="AC45" s="6" t="inlineStr"/>
      <c r="AD45" s="6" t="inlineStr"/>
    </row>
    <row r="46">
      <c r="A46" s="12" t="inlineStr">
        <is>
          <t>Ashley Meinecke</t>
        </is>
      </c>
      <c r="B46" s="12" t="inlineStr">
        <is>
          <t>Alta Homes</t>
        </is>
      </c>
      <c r="C46" s="12" t="inlineStr">
        <is>
          <t>Accounts Payable and Purchasing Manager</t>
        </is>
      </c>
      <c r="D46" s="13" t="inlineStr">
        <is>
          <t>One gap</t>
        </is>
      </c>
      <c r="E46" s="14" t="n">
        <v>2</v>
      </c>
      <c r="F46" s="12" t="inlineStr">
        <is>
          <t>Buys walls</t>
        </is>
      </c>
      <c r="G46" s="12" t="inlineStr">
        <is>
          <t>Willis and Conroe, Montgomery</t>
        </is>
      </c>
      <c r="H46" s="12" t="inlineStr">
        <is>
          <t>45 closings in 2025, all in Montgomery County, 70 planned for 2026</t>
        </is>
      </c>
      <c r="I46" s="14" t="inlineStr">
        <is>
          <t>Yes</t>
        </is>
      </c>
      <c r="J46" s="15" t="inlineStr">
        <is>
          <t>Four communities, three more announced, one corridor.</t>
        </is>
      </c>
      <c r="K46" s="14" t="inlineStr">
        <is>
          <t>Yes</t>
        </is>
      </c>
      <c r="L46" s="15" t="inlineStr">
        <is>
          <t>45 closings in 2025, 70 planned for 2026. One machine would cover most of it.</t>
        </is>
      </c>
      <c r="M46" s="14" t="inlineStr">
        <is>
          <t>No</t>
        </is>
      </c>
      <c r="N46" s="15" t="inlineStr">
        <is>
          <t>No method evidence.</t>
        </is>
      </c>
      <c r="O46" s="10" t="inlineStr"/>
      <c r="P46" s="12">
        <f>HYPERLINK("https://www.linkedin.com/search/results/people/?keywords=Ashley%20Meinecke%20Alta%20Homes","search")</f>
        <v/>
      </c>
      <c r="Q46" s="16">
        <f>IF(O46="","ADD LINKEDIN","ok")</f>
        <v/>
      </c>
      <c r="R46" s="12" t="inlineStr">
        <is>
          <t>https://www.myaltahomes.com/</t>
        </is>
      </c>
      <c r="S46" s="15" t="inlineStr">
        <is>
          <t>One machine would cover most of a year's walls, but it has six staff and no purchasing department.</t>
        </is>
      </c>
      <c r="T46" s="12" t="inlineStr">
        <is>
          <t>YES</t>
        </is>
      </c>
      <c r="U46" s="15" t="inlineStr"/>
      <c r="V46" s="12" t="inlineStr">
        <is>
          <t>https://www.myaltahomes.com/about</t>
        </is>
      </c>
      <c r="W46" s="12" t="inlineStr"/>
      <c r="X46" s="12" t="inlineStr"/>
      <c r="Y46" s="12" t="inlineStr"/>
      <c r="Z46" s="12" t="inlineStr">
        <is>
          <t>(936) 299-4373</t>
        </is>
      </c>
      <c r="AA46" s="12" t="inlineStr"/>
      <c r="AB46" s="12" t="inlineStr">
        <is>
          <t>https://www.myaltahomes.com/</t>
        </is>
      </c>
      <c r="AC46" s="12" t="inlineStr"/>
      <c r="AD46" s="12" t="inlineStr"/>
    </row>
    <row r="47">
      <c r="A47" s="6" t="inlineStr">
        <is>
          <t>Steve Sample</t>
        </is>
      </c>
      <c r="B47" s="6" t="inlineStr">
        <is>
          <t>Highland Homes / HHS Residential</t>
        </is>
      </c>
      <c r="C47" s="6" t="inlineStr">
        <is>
          <t>Head of Land, Houston</t>
        </is>
      </c>
      <c r="D47" s="7" t="inlineStr">
        <is>
          <t>One gap</t>
        </is>
      </c>
      <c r="E47" s="8" t="n">
        <v>2</v>
      </c>
      <c r="F47" s="6" t="inlineStr">
        <is>
          <t>Buys walls</t>
        </is>
      </c>
      <c r="G47" s="6" t="inlineStr">
        <is>
          <t>Houston / Brookshire to Willis</t>
        </is>
      </c>
      <c r="H47" s="6" t="inlineStr">
        <is>
          <t>968 Houston closings in 2025, tenth in the metro</t>
        </is>
      </c>
      <c r="I47" s="8" t="inlineStr">
        <is>
          <t>Yes</t>
        </is>
      </c>
      <c r="J47" s="9" t="inlineStr">
        <is>
          <t>Three Tricon communities in Richmond, Tomball and Katy. For-sale communities from Brookshire to Willis.</t>
        </is>
      </c>
      <c r="K47" s="8" t="inlineStr">
        <is>
          <t>Partly</t>
        </is>
      </c>
      <c r="L47" s="9" t="inlineStr">
        <is>
          <t>968 Houston closings in 2025. A machine would be a line inside the business.</t>
        </is>
      </c>
      <c r="M47" s="8" t="inlineStr">
        <is>
          <t>No</t>
        </is>
      </c>
      <c r="N47" s="9" t="inlineStr">
        <is>
          <t>Energy features only. No wall change.</t>
        </is>
      </c>
      <c r="O47" s="10" t="inlineStr"/>
      <c r="P47" s="6" t="inlineStr"/>
      <c r="Q47" s="11">
        <f>IF(O47="","ADD LINKEDIN","ok")</f>
        <v/>
      </c>
      <c r="R47" s="6" t="inlineStr">
        <is>
          <t>https://www.highlandhomes.com/houston/</t>
        </is>
      </c>
      <c r="S47" s="9" t="inlineStr">
        <is>
          <t>Through HHS Residential it builds detached rental homes for one owner, 90 to 175 a site, but no wall change is published.</t>
        </is>
      </c>
      <c r="T47" s="6" t="inlineStr"/>
      <c r="U47" s="9" t="inlineStr">
        <is>
          <t>Named 3 November 2022.</t>
        </is>
      </c>
      <c r="V47" s="6" t="inlineStr">
        <is>
          <t>https://chartwellpartners.com/real-estate/highland-homes-announces-steve-sample-as-head-of-land-houston/</t>
        </is>
      </c>
      <c r="W47" s="6" t="inlineStr"/>
      <c r="X47" s="6" t="inlineStr"/>
      <c r="Y47" s="6" t="inlineStr"/>
      <c r="Z47" s="6" t="inlineStr">
        <is>
          <t>(281) 517-9800</t>
        </is>
      </c>
      <c r="AA47" s="6" t="inlineStr">
        <is>
          <t>Houston office</t>
        </is>
      </c>
      <c r="AB47" s="6" t="inlineStr">
        <is>
          <t>https://www.highlandhomes.com/contact</t>
        </is>
      </c>
      <c r="AC47" s="6" t="inlineStr">
        <is>
          <t>information@hhsresidential.com</t>
        </is>
      </c>
      <c r="AD47" s="6" t="inlineStr">
        <is>
          <t>https://hhsresidential.com/about/</t>
        </is>
      </c>
    </row>
    <row r="48">
      <c r="A48" s="12" t="inlineStr">
        <is>
          <t>Matt McGhee</t>
        </is>
      </c>
      <c r="B48" s="12" t="inlineStr">
        <is>
          <t>Highland Homes / HHS Residential</t>
        </is>
      </c>
      <c r="C48" s="12" t="inlineStr">
        <is>
          <t>Vice President, HHS Residential</t>
        </is>
      </c>
      <c r="D48" s="13" t="inlineStr">
        <is>
          <t>One gap</t>
        </is>
      </c>
      <c r="E48" s="14" t="n">
        <v>2</v>
      </c>
      <c r="F48" s="12" t="inlineStr">
        <is>
          <t>Buys walls</t>
        </is>
      </c>
      <c r="G48" s="12" t="inlineStr">
        <is>
          <t>Houston / Brookshire to Willis</t>
        </is>
      </c>
      <c r="H48" s="12" t="inlineStr">
        <is>
          <t>968 Houston closings in 2025, tenth in the metro</t>
        </is>
      </c>
      <c r="I48" s="14" t="inlineStr">
        <is>
          <t>Yes</t>
        </is>
      </c>
      <c r="J48" s="15" t="inlineStr">
        <is>
          <t>Three Tricon communities in Richmond, Tomball and Katy. For-sale communities from Brookshire to Willis.</t>
        </is>
      </c>
      <c r="K48" s="14" t="inlineStr">
        <is>
          <t>Partly</t>
        </is>
      </c>
      <c r="L48" s="15" t="inlineStr">
        <is>
          <t>968 Houston closings in 2025. A machine would be a line inside the business.</t>
        </is>
      </c>
      <c r="M48" s="14" t="inlineStr">
        <is>
          <t>No</t>
        </is>
      </c>
      <c r="N48" s="15" t="inlineStr">
        <is>
          <t>Energy features only. No wall change.</t>
        </is>
      </c>
      <c r="O48" s="10" t="inlineStr"/>
      <c r="P48" s="12" t="inlineStr"/>
      <c r="Q48" s="16">
        <f>IF(O48="","ADD LINKEDIN","ok")</f>
        <v/>
      </c>
      <c r="R48" s="12" t="inlineStr">
        <is>
          <t>https://www.highlandhomes.com/houston/</t>
        </is>
      </c>
      <c r="S48" s="15" t="inlineStr">
        <is>
          <t>Through HHS Residential it builds detached rental homes for one owner, 90 to 175 a site, but no wall change is published.</t>
        </is>
      </c>
      <c r="T48" s="12" t="inlineStr"/>
      <c r="U48" s="15" t="inlineStr">
        <is>
          <t>HomeAid Houston release, June 2022.</t>
        </is>
      </c>
      <c r="V48" s="12" t="inlineStr">
        <is>
          <t>https://homeaidhouston.org/newsroom/homeaid-and-highland-homes-break-ground-on-transitional-housing-unit-in-conroe/</t>
        </is>
      </c>
      <c r="W48" s="12" t="inlineStr"/>
      <c r="X48" s="12" t="inlineStr"/>
      <c r="Y48" s="12" t="inlineStr"/>
      <c r="Z48" s="12" t="inlineStr">
        <is>
          <t>(281) 517-9800</t>
        </is>
      </c>
      <c r="AA48" s="12" t="inlineStr">
        <is>
          <t>Houston office</t>
        </is>
      </c>
      <c r="AB48" s="12" t="inlineStr">
        <is>
          <t>https://www.highlandhomes.com/contact</t>
        </is>
      </c>
      <c r="AC48" s="12" t="inlineStr">
        <is>
          <t>information@hhsresidential.com</t>
        </is>
      </c>
      <c r="AD48" s="12" t="inlineStr">
        <is>
          <t>https://hhsresidential.com/about/</t>
        </is>
      </c>
    </row>
    <row r="49">
      <c r="A49" s="6" t="inlineStr">
        <is>
          <t>Eddie Lin</t>
        </is>
      </c>
      <c r="B49" s="6" t="inlineStr">
        <is>
          <t>Highland Homes / HHS Residential</t>
        </is>
      </c>
      <c r="C49" s="6" t="inlineStr">
        <is>
          <t>Managing Director of Investments, HHS Residential</t>
        </is>
      </c>
      <c r="D49" s="7" t="inlineStr">
        <is>
          <t>One gap</t>
        </is>
      </c>
      <c r="E49" s="8" t="n">
        <v>2</v>
      </c>
      <c r="F49" s="6" t="inlineStr">
        <is>
          <t>Buys walls</t>
        </is>
      </c>
      <c r="G49" s="6" t="inlineStr">
        <is>
          <t>Houston / Brookshire to Willis</t>
        </is>
      </c>
      <c r="H49" s="6" t="inlineStr">
        <is>
          <t>968 Houston closings in 2025, tenth in the metro</t>
        </is>
      </c>
      <c r="I49" s="8" t="inlineStr">
        <is>
          <t>Yes</t>
        </is>
      </c>
      <c r="J49" s="9" t="inlineStr">
        <is>
          <t>Three Tricon communities in Richmond, Tomball and Katy. For-sale communities from Brookshire to Willis.</t>
        </is>
      </c>
      <c r="K49" s="8" t="inlineStr">
        <is>
          <t>Partly</t>
        </is>
      </c>
      <c r="L49" s="9" t="inlineStr">
        <is>
          <t>968 Houston closings in 2025. A machine would be a line inside the business.</t>
        </is>
      </c>
      <c r="M49" s="8" t="inlineStr">
        <is>
          <t>No</t>
        </is>
      </c>
      <c r="N49" s="9" t="inlineStr">
        <is>
          <t>Energy features only. No wall change.</t>
        </is>
      </c>
      <c r="O49" s="10" t="inlineStr"/>
      <c r="P49" s="6" t="inlineStr"/>
      <c r="Q49" s="11">
        <f>IF(O49="","ADD LINKEDIN","ok")</f>
        <v/>
      </c>
      <c r="R49" s="6" t="inlineStr">
        <is>
          <t>https://www.highlandhomes.com/houston/</t>
        </is>
      </c>
      <c r="S49" s="9" t="inlineStr">
        <is>
          <t>Through HHS Residential it builds detached rental homes for one owner, 90 to 175 a site, but no wall change is published.</t>
        </is>
      </c>
      <c r="T49" s="6" t="inlineStr"/>
      <c r="U49" s="9" t="inlineStr">
        <is>
          <t>New role running the build-to-rent portfolio.</t>
        </is>
      </c>
      <c r="V49" s="6" t="inlineStr">
        <is>
          <t>https://chartwellpartners.com/real-estate/highland-homes-names-eddie-lin-as-managing-director-of-investments-for-hhs-residential/</t>
        </is>
      </c>
      <c r="W49" s="6" t="inlineStr"/>
      <c r="X49" s="6" t="inlineStr"/>
      <c r="Y49" s="6" t="inlineStr"/>
      <c r="Z49" s="6" t="inlineStr">
        <is>
          <t>(281) 517-9800</t>
        </is>
      </c>
      <c r="AA49" s="6" t="inlineStr">
        <is>
          <t>Houston office</t>
        </is>
      </c>
      <c r="AB49" s="6" t="inlineStr">
        <is>
          <t>https://www.highlandhomes.com/contact</t>
        </is>
      </c>
      <c r="AC49" s="6" t="inlineStr">
        <is>
          <t>information@hhsresidential.com</t>
        </is>
      </c>
      <c r="AD49" s="6" t="inlineStr">
        <is>
          <t>https://hhsresidential.com/about/</t>
        </is>
      </c>
    </row>
    <row r="50">
      <c r="A50" s="12" t="inlineStr">
        <is>
          <t>Jamie Bryant</t>
        </is>
      </c>
      <c r="B50" s="12" t="inlineStr">
        <is>
          <t>Houston Housing Authority</t>
        </is>
      </c>
      <c r="C50" s="12" t="inlineStr">
        <is>
          <t>President and Chief Executive Officer, named February 2025</t>
        </is>
      </c>
      <c r="D50" s="13" t="inlineStr">
        <is>
          <t>One gap</t>
        </is>
      </c>
      <c r="E50" s="14" t="n">
        <v>2</v>
      </c>
      <c r="F50" s="12" t="inlineStr">
        <is>
          <t>Buys walls</t>
        </is>
      </c>
      <c r="G50" s="12" t="inlineStr">
        <is>
          <t>Third Ward / citywide, Harris County</t>
        </is>
      </c>
      <c r="H50" s="12" t="inlineStr">
        <is>
          <t>$600M+ programme, 5 phases, 2025-2032</t>
        </is>
      </c>
      <c r="I50" s="14" t="inlineStr">
        <is>
          <t>Yes</t>
        </is>
      </c>
      <c r="J50" s="15" t="inlineStr">
        <is>
          <t>Five phases at Cuney Homes, 2025 to 2032.</t>
        </is>
      </c>
      <c r="K50" s="14" t="inlineStr">
        <is>
          <t>Partly</t>
        </is>
      </c>
      <c r="L50" s="15" t="inlineStr">
        <is>
          <t>A $600 million programme in five phases. Multifamily, publicly procured.</t>
        </is>
      </c>
      <c r="M50" s="14" t="inlineStr">
        <is>
          <t>No</t>
        </is>
      </c>
      <c r="N50" s="15" t="inlineStr">
        <is>
          <t>Federal procurement rewards cost and schedule.</t>
        </is>
      </c>
      <c r="O50" s="10" t="inlineStr"/>
      <c r="P50" s="12" t="inlineStr"/>
      <c r="Q50" s="16">
        <f>IF(O50="","ADD LINKEDIN","ok")</f>
        <v/>
      </c>
      <c r="R50" s="12" t="inlineStr">
        <is>
          <t>https://www.alliancehtx.org/</t>
        </is>
      </c>
      <c r="S50" s="15" t="inlineStr">
        <is>
          <t>Federal money comes with open procurement that rewards cost and schedule, but no method is published.</t>
        </is>
      </c>
      <c r="T50" s="12" t="inlineStr"/>
      <c r="U50" s="15" t="inlineStr">
        <is>
          <t>Bio page.</t>
        </is>
      </c>
      <c r="V50" s="12" t="inlineStr">
        <is>
          <t>https://www.alliancehtx.org/team-members/jamie-bryant</t>
        </is>
      </c>
      <c r="W50" s="12" t="inlineStr">
        <is>
          <t>https://www.linkedin.com/company/houston-housing-authority</t>
        </is>
      </c>
      <c r="X50" s="12" t="inlineStr">
        <is>
          <t>https://www.alliancehtx.org/leadership</t>
        </is>
      </c>
      <c r="Y50" s="12" t="inlineStr"/>
      <c r="Z50" s="12" t="inlineStr"/>
      <c r="AA50" s="12" t="inlineStr"/>
      <c r="AB50" s="12" t="inlineStr"/>
      <c r="AC50" s="12" t="inlineStr"/>
      <c r="AD50" s="12" t="inlineStr"/>
    </row>
    <row r="51">
      <c r="A51" s="6" t="inlineStr">
        <is>
          <t>Neal Rackleff</t>
        </is>
      </c>
      <c r="B51" s="6" t="inlineStr">
        <is>
          <t>Houston Housing Authority</t>
        </is>
      </c>
      <c r="C51" s="6" t="inlineStr">
        <is>
          <t>Executive Vice President and Chief Operating Officer, Houston Housing Authority</t>
        </is>
      </c>
      <c r="D51" s="7" t="inlineStr">
        <is>
          <t>One gap</t>
        </is>
      </c>
      <c r="E51" s="8" t="n">
        <v>2</v>
      </c>
      <c r="F51" s="6" t="inlineStr">
        <is>
          <t>Buys walls</t>
        </is>
      </c>
      <c r="G51" s="6" t="inlineStr">
        <is>
          <t>Third Ward / citywide, Harris County</t>
        </is>
      </c>
      <c r="H51" s="6" t="inlineStr">
        <is>
          <t>$600M+ programme, 5 phases, 2025-2032</t>
        </is>
      </c>
      <c r="I51" s="8" t="inlineStr">
        <is>
          <t>Yes</t>
        </is>
      </c>
      <c r="J51" s="9" t="inlineStr">
        <is>
          <t>Five phases at Cuney Homes, 2025 to 2032.</t>
        </is>
      </c>
      <c r="K51" s="8" t="inlineStr">
        <is>
          <t>Partly</t>
        </is>
      </c>
      <c r="L51" s="9" t="inlineStr">
        <is>
          <t>A $600 million programme in five phases. Multifamily, publicly procured.</t>
        </is>
      </c>
      <c r="M51" s="8" t="inlineStr">
        <is>
          <t>No</t>
        </is>
      </c>
      <c r="N51" s="9" t="inlineStr">
        <is>
          <t>Federal procurement rewards cost and schedule.</t>
        </is>
      </c>
      <c r="O51" s="6" t="inlineStr">
        <is>
          <t>https://www.linkedin.com/in/nealrackleff/</t>
        </is>
      </c>
      <c r="P51" s="6" t="inlineStr"/>
      <c r="Q51" s="11">
        <f>IF(O51="","ADD LINKEDIN","ok")</f>
        <v/>
      </c>
      <c r="R51" s="6" t="inlineStr">
        <is>
          <t>https://www.alliancehtx.org/</t>
        </is>
      </c>
      <c r="S51" s="9" t="inlineStr">
        <is>
          <t>Federal money comes with open procurement that rewards cost and schedule, but no method is published.</t>
        </is>
      </c>
      <c r="T51" s="6" t="inlineStr">
        <is>
          <t>YES</t>
        </is>
      </c>
      <c r="U51" s="9" t="inlineStr">
        <is>
          <t>Headline: Executive VP and COO. Houston. His office answers for delivery. Leadership page.</t>
        </is>
      </c>
      <c r="V51" s="6" t="inlineStr">
        <is>
          <t>https://www.alliancehtx.org/leadership</t>
        </is>
      </c>
      <c r="W51" s="6" t="inlineStr">
        <is>
          <t>https://www.linkedin.com/company/houston-housing-authority</t>
        </is>
      </c>
      <c r="X51" s="6" t="inlineStr">
        <is>
          <t>https://www.alliancehtx.org/leadership</t>
        </is>
      </c>
      <c r="Y51" s="6" t="inlineStr"/>
      <c r="Z51" s="6" t="inlineStr"/>
      <c r="AA51" s="6" t="inlineStr"/>
      <c r="AB51" s="6" t="inlineStr"/>
      <c r="AC51" s="6" t="inlineStr"/>
      <c r="AD51" s="6" t="inlineStr"/>
    </row>
    <row r="52">
      <c r="A52" s="12" t="inlineStr">
        <is>
          <t>Craig Jones</t>
        </is>
      </c>
      <c r="B52" s="12" t="inlineStr">
        <is>
          <t>Long Lake, Ltd.</t>
        </is>
      </c>
      <c r="C52" s="12" t="inlineStr">
        <is>
          <t>Chief Executive Officer</t>
        </is>
      </c>
      <c r="D52" s="13" t="inlineStr">
        <is>
          <t>One gap</t>
        </is>
      </c>
      <c r="E52" s="14" t="n">
        <v>2</v>
      </c>
      <c r="F52" s="12" t="inlineStr">
        <is>
          <t>Buys walls</t>
        </is>
      </c>
      <c r="G52" s="12" t="inlineStr">
        <is>
          <t>Houston / Harris, Montgomery, Fort Bend</t>
        </is>
      </c>
      <c r="H52" s="12" t="inlineStr">
        <is>
          <t>782 closings in 2025, 38 plans</t>
        </is>
      </c>
      <c r="I52" s="14" t="inlineStr">
        <is>
          <t>Yes</t>
        </is>
      </c>
      <c r="J52" s="15" t="inlineStr">
        <is>
          <t>22 communities on 38 plans in four series. About twenty starts per plan a year.</t>
        </is>
      </c>
      <c r="K52" s="14" t="inlineStr">
        <is>
          <t>Partly</t>
        </is>
      </c>
      <c r="L52" s="15" t="inlineStr">
        <is>
          <t>782 closings in 2025. The first order would be a line inside the business.</t>
        </is>
      </c>
      <c r="M52" s="14" t="inlineStr">
        <is>
          <t>No</t>
        </is>
      </c>
      <c r="N52" s="15" t="inlineStr">
        <is>
          <t>Sells job-built production methods as a control advantage.</t>
        </is>
      </c>
      <c r="O52" s="10" t="inlineStr"/>
      <c r="P52" s="12">
        <f>HYPERLINK("https://www.linkedin.com/search/results/people/?keywords=Craig%20Jones%20Long%20Lake%2C%20Ltd.","search")</f>
        <v/>
      </c>
      <c r="Q52" s="16">
        <f>IF(O52="","ADD LINKEDIN","ok")</f>
        <v/>
      </c>
      <c r="R52" s="12" t="inlineStr">
        <is>
          <t>https://www.longlakeltd.com/</t>
        </is>
      </c>
      <c r="S52" s="15" t="inlineStr">
        <is>
          <t>It develops its own land, so a pilot needs nobody else's permission, but it sells job-built methods as its control advantage.</t>
        </is>
      </c>
      <c r="T52" s="12" t="inlineStr"/>
      <c r="U52" s="15" t="inlineStr"/>
      <c r="V52" s="12" t="inlineStr">
        <is>
          <t>https://www.builderonline.com/firms/long-lake-limited/</t>
        </is>
      </c>
      <c r="W52" s="12" t="inlineStr"/>
      <c r="X52" s="12" t="inlineStr"/>
      <c r="Y52" s="12" t="inlineStr"/>
      <c r="Z52" s="12" t="inlineStr">
        <is>
          <t>(888) 498-6815</t>
        </is>
      </c>
      <c r="AA52" s="12" t="inlineStr"/>
      <c r="AB52" s="12" t="inlineStr">
        <is>
          <t>https://www.longlakeltd.com/</t>
        </is>
      </c>
      <c r="AC52" s="12" t="inlineStr"/>
      <c r="AD52" s="12" t="inlineStr"/>
    </row>
    <row r="53">
      <c r="A53" s="6" t="inlineStr">
        <is>
          <t>Dustin Rodgers</t>
        </is>
      </c>
      <c r="B53" s="6" t="inlineStr">
        <is>
          <t>Long Lake, Ltd.</t>
        </is>
      </c>
      <c r="C53" s="6" t="inlineStr">
        <is>
          <t>Vice President of Construction</t>
        </is>
      </c>
      <c r="D53" s="7" t="inlineStr">
        <is>
          <t>One gap</t>
        </is>
      </c>
      <c r="E53" s="8" t="n">
        <v>2</v>
      </c>
      <c r="F53" s="6" t="inlineStr">
        <is>
          <t>Buys walls</t>
        </is>
      </c>
      <c r="G53" s="6" t="inlineStr">
        <is>
          <t>Houston / Harris, Montgomery, Fort Bend</t>
        </is>
      </c>
      <c r="H53" s="6" t="inlineStr">
        <is>
          <t>782 closings in 2025, 38 plans</t>
        </is>
      </c>
      <c r="I53" s="8" t="inlineStr">
        <is>
          <t>Yes</t>
        </is>
      </c>
      <c r="J53" s="9" t="inlineStr">
        <is>
          <t>22 communities on 38 plans in four series. About twenty starts per plan a year.</t>
        </is>
      </c>
      <c r="K53" s="8" t="inlineStr">
        <is>
          <t>Partly</t>
        </is>
      </c>
      <c r="L53" s="9" t="inlineStr">
        <is>
          <t>782 closings in 2025. The first order would be a line inside the business.</t>
        </is>
      </c>
      <c r="M53" s="8" t="inlineStr">
        <is>
          <t>No</t>
        </is>
      </c>
      <c r="N53" s="9" t="inlineStr">
        <is>
          <t>Sells job-built production methods as a control advantage.</t>
        </is>
      </c>
      <c r="O53" s="6" t="inlineStr">
        <is>
          <t>https://www.linkedin.com/in/dustin-rodgers-61a9908a/</t>
        </is>
      </c>
      <c r="P53" s="6" t="inlineStr"/>
      <c r="Q53" s="11">
        <f>IF(O53="","ADD LINKEDIN","ok")</f>
        <v/>
      </c>
      <c r="R53" s="6" t="inlineStr">
        <is>
          <t>https://www.longlakeltd.com/</t>
        </is>
      </c>
      <c r="S53" s="9" t="inlineStr">
        <is>
          <t>It develops its own land, so a pilot needs nobody else's permission, but it sells job-built methods as its control advantage.</t>
        </is>
      </c>
      <c r="T53" s="6" t="inlineStr">
        <is>
          <t>YES</t>
        </is>
      </c>
      <c r="U53" s="9" t="inlineStr"/>
      <c r="V53" s="6" t="inlineStr"/>
      <c r="W53" s="6" t="inlineStr"/>
      <c r="X53" s="6" t="inlineStr"/>
      <c r="Y53" s="6" t="inlineStr"/>
      <c r="Z53" s="6" t="inlineStr">
        <is>
          <t>(888) 498-6815</t>
        </is>
      </c>
      <c r="AA53" s="6" t="inlineStr"/>
      <c r="AB53" s="6" t="inlineStr">
        <is>
          <t>https://www.longlakeltd.com/</t>
        </is>
      </c>
      <c r="AC53" s="6" t="inlineStr"/>
      <c r="AD53" s="6" t="inlineStr"/>
    </row>
    <row r="54">
      <c r="A54" s="12" t="inlineStr">
        <is>
          <t>Dave Dronberger</t>
        </is>
      </c>
      <c r="B54" s="12" t="inlineStr">
        <is>
          <t>Long Lake, Ltd.</t>
        </is>
      </c>
      <c r="C54" s="12" t="inlineStr">
        <is>
          <t>Construction Manager</t>
        </is>
      </c>
      <c r="D54" s="13" t="inlineStr">
        <is>
          <t>One gap</t>
        </is>
      </c>
      <c r="E54" s="14" t="n">
        <v>2</v>
      </c>
      <c r="F54" s="12" t="inlineStr">
        <is>
          <t>Buys walls</t>
        </is>
      </c>
      <c r="G54" s="12" t="inlineStr">
        <is>
          <t>Houston / Harris, Montgomery, Fort Bend</t>
        </is>
      </c>
      <c r="H54" s="12" t="inlineStr">
        <is>
          <t>782 closings in 2025, 38 plans</t>
        </is>
      </c>
      <c r="I54" s="14" t="inlineStr">
        <is>
          <t>Yes</t>
        </is>
      </c>
      <c r="J54" s="15" t="inlineStr">
        <is>
          <t>22 communities on 38 plans in four series. About twenty starts per plan a year.</t>
        </is>
      </c>
      <c r="K54" s="14" t="inlineStr">
        <is>
          <t>Partly</t>
        </is>
      </c>
      <c r="L54" s="15" t="inlineStr">
        <is>
          <t>782 closings in 2025. The first order would be a line inside the business.</t>
        </is>
      </c>
      <c r="M54" s="14" t="inlineStr">
        <is>
          <t>No</t>
        </is>
      </c>
      <c r="N54" s="15" t="inlineStr">
        <is>
          <t>Sells job-built production methods as a control advantage.</t>
        </is>
      </c>
      <c r="O54" s="6" t="inlineStr">
        <is>
          <t>https://www.linkedin.com/in/dave-dronberger-9b098315/</t>
        </is>
      </c>
      <c r="P54" s="12" t="inlineStr"/>
      <c r="Q54" s="16">
        <f>IF(O54="","ADD LINKEDIN","ok")</f>
        <v/>
      </c>
      <c r="R54" s="12" t="inlineStr">
        <is>
          <t>https://www.longlakeltd.com/</t>
        </is>
      </c>
      <c r="S54" s="15" t="inlineStr">
        <is>
          <t>It develops its own land, so a pilot needs nobody else's permission, but it sells job-built methods as its control advantage.</t>
        </is>
      </c>
      <c r="T54" s="12" t="inlineStr"/>
      <c r="U54" s="15" t="inlineStr"/>
      <c r="V54" s="12" t="inlineStr"/>
      <c r="W54" s="12" t="inlineStr"/>
      <c r="X54" s="12" t="inlineStr"/>
      <c r="Y54" s="12" t="inlineStr"/>
      <c r="Z54" s="12" t="inlineStr">
        <is>
          <t>(888) 498-6815</t>
        </is>
      </c>
      <c r="AA54" s="12" t="inlineStr"/>
      <c r="AB54" s="12" t="inlineStr">
        <is>
          <t>https://www.longlakeltd.com/</t>
        </is>
      </c>
      <c r="AC54" s="12" t="inlineStr"/>
      <c r="AD54" s="12" t="inlineStr"/>
    </row>
    <row r="55">
      <c r="A55" s="6" t="inlineStr">
        <is>
          <t>Aaron Alford</t>
        </is>
      </c>
      <c r="B55" s="6" t="inlineStr">
        <is>
          <t>Long Lake, Ltd.</t>
        </is>
      </c>
      <c r="C55" s="6" t="inlineStr">
        <is>
          <t>Executive Vice President, Woodmere Development Co.</t>
        </is>
      </c>
      <c r="D55" s="7" t="inlineStr">
        <is>
          <t>One gap</t>
        </is>
      </c>
      <c r="E55" s="8" t="n">
        <v>2</v>
      </c>
      <c r="F55" s="6" t="inlineStr">
        <is>
          <t>Buys walls</t>
        </is>
      </c>
      <c r="G55" s="6" t="inlineStr">
        <is>
          <t>Houston / Harris, Montgomery, Fort Bend</t>
        </is>
      </c>
      <c r="H55" s="6" t="inlineStr">
        <is>
          <t>782 closings in 2025, 38 plans</t>
        </is>
      </c>
      <c r="I55" s="8" t="inlineStr">
        <is>
          <t>Yes</t>
        </is>
      </c>
      <c r="J55" s="9" t="inlineStr">
        <is>
          <t>22 communities on 38 plans in four series. About twenty starts per plan a year.</t>
        </is>
      </c>
      <c r="K55" s="8" t="inlineStr">
        <is>
          <t>Partly</t>
        </is>
      </c>
      <c r="L55" s="9" t="inlineStr">
        <is>
          <t>782 closings in 2025. The first order would be a line inside the business.</t>
        </is>
      </c>
      <c r="M55" s="8" t="inlineStr">
        <is>
          <t>No</t>
        </is>
      </c>
      <c r="N55" s="9" t="inlineStr">
        <is>
          <t>Sells job-built production methods as a control advantage.</t>
        </is>
      </c>
      <c r="O55" s="10" t="inlineStr"/>
      <c r="P55" s="6">
        <f>HYPERLINK("https://www.linkedin.com/search/results/people/?keywords=Aaron%20Alford%20Long%20Lake%2C%20Ltd.","search")</f>
        <v/>
      </c>
      <c r="Q55" s="11">
        <f>IF(O55="","ADD LINKEDIN","ok")</f>
        <v/>
      </c>
      <c r="R55" s="6" t="inlineStr">
        <is>
          <t>https://www.longlakeltd.com/</t>
        </is>
      </c>
      <c r="S55" s="9" t="inlineStr">
        <is>
          <t>It develops its own land, so a pilot needs nobody else's permission, but it sells job-built methods as its control advantage.</t>
        </is>
      </c>
      <c r="T55" s="6" t="inlineStr"/>
      <c r="U55" s="9" t="inlineStr">
        <is>
          <t>Woodmere is Long Lake's land arm. This seat buys the ground.</t>
        </is>
      </c>
      <c r="V55" s="6" t="inlineStr">
        <is>
          <t>https://wolffcompanies.com/news/in-off-market-deal-long-lake-buys-494-acres-next-to-bridgeland-for-new-community/</t>
        </is>
      </c>
      <c r="W55" s="6" t="inlineStr"/>
      <c r="X55" s="6" t="inlineStr"/>
      <c r="Y55" s="6" t="inlineStr"/>
      <c r="Z55" s="6" t="inlineStr">
        <is>
          <t>(888) 498-6815</t>
        </is>
      </c>
      <c r="AA55" s="6" t="inlineStr"/>
      <c r="AB55" s="6" t="inlineStr">
        <is>
          <t>https://www.longlakeltd.com/</t>
        </is>
      </c>
      <c r="AC55" s="6" t="inlineStr"/>
      <c r="AD55" s="6" t="inlineStr"/>
    </row>
    <row r="56">
      <c r="A56" s="12" t="inlineStr">
        <is>
          <t>Phillippe Lord</t>
        </is>
      </c>
      <c r="B56" s="12" t="inlineStr">
        <is>
          <t>Meritage Homes Corporation</t>
        </is>
      </c>
      <c r="C56" s="12" t="inlineStr">
        <is>
          <t>Chief Executive Officer</t>
        </is>
      </c>
      <c r="D56" s="13" t="inlineStr">
        <is>
          <t>One gap</t>
        </is>
      </c>
      <c r="E56" s="14" t="n">
        <v>2</v>
      </c>
      <c r="F56" s="12" t="inlineStr">
        <is>
          <t>Buys walls</t>
        </is>
      </c>
      <c r="G56" s="12" t="inlineStr">
        <is>
          <t>Scottsdale HQ / Liberty, Harris</t>
        </is>
      </c>
      <c r="H56" s="12" t="inlineStr">
        <is>
          <t>1,428 Houston closings in 2025, fourth in the metro</t>
        </is>
      </c>
      <c r="I56" s="14" t="inlineStr">
        <is>
          <t>Yes</t>
        </is>
      </c>
      <c r="J56" s="15" t="inlineStr">
        <is>
          <t>45 to 60 foot lots at one site.</t>
        </is>
      </c>
      <c r="K56" s="14" t="inlineStr">
        <is>
          <t>No</t>
        </is>
      </c>
      <c r="L56" s="15" t="inlineStr">
        <is>
          <t>1,428 Houston closings in 2025, but it buys through a corporate purchasing desk.</t>
        </is>
      </c>
      <c r="M56" s="14" t="inlineStr">
        <is>
          <t>Partly</t>
        </is>
      </c>
      <c r="N56" s="15" t="inlineStr">
        <is>
          <t>Sub-110-day construction cycle held for four quarters. Nothing on wall systems.</t>
        </is>
      </c>
      <c r="O56" s="6" t="inlineStr">
        <is>
          <t>https://www.linkedin.com/in/phillippe-lord-72924012/</t>
        </is>
      </c>
      <c r="P56" s="12" t="inlineStr"/>
      <c r="Q56" s="16">
        <f>IF(O56="","ADD LINKEDIN","ok")</f>
        <v/>
      </c>
      <c r="R56" s="12" t="inlineStr">
        <is>
          <t>https://www.meritagehomes.com/</t>
        </is>
      </c>
      <c r="S56" s="15" t="inlineStr">
        <is>
          <t>It plans 1,000 homes at Trinity Landing, but buys through a corporate purchasing desk.</t>
        </is>
      </c>
      <c r="T56" s="12" t="inlineStr"/>
      <c r="U56" s="15" t="inlineStr">
        <is>
          <t>CEO, EVP at Meritage Homes.</t>
        </is>
      </c>
      <c r="V56" s="12" t="inlineStr"/>
      <c r="W56" s="12" t="inlineStr">
        <is>
          <t>https://www.linkedin.com/company/meritage-homes</t>
        </is>
      </c>
      <c r="X56" s="12" t="inlineStr">
        <is>
          <t>https://investors.meritagehomes.com/company-information/management-team</t>
        </is>
      </c>
      <c r="Y56" s="12" t="inlineStr"/>
      <c r="Z56" s="12" t="inlineStr">
        <is>
          <t>(833) 684-6527</t>
        </is>
      </c>
      <c r="AA56" s="12" t="inlineStr">
        <is>
          <t>warranty</t>
        </is>
      </c>
      <c r="AB56" s="12" t="inlineStr">
        <is>
          <t>https://www.meritagehomes.com/company/contact</t>
        </is>
      </c>
      <c r="AC56" s="12" t="inlineStr"/>
      <c r="AD56" s="12" t="inlineStr"/>
    </row>
    <row r="57">
      <c r="A57" s="6" t="inlineStr">
        <is>
          <t>Hilla Sferruzza</t>
        </is>
      </c>
      <c r="B57" s="6" t="inlineStr">
        <is>
          <t>Meritage Homes Corporation</t>
        </is>
      </c>
      <c r="C57" s="6" t="inlineStr">
        <is>
          <t>Executive Vice President and Chief Financial Officer</t>
        </is>
      </c>
      <c r="D57" s="7" t="inlineStr">
        <is>
          <t>One gap</t>
        </is>
      </c>
      <c r="E57" s="8" t="n">
        <v>2</v>
      </c>
      <c r="F57" s="6" t="inlineStr">
        <is>
          <t>Buys walls</t>
        </is>
      </c>
      <c r="G57" s="6" t="inlineStr">
        <is>
          <t>Scottsdale HQ / Liberty, Harris</t>
        </is>
      </c>
      <c r="H57" s="6" t="inlineStr">
        <is>
          <t>1,428 Houston closings in 2025, fourth in the metro</t>
        </is>
      </c>
      <c r="I57" s="8" t="inlineStr">
        <is>
          <t>Yes</t>
        </is>
      </c>
      <c r="J57" s="9" t="inlineStr">
        <is>
          <t>45 to 60 foot lots at one site.</t>
        </is>
      </c>
      <c r="K57" s="8" t="inlineStr">
        <is>
          <t>No</t>
        </is>
      </c>
      <c r="L57" s="9" t="inlineStr">
        <is>
          <t>1,428 Houston closings in 2025, but it buys through a corporate purchasing desk.</t>
        </is>
      </c>
      <c r="M57" s="8" t="inlineStr">
        <is>
          <t>Partly</t>
        </is>
      </c>
      <c r="N57" s="9" t="inlineStr">
        <is>
          <t>Sub-110-day construction cycle held for four quarters. Nothing on wall systems.</t>
        </is>
      </c>
      <c r="O57" s="10" t="inlineStr"/>
      <c r="P57" s="6">
        <f>HYPERLINK("https://www.linkedin.com/search/results/people/?keywords=Hilla%20Sferruzza%20Meritage%20Homes%20Corporation","search")</f>
        <v/>
      </c>
      <c r="Q57" s="11">
        <f>IF(O57="","ADD LINKEDIN","ok")</f>
        <v/>
      </c>
      <c r="R57" s="6" t="inlineStr">
        <is>
          <t>https://www.meritagehomes.com/</t>
        </is>
      </c>
      <c r="S57" s="9" t="inlineStr">
        <is>
          <t>It plans 1,000 homes at Trinity Landing, but buys through a corporate purchasing desk.</t>
        </is>
      </c>
      <c r="T57" s="6" t="inlineStr"/>
      <c r="U57" s="9" t="inlineStr"/>
      <c r="V57" s="6" t="inlineStr">
        <is>
          <t>https://investors.meritagehomes.com/company-information/management-team</t>
        </is>
      </c>
      <c r="W57" s="6" t="inlineStr">
        <is>
          <t>https://www.linkedin.com/company/meritage-homes</t>
        </is>
      </c>
      <c r="X57" s="6" t="inlineStr">
        <is>
          <t>https://investors.meritagehomes.com/company-information/management-team</t>
        </is>
      </c>
      <c r="Y57" s="6" t="inlineStr"/>
      <c r="Z57" s="6" t="inlineStr">
        <is>
          <t>(833) 684-6527</t>
        </is>
      </c>
      <c r="AA57" s="6" t="inlineStr">
        <is>
          <t>warranty</t>
        </is>
      </c>
      <c r="AB57" s="6" t="inlineStr">
        <is>
          <t>https://www.meritagehomes.com/company/contact</t>
        </is>
      </c>
      <c r="AC57" s="6" t="inlineStr"/>
      <c r="AD57" s="6" t="inlineStr"/>
    </row>
    <row r="58">
      <c r="A58" s="12" t="inlineStr">
        <is>
          <t>Steven J. Hilton</t>
        </is>
      </c>
      <c r="B58" s="12" t="inlineStr">
        <is>
          <t>Meritage Homes Corporation</t>
        </is>
      </c>
      <c r="C58" s="12" t="inlineStr">
        <is>
          <t>Executive Chairman of the Board</t>
        </is>
      </c>
      <c r="D58" s="13" t="inlineStr">
        <is>
          <t>One gap</t>
        </is>
      </c>
      <c r="E58" s="14" t="n">
        <v>2</v>
      </c>
      <c r="F58" s="12" t="inlineStr">
        <is>
          <t>Buys walls</t>
        </is>
      </c>
      <c r="G58" s="12" t="inlineStr">
        <is>
          <t>Scottsdale HQ / Liberty, Harris</t>
        </is>
      </c>
      <c r="H58" s="12" t="inlineStr">
        <is>
          <t>1,428 Houston closings in 2025, fourth in the metro</t>
        </is>
      </c>
      <c r="I58" s="14" t="inlineStr">
        <is>
          <t>Yes</t>
        </is>
      </c>
      <c r="J58" s="15" t="inlineStr">
        <is>
          <t>45 to 60 foot lots at one site.</t>
        </is>
      </c>
      <c r="K58" s="14" t="inlineStr">
        <is>
          <t>No</t>
        </is>
      </c>
      <c r="L58" s="15" t="inlineStr">
        <is>
          <t>1,428 Houston closings in 2025, but it buys through a corporate purchasing desk.</t>
        </is>
      </c>
      <c r="M58" s="14" t="inlineStr">
        <is>
          <t>Partly</t>
        </is>
      </c>
      <c r="N58" s="15" t="inlineStr">
        <is>
          <t>Sub-110-day construction cycle held for four quarters. Nothing on wall systems.</t>
        </is>
      </c>
      <c r="O58" s="10" t="inlineStr"/>
      <c r="P58" s="12">
        <f>HYPERLINK("https://www.linkedin.com/search/results/people/?keywords=Steven%20J.%20Hilton%20Meritage%20Homes%20Corporation","search")</f>
        <v/>
      </c>
      <c r="Q58" s="16">
        <f>IF(O58="","ADD LINKEDIN","ok")</f>
        <v/>
      </c>
      <c r="R58" s="12" t="inlineStr">
        <is>
          <t>https://www.meritagehomes.com/</t>
        </is>
      </c>
      <c r="S58" s="15" t="inlineStr">
        <is>
          <t>It plans 1,000 homes at Trinity Landing, but buys through a corporate purchasing desk.</t>
        </is>
      </c>
      <c r="T58" s="12" t="inlineStr"/>
      <c r="U58" s="15" t="inlineStr"/>
      <c r="V58" s="12" t="inlineStr">
        <is>
          <t>https://investors.meritagehomes.com/company-information/management-team</t>
        </is>
      </c>
      <c r="W58" s="12" t="inlineStr">
        <is>
          <t>https://www.linkedin.com/company/meritage-homes</t>
        </is>
      </c>
      <c r="X58" s="12" t="inlineStr">
        <is>
          <t>https://investors.meritagehomes.com/company-information/management-team</t>
        </is>
      </c>
      <c r="Y58" s="12" t="inlineStr"/>
      <c r="Z58" s="12" t="inlineStr">
        <is>
          <t>(833) 684-6527</t>
        </is>
      </c>
      <c r="AA58" s="12" t="inlineStr">
        <is>
          <t>warranty</t>
        </is>
      </c>
      <c r="AB58" s="12" t="inlineStr">
        <is>
          <t>https://www.meritagehomes.com/company/contact</t>
        </is>
      </c>
      <c r="AC58" s="12" t="inlineStr"/>
      <c r="AD58" s="12" t="inlineStr"/>
    </row>
    <row r="59">
      <c r="A59" s="6" t="inlineStr">
        <is>
          <t>no contact identified</t>
        </is>
      </c>
      <c r="B59" s="6" t="inlineStr">
        <is>
          <t>Smith Douglas Homes</t>
        </is>
      </c>
      <c r="C59" s="6" t="inlineStr"/>
      <c r="D59" s="7" t="inlineStr">
        <is>
          <t>One gap</t>
        </is>
      </c>
      <c r="E59" s="8" t="n">
        <v>2</v>
      </c>
      <c r="F59" s="6" t="inlineStr">
        <is>
          <t>Buys walls</t>
        </is>
      </c>
      <c r="G59" s="6" t="inlineStr">
        <is>
          <t>Houston, formerly Devon Street Homes</t>
        </is>
      </c>
      <c r="H59" s="6" t="inlineStr">
        <is>
          <t>324 closings in 2022 as Devon Street</t>
        </is>
      </c>
      <c r="I59" s="8" t="inlineStr">
        <is>
          <t>Yes</t>
        </is>
      </c>
      <c r="J59" s="9" t="inlineStr">
        <is>
          <t>324 homes across fifteen communities, on a standardised first-time-buyer product.</t>
        </is>
      </c>
      <c r="K59" s="8" t="inlineStr">
        <is>
          <t>Partly</t>
        </is>
      </c>
      <c r="L59" s="9" t="inlineStr">
        <is>
          <t>Parent listed January 2024. Purchasing may have centralised.</t>
        </is>
      </c>
      <c r="M59" s="8" t="inlineStr">
        <is>
          <t>No</t>
        </is>
      </c>
      <c r="N59" s="9" t="inlineStr">
        <is>
          <t>Standardised product. No new method.</t>
        </is>
      </c>
      <c r="O59" s="10" t="inlineStr"/>
      <c r="P59" s="6" t="inlineStr"/>
      <c r="Q59" s="11">
        <f>IF(O59="","ADD LINKEDIN","ok")</f>
        <v/>
      </c>
      <c r="R59" s="6" t="inlineStr">
        <is>
          <t>https://www.smithdouglas.com/</t>
        </is>
      </c>
      <c r="S59" s="9" t="inlineStr">
        <is>
          <t>Its parent listed in January 2024, so purchasing may have centralised, and no Houston division leader is published.</t>
        </is>
      </c>
      <c r="T59" s="6" t="inlineStr"/>
      <c r="U59" s="9" t="inlineStr"/>
      <c r="V59" s="6" t="inlineStr"/>
      <c r="W59" s="6" t="inlineStr"/>
      <c r="X59" s="6" t="inlineStr"/>
      <c r="Y59" s="6" t="inlineStr"/>
      <c r="Z59" s="6" t="inlineStr">
        <is>
          <t>(877) 552-3727</t>
        </is>
      </c>
      <c r="AA59" s="6" t="inlineStr"/>
      <c r="AB59" s="6" t="inlineStr">
        <is>
          <t>https://www.smithdouglas.com/</t>
        </is>
      </c>
      <c r="AC59" s="6" t="inlineStr"/>
      <c r="AD59" s="6" t="inlineStr"/>
    </row>
    <row r="60">
      <c r="A60" s="12" t="inlineStr">
        <is>
          <t>John Devens</t>
        </is>
      </c>
      <c r="B60" s="12" t="inlineStr">
        <is>
          <t>Camillo Companies (SimplyHome / Legend Homes)</t>
        </is>
      </c>
      <c r="C60" s="12" t="inlineStr">
        <is>
          <t>Houston Division President, Legend Homes</t>
        </is>
      </c>
      <c r="D60" s="13" t="inlineStr">
        <is>
          <t>One gap</t>
        </is>
      </c>
      <c r="E60" s="14" t="n">
        <v>2</v>
      </c>
      <c r="F60" s="12" t="inlineStr">
        <is>
          <t>Buys walls</t>
        </is>
      </c>
      <c r="G60" s="12" t="inlineStr">
        <is>
          <t>Houston HQ, Harris County</t>
        </is>
      </c>
      <c r="H60" s="12" t="inlineStr">
        <is>
          <t>More than 10,800 rental homes, August 2026</t>
        </is>
      </c>
      <c r="I60" s="14" t="inlineStr">
        <is>
          <t>Yes</t>
        </is>
      </c>
      <c r="J60" s="15" t="inlineStr">
        <is>
          <t>Lot bank of 25,000 to 35,000 residential lots at any time.</t>
        </is>
      </c>
      <c r="K60" s="14" t="inlineStr">
        <is>
          <t>Partly</t>
        </is>
      </c>
      <c r="L60" s="15" t="inlineStr">
        <is>
          <t>Ten thousandth rental home in May 2023.</t>
        </is>
      </c>
      <c r="M60" s="14" t="inlineStr">
        <is>
          <t>No</t>
        </is>
      </c>
      <c r="N60" s="15" t="inlineStr">
        <is>
          <t>No construction-method statement.</t>
        </is>
      </c>
      <c r="O60" s="10" t="inlineStr"/>
      <c r="P60" s="12" t="inlineStr"/>
      <c r="Q60" s="16">
        <f>IF(O60="","ADD LINKEDIN","ok")</f>
        <v/>
      </c>
      <c r="R60" s="12" t="inlineStr">
        <is>
          <t>https://www.camillocompanies.com/</t>
        </is>
      </c>
      <c r="S60" s="15" t="inlineStr">
        <is>
          <t>It builds and holds rental homes on a lot bank of 25,000 to 35,000 lots, but publishes no construction method.</t>
        </is>
      </c>
      <c r="T60" s="12" t="inlineStr">
        <is>
          <t>YES</t>
        </is>
      </c>
      <c r="U60" s="15" t="inlineStr">
        <is>
          <t>Camillo release, 3 March 2026. Ran construction and purchasing from 2017.</t>
        </is>
      </c>
      <c r="V60" s="12" t="inlineStr">
        <is>
          <t>https://www.camillocompanies.com/legend-homes-names-john-devens-as-houston-division-president</t>
        </is>
      </c>
      <c r="W60" s="12" t="inlineStr">
        <is>
          <t>https://www.linkedin.com/company/camillo-companies</t>
        </is>
      </c>
      <c r="X60" s="12" t="inlineStr">
        <is>
          <t>https://www.camillocompanies.com/about-us</t>
        </is>
      </c>
      <c r="Y60" s="12" t="inlineStr"/>
      <c r="Z60" s="12" t="inlineStr">
        <is>
          <t>(888) 234-9451</t>
        </is>
      </c>
      <c r="AA60" s="12" t="inlineStr"/>
      <c r="AB60" s="12" t="inlineStr">
        <is>
          <t>https://www.camillocompanies.com/</t>
        </is>
      </c>
      <c r="AC60" s="12" t="inlineStr"/>
      <c r="AD60" s="12" t="inlineStr"/>
    </row>
    <row r="61">
      <c r="A61" s="6" t="inlineStr">
        <is>
          <t>Dan Miller</t>
        </is>
      </c>
      <c r="B61" s="6" t="inlineStr">
        <is>
          <t>Camillo Companies (SimplyHome / Legend Homes)</t>
        </is>
      </c>
      <c r="C61" s="6" t="inlineStr">
        <is>
          <t>Chief Executive Officer</t>
        </is>
      </c>
      <c r="D61" s="7" t="inlineStr">
        <is>
          <t>One gap</t>
        </is>
      </c>
      <c r="E61" s="8" t="n">
        <v>2</v>
      </c>
      <c r="F61" s="6" t="inlineStr">
        <is>
          <t>Buys walls</t>
        </is>
      </c>
      <c r="G61" s="6" t="inlineStr">
        <is>
          <t>Houston HQ, Harris County</t>
        </is>
      </c>
      <c r="H61" s="6" t="inlineStr">
        <is>
          <t>More than 10,800 rental homes, August 2026</t>
        </is>
      </c>
      <c r="I61" s="8" t="inlineStr">
        <is>
          <t>Yes</t>
        </is>
      </c>
      <c r="J61" s="9" t="inlineStr">
        <is>
          <t>Lot bank of 25,000 to 35,000 residential lots at any time.</t>
        </is>
      </c>
      <c r="K61" s="8" t="inlineStr">
        <is>
          <t>Partly</t>
        </is>
      </c>
      <c r="L61" s="9" t="inlineStr">
        <is>
          <t>Ten thousandth rental home in May 2023.</t>
        </is>
      </c>
      <c r="M61" s="8" t="inlineStr">
        <is>
          <t>No</t>
        </is>
      </c>
      <c r="N61" s="9" t="inlineStr">
        <is>
          <t>No construction-method statement.</t>
        </is>
      </c>
      <c r="O61" s="10" t="inlineStr"/>
      <c r="P61" s="6">
        <f>HYPERLINK("https://www.linkedin.com/search/results/people/?keywords=Dan%20Miller%20Camillo%20Companies","search")</f>
        <v/>
      </c>
      <c r="Q61" s="11">
        <f>IF(O61="","ADD LINKEDIN","ok")</f>
        <v/>
      </c>
      <c r="R61" s="6" t="inlineStr">
        <is>
          <t>https://www.camillocompanies.com/</t>
        </is>
      </c>
      <c r="S61" s="9" t="inlineStr">
        <is>
          <t>It builds and holds rental homes on a lot bank of 25,000 to 35,000 lots, but publishes no construction method.</t>
        </is>
      </c>
      <c r="T61" s="6" t="inlineStr"/>
      <c r="U61" s="9" t="inlineStr"/>
      <c r="V61" s="6" t="inlineStr">
        <is>
          <t>https://www.camillocompanies.com/about-us</t>
        </is>
      </c>
      <c r="W61" s="6" t="inlineStr">
        <is>
          <t>https://www.linkedin.com/company/camillo-companies</t>
        </is>
      </c>
      <c r="X61" s="6" t="inlineStr">
        <is>
          <t>https://www.camillocompanies.com/about-us</t>
        </is>
      </c>
      <c r="Y61" s="6" t="inlineStr"/>
      <c r="Z61" s="6" t="inlineStr">
        <is>
          <t>(888) 234-9451</t>
        </is>
      </c>
      <c r="AA61" s="6" t="inlineStr"/>
      <c r="AB61" s="6" t="inlineStr">
        <is>
          <t>https://www.camillocompanies.com/</t>
        </is>
      </c>
      <c r="AC61" s="6" t="inlineStr"/>
      <c r="AD61" s="6" t="inlineStr"/>
    </row>
    <row r="62">
      <c r="A62" s="12" t="inlineStr">
        <is>
          <t>Lee Darnold</t>
        </is>
      </c>
      <c r="B62" s="12" t="inlineStr">
        <is>
          <t>Camillo Companies (SimplyHome / Legend Homes)</t>
        </is>
      </c>
      <c r="C62" s="12" t="inlineStr">
        <is>
          <t>President, Legend Homes by Camillo</t>
        </is>
      </c>
      <c r="D62" s="13" t="inlineStr">
        <is>
          <t>One gap</t>
        </is>
      </c>
      <c r="E62" s="14" t="n">
        <v>2</v>
      </c>
      <c r="F62" s="12" t="inlineStr">
        <is>
          <t>Buys walls</t>
        </is>
      </c>
      <c r="G62" s="12" t="inlineStr">
        <is>
          <t>Houston HQ, Harris County</t>
        </is>
      </c>
      <c r="H62" s="12" t="inlineStr">
        <is>
          <t>More than 10,800 rental homes, August 2026</t>
        </is>
      </c>
      <c r="I62" s="14" t="inlineStr">
        <is>
          <t>Yes</t>
        </is>
      </c>
      <c r="J62" s="15" t="inlineStr">
        <is>
          <t>Lot bank of 25,000 to 35,000 residential lots at any time.</t>
        </is>
      </c>
      <c r="K62" s="14" t="inlineStr">
        <is>
          <t>Partly</t>
        </is>
      </c>
      <c r="L62" s="15" t="inlineStr">
        <is>
          <t>Ten thousandth rental home in May 2023.</t>
        </is>
      </c>
      <c r="M62" s="14" t="inlineStr">
        <is>
          <t>No</t>
        </is>
      </c>
      <c r="N62" s="15" t="inlineStr">
        <is>
          <t>No construction-method statement.</t>
        </is>
      </c>
      <c r="O62" s="10" t="inlineStr"/>
      <c r="P62" s="12">
        <f>HYPERLINK("https://www.linkedin.com/search/results/people/?keywords=Lee%20Darnold%20Camillo%20Companies","search")</f>
        <v/>
      </c>
      <c r="Q62" s="16">
        <f>IF(O62="","ADD LINKEDIN","ok")</f>
        <v/>
      </c>
      <c r="R62" s="12" t="inlineStr">
        <is>
          <t>https://www.camillocompanies.com/</t>
        </is>
      </c>
      <c r="S62" s="15" t="inlineStr">
        <is>
          <t>It builds and holds rental homes on a lot bank of 25,000 to 35,000 lots, but publishes no construction method.</t>
        </is>
      </c>
      <c r="T62" s="12" t="inlineStr"/>
      <c r="U62" s="15" t="inlineStr"/>
      <c r="V62" s="12" t="inlineStr">
        <is>
          <t>https://www.camillocompanies.com/about-us</t>
        </is>
      </c>
      <c r="W62" s="12" t="inlineStr">
        <is>
          <t>https://www.linkedin.com/company/camillo-companies</t>
        </is>
      </c>
      <c r="X62" s="12" t="inlineStr">
        <is>
          <t>https://www.camillocompanies.com/about-us</t>
        </is>
      </c>
      <c r="Y62" s="12" t="inlineStr"/>
      <c r="Z62" s="12" t="inlineStr">
        <is>
          <t>(888) 234-9451</t>
        </is>
      </c>
      <c r="AA62" s="12" t="inlineStr"/>
      <c r="AB62" s="12" t="inlineStr">
        <is>
          <t>https://www.camillocompanies.com/</t>
        </is>
      </c>
      <c r="AC62" s="12" t="inlineStr"/>
      <c r="AD62" s="12" t="inlineStr"/>
    </row>
    <row r="63">
      <c r="A63" s="6" t="inlineStr">
        <is>
          <t>Sean Mulroony</t>
        </is>
      </c>
      <c r="B63" s="6" t="inlineStr">
        <is>
          <t>Camillo Companies (SimplyHome / Legend Homes)</t>
        </is>
      </c>
      <c r="C63" s="6" t="inlineStr">
        <is>
          <t>President, Academy Development by Camillo</t>
        </is>
      </c>
      <c r="D63" s="7" t="inlineStr">
        <is>
          <t>One gap</t>
        </is>
      </c>
      <c r="E63" s="8" t="n">
        <v>2</v>
      </c>
      <c r="F63" s="6" t="inlineStr">
        <is>
          <t>Buys walls</t>
        </is>
      </c>
      <c r="G63" s="6" t="inlineStr">
        <is>
          <t>Houston HQ, Harris County</t>
        </is>
      </c>
      <c r="H63" s="6" t="inlineStr">
        <is>
          <t>More than 10,800 rental homes, August 2026</t>
        </is>
      </c>
      <c r="I63" s="8" t="inlineStr">
        <is>
          <t>Yes</t>
        </is>
      </c>
      <c r="J63" s="9" t="inlineStr">
        <is>
          <t>Lot bank of 25,000 to 35,000 residential lots at any time.</t>
        </is>
      </c>
      <c r="K63" s="8" t="inlineStr">
        <is>
          <t>Partly</t>
        </is>
      </c>
      <c r="L63" s="9" t="inlineStr">
        <is>
          <t>Ten thousandth rental home in May 2023.</t>
        </is>
      </c>
      <c r="M63" s="8" t="inlineStr">
        <is>
          <t>No</t>
        </is>
      </c>
      <c r="N63" s="9" t="inlineStr">
        <is>
          <t>No construction-method statement.</t>
        </is>
      </c>
      <c r="O63" s="10" t="inlineStr"/>
      <c r="P63" s="6">
        <f>HYPERLINK("https://www.linkedin.com/search/results/people/?keywords=Sean%20Mulroony%20Camillo%20Companies","search")</f>
        <v/>
      </c>
      <c r="Q63" s="11">
        <f>IF(O63="","ADD LINKEDIN","ok")</f>
        <v/>
      </c>
      <c r="R63" s="6" t="inlineStr">
        <is>
          <t>https://www.camillocompanies.com/</t>
        </is>
      </c>
      <c r="S63" s="9" t="inlineStr">
        <is>
          <t>It builds and holds rental homes on a lot bank of 25,000 to 35,000 lots, but publishes no construction method.</t>
        </is>
      </c>
      <c r="T63" s="6" t="inlineStr"/>
      <c r="U63" s="9" t="inlineStr"/>
      <c r="V63" s="6" t="inlineStr">
        <is>
          <t>https://www.camillocompanies.com/about-us</t>
        </is>
      </c>
      <c r="W63" s="6" t="inlineStr">
        <is>
          <t>https://www.linkedin.com/company/camillo-companies</t>
        </is>
      </c>
      <c r="X63" s="6" t="inlineStr">
        <is>
          <t>https://www.camillocompanies.com/about-us</t>
        </is>
      </c>
      <c r="Y63" s="6" t="inlineStr"/>
      <c r="Z63" s="6" t="inlineStr">
        <is>
          <t>(888) 234-9451</t>
        </is>
      </c>
      <c r="AA63" s="6" t="inlineStr"/>
      <c r="AB63" s="6" t="inlineStr">
        <is>
          <t>https://www.camillocompanies.com/</t>
        </is>
      </c>
      <c r="AC63" s="6" t="inlineStr"/>
      <c r="AD63" s="6" t="inlineStr"/>
    </row>
    <row r="64">
      <c r="A64" s="12" t="inlineStr">
        <is>
          <t>Jomar Ereso</t>
        </is>
      </c>
      <c r="B64" s="12" t="inlineStr">
        <is>
          <t>Camillo Companies (SimplyHome / Legend Homes)</t>
        </is>
      </c>
      <c r="C64" s="12" t="inlineStr">
        <is>
          <t>Chief Financial Officer</t>
        </is>
      </c>
      <c r="D64" s="13" t="inlineStr">
        <is>
          <t>One gap</t>
        </is>
      </c>
      <c r="E64" s="14" t="n">
        <v>2</v>
      </c>
      <c r="F64" s="12" t="inlineStr">
        <is>
          <t>Buys walls</t>
        </is>
      </c>
      <c r="G64" s="12" t="inlineStr">
        <is>
          <t>Houston HQ, Harris County</t>
        </is>
      </c>
      <c r="H64" s="12" t="inlineStr">
        <is>
          <t>More than 10,800 rental homes, August 2026</t>
        </is>
      </c>
      <c r="I64" s="14" t="inlineStr">
        <is>
          <t>Yes</t>
        </is>
      </c>
      <c r="J64" s="15" t="inlineStr">
        <is>
          <t>Lot bank of 25,000 to 35,000 residential lots at any time.</t>
        </is>
      </c>
      <c r="K64" s="14" t="inlineStr">
        <is>
          <t>Partly</t>
        </is>
      </c>
      <c r="L64" s="15" t="inlineStr">
        <is>
          <t>Ten thousandth rental home in May 2023.</t>
        </is>
      </c>
      <c r="M64" s="14" t="inlineStr">
        <is>
          <t>No</t>
        </is>
      </c>
      <c r="N64" s="15" t="inlineStr">
        <is>
          <t>No construction-method statement.</t>
        </is>
      </c>
      <c r="O64" s="10" t="inlineStr"/>
      <c r="P64" s="12">
        <f>HYPERLINK("https://www.linkedin.com/search/results/people/?keywords=Jomar%20Ereso%20Camillo%20Companies","search")</f>
        <v/>
      </c>
      <c r="Q64" s="16">
        <f>IF(O64="","ADD LINKEDIN","ok")</f>
        <v/>
      </c>
      <c r="R64" s="12" t="inlineStr">
        <is>
          <t>https://www.camillocompanies.com/</t>
        </is>
      </c>
      <c r="S64" s="15" t="inlineStr">
        <is>
          <t>It builds and holds rental homes on a lot bank of 25,000 to 35,000 lots, but publishes no construction method.</t>
        </is>
      </c>
      <c r="T64" s="12" t="inlineStr"/>
      <c r="U64" s="15" t="inlineStr"/>
      <c r="V64" s="12" t="inlineStr">
        <is>
          <t>https://www.camillocompanies.com/about-us</t>
        </is>
      </c>
      <c r="W64" s="12" t="inlineStr">
        <is>
          <t>https://www.linkedin.com/company/camillo-companies</t>
        </is>
      </c>
      <c r="X64" s="12" t="inlineStr">
        <is>
          <t>https://www.camillocompanies.com/about-us</t>
        </is>
      </c>
      <c r="Y64" s="12" t="inlineStr"/>
      <c r="Z64" s="12" t="inlineStr">
        <is>
          <t>(888) 234-9451</t>
        </is>
      </c>
      <c r="AA64" s="12" t="inlineStr"/>
      <c r="AB64" s="12" t="inlineStr">
        <is>
          <t>https://www.camillocompanies.com/</t>
        </is>
      </c>
      <c r="AC64" s="12" t="inlineStr"/>
      <c r="AD64" s="12" t="inlineStr"/>
    </row>
    <row r="65">
      <c r="A65" s="6" t="inlineStr">
        <is>
          <t>Lance Wright</t>
        </is>
      </c>
      <c r="B65" s="6" t="inlineStr">
        <is>
          <t>CastleRock Communities</t>
        </is>
      </c>
      <c r="C65" s="6" t="inlineStr">
        <is>
          <t>Chief Executive Officer and Founding Partner</t>
        </is>
      </c>
      <c r="D65" s="7" t="inlineStr">
        <is>
          <t>One gap</t>
        </is>
      </c>
      <c r="E65" s="8" t="n">
        <v>2</v>
      </c>
      <c r="F65" s="6" t="inlineStr">
        <is>
          <t>Buys walls</t>
        </is>
      </c>
      <c r="G65" s="6" t="inlineStr">
        <is>
          <t>Houston HQ / Fort Bend</t>
        </is>
      </c>
      <c r="H65" s="6" t="inlineStr">
        <is>
          <t>1,465 closings company-wide in 2025</t>
        </is>
      </c>
      <c r="I65" s="8" t="inlineStr">
        <is>
          <t>Yes</t>
        </is>
      </c>
      <c r="J65" s="9" t="inlineStr">
        <is>
          <t>20,000-plus homes since 2004. 1,600-plus closings in 2020.</t>
        </is>
      </c>
      <c r="K65" s="8" t="inlineStr">
        <is>
          <t>Partly</t>
        </is>
      </c>
      <c r="L65" s="9" t="inlineStr">
        <is>
          <t>1,465 closings in 2025, per the Builder 100. Inside the 400 to 1,500 band.</t>
        </is>
      </c>
      <c r="M65" s="8" t="inlineStr">
        <is>
          <t>No</t>
        </is>
      </c>
      <c r="N65" s="9" t="inlineStr">
        <is>
          <t>Daiwa House builds industrially in Japan. Nothing links that to CastleRock's method.</t>
        </is>
      </c>
      <c r="O65" s="10" t="inlineStr"/>
      <c r="P65" s="6">
        <f>HYPERLINK("https://www.linkedin.com/search/results/people/?keywords=Lance%20Wright%20CastleRock%20Communities","search")</f>
        <v/>
      </c>
      <c r="Q65" s="11">
        <f>IF(O65="","ADD LINKEDIN","ok")</f>
        <v/>
      </c>
      <c r="R65" s="6" t="inlineStr">
        <is>
          <t>https://www.c-rock.com/</t>
        </is>
      </c>
      <c r="S65" s="9" t="inlineStr">
        <is>
          <t>Daiwa House holds 80 percent and builds industrially in Japan, but nothing links that to CastleRock's method.</t>
        </is>
      </c>
      <c r="T65" s="6" t="inlineStr"/>
      <c r="U65" s="9" t="inlineStr"/>
      <c r="V65" s="6" t="inlineStr">
        <is>
          <t>https://www.c-rock.com/about</t>
        </is>
      </c>
      <c r="W65" s="6" t="inlineStr">
        <is>
          <t>https://www.linkedin.com/company/castlerock-communities</t>
        </is>
      </c>
      <c r="X65" s="6" t="inlineStr">
        <is>
          <t>https://www.c-rock.com/about</t>
        </is>
      </c>
      <c r="Y65" s="6" t="inlineStr"/>
      <c r="Z65" s="6" t="inlineStr">
        <is>
          <t>(713) 600-7000</t>
        </is>
      </c>
      <c r="AA65" s="6" t="inlineStr"/>
      <c r="AB65" s="6" t="inlineStr">
        <is>
          <t>https://www.c-rock.com/</t>
        </is>
      </c>
      <c r="AC65" s="6" t="inlineStr"/>
      <c r="AD65" s="6" t="inlineStr"/>
    </row>
    <row r="66">
      <c r="A66" s="12" t="inlineStr">
        <is>
          <t>Kirk Breitenwischer</t>
        </is>
      </c>
      <c r="B66" s="12" t="inlineStr">
        <is>
          <t>CastleRock Communities</t>
        </is>
      </c>
      <c r="C66" s="12" t="inlineStr">
        <is>
          <t>Senior Executive Vice President</t>
        </is>
      </c>
      <c r="D66" s="13" t="inlineStr">
        <is>
          <t>One gap</t>
        </is>
      </c>
      <c r="E66" s="14" t="n">
        <v>2</v>
      </c>
      <c r="F66" s="12" t="inlineStr">
        <is>
          <t>Buys walls</t>
        </is>
      </c>
      <c r="G66" s="12" t="inlineStr">
        <is>
          <t>Houston HQ / Fort Bend</t>
        </is>
      </c>
      <c r="H66" s="12" t="inlineStr">
        <is>
          <t>1,465 closings company-wide in 2025</t>
        </is>
      </c>
      <c r="I66" s="14" t="inlineStr">
        <is>
          <t>Yes</t>
        </is>
      </c>
      <c r="J66" s="15" t="inlineStr">
        <is>
          <t>20,000-plus homes since 2004. 1,600-plus closings in 2020.</t>
        </is>
      </c>
      <c r="K66" s="14" t="inlineStr">
        <is>
          <t>Partly</t>
        </is>
      </c>
      <c r="L66" s="15" t="inlineStr">
        <is>
          <t>1,465 closings in 2025, per the Builder 100. Inside the 400 to 1,500 band.</t>
        </is>
      </c>
      <c r="M66" s="14" t="inlineStr">
        <is>
          <t>No</t>
        </is>
      </c>
      <c r="N66" s="15" t="inlineStr">
        <is>
          <t>Daiwa House builds industrially in Japan. Nothing links that to CastleRock's method.</t>
        </is>
      </c>
      <c r="O66" s="6" t="inlineStr">
        <is>
          <t>https://www.linkedin.com/in/kirk-breitenwischer-32778312/</t>
        </is>
      </c>
      <c r="P66" s="12" t="inlineStr"/>
      <c r="Q66" s="16">
        <f>IF(O66="","ADD LINKEDIN","ok")</f>
        <v/>
      </c>
      <c r="R66" s="12" t="inlineStr">
        <is>
          <t>https://www.c-rock.com/</t>
        </is>
      </c>
      <c r="S66" s="15" t="inlineStr">
        <is>
          <t>Daiwa House holds 80 percent and builds industrially in Japan, but nothing links that to CastleRock's method.</t>
        </is>
      </c>
      <c r="T66" s="12" t="inlineStr"/>
      <c r="U66" s="15" t="inlineStr">
        <is>
          <t>Headline: VP, Castlerock Communities, Houston. No function given.</t>
        </is>
      </c>
      <c r="V66" s="12" t="inlineStr"/>
      <c r="W66" s="12" t="inlineStr">
        <is>
          <t>https://www.linkedin.com/company/castlerock-communities</t>
        </is>
      </c>
      <c r="X66" s="12" t="inlineStr">
        <is>
          <t>https://www.c-rock.com/about</t>
        </is>
      </c>
      <c r="Y66" s="12" t="inlineStr"/>
      <c r="Z66" s="12" t="inlineStr">
        <is>
          <t>(713) 600-7000</t>
        </is>
      </c>
      <c r="AA66" s="12" t="inlineStr"/>
      <c r="AB66" s="12" t="inlineStr">
        <is>
          <t>https://www.c-rock.com/</t>
        </is>
      </c>
      <c r="AC66" s="12" t="inlineStr"/>
      <c r="AD66" s="12" t="inlineStr"/>
    </row>
    <row r="67">
      <c r="A67" s="6" t="inlineStr">
        <is>
          <t>Samuel Sanders</t>
        </is>
      </c>
      <c r="B67" s="6" t="inlineStr">
        <is>
          <t>Clay Residential</t>
        </is>
      </c>
      <c r="C67" s="6" t="inlineStr">
        <is>
          <t>Vice President of Construction Operations</t>
        </is>
      </c>
      <c r="D67" s="7" t="inlineStr">
        <is>
          <t>One gap</t>
        </is>
      </c>
      <c r="E67" s="8" t="n">
        <v>2</v>
      </c>
      <c r="F67" s="6" t="inlineStr">
        <is>
          <t>Buys walls</t>
        </is>
      </c>
      <c r="G67" s="6" t="inlineStr">
        <is>
          <t>Houston / Cypress, Iowa Colony</t>
        </is>
      </c>
      <c r="H67" s="6" t="inlineStr">
        <is>
          <t>465 rental homes in two Houston communities, 368 and 97</t>
        </is>
      </c>
      <c r="I67" s="8" t="inlineStr">
        <is>
          <t>Yes</t>
        </is>
      </c>
      <c r="J67" s="9" t="inlineStr">
        <is>
          <t>465 homes across two communities, on three, four and five bedroom plans.</t>
        </is>
      </c>
      <c r="K67" s="8" t="inlineStr">
        <is>
          <t>Partly</t>
        </is>
      </c>
      <c r="L67" s="9" t="inlineStr">
        <is>
          <t>465 homes across two communities, a project total above 400.</t>
        </is>
      </c>
      <c r="M67" s="8" t="inlineStr">
        <is>
          <t>No</t>
        </is>
      </c>
      <c r="N67" s="9" t="inlineStr">
        <is>
          <t>Construction page names subcontractors and suppliers. No method.</t>
        </is>
      </c>
      <c r="O67" s="10" t="inlineStr"/>
      <c r="P67" s="6">
        <f>HYPERLINK("https://www.linkedin.com/search/results/people/?keywords=Samuel%20Sanders%20Clay%20Residential","search")</f>
        <v/>
      </c>
      <c r="Q67" s="11">
        <f>IF(O67="","ADD LINKEDIN","ok")</f>
        <v/>
      </c>
      <c r="R67" s="6" t="inlineStr">
        <is>
          <t>https://www.clayresidential.com/</t>
        </is>
      </c>
      <c r="S67" s="9" t="inlineStr">
        <is>
          <t>It repeats three, four and five bedroom rental plans, and it names its construction seat.</t>
        </is>
      </c>
      <c r="T67" s="6" t="inlineStr">
        <is>
          <t>YES</t>
        </is>
      </c>
      <c r="U67" s="9" t="inlineStr">
        <is>
          <t>Primary contact, Greater Houston Builders Association record.</t>
        </is>
      </c>
      <c r="V67" s="6" t="inlineStr">
        <is>
          <t>https://members.ghba.org/memberdirectory/Details/clay-residential-2924528</t>
        </is>
      </c>
      <c r="W67" s="6" t="inlineStr"/>
      <c r="X67" s="6" t="inlineStr"/>
      <c r="Y67" s="6" t="inlineStr"/>
      <c r="Z67" s="6" t="inlineStr">
        <is>
          <t>(281) 407-6466</t>
        </is>
      </c>
      <c r="AA67" s="6" t="inlineStr"/>
      <c r="AB67" s="6" t="inlineStr">
        <is>
          <t>https://www.clayresidential.com/</t>
        </is>
      </c>
      <c r="AC67" s="6" t="inlineStr"/>
      <c r="AD67" s="6" t="inlineStr"/>
    </row>
    <row r="68">
      <c r="A68" s="12" t="inlineStr">
        <is>
          <t>Franck Boursier</t>
        </is>
      </c>
      <c r="B68" s="12" t="inlineStr">
        <is>
          <t>Everlasting Homes Building Group</t>
        </is>
      </c>
      <c r="C68" s="12" t="inlineStr">
        <is>
          <t>Chief Executive Officer and co-founder</t>
        </is>
      </c>
      <c r="D68" s="13" t="inlineStr">
        <is>
          <t>One gap</t>
        </is>
      </c>
      <c r="E68" s="14" t="n">
        <v>2</v>
      </c>
      <c r="F68" s="12" t="inlineStr">
        <is>
          <t>Buys walls</t>
        </is>
      </c>
      <c r="G68" s="12" t="inlineStr">
        <is>
          <t>Houston, Harris</t>
        </is>
      </c>
      <c r="H68" s="12" t="inlineStr">
        <is>
          <t>Six Houston homes on structural concrete insulated panels</t>
        </is>
      </c>
      <c r="I68" s="14" t="inlineStr">
        <is>
          <t>No</t>
        </is>
      </c>
      <c r="J68" s="15" t="inlineStr">
        <is>
          <t>Each house designed for its site.</t>
        </is>
      </c>
      <c r="K68" s="14" t="inlineStr">
        <is>
          <t>Partly</t>
        </is>
      </c>
      <c r="L68" s="15" t="inlineStr">
        <is>
          <t>No annual volume published.</t>
        </is>
      </c>
      <c r="M68" s="14" t="inlineStr">
        <is>
          <t>Yes</t>
        </is>
      </c>
      <c r="N68" s="15" t="inlineStr">
        <is>
          <t>Adopted the system when new to this market. Promoted it on television.</t>
        </is>
      </c>
      <c r="O68" s="10" t="inlineStr"/>
      <c r="P68" s="12" t="inlineStr"/>
      <c r="Q68" s="16">
        <f>IF(O68="","ADD LINKEDIN","ok")</f>
        <v/>
      </c>
      <c r="R68" s="12" t="inlineStr">
        <is>
          <t>https://www.everlastinghomesgroup.com/</t>
        </is>
      </c>
      <c r="S68" s="15" t="inlineStr">
        <is>
          <t>It already builds every wall in concrete, but each house is designed for its site, so no plan repeats.</t>
        </is>
      </c>
      <c r="T68" s="12" t="inlineStr">
        <is>
          <t>YES</t>
        </is>
      </c>
      <c r="U68" s="15" t="inlineStr">
        <is>
          <t>Firm's own site, business record. Chief executive and a founder.</t>
        </is>
      </c>
      <c r="V68" s="12" t="inlineStr">
        <is>
          <t>https://www.everlastinghomesgroup.com/</t>
        </is>
      </c>
      <c r="W68" s="12" t="inlineStr"/>
      <c r="X68" s="12" t="inlineStr"/>
      <c r="Y68" s="12" t="inlineStr"/>
      <c r="Z68" s="12" t="inlineStr">
        <is>
          <t>(281) 915-9791</t>
        </is>
      </c>
      <c r="AA68" s="12" t="inlineStr">
        <is>
          <t>Greater Houston</t>
        </is>
      </c>
      <c r="AB68" s="12" t="inlineStr">
        <is>
          <t>https://www.everlastinghomesgroup.com/</t>
        </is>
      </c>
      <c r="AC68" s="12" t="inlineStr"/>
      <c r="AD68" s="12" t="inlineStr"/>
    </row>
    <row r="69">
      <c r="A69" s="6" t="inlineStr">
        <is>
          <t>George Mock</t>
        </is>
      </c>
      <c r="B69" s="6" t="inlineStr">
        <is>
          <t>Everlasting Homes Building Group</t>
        </is>
      </c>
      <c r="C69" s="6" t="inlineStr">
        <is>
          <t>General Manager</t>
        </is>
      </c>
      <c r="D69" s="7" t="inlineStr">
        <is>
          <t>One gap</t>
        </is>
      </c>
      <c r="E69" s="8" t="n">
        <v>2</v>
      </c>
      <c r="F69" s="6" t="inlineStr">
        <is>
          <t>Buys walls</t>
        </is>
      </c>
      <c r="G69" s="6" t="inlineStr">
        <is>
          <t>Houston, Harris</t>
        </is>
      </c>
      <c r="H69" s="6" t="inlineStr">
        <is>
          <t>Six Houston homes on structural concrete insulated panels</t>
        </is>
      </c>
      <c r="I69" s="8" t="inlineStr">
        <is>
          <t>No</t>
        </is>
      </c>
      <c r="J69" s="9" t="inlineStr">
        <is>
          <t>Each house designed for its site.</t>
        </is>
      </c>
      <c r="K69" s="8" t="inlineStr">
        <is>
          <t>Partly</t>
        </is>
      </c>
      <c r="L69" s="9" t="inlineStr">
        <is>
          <t>No annual volume published.</t>
        </is>
      </c>
      <c r="M69" s="8" t="inlineStr">
        <is>
          <t>Yes</t>
        </is>
      </c>
      <c r="N69" s="9" t="inlineStr">
        <is>
          <t>Adopted the system when new to this market. Promoted it on television.</t>
        </is>
      </c>
      <c r="O69" s="10" t="inlineStr"/>
      <c r="P69" s="6" t="inlineStr"/>
      <c r="Q69" s="11">
        <f>IF(O69="","ADD LINKEDIN","ok")</f>
        <v/>
      </c>
      <c r="R69" s="6" t="inlineStr">
        <is>
          <t>https://www.everlastinghomesgroup.com/</t>
        </is>
      </c>
      <c r="S69" s="9" t="inlineStr">
        <is>
          <t>It already builds every wall in concrete, but each house is designed for its site, so no plan repeats.</t>
        </is>
      </c>
      <c r="T69" s="6" t="inlineStr">
        <is>
          <t>YES</t>
        </is>
      </c>
      <c r="U69" s="9" t="inlineStr">
        <is>
          <t>Firm's own site, business record. General manager and a founder.</t>
        </is>
      </c>
      <c r="V69" s="6" t="inlineStr">
        <is>
          <t>https://www.everlastinghomesgroup.com/</t>
        </is>
      </c>
      <c r="W69" s="6" t="inlineStr"/>
      <c r="X69" s="6" t="inlineStr"/>
      <c r="Y69" s="6" t="inlineStr"/>
      <c r="Z69" s="6" t="inlineStr">
        <is>
          <t>(281) 915-9791</t>
        </is>
      </c>
      <c r="AA69" s="6" t="inlineStr">
        <is>
          <t>Greater Houston</t>
        </is>
      </c>
      <c r="AB69" s="6" t="inlineStr">
        <is>
          <t>https://www.everlastinghomesgroup.com/</t>
        </is>
      </c>
      <c r="AC69" s="6" t="inlineStr"/>
      <c r="AD69" s="6" t="inlineStr"/>
    </row>
    <row r="70">
      <c r="A70" s="12" t="inlineStr">
        <is>
          <t>Frank Liu</t>
        </is>
      </c>
      <c r="B70" s="12" t="inlineStr">
        <is>
          <t>InTown Homes / Lovett Commercial (Frank Liu)</t>
        </is>
      </c>
      <c r="C70" s="12" t="inlineStr">
        <is>
          <t>Founder, InTown Homes, and President, Lovett Commercial</t>
        </is>
      </c>
      <c r="D70" s="13" t="inlineStr">
        <is>
          <t>One gap</t>
        </is>
      </c>
      <c r="E70" s="14" t="n">
        <v>2</v>
      </c>
      <c r="F70" s="12" t="inlineStr">
        <is>
          <t>Buys walls</t>
        </is>
      </c>
      <c r="G70" s="12" t="inlineStr">
        <is>
          <t>Inner-loop Houston, Harris County</t>
        </is>
      </c>
      <c r="H70" s="12" t="inlineStr">
        <is>
          <t>3-story attached townhomes, citywide volume</t>
        </is>
      </c>
      <c r="I70" s="14" t="inlineStr">
        <is>
          <t>Yes</t>
        </is>
      </c>
      <c r="J70" s="15" t="inlineStr">
        <is>
          <t>Three-storey townhomes, repeated inner-city.</t>
        </is>
      </c>
      <c r="K70" s="14" t="inlineStr">
        <is>
          <t>Partly</t>
        </is>
      </c>
      <c r="L70" s="15" t="inlineStr">
        <is>
          <t>No annual figure published.</t>
        </is>
      </c>
      <c r="M70" s="14" t="inlineStr">
        <is>
          <t>No</t>
        </is>
      </c>
      <c r="N70" s="15" t="inlineStr">
        <is>
          <t>No new building method.</t>
        </is>
      </c>
      <c r="O70" s="6" t="inlineStr">
        <is>
          <t>https://www.linkedin.com/in/frank-liu-b33247a/</t>
        </is>
      </c>
      <c r="P70" s="12" t="inlineStr"/>
      <c r="Q70" s="16">
        <f>IF(O70="","ADD LINKEDIN","ok")</f>
        <v/>
      </c>
      <c r="R70" s="12" t="inlineStr">
        <is>
          <t>https://intownhomes.com/</t>
        </is>
      </c>
      <c r="S70" s="15" t="inlineStr">
        <is>
          <t>Its townhomes repeat across inner Houston, but its site names no construction vice president or director.</t>
        </is>
      </c>
      <c r="T70" s="12" t="inlineStr"/>
      <c r="U70" s="15" t="inlineStr">
        <is>
          <t>Headline: President at Lovett, Houston. A second Frank Liu there is not the principal. No page gives his title at each entity.</t>
        </is>
      </c>
      <c r="V70" s="12" t="inlineStr"/>
      <c r="W70" s="12" t="inlineStr">
        <is>
          <t>https://www.linkedin.com/company/intown-homes</t>
        </is>
      </c>
      <c r="X70" s="12" t="inlineStr">
        <is>
          <t>https://www.lovettcommercial.com/about</t>
        </is>
      </c>
      <c r="Y70" s="12" t="inlineStr"/>
      <c r="Z70" s="12" t="inlineStr">
        <is>
          <t>(713) 961-3877</t>
        </is>
      </c>
      <c r="AA70" s="12" t="inlineStr"/>
      <c r="AB70" s="12" t="inlineStr">
        <is>
          <t>https://intownhomes.com/</t>
        </is>
      </c>
      <c r="AC70" s="12" t="inlineStr"/>
      <c r="AD70" s="12" t="inlineStr"/>
    </row>
    <row r="71">
      <c r="A71" s="6" t="inlineStr">
        <is>
          <t>no contact identified</t>
        </is>
      </c>
      <c r="B71" s="6" t="inlineStr">
        <is>
          <t>Live Lone Star</t>
        </is>
      </c>
      <c r="C71" s="6" t="inlineStr"/>
      <c r="D71" s="7" t="inlineStr">
        <is>
          <t>One gap</t>
        </is>
      </c>
      <c r="E71" s="8" t="n">
        <v>2</v>
      </c>
      <c r="F71" s="6" t="inlineStr">
        <is>
          <t>Buys walls</t>
        </is>
      </c>
      <c r="G71" s="6" t="inlineStr">
        <is>
          <t>Houston, working Harris and Brazoria</t>
        </is>
      </c>
      <c r="H71" s="6" t="inlineStr">
        <is>
          <t>Seven communities and about 3,000 lots in development, March 2023</t>
        </is>
      </c>
      <c r="I71" s="8" t="inlineStr">
        <is>
          <t>Yes</t>
        </is>
      </c>
      <c r="J71" s="9" t="inlineStr">
        <is>
          <t>Seven communities and about 3,000 lots on the same factory product.</t>
        </is>
      </c>
      <c r="K71" s="8" t="inlineStr">
        <is>
          <t>No</t>
        </is>
      </c>
      <c r="L71" s="9" t="inlineStr">
        <is>
          <t>Buys finished homes from manufacturers. A site printer does not fit.</t>
        </is>
      </c>
      <c r="M71" s="8" t="inlineStr">
        <is>
          <t>Partly</t>
        </is>
      </c>
      <c r="N71" s="9" t="inlineStr">
        <is>
          <t>Built a business on factory housing.</t>
        </is>
      </c>
      <c r="O71" s="10" t="inlineStr"/>
      <c r="P71" s="6" t="inlineStr"/>
      <c r="Q71" s="11">
        <f>IF(O71="","ADD LINKEDIN","ok")</f>
        <v/>
      </c>
      <c r="R71" s="6" t="inlineStr">
        <is>
          <t>no website confirmed</t>
        </is>
      </c>
      <c r="S71" s="9" t="inlineStr">
        <is>
          <t>It buys finished factory homes delivered to the lot, so a site printer does not fit.</t>
        </is>
      </c>
      <c r="T71" s="6" t="inlineStr"/>
      <c r="U71" s="9" t="inlineStr"/>
      <c r="V71" s="6" t="inlineStr"/>
      <c r="W71" s="6" t="inlineStr"/>
      <c r="X71" s="6" t="inlineStr"/>
      <c r="Y71" s="6" t="inlineStr"/>
      <c r="Z71" s="6" t="inlineStr"/>
      <c r="AA71" s="6" t="inlineStr"/>
      <c r="AB71" s="6" t="inlineStr"/>
      <c r="AC71" s="6" t="inlineStr"/>
      <c r="AD71" s="6" t="inlineStr"/>
    </row>
    <row r="72">
      <c r="A72" s="12" t="inlineStr">
        <is>
          <t>Ker Thomson</t>
        </is>
      </c>
      <c r="B72" s="12" t="inlineStr">
        <is>
          <t>Nautilus Custom Homes</t>
        </is>
      </c>
      <c r="C72" s="12" t="inlineStr">
        <is>
          <t>Founder and Designer</t>
        </is>
      </c>
      <c r="D72" s="13" t="inlineStr">
        <is>
          <t>One gap</t>
        </is>
      </c>
      <c r="E72" s="14" t="n">
        <v>2</v>
      </c>
      <c r="F72" s="12" t="inlineStr">
        <is>
          <t>Buys walls</t>
        </is>
      </c>
      <c r="G72" s="12" t="inlineStr">
        <is>
          <t>Houston, Harris</t>
        </is>
      </c>
      <c r="H72" s="12" t="inlineStr">
        <is>
          <t>Built extensively in insulated concrete form and structural insulated panels</t>
        </is>
      </c>
      <c r="I72" s="14" t="inlineStr">
        <is>
          <t>No</t>
        </is>
      </c>
      <c r="J72" s="15" t="inlineStr">
        <is>
          <t>Custom houses designed one at a time.</t>
        </is>
      </c>
      <c r="K72" s="14" t="inlineStr">
        <is>
          <t>Partly</t>
        </is>
      </c>
      <c r="L72" s="15" t="inlineStr">
        <is>
          <t>No annual volume published.</t>
        </is>
      </c>
      <c r="M72" s="14" t="inlineStr">
        <is>
          <t>Yes</t>
        </is>
      </c>
      <c r="N72" s="15" t="inlineStr">
        <is>
          <t>Around 300 products examined. The house won Best Large Residential, 2014.</t>
        </is>
      </c>
      <c r="O72" s="10" t="inlineStr"/>
      <c r="P72" s="12" t="inlineStr"/>
      <c r="Q72" s="16">
        <f>IF(O72="","ADD LINKEDIN","ok")</f>
        <v/>
      </c>
      <c r="R72" s="12" t="inlineStr">
        <is>
          <t>https://www.nautiluscustomhomes.com/</t>
        </is>
      </c>
      <c r="S72" s="15" t="inlineStr">
        <is>
          <t>Its predecessor compared seven wall systems before choosing one, but it designs custom houses one at a time.</t>
        </is>
      </c>
      <c r="T72" s="12" t="inlineStr">
        <is>
          <t>YES</t>
        </is>
      </c>
      <c r="U72" s="15" t="inlineStr">
        <is>
          <t>Firm's about page. Formed Nautilus's predecessor, Durable Residential Builders, in 2007.</t>
        </is>
      </c>
      <c r="V72" s="12" t="inlineStr">
        <is>
          <t>https://www.nautiluscustomhomes.com/about-us</t>
        </is>
      </c>
      <c r="W72" s="12" t="inlineStr"/>
      <c r="X72" s="12" t="inlineStr">
        <is>
          <t>https://www.nautiluscustomhomes.com/about-us</t>
        </is>
      </c>
      <c r="Y72" s="12" t="inlineStr"/>
      <c r="Z72" s="12" t="inlineStr">
        <is>
          <t>(832) 265-7353</t>
        </is>
      </c>
      <c r="AA72" s="12" t="inlineStr"/>
      <c r="AB72" s="12" t="inlineStr">
        <is>
          <t>https://www.nautiluscustomhomes.com/</t>
        </is>
      </c>
      <c r="AC72" s="12" t="inlineStr"/>
      <c r="AD72" s="12" t="inlineStr"/>
    </row>
    <row r="73">
      <c r="A73" s="6" t="inlineStr">
        <is>
          <t>Jim Kuchenbrod</t>
        </is>
      </c>
      <c r="B73" s="6" t="inlineStr">
        <is>
          <t>Nautilus Custom Homes</t>
        </is>
      </c>
      <c r="C73" s="6" t="inlineStr">
        <is>
          <t>Construction lead</t>
        </is>
      </c>
      <c r="D73" s="7" t="inlineStr">
        <is>
          <t>One gap</t>
        </is>
      </c>
      <c r="E73" s="8" t="n">
        <v>2</v>
      </c>
      <c r="F73" s="6" t="inlineStr">
        <is>
          <t>Buys walls</t>
        </is>
      </c>
      <c r="G73" s="6" t="inlineStr">
        <is>
          <t>Houston, Harris</t>
        </is>
      </c>
      <c r="H73" s="6" t="inlineStr">
        <is>
          <t>Built extensively in insulated concrete form and structural insulated panels</t>
        </is>
      </c>
      <c r="I73" s="8" t="inlineStr">
        <is>
          <t>No</t>
        </is>
      </c>
      <c r="J73" s="9" t="inlineStr">
        <is>
          <t>Custom houses designed one at a time.</t>
        </is>
      </c>
      <c r="K73" s="8" t="inlineStr">
        <is>
          <t>Partly</t>
        </is>
      </c>
      <c r="L73" s="9" t="inlineStr">
        <is>
          <t>No annual volume published.</t>
        </is>
      </c>
      <c r="M73" s="8" t="inlineStr">
        <is>
          <t>Yes</t>
        </is>
      </c>
      <c r="N73" s="9" t="inlineStr">
        <is>
          <t>Around 300 products examined. The house won Best Large Residential, 2014.</t>
        </is>
      </c>
      <c r="O73" s="10" t="inlineStr"/>
      <c r="P73" s="6" t="inlineStr"/>
      <c r="Q73" s="11">
        <f>IF(O73="","ADD LINKEDIN","ok")</f>
        <v/>
      </c>
      <c r="R73" s="6" t="inlineStr">
        <is>
          <t>https://www.nautiluscustomhomes.com/</t>
        </is>
      </c>
      <c r="S73" s="9" t="inlineStr">
        <is>
          <t>Its predecessor compared seven wall systems before choosing one, but it designs custom houses one at a time.</t>
        </is>
      </c>
      <c r="T73" s="6" t="inlineStr"/>
      <c r="U73" s="9" t="inlineStr">
        <is>
          <t>Firm's about page. More than thirty-five years in residential construction.</t>
        </is>
      </c>
      <c r="V73" s="6" t="inlineStr">
        <is>
          <t>https://www.nautiluscustomhomes.com/about-us</t>
        </is>
      </c>
      <c r="W73" s="6" t="inlineStr"/>
      <c r="X73" s="6" t="inlineStr">
        <is>
          <t>https://www.nautiluscustomhomes.com/about-us</t>
        </is>
      </c>
      <c r="Y73" s="6" t="inlineStr"/>
      <c r="Z73" s="6" t="inlineStr">
        <is>
          <t>(832) 265-7353</t>
        </is>
      </c>
      <c r="AA73" s="6" t="inlineStr"/>
      <c r="AB73" s="6" t="inlineStr">
        <is>
          <t>https://www.nautiluscustomhomes.com/</t>
        </is>
      </c>
      <c r="AC73" s="6" t="inlineStr"/>
      <c r="AD73" s="6" t="inlineStr"/>
    </row>
    <row r="74">
      <c r="A74" s="12" t="inlineStr">
        <is>
          <t>no contact identified</t>
        </is>
      </c>
      <c r="B74" s="12" t="inlineStr">
        <is>
          <t>Seaside Construction</t>
        </is>
      </c>
      <c r="C74" s="12" t="inlineStr"/>
      <c r="D74" s="13" t="inlineStr">
        <is>
          <t>One gap</t>
        </is>
      </c>
      <c r="E74" s="14" t="n">
        <v>2</v>
      </c>
      <c r="F74" s="12" t="inlineStr">
        <is>
          <t>Buys walls</t>
        </is>
      </c>
      <c r="G74" s="12" t="inlineStr">
        <is>
          <t>Galveston, Galveston County</t>
        </is>
      </c>
      <c r="H74" s="12" t="inlineStr">
        <is>
          <t>Adopted insulated concrete form in 2019 for coastal work</t>
        </is>
      </c>
      <c r="I74" s="14" t="inlineStr">
        <is>
          <t>No</t>
        </is>
      </c>
      <c r="J74" s="15" t="inlineStr">
        <is>
          <t>Custom beach houses, each one different.</t>
        </is>
      </c>
      <c r="K74" s="14" t="inlineStr">
        <is>
          <t>Partly</t>
        </is>
      </c>
      <c r="L74" s="15" t="inlineStr">
        <is>
          <t>No annual volume published.</t>
        </is>
      </c>
      <c r="M74" s="14" t="inlineStr">
        <is>
          <t>Yes</t>
        </is>
      </c>
      <c r="N74" s="15" t="inlineStr">
        <is>
          <t>States its coastal reasons for the change.</t>
        </is>
      </c>
      <c r="O74" s="10" t="inlineStr"/>
      <c r="P74" s="12" t="inlineStr"/>
      <c r="Q74" s="16">
        <f>IF(O74="","ADD LINKEDIN","ok")</f>
        <v/>
      </c>
      <c r="R74" s="12" t="inlineStr">
        <is>
          <t>https://seaside-construction.com/</t>
        </is>
      </c>
      <c r="S74" s="15" t="inlineStr">
        <is>
          <t>It changed its wall method for stated coastal reasons, but each beach house is different, so no plan repeats.</t>
        </is>
      </c>
      <c r="T74" s="12" t="inlineStr"/>
      <c r="U74" s="15" t="inlineStr"/>
      <c r="V74" s="12" t="inlineStr"/>
      <c r="W74" s="12" t="inlineStr"/>
      <c r="X74" s="12" t="inlineStr"/>
      <c r="Y74" s="12" t="inlineStr"/>
      <c r="Z74" s="12" t="inlineStr">
        <is>
          <t>(409) 256-4888</t>
        </is>
      </c>
      <c r="AA74" s="12" t="inlineStr">
        <is>
          <t>office</t>
        </is>
      </c>
      <c r="AB74" s="12" t="inlineStr">
        <is>
          <t>https://seaside-construction.com/</t>
        </is>
      </c>
      <c r="AC74" s="12" t="inlineStr"/>
      <c r="AD74" s="12" t="inlineStr"/>
    </row>
    <row r="75">
      <c r="A75" s="6" t="inlineStr">
        <is>
          <t>Edward E. Martin Jr.</t>
        </is>
      </c>
      <c r="B75" s="6" t="inlineStr">
        <is>
          <t>Tilson Home Corporation</t>
        </is>
      </c>
      <c r="C75" s="6" t="inlineStr">
        <is>
          <t>Chief Executive Officer</t>
        </is>
      </c>
      <c r="D75" s="7" t="inlineStr">
        <is>
          <t>One gap</t>
        </is>
      </c>
      <c r="E75" s="8" t="n">
        <v>2</v>
      </c>
      <c r="F75" s="6" t="inlineStr">
        <is>
          <t>Buys walls</t>
        </is>
      </c>
      <c r="G75" s="6" t="inlineStr">
        <is>
          <t>Houston / Spring, Katy, Willis, Angleton</t>
        </is>
      </c>
      <c r="H75" s="6" t="inlineStr">
        <is>
          <t>425 closings in 2024 across Texas, 12 design centers</t>
        </is>
      </c>
      <c r="I75" s="8" t="inlineStr">
        <is>
          <t>Yes</t>
        </is>
      </c>
      <c r="J75" s="9" t="inlineStr">
        <is>
          <t>One plan set sold from twelve design centers, built on buyers' own lots.</t>
        </is>
      </c>
      <c r="K75" s="8" t="inlineStr">
        <is>
          <t>Partly</t>
        </is>
      </c>
      <c r="L75" s="9" t="inlineStr">
        <is>
          <t>425 Texas closings in 2024. Lots are scattered, so every house is a separate set-up.</t>
        </is>
      </c>
      <c r="M75" s="8" t="inlineStr">
        <is>
          <t>No</t>
        </is>
      </c>
      <c r="N75" s="9" t="inlineStr">
        <is>
          <t>Published wall specification is stick frame.</t>
        </is>
      </c>
      <c r="O75" s="10" t="inlineStr"/>
      <c r="P75" s="6">
        <f>HYPERLINK("https://www.linkedin.com/search/results/people/?keywords=Edward%20E.%20Martin%20Jr.%20Tilson%20Home%20Corporation","search")</f>
        <v/>
      </c>
      <c r="Q75" s="11">
        <f>IF(O75="","ADD LINKEDIN","ok")</f>
        <v/>
      </c>
      <c r="R75" s="6" t="inlineStr">
        <is>
          <t>https://www.tilsonhomes.com/</t>
        </is>
      </c>
      <c r="S75" s="9" t="inlineStr">
        <is>
          <t>It sells one plan set on buyers' own scattered lots, so every house would be a separate set-up.</t>
        </is>
      </c>
      <c r="T75" s="6" t="inlineStr"/>
      <c r="U75" s="9" t="inlineStr"/>
      <c r="V75" s="6" t="inlineStr">
        <is>
          <t>https://www.builderonline.com/firms/tilson-homes/</t>
        </is>
      </c>
      <c r="W75" s="6" t="inlineStr"/>
      <c r="X75" s="6" t="inlineStr"/>
      <c r="Y75" s="6" t="inlineStr"/>
      <c r="Z75" s="6" t="inlineStr">
        <is>
          <t>(346) 263-0547</t>
        </is>
      </c>
      <c r="AA75" s="6" t="inlineStr"/>
      <c r="AB75" s="6" t="inlineStr">
        <is>
          <t>https://www.tilsonhomes.com/</t>
        </is>
      </c>
      <c r="AC75" s="6" t="inlineStr"/>
      <c r="AD75" s="6" t="inlineStr"/>
    </row>
    <row r="76">
      <c r="A76" s="12" t="inlineStr">
        <is>
          <t>Jason Golan</t>
        </is>
      </c>
      <c r="B76" s="12" t="inlineStr">
        <is>
          <t>Westin Homes</t>
        </is>
      </c>
      <c r="C76" s="12" t="inlineStr">
        <is>
          <t>President</t>
        </is>
      </c>
      <c r="D76" s="13" t="inlineStr">
        <is>
          <t>One gap</t>
        </is>
      </c>
      <c r="E76" s="14" t="n">
        <v>2</v>
      </c>
      <c r="F76" s="12" t="inlineStr">
        <is>
          <t>Buys walls</t>
        </is>
      </c>
      <c r="G76" s="12" t="inlineStr">
        <is>
          <t>Sugar Land</t>
        </is>
      </c>
      <c r="H76" s="12" t="inlineStr">
        <is>
          <t>1,062 closings and $621 million in 2025, Houston and Austin together</t>
        </is>
      </c>
      <c r="I76" s="14" t="inlineStr">
        <is>
          <t>Yes</t>
        </is>
      </c>
      <c r="J76" s="15" t="inlineStr">
        <is>
          <t>Same plans across six masterplans.</t>
        </is>
      </c>
      <c r="K76" s="14" t="inlineStr">
        <is>
          <t>Partly</t>
        </is>
      </c>
      <c r="L76" s="15" t="inlineStr">
        <is>
          <t>1,016 closings in 2024, Austin included.</t>
        </is>
      </c>
      <c r="M76" s="14" t="inlineStr">
        <is>
          <t>No</t>
        </is>
      </c>
      <c r="N76" s="15" t="inlineStr">
        <is>
          <t>No method evidence. Its language is about refined plans.</t>
        </is>
      </c>
      <c r="O76" s="6" t="inlineStr">
        <is>
          <t>https://www.linkedin.com/in/jason-golan-0874a241/</t>
        </is>
      </c>
      <c r="P76" s="12" t="inlineStr"/>
      <c r="Q76" s="16">
        <f>IF(O76="","ADD LINKEDIN","ok")</f>
        <v/>
      </c>
      <c r="R76" s="12" t="inlineStr">
        <is>
          <t>https://www.westin-homes.com/</t>
        </is>
      </c>
      <c r="S76" s="15" t="inlineStr">
        <is>
          <t>It repeats plans across six masterplans, and names a vice president of land and business development.</t>
        </is>
      </c>
      <c r="T76" s="12" t="inlineStr"/>
      <c r="U76" s="15" t="inlineStr">
        <is>
          <t>Indexed title: President. Firm's 2014 release calls him Founder and Owner.</t>
        </is>
      </c>
      <c r="V76" s="12" t="inlineStr"/>
      <c r="W76" s="12" t="inlineStr"/>
      <c r="X76" s="12" t="inlineStr"/>
      <c r="Y76" s="12" t="inlineStr"/>
      <c r="Z76" s="12" t="inlineStr">
        <is>
          <t>(281) 240-1551</t>
        </is>
      </c>
      <c r="AA76" s="12" t="inlineStr"/>
      <c r="AB76" s="12" t="inlineStr">
        <is>
          <t>https://www.westin-homes.com/</t>
        </is>
      </c>
      <c r="AC76" s="12" t="inlineStr"/>
      <c r="AD76" s="12" t="inlineStr"/>
    </row>
    <row r="77">
      <c r="A77" s="6" t="inlineStr">
        <is>
          <t>Diane Danilov</t>
        </is>
      </c>
      <c r="B77" s="6" t="inlineStr">
        <is>
          <t>Westin Homes</t>
        </is>
      </c>
      <c r="C77" s="6" t="inlineStr">
        <is>
          <t>Vice President of Land and Business Development</t>
        </is>
      </c>
      <c r="D77" s="7" t="inlineStr">
        <is>
          <t>One gap</t>
        </is>
      </c>
      <c r="E77" s="8" t="n">
        <v>2</v>
      </c>
      <c r="F77" s="6" t="inlineStr">
        <is>
          <t>Buys walls</t>
        </is>
      </c>
      <c r="G77" s="6" t="inlineStr">
        <is>
          <t>Sugar Land</t>
        </is>
      </c>
      <c r="H77" s="6" t="inlineStr">
        <is>
          <t>1,062 closings and $621 million in 2025, Houston and Austin together</t>
        </is>
      </c>
      <c r="I77" s="8" t="inlineStr">
        <is>
          <t>Yes</t>
        </is>
      </c>
      <c r="J77" s="9" t="inlineStr">
        <is>
          <t>Same plans across six masterplans.</t>
        </is>
      </c>
      <c r="K77" s="8" t="inlineStr">
        <is>
          <t>Partly</t>
        </is>
      </c>
      <c r="L77" s="9" t="inlineStr">
        <is>
          <t>1,016 closings in 2024, Austin included.</t>
        </is>
      </c>
      <c r="M77" s="8" t="inlineStr">
        <is>
          <t>No</t>
        </is>
      </c>
      <c r="N77" s="9" t="inlineStr">
        <is>
          <t>No method evidence. Its language is about refined plans.</t>
        </is>
      </c>
      <c r="O77" s="6" t="inlineStr">
        <is>
          <t>https://www.linkedin.com/in/diane-danilov-2431a212/</t>
        </is>
      </c>
      <c r="P77" s="6" t="inlineStr"/>
      <c r="Q77" s="11">
        <f>IF(O77="","ADD LINKEDIN","ok")</f>
        <v/>
      </c>
      <c r="R77" s="6" t="inlineStr">
        <is>
          <t>https://www.westin-homes.com/</t>
        </is>
      </c>
      <c r="S77" s="9" t="inlineStr">
        <is>
          <t>It repeats plans across six masterplans, and names a vice president of land and business development.</t>
        </is>
      </c>
      <c r="T77" s="6" t="inlineStr"/>
      <c r="U77" s="9" t="inlineStr">
        <is>
          <t>Headline: VP of Land &amp; Business Development, Westin Homes. Houston.</t>
        </is>
      </c>
      <c r="V77" s="6" t="inlineStr"/>
      <c r="W77" s="6" t="inlineStr"/>
      <c r="X77" s="6" t="inlineStr"/>
      <c r="Y77" s="6" t="inlineStr"/>
      <c r="Z77" s="6" t="inlineStr">
        <is>
          <t>(281) 240-1551</t>
        </is>
      </c>
      <c r="AA77" s="6" t="inlineStr"/>
      <c r="AB77" s="6" t="inlineStr">
        <is>
          <t>https://www.westin-homes.com/</t>
        </is>
      </c>
      <c r="AC77" s="6" t="inlineStr"/>
      <c r="AD77" s="6" t="inlineStr"/>
    </row>
    <row r="78">
      <c r="A78" s="12" t="inlineStr">
        <is>
          <t>Ken Williams</t>
        </is>
      </c>
      <c r="B78" s="12" t="inlineStr">
        <is>
          <t>Colina Homes</t>
        </is>
      </c>
      <c r="C78" s="12" t="inlineStr">
        <is>
          <t>Founder</t>
        </is>
      </c>
      <c r="D78" s="13" t="inlineStr">
        <is>
          <t>One gap</t>
        </is>
      </c>
      <c r="E78" s="14" t="n">
        <v>2</v>
      </c>
      <c r="F78" s="12" t="inlineStr">
        <is>
          <t>Buys walls</t>
        </is>
      </c>
      <c r="G78" s="12" t="inlineStr">
        <is>
          <t>Houston, 14 communities</t>
        </is>
      </c>
      <c r="H78" s="12" t="inlineStr">
        <is>
          <t>540 closings in 2025, fourteen communities published</t>
        </is>
      </c>
      <c r="I78" s="14" t="inlineStr">
        <is>
          <t>Yes</t>
        </is>
      </c>
      <c r="J78" s="15" t="inlineStr">
        <is>
          <t>Fourteen communities, all inside Greater Houston, on a standard plan set.</t>
        </is>
      </c>
      <c r="K78" s="14" t="inlineStr">
        <is>
          <t>Partly</t>
        </is>
      </c>
      <c r="L78" s="15" t="inlineStr">
        <is>
          <t>540 closings in 2025, 552 in 2024. Two machines would carry a fifth at most.</t>
        </is>
      </c>
      <c r="M78" s="14" t="inlineStr">
        <is>
          <t>No</t>
        </is>
      </c>
      <c r="N78" s="15" t="inlineStr">
        <is>
          <t>No method evidence. Positioning is price and floor plan.</t>
        </is>
      </c>
      <c r="O78" s="10" t="inlineStr"/>
      <c r="P78" s="12">
        <f>HYPERLINK("https://www.linkedin.com/search/results/people/?keywords=Ken%20Williams%20Colina%20Homes","search")</f>
        <v/>
      </c>
      <c r="Q78" s="16">
        <f>IF(O78="","ADD LINKEDIN","ok")</f>
        <v/>
      </c>
      <c r="R78" s="12" t="inlineStr">
        <is>
          <t>https://www.colinahomes.com/</t>
        </is>
      </c>
      <c r="S78" s="15" t="inlineStr">
        <is>
          <t>It sells a standard plan set across Greater Houston, and two machines would carry a fifth of its output at most.</t>
        </is>
      </c>
      <c r="T78" s="12" t="inlineStr"/>
      <c r="U78" s="15" t="inlineStr">
        <is>
          <t>About page. Founder, helping over 4,500 families since 2007.</t>
        </is>
      </c>
      <c r="V78" s="12" t="inlineStr">
        <is>
          <t>https://www.colinahomes.com/about</t>
        </is>
      </c>
      <c r="W78" s="12" t="inlineStr"/>
      <c r="X78" s="12" t="inlineStr"/>
      <c r="Y78" s="12" t="inlineStr"/>
      <c r="Z78" s="12" t="inlineStr"/>
      <c r="AA78" s="12" t="inlineStr"/>
      <c r="AB78" s="12" t="inlineStr"/>
      <c r="AC78" s="12" t="inlineStr">
        <is>
          <t>info@colinahomes.com</t>
        </is>
      </c>
      <c r="AD78" s="12" t="inlineStr">
        <is>
          <t>https://www.colinahomes.com/contact</t>
        </is>
      </c>
    </row>
    <row r="79">
      <c r="A79" s="6" t="inlineStr">
        <is>
          <t>Robert Davis</t>
        </is>
      </c>
      <c r="B79" s="6" t="inlineStr">
        <is>
          <t>Colina Homes</t>
        </is>
      </c>
      <c r="C79" s="6" t="inlineStr">
        <is>
          <t>Director of Construction</t>
        </is>
      </c>
      <c r="D79" s="7" t="inlineStr">
        <is>
          <t>One gap</t>
        </is>
      </c>
      <c r="E79" s="8" t="n">
        <v>2</v>
      </c>
      <c r="F79" s="6" t="inlineStr">
        <is>
          <t>Buys walls</t>
        </is>
      </c>
      <c r="G79" s="6" t="inlineStr">
        <is>
          <t>Houston, 14 communities</t>
        </is>
      </c>
      <c r="H79" s="6" t="inlineStr">
        <is>
          <t>540 closings in 2025, fourteen communities published</t>
        </is>
      </c>
      <c r="I79" s="8" t="inlineStr">
        <is>
          <t>Yes</t>
        </is>
      </c>
      <c r="J79" s="9" t="inlineStr">
        <is>
          <t>Fourteen communities, all inside Greater Houston, on a standard plan set.</t>
        </is>
      </c>
      <c r="K79" s="8" t="inlineStr">
        <is>
          <t>Partly</t>
        </is>
      </c>
      <c r="L79" s="9" t="inlineStr">
        <is>
          <t>540 closings in 2025, 552 in 2024. Two machines would carry a fifth at most.</t>
        </is>
      </c>
      <c r="M79" s="8" t="inlineStr">
        <is>
          <t>No</t>
        </is>
      </c>
      <c r="N79" s="9" t="inlineStr">
        <is>
          <t>No method evidence. Positioning is price and floor plan.</t>
        </is>
      </c>
      <c r="O79" s="6" t="inlineStr">
        <is>
          <t>https://www.linkedin.com/in/robert-davis-684517136/</t>
        </is>
      </c>
      <c r="P79" s="6" t="inlineStr"/>
      <c r="Q79" s="11">
        <f>IF(O79="","ADD LINKEDIN","ok")</f>
        <v/>
      </c>
      <c r="R79" s="6" t="inlineStr">
        <is>
          <t>https://www.colinahomes.com/</t>
        </is>
      </c>
      <c r="S79" s="9" t="inlineStr">
        <is>
          <t>It sells a standard plan set across Greater Houston, and two machines would carry a fifth of its output at most.</t>
        </is>
      </c>
      <c r="T79" s="6" t="inlineStr">
        <is>
          <t>YES</t>
        </is>
      </c>
      <c r="U79" s="9" t="inlineStr">
        <is>
          <t>Indexed title matches the role.</t>
        </is>
      </c>
      <c r="V79" s="6" t="inlineStr"/>
      <c r="W79" s="6" t="inlineStr"/>
      <c r="X79" s="6" t="inlineStr"/>
      <c r="Y79" s="6" t="inlineStr"/>
      <c r="Z79" s="6" t="inlineStr"/>
      <c r="AA79" s="6" t="inlineStr"/>
      <c r="AB79" s="6" t="inlineStr"/>
      <c r="AC79" s="6" t="inlineStr">
        <is>
          <t>info@colinahomes.com</t>
        </is>
      </c>
      <c r="AD79" s="6" t="inlineStr">
        <is>
          <t>https://www.colinahomes.com/contact</t>
        </is>
      </c>
    </row>
    <row r="80">
      <c r="A80" s="12" t="inlineStr">
        <is>
          <t>Greg Grahmann</t>
        </is>
      </c>
      <c r="B80" s="12" t="inlineStr">
        <is>
          <t>Imagination Homes</t>
        </is>
      </c>
      <c r="C80" s="12" t="inlineStr">
        <is>
          <t>Director, Imagination Homes</t>
        </is>
      </c>
      <c r="D80" s="13" t="inlineStr">
        <is>
          <t>One gap</t>
        </is>
      </c>
      <c r="E80" s="14" t="n">
        <v>2</v>
      </c>
      <c r="F80" s="12" t="inlineStr">
        <is>
          <t>Buys walls</t>
        </is>
      </c>
      <c r="G80" s="12" t="inlineStr">
        <is>
          <t>Meridiana, Rosharon</t>
        </is>
      </c>
      <c r="H80" s="12" t="inlineStr">
        <is>
          <t>Entry-level, launched 2025</t>
        </is>
      </c>
      <c r="I80" s="14" t="inlineStr">
        <is>
          <t>Yes</t>
        </is>
      </c>
      <c r="J80" s="15" t="inlineStr">
        <is>
          <t>Narrow curated plan set for first-time buyers and right-sizers.</t>
        </is>
      </c>
      <c r="K80" s="14" t="inlineStr">
        <is>
          <t>Partly</t>
        </is>
      </c>
      <c r="L80" s="15" t="inlineStr">
        <is>
          <t>Purchasing sits with a national builder. One machine could cover the brand's output.</t>
        </is>
      </c>
      <c r="M80" s="14" t="inlineStr">
        <is>
          <t>No</t>
        </is>
      </c>
      <c r="N80" s="15" t="inlineStr">
        <is>
          <t>No method on record. Stated strategy is attainable product.</t>
        </is>
      </c>
      <c r="O80" s="10" t="inlineStr"/>
      <c r="P80" s="12">
        <f>HYPERLINK("https://www.linkedin.com/search/results/people/?keywords=Greg%20Grahmann%20Imagination%20Homes","search")</f>
        <v/>
      </c>
      <c r="Q80" s="16">
        <f>IF(O80="","ADD LINKEDIN","ok")</f>
        <v/>
      </c>
      <c r="R80" s="12" t="inlineStr">
        <is>
          <t>https://imaginationhomes.com/</t>
        </is>
      </c>
      <c r="S80" s="15" t="inlineStr">
        <is>
          <t>A David Weekley Homes line whose output one machine could cover, but purchasing sits with the national builder.</t>
        </is>
      </c>
      <c r="T80" s="12" t="inlineStr"/>
      <c r="U80" s="15" t="inlineStr">
        <is>
          <t>Builder Magazine. Joined David Weekley Homes 2013. Also a division president there.</t>
        </is>
      </c>
      <c r="V80" s="12" t="inlineStr">
        <is>
          <t>https://www.builderonline.com/builder-100/strategy/imagination-homes-targets-attainable-entry-level-housing-in-texas/</t>
        </is>
      </c>
      <c r="W80" s="12" t="inlineStr"/>
      <c r="X80" s="12" t="inlineStr"/>
      <c r="Y80" s="12" t="inlineStr"/>
      <c r="Z80" s="12" t="inlineStr">
        <is>
          <t>(866) 510-2449</t>
        </is>
      </c>
      <c r="AA80" s="12" t="inlineStr"/>
      <c r="AB80" s="12" t="inlineStr">
        <is>
          <t>https://imaginationhomes.com/</t>
        </is>
      </c>
      <c r="AC80" s="12" t="inlineStr"/>
      <c r="AD80" s="12" t="inlineStr"/>
    </row>
    <row r="81">
      <c r="A81" s="6" t="inlineStr">
        <is>
          <t>Greg Hawes</t>
        </is>
      </c>
      <c r="B81" s="6" t="inlineStr">
        <is>
          <t>Jamestown Estate Homes</t>
        </is>
      </c>
      <c r="C81" s="6" t="inlineStr">
        <is>
          <t>Founder. Manager on the firm's own page, President on LinkedIn</t>
        </is>
      </c>
      <c r="D81" s="7" t="inlineStr">
        <is>
          <t>One gap</t>
        </is>
      </c>
      <c r="E81" s="8" t="n">
        <v>2</v>
      </c>
      <c r="F81" s="6" t="inlineStr">
        <is>
          <t>Buys walls</t>
        </is>
      </c>
      <c r="G81" s="6" t="inlineStr">
        <is>
          <t>Houston, 16 communities</t>
        </is>
      </c>
      <c r="H81" s="6" t="inlineStr">
        <is>
          <t>About 75 homes a year on the firm's own count</t>
        </is>
      </c>
      <c r="I81" s="8" t="inlineStr">
        <is>
          <t>Partly</t>
        </is>
      </c>
      <c r="J81" s="9" t="inlineStr">
        <is>
          <t>About seventy-five houses a year across sixteen communities.</t>
        </is>
      </c>
      <c r="K81" s="8" t="inlineStr">
        <is>
          <t>Yes</t>
        </is>
      </c>
      <c r="L81" s="9" t="inlineStr">
        <is>
          <t>One machine would carry most of the yearly volume.</t>
        </is>
      </c>
      <c r="M81" s="8" t="inlineStr">
        <is>
          <t>No</t>
        </is>
      </c>
      <c r="N81" s="9" t="inlineStr">
        <is>
          <t>Eight to ten month build time, published. No method evidence.</t>
        </is>
      </c>
      <c r="O81" s="6" t="inlineStr">
        <is>
          <t>https://www.linkedin.com/in/greg-hawes-86423023/</t>
        </is>
      </c>
      <c r="P81" s="6" t="inlineStr"/>
      <c r="Q81" s="11">
        <f>IF(O81="","ADD LINKEDIN","ok")</f>
        <v/>
      </c>
      <c r="R81" s="6" t="inlineStr">
        <is>
          <t>https://jamestownestatehomes.com/</t>
        </is>
      </c>
      <c r="S81" s="9" t="inlineStr">
        <is>
          <t>One machine would carry most of its yearly volume, but it spreads that volume across sixteen communities.</t>
        </is>
      </c>
      <c r="T81" s="6" t="inlineStr"/>
      <c r="U81" s="9" t="inlineStr">
        <is>
          <t>Indexed title: President, Jamestown Estate Homes LP. Team page: Manager. Sold his interest in a prior firm first.</t>
        </is>
      </c>
      <c r="V81" s="6" t="inlineStr">
        <is>
          <t>https://jamestownestatehomes.com/team/greg-hawes/</t>
        </is>
      </c>
      <c r="W81" s="6" t="inlineStr"/>
      <c r="X81" s="6" t="inlineStr"/>
      <c r="Y81" s="6" t="inlineStr"/>
      <c r="Z81" s="6" t="inlineStr">
        <is>
          <t>(832) 858-0755</t>
        </is>
      </c>
      <c r="AA81" s="6" t="inlineStr"/>
      <c r="AB81" s="6" t="inlineStr">
        <is>
          <t>https://jamestownestatehomes.com/</t>
        </is>
      </c>
      <c r="AC81" s="6" t="inlineStr"/>
      <c r="AD81" s="6" t="inlineStr"/>
    </row>
    <row r="82">
      <c r="A82" s="12" t="inlineStr">
        <is>
          <t>Katy Hawes</t>
        </is>
      </c>
      <c r="B82" s="12" t="inlineStr">
        <is>
          <t>Jamestown Estate Homes</t>
        </is>
      </c>
      <c r="C82" s="12" t="inlineStr">
        <is>
          <t>Co-President</t>
        </is>
      </c>
      <c r="D82" s="13" t="inlineStr">
        <is>
          <t>One gap</t>
        </is>
      </c>
      <c r="E82" s="14" t="n">
        <v>2</v>
      </c>
      <c r="F82" s="12" t="inlineStr">
        <is>
          <t>Buys walls</t>
        </is>
      </c>
      <c r="G82" s="12" t="inlineStr">
        <is>
          <t>Houston, 16 communities</t>
        </is>
      </c>
      <c r="H82" s="12" t="inlineStr">
        <is>
          <t>About 75 homes a year on the firm's own count</t>
        </is>
      </c>
      <c r="I82" s="14" t="inlineStr">
        <is>
          <t>Partly</t>
        </is>
      </c>
      <c r="J82" s="15" t="inlineStr">
        <is>
          <t>About seventy-five houses a year across sixteen communities.</t>
        </is>
      </c>
      <c r="K82" s="14" t="inlineStr">
        <is>
          <t>Yes</t>
        </is>
      </c>
      <c r="L82" s="15" t="inlineStr">
        <is>
          <t>One machine would carry most of the yearly volume.</t>
        </is>
      </c>
      <c r="M82" s="14" t="inlineStr">
        <is>
          <t>No</t>
        </is>
      </c>
      <c r="N82" s="15" t="inlineStr">
        <is>
          <t>Eight to ten month build time, published. No method evidence.</t>
        </is>
      </c>
      <c r="O82" s="10" t="inlineStr"/>
      <c r="P82" s="12">
        <f>HYPERLINK("https://www.linkedin.com/search/results/people/?keywords=Katy%20Hawes%20Jamestown%20Estate%20Homes","search")</f>
        <v/>
      </c>
      <c r="Q82" s="16">
        <f>IF(O82="","ADD LINKEDIN","ok")</f>
        <v/>
      </c>
      <c r="R82" s="12" t="inlineStr">
        <is>
          <t>https://jamestownestatehomes.com/</t>
        </is>
      </c>
      <c r="S82" s="15" t="inlineStr">
        <is>
          <t>One machine would carry most of its yearly volume, but it spreads that volume across sixteen communities.</t>
        </is>
      </c>
      <c r="T82" s="12" t="inlineStr"/>
      <c r="U82" s="15" t="inlineStr"/>
      <c r="V82" s="12" t="inlineStr">
        <is>
          <t>https://jamestownestatehomes.com/team/katy-hawes/</t>
        </is>
      </c>
      <c r="W82" s="12" t="inlineStr"/>
      <c r="X82" s="12" t="inlineStr"/>
      <c r="Y82" s="12" t="inlineStr"/>
      <c r="Z82" s="12" t="inlineStr">
        <is>
          <t>(832) 858-0755</t>
        </is>
      </c>
      <c r="AA82" s="12" t="inlineStr"/>
      <c r="AB82" s="12" t="inlineStr">
        <is>
          <t>https://jamestownestatehomes.com/</t>
        </is>
      </c>
      <c r="AC82" s="12" t="inlineStr"/>
      <c r="AD82" s="12" t="inlineStr"/>
    </row>
    <row r="83">
      <c r="A83" s="6" t="inlineStr">
        <is>
          <t>Matt Norris</t>
        </is>
      </c>
      <c r="B83" s="6" t="inlineStr">
        <is>
          <t>Jamestown Estate Homes</t>
        </is>
      </c>
      <c r="C83" s="6" t="inlineStr">
        <is>
          <t>Co-President</t>
        </is>
      </c>
      <c r="D83" s="7" t="inlineStr">
        <is>
          <t>One gap</t>
        </is>
      </c>
      <c r="E83" s="8" t="n">
        <v>2</v>
      </c>
      <c r="F83" s="6" t="inlineStr">
        <is>
          <t>Buys walls</t>
        </is>
      </c>
      <c r="G83" s="6" t="inlineStr">
        <is>
          <t>Houston, 16 communities</t>
        </is>
      </c>
      <c r="H83" s="6" t="inlineStr">
        <is>
          <t>About 75 homes a year on the firm's own count</t>
        </is>
      </c>
      <c r="I83" s="8" t="inlineStr">
        <is>
          <t>Partly</t>
        </is>
      </c>
      <c r="J83" s="9" t="inlineStr">
        <is>
          <t>About seventy-five houses a year across sixteen communities.</t>
        </is>
      </c>
      <c r="K83" s="8" t="inlineStr">
        <is>
          <t>Yes</t>
        </is>
      </c>
      <c r="L83" s="9" t="inlineStr">
        <is>
          <t>One machine would carry most of the yearly volume.</t>
        </is>
      </c>
      <c r="M83" s="8" t="inlineStr">
        <is>
          <t>No</t>
        </is>
      </c>
      <c r="N83" s="9" t="inlineStr">
        <is>
          <t>Eight to ten month build time, published. No method evidence.</t>
        </is>
      </c>
      <c r="O83" s="10" t="inlineStr"/>
      <c r="P83" s="6">
        <f>HYPERLINK("https://www.linkedin.com/search/results/people/?keywords=Matt%20Norris%20Jamestown%20Estate%20Homes","search")</f>
        <v/>
      </c>
      <c r="Q83" s="11">
        <f>IF(O83="","ADD LINKEDIN","ok")</f>
        <v/>
      </c>
      <c r="R83" s="6" t="inlineStr">
        <is>
          <t>https://jamestownestatehomes.com/</t>
        </is>
      </c>
      <c r="S83" s="9" t="inlineStr">
        <is>
          <t>One machine would carry most of its yearly volume, but it spreads that volume across sixteen communities.</t>
        </is>
      </c>
      <c r="T83" s="6" t="inlineStr"/>
      <c r="U83" s="9" t="inlineStr"/>
      <c r="V83" s="6" t="inlineStr">
        <is>
          <t>https://jamestownestatehomes.com/team/matt-norris/</t>
        </is>
      </c>
      <c r="W83" s="6" t="inlineStr"/>
      <c r="X83" s="6" t="inlineStr"/>
      <c r="Y83" s="6" t="inlineStr"/>
      <c r="Z83" s="6" t="inlineStr">
        <is>
          <t>(832) 858-0755</t>
        </is>
      </c>
      <c r="AA83" s="6" t="inlineStr"/>
      <c r="AB83" s="6" t="inlineStr">
        <is>
          <t>https://jamestownestatehomes.com/</t>
        </is>
      </c>
      <c r="AC83" s="6" t="inlineStr"/>
      <c r="AD83" s="6" t="inlineStr"/>
    </row>
    <row r="84">
      <c r="A84" s="12" t="inlineStr">
        <is>
          <t>David Wickens</t>
        </is>
      </c>
      <c r="B84" s="12" t="inlineStr">
        <is>
          <t>Kendall Homes</t>
        </is>
      </c>
      <c r="C84" s="12" t="inlineStr">
        <is>
          <t>Founder</t>
        </is>
      </c>
      <c r="D84" s="13" t="inlineStr">
        <is>
          <t>One gap</t>
        </is>
      </c>
      <c r="E84" s="14" t="n">
        <v>2</v>
      </c>
      <c r="F84" s="12" t="inlineStr">
        <is>
          <t>Buys walls</t>
        </is>
      </c>
      <c r="G84" s="12" t="inlineStr">
        <is>
          <t>Katy, with communities in Conroe, Willis and New Caney</t>
        </is>
      </c>
      <c r="H84" s="12" t="inlineStr">
        <is>
          <t>Founded 1993, more than 4,000 homes on the firm's own count</t>
        </is>
      </c>
      <c r="I84" s="14" t="inlineStr">
        <is>
          <t>Yes</t>
        </is>
      </c>
      <c r="J84" s="15" t="inlineStr">
        <is>
          <t>Most communities sit on the Lake Conroe corridor.</t>
        </is>
      </c>
      <c r="K84" s="14" t="inlineStr">
        <is>
          <t>Partly</t>
        </is>
      </c>
      <c r="L84" s="15" t="inlineStr">
        <is>
          <t>No annual closings figure published.</t>
        </is>
      </c>
      <c r="M84" s="14" t="inlineStr">
        <is>
          <t>No</t>
        </is>
      </c>
      <c r="N84" s="15" t="inlineStr">
        <is>
          <t>No method on record. Positions itself against speed and cost cutting.</t>
        </is>
      </c>
      <c r="O84" s="10" t="inlineStr"/>
      <c r="P84" s="12" t="inlineStr"/>
      <c r="Q84" s="16">
        <f>IF(O84="","ADD LINKEDIN","ok")</f>
        <v/>
      </c>
      <c r="R84" s="12" t="inlineStr">
        <is>
          <t>https://kendallhomes.net/</t>
        </is>
      </c>
      <c r="S84" s="15" t="inlineStr">
        <is>
          <t>Most of its communities sit on the Lake Conroe corridor, but it publishes no single-year closings figure.</t>
        </is>
      </c>
      <c r="T84" s="12" t="inlineStr"/>
      <c r="U84" s="15" t="inlineStr">
        <is>
          <t>Only published executive.</t>
        </is>
      </c>
      <c r="V84" s="12" t="inlineStr">
        <is>
          <t>https://kendallhomes.net/</t>
        </is>
      </c>
      <c r="W84" s="12" t="inlineStr"/>
      <c r="X84" s="12" t="inlineStr"/>
      <c r="Y84" s="12" t="inlineStr"/>
      <c r="Z84" s="12" t="inlineStr">
        <is>
          <t>(281) 609-8310</t>
        </is>
      </c>
      <c r="AA84" s="12" t="inlineStr"/>
      <c r="AB84" s="12" t="inlineStr">
        <is>
          <t>https://kendallhomes.net/</t>
        </is>
      </c>
      <c r="AC84" s="12" t="inlineStr"/>
      <c r="AD84" s="12" t="inlineStr"/>
    </row>
    <row r="85">
      <c r="A85" s="6" t="inlineStr">
        <is>
          <t>Mike Dishberger</t>
        </is>
      </c>
      <c r="B85" s="6" t="inlineStr">
        <is>
          <t>Sandcastle Homes</t>
        </is>
      </c>
      <c r="C85" s="6" t="inlineStr">
        <is>
          <t>Chief Executive Officer and Co-Owner</t>
        </is>
      </c>
      <c r="D85" s="7" t="inlineStr">
        <is>
          <t>One gap</t>
        </is>
      </c>
      <c r="E85" s="8" t="n">
        <v>2</v>
      </c>
      <c r="F85" s="6" t="inlineStr">
        <is>
          <t>Buys walls</t>
        </is>
      </c>
      <c r="G85" s="6" t="inlineStr">
        <is>
          <t>Inner Loop Houston</t>
        </is>
      </c>
      <c r="H85" s="6" t="inlineStr">
        <is>
          <t>40 to 60 homes a year on the firm's own count</t>
        </is>
      </c>
      <c r="I85" s="8" t="inlineStr">
        <is>
          <t>Partly</t>
        </is>
      </c>
      <c r="J85" s="9" t="inlineStr">
        <is>
          <t>Lots scattered across six inner-loop neighbourhoods.</t>
        </is>
      </c>
      <c r="K85" s="8" t="inlineStr">
        <is>
          <t>Yes</t>
        </is>
      </c>
      <c r="L85" s="9" t="inlineStr">
        <is>
          <t>About fifty closings a year. One machine covers most, if moved economically.</t>
        </is>
      </c>
      <c r="M85" s="8" t="inlineStr">
        <is>
          <t>No</t>
        </is>
      </c>
      <c r="N85" s="9" t="inlineStr">
        <is>
          <t>No method on record. Runs land through final inspection in house.</t>
        </is>
      </c>
      <c r="O85" s="6" t="inlineStr">
        <is>
          <t>https://www.linkedin.com/in/mike-dishberger-01b66b9/</t>
        </is>
      </c>
      <c r="P85" s="6" t="inlineStr"/>
      <c r="Q85" s="11">
        <f>IF(O85="","ADD LINKEDIN","ok")</f>
        <v/>
      </c>
      <c r="R85" s="6" t="inlineStr">
        <is>
          <t>https://www.sandcastlehouston.com/</t>
        </is>
      </c>
      <c r="S85" s="9" t="inlineStr">
        <is>
          <t>One machine would cover most of its closings, but only if moved economically between lots scattered across six Inner Loop neighbourhoods.</t>
        </is>
      </c>
      <c r="T85" s="6" t="inlineStr">
        <is>
          <t>YES</t>
        </is>
      </c>
      <c r="U85" s="9" t="inlineStr">
        <is>
          <t>Indexed title: CEO, Sandcastle Homes Inc. Oversees construction, purchasing and accounting. Texas Association of Builders Builder of the Year, 2016.</t>
        </is>
      </c>
      <c r="V85" s="6" t="inlineStr">
        <is>
          <t>https://www.sandcastlehouston.com/about-sandcastle/meet-our-team/</t>
        </is>
      </c>
      <c r="W85" s="6" t="inlineStr"/>
      <c r="X85" s="6" t="inlineStr"/>
      <c r="Y85" s="6" t="inlineStr"/>
      <c r="Z85" s="6" t="inlineStr">
        <is>
          <t>(713) 864-9190</t>
        </is>
      </c>
      <c r="AA85" s="6" t="inlineStr">
        <is>
          <t>main</t>
        </is>
      </c>
      <c r="AB85" s="6" t="inlineStr">
        <is>
          <t>https://www.sandcastlehouston.com/</t>
        </is>
      </c>
      <c r="AC85" s="6" t="inlineStr"/>
      <c r="AD85" s="6" t="inlineStr"/>
    </row>
    <row r="86">
      <c r="A86" s="12" t="inlineStr">
        <is>
          <t>Mike Salomon</t>
        </is>
      </c>
      <c r="B86" s="12" t="inlineStr">
        <is>
          <t>Sandcastle Homes</t>
        </is>
      </c>
      <c r="C86" s="12" t="inlineStr">
        <is>
          <t>President and Co-Owner</t>
        </is>
      </c>
      <c r="D86" s="13" t="inlineStr">
        <is>
          <t>One gap</t>
        </is>
      </c>
      <c r="E86" s="14" t="n">
        <v>2</v>
      </c>
      <c r="F86" s="12" t="inlineStr">
        <is>
          <t>Buys walls</t>
        </is>
      </c>
      <c r="G86" s="12" t="inlineStr">
        <is>
          <t>Inner Loop Houston</t>
        </is>
      </c>
      <c r="H86" s="12" t="inlineStr">
        <is>
          <t>40 to 60 homes a year on the firm's own count</t>
        </is>
      </c>
      <c r="I86" s="14" t="inlineStr">
        <is>
          <t>Partly</t>
        </is>
      </c>
      <c r="J86" s="15" t="inlineStr">
        <is>
          <t>Lots scattered across six inner-loop neighbourhoods.</t>
        </is>
      </c>
      <c r="K86" s="14" t="inlineStr">
        <is>
          <t>Yes</t>
        </is>
      </c>
      <c r="L86" s="15" t="inlineStr">
        <is>
          <t>About fifty closings a year. One machine covers most, if moved economically.</t>
        </is>
      </c>
      <c r="M86" s="14" t="inlineStr">
        <is>
          <t>No</t>
        </is>
      </c>
      <c r="N86" s="15" t="inlineStr">
        <is>
          <t>No method on record. Runs land through final inspection in house.</t>
        </is>
      </c>
      <c r="O86" s="6" t="inlineStr">
        <is>
          <t>https://www.linkedin.com/in/mike-salomon-389b902a/</t>
        </is>
      </c>
      <c r="P86" s="12" t="inlineStr"/>
      <c r="Q86" s="16">
        <f>IF(O86="","ADD LINKEDIN","ok")</f>
        <v/>
      </c>
      <c r="R86" s="12" t="inlineStr">
        <is>
          <t>https://www.sandcastlehouston.com/</t>
        </is>
      </c>
      <c r="S86" s="15" t="inlineStr">
        <is>
          <t>One machine would cover most of its closings, but only if moved economically between lots scattered across six Inner Loop neighbourhoods.</t>
        </is>
      </c>
      <c r="T86" s="12" t="inlineStr"/>
      <c r="U86" s="15" t="inlineStr">
        <is>
          <t>Indexed title: Owner, Sandcastle Homes, Inc. Team page. Runs land acquisition, sales and business development.</t>
        </is>
      </c>
      <c r="V86" s="12" t="inlineStr">
        <is>
          <t>https://www.sandcastlehouston.com/about-sandcastle/meet-our-team/</t>
        </is>
      </c>
      <c r="W86" s="12" t="inlineStr"/>
      <c r="X86" s="12" t="inlineStr"/>
      <c r="Y86" s="12" t="inlineStr"/>
      <c r="Z86" s="12" t="inlineStr">
        <is>
          <t>(713) 864-9190</t>
        </is>
      </c>
      <c r="AA86" s="12" t="inlineStr">
        <is>
          <t>main</t>
        </is>
      </c>
      <c r="AB86" s="12" t="inlineStr">
        <is>
          <t>https://www.sandcastlehouston.com/</t>
        </is>
      </c>
      <c r="AC86" s="12" t="inlineStr"/>
      <c r="AD86" s="12" t="inlineStr"/>
    </row>
    <row r="87">
      <c r="A87" s="6" t="inlineStr">
        <is>
          <t>Jo Dunham</t>
        </is>
      </c>
      <c r="B87" s="6" t="inlineStr">
        <is>
          <t>Sandcastle Homes</t>
        </is>
      </c>
      <c r="C87" s="6" t="inlineStr">
        <is>
          <t>Vice President of Construction</t>
        </is>
      </c>
      <c r="D87" s="7" t="inlineStr">
        <is>
          <t>One gap</t>
        </is>
      </c>
      <c r="E87" s="8" t="n">
        <v>2</v>
      </c>
      <c r="F87" s="6" t="inlineStr">
        <is>
          <t>Buys walls</t>
        </is>
      </c>
      <c r="G87" s="6" t="inlineStr">
        <is>
          <t>Inner Loop Houston</t>
        </is>
      </c>
      <c r="H87" s="6" t="inlineStr">
        <is>
          <t>40 to 60 homes a year on the firm's own count</t>
        </is>
      </c>
      <c r="I87" s="8" t="inlineStr">
        <is>
          <t>Partly</t>
        </is>
      </c>
      <c r="J87" s="9" t="inlineStr">
        <is>
          <t>Lots scattered across six inner-loop neighbourhoods.</t>
        </is>
      </c>
      <c r="K87" s="8" t="inlineStr">
        <is>
          <t>Yes</t>
        </is>
      </c>
      <c r="L87" s="9" t="inlineStr">
        <is>
          <t>About fifty closings a year. One machine covers most, if moved economically.</t>
        </is>
      </c>
      <c r="M87" s="8" t="inlineStr">
        <is>
          <t>No</t>
        </is>
      </c>
      <c r="N87" s="9" t="inlineStr">
        <is>
          <t>No method on record. Runs land through final inspection in house.</t>
        </is>
      </c>
      <c r="O87" s="10" t="inlineStr"/>
      <c r="P87" s="6" t="inlineStr"/>
      <c r="Q87" s="11">
        <f>IF(O87="","ADD LINKEDIN","ok")</f>
        <v/>
      </c>
      <c r="R87" s="6" t="inlineStr">
        <is>
          <t>https://www.sandcastlehouston.com/</t>
        </is>
      </c>
      <c r="S87" s="9" t="inlineStr">
        <is>
          <t>One machine would cover most of its closings, but only if moved economically between lots scattered across six Inner Loop neighbourhoods.</t>
        </is>
      </c>
      <c r="T87" s="6" t="inlineStr">
        <is>
          <t>YES</t>
        </is>
      </c>
      <c r="U87" s="9" t="inlineStr"/>
      <c r="V87" s="6" t="inlineStr">
        <is>
          <t>https://www.sandcastlehouston.com/about-sandcastle/meet-our-team/</t>
        </is>
      </c>
      <c r="W87" s="6" t="inlineStr"/>
      <c r="X87" s="6" t="inlineStr"/>
      <c r="Y87" s="6" t="inlineStr"/>
      <c r="Z87" s="6" t="inlineStr">
        <is>
          <t>(713) 864-9190</t>
        </is>
      </c>
      <c r="AA87" s="6" t="inlineStr">
        <is>
          <t>main</t>
        </is>
      </c>
      <c r="AB87" s="6" t="inlineStr">
        <is>
          <t>https://www.sandcastlehouston.com/</t>
        </is>
      </c>
      <c r="AC87" s="6" t="inlineStr"/>
      <c r="AD87" s="6" t="inlineStr"/>
    </row>
    <row r="88">
      <c r="A88" s="12" t="inlineStr">
        <is>
          <t>Katie Pritchard</t>
        </is>
      </c>
      <c r="B88" s="12" t="inlineStr">
        <is>
          <t>Sandcastle Homes</t>
        </is>
      </c>
      <c r="C88" s="12" t="inlineStr">
        <is>
          <t>Purchasing Manager</t>
        </is>
      </c>
      <c r="D88" s="13" t="inlineStr">
        <is>
          <t>One gap</t>
        </is>
      </c>
      <c r="E88" s="14" t="n">
        <v>2</v>
      </c>
      <c r="F88" s="12" t="inlineStr">
        <is>
          <t>Buys walls</t>
        </is>
      </c>
      <c r="G88" s="12" t="inlineStr">
        <is>
          <t>Inner Loop Houston</t>
        </is>
      </c>
      <c r="H88" s="12" t="inlineStr">
        <is>
          <t>40 to 60 homes a year on the firm's own count</t>
        </is>
      </c>
      <c r="I88" s="14" t="inlineStr">
        <is>
          <t>Partly</t>
        </is>
      </c>
      <c r="J88" s="15" t="inlineStr">
        <is>
          <t>Lots scattered across six inner-loop neighbourhoods.</t>
        </is>
      </c>
      <c r="K88" s="14" t="inlineStr">
        <is>
          <t>Yes</t>
        </is>
      </c>
      <c r="L88" s="15" t="inlineStr">
        <is>
          <t>About fifty closings a year. One machine covers most, if moved economically.</t>
        </is>
      </c>
      <c r="M88" s="14" t="inlineStr">
        <is>
          <t>No</t>
        </is>
      </c>
      <c r="N88" s="15" t="inlineStr">
        <is>
          <t>No method on record. Runs land through final inspection in house.</t>
        </is>
      </c>
      <c r="O88" s="10" t="inlineStr"/>
      <c r="P88" s="12" t="inlineStr"/>
      <c r="Q88" s="16">
        <f>IF(O88="","ADD LINKEDIN","ok")</f>
        <v/>
      </c>
      <c r="R88" s="12" t="inlineStr">
        <is>
          <t>https://www.sandcastlehouston.com/</t>
        </is>
      </c>
      <c r="S88" s="15" t="inlineStr">
        <is>
          <t>One machine would cover most of its closings, but only if moved economically between lots scattered across six Inner Loop neighbourhoods.</t>
        </is>
      </c>
      <c r="T88" s="12" t="inlineStr"/>
      <c r="U88" s="15" t="inlineStr"/>
      <c r="V88" s="12" t="inlineStr">
        <is>
          <t>https://www.sandcastlehouston.com/about-sandcastle/meet-our-team/</t>
        </is>
      </c>
      <c r="W88" s="12" t="inlineStr"/>
      <c r="X88" s="12" t="inlineStr"/>
      <c r="Y88" s="12" t="inlineStr"/>
      <c r="Z88" s="12" t="inlineStr">
        <is>
          <t>(713) 864-9190</t>
        </is>
      </c>
      <c r="AA88" s="12" t="inlineStr">
        <is>
          <t>main</t>
        </is>
      </c>
      <c r="AB88" s="12" t="inlineStr">
        <is>
          <t>https://www.sandcastlehouston.com/</t>
        </is>
      </c>
      <c r="AC88" s="12" t="inlineStr"/>
      <c r="AD88" s="12" t="inlineStr"/>
    </row>
    <row r="89">
      <c r="A89" s="6" t="inlineStr">
        <is>
          <t>Leon J. Backes</t>
        </is>
      </c>
      <c r="B89" s="6" t="inlineStr">
        <is>
          <t>Provident Realty Advisors</t>
        </is>
      </c>
      <c r="C89" s="6" t="inlineStr">
        <is>
          <t>Founder and Chief Executive Officer</t>
        </is>
      </c>
      <c r="D89" s="7" t="inlineStr">
        <is>
          <t>One gap</t>
        </is>
      </c>
      <c r="E89" s="8" t="n">
        <v>2</v>
      </c>
      <c r="F89" s="6" t="inlineStr">
        <is>
          <t>Funds it</t>
        </is>
      </c>
      <c r="G89" s="6" t="inlineStr">
        <is>
          <t>Dallas HQ / Baytown, Harris-Chambers</t>
        </is>
      </c>
      <c r="H89" s="6" t="inlineStr">
        <is>
          <t>$7.5B invested company-wide since 1991</t>
        </is>
      </c>
      <c r="I89" s="8" t="inlineStr">
        <is>
          <t>Partly</t>
        </is>
      </c>
      <c r="J89" s="9" t="inlineStr">
        <is>
          <t>Seven single-family rental communities under parcHAUS.</t>
        </is>
      </c>
      <c r="K89" s="8" t="inlineStr">
        <is>
          <t>Partly</t>
        </is>
      </c>
      <c r="L89" s="9" t="inlineStr">
        <is>
          <t>One Houston director. The firm is run from Dallas.</t>
        </is>
      </c>
      <c r="M89" s="8" t="inlineStr">
        <is>
          <t>No</t>
        </is>
      </c>
      <c r="N89" s="9" t="inlineStr">
        <is>
          <t>No method evidence.</t>
        </is>
      </c>
      <c r="O89" s="10" t="inlineStr"/>
      <c r="P89" s="6">
        <f>HYPERLINK("https://www.linkedin.com/search/results/people/?keywords=Leon%20J.%20Backes%20Provident%20Realty%20Advisors","search")</f>
        <v/>
      </c>
      <c r="Q89" s="11">
        <f>IF(O89="","ADD LINKEDIN","ok")</f>
        <v/>
      </c>
      <c r="R89" s="6" t="inlineStr">
        <is>
          <t>https://provident.net/</t>
        </is>
      </c>
      <c r="S89" s="9" t="inlineStr">
        <is>
          <t>Its parcHAUS programme targets seven rental communities across Texas, but no Houston site is named and the firm is run from Dallas.</t>
        </is>
      </c>
      <c r="T89" s="6" t="inlineStr"/>
      <c r="U89" s="9" t="inlineStr"/>
      <c r="V89" s="6" t="inlineStr">
        <is>
          <t>https://provident.net/our-team/</t>
        </is>
      </c>
      <c r="W89" s="6" t="inlineStr">
        <is>
          <t>https://www.linkedin.com/company/provident-realty-advisors</t>
        </is>
      </c>
      <c r="X89" s="6" t="inlineStr">
        <is>
          <t>https://provident.net/our-team/</t>
        </is>
      </c>
      <c r="Y89" s="6" t="inlineStr"/>
      <c r="Z89" s="6" t="inlineStr">
        <is>
          <t>(972) 385-4100</t>
        </is>
      </c>
      <c r="AA89" s="6" t="inlineStr">
        <is>
          <t>Dallas office</t>
        </is>
      </c>
      <c r="AB89" s="6" t="inlineStr">
        <is>
          <t>https://provident.net/</t>
        </is>
      </c>
      <c r="AC89" s="6" t="inlineStr"/>
      <c r="AD89" s="6" t="inlineStr"/>
    </row>
    <row r="90">
      <c r="A90" s="12" t="inlineStr">
        <is>
          <t>Christen Vestal</t>
        </is>
      </c>
      <c r="B90" s="12" t="inlineStr">
        <is>
          <t>Provident Realty Advisors</t>
        </is>
      </c>
      <c r="C90" s="12" t="inlineStr">
        <is>
          <t>Director of Development and Acquisitions, Houston</t>
        </is>
      </c>
      <c r="D90" s="13" t="inlineStr">
        <is>
          <t>One gap</t>
        </is>
      </c>
      <c r="E90" s="14" t="n">
        <v>2</v>
      </c>
      <c r="F90" s="12" t="inlineStr">
        <is>
          <t>Funds it</t>
        </is>
      </c>
      <c r="G90" s="12" t="inlineStr">
        <is>
          <t>Dallas HQ / Baytown, Harris-Chambers</t>
        </is>
      </c>
      <c r="H90" s="12" t="inlineStr">
        <is>
          <t>$7.5B invested company-wide since 1991</t>
        </is>
      </c>
      <c r="I90" s="14" t="inlineStr">
        <is>
          <t>Partly</t>
        </is>
      </c>
      <c r="J90" s="15" t="inlineStr">
        <is>
          <t>Seven single-family rental communities under parcHAUS.</t>
        </is>
      </c>
      <c r="K90" s="14" t="inlineStr">
        <is>
          <t>Partly</t>
        </is>
      </c>
      <c r="L90" s="15" t="inlineStr">
        <is>
          <t>One Houston director. The firm is run from Dallas.</t>
        </is>
      </c>
      <c r="M90" s="14" t="inlineStr">
        <is>
          <t>No</t>
        </is>
      </c>
      <c r="N90" s="15" t="inlineStr">
        <is>
          <t>No method evidence.</t>
        </is>
      </c>
      <c r="O90" s="10" t="inlineStr"/>
      <c r="P90" s="12">
        <f>HYPERLINK("https://www.linkedin.com/search/results/people/?keywords=Christen%20Vestal%20Provident%20Realty%20Advisors","search")</f>
        <v/>
      </c>
      <c r="Q90" s="16">
        <f>IF(O90="","ADD LINKEDIN","ok")</f>
        <v/>
      </c>
      <c r="R90" s="12" t="inlineStr">
        <is>
          <t>https://provident.net/</t>
        </is>
      </c>
      <c r="S90" s="15" t="inlineStr">
        <is>
          <t>Its parcHAUS programme targets seven rental communities across Texas, but no Houston site is named and the firm is run from Dallas.</t>
        </is>
      </c>
      <c r="T90" s="12" t="inlineStr"/>
      <c r="U90" s="15" t="inlineStr">
        <is>
          <t>Hired to lead the new Houston office. Not on the current team page.</t>
        </is>
      </c>
      <c r="V90" s="12" t="inlineStr">
        <is>
          <t>https://www.bisnow.com/houston/news/industrial/provident-realty-advisors-hires-christen-vestal-to-lead-forthcoming-houston-office-116393</t>
        </is>
      </c>
      <c r="W90" s="12" t="inlineStr">
        <is>
          <t>https://www.linkedin.com/company/provident-realty-advisors</t>
        </is>
      </c>
      <c r="X90" s="12" t="inlineStr">
        <is>
          <t>https://provident.net/our-team/</t>
        </is>
      </c>
      <c r="Y90" s="12" t="inlineStr"/>
      <c r="Z90" s="12" t="inlineStr">
        <is>
          <t>(972) 385-4100</t>
        </is>
      </c>
      <c r="AA90" s="12" t="inlineStr">
        <is>
          <t>Dallas office</t>
        </is>
      </c>
      <c r="AB90" s="12" t="inlineStr">
        <is>
          <t>https://provident.net/</t>
        </is>
      </c>
      <c r="AC90" s="12" t="inlineStr"/>
      <c r="AD90" s="12" t="inlineStr"/>
    </row>
    <row r="91">
      <c r="A91" s="6" t="inlineStr">
        <is>
          <t>Jennifer Keller, P.E.</t>
        </is>
      </c>
      <c r="B91" s="6" t="inlineStr">
        <is>
          <t>Risewell Homes</t>
        </is>
      </c>
      <c r="C91" s="6" t="inlineStr">
        <is>
          <t>Division President</t>
        </is>
      </c>
      <c r="D91" s="7" t="inlineStr">
        <is>
          <t>One gap</t>
        </is>
      </c>
      <c r="E91" s="8" t="n">
        <v>2</v>
      </c>
      <c r="F91" s="6" t="inlineStr">
        <is>
          <t>Buys walls</t>
        </is>
      </c>
      <c r="G91" s="6" t="inlineStr">
        <is>
          <t>Sunterra, Katy</t>
        </is>
      </c>
      <c r="H91" s="6" t="inlineStr">
        <is>
          <t>The 2025 merger of Landsea Homes and The New Home Company</t>
        </is>
      </c>
      <c r="I91" s="8" t="inlineStr">
        <is>
          <t>Partly</t>
        </is>
      </c>
      <c r="J91" s="9" t="inlineStr">
        <is>
          <t>One Houston community confirmed. Too early to read the plan strategy.</t>
        </is>
      </c>
      <c r="K91" s="8" t="inlineStr">
        <is>
          <t>Partly</t>
        </is>
      </c>
      <c r="L91" s="9" t="inlineStr">
        <is>
          <t>Ten division presidents. Purchasing sits above single-machine scale.</t>
        </is>
      </c>
      <c r="M91" s="8" t="inlineStr">
        <is>
          <t>No</t>
        </is>
      </c>
      <c r="N91" s="9" t="inlineStr">
        <is>
          <t>No method on record.</t>
        </is>
      </c>
      <c r="O91" s="6" t="inlineStr">
        <is>
          <t>https://www.linkedin.com/in/jenniferkeller/</t>
        </is>
      </c>
      <c r="P91" s="6" t="inlineStr"/>
      <c r="Q91" s="11">
        <f>IF(O91="","ADD LINKEDIN","ok")</f>
        <v/>
      </c>
      <c r="R91" s="6" t="inlineStr">
        <is>
          <t>https://risewellhomes.com/</t>
        </is>
      </c>
      <c r="S91" s="9" t="inlineStr">
        <is>
          <t>One Houston community is confirmed, and purchasing sits above single-machine scale, with none of its ten division presidents in Houston.</t>
        </is>
      </c>
      <c r="T91" s="6" t="inlineStr">
        <is>
          <t>YES</t>
        </is>
      </c>
      <c r="U91" s="9" t="inlineStr">
        <is>
          <t>Indexed title: Division President. Team page lists none for Houston.</t>
        </is>
      </c>
      <c r="V91" s="6" t="inlineStr"/>
      <c r="W91" s="6" t="inlineStr"/>
      <c r="X91" s="6" t="inlineStr"/>
      <c r="Y91" s="6" t="inlineStr"/>
      <c r="Z91" s="6" t="inlineStr">
        <is>
          <t>(888) 827-4421</t>
        </is>
      </c>
      <c r="AA91" s="6" t="inlineStr"/>
      <c r="AB91" s="6" t="inlineStr">
        <is>
          <t>https://risewellhomes.com/</t>
        </is>
      </c>
      <c r="AC91" s="6" t="inlineStr"/>
      <c r="AD91" s="6" t="inlineStr"/>
    </row>
    <row r="92">
      <c r="A92" s="12" t="inlineStr">
        <is>
          <t>Matthew R. Zaist</t>
        </is>
      </c>
      <c r="B92" s="12" t="inlineStr">
        <is>
          <t>Risewell Homes</t>
        </is>
      </c>
      <c r="C92" s="12" t="inlineStr">
        <is>
          <t>President and Chief Executive Officer</t>
        </is>
      </c>
      <c r="D92" s="13" t="inlineStr">
        <is>
          <t>One gap</t>
        </is>
      </c>
      <c r="E92" s="14" t="n">
        <v>2</v>
      </c>
      <c r="F92" s="12" t="inlineStr">
        <is>
          <t>Buys walls</t>
        </is>
      </c>
      <c r="G92" s="12" t="inlineStr">
        <is>
          <t>Sunterra, Katy</t>
        </is>
      </c>
      <c r="H92" s="12" t="inlineStr">
        <is>
          <t>The 2025 merger of Landsea Homes and The New Home Company</t>
        </is>
      </c>
      <c r="I92" s="14" t="inlineStr">
        <is>
          <t>Partly</t>
        </is>
      </c>
      <c r="J92" s="15" t="inlineStr">
        <is>
          <t>One Houston community confirmed. Too early to read the plan strategy.</t>
        </is>
      </c>
      <c r="K92" s="14" t="inlineStr">
        <is>
          <t>Partly</t>
        </is>
      </c>
      <c r="L92" s="15" t="inlineStr">
        <is>
          <t>Ten division presidents. Purchasing sits above single-machine scale.</t>
        </is>
      </c>
      <c r="M92" s="14" t="inlineStr">
        <is>
          <t>No</t>
        </is>
      </c>
      <c r="N92" s="15" t="inlineStr">
        <is>
          <t>No method on record.</t>
        </is>
      </c>
      <c r="O92" s="6" t="inlineStr">
        <is>
          <t>https://www.linkedin.com/in/matthew-zaist-01949696/</t>
        </is>
      </c>
      <c r="P92" s="12" t="inlineStr"/>
      <c r="Q92" s="16">
        <f>IF(O92="","ADD LINKEDIN","ok")</f>
        <v/>
      </c>
      <c r="R92" s="12" t="inlineStr">
        <is>
          <t>https://risewellhomes.com/</t>
        </is>
      </c>
      <c r="S92" s="15" t="inlineStr">
        <is>
          <t>One Houston community is confirmed, and purchasing sits above single-machine scale, with none of its ten division presidents in Houston.</t>
        </is>
      </c>
      <c r="T92" s="12" t="inlineStr"/>
      <c r="U92" s="15" t="inlineStr">
        <is>
          <t>Indexed title: President and CEO. Confirmed on team page.</t>
        </is>
      </c>
      <c r="V92" s="12" t="inlineStr">
        <is>
          <t>https://www.risewellhomes.com/team</t>
        </is>
      </c>
      <c r="W92" s="12" t="inlineStr"/>
      <c r="X92" s="12" t="inlineStr"/>
      <c r="Y92" s="12" t="inlineStr"/>
      <c r="Z92" s="12" t="inlineStr">
        <is>
          <t>(888) 827-4421</t>
        </is>
      </c>
      <c r="AA92" s="12" t="inlineStr"/>
      <c r="AB92" s="12" t="inlineStr">
        <is>
          <t>https://risewellhomes.com/</t>
        </is>
      </c>
      <c r="AC92" s="12" t="inlineStr"/>
      <c r="AD92" s="12" t="inlineStr"/>
    </row>
    <row r="93">
      <c r="A93" s="6" t="inlineStr">
        <is>
          <t>Todd Wood</t>
        </is>
      </c>
      <c r="B93" s="6" t="inlineStr">
        <is>
          <t>Christopher Todd Communities</t>
        </is>
      </c>
      <c r="C93" s="6" t="inlineStr">
        <is>
          <t>Chief Executive Officer and Founder</t>
        </is>
      </c>
      <c r="D93" s="7" t="inlineStr">
        <is>
          <t>One gap</t>
        </is>
      </c>
      <c r="E93" s="8" t="n">
        <v>2</v>
      </c>
      <c r="F93" s="6" t="inlineStr">
        <is>
          <t>Buys walls</t>
        </is>
      </c>
      <c r="G93" s="6" t="inlineStr">
        <is>
          <t>Mesa HQ / Montgomery, Harris</t>
        </is>
      </c>
      <c r="H93" s="6" t="inlineStr">
        <is>
          <t>314 homes Conroe, 240 homes Cypress</t>
        </is>
      </c>
      <c r="I93" s="8" t="inlineStr">
        <is>
          <t>Partly</t>
        </is>
      </c>
      <c r="J93" s="9" t="inlineStr">
        <is>
          <t>314 homes in Conroe. Cypress adds 240.</t>
        </is>
      </c>
      <c r="K93" s="8" t="inlineStr">
        <is>
          <t>Partly</t>
        </is>
      </c>
      <c r="L93" s="9" t="inlineStr">
        <is>
          <t>240 homes in Cypress and 314 in Conroe are project totals. No yearly figure.</t>
        </is>
      </c>
      <c r="M93" s="8" t="inlineStr">
        <is>
          <t>No</t>
        </is>
      </c>
      <c r="N93" s="9" t="inlineStr">
        <is>
          <t>Stated technology is smart-home fittings.</t>
        </is>
      </c>
      <c r="O93" s="10" t="inlineStr"/>
      <c r="P93" s="6">
        <f>HYPERLINK("https://www.linkedin.com/search/results/people/?keywords=Todd%20Wood%20Christopher%20Todd%20Communities","search")</f>
        <v/>
      </c>
      <c r="Q93" s="11">
        <f>IF(O93="","ADD LINKEDIN","ok")</f>
        <v/>
      </c>
      <c r="R93" s="6" t="inlineStr">
        <is>
          <t>https://www.christophertodd.com/</t>
        </is>
      </c>
      <c r="S93" s="9" t="inlineStr">
        <is>
          <t>Its stated plan is to develop its own sites, but it publishes project totals and no yearly figure.</t>
        </is>
      </c>
      <c r="T93" s="6" t="inlineStr"/>
      <c r="U93" s="9" t="inlineStr">
        <is>
          <t>Founded the firm in 2016 after selling an organic bakery.</t>
        </is>
      </c>
      <c r="V93" s="6" t="inlineStr">
        <is>
          <t>https://www.christophertodd.com/our-story/</t>
        </is>
      </c>
      <c r="W93" s="6" t="inlineStr">
        <is>
          <t>https://www.linkedin.com/company/christopher-todd-communities</t>
        </is>
      </c>
      <c r="X93" s="6" t="inlineStr">
        <is>
          <t>https://www.christophertodd.com/our-story/</t>
        </is>
      </c>
      <c r="Y93" s="6" t="inlineStr"/>
      <c r="Z93" s="6" t="inlineStr">
        <is>
          <t>(480) 428-8994</t>
        </is>
      </c>
      <c r="AA93" s="6" t="inlineStr">
        <is>
          <t>published in the privacy notice</t>
        </is>
      </c>
      <c r="AB93" s="6" t="inlineStr">
        <is>
          <t>https://www.christophertodd.com/</t>
        </is>
      </c>
      <c r="AC93" s="6" t="inlineStr"/>
      <c r="AD93" s="6" t="inlineStr"/>
    </row>
    <row r="94">
      <c r="A94" s="12" t="inlineStr">
        <is>
          <t>Brent Long</t>
        </is>
      </c>
      <c r="B94" s="12" t="inlineStr">
        <is>
          <t>Christopher Todd Communities</t>
        </is>
      </c>
      <c r="C94" s="12" t="inlineStr">
        <is>
          <t>President, Christopher Todd Capital</t>
        </is>
      </c>
      <c r="D94" s="13" t="inlineStr">
        <is>
          <t>One gap</t>
        </is>
      </c>
      <c r="E94" s="14" t="n">
        <v>2</v>
      </c>
      <c r="F94" s="12" t="inlineStr">
        <is>
          <t>Buys walls</t>
        </is>
      </c>
      <c r="G94" s="12" t="inlineStr">
        <is>
          <t>Mesa HQ / Montgomery, Harris</t>
        </is>
      </c>
      <c r="H94" s="12" t="inlineStr">
        <is>
          <t>314 homes Conroe, 240 homes Cypress</t>
        </is>
      </c>
      <c r="I94" s="14" t="inlineStr">
        <is>
          <t>Partly</t>
        </is>
      </c>
      <c r="J94" s="15" t="inlineStr">
        <is>
          <t>314 homes in Conroe. Cypress adds 240.</t>
        </is>
      </c>
      <c r="K94" s="14" t="inlineStr">
        <is>
          <t>Partly</t>
        </is>
      </c>
      <c r="L94" s="15" t="inlineStr">
        <is>
          <t>240 homes in Cypress and 314 in Conroe are project totals. No yearly figure.</t>
        </is>
      </c>
      <c r="M94" s="14" t="inlineStr">
        <is>
          <t>No</t>
        </is>
      </c>
      <c r="N94" s="15" t="inlineStr">
        <is>
          <t>Stated technology is smart-home fittings.</t>
        </is>
      </c>
      <c r="O94" s="10" t="inlineStr"/>
      <c r="P94" s="12">
        <f>HYPERLINK("https://www.linkedin.com/search/results/people/?keywords=Brent%20Long%20Christopher%20Todd%20Communities","search")</f>
        <v/>
      </c>
      <c r="Q94" s="16">
        <f>IF(O94="","ADD LINKEDIN","ok")</f>
        <v/>
      </c>
      <c r="R94" s="12" t="inlineStr">
        <is>
          <t>https://www.christophertodd.com/</t>
        </is>
      </c>
      <c r="S94" s="15" t="inlineStr">
        <is>
          <t>Its stated plan is to develop its own sites, but it publishes project totals and no yearly figure.</t>
        </is>
      </c>
      <c r="T94" s="12" t="inlineStr"/>
      <c r="U94" s="15" t="inlineStr">
        <is>
          <t>Joined as Director of Investment and Land. Twenty-five years in multifamily.</t>
        </is>
      </c>
      <c r="V94" s="12" t="inlineStr">
        <is>
          <t>https://www.christophertodd.com/press-releases/brent-long-joins-christopher-todd-as-director-of-investment-and-land/</t>
        </is>
      </c>
      <c r="W94" s="12" t="inlineStr">
        <is>
          <t>https://www.linkedin.com/company/christopher-todd-communities</t>
        </is>
      </c>
      <c r="X94" s="12" t="inlineStr">
        <is>
          <t>https://www.christophertodd.com/our-story/</t>
        </is>
      </c>
      <c r="Y94" s="12" t="inlineStr"/>
      <c r="Z94" s="12" t="inlineStr">
        <is>
          <t>(480) 428-8994</t>
        </is>
      </c>
      <c r="AA94" s="12" t="inlineStr">
        <is>
          <t>published in the privacy notice</t>
        </is>
      </c>
      <c r="AB94" s="12" t="inlineStr">
        <is>
          <t>https://www.christophertodd.com/</t>
        </is>
      </c>
      <c r="AC94" s="12" t="inlineStr"/>
      <c r="AD94" s="12" t="inlineStr"/>
    </row>
    <row r="95">
      <c r="A95" s="6" t="inlineStr">
        <is>
          <t>James Kotzur</t>
        </is>
      </c>
      <c r="B95" s="6" t="inlineStr">
        <is>
          <t>Coventry Homes</t>
        </is>
      </c>
      <c r="C95" s="6" t="inlineStr">
        <is>
          <t>Division President, Coventry Homes (Dream Finders Homes)</t>
        </is>
      </c>
      <c r="D95" s="7" t="inlineStr">
        <is>
          <t>One gap</t>
        </is>
      </c>
      <c r="E95" s="8" t="n">
        <v>2</v>
      </c>
      <c r="F95" s="6" t="inlineStr">
        <is>
          <t>Buys walls</t>
        </is>
      </c>
      <c r="G95" s="6" t="inlineStr">
        <is>
          <t>Houston HQ, Harris County</t>
        </is>
      </c>
      <c r="H95" s="6" t="inlineStr">
        <is>
          <t>1,048 Houston closings in 2025 under Dream Finders, eighth in the metro</t>
        </is>
      </c>
      <c r="I95" s="8" t="inlineStr">
        <is>
          <t>Partly</t>
        </is>
      </c>
      <c r="J95" s="9" t="inlineStr">
        <is>
          <t>Close to 100 communities, 55,000 homes company-wide.</t>
        </is>
      </c>
      <c r="K95" s="8" t="inlineStr">
        <is>
          <t>Partly</t>
        </is>
      </c>
      <c r="L95" s="9" t="inlineStr">
        <is>
          <t>Parent Dream Finders closed 1,048 Greater Houston homes in 2025. Purchasing may sit there.</t>
        </is>
      </c>
      <c r="M95" s="8" t="inlineStr">
        <is>
          <t>No</t>
        </is>
      </c>
      <c r="N95" s="9" t="inlineStr">
        <is>
          <t>No method evidence.</t>
        </is>
      </c>
      <c r="O95" s="6" t="inlineStr">
        <is>
          <t>https://www.linkedin.com/in/james-kotzur-748107224/</t>
        </is>
      </c>
      <c r="P95" s="6" t="inlineStr"/>
      <c r="Q95" s="11">
        <f>IF(O95="","ADD LINKEDIN","ok")</f>
        <v/>
      </c>
      <c r="R95" s="6" t="inlineStr">
        <is>
          <t>https://www.coventryhomes.com/</t>
        </is>
      </c>
      <c r="S95" s="9" t="inlineStr">
        <is>
          <t>A Dream Finders Homes brand whose Houston division president carries DFH in his title, so purchasing may sit with the parent.</t>
        </is>
      </c>
      <c r="T95" s="6" t="inlineStr">
        <is>
          <t>YES</t>
        </is>
      </c>
      <c r="U95" s="9" t="inlineStr">
        <is>
          <t>Division President at DFH - Coventry Homes. Houston. DFH is the parent.</t>
        </is>
      </c>
      <c r="V95" s="6" t="inlineStr"/>
      <c r="W95" s="6" t="inlineStr">
        <is>
          <t>https://www.linkedin.com/company/coventryhomes</t>
        </is>
      </c>
      <c r="X95" s="6" t="inlineStr"/>
      <c r="Y95" s="6" t="inlineStr"/>
      <c r="Z95" s="6" t="inlineStr">
        <is>
          <t>(713) 903-2596</t>
        </is>
      </c>
      <c r="AA95" s="6" t="inlineStr">
        <is>
          <t>Houston</t>
        </is>
      </c>
      <c r="AB95" s="6" t="inlineStr">
        <is>
          <t>https://www.coventryhomes.com/connect/</t>
        </is>
      </c>
      <c r="AC95" s="6" t="inlineStr"/>
      <c r="AD95" s="6" t="inlineStr"/>
    </row>
    <row r="96">
      <c r="A96" s="12" t="inlineStr">
        <is>
          <t>Jeff Dye</t>
        </is>
      </c>
      <c r="B96" s="12" t="inlineStr">
        <is>
          <t>Newmark Homes</t>
        </is>
      </c>
      <c r="C96" s="12" t="inlineStr">
        <is>
          <t>President</t>
        </is>
      </c>
      <c r="D96" s="13" t="inlineStr">
        <is>
          <t>One gap</t>
        </is>
      </c>
      <c r="E96" s="14" t="n">
        <v>2</v>
      </c>
      <c r="F96" s="12" t="inlineStr">
        <is>
          <t>Buys walls</t>
        </is>
      </c>
      <c r="G96" s="12" t="inlineStr">
        <is>
          <t>Katy</t>
        </is>
      </c>
      <c r="H96" s="12" t="inlineStr">
        <is>
          <t>483 closings and $306 million in 2025, Houston and Austin together</t>
        </is>
      </c>
      <c r="I96" s="14" t="inlineStr">
        <is>
          <t>Partly</t>
        </is>
      </c>
      <c r="J96" s="15" t="inlineStr">
        <is>
          <t>97 floor plans on its own site, across Houston and Austin.</t>
        </is>
      </c>
      <c r="K96" s="14" t="inlineStr">
        <is>
          <t>Partly</t>
        </is>
      </c>
      <c r="L96" s="15" t="inlineStr">
        <is>
          <t>511 closings in 2024, Houston and Austin combined.</t>
        </is>
      </c>
      <c r="M96" s="14" t="inlineStr">
        <is>
          <t>No</t>
        </is>
      </c>
      <c r="N96" s="15" t="inlineStr">
        <is>
          <t>A proprietary energy programme, and one-off work kept in a separate custom division.</t>
        </is>
      </c>
      <c r="O96" s="10" t="inlineStr"/>
      <c r="P96" s="12">
        <f>HYPERLINK("https://www.linkedin.com/search/results/people/?keywords=Jeff%20Dye%20Newmark%20Homes","search")</f>
        <v/>
      </c>
      <c r="Q96" s="16">
        <f>IF(O96="","ADD LINKEDIN","ok")</f>
        <v/>
      </c>
      <c r="R96" s="12" t="inlineStr">
        <is>
          <t>https://newmarkhomes.com/</t>
        </is>
      </c>
      <c r="S96" s="15" t="inlineStr">
        <is>
          <t>Publishes 97 floor plans across Houston and Austin, but keeps one-off work in a separate custom division.</t>
        </is>
      </c>
      <c r="T96" s="12" t="inlineStr"/>
      <c r="U96" s="15" t="inlineStr">
        <is>
          <t>Houston Agent, February 2020.</t>
        </is>
      </c>
      <c r="V96" s="12" t="inlineStr">
        <is>
          <t>https://houstonagentmagazine.com/2020/02/06/making-moves-newmark-homes-appoints-top-leaders-edward-jones-becomes-latest-tenant-bridgeland/</t>
        </is>
      </c>
      <c r="W96" s="12" t="inlineStr"/>
      <c r="X96" s="12" t="inlineStr"/>
      <c r="Y96" s="12" t="inlineStr"/>
      <c r="Z96" s="12" t="inlineStr">
        <is>
          <t>(713) 346-0200</t>
        </is>
      </c>
      <c r="AA96" s="12" t="inlineStr">
        <is>
          <t>office</t>
        </is>
      </c>
      <c r="AB96" s="12" t="inlineStr">
        <is>
          <t>https://newmarkhomes.com/</t>
        </is>
      </c>
      <c r="AC96" s="12" t="inlineStr"/>
      <c r="AD96" s="12" t="inlineStr"/>
    </row>
    <row r="97">
      <c r="A97" s="6" t="inlineStr">
        <is>
          <t>Frank Sitterle, Jr.</t>
        </is>
      </c>
      <c r="B97" s="6" t="inlineStr">
        <is>
          <t>Sitterle Homes</t>
        </is>
      </c>
      <c r="C97" s="6" t="inlineStr">
        <is>
          <t>Co-owner</t>
        </is>
      </c>
      <c r="D97" s="7" t="inlineStr">
        <is>
          <t>One gap</t>
        </is>
      </c>
      <c r="E97" s="8" t="n">
        <v>2</v>
      </c>
      <c r="F97" s="6" t="inlineStr">
        <is>
          <t>Buys walls</t>
        </is>
      </c>
      <c r="G97" s="6" t="inlineStr">
        <is>
          <t>San Antonio, building in Houston</t>
        </is>
      </c>
      <c r="H97" s="6" t="inlineStr">
        <is>
          <t>372 closings company-wide in 2022, no Houston figure</t>
        </is>
      </c>
      <c r="I97" s="8" t="inlineStr">
        <is>
          <t>Partly</t>
        </is>
      </c>
      <c r="J97" s="9" t="inlineStr">
        <is>
          <t>One plan catalogue shared across all four markets.</t>
        </is>
      </c>
      <c r="K97" s="8" t="inlineStr">
        <is>
          <t>Partly</t>
        </is>
      </c>
      <c r="L97" s="9" t="inlineStr">
        <is>
          <t>372 closings company-wide in 2022, no Houston figure. Houston is a secondary market.</t>
        </is>
      </c>
      <c r="M97" s="8" t="inlineStr">
        <is>
          <t>No</t>
        </is>
      </c>
      <c r="N97" s="9" t="inlineStr">
        <is>
          <t>No method evidence.</t>
        </is>
      </c>
      <c r="O97" s="6" t="inlineStr">
        <is>
          <t>https://www.linkedin.com/in/frank-sitterle-071b8246/</t>
        </is>
      </c>
      <c r="P97" s="6" t="inlineStr"/>
      <c r="Q97" s="11">
        <f>IF(O97="","ADD LINKEDIN","ok")</f>
        <v/>
      </c>
      <c r="R97" s="6" t="inlineStr">
        <is>
          <t>https://www.sitterlehomes.com/</t>
        </is>
      </c>
      <c r="S97" s="9" t="inlineStr">
        <is>
          <t>One plan catalogue serves all four of its markets, but Houston is a secondary market run from San Antonio.</t>
        </is>
      </c>
      <c r="T97" s="6" t="inlineStr"/>
      <c r="U97" s="9" t="inlineStr">
        <is>
          <t>Indexed title: President, Sitterle Homes. Bought the company in 2005 with Jeff Buell.</t>
        </is>
      </c>
      <c r="V97" s="6" t="inlineStr"/>
      <c r="W97" s="6" t="inlineStr"/>
      <c r="X97" s="6" t="inlineStr"/>
      <c r="Y97" s="6" t="inlineStr"/>
      <c r="Z97" s="6" t="inlineStr">
        <is>
          <t>(281) 664-7255</t>
        </is>
      </c>
      <c r="AA97" s="6" t="inlineStr">
        <is>
          <t>Houston design studio</t>
        </is>
      </c>
      <c r="AB97" s="6" t="inlineStr">
        <is>
          <t>https://sitterlehomes.com/contact/</t>
        </is>
      </c>
      <c r="AC97" s="6" t="inlineStr"/>
      <c r="AD97" s="6" t="inlineStr"/>
    </row>
    <row r="98">
      <c r="A98" s="12" t="inlineStr">
        <is>
          <t>Chris Hightower</t>
        </is>
      </c>
      <c r="B98" s="12" t="inlineStr">
        <is>
          <t>Sitterle Homes</t>
        </is>
      </c>
      <c r="C98" s="12" t="inlineStr">
        <is>
          <t>Division President, Houston</t>
        </is>
      </c>
      <c r="D98" s="13" t="inlineStr">
        <is>
          <t>One gap</t>
        </is>
      </c>
      <c r="E98" s="14" t="n">
        <v>2</v>
      </c>
      <c r="F98" s="12" t="inlineStr">
        <is>
          <t>Buys walls</t>
        </is>
      </c>
      <c r="G98" s="12" t="inlineStr">
        <is>
          <t>San Antonio, building in Houston</t>
        </is>
      </c>
      <c r="H98" s="12" t="inlineStr">
        <is>
          <t>372 closings company-wide in 2022, no Houston figure</t>
        </is>
      </c>
      <c r="I98" s="14" t="inlineStr">
        <is>
          <t>Partly</t>
        </is>
      </c>
      <c r="J98" s="15" t="inlineStr">
        <is>
          <t>One plan catalogue shared across all four markets.</t>
        </is>
      </c>
      <c r="K98" s="14" t="inlineStr">
        <is>
          <t>Partly</t>
        </is>
      </c>
      <c r="L98" s="15" t="inlineStr">
        <is>
          <t>372 closings company-wide in 2022, no Houston figure. Houston is a secondary market.</t>
        </is>
      </c>
      <c r="M98" s="14" t="inlineStr">
        <is>
          <t>No</t>
        </is>
      </c>
      <c r="N98" s="15" t="inlineStr">
        <is>
          <t>No method evidence.</t>
        </is>
      </c>
      <c r="O98" s="6" t="inlineStr">
        <is>
          <t>https://www.linkedin.com/in/chris-hightower-029b45112/</t>
        </is>
      </c>
      <c r="P98" s="12" t="inlineStr"/>
      <c r="Q98" s="16">
        <f>IF(O98="","ADD LINKEDIN","ok")</f>
        <v/>
      </c>
      <c r="R98" s="12" t="inlineStr">
        <is>
          <t>https://www.sitterlehomes.com/</t>
        </is>
      </c>
      <c r="S98" s="15" t="inlineStr">
        <is>
          <t>One plan catalogue serves all four of its markets, but Houston is a secondary market run from San Antonio.</t>
        </is>
      </c>
      <c r="T98" s="12" t="inlineStr">
        <is>
          <t>YES</t>
        </is>
      </c>
      <c r="U98" s="15" t="inlineStr">
        <is>
          <t>Indexed title: Division President. GHBA directory: Division President, Houston.</t>
        </is>
      </c>
      <c r="V98" s="12" t="inlineStr"/>
      <c r="W98" s="12" t="inlineStr"/>
      <c r="X98" s="12" t="inlineStr"/>
      <c r="Y98" s="12" t="inlineStr"/>
      <c r="Z98" s="12" t="inlineStr">
        <is>
          <t>(281) 664-7255</t>
        </is>
      </c>
      <c r="AA98" s="12" t="inlineStr">
        <is>
          <t>Houston design studio</t>
        </is>
      </c>
      <c r="AB98" s="12" t="inlineStr">
        <is>
          <t>https://sitterlehomes.com/contact/</t>
        </is>
      </c>
      <c r="AC98" s="12" t="inlineStr"/>
      <c r="AD98" s="12" t="inlineStr"/>
    </row>
    <row r="99">
      <c r="A99" s="6" t="inlineStr">
        <is>
          <t>Jeff Buell</t>
        </is>
      </c>
      <c r="B99" s="6" t="inlineStr">
        <is>
          <t>Sitterle Homes</t>
        </is>
      </c>
      <c r="C99" s="6" t="inlineStr">
        <is>
          <t>Co-owner</t>
        </is>
      </c>
      <c r="D99" s="7" t="inlineStr">
        <is>
          <t>One gap</t>
        </is>
      </c>
      <c r="E99" s="8" t="n">
        <v>2</v>
      </c>
      <c r="F99" s="6" t="inlineStr">
        <is>
          <t>Buys walls</t>
        </is>
      </c>
      <c r="G99" s="6" t="inlineStr">
        <is>
          <t>San Antonio, building in Houston</t>
        </is>
      </c>
      <c r="H99" s="6" t="inlineStr">
        <is>
          <t>372 closings company-wide in 2022, no Houston figure</t>
        </is>
      </c>
      <c r="I99" s="8" t="inlineStr">
        <is>
          <t>Partly</t>
        </is>
      </c>
      <c r="J99" s="9" t="inlineStr">
        <is>
          <t>One plan catalogue shared across all four markets.</t>
        </is>
      </c>
      <c r="K99" s="8" t="inlineStr">
        <is>
          <t>Partly</t>
        </is>
      </c>
      <c r="L99" s="9" t="inlineStr">
        <is>
          <t>372 closings company-wide in 2022, no Houston figure. Houston is a secondary market.</t>
        </is>
      </c>
      <c r="M99" s="8" t="inlineStr">
        <is>
          <t>No</t>
        </is>
      </c>
      <c r="N99" s="9" t="inlineStr">
        <is>
          <t>No method evidence.</t>
        </is>
      </c>
      <c r="O99" s="10" t="inlineStr"/>
      <c r="P99" s="6" t="inlineStr"/>
      <c r="Q99" s="11">
        <f>IF(O99="","ADD LINKEDIN","ok")</f>
        <v/>
      </c>
      <c r="R99" s="6" t="inlineStr">
        <is>
          <t>https://www.sitterlehomes.com/</t>
        </is>
      </c>
      <c r="S99" s="9" t="inlineStr">
        <is>
          <t>One plan catalogue serves all four of its markets, but Houston is a secondary market run from San Antonio.</t>
        </is>
      </c>
      <c r="T99" s="6" t="inlineStr"/>
      <c r="U99" s="9" t="inlineStr">
        <is>
          <t>About page gives neither co-owner a title.</t>
        </is>
      </c>
      <c r="V99" s="6" t="inlineStr">
        <is>
          <t>https://sitterlehomes.com/about-us/</t>
        </is>
      </c>
      <c r="W99" s="6" t="inlineStr"/>
      <c r="X99" s="6" t="inlineStr"/>
      <c r="Y99" s="6" t="inlineStr"/>
      <c r="Z99" s="6" t="inlineStr">
        <is>
          <t>(281) 664-7255</t>
        </is>
      </c>
      <c r="AA99" s="6" t="inlineStr">
        <is>
          <t>Houston design studio</t>
        </is>
      </c>
      <c r="AB99" s="6" t="inlineStr">
        <is>
          <t>https://sitterlehomes.com/contact/</t>
        </is>
      </c>
      <c r="AC99" s="6" t="inlineStr"/>
      <c r="AD99" s="6" t="inlineStr"/>
    </row>
    <row r="100">
      <c r="A100" s="12" t="inlineStr">
        <is>
          <t>Mary Lawler</t>
        </is>
      </c>
      <c r="B100" s="12" t="inlineStr">
        <is>
          <t>Avenue CDC</t>
        </is>
      </c>
      <c r="C100" s="12" t="inlineStr">
        <is>
          <t>Chief Executive Officer</t>
        </is>
      </c>
      <c r="D100" s="13" t="inlineStr">
        <is>
          <t>One gap</t>
        </is>
      </c>
      <c r="E100" s="14" t="n">
        <v>2</v>
      </c>
      <c r="F100" s="12" t="inlineStr">
        <is>
          <t>Buys walls</t>
        </is>
      </c>
      <c r="G100" s="12" t="inlineStr">
        <is>
          <t>Near Northside, Harris County</t>
        </is>
      </c>
      <c r="H100" s="12" t="inlineStr">
        <is>
          <t>5 named Near Northside developments</t>
        </is>
      </c>
      <c r="I100" s="14" t="inlineStr">
        <is>
          <t>Partly</t>
        </is>
      </c>
      <c r="J100" s="15" t="inlineStr">
        <is>
          <t>All in one neighbourhood.</t>
        </is>
      </c>
      <c r="K100" s="14" t="inlineStr">
        <is>
          <t>Partly</t>
        </is>
      </c>
      <c r="L100" s="15" t="inlineStr">
        <is>
          <t>Five affordable developments in one neighbourhood. No yearly figure published.</t>
        </is>
      </c>
      <c r="M100" s="14" t="inlineStr">
        <is>
          <t>No</t>
        </is>
      </c>
      <c r="N100" s="15" t="inlineStr">
        <is>
          <t>Nothing on record.</t>
        </is>
      </c>
      <c r="O100" s="10" t="inlineStr"/>
      <c r="P100" s="12">
        <f>HYPERLINK("https://www.linkedin.com/search/results/people/?keywords=Mary%20Lawler%20Avenue%20CDC","search")</f>
        <v/>
      </c>
      <c r="Q100" s="16">
        <f>IF(O100="","ADD LINKEDIN","ok")</f>
        <v/>
      </c>
      <c r="R100" s="12" t="inlineStr">
        <is>
          <t>https://avenuecdc.org/</t>
        </is>
      </c>
      <c r="S100" s="15" t="inlineStr">
        <is>
          <t>All its developments sit in one neighbourhood, but it publishes no yearly figure and no construction officer.</t>
        </is>
      </c>
      <c r="T100" s="12" t="inlineStr"/>
      <c r="U100" s="15" t="inlineStr">
        <is>
          <t>Board and staff page.</t>
        </is>
      </c>
      <c r="V100" s="12" t="inlineStr">
        <is>
          <t>https://avenuecdc.org/about-us/board-staff/</t>
        </is>
      </c>
      <c r="W100" s="12" t="inlineStr">
        <is>
          <t>https://www.linkedin.com/company/avenue-community-development-coporation</t>
        </is>
      </c>
      <c r="X100" s="12" t="inlineStr">
        <is>
          <t>https://avenuecdc.org/about-us/board-staff/</t>
        </is>
      </c>
      <c r="Y100" s="12" t="inlineStr"/>
      <c r="Z100" s="12" t="inlineStr">
        <is>
          <t>(713) 864-8099</t>
        </is>
      </c>
      <c r="AA100" s="12" t="inlineStr"/>
      <c r="AB100" s="12" t="inlineStr">
        <is>
          <t>https://avenuecdc.org/</t>
        </is>
      </c>
      <c r="AC100" s="12" t="inlineStr"/>
      <c r="AD100" s="12" t="inlineStr"/>
    </row>
    <row r="101">
      <c r="A101" s="6" t="inlineStr">
        <is>
          <t>Nicole Cassier</t>
        </is>
      </c>
      <c r="B101" s="6" t="inlineStr">
        <is>
          <t>Avenue CDC</t>
        </is>
      </c>
      <c r="C101" s="6" t="inlineStr">
        <is>
          <t>Chief Strategy Officer</t>
        </is>
      </c>
      <c r="D101" s="7" t="inlineStr">
        <is>
          <t>One gap</t>
        </is>
      </c>
      <c r="E101" s="8" t="n">
        <v>2</v>
      </c>
      <c r="F101" s="6" t="inlineStr">
        <is>
          <t>Buys walls</t>
        </is>
      </c>
      <c r="G101" s="6" t="inlineStr">
        <is>
          <t>Near Northside, Harris County</t>
        </is>
      </c>
      <c r="H101" s="6" t="inlineStr">
        <is>
          <t>5 named Near Northside developments</t>
        </is>
      </c>
      <c r="I101" s="8" t="inlineStr">
        <is>
          <t>Partly</t>
        </is>
      </c>
      <c r="J101" s="9" t="inlineStr">
        <is>
          <t>All in one neighbourhood.</t>
        </is>
      </c>
      <c r="K101" s="8" t="inlineStr">
        <is>
          <t>Partly</t>
        </is>
      </c>
      <c r="L101" s="9" t="inlineStr">
        <is>
          <t>Five affordable developments in one neighbourhood. No yearly figure published.</t>
        </is>
      </c>
      <c r="M101" s="8" t="inlineStr">
        <is>
          <t>No</t>
        </is>
      </c>
      <c r="N101" s="9" t="inlineStr">
        <is>
          <t>Nothing on record.</t>
        </is>
      </c>
      <c r="O101" s="6" t="inlineStr">
        <is>
          <t>https://www.linkedin.com/in/nicolecassier/</t>
        </is>
      </c>
      <c r="P101" s="6" t="inlineStr"/>
      <c r="Q101" s="11">
        <f>IF(O101="","ADD LINKEDIN","ok")</f>
        <v/>
      </c>
      <c r="R101" s="6" t="inlineStr">
        <is>
          <t>https://avenuecdc.org/</t>
        </is>
      </c>
      <c r="S101" s="9" t="inlineStr">
        <is>
          <t>All its developments sit in one neighbourhood, but it publishes no yearly figure and no construction officer.</t>
        </is>
      </c>
      <c r="T101" s="6" t="inlineStr"/>
      <c r="U101" s="9" t="inlineStr">
        <is>
          <t>Chief Strategy Officer, Housing &amp; Community Development. LinkedIn headline omits her employer.</t>
        </is>
      </c>
      <c r="V101" s="6" t="inlineStr"/>
      <c r="W101" s="6" t="inlineStr">
        <is>
          <t>https://www.linkedin.com/company/avenue-community-development-coporation</t>
        </is>
      </c>
      <c r="X101" s="6" t="inlineStr">
        <is>
          <t>https://avenuecdc.org/about-us/board-staff/</t>
        </is>
      </c>
      <c r="Y101" s="6" t="inlineStr"/>
      <c r="Z101" s="6" t="inlineStr">
        <is>
          <t>(713) 864-8099</t>
        </is>
      </c>
      <c r="AA101" s="6" t="inlineStr"/>
      <c r="AB101" s="6" t="inlineStr">
        <is>
          <t>https://avenuecdc.org/</t>
        </is>
      </c>
      <c r="AC101" s="6" t="inlineStr"/>
      <c r="AD101" s="6" t="inlineStr"/>
    </row>
    <row r="102">
      <c r="A102" s="12" t="inlineStr">
        <is>
          <t>Karen Briggs Gwin</t>
        </is>
      </c>
      <c r="B102" s="12" t="inlineStr">
        <is>
          <t>Avenue CDC</t>
        </is>
      </c>
      <c r="C102" s="12" t="inlineStr">
        <is>
          <t>Chief Financial Officer</t>
        </is>
      </c>
      <c r="D102" s="13" t="inlineStr">
        <is>
          <t>One gap</t>
        </is>
      </c>
      <c r="E102" s="14" t="n">
        <v>2</v>
      </c>
      <c r="F102" s="12" t="inlineStr">
        <is>
          <t>Buys walls</t>
        </is>
      </c>
      <c r="G102" s="12" t="inlineStr">
        <is>
          <t>Near Northside, Harris County</t>
        </is>
      </c>
      <c r="H102" s="12" t="inlineStr">
        <is>
          <t>5 named Near Northside developments</t>
        </is>
      </c>
      <c r="I102" s="14" t="inlineStr">
        <is>
          <t>Partly</t>
        </is>
      </c>
      <c r="J102" s="15" t="inlineStr">
        <is>
          <t>All in one neighbourhood.</t>
        </is>
      </c>
      <c r="K102" s="14" t="inlineStr">
        <is>
          <t>Partly</t>
        </is>
      </c>
      <c r="L102" s="15" t="inlineStr">
        <is>
          <t>Five affordable developments in one neighbourhood. No yearly figure published.</t>
        </is>
      </c>
      <c r="M102" s="14" t="inlineStr">
        <is>
          <t>No</t>
        </is>
      </c>
      <c r="N102" s="15" t="inlineStr">
        <is>
          <t>Nothing on record.</t>
        </is>
      </c>
      <c r="O102" s="6" t="inlineStr">
        <is>
          <t>https://www.linkedin.com/in/karen-briggs-gwin-02106614/</t>
        </is>
      </c>
      <c r="P102" s="12" t="inlineStr"/>
      <c r="Q102" s="16">
        <f>IF(O102="","ADD LINKEDIN","ok")</f>
        <v/>
      </c>
      <c r="R102" s="12" t="inlineStr">
        <is>
          <t>https://avenuecdc.org/</t>
        </is>
      </c>
      <c r="S102" s="15" t="inlineStr">
        <is>
          <t>All its developments sit in one neighbourhood, but it publishes no yearly figure and no construction officer.</t>
        </is>
      </c>
      <c r="T102" s="12" t="inlineStr"/>
      <c r="U102" s="15" t="inlineStr">
        <is>
          <t>Chief Financial Officer, Avenue CDC. Greater Houston.</t>
        </is>
      </c>
      <c r="V102" s="12" t="inlineStr"/>
      <c r="W102" s="12" t="inlineStr">
        <is>
          <t>https://www.linkedin.com/company/avenue-community-development-coporation</t>
        </is>
      </c>
      <c r="X102" s="12" t="inlineStr">
        <is>
          <t>https://avenuecdc.org/about-us/board-staff/</t>
        </is>
      </c>
      <c r="Y102" s="12" t="inlineStr"/>
      <c r="Z102" s="12" t="inlineStr">
        <is>
          <t>(713) 864-8099</t>
        </is>
      </c>
      <c r="AA102" s="12" t="inlineStr"/>
      <c r="AB102" s="12" t="inlineStr">
        <is>
          <t>https://avenuecdc.org/</t>
        </is>
      </c>
      <c r="AC102" s="12" t="inlineStr"/>
      <c r="AD102" s="12" t="inlineStr"/>
    </row>
    <row r="103">
      <c r="A103" s="6" t="inlineStr">
        <is>
          <t>Kionta Carter</t>
        </is>
      </c>
      <c r="B103" s="6" t="inlineStr">
        <is>
          <t>Avenue CDC</t>
        </is>
      </c>
      <c r="C103" s="6" t="inlineStr">
        <is>
          <t>Chief Programs Officer</t>
        </is>
      </c>
      <c r="D103" s="7" t="inlineStr">
        <is>
          <t>One gap</t>
        </is>
      </c>
      <c r="E103" s="8" t="n">
        <v>2</v>
      </c>
      <c r="F103" s="6" t="inlineStr">
        <is>
          <t>Buys walls</t>
        </is>
      </c>
      <c r="G103" s="6" t="inlineStr">
        <is>
          <t>Near Northside, Harris County</t>
        </is>
      </c>
      <c r="H103" s="6" t="inlineStr">
        <is>
          <t>5 named Near Northside developments</t>
        </is>
      </c>
      <c r="I103" s="8" t="inlineStr">
        <is>
          <t>Partly</t>
        </is>
      </c>
      <c r="J103" s="9" t="inlineStr">
        <is>
          <t>All in one neighbourhood.</t>
        </is>
      </c>
      <c r="K103" s="8" t="inlineStr">
        <is>
          <t>Partly</t>
        </is>
      </c>
      <c r="L103" s="9" t="inlineStr">
        <is>
          <t>Five affordable developments in one neighbourhood. No yearly figure published.</t>
        </is>
      </c>
      <c r="M103" s="8" t="inlineStr">
        <is>
          <t>No</t>
        </is>
      </c>
      <c r="N103" s="9" t="inlineStr">
        <is>
          <t>Nothing on record.</t>
        </is>
      </c>
      <c r="O103" s="10" t="inlineStr"/>
      <c r="P103" s="6" t="inlineStr"/>
      <c r="Q103" s="11">
        <f>IF(O103="","ADD LINKEDIN","ok")</f>
        <v/>
      </c>
      <c r="R103" s="6" t="inlineStr">
        <is>
          <t>https://avenuecdc.org/</t>
        </is>
      </c>
      <c r="S103" s="9" t="inlineStr">
        <is>
          <t>All its developments sit in one neighbourhood, but it publishes no yearly figure and no construction officer.</t>
        </is>
      </c>
      <c r="T103" s="6" t="inlineStr"/>
      <c r="U103" s="9" t="inlineStr"/>
      <c r="V103" s="6" t="inlineStr">
        <is>
          <t>https://avenuecdc.org/about-us/board-staff/</t>
        </is>
      </c>
      <c r="W103" s="6" t="inlineStr">
        <is>
          <t>https://www.linkedin.com/company/avenue-community-development-coporation</t>
        </is>
      </c>
      <c r="X103" s="6" t="inlineStr">
        <is>
          <t>https://avenuecdc.org/about-us/board-staff/</t>
        </is>
      </c>
      <c r="Y103" s="6" t="inlineStr"/>
      <c r="Z103" s="6" t="inlineStr">
        <is>
          <t>(713) 864-8099</t>
        </is>
      </c>
      <c r="AA103" s="6" t="inlineStr"/>
      <c r="AB103" s="6" t="inlineStr">
        <is>
          <t>https://avenuecdc.org/</t>
        </is>
      </c>
      <c r="AC103" s="6" t="inlineStr"/>
      <c r="AD103" s="6" t="inlineStr"/>
    </row>
    <row r="104">
      <c r="A104" s="12" t="inlineStr">
        <is>
          <t>Angela Guerrero</t>
        </is>
      </c>
      <c r="B104" s="12" t="inlineStr">
        <is>
          <t>Avenue CDC</t>
        </is>
      </c>
      <c r="C104" s="12" t="inlineStr">
        <is>
          <t>Director, Asset Management and Realty Services</t>
        </is>
      </c>
      <c r="D104" s="13" t="inlineStr">
        <is>
          <t>One gap</t>
        </is>
      </c>
      <c r="E104" s="14" t="n">
        <v>2</v>
      </c>
      <c r="F104" s="12" t="inlineStr">
        <is>
          <t>Buys walls</t>
        </is>
      </c>
      <c r="G104" s="12" t="inlineStr">
        <is>
          <t>Near Northside, Harris County</t>
        </is>
      </c>
      <c r="H104" s="12" t="inlineStr">
        <is>
          <t>5 named Near Northside developments</t>
        </is>
      </c>
      <c r="I104" s="14" t="inlineStr">
        <is>
          <t>Partly</t>
        </is>
      </c>
      <c r="J104" s="15" t="inlineStr">
        <is>
          <t>All in one neighbourhood.</t>
        </is>
      </c>
      <c r="K104" s="14" t="inlineStr">
        <is>
          <t>Partly</t>
        </is>
      </c>
      <c r="L104" s="15" t="inlineStr">
        <is>
          <t>Five affordable developments in one neighbourhood. No yearly figure published.</t>
        </is>
      </c>
      <c r="M104" s="14" t="inlineStr">
        <is>
          <t>No</t>
        </is>
      </c>
      <c r="N104" s="15" t="inlineStr">
        <is>
          <t>Nothing on record.</t>
        </is>
      </c>
      <c r="O104" s="10" t="inlineStr"/>
      <c r="P104" s="12" t="inlineStr"/>
      <c r="Q104" s="16">
        <f>IF(O104="","ADD LINKEDIN","ok")</f>
        <v/>
      </c>
      <c r="R104" s="12" t="inlineStr">
        <is>
          <t>https://avenuecdc.org/</t>
        </is>
      </c>
      <c r="S104" s="15" t="inlineStr">
        <is>
          <t>All its developments sit in one neighbourhood, but it publishes no yearly figure and no construction officer.</t>
        </is>
      </c>
      <c r="T104" s="12" t="inlineStr"/>
      <c r="U104" s="15" t="inlineStr">
        <is>
          <t>Staff page lists no construction officer.</t>
        </is>
      </c>
      <c r="V104" s="12" t="inlineStr">
        <is>
          <t>https://avenuecdc.org/about-us/board-staff/</t>
        </is>
      </c>
      <c r="W104" s="12" t="inlineStr">
        <is>
          <t>https://www.linkedin.com/company/avenue-community-development-coporation</t>
        </is>
      </c>
      <c r="X104" s="12" t="inlineStr">
        <is>
          <t>https://avenuecdc.org/about-us/board-staff/</t>
        </is>
      </c>
      <c r="Y104" s="12" t="inlineStr"/>
      <c r="Z104" s="12" t="inlineStr">
        <is>
          <t>(713) 864-8099</t>
        </is>
      </c>
      <c r="AA104" s="12" t="inlineStr"/>
      <c r="AB104" s="12" t="inlineStr">
        <is>
          <t>https://avenuecdc.org/</t>
        </is>
      </c>
      <c r="AC104" s="12" t="inlineStr"/>
      <c r="AD104" s="12" t="inlineStr"/>
    </row>
    <row r="105">
      <c r="A105" s="6" t="inlineStr">
        <is>
          <t>Neil Joshi</t>
        </is>
      </c>
      <c r="B105" s="6" t="inlineStr">
        <is>
          <t>RSK Real Estate Partners</t>
        </is>
      </c>
      <c r="C105" s="6" t="inlineStr">
        <is>
          <t>Managing Member, RSK Real Estate Partners</t>
        </is>
      </c>
      <c r="D105" s="7" t="inlineStr">
        <is>
          <t>One gap</t>
        </is>
      </c>
      <c r="E105" s="8" t="n">
        <v>2</v>
      </c>
      <c r="F105" s="6" t="inlineStr">
        <is>
          <t>Buys walls</t>
        </is>
      </c>
      <c r="G105" s="6" t="inlineStr">
        <is>
          <t>Chicago HQ / Katy, Harris</t>
        </is>
      </c>
      <c r="H105" s="6" t="inlineStr">
        <is>
          <t>366 build-to-rent units across two Katy projects</t>
        </is>
      </c>
      <c r="I105" s="8" t="inlineStr">
        <is>
          <t>Partly</t>
        </is>
      </c>
      <c r="J105" s="9" t="inlineStr">
        <is>
          <t>156 and 210 duplexes on two Katy sites.</t>
        </is>
      </c>
      <c r="K105" s="8" t="inlineStr">
        <is>
          <t>Partly</t>
        </is>
      </c>
      <c r="L105" s="9" t="inlineStr">
        <is>
          <t>No unit count published beyond the two projects.</t>
        </is>
      </c>
      <c r="M105" s="8" t="inlineStr">
        <is>
          <t>No</t>
        </is>
      </c>
      <c r="N105" s="9" t="inlineStr">
        <is>
          <t>No method evidence.</t>
        </is>
      </c>
      <c r="O105" s="10" t="inlineStr"/>
      <c r="P105" s="6">
        <f>HYPERLINK("https://www.linkedin.com/search/results/people/?keywords=Neil%20Joshi%20RSK%20Real%20Estate%20Partners","search")</f>
        <v/>
      </c>
      <c r="Q105" s="11">
        <f>IF(O105="","ADD LINKEDIN","ok")</f>
        <v/>
      </c>
      <c r="R105" s="6" t="inlineStr">
        <is>
          <t>https://rskrealestatepartners.com/</t>
        </is>
      </c>
      <c r="S105" s="9" t="inlineStr">
        <is>
          <t>Publishes three construction directors and a purchasing manager, but no unit count beyond its Katy projects.</t>
        </is>
      </c>
      <c r="T105" s="6" t="inlineStr"/>
      <c r="U105" s="9" t="inlineStr"/>
      <c r="V105" s="6" t="inlineStr">
        <is>
          <t>https://rskrealestatepartners.com/our-team/</t>
        </is>
      </c>
      <c r="W105" s="6" t="inlineStr">
        <is>
          <t>https://www.linkedin.com/company/rsk-real-estate-partners</t>
        </is>
      </c>
      <c r="X105" s="6" t="inlineStr">
        <is>
          <t>https://rskrealestatepartners.com/our-team/</t>
        </is>
      </c>
      <c r="Y105" s="6" t="inlineStr"/>
      <c r="Z105" s="6" t="inlineStr"/>
      <c r="AA105" s="6" t="inlineStr"/>
      <c r="AB105" s="6" t="inlineStr"/>
      <c r="AC105" s="6" t="inlineStr"/>
      <c r="AD105" s="6" t="inlineStr"/>
    </row>
    <row r="106">
      <c r="A106" s="12" t="inlineStr">
        <is>
          <t>Hannah Ripkey</t>
        </is>
      </c>
      <c r="B106" s="12" t="inlineStr">
        <is>
          <t>RSK Real Estate Partners</t>
        </is>
      </c>
      <c r="C106" s="12" t="inlineStr">
        <is>
          <t>Vice President of Development, RSK Real Estate Partners</t>
        </is>
      </c>
      <c r="D106" s="13" t="inlineStr">
        <is>
          <t>One gap</t>
        </is>
      </c>
      <c r="E106" s="14" t="n">
        <v>2</v>
      </c>
      <c r="F106" s="12" t="inlineStr">
        <is>
          <t>Buys walls</t>
        </is>
      </c>
      <c r="G106" s="12" t="inlineStr">
        <is>
          <t>Chicago HQ / Katy, Harris</t>
        </is>
      </c>
      <c r="H106" s="12" t="inlineStr">
        <is>
          <t>366 build-to-rent units across two Katy projects</t>
        </is>
      </c>
      <c r="I106" s="14" t="inlineStr">
        <is>
          <t>Partly</t>
        </is>
      </c>
      <c r="J106" s="15" t="inlineStr">
        <is>
          <t>156 and 210 duplexes on two Katy sites.</t>
        </is>
      </c>
      <c r="K106" s="14" t="inlineStr">
        <is>
          <t>Partly</t>
        </is>
      </c>
      <c r="L106" s="15" t="inlineStr">
        <is>
          <t>No unit count published beyond the two projects.</t>
        </is>
      </c>
      <c r="M106" s="14" t="inlineStr">
        <is>
          <t>No</t>
        </is>
      </c>
      <c r="N106" s="15" t="inlineStr">
        <is>
          <t>No method evidence.</t>
        </is>
      </c>
      <c r="O106" s="10" t="inlineStr"/>
      <c r="P106" s="12">
        <f>HYPERLINK("https://www.linkedin.com/search/results/people/?keywords=Hannah%20Ripkey%20RSK%20Real%20Estate%20Partners","search")</f>
        <v/>
      </c>
      <c r="Q106" s="16">
        <f>IF(O106="","ADD LINKEDIN","ok")</f>
        <v/>
      </c>
      <c r="R106" s="12" t="inlineStr">
        <is>
          <t>https://rskrealestatepartners.com/</t>
        </is>
      </c>
      <c r="S106" s="15" t="inlineStr">
        <is>
          <t>Publishes three construction directors and a purchasing manager, but no unit count beyond its Katy projects.</t>
        </is>
      </c>
      <c r="T106" s="12" t="inlineStr"/>
      <c r="U106" s="15" t="inlineStr"/>
      <c r="V106" s="12" t="inlineStr">
        <is>
          <t>https://rskrealestatepartners.com/our-team/</t>
        </is>
      </c>
      <c r="W106" s="12" t="inlineStr">
        <is>
          <t>https://www.linkedin.com/company/rsk-real-estate-partners</t>
        </is>
      </c>
      <c r="X106" s="12" t="inlineStr">
        <is>
          <t>https://rskrealestatepartners.com/our-team/</t>
        </is>
      </c>
      <c r="Y106" s="12" t="inlineStr"/>
      <c r="Z106" s="12" t="inlineStr"/>
      <c r="AA106" s="12" t="inlineStr"/>
      <c r="AB106" s="12" t="inlineStr"/>
      <c r="AC106" s="12" t="inlineStr"/>
      <c r="AD106" s="12" t="inlineStr"/>
    </row>
    <row r="107">
      <c r="A107" s="6" t="inlineStr">
        <is>
          <t>Jim Foy</t>
        </is>
      </c>
      <c r="B107" s="6" t="inlineStr">
        <is>
          <t>RSK Real Estate Partners</t>
        </is>
      </c>
      <c r="C107" s="6" t="inlineStr">
        <is>
          <t>Houston Director of Construction</t>
        </is>
      </c>
      <c r="D107" s="7" t="inlineStr">
        <is>
          <t>One gap</t>
        </is>
      </c>
      <c r="E107" s="8" t="n">
        <v>2</v>
      </c>
      <c r="F107" s="6" t="inlineStr">
        <is>
          <t>Buys walls</t>
        </is>
      </c>
      <c r="G107" s="6" t="inlineStr">
        <is>
          <t>Chicago HQ / Katy, Harris</t>
        </is>
      </c>
      <c r="H107" s="6" t="inlineStr">
        <is>
          <t>366 build-to-rent units across two Katy projects</t>
        </is>
      </c>
      <c r="I107" s="8" t="inlineStr">
        <is>
          <t>Partly</t>
        </is>
      </c>
      <c r="J107" s="9" t="inlineStr">
        <is>
          <t>156 and 210 duplexes on two Katy sites.</t>
        </is>
      </c>
      <c r="K107" s="8" t="inlineStr">
        <is>
          <t>Partly</t>
        </is>
      </c>
      <c r="L107" s="9" t="inlineStr">
        <is>
          <t>No unit count published beyond the two projects.</t>
        </is>
      </c>
      <c r="M107" s="8" t="inlineStr">
        <is>
          <t>No</t>
        </is>
      </c>
      <c r="N107" s="9" t="inlineStr">
        <is>
          <t>No method evidence.</t>
        </is>
      </c>
      <c r="O107" s="10" t="inlineStr"/>
      <c r="P107" s="6" t="inlineStr"/>
      <c r="Q107" s="11">
        <f>IF(O107="","ADD LINKEDIN","ok")</f>
        <v/>
      </c>
      <c r="R107" s="6" t="inlineStr">
        <is>
          <t>https://rskrealestatepartners.com/</t>
        </is>
      </c>
      <c r="S107" s="9" t="inlineStr">
        <is>
          <t>Publishes three construction directors and a purchasing manager, but no unit count beyond its Katy projects.</t>
        </is>
      </c>
      <c r="T107" s="6" t="inlineStr">
        <is>
          <t>YES</t>
        </is>
      </c>
      <c r="U107" s="9" t="inlineStr"/>
      <c r="V107" s="6" t="inlineStr">
        <is>
          <t>https://rskrealestatepartners.com/our-team/</t>
        </is>
      </c>
      <c r="W107" s="6" t="inlineStr">
        <is>
          <t>https://www.linkedin.com/company/rsk-real-estate-partners</t>
        </is>
      </c>
      <c r="X107" s="6" t="inlineStr">
        <is>
          <t>https://rskrealestatepartners.com/our-team/</t>
        </is>
      </c>
      <c r="Y107" s="6" t="inlineStr"/>
      <c r="Z107" s="6" t="inlineStr"/>
      <c r="AA107" s="6" t="inlineStr"/>
      <c r="AB107" s="6" t="inlineStr"/>
      <c r="AC107" s="6" t="inlineStr"/>
      <c r="AD107" s="6" t="inlineStr"/>
    </row>
    <row r="108">
      <c r="A108" s="12" t="inlineStr">
        <is>
          <t>Corey Wilson</t>
        </is>
      </c>
      <c r="B108" s="12" t="inlineStr">
        <is>
          <t>RSK Real Estate Partners</t>
        </is>
      </c>
      <c r="C108" s="12" t="inlineStr">
        <is>
          <t>Regional Director of Construction</t>
        </is>
      </c>
      <c r="D108" s="13" t="inlineStr">
        <is>
          <t>One gap</t>
        </is>
      </c>
      <c r="E108" s="14" t="n">
        <v>2</v>
      </c>
      <c r="F108" s="12" t="inlineStr">
        <is>
          <t>Buys walls</t>
        </is>
      </c>
      <c r="G108" s="12" t="inlineStr">
        <is>
          <t>Chicago HQ / Katy, Harris</t>
        </is>
      </c>
      <c r="H108" s="12" t="inlineStr">
        <is>
          <t>366 build-to-rent units across two Katy projects</t>
        </is>
      </c>
      <c r="I108" s="14" t="inlineStr">
        <is>
          <t>Partly</t>
        </is>
      </c>
      <c r="J108" s="15" t="inlineStr">
        <is>
          <t>156 and 210 duplexes on two Katy sites.</t>
        </is>
      </c>
      <c r="K108" s="14" t="inlineStr">
        <is>
          <t>Partly</t>
        </is>
      </c>
      <c r="L108" s="15" t="inlineStr">
        <is>
          <t>No unit count published beyond the two projects.</t>
        </is>
      </c>
      <c r="M108" s="14" t="inlineStr">
        <is>
          <t>No</t>
        </is>
      </c>
      <c r="N108" s="15" t="inlineStr">
        <is>
          <t>No method evidence.</t>
        </is>
      </c>
      <c r="O108" s="10" t="inlineStr"/>
      <c r="P108" s="12" t="inlineStr"/>
      <c r="Q108" s="16">
        <f>IF(O108="","ADD LINKEDIN","ok")</f>
        <v/>
      </c>
      <c r="R108" s="12" t="inlineStr">
        <is>
          <t>https://rskrealestatepartners.com/</t>
        </is>
      </c>
      <c r="S108" s="15" t="inlineStr">
        <is>
          <t>Publishes three construction directors and a purchasing manager, but no unit count beyond its Katy projects.</t>
        </is>
      </c>
      <c r="T108" s="12" t="inlineStr"/>
      <c r="U108" s="15" t="inlineStr"/>
      <c r="V108" s="12" t="inlineStr">
        <is>
          <t>https://rskrealestatepartners.com/our-team/</t>
        </is>
      </c>
      <c r="W108" s="12" t="inlineStr">
        <is>
          <t>https://www.linkedin.com/company/rsk-real-estate-partners</t>
        </is>
      </c>
      <c r="X108" s="12" t="inlineStr">
        <is>
          <t>https://rskrealestatepartners.com/our-team/</t>
        </is>
      </c>
      <c r="Y108" s="12" t="inlineStr"/>
      <c r="Z108" s="12" t="inlineStr"/>
      <c r="AA108" s="12" t="inlineStr"/>
      <c r="AB108" s="12" t="inlineStr"/>
      <c r="AC108" s="12" t="inlineStr"/>
      <c r="AD108" s="12" t="inlineStr"/>
    </row>
    <row r="109">
      <c r="A109" s="6" t="inlineStr">
        <is>
          <t>Kevin Calderon</t>
        </is>
      </c>
      <c r="B109" s="6" t="inlineStr">
        <is>
          <t>RSK Real Estate Partners</t>
        </is>
      </c>
      <c r="C109" s="6" t="inlineStr">
        <is>
          <t>Purchasing Manager</t>
        </is>
      </c>
      <c r="D109" s="7" t="inlineStr">
        <is>
          <t>One gap</t>
        </is>
      </c>
      <c r="E109" s="8" t="n">
        <v>2</v>
      </c>
      <c r="F109" s="6" t="inlineStr">
        <is>
          <t>Buys walls</t>
        </is>
      </c>
      <c r="G109" s="6" t="inlineStr">
        <is>
          <t>Chicago HQ / Katy, Harris</t>
        </is>
      </c>
      <c r="H109" s="6" t="inlineStr">
        <is>
          <t>366 build-to-rent units across two Katy projects</t>
        </is>
      </c>
      <c r="I109" s="8" t="inlineStr">
        <is>
          <t>Partly</t>
        </is>
      </c>
      <c r="J109" s="9" t="inlineStr">
        <is>
          <t>156 and 210 duplexes on two Katy sites.</t>
        </is>
      </c>
      <c r="K109" s="8" t="inlineStr">
        <is>
          <t>Partly</t>
        </is>
      </c>
      <c r="L109" s="9" t="inlineStr">
        <is>
          <t>No unit count published beyond the two projects.</t>
        </is>
      </c>
      <c r="M109" s="8" t="inlineStr">
        <is>
          <t>No</t>
        </is>
      </c>
      <c r="N109" s="9" t="inlineStr">
        <is>
          <t>No method evidence.</t>
        </is>
      </c>
      <c r="O109" s="10" t="inlineStr"/>
      <c r="P109" s="6" t="inlineStr"/>
      <c r="Q109" s="11">
        <f>IF(O109="","ADD LINKEDIN","ok")</f>
        <v/>
      </c>
      <c r="R109" s="6" t="inlineStr">
        <is>
          <t>https://rskrealestatepartners.com/</t>
        </is>
      </c>
      <c r="S109" s="9" t="inlineStr">
        <is>
          <t>Publishes three construction directors and a purchasing manager, but no unit count beyond its Katy projects.</t>
        </is>
      </c>
      <c r="T109" s="6" t="inlineStr"/>
      <c r="U109" s="9" t="inlineStr"/>
      <c r="V109" s="6" t="inlineStr">
        <is>
          <t>https://rskrealestatepartners.com/our-team/</t>
        </is>
      </c>
      <c r="W109" s="6" t="inlineStr">
        <is>
          <t>https://www.linkedin.com/company/rsk-real-estate-partners</t>
        </is>
      </c>
      <c r="X109" s="6" t="inlineStr">
        <is>
          <t>https://rskrealestatepartners.com/our-team/</t>
        </is>
      </c>
      <c r="Y109" s="6" t="inlineStr"/>
      <c r="Z109" s="6" t="inlineStr"/>
      <c r="AA109" s="6" t="inlineStr"/>
      <c r="AB109" s="6" t="inlineStr"/>
      <c r="AC109" s="6" t="inlineStr"/>
      <c r="AD109" s="6" t="inlineStr"/>
    </row>
    <row r="110">
      <c r="A110" s="12" t="inlineStr">
        <is>
          <t>Stephen Najvar</t>
        </is>
      </c>
      <c r="B110" s="12" t="inlineStr">
        <is>
          <t>Ravenna Homes</t>
        </is>
      </c>
      <c r="C110" s="12" t="inlineStr">
        <is>
          <t>President</t>
        </is>
      </c>
      <c r="D110" s="13" t="inlineStr">
        <is>
          <t>One gap</t>
        </is>
      </c>
      <c r="E110" s="14" t="n">
        <v>2</v>
      </c>
      <c r="F110" s="12" t="inlineStr">
        <is>
          <t>Buys walls</t>
        </is>
      </c>
      <c r="G110" s="12" t="inlineStr">
        <is>
          <t>Cypress</t>
        </is>
      </c>
      <c r="H110" s="12" t="inlineStr">
        <is>
          <t>Seven communities, from the $500,000s</t>
        </is>
      </c>
      <c r="I110" s="14" t="inlineStr">
        <is>
          <t>Partly</t>
        </is>
      </c>
      <c r="J110" s="15" t="inlineStr">
        <is>
          <t>All seven sit in the north and northwest corridor.</t>
        </is>
      </c>
      <c r="K110" s="14" t="inlineStr">
        <is>
          <t>Partly</t>
        </is>
      </c>
      <c r="L110" s="15" t="inlineStr">
        <is>
          <t>Price point above $500,000 implies volume below the machine band. No closings figure published.</t>
        </is>
      </c>
      <c r="M110" s="14" t="inlineStr">
        <is>
          <t>No</t>
        </is>
      </c>
      <c r="N110" s="15" t="inlineStr">
        <is>
          <t>No method evidence beyond energy efficiency and smart home options.</t>
        </is>
      </c>
      <c r="O110" s="6" t="inlineStr">
        <is>
          <t>https://www.linkedin.com/in/stephennajvar/</t>
        </is>
      </c>
      <c r="P110" s="12" t="inlineStr"/>
      <c r="Q110" s="16">
        <f>IF(O110="","ADD LINKEDIN","ok")</f>
        <v/>
      </c>
      <c r="R110" s="12" t="inlineStr">
        <is>
          <t>https://ravennahomes.com/</t>
        </is>
      </c>
      <c r="S110" s="15" t="inlineStr">
        <is>
          <t>Its price point implies volume below the machine band, and it publishes no closings figure.</t>
        </is>
      </c>
      <c r="T110" s="12" t="inlineStr"/>
      <c r="U110" s="15" t="inlineStr">
        <is>
          <t>Indexed title: President. 2013 release: co-founder with his brother Kenneth Najvar.</t>
        </is>
      </c>
      <c r="V110" s="12" t="inlineStr"/>
      <c r="W110" s="12" t="inlineStr"/>
      <c r="X110" s="12" t="inlineStr"/>
      <c r="Y110" s="12" t="inlineStr"/>
      <c r="Z110" s="12" t="inlineStr">
        <is>
          <t>(832) 653-3600</t>
        </is>
      </c>
      <c r="AA110" s="12" t="inlineStr"/>
      <c r="AB110" s="12" t="inlineStr">
        <is>
          <t>https://www.ravennahomes.com/</t>
        </is>
      </c>
      <c r="AC110" s="12" t="inlineStr"/>
      <c r="AD110" s="12" t="inlineStr"/>
    </row>
    <row r="111">
      <c r="A111" s="6" t="inlineStr">
        <is>
          <t>Klaus Keller</t>
        </is>
      </c>
      <c r="B111" s="6" t="inlineStr">
        <is>
          <t>Sueba USA Corporation</t>
        </is>
      </c>
      <c r="C111" s="6" t="inlineStr">
        <is>
          <t>President and Chief Executive Officer</t>
        </is>
      </c>
      <c r="D111" s="7" t="inlineStr">
        <is>
          <t>One gap</t>
        </is>
      </c>
      <c r="E111" s="8" t="n">
        <v>2</v>
      </c>
      <c r="F111" s="6" t="inlineStr">
        <is>
          <t>Buys walls</t>
        </is>
      </c>
      <c r="G111" s="6" t="inlineStr">
        <is>
          <t>Houston HQ / Fort Bend</t>
        </is>
      </c>
      <c r="H111" s="6" t="inlineStr">
        <is>
          <t>346 units, in-house architect and GC</t>
        </is>
      </c>
      <c r="I111" s="8" t="inlineStr">
        <is>
          <t>Partly</t>
        </is>
      </c>
      <c r="J111" s="9" t="inlineStr">
        <is>
          <t>346 units on one site.</t>
        </is>
      </c>
      <c r="K111" s="8" t="inlineStr">
        <is>
          <t>Partly</t>
        </is>
      </c>
      <c r="L111" s="9" t="inlineStr">
        <is>
          <t>346 units on one site. No yearly figure published.</t>
        </is>
      </c>
      <c r="M111" s="8" t="inlineStr">
        <is>
          <t>No</t>
        </is>
      </c>
      <c r="N111" s="9" t="inlineStr">
        <is>
          <t>No new building method on record.</t>
        </is>
      </c>
      <c r="O111" s="6" t="inlineStr">
        <is>
          <t>https://www.linkedin.com/in/klaus-keller-56151334/</t>
        </is>
      </c>
      <c r="P111" s="6" t="inlineStr"/>
      <c r="Q111" s="11">
        <f>IF(O111="","ADD LINKEDIN","ok")</f>
        <v/>
      </c>
      <c r="R111" s="6" t="inlineStr">
        <is>
          <t>https://suebausa.com/</t>
        </is>
      </c>
      <c r="S111" s="9" t="inlineStr">
        <is>
          <t>Its own affiliates served as architect and general contractor, but it publishes no yearly figure.</t>
        </is>
      </c>
      <c r="T111" s="6" t="inlineStr"/>
      <c r="U111" s="9" t="inlineStr">
        <is>
          <t>President at Sueba USA Corporation. Houston, Texas.</t>
        </is>
      </c>
      <c r="V111" s="6" t="inlineStr"/>
      <c r="W111" s="6" t="inlineStr">
        <is>
          <t>https://www.linkedin.com/company/sueba-usa-corporation</t>
        </is>
      </c>
      <c r="X111" s="6" t="inlineStr">
        <is>
          <t>https://suebausa.com/about-us/</t>
        </is>
      </c>
      <c r="Y111" s="6" t="inlineStr"/>
      <c r="Z111" s="6" t="inlineStr">
        <is>
          <t>(713) 961-3588</t>
        </is>
      </c>
      <c r="AA111" s="6" t="inlineStr"/>
      <c r="AB111" s="6" t="inlineStr">
        <is>
          <t>https://suebausa.com/</t>
        </is>
      </c>
      <c r="AC111" s="6" t="inlineStr"/>
      <c r="AD111" s="6" t="inlineStr"/>
    </row>
    <row r="112">
      <c r="A112" s="12" t="inlineStr">
        <is>
          <t>John Chiang</t>
        </is>
      </c>
      <c r="B112" s="12" t="inlineStr">
        <is>
          <t>Sueba USA Corporation</t>
        </is>
      </c>
      <c r="C112" s="12" t="inlineStr">
        <is>
          <t>Executive Vice President and Chief Operating Officer</t>
        </is>
      </c>
      <c r="D112" s="13" t="inlineStr">
        <is>
          <t>One gap</t>
        </is>
      </c>
      <c r="E112" s="14" t="n">
        <v>2</v>
      </c>
      <c r="F112" s="12" t="inlineStr">
        <is>
          <t>Buys walls</t>
        </is>
      </c>
      <c r="G112" s="12" t="inlineStr">
        <is>
          <t>Houston HQ / Fort Bend</t>
        </is>
      </c>
      <c r="H112" s="12" t="inlineStr">
        <is>
          <t>346 units, in-house architect and GC</t>
        </is>
      </c>
      <c r="I112" s="14" t="inlineStr">
        <is>
          <t>Partly</t>
        </is>
      </c>
      <c r="J112" s="15" t="inlineStr">
        <is>
          <t>346 units on one site.</t>
        </is>
      </c>
      <c r="K112" s="14" t="inlineStr">
        <is>
          <t>Partly</t>
        </is>
      </c>
      <c r="L112" s="15" t="inlineStr">
        <is>
          <t>346 units on one site. No yearly figure published.</t>
        </is>
      </c>
      <c r="M112" s="14" t="inlineStr">
        <is>
          <t>No</t>
        </is>
      </c>
      <c r="N112" s="15" t="inlineStr">
        <is>
          <t>No new building method on record.</t>
        </is>
      </c>
      <c r="O112" s="10" t="inlineStr"/>
      <c r="P112" s="12">
        <f>HYPERLINK("https://www.linkedin.com/search/results/people/?keywords=John%20Chiang%20Sueba%20USA%20Corporation","search")</f>
        <v/>
      </c>
      <c r="Q112" s="16">
        <f>IF(O112="","ADD LINKEDIN","ok")</f>
        <v/>
      </c>
      <c r="R112" s="12" t="inlineStr">
        <is>
          <t>https://suebausa.com/</t>
        </is>
      </c>
      <c r="S112" s="15" t="inlineStr">
        <is>
          <t>Its own affiliates served as architect and general contractor, but it publishes no yearly figure.</t>
        </is>
      </c>
      <c r="T112" s="12" t="inlineStr"/>
      <c r="U112" s="15" t="inlineStr"/>
      <c r="V112" s="12" t="inlineStr">
        <is>
          <t>https://suebausa.com/about-us/</t>
        </is>
      </c>
      <c r="W112" s="12" t="inlineStr">
        <is>
          <t>https://www.linkedin.com/company/sueba-usa-corporation</t>
        </is>
      </c>
      <c r="X112" s="12" t="inlineStr">
        <is>
          <t>https://suebausa.com/about-us/</t>
        </is>
      </c>
      <c r="Y112" s="12" t="inlineStr"/>
      <c r="Z112" s="12" t="inlineStr">
        <is>
          <t>(713) 961-3588</t>
        </is>
      </c>
      <c r="AA112" s="12" t="inlineStr"/>
      <c r="AB112" s="12" t="inlineStr">
        <is>
          <t>https://suebausa.com/</t>
        </is>
      </c>
      <c r="AC112" s="12" t="inlineStr"/>
      <c r="AD112" s="12" t="inlineStr"/>
    </row>
    <row r="113">
      <c r="A113" s="6" t="inlineStr">
        <is>
          <t>Raymond Gabriele</t>
        </is>
      </c>
      <c r="B113" s="6" t="inlineStr">
        <is>
          <t>Sueba USA Corporation</t>
        </is>
      </c>
      <c r="C113" s="6" t="inlineStr">
        <is>
          <t>Vice President, Development</t>
        </is>
      </c>
      <c r="D113" s="7" t="inlineStr">
        <is>
          <t>One gap</t>
        </is>
      </c>
      <c r="E113" s="8" t="n">
        <v>2</v>
      </c>
      <c r="F113" s="6" t="inlineStr">
        <is>
          <t>Buys walls</t>
        </is>
      </c>
      <c r="G113" s="6" t="inlineStr">
        <is>
          <t>Houston HQ / Fort Bend</t>
        </is>
      </c>
      <c r="H113" s="6" t="inlineStr">
        <is>
          <t>346 units, in-house architect and GC</t>
        </is>
      </c>
      <c r="I113" s="8" t="inlineStr">
        <is>
          <t>Partly</t>
        </is>
      </c>
      <c r="J113" s="9" t="inlineStr">
        <is>
          <t>346 units on one site.</t>
        </is>
      </c>
      <c r="K113" s="8" t="inlineStr">
        <is>
          <t>Partly</t>
        </is>
      </c>
      <c r="L113" s="9" t="inlineStr">
        <is>
          <t>346 units on one site. No yearly figure published.</t>
        </is>
      </c>
      <c r="M113" s="8" t="inlineStr">
        <is>
          <t>No</t>
        </is>
      </c>
      <c r="N113" s="9" t="inlineStr">
        <is>
          <t>No new building method on record.</t>
        </is>
      </c>
      <c r="O113" s="6" t="inlineStr">
        <is>
          <t>https://www.linkedin.com/in/raygabriele/</t>
        </is>
      </c>
      <c r="P113" s="6" t="inlineStr"/>
      <c r="Q113" s="11">
        <f>IF(O113="","ADD LINKEDIN","ok")</f>
        <v/>
      </c>
      <c r="R113" s="6" t="inlineStr">
        <is>
          <t>https://suebausa.com/</t>
        </is>
      </c>
      <c r="S113" s="9" t="inlineStr">
        <is>
          <t>Its own affiliates served as architect and general contractor, but it publishes no yearly figure.</t>
        </is>
      </c>
      <c r="T113" s="6" t="inlineStr"/>
      <c r="U113" s="9" t="inlineStr">
        <is>
          <t>Real Estate Development, Sueba USA Corporation. Houston, Texas. Listed AIA.</t>
        </is>
      </c>
      <c r="V113" s="6" t="inlineStr"/>
      <c r="W113" s="6" t="inlineStr">
        <is>
          <t>https://www.linkedin.com/company/sueba-usa-corporation</t>
        </is>
      </c>
      <c r="X113" s="6" t="inlineStr">
        <is>
          <t>https://suebausa.com/about-us/</t>
        </is>
      </c>
      <c r="Y113" s="6" t="inlineStr"/>
      <c r="Z113" s="6" t="inlineStr">
        <is>
          <t>(713) 961-3588</t>
        </is>
      </c>
      <c r="AA113" s="6" t="inlineStr"/>
      <c r="AB113" s="6" t="inlineStr">
        <is>
          <t>https://suebausa.com/</t>
        </is>
      </c>
      <c r="AC113" s="6" t="inlineStr"/>
      <c r="AD113" s="6" t="inlineStr"/>
    </row>
    <row r="114">
      <c r="A114" s="12" t="inlineStr">
        <is>
          <t>Dean Shultis</t>
        </is>
      </c>
      <c r="B114" s="12" t="inlineStr">
        <is>
          <t>DSRS Steel</t>
        </is>
      </c>
      <c r="C114" s="12" t="inlineStr">
        <is>
          <t>Co-founder</t>
        </is>
      </c>
      <c r="D114" s="13" t="inlineStr">
        <is>
          <t>Builds the wall, not the house</t>
        </is>
      </c>
      <c r="E114" s="14" t="n">
        <v>3</v>
      </c>
      <c r="F114" s="12" t="inlineStr">
        <is>
          <t>Builds the wall</t>
        </is>
      </c>
      <c r="G114" s="12" t="inlineStr">
        <is>
          <t>Houston, Pleasantville Drive, plus San Antonio and Central Texas</t>
        </is>
      </c>
      <c r="H114" s="12" t="inlineStr">
        <is>
          <t>A 150-home development on cold-formed steel</t>
        </is>
      </c>
      <c r="I114" s="14" t="inlineStr">
        <is>
          <t>Yes</t>
        </is>
      </c>
      <c r="J114" s="15" t="inlineStr">
        <is>
          <t>A manufactured wall system installed repeatedly in one metro, subdivisions and custom work.</t>
        </is>
      </c>
      <c r="K114" s="14" t="inlineStr">
        <is>
          <t>Yes</t>
        </is>
      </c>
      <c r="L114" s="15" t="inlineStr">
        <is>
          <t>Self-performs subdivision framing. One or two machines would cover a real share of it.</t>
        </is>
      </c>
      <c r="M114" s="14" t="inlineStr">
        <is>
          <t>Yes</t>
        </is>
      </c>
      <c r="N114" s="15" t="inlineStr">
        <is>
          <t>Replaces site-framed wood with a manufactured system. Carries engineering and fabrication in house.</t>
        </is>
      </c>
      <c r="O114" s="10" t="inlineStr"/>
      <c r="P114" s="12" t="inlineStr"/>
      <c r="Q114" s="16">
        <f>IF(O114="","ADD LINKEDIN","ok")</f>
        <v/>
      </c>
      <c r="R114" s="12" t="inlineStr">
        <is>
          <t>https://dsrssteel.com/</t>
        </is>
      </c>
      <c r="S114" s="15" t="inlineStr">
        <is>
          <t>Already replaced site-framed wood with a manufactured steel system on a Houston subdivision, and self-performs the framing.</t>
        </is>
      </c>
      <c r="T114" s="12" t="inlineStr">
        <is>
          <t>YES</t>
        </is>
      </c>
      <c r="U114" s="15" t="inlineStr">
        <is>
          <t>Steel firm footer email: dshultis@dsrssteel.com. DSRS is the two surnames.</t>
        </is>
      </c>
      <c r="V114" s="12" t="inlineStr">
        <is>
          <t>https://www.mccannpark.com/about</t>
        </is>
      </c>
      <c r="W114" s="12" t="inlineStr"/>
      <c r="X114" s="12" t="inlineStr"/>
      <c r="Y114" s="12" t="inlineStr"/>
      <c r="Z114" s="12" t="inlineStr">
        <is>
          <t>(512) 964-9960</t>
        </is>
      </c>
      <c r="AA114" s="12" t="inlineStr">
        <is>
          <t>the only number published</t>
        </is>
      </c>
      <c r="AB114" s="12" t="inlineStr">
        <is>
          <t>https://dsrssteel.com/</t>
        </is>
      </c>
      <c r="AC114" s="12" t="inlineStr"/>
      <c r="AD114" s="12" t="inlineStr"/>
    </row>
    <row r="115">
      <c r="A115" s="6" t="inlineStr">
        <is>
          <t>Ralph Sharp</t>
        </is>
      </c>
      <c r="B115" s="6" t="inlineStr">
        <is>
          <t>DSRS Steel</t>
        </is>
      </c>
      <c r="C115" s="6" t="inlineStr">
        <is>
          <t>Co-founder</t>
        </is>
      </c>
      <c r="D115" s="7" t="inlineStr">
        <is>
          <t>Builds the wall, not the house</t>
        </is>
      </c>
      <c r="E115" s="8" t="n">
        <v>3</v>
      </c>
      <c r="F115" s="6" t="inlineStr">
        <is>
          <t>Builds the wall</t>
        </is>
      </c>
      <c r="G115" s="6" t="inlineStr">
        <is>
          <t>Houston, Pleasantville Drive, plus San Antonio and Central Texas</t>
        </is>
      </c>
      <c r="H115" s="6" t="inlineStr">
        <is>
          <t>A 150-home development on cold-formed steel</t>
        </is>
      </c>
      <c r="I115" s="8" t="inlineStr">
        <is>
          <t>Yes</t>
        </is>
      </c>
      <c r="J115" s="9" t="inlineStr">
        <is>
          <t>A manufactured wall system installed repeatedly in one metro, subdivisions and custom work.</t>
        </is>
      </c>
      <c r="K115" s="8" t="inlineStr">
        <is>
          <t>Yes</t>
        </is>
      </c>
      <c r="L115" s="9" t="inlineStr">
        <is>
          <t>Self-performs subdivision framing. One or two machines would cover a real share of it.</t>
        </is>
      </c>
      <c r="M115" s="8" t="inlineStr">
        <is>
          <t>Yes</t>
        </is>
      </c>
      <c r="N115" s="9" t="inlineStr">
        <is>
          <t>Replaces site-framed wood with a manufactured system. Carries engineering and fabrication in house.</t>
        </is>
      </c>
      <c r="O115" s="10" t="inlineStr"/>
      <c r="P115" s="6" t="inlineStr"/>
      <c r="Q115" s="11">
        <f>IF(O115="","ADD LINKEDIN","ok")</f>
        <v/>
      </c>
      <c r="R115" s="6" t="inlineStr">
        <is>
          <t>https://dsrssteel.com/</t>
        </is>
      </c>
      <c r="S115" s="9" t="inlineStr">
        <is>
          <t>Already replaced site-framed wood with a manufactured steel system on a Houston subdivision, and self-performs the framing.</t>
        </is>
      </c>
      <c r="T115" s="6" t="inlineStr"/>
      <c r="U115" s="9" t="inlineStr">
        <is>
          <t>Named co-founder on the same page.</t>
        </is>
      </c>
      <c r="V115" s="6" t="inlineStr">
        <is>
          <t>https://www.mccannpark.com/about</t>
        </is>
      </c>
      <c r="W115" s="6" t="inlineStr"/>
      <c r="X115" s="6" t="inlineStr"/>
      <c r="Y115" s="6" t="inlineStr"/>
      <c r="Z115" s="6" t="inlineStr">
        <is>
          <t>(512) 964-9960</t>
        </is>
      </c>
      <c r="AA115" s="6" t="inlineStr">
        <is>
          <t>the only number published</t>
        </is>
      </c>
      <c r="AB115" s="6" t="inlineStr">
        <is>
          <t>https://dsrssteel.com/</t>
        </is>
      </c>
      <c r="AC115" s="6" t="inlineStr"/>
      <c r="AD115" s="6" t="inlineStr"/>
    </row>
    <row r="116">
      <c r="A116" s="12" t="inlineStr">
        <is>
          <t>Shane McCullough</t>
        </is>
      </c>
      <c r="B116" s="12" t="inlineStr">
        <is>
          <t>Future Frame USA</t>
        </is>
      </c>
      <c r="C116" s="12" t="inlineStr">
        <is>
          <t>President</t>
        </is>
      </c>
      <c r="D116" s="13" t="inlineStr">
        <is>
          <t>Builds the wall, not the house</t>
        </is>
      </c>
      <c r="E116" s="14" t="n">
        <v>3</v>
      </c>
      <c r="F116" s="12" t="inlineStr">
        <is>
          <t>Builds the wall</t>
        </is>
      </c>
      <c r="G116" s="12" t="inlineStr">
        <is>
          <t>New Caney plant, Conroe office, Montgomery County</t>
        </is>
      </c>
      <c r="H116" s="12" t="inlineStr">
        <is>
          <t>Automated wall panel line, 17,000 square feet</t>
        </is>
      </c>
      <c r="I116" s="14" t="inlineStr">
        <is>
          <t>Yes</t>
        </is>
      </c>
      <c r="J116" s="15" t="inlineStr">
        <is>
          <t>Repeat panels from one plant for one metro.</t>
        </is>
      </c>
      <c r="K116" s="14" t="inlineStr">
        <is>
          <t>Partly</t>
        </is>
      </c>
      <c r="L116" s="15" t="inlineStr">
        <is>
          <t>One 17,000 square foot plant serving Texas production builders. No output figure published.</t>
        </is>
      </c>
      <c r="M116" s="14" t="inlineStr">
        <is>
          <t>Yes</t>
        </is>
      </c>
      <c r="N116" s="15" t="inlineStr">
        <is>
          <t>Converted one plant to automated CNC panel production. Sells that method against stick framing.</t>
        </is>
      </c>
      <c r="O116" s="10" t="inlineStr"/>
      <c r="P116" s="12" t="inlineStr"/>
      <c r="Q116" s="16">
        <f>IF(O116="","ADD LINKEDIN","ok")</f>
        <v/>
      </c>
      <c r="R116" s="12" t="inlineStr">
        <is>
          <t>https://futureframeusa.com/</t>
        </is>
      </c>
      <c r="S116" s="15" t="inlineStr">
        <is>
          <t>It sells wall panels from an automated plant to Houston production builders against stick framing, but publishes no output figure.</t>
        </is>
      </c>
      <c r="T116" s="12" t="inlineStr">
        <is>
          <t>YES</t>
        </is>
      </c>
      <c r="U116" s="15" t="inlineStr">
        <is>
          <t>Team page. Top officer.</t>
        </is>
      </c>
      <c r="V116" s="12" t="inlineStr">
        <is>
          <t>https://futureframeusa.com/meet-our-team/</t>
        </is>
      </c>
      <c r="W116" s="12" t="inlineStr"/>
      <c r="X116" s="12" t="inlineStr"/>
      <c r="Y116" s="12" t="inlineStr"/>
      <c r="Z116" s="12" t="inlineStr">
        <is>
          <t>(281) 231-9200</t>
        </is>
      </c>
      <c r="AA116" s="12" t="inlineStr">
        <is>
          <t>Conroe office</t>
        </is>
      </c>
      <c r="AB116" s="12" t="inlineStr">
        <is>
          <t>https://futureframeusa.com/contact/</t>
        </is>
      </c>
      <c r="AC116" s="12" t="inlineStr"/>
      <c r="AD116" s="12" t="inlineStr"/>
    </row>
    <row r="117">
      <c r="A117" s="6" t="inlineStr">
        <is>
          <t>Glen Gilbert</t>
        </is>
      </c>
      <c r="B117" s="6" t="inlineStr">
        <is>
          <t>Future Frame USA</t>
        </is>
      </c>
      <c r="C117" s="6" t="inlineStr">
        <is>
          <t>General Manager</t>
        </is>
      </c>
      <c r="D117" s="7" t="inlineStr">
        <is>
          <t>Builds the wall, not the house</t>
        </is>
      </c>
      <c r="E117" s="8" t="n">
        <v>3</v>
      </c>
      <c r="F117" s="6" t="inlineStr">
        <is>
          <t>Builds the wall</t>
        </is>
      </c>
      <c r="G117" s="6" t="inlineStr">
        <is>
          <t>New Caney plant, Conroe office, Montgomery County</t>
        </is>
      </c>
      <c r="H117" s="6" t="inlineStr">
        <is>
          <t>Automated wall panel line, 17,000 square feet</t>
        </is>
      </c>
      <c r="I117" s="8" t="inlineStr">
        <is>
          <t>Yes</t>
        </is>
      </c>
      <c r="J117" s="9" t="inlineStr">
        <is>
          <t>Repeat panels from one plant for one metro.</t>
        </is>
      </c>
      <c r="K117" s="8" t="inlineStr">
        <is>
          <t>Partly</t>
        </is>
      </c>
      <c r="L117" s="9" t="inlineStr">
        <is>
          <t>One 17,000 square foot plant serving Texas production builders. No output figure published.</t>
        </is>
      </c>
      <c r="M117" s="8" t="inlineStr">
        <is>
          <t>Yes</t>
        </is>
      </c>
      <c r="N117" s="9" t="inlineStr">
        <is>
          <t>Converted one plant to automated CNC panel production. Sells that method against stick framing.</t>
        </is>
      </c>
      <c r="O117" s="10" t="inlineStr"/>
      <c r="P117" s="6" t="inlineStr"/>
      <c r="Q117" s="11">
        <f>IF(O117="","ADD LINKEDIN","ok")</f>
        <v/>
      </c>
      <c r="R117" s="6" t="inlineStr">
        <is>
          <t>https://futureframeusa.com/</t>
        </is>
      </c>
      <c r="S117" s="9" t="inlineStr">
        <is>
          <t>It sells wall panels from an automated plant to Houston production builders against stick framing, but publishes no output figure.</t>
        </is>
      </c>
      <c r="T117" s="6" t="inlineStr">
        <is>
          <t>YES</t>
        </is>
      </c>
      <c r="U117" s="9" t="inlineStr">
        <is>
          <t>Team page. Runs the New Caney plant.</t>
        </is>
      </c>
      <c r="V117" s="6" t="inlineStr">
        <is>
          <t>https://futureframeusa.com/meet-our-team/</t>
        </is>
      </c>
      <c r="W117" s="6" t="inlineStr"/>
      <c r="X117" s="6" t="inlineStr"/>
      <c r="Y117" s="6" t="inlineStr"/>
      <c r="Z117" s="6" t="inlineStr">
        <is>
          <t>(281) 231-9200</t>
        </is>
      </c>
      <c r="AA117" s="6" t="inlineStr">
        <is>
          <t>Conroe office</t>
        </is>
      </c>
      <c r="AB117" s="6" t="inlineStr">
        <is>
          <t>https://futureframeusa.com/contact/</t>
        </is>
      </c>
      <c r="AC117" s="6" t="inlineStr"/>
      <c r="AD117" s="6" t="inlineStr"/>
    </row>
    <row r="118">
      <c r="A118" s="12" t="inlineStr">
        <is>
          <t>Brent Wheat</t>
        </is>
      </c>
      <c r="B118" s="12" t="inlineStr">
        <is>
          <t>Future Frame USA</t>
        </is>
      </c>
      <c r="C118" s="12" t="inlineStr">
        <is>
          <t>Design Manager</t>
        </is>
      </c>
      <c r="D118" s="13" t="inlineStr">
        <is>
          <t>Builds the wall, not the house</t>
        </is>
      </c>
      <c r="E118" s="14" t="n">
        <v>3</v>
      </c>
      <c r="F118" s="12" t="inlineStr">
        <is>
          <t>Builds the wall</t>
        </is>
      </c>
      <c r="G118" s="12" t="inlineStr">
        <is>
          <t>New Caney plant, Conroe office, Montgomery County</t>
        </is>
      </c>
      <c r="H118" s="12" t="inlineStr">
        <is>
          <t>Automated wall panel line, 17,000 square feet</t>
        </is>
      </c>
      <c r="I118" s="14" t="inlineStr">
        <is>
          <t>Yes</t>
        </is>
      </c>
      <c r="J118" s="15" t="inlineStr">
        <is>
          <t>Repeat panels from one plant for one metro.</t>
        </is>
      </c>
      <c r="K118" s="14" t="inlineStr">
        <is>
          <t>Partly</t>
        </is>
      </c>
      <c r="L118" s="15" t="inlineStr">
        <is>
          <t>One 17,000 square foot plant serving Texas production builders. No output figure published.</t>
        </is>
      </c>
      <c r="M118" s="14" t="inlineStr">
        <is>
          <t>Yes</t>
        </is>
      </c>
      <c r="N118" s="15" t="inlineStr">
        <is>
          <t>Converted one plant to automated CNC panel production. Sells that method against stick framing.</t>
        </is>
      </c>
      <c r="O118" s="10" t="inlineStr"/>
      <c r="P118" s="12" t="inlineStr"/>
      <c r="Q118" s="16">
        <f>IF(O118="","ADD LINKEDIN","ok")</f>
        <v/>
      </c>
      <c r="R118" s="12" t="inlineStr">
        <is>
          <t>https://futureframeusa.com/</t>
        </is>
      </c>
      <c r="S118" s="15" t="inlineStr">
        <is>
          <t>It sells wall panels from an automated plant to Houston production builders against stick framing, but publishes no output figure.</t>
        </is>
      </c>
      <c r="T118" s="12" t="inlineStr"/>
      <c r="U118" s="15" t="inlineStr"/>
      <c r="V118" s="12" t="inlineStr">
        <is>
          <t>https://futureframeusa.com/meet-our-team/</t>
        </is>
      </c>
      <c r="W118" s="12" t="inlineStr"/>
      <c r="X118" s="12" t="inlineStr"/>
      <c r="Y118" s="12" t="inlineStr"/>
      <c r="Z118" s="12" t="inlineStr">
        <is>
          <t>(281) 231-9200</t>
        </is>
      </c>
      <c r="AA118" s="12" t="inlineStr">
        <is>
          <t>Conroe office</t>
        </is>
      </c>
      <c r="AB118" s="12" t="inlineStr">
        <is>
          <t>https://futureframeusa.com/contact/</t>
        </is>
      </c>
      <c r="AC118" s="12" t="inlineStr"/>
      <c r="AD118" s="12" t="inlineStr"/>
    </row>
    <row r="119">
      <c r="A119" s="6" t="inlineStr">
        <is>
          <t>Larry Howard</t>
        </is>
      </c>
      <c r="B119" s="6" t="inlineStr">
        <is>
          <t>Future Frame USA</t>
        </is>
      </c>
      <c r="C119" s="6" t="inlineStr">
        <is>
          <t>Senior Account Manager</t>
        </is>
      </c>
      <c r="D119" s="7" t="inlineStr">
        <is>
          <t>Builds the wall, not the house</t>
        </is>
      </c>
      <c r="E119" s="8" t="n">
        <v>3</v>
      </c>
      <c r="F119" s="6" t="inlineStr">
        <is>
          <t>Builds the wall</t>
        </is>
      </c>
      <c r="G119" s="6" t="inlineStr">
        <is>
          <t>New Caney plant, Conroe office, Montgomery County</t>
        </is>
      </c>
      <c r="H119" s="6" t="inlineStr">
        <is>
          <t>Automated wall panel line, 17,000 square feet</t>
        </is>
      </c>
      <c r="I119" s="8" t="inlineStr">
        <is>
          <t>Yes</t>
        </is>
      </c>
      <c r="J119" s="9" t="inlineStr">
        <is>
          <t>Repeat panels from one plant for one metro.</t>
        </is>
      </c>
      <c r="K119" s="8" t="inlineStr">
        <is>
          <t>Partly</t>
        </is>
      </c>
      <c r="L119" s="9" t="inlineStr">
        <is>
          <t>One 17,000 square foot plant serving Texas production builders. No output figure published.</t>
        </is>
      </c>
      <c r="M119" s="8" t="inlineStr">
        <is>
          <t>Yes</t>
        </is>
      </c>
      <c r="N119" s="9" t="inlineStr">
        <is>
          <t>Converted one plant to automated CNC panel production. Sells that method against stick framing.</t>
        </is>
      </c>
      <c r="O119" s="6" t="inlineStr">
        <is>
          <t>https://www.linkedin.com/in/larry-howard-ab995b92/</t>
        </is>
      </c>
      <c r="P119" s="6" t="inlineStr"/>
      <c r="Q119" s="11">
        <f>IF(O119="","ADD LINKEDIN","ok")</f>
        <v/>
      </c>
      <c r="R119" s="6" t="inlineStr">
        <is>
          <t>https://futureframeusa.com/</t>
        </is>
      </c>
      <c r="S119" s="9" t="inlineStr">
        <is>
          <t>It sells wall panels from an automated plant to Houston production builders against stick framing, but publishes no output figure.</t>
        </is>
      </c>
      <c r="T119" s="6" t="inlineStr"/>
      <c r="U119" s="9" t="inlineStr">
        <is>
          <t>Profile headline says general manager. One of the two titles is out of date.</t>
        </is>
      </c>
      <c r="V119" s="6" t="inlineStr"/>
      <c r="W119" s="6" t="inlineStr"/>
      <c r="X119" s="6" t="inlineStr"/>
      <c r="Y119" s="6" t="inlineStr"/>
      <c r="Z119" s="6" t="inlineStr">
        <is>
          <t>(281) 231-9200</t>
        </is>
      </c>
      <c r="AA119" s="6" t="inlineStr">
        <is>
          <t>Conroe office</t>
        </is>
      </c>
      <c r="AB119" s="6" t="inlineStr">
        <is>
          <t>https://futureframeusa.com/contact/</t>
        </is>
      </c>
      <c r="AC119" s="6" t="inlineStr"/>
      <c r="AD119" s="6" t="inlineStr"/>
    </row>
    <row r="120">
      <c r="A120" s="12" t="inlineStr">
        <is>
          <t>Asher Kazmann, P.E.</t>
        </is>
      </c>
      <c r="B120" s="12" t="inlineStr">
        <is>
          <t>Locke Solutions</t>
        </is>
      </c>
      <c r="C120" s="12" t="inlineStr">
        <is>
          <t>President</t>
        </is>
      </c>
      <c r="D120" s="13" t="inlineStr">
        <is>
          <t>Builds the wall, not the house</t>
        </is>
      </c>
      <c r="E120" s="14" t="n">
        <v>3</v>
      </c>
      <c r="F120" s="12" t="inlineStr">
        <is>
          <t>Builds the wall</t>
        </is>
      </c>
      <c r="G120" s="12" t="inlineStr">
        <is>
          <t>Houston, Almeda Genoa Road, with a second plant in Alvarado</t>
        </is>
      </c>
      <c r="H120" s="12" t="inlineStr">
        <is>
          <t>41,750 square foot plant, four 50-ton bridge cranes</t>
        </is>
      </c>
      <c r="I120" s="14" t="inlineStr">
        <is>
          <t>Yes</t>
        </is>
      </c>
      <c r="J120" s="15" t="inlineStr">
        <is>
          <t>Repeat custom precast from one plant.</t>
        </is>
      </c>
      <c r="K120" s="14" t="inlineStr">
        <is>
          <t>Partly</t>
        </is>
      </c>
      <c r="L120" s="15" t="inlineStr">
        <is>
          <t>A printer would be one added line. Products are utility structures.</t>
        </is>
      </c>
      <c r="M120" s="14" t="inlineStr">
        <is>
          <t>Yes</t>
        </is>
      </c>
      <c r="N120" s="15" t="inlineStr">
        <is>
          <t>Stands up production at the point of use.</t>
        </is>
      </c>
      <c r="O120" s="6" t="inlineStr">
        <is>
          <t>https://www.linkedin.com/in/asherkazmann/</t>
        </is>
      </c>
      <c r="P120" s="12" t="inlineStr"/>
      <c r="Q120" s="16">
        <f>IF(O120="","ADD LINKEDIN","ok")</f>
        <v/>
      </c>
      <c r="R120" s="12" t="inlineStr">
        <is>
          <t>https://lockesolutions.com/</t>
        </is>
      </c>
      <c r="S120" s="15" t="inlineStr">
        <is>
          <t>It already makes precast at the customer's own premises or jobsite, but its products are utility structures.</t>
        </is>
      </c>
      <c r="T120" s="12" t="inlineStr">
        <is>
          <t>YES</t>
        </is>
      </c>
      <c r="U120" s="15" t="inlineStr">
        <is>
          <t>Leadership page. Houston Business Journal Most Admired CEO honoree, 10 September 2025.</t>
        </is>
      </c>
      <c r="V120" s="12" t="inlineStr"/>
      <c r="W120" s="12" t="inlineStr"/>
      <c r="X120" s="12" t="inlineStr"/>
      <c r="Y120" s="12" t="inlineStr"/>
      <c r="Z120" s="12" t="inlineStr">
        <is>
          <t>(832) 804-7062</t>
        </is>
      </c>
      <c r="AA120" s="12" t="inlineStr">
        <is>
          <t>the only number published</t>
        </is>
      </c>
      <c r="AB120" s="12" t="inlineStr">
        <is>
          <t>https://lockesolutions.com/contact-us/</t>
        </is>
      </c>
      <c r="AC120" s="12" t="inlineStr"/>
      <c r="AD120" s="12" t="inlineStr"/>
    </row>
    <row r="121">
      <c r="A121" s="6" t="inlineStr">
        <is>
          <t>Ivan Garcia</t>
        </is>
      </c>
      <c r="B121" s="6" t="inlineStr">
        <is>
          <t>Locke Solutions</t>
        </is>
      </c>
      <c r="C121" s="6" t="inlineStr">
        <is>
          <t>Chief Financial Officer</t>
        </is>
      </c>
      <c r="D121" s="7" t="inlineStr">
        <is>
          <t>Builds the wall, not the house</t>
        </is>
      </c>
      <c r="E121" s="8" t="n">
        <v>3</v>
      </c>
      <c r="F121" s="6" t="inlineStr">
        <is>
          <t>Builds the wall</t>
        </is>
      </c>
      <c r="G121" s="6" t="inlineStr">
        <is>
          <t>Houston, Almeda Genoa Road, with a second plant in Alvarado</t>
        </is>
      </c>
      <c r="H121" s="6" t="inlineStr">
        <is>
          <t>41,750 square foot plant, four 50-ton bridge cranes</t>
        </is>
      </c>
      <c r="I121" s="8" t="inlineStr">
        <is>
          <t>Yes</t>
        </is>
      </c>
      <c r="J121" s="9" t="inlineStr">
        <is>
          <t>Repeat custom precast from one plant.</t>
        </is>
      </c>
      <c r="K121" s="8" t="inlineStr">
        <is>
          <t>Partly</t>
        </is>
      </c>
      <c r="L121" s="9" t="inlineStr">
        <is>
          <t>A printer would be one added line. Products are utility structures.</t>
        </is>
      </c>
      <c r="M121" s="8" t="inlineStr">
        <is>
          <t>Yes</t>
        </is>
      </c>
      <c r="N121" s="9" t="inlineStr">
        <is>
          <t>Stands up production at the point of use.</t>
        </is>
      </c>
      <c r="O121" s="10" t="inlineStr"/>
      <c r="P121" s="6" t="inlineStr"/>
      <c r="Q121" s="11">
        <f>IF(O121="","ADD LINKEDIN","ok")</f>
        <v/>
      </c>
      <c r="R121" s="6" t="inlineStr">
        <is>
          <t>https://lockesolutions.com/</t>
        </is>
      </c>
      <c r="S121" s="9" t="inlineStr">
        <is>
          <t>It already makes precast at the customer's own premises or jobsite, but its products are utility structures.</t>
        </is>
      </c>
      <c r="T121" s="6" t="inlineStr"/>
      <c r="U121" s="9" t="inlineStr">
        <is>
          <t>Leadership page.</t>
        </is>
      </c>
      <c r="V121" s="6" t="inlineStr">
        <is>
          <t>https://lockesolutions.com/people/</t>
        </is>
      </c>
      <c r="W121" s="6" t="inlineStr"/>
      <c r="X121" s="6" t="inlineStr"/>
      <c r="Y121" s="6" t="inlineStr"/>
      <c r="Z121" s="6" t="inlineStr">
        <is>
          <t>(832) 804-7062</t>
        </is>
      </c>
      <c r="AA121" s="6" t="inlineStr">
        <is>
          <t>the only number published</t>
        </is>
      </c>
      <c r="AB121" s="6" t="inlineStr">
        <is>
          <t>https://lockesolutions.com/contact-us/</t>
        </is>
      </c>
      <c r="AC121" s="6" t="inlineStr"/>
      <c r="AD121" s="6" t="inlineStr"/>
    </row>
    <row r="122">
      <c r="A122" s="12" t="inlineStr">
        <is>
          <t>David Espino</t>
        </is>
      </c>
      <c r="B122" s="12" t="inlineStr">
        <is>
          <t>Locke Solutions</t>
        </is>
      </c>
      <c r="C122" s="12" t="inlineStr">
        <is>
          <t>Director of Operations</t>
        </is>
      </c>
      <c r="D122" s="13" t="inlineStr">
        <is>
          <t>Builds the wall, not the house</t>
        </is>
      </c>
      <c r="E122" s="14" t="n">
        <v>3</v>
      </c>
      <c r="F122" s="12" t="inlineStr">
        <is>
          <t>Builds the wall</t>
        </is>
      </c>
      <c r="G122" s="12" t="inlineStr">
        <is>
          <t>Houston, Almeda Genoa Road, with a second plant in Alvarado</t>
        </is>
      </c>
      <c r="H122" s="12" t="inlineStr">
        <is>
          <t>41,750 square foot plant, four 50-ton bridge cranes</t>
        </is>
      </c>
      <c r="I122" s="14" t="inlineStr">
        <is>
          <t>Yes</t>
        </is>
      </c>
      <c r="J122" s="15" t="inlineStr">
        <is>
          <t>Repeat custom precast from one plant.</t>
        </is>
      </c>
      <c r="K122" s="14" t="inlineStr">
        <is>
          <t>Partly</t>
        </is>
      </c>
      <c r="L122" s="15" t="inlineStr">
        <is>
          <t>A printer would be one added line. Products are utility structures.</t>
        </is>
      </c>
      <c r="M122" s="14" t="inlineStr">
        <is>
          <t>Yes</t>
        </is>
      </c>
      <c r="N122" s="15" t="inlineStr">
        <is>
          <t>Stands up production at the point of use.</t>
        </is>
      </c>
      <c r="O122" s="10" t="inlineStr"/>
      <c r="P122" s="12" t="inlineStr"/>
      <c r="Q122" s="16">
        <f>IF(O122="","ADD LINKEDIN","ok")</f>
        <v/>
      </c>
      <c r="R122" s="12" t="inlineStr">
        <is>
          <t>https://lockesolutions.com/</t>
        </is>
      </c>
      <c r="S122" s="15" t="inlineStr">
        <is>
          <t>It already makes precast at the customer's own premises or jobsite, but its products are utility structures.</t>
        </is>
      </c>
      <c r="T122" s="12" t="inlineStr"/>
      <c r="U122" s="15" t="inlineStr"/>
      <c r="V122" s="12" t="inlineStr">
        <is>
          <t>https://lockesolutions.com/people/</t>
        </is>
      </c>
      <c r="W122" s="12" t="inlineStr"/>
      <c r="X122" s="12" t="inlineStr"/>
      <c r="Y122" s="12" t="inlineStr"/>
      <c r="Z122" s="12" t="inlineStr">
        <is>
          <t>(832) 804-7062</t>
        </is>
      </c>
      <c r="AA122" s="12" t="inlineStr">
        <is>
          <t>the only number published</t>
        </is>
      </c>
      <c r="AB122" s="12" t="inlineStr">
        <is>
          <t>https://lockesolutions.com/contact-us/</t>
        </is>
      </c>
      <c r="AC122" s="12" t="inlineStr"/>
      <c r="AD122" s="12" t="inlineStr"/>
    </row>
    <row r="123">
      <c r="A123" s="6" t="inlineStr">
        <is>
          <t>Chad Arpe</t>
        </is>
      </c>
      <c r="B123" s="6" t="inlineStr">
        <is>
          <t>Locke Solutions</t>
        </is>
      </c>
      <c r="C123" s="6" t="inlineStr">
        <is>
          <t>Director of Sales and Marketing</t>
        </is>
      </c>
      <c r="D123" s="7" t="inlineStr">
        <is>
          <t>Builds the wall, not the house</t>
        </is>
      </c>
      <c r="E123" s="8" t="n">
        <v>3</v>
      </c>
      <c r="F123" s="6" t="inlineStr">
        <is>
          <t>Builds the wall</t>
        </is>
      </c>
      <c r="G123" s="6" t="inlineStr">
        <is>
          <t>Houston, Almeda Genoa Road, with a second plant in Alvarado</t>
        </is>
      </c>
      <c r="H123" s="6" t="inlineStr">
        <is>
          <t>41,750 square foot plant, four 50-ton bridge cranes</t>
        </is>
      </c>
      <c r="I123" s="8" t="inlineStr">
        <is>
          <t>Yes</t>
        </is>
      </c>
      <c r="J123" s="9" t="inlineStr">
        <is>
          <t>Repeat custom precast from one plant.</t>
        </is>
      </c>
      <c r="K123" s="8" t="inlineStr">
        <is>
          <t>Partly</t>
        </is>
      </c>
      <c r="L123" s="9" t="inlineStr">
        <is>
          <t>A printer would be one added line. Products are utility structures.</t>
        </is>
      </c>
      <c r="M123" s="8" t="inlineStr">
        <is>
          <t>Yes</t>
        </is>
      </c>
      <c r="N123" s="9" t="inlineStr">
        <is>
          <t>Stands up production at the point of use.</t>
        </is>
      </c>
      <c r="O123" s="6" t="inlineStr">
        <is>
          <t>https://www.linkedin.com/in/chad-arpe-b1981050/</t>
        </is>
      </c>
      <c r="P123" s="6" t="inlineStr"/>
      <c r="Q123" s="11">
        <f>IF(O123="","ADD LINKEDIN","ok")</f>
        <v/>
      </c>
      <c r="R123" s="6" t="inlineStr">
        <is>
          <t>https://lockesolutions.com/</t>
        </is>
      </c>
      <c r="S123" s="9" t="inlineStr">
        <is>
          <t>It already makes precast at the customer's own premises or jobsite, but its products are utility structures.</t>
        </is>
      </c>
      <c r="T123" s="6" t="inlineStr"/>
      <c r="U123" s="9" t="inlineStr">
        <is>
          <t>Leadership page. The precast directory's listed contact for Locke.</t>
        </is>
      </c>
      <c r="V123" s="6" t="inlineStr"/>
      <c r="W123" s="6" t="inlineStr"/>
      <c r="X123" s="6" t="inlineStr"/>
      <c r="Y123" s="6" t="inlineStr"/>
      <c r="Z123" s="6" t="inlineStr">
        <is>
          <t>(832) 804-7062</t>
        </is>
      </c>
      <c r="AA123" s="6" t="inlineStr">
        <is>
          <t>the only number published</t>
        </is>
      </c>
      <c r="AB123" s="6" t="inlineStr">
        <is>
          <t>https://lockesolutions.com/contact-us/</t>
        </is>
      </c>
      <c r="AC123" s="6" t="inlineStr"/>
      <c r="AD123" s="6" t="inlineStr"/>
    </row>
    <row r="124">
      <c r="A124" s="12" t="inlineStr">
        <is>
          <t>Matt Zetlmeisl</t>
        </is>
      </c>
      <c r="B124" s="12" t="inlineStr">
        <is>
          <t>ICF Constructors</t>
        </is>
      </c>
      <c r="C124" s="12" t="inlineStr">
        <is>
          <t>Owner</t>
        </is>
      </c>
      <c r="D124" s="13" t="inlineStr">
        <is>
          <t>Builds the wall, not the house</t>
        </is>
      </c>
      <c r="E124" s="14" t="n">
        <v>3</v>
      </c>
      <c r="F124" s="12" t="inlineStr">
        <is>
          <t>Builds the wall</t>
        </is>
      </c>
      <c r="G124" s="12" t="inlineStr">
        <is>
          <t>Katy, Harris and Fort Bend, and the Texas coast</t>
        </is>
      </c>
      <c r="H124" s="12" t="inlineStr">
        <is>
          <t>Crews trained on 12 form systems, ICF since 2002</t>
        </is>
      </c>
      <c r="I124" s="14" t="inlineStr">
        <is>
          <t>Yes</t>
        </is>
      </c>
      <c r="J124" s="15" t="inlineStr">
        <is>
          <t>Same wall system across Houston and the coast.</t>
        </is>
      </c>
      <c r="K124" s="14" t="inlineStr">
        <is>
          <t>Partly</t>
        </is>
      </c>
      <c r="L124" s="15" t="inlineStr">
        <is>
          <t>No crew count or homes-a-year figure published.</t>
        </is>
      </c>
      <c r="M124" s="14" t="inlineStr">
        <is>
          <t>Yes</t>
        </is>
      </c>
      <c r="N124" s="15" t="inlineStr">
        <is>
          <t>Its entire business is a wall method that was new when adopted. Twenty-step checklist before every placement.</t>
        </is>
      </c>
      <c r="O124" s="10" t="inlineStr"/>
      <c r="P124" s="12" t="inlineStr"/>
      <c r="Q124" s="16">
        <f>IF(O124="","ADD LINKEDIN","ok")</f>
        <v/>
      </c>
      <c r="R124" s="12" t="inlineStr">
        <is>
          <t>https://icfconstructors.com/</t>
        </is>
      </c>
      <c r="S124" s="15" t="inlineStr">
        <is>
          <t>Its whole business is building concrete walls instead of wood ones, but it publishes no crew count or homes-a-year figure.</t>
        </is>
      </c>
      <c r="T124" s="12" t="inlineStr">
        <is>
          <t>YES</t>
        </is>
      </c>
      <c r="U124" s="15" t="inlineStr">
        <is>
          <t>Firm's about page. Owner and operator since 2002.</t>
        </is>
      </c>
      <c r="V124" s="12" t="inlineStr">
        <is>
          <t>https://icfconstructors.com/about/</t>
        </is>
      </c>
      <c r="W124" s="12" t="inlineStr"/>
      <c r="X124" s="12" t="inlineStr"/>
      <c r="Y124" s="12" t="inlineStr"/>
      <c r="Z124" s="12" t="inlineStr">
        <is>
          <t>(832) 264-6282</t>
        </is>
      </c>
      <c r="AA124" s="12" t="inlineStr">
        <is>
          <t>office</t>
        </is>
      </c>
      <c r="AB124" s="12" t="inlineStr">
        <is>
          <t>https://icfconstructors.com/</t>
        </is>
      </c>
      <c r="AC124" s="12" t="inlineStr"/>
      <c r="AD124" s="12" t="inlineStr"/>
    </row>
    <row r="125">
      <c r="A125" s="6" t="inlineStr">
        <is>
          <t>Eleazar Botello</t>
        </is>
      </c>
      <c r="B125" s="6" t="inlineStr">
        <is>
          <t>Botello Builders</t>
        </is>
      </c>
      <c r="C125" s="6" t="inlineStr">
        <is>
          <t>Founder</t>
        </is>
      </c>
      <c r="D125" s="7" t="inlineStr">
        <is>
          <t>Builds the wall, not the house</t>
        </is>
      </c>
      <c r="E125" s="8" t="n">
        <v>2</v>
      </c>
      <c r="F125" s="6" t="inlineStr">
        <is>
          <t>Builds the wall</t>
        </is>
      </c>
      <c r="G125" s="6" t="inlineStr">
        <is>
          <t>Houston, working Harris, Fort Bend, Brazoria and Montgomery</t>
        </is>
      </c>
      <c r="H125" s="6" t="inlineStr">
        <is>
          <t>150-plus employees, founded 2007 by three brothers</t>
        </is>
      </c>
      <c r="I125" s="8" t="inlineStr">
        <is>
          <t>Yes</t>
        </is>
      </c>
      <c r="J125" s="9" t="inlineStr">
        <is>
          <t>Same tilt-up and foundation work from one Houston yard.</t>
        </is>
      </c>
      <c r="K125" s="8" t="inlineStr">
        <is>
          <t>Yes</t>
        </is>
      </c>
      <c r="L125" s="9" t="inlineStr">
        <is>
          <t>150 office and field staff. One or two printers would cover part of a year's wall.</t>
        </is>
      </c>
      <c r="M125" s="8" t="inlineStr">
        <is>
          <t>No</t>
        </is>
      </c>
      <c r="N125" s="9" t="inlineStr">
        <is>
          <t>No method statement. Published work is conventional tilt-up and foundations.</t>
        </is>
      </c>
      <c r="O125" s="6" t="inlineStr">
        <is>
          <t>https://www.linkedin.com/in/eleazarbotello/</t>
        </is>
      </c>
      <c r="P125" s="6" t="inlineStr"/>
      <c r="Q125" s="11">
        <f>IF(O125="","ADD LINKEDIN","ok")</f>
        <v/>
      </c>
      <c r="R125" s="6" t="inlineStr">
        <is>
          <t>https://www.botellobuilders.com/</t>
        </is>
      </c>
      <c r="S125" s="9" t="inlineStr">
        <is>
          <t>One or two printers would cover part of a year's wall, but its published work is conventional tilt-up and foundations.</t>
        </is>
      </c>
      <c r="T125" s="6" t="inlineStr">
        <is>
          <t>YES</t>
        </is>
      </c>
      <c r="U125" s="9" t="inlineStr">
        <is>
          <t>Headline: President at Botello Builders Corporation. Houston, Texas. Firm's site gives no title. Firm's site.</t>
        </is>
      </c>
      <c r="V125" s="6" t="inlineStr">
        <is>
          <t>https://www.botellobuilders.com/</t>
        </is>
      </c>
      <c r="W125" s="6" t="inlineStr"/>
      <c r="X125" s="6" t="inlineStr">
        <is>
          <t>https://www.botellobuilders.com/</t>
        </is>
      </c>
      <c r="Y125" s="6" t="inlineStr"/>
      <c r="Z125" s="6" t="inlineStr">
        <is>
          <t>(281) 784-3070</t>
        </is>
      </c>
      <c r="AA125" s="6" t="inlineStr"/>
      <c r="AB125" s="6" t="inlineStr">
        <is>
          <t>https://www.botellobuilders.com/contact-us/</t>
        </is>
      </c>
      <c r="AC125" s="6" t="inlineStr"/>
      <c r="AD125" s="6" t="inlineStr"/>
    </row>
    <row r="126">
      <c r="A126" s="12" t="inlineStr">
        <is>
          <t>Eden Botello</t>
        </is>
      </c>
      <c r="B126" s="12" t="inlineStr">
        <is>
          <t>Botello Builders</t>
        </is>
      </c>
      <c r="C126" s="12" t="inlineStr">
        <is>
          <t>Founder</t>
        </is>
      </c>
      <c r="D126" s="13" t="inlineStr">
        <is>
          <t>Builds the wall, not the house</t>
        </is>
      </c>
      <c r="E126" s="14" t="n">
        <v>2</v>
      </c>
      <c r="F126" s="12" t="inlineStr">
        <is>
          <t>Builds the wall</t>
        </is>
      </c>
      <c r="G126" s="12" t="inlineStr">
        <is>
          <t>Houston, working Harris, Fort Bend, Brazoria and Montgomery</t>
        </is>
      </c>
      <c r="H126" s="12" t="inlineStr">
        <is>
          <t>150-plus employees, founded 2007 by three brothers</t>
        </is>
      </c>
      <c r="I126" s="14" t="inlineStr">
        <is>
          <t>Yes</t>
        </is>
      </c>
      <c r="J126" s="15" t="inlineStr">
        <is>
          <t>Same tilt-up and foundation work from one Houston yard.</t>
        </is>
      </c>
      <c r="K126" s="14" t="inlineStr">
        <is>
          <t>Yes</t>
        </is>
      </c>
      <c r="L126" s="15" t="inlineStr">
        <is>
          <t>150 office and field staff. One or two printers would cover part of a year's wall.</t>
        </is>
      </c>
      <c r="M126" s="14" t="inlineStr">
        <is>
          <t>No</t>
        </is>
      </c>
      <c r="N126" s="15" t="inlineStr">
        <is>
          <t>No method statement. Published work is conventional tilt-up and foundations.</t>
        </is>
      </c>
      <c r="O126" s="6" t="inlineStr">
        <is>
          <t>https://www.linkedin.com/in/eden-botello-28a5691b5/</t>
        </is>
      </c>
      <c r="P126" s="12" t="inlineStr"/>
      <c r="Q126" s="16">
        <f>IF(O126="","ADD LINKEDIN","ok")</f>
        <v/>
      </c>
      <c r="R126" s="12" t="inlineStr">
        <is>
          <t>https://www.botellobuilders.com/</t>
        </is>
      </c>
      <c r="S126" s="15" t="inlineStr">
        <is>
          <t>One or two printers would cover part of a year's wall, but its published work is conventional tilt-up and foundations.</t>
        </is>
      </c>
      <c r="T126" s="12" t="inlineStr">
        <is>
          <t>YES</t>
        </is>
      </c>
      <c r="U126" s="15" t="inlineStr">
        <is>
          <t>Headline: Operations Manager at Botello Builders Corporation. Houston, Texas. Firm's site.</t>
        </is>
      </c>
      <c r="V126" s="12" t="inlineStr">
        <is>
          <t>https://www.botellobuilders.com/</t>
        </is>
      </c>
      <c r="W126" s="12" t="inlineStr"/>
      <c r="X126" s="12" t="inlineStr">
        <is>
          <t>https://www.botellobuilders.com/</t>
        </is>
      </c>
      <c r="Y126" s="12" t="inlineStr"/>
      <c r="Z126" s="12" t="inlineStr">
        <is>
          <t>(281) 784-3070</t>
        </is>
      </c>
      <c r="AA126" s="12" t="inlineStr"/>
      <c r="AB126" s="12" t="inlineStr">
        <is>
          <t>https://www.botellobuilders.com/contact-us/</t>
        </is>
      </c>
      <c r="AC126" s="12" t="inlineStr"/>
      <c r="AD126" s="12" t="inlineStr"/>
    </row>
    <row r="127">
      <c r="A127" s="6" t="inlineStr">
        <is>
          <t>Jose Botello</t>
        </is>
      </c>
      <c r="B127" s="6" t="inlineStr">
        <is>
          <t>Botello Builders</t>
        </is>
      </c>
      <c r="C127" s="6" t="inlineStr">
        <is>
          <t>Founder</t>
        </is>
      </c>
      <c r="D127" s="7" t="inlineStr">
        <is>
          <t>Builds the wall, not the house</t>
        </is>
      </c>
      <c r="E127" s="8" t="n">
        <v>2</v>
      </c>
      <c r="F127" s="6" t="inlineStr">
        <is>
          <t>Builds the wall</t>
        </is>
      </c>
      <c r="G127" s="6" t="inlineStr">
        <is>
          <t>Houston, working Harris, Fort Bend, Brazoria and Montgomery</t>
        </is>
      </c>
      <c r="H127" s="6" t="inlineStr">
        <is>
          <t>150-plus employees, founded 2007 by three brothers</t>
        </is>
      </c>
      <c r="I127" s="8" t="inlineStr">
        <is>
          <t>Yes</t>
        </is>
      </c>
      <c r="J127" s="9" t="inlineStr">
        <is>
          <t>Same tilt-up and foundation work from one Houston yard.</t>
        </is>
      </c>
      <c r="K127" s="8" t="inlineStr">
        <is>
          <t>Yes</t>
        </is>
      </c>
      <c r="L127" s="9" t="inlineStr">
        <is>
          <t>150 office and field staff. One or two printers would cover part of a year's wall.</t>
        </is>
      </c>
      <c r="M127" s="8" t="inlineStr">
        <is>
          <t>No</t>
        </is>
      </c>
      <c r="N127" s="9" t="inlineStr">
        <is>
          <t>No method statement. Published work is conventional tilt-up and foundations.</t>
        </is>
      </c>
      <c r="O127" s="10" t="inlineStr"/>
      <c r="P127" s="6" t="inlineStr"/>
      <c r="Q127" s="11">
        <f>IF(O127="","ADD LINKEDIN","ok")</f>
        <v/>
      </c>
      <c r="R127" s="6" t="inlineStr">
        <is>
          <t>https://www.botellobuilders.com/</t>
        </is>
      </c>
      <c r="S127" s="9" t="inlineStr">
        <is>
          <t>One or two printers would cover part of a year's wall, but its published work is conventional tilt-up and foundations.</t>
        </is>
      </c>
      <c r="T127" s="6" t="inlineStr">
        <is>
          <t>YES</t>
        </is>
      </c>
      <c r="U127" s="9" t="inlineStr">
        <is>
          <t>Firm's site.</t>
        </is>
      </c>
      <c r="V127" s="6" t="inlineStr">
        <is>
          <t>https://www.botellobuilders.com/</t>
        </is>
      </c>
      <c r="W127" s="6" t="inlineStr"/>
      <c r="X127" s="6" t="inlineStr">
        <is>
          <t>https://www.botellobuilders.com/</t>
        </is>
      </c>
      <c r="Y127" s="6" t="inlineStr"/>
      <c r="Z127" s="6" t="inlineStr">
        <is>
          <t>(281) 784-3070</t>
        </is>
      </c>
      <c r="AA127" s="6" t="inlineStr"/>
      <c r="AB127" s="6" t="inlineStr">
        <is>
          <t>https://www.botellobuilders.com/contact-us/</t>
        </is>
      </c>
      <c r="AC127" s="6" t="inlineStr"/>
      <c r="AD127" s="6" t="inlineStr"/>
    </row>
    <row r="128">
      <c r="A128" s="12" t="inlineStr">
        <is>
          <t>Robert V. Barnes III</t>
        </is>
      </c>
      <c r="B128" s="12" t="inlineStr">
        <is>
          <t>Dee Brown</t>
        </is>
      </c>
      <c r="C128" s="12" t="inlineStr">
        <is>
          <t>President and Chief Executive Officer</t>
        </is>
      </c>
      <c r="D128" s="13" t="inlineStr">
        <is>
          <t>Builds the wall, not the house</t>
        </is>
      </c>
      <c r="E128" s="14" t="n">
        <v>3</v>
      </c>
      <c r="F128" s="12" t="inlineStr">
        <is>
          <t>Builds the wall</t>
        </is>
      </c>
      <c r="G128" s="12" t="inlineStr">
        <is>
          <t>Tomball office, Richardson headquarters</t>
        </is>
      </c>
      <c r="H128" s="12" t="inlineStr">
        <is>
          <t>Publishes prefabricated masonry wall systems</t>
        </is>
      </c>
      <c r="I128" s="14" t="inlineStr">
        <is>
          <t>Yes</t>
        </is>
      </c>
      <c r="J128" s="15" t="inlineStr">
        <is>
          <t>Masonry laid across one region for seven decades.</t>
        </is>
      </c>
      <c r="K128" s="14" t="inlineStr">
        <is>
          <t>Partly</t>
        </is>
      </c>
      <c r="L128" s="15" t="inlineStr">
        <is>
          <t>Puts up more wall than one or two printers cover. Prefab is one line among many.</t>
        </is>
      </c>
      <c r="M128" s="14" t="inlineStr">
        <is>
          <t>Partly</t>
        </is>
      </c>
      <c r="N128" s="15" t="inlineStr">
        <is>
          <t>7,700 square foot fabrication facility for prefabricated wall systems.</t>
        </is>
      </c>
      <c r="O128" s="10" t="inlineStr"/>
      <c r="P128" s="12" t="inlineStr"/>
      <c r="Q128" s="16">
        <f>IF(O128="","ADD LINKEDIN","ok")</f>
        <v/>
      </c>
      <c r="R128" s="12" t="inlineStr">
        <is>
          <t>https://www.deebrowncompanies.com/</t>
        </is>
      </c>
      <c r="S128" s="15" t="inlineStr">
        <is>
          <t>Its own site says it is looking for new prefabricated materials, but prefab is one line among many.</t>
        </is>
      </c>
      <c r="T128" s="12" t="inlineStr">
        <is>
          <t>YES</t>
        </is>
      </c>
      <c r="U128" s="15" t="inlineStr">
        <is>
          <t>D CEO, 24 August 2023. Took the seat from his father in 2015.</t>
        </is>
      </c>
      <c r="V128" s="12" t="inlineStr">
        <is>
          <t>https://www.dmagazine.com/publications/d-ceo/2023/august/third-generation-family-run-company-dee-brown-inc-has-had-a-hand-in-some-of-north-texas-most-iconic-buildings/</t>
        </is>
      </c>
      <c r="W128" s="12" t="inlineStr"/>
      <c r="X128" s="12" t="inlineStr"/>
      <c r="Y128" s="12" t="inlineStr"/>
      <c r="Z128" s="12" t="inlineStr">
        <is>
          <t>(281) 547-0030</t>
        </is>
      </c>
      <c r="AA128" s="12" t="inlineStr">
        <is>
          <t>Houston office</t>
        </is>
      </c>
      <c r="AB128" s="12" t="inlineStr">
        <is>
          <t>https://www.deebrowncompanies.com/contact</t>
        </is>
      </c>
      <c r="AC128" s="12" t="inlineStr"/>
      <c r="AD128" s="12" t="inlineStr"/>
    </row>
    <row r="129">
      <c r="A129" s="6" t="inlineStr">
        <is>
          <t>Tim Hughes</t>
        </is>
      </c>
      <c r="B129" s="6" t="inlineStr">
        <is>
          <t>Dee Brown</t>
        </is>
      </c>
      <c r="C129" s="6" t="inlineStr">
        <is>
          <t>Senior Vice President, Construction Management</t>
        </is>
      </c>
      <c r="D129" s="7" t="inlineStr">
        <is>
          <t>Builds the wall, not the house</t>
        </is>
      </c>
      <c r="E129" s="8" t="n">
        <v>3</v>
      </c>
      <c r="F129" s="6" t="inlineStr">
        <is>
          <t>Builds the wall</t>
        </is>
      </c>
      <c r="G129" s="6" t="inlineStr">
        <is>
          <t>Tomball office, Richardson headquarters</t>
        </is>
      </c>
      <c r="H129" s="6" t="inlineStr">
        <is>
          <t>Publishes prefabricated masonry wall systems</t>
        </is>
      </c>
      <c r="I129" s="8" t="inlineStr">
        <is>
          <t>Yes</t>
        </is>
      </c>
      <c r="J129" s="9" t="inlineStr">
        <is>
          <t>Masonry laid across one region for seven decades.</t>
        </is>
      </c>
      <c r="K129" s="8" t="inlineStr">
        <is>
          <t>Partly</t>
        </is>
      </c>
      <c r="L129" s="9" t="inlineStr">
        <is>
          <t>Puts up more wall than one or two printers cover. Prefab is one line among many.</t>
        </is>
      </c>
      <c r="M129" s="8" t="inlineStr">
        <is>
          <t>Partly</t>
        </is>
      </c>
      <c r="N129" s="9" t="inlineStr">
        <is>
          <t>7,700 square foot fabrication facility for prefabricated wall systems.</t>
        </is>
      </c>
      <c r="O129" s="10" t="inlineStr"/>
      <c r="P129" s="6" t="inlineStr"/>
      <c r="Q129" s="11">
        <f>IF(O129="","ADD LINKEDIN","ok")</f>
        <v/>
      </c>
      <c r="R129" s="6" t="inlineStr">
        <is>
          <t>https://www.deebrowncompanies.com/</t>
        </is>
      </c>
      <c r="S129" s="9" t="inlineStr">
        <is>
          <t>Its own site says it is looking for new prefabricated materials, but prefab is one line among many.</t>
        </is>
      </c>
      <c r="T129" s="6" t="inlineStr"/>
      <c r="U129" s="9" t="inlineStr"/>
      <c r="V129" s="6" t="inlineStr">
        <is>
          <t>https://www.deebrowncompanies.com/about</t>
        </is>
      </c>
      <c r="W129" s="6" t="inlineStr"/>
      <c r="X129" s="6" t="inlineStr"/>
      <c r="Y129" s="6" t="inlineStr"/>
      <c r="Z129" s="6" t="inlineStr">
        <is>
          <t>(281) 547-0030</t>
        </is>
      </c>
      <c r="AA129" s="6" t="inlineStr">
        <is>
          <t>Houston office</t>
        </is>
      </c>
      <c r="AB129" s="6" t="inlineStr">
        <is>
          <t>https://www.deebrowncompanies.com/contact</t>
        </is>
      </c>
      <c r="AC129" s="6" t="inlineStr"/>
      <c r="AD129" s="6" t="inlineStr"/>
    </row>
    <row r="130">
      <c r="A130" s="12" t="inlineStr">
        <is>
          <t>David Barnes</t>
        </is>
      </c>
      <c r="B130" s="12" t="inlineStr">
        <is>
          <t>Dee Brown</t>
        </is>
      </c>
      <c r="C130" s="12" t="inlineStr">
        <is>
          <t>Senior Vice President, Operations</t>
        </is>
      </c>
      <c r="D130" s="13" t="inlineStr">
        <is>
          <t>Builds the wall, not the house</t>
        </is>
      </c>
      <c r="E130" s="14" t="n">
        <v>3</v>
      </c>
      <c r="F130" s="12" t="inlineStr">
        <is>
          <t>Builds the wall</t>
        </is>
      </c>
      <c r="G130" s="12" t="inlineStr">
        <is>
          <t>Tomball office, Richardson headquarters</t>
        </is>
      </c>
      <c r="H130" s="12" t="inlineStr">
        <is>
          <t>Publishes prefabricated masonry wall systems</t>
        </is>
      </c>
      <c r="I130" s="14" t="inlineStr">
        <is>
          <t>Yes</t>
        </is>
      </c>
      <c r="J130" s="15" t="inlineStr">
        <is>
          <t>Masonry laid across one region for seven decades.</t>
        </is>
      </c>
      <c r="K130" s="14" t="inlineStr">
        <is>
          <t>Partly</t>
        </is>
      </c>
      <c r="L130" s="15" t="inlineStr">
        <is>
          <t>Puts up more wall than one or two printers cover. Prefab is one line among many.</t>
        </is>
      </c>
      <c r="M130" s="14" t="inlineStr">
        <is>
          <t>Partly</t>
        </is>
      </c>
      <c r="N130" s="15" t="inlineStr">
        <is>
          <t>7,700 square foot fabrication facility for prefabricated wall systems.</t>
        </is>
      </c>
      <c r="O130" s="10" t="inlineStr"/>
      <c r="P130" s="12" t="inlineStr"/>
      <c r="Q130" s="16">
        <f>IF(O130="","ADD LINKEDIN","ok")</f>
        <v/>
      </c>
      <c r="R130" s="12" t="inlineStr">
        <is>
          <t>https://www.deebrowncompanies.com/</t>
        </is>
      </c>
      <c r="S130" s="15" t="inlineStr">
        <is>
          <t>Its own site says it is looking for new prefabricated materials, but prefab is one line among many.</t>
        </is>
      </c>
      <c r="T130" s="12" t="inlineStr"/>
      <c r="U130" s="15" t="inlineStr"/>
      <c r="V130" s="12" t="inlineStr">
        <is>
          <t>https://www.deebrowncompanies.com/about</t>
        </is>
      </c>
      <c r="W130" s="12" t="inlineStr"/>
      <c r="X130" s="12" t="inlineStr"/>
      <c r="Y130" s="12" t="inlineStr"/>
      <c r="Z130" s="12" t="inlineStr">
        <is>
          <t>(281) 547-0030</t>
        </is>
      </c>
      <c r="AA130" s="12" t="inlineStr">
        <is>
          <t>Houston office</t>
        </is>
      </c>
      <c r="AB130" s="12" t="inlineStr">
        <is>
          <t>https://www.deebrowncompanies.com/contact</t>
        </is>
      </c>
      <c r="AC130" s="12" t="inlineStr"/>
      <c r="AD130" s="12" t="inlineStr"/>
    </row>
    <row r="131">
      <c r="A131" s="6" t="inlineStr">
        <is>
          <t>Scott Anderson</t>
        </is>
      </c>
      <c r="B131" s="6" t="inlineStr">
        <is>
          <t>Keystone Concrete Placement</t>
        </is>
      </c>
      <c r="C131" s="6" t="inlineStr">
        <is>
          <t>Vice President and General Manager, Keystone Structural Concrete</t>
        </is>
      </c>
      <c r="D131" s="7" t="inlineStr">
        <is>
          <t>Builds the wall, not the house</t>
        </is>
      </c>
      <c r="E131" s="8" t="n">
        <v>3</v>
      </c>
      <c r="F131" s="6" t="inlineStr">
        <is>
          <t>Builds the wall</t>
        </is>
      </c>
      <c r="G131" s="6" t="inlineStr">
        <is>
          <t>Houston, with Austin, San Antonio and College Station</t>
        </is>
      </c>
      <c r="H131" s="6" t="inlineStr">
        <is>
          <t>1,500 craftsmen, 975,000 cubic yards a year</t>
        </is>
      </c>
      <c r="I131" s="8" t="inlineStr">
        <is>
          <t>Yes</t>
        </is>
      </c>
      <c r="J131" s="9" t="inlineStr">
        <is>
          <t>Same placement work recurs across one metro.</t>
        </is>
      </c>
      <c r="K131" s="8" t="inlineStr">
        <is>
          <t>Partly</t>
        </is>
      </c>
      <c r="L131" s="9" t="inlineStr">
        <is>
          <t>1,500 craftsmen, 975,000 cubic yards yearly. One or two printers would be a line inside it.</t>
        </is>
      </c>
      <c r="M131" s="8" t="inlineStr">
        <is>
          <t>Partly</t>
        </is>
      </c>
      <c r="N131" s="9" t="inlineStr">
        <is>
          <t>Owns placing booms and hydraulic self-jacking formwork systems. Formwork is not a new method.</t>
        </is>
      </c>
      <c r="O131" s="6" t="inlineStr">
        <is>
          <t>https://www.linkedin.com/in/scott-anderson-266878141/</t>
        </is>
      </c>
      <c r="P131" s="6" t="inlineStr"/>
      <c r="Q131" s="11">
        <f>IF(O131="","ADD LINKEDIN","ok")</f>
        <v/>
      </c>
      <c r="R131" s="6" t="inlineStr">
        <is>
          <t>https://www.keystoneconcrete.com/</t>
        </is>
      </c>
      <c r="S131" s="9" t="inlineStr">
        <is>
          <t>Its residential division works custom home foundations and master plan communities, but one or two printers would be one line in the business.</t>
        </is>
      </c>
      <c r="T131" s="6" t="inlineStr">
        <is>
          <t>YES</t>
        </is>
      </c>
      <c r="U131" s="9" t="inlineStr">
        <is>
          <t>Headline: Vice President at Keystone Structural Concrete. Houston, Texas.</t>
        </is>
      </c>
      <c r="V131" s="6" t="inlineStr"/>
      <c r="W131" s="6" t="inlineStr"/>
      <c r="X131" s="6" t="inlineStr"/>
      <c r="Y131" s="6" t="inlineStr"/>
      <c r="Z131" s="6" t="inlineStr">
        <is>
          <t>(713) 983-8002</t>
        </is>
      </c>
      <c r="AA131" s="6" t="inlineStr">
        <is>
          <t>Houston</t>
        </is>
      </c>
      <c r="AB131" s="6" t="inlineStr">
        <is>
          <t>https://www.keystoneconcrete.com/</t>
        </is>
      </c>
      <c r="AC131" s="6" t="inlineStr"/>
      <c r="AD131" s="6" t="inlineStr"/>
    </row>
    <row r="132">
      <c r="A132" s="12" t="inlineStr">
        <is>
          <t>Rodney Horn</t>
        </is>
      </c>
      <c r="B132" s="12" t="inlineStr">
        <is>
          <t>Keystone Concrete Placement</t>
        </is>
      </c>
      <c r="C132" s="12" t="inlineStr">
        <is>
          <t>Vice President, Keystone Concrete and Key-Scape</t>
        </is>
      </c>
      <c r="D132" s="13" t="inlineStr">
        <is>
          <t>Builds the wall, not the house</t>
        </is>
      </c>
      <c r="E132" s="14" t="n">
        <v>3</v>
      </c>
      <c r="F132" s="12" t="inlineStr">
        <is>
          <t>Builds the wall</t>
        </is>
      </c>
      <c r="G132" s="12" t="inlineStr">
        <is>
          <t>Houston, with Austin, San Antonio and College Station</t>
        </is>
      </c>
      <c r="H132" s="12" t="inlineStr">
        <is>
          <t>1,500 craftsmen, 975,000 cubic yards a year</t>
        </is>
      </c>
      <c r="I132" s="14" t="inlineStr">
        <is>
          <t>Yes</t>
        </is>
      </c>
      <c r="J132" s="15" t="inlineStr">
        <is>
          <t>Same placement work recurs across one metro.</t>
        </is>
      </c>
      <c r="K132" s="14" t="inlineStr">
        <is>
          <t>Partly</t>
        </is>
      </c>
      <c r="L132" s="15" t="inlineStr">
        <is>
          <t>1,500 craftsmen, 975,000 cubic yards yearly. One or two printers would be a line inside it.</t>
        </is>
      </c>
      <c r="M132" s="14" t="inlineStr">
        <is>
          <t>Partly</t>
        </is>
      </c>
      <c r="N132" s="15" t="inlineStr">
        <is>
          <t>Owns placing booms and hydraulic self-jacking formwork systems. Formwork is not a new method.</t>
        </is>
      </c>
      <c r="O132" s="6" t="inlineStr">
        <is>
          <t>https://www.linkedin.com/in/rodney-horn-963a8048/</t>
        </is>
      </c>
      <c r="P132" s="12" t="inlineStr"/>
      <c r="Q132" s="16">
        <f>IF(O132="","ADD LINKEDIN","ok")</f>
        <v/>
      </c>
      <c r="R132" s="12" t="inlineStr">
        <is>
          <t>https://www.keystoneconcrete.com/</t>
        </is>
      </c>
      <c r="S132" s="15" t="inlineStr">
        <is>
          <t>Its residential division works custom home foundations and master plan communities, but one or two printers would be one line in the business.</t>
        </is>
      </c>
      <c r="T132" s="12" t="inlineStr">
        <is>
          <t>YES</t>
        </is>
      </c>
      <c r="U132" s="15" t="inlineStr">
        <is>
          <t>Headline: Vice President, Keystone Concrete. Houston.</t>
        </is>
      </c>
      <c r="V132" s="12" t="inlineStr"/>
      <c r="W132" s="12" t="inlineStr"/>
      <c r="X132" s="12" t="inlineStr"/>
      <c r="Y132" s="12" t="inlineStr"/>
      <c r="Z132" s="12" t="inlineStr">
        <is>
          <t>(713) 983-8002</t>
        </is>
      </c>
      <c r="AA132" s="12" t="inlineStr">
        <is>
          <t>Houston</t>
        </is>
      </c>
      <c r="AB132" s="12" t="inlineStr">
        <is>
          <t>https://www.keystoneconcrete.com/</t>
        </is>
      </c>
      <c r="AC132" s="12" t="inlineStr"/>
      <c r="AD132" s="12" t="inlineStr"/>
    </row>
    <row r="133">
      <c r="A133" s="6" t="inlineStr">
        <is>
          <t>Phil Nevlud</t>
        </is>
      </c>
      <c r="B133" s="6" t="inlineStr">
        <is>
          <t>MAREK</t>
        </is>
      </c>
      <c r="C133" s="6" t="inlineStr">
        <is>
          <t>Division President</t>
        </is>
      </c>
      <c r="D133" s="7" t="inlineStr">
        <is>
          <t>Builds the wall, not the house</t>
        </is>
      </c>
      <c r="E133" s="8" t="n">
        <v>3</v>
      </c>
      <c r="F133" s="6" t="inlineStr">
        <is>
          <t>Builds the wall</t>
        </is>
      </c>
      <c r="G133" s="6" t="inlineStr">
        <is>
          <t>Houston, Harris, with Austin, Dallas and Fort Worth</t>
        </is>
      </c>
      <c r="H133" s="6" t="inlineStr">
        <is>
          <t>Runs its own prefabrication plant, founded 1938</t>
        </is>
      </c>
      <c r="I133" s="8" t="inlineStr">
        <is>
          <t>Yes</t>
        </is>
      </c>
      <c r="J133" s="9" t="inlineStr">
        <is>
          <t>Repeat interior wall and ceiling packages in one metro.</t>
        </is>
      </c>
      <c r="K133" s="8" t="inlineStr">
        <is>
          <t>Partly</t>
        </is>
      </c>
      <c r="L133" s="9" t="inlineStr">
        <is>
          <t>No employee count or annual unit figure published.</t>
        </is>
      </c>
      <c r="M133" s="8" t="inlineStr">
        <is>
          <t>Partly</t>
        </is>
      </c>
      <c r="N133" s="9" t="inlineStr">
        <is>
          <t>Built and staffed a prefabrication plant. Publishes its savings on a hospital project.</t>
        </is>
      </c>
      <c r="O133" s="6" t="inlineStr">
        <is>
          <t>https://www.linkedin.com/in/phil-nevlud-843a391a/</t>
        </is>
      </c>
      <c r="P133" s="6" t="inlineStr"/>
      <c r="Q133" s="11">
        <f>IF(O133="","ADD LINKEDIN","ok")</f>
        <v/>
      </c>
      <c r="R133" s="6" t="inlineStr">
        <is>
          <t>https://www.marekbros.com/houston/</t>
        </is>
      </c>
      <c r="S133" s="9" t="inlineStr">
        <is>
          <t>It runs separate multifamily and single family divisions, but its walls are interior and non-structural.</t>
        </is>
      </c>
      <c r="T133" s="6" t="inlineStr">
        <is>
          <t>YES</t>
        </is>
      </c>
      <c r="U133" s="9" t="inlineStr">
        <is>
          <t>Headline: Division President - Houston, no firm named. MAREK's site confirms the title.</t>
        </is>
      </c>
      <c r="V133" s="6" t="inlineStr"/>
      <c r="W133" s="6" t="inlineStr"/>
      <c r="X133" s="6" t="inlineStr"/>
      <c r="Y133" s="6" t="inlineStr"/>
      <c r="Z133" s="6" t="inlineStr">
        <is>
          <t>(713) 681-2626</t>
        </is>
      </c>
      <c r="AA133" s="6" t="inlineStr">
        <is>
          <t>commercial, Judiway Street</t>
        </is>
      </c>
      <c r="AB133" s="6" t="inlineStr">
        <is>
          <t>https://www.marekbros.com/houston/</t>
        </is>
      </c>
      <c r="AC133" s="6" t="inlineStr"/>
      <c r="AD133" s="6" t="inlineStr"/>
    </row>
    <row r="134">
      <c r="A134" s="12" t="inlineStr">
        <is>
          <t>Ronald Marek</t>
        </is>
      </c>
      <c r="B134" s="12" t="inlineStr">
        <is>
          <t>MAREK</t>
        </is>
      </c>
      <c r="C134" s="12" t="inlineStr">
        <is>
          <t>Multifamily Director</t>
        </is>
      </c>
      <c r="D134" s="13" t="inlineStr">
        <is>
          <t>Builds the wall, not the house</t>
        </is>
      </c>
      <c r="E134" s="14" t="n">
        <v>3</v>
      </c>
      <c r="F134" s="12" t="inlineStr">
        <is>
          <t>Builds the wall</t>
        </is>
      </c>
      <c r="G134" s="12" t="inlineStr">
        <is>
          <t>Houston, Harris, with Austin, Dallas and Fort Worth</t>
        </is>
      </c>
      <c r="H134" s="12" t="inlineStr">
        <is>
          <t>Runs its own prefabrication plant, founded 1938</t>
        </is>
      </c>
      <c r="I134" s="14" t="inlineStr">
        <is>
          <t>Yes</t>
        </is>
      </c>
      <c r="J134" s="15" t="inlineStr">
        <is>
          <t>Repeat interior wall and ceiling packages in one metro.</t>
        </is>
      </c>
      <c r="K134" s="14" t="inlineStr">
        <is>
          <t>Partly</t>
        </is>
      </c>
      <c r="L134" s="15" t="inlineStr">
        <is>
          <t>No employee count or annual unit figure published.</t>
        </is>
      </c>
      <c r="M134" s="14" t="inlineStr">
        <is>
          <t>Partly</t>
        </is>
      </c>
      <c r="N134" s="15" t="inlineStr">
        <is>
          <t>Built and staffed a prefabrication plant. Publishes its savings on a hospital project.</t>
        </is>
      </c>
      <c r="O134" s="10" t="inlineStr"/>
      <c r="P134" s="12">
        <f>HYPERLINK("https://www.linkedin.com/search/results/people/?keywords=Ronald%20Marek%20MAREK","search")</f>
        <v/>
      </c>
      <c r="Q134" s="16">
        <f>IF(O134="","ADD LINKEDIN","ok")</f>
        <v/>
      </c>
      <c r="R134" s="12" t="inlineStr">
        <is>
          <t>https://www.marekbros.com/houston/</t>
        </is>
      </c>
      <c r="S134" s="15" t="inlineStr">
        <is>
          <t>It runs separate multifamily and single family divisions, but its walls are interior and non-structural.</t>
        </is>
      </c>
      <c r="T134" s="12" t="inlineStr">
        <is>
          <t>YES</t>
        </is>
      </c>
      <c r="U134" s="15" t="inlineStr"/>
      <c r="V134" s="12" t="inlineStr"/>
      <c r="W134" s="12" t="inlineStr"/>
      <c r="X134" s="12" t="inlineStr"/>
      <c r="Y134" s="12" t="inlineStr"/>
      <c r="Z134" s="12" t="inlineStr">
        <is>
          <t>(713) 681-2626</t>
        </is>
      </c>
      <c r="AA134" s="12" t="inlineStr">
        <is>
          <t>commercial, Judiway Street</t>
        </is>
      </c>
      <c r="AB134" s="12" t="inlineStr">
        <is>
          <t>https://www.marekbros.com/houston/</t>
        </is>
      </c>
      <c r="AC134" s="12" t="inlineStr"/>
      <c r="AD134" s="12" t="inlineStr"/>
    </row>
    <row r="135">
      <c r="A135" s="6" t="inlineStr">
        <is>
          <t>Chris Trojanowsky</t>
        </is>
      </c>
      <c r="B135" s="6" t="inlineStr">
        <is>
          <t>MAREK</t>
        </is>
      </c>
      <c r="C135" s="6" t="inlineStr">
        <is>
          <t>Single Family Division Manager</t>
        </is>
      </c>
      <c r="D135" s="7" t="inlineStr">
        <is>
          <t>Builds the wall, not the house</t>
        </is>
      </c>
      <c r="E135" s="8" t="n">
        <v>3</v>
      </c>
      <c r="F135" s="6" t="inlineStr">
        <is>
          <t>Builds the wall</t>
        </is>
      </c>
      <c r="G135" s="6" t="inlineStr">
        <is>
          <t>Houston, Harris, with Austin, Dallas and Fort Worth</t>
        </is>
      </c>
      <c r="H135" s="6" t="inlineStr">
        <is>
          <t>Runs its own prefabrication plant, founded 1938</t>
        </is>
      </c>
      <c r="I135" s="8" t="inlineStr">
        <is>
          <t>Yes</t>
        </is>
      </c>
      <c r="J135" s="9" t="inlineStr">
        <is>
          <t>Repeat interior wall and ceiling packages in one metro.</t>
        </is>
      </c>
      <c r="K135" s="8" t="inlineStr">
        <is>
          <t>Partly</t>
        </is>
      </c>
      <c r="L135" s="9" t="inlineStr">
        <is>
          <t>No employee count or annual unit figure published.</t>
        </is>
      </c>
      <c r="M135" s="8" t="inlineStr">
        <is>
          <t>Partly</t>
        </is>
      </c>
      <c r="N135" s="9" t="inlineStr">
        <is>
          <t>Built and staffed a prefabrication plant. Publishes its savings on a hospital project.</t>
        </is>
      </c>
      <c r="O135" s="10" t="inlineStr"/>
      <c r="P135" s="6">
        <f>HYPERLINK("https://www.linkedin.com/search/results/people/?keywords=Chris%20Trojanowsky%20MAREK","search")</f>
        <v/>
      </c>
      <c r="Q135" s="11">
        <f>IF(O135="","ADD LINKEDIN","ok")</f>
        <v/>
      </c>
      <c r="R135" s="6" t="inlineStr">
        <is>
          <t>https://www.marekbros.com/houston/</t>
        </is>
      </c>
      <c r="S135" s="9" t="inlineStr">
        <is>
          <t>It runs separate multifamily and single family divisions, but its walls are interior and non-structural.</t>
        </is>
      </c>
      <c r="T135" s="6" t="inlineStr">
        <is>
          <t>YES</t>
        </is>
      </c>
      <c r="U135" s="9" t="inlineStr"/>
      <c r="V135" s="6" t="inlineStr"/>
      <c r="W135" s="6" t="inlineStr"/>
      <c r="X135" s="6" t="inlineStr"/>
      <c r="Y135" s="6" t="inlineStr"/>
      <c r="Z135" s="6" t="inlineStr">
        <is>
          <t>(713) 681-2626</t>
        </is>
      </c>
      <c r="AA135" s="6" t="inlineStr">
        <is>
          <t>commercial, Judiway Street</t>
        </is>
      </c>
      <c r="AB135" s="6" t="inlineStr">
        <is>
          <t>https://www.marekbros.com/houston/</t>
        </is>
      </c>
      <c r="AC135" s="6" t="inlineStr"/>
      <c r="AD135" s="6" t="inlineStr"/>
    </row>
    <row r="136">
      <c r="A136" s="12" t="inlineStr">
        <is>
          <t>Jorge Rodriguez</t>
        </is>
      </c>
      <c r="B136" s="12" t="inlineStr">
        <is>
          <t>MAREK</t>
        </is>
      </c>
      <c r="C136" s="12" t="inlineStr">
        <is>
          <t>Managing Director, Field Operations</t>
        </is>
      </c>
      <c r="D136" s="13" t="inlineStr">
        <is>
          <t>Builds the wall, not the house</t>
        </is>
      </c>
      <c r="E136" s="14" t="n">
        <v>3</v>
      </c>
      <c r="F136" s="12" t="inlineStr">
        <is>
          <t>Builds the wall</t>
        </is>
      </c>
      <c r="G136" s="12" t="inlineStr">
        <is>
          <t>Houston, Harris, with Austin, Dallas and Fort Worth</t>
        </is>
      </c>
      <c r="H136" s="12" t="inlineStr">
        <is>
          <t>Runs its own prefabrication plant, founded 1938</t>
        </is>
      </c>
      <c r="I136" s="14" t="inlineStr">
        <is>
          <t>Yes</t>
        </is>
      </c>
      <c r="J136" s="15" t="inlineStr">
        <is>
          <t>Repeat interior wall and ceiling packages in one metro.</t>
        </is>
      </c>
      <c r="K136" s="14" t="inlineStr">
        <is>
          <t>Partly</t>
        </is>
      </c>
      <c r="L136" s="15" t="inlineStr">
        <is>
          <t>No employee count or annual unit figure published.</t>
        </is>
      </c>
      <c r="M136" s="14" t="inlineStr">
        <is>
          <t>Partly</t>
        </is>
      </c>
      <c r="N136" s="15" t="inlineStr">
        <is>
          <t>Built and staffed a prefabrication plant. Publishes its savings on a hospital project.</t>
        </is>
      </c>
      <c r="O136" s="10" t="inlineStr"/>
      <c r="P136" s="12">
        <f>HYPERLINK("https://www.linkedin.com/search/results/people/?keywords=Jorge%20Rodriguez%20MAREK","search")</f>
        <v/>
      </c>
      <c r="Q136" s="16">
        <f>IF(O136="","ADD LINKEDIN","ok")</f>
        <v/>
      </c>
      <c r="R136" s="12" t="inlineStr">
        <is>
          <t>https://www.marekbros.com/houston/</t>
        </is>
      </c>
      <c r="S136" s="15" t="inlineStr">
        <is>
          <t>It runs separate multifamily and single family divisions, but its walls are interior and non-structural.</t>
        </is>
      </c>
      <c r="T136" s="12" t="inlineStr"/>
      <c r="U136" s="15" t="inlineStr"/>
      <c r="V136" s="12" t="inlineStr"/>
      <c r="W136" s="12" t="inlineStr"/>
      <c r="X136" s="12" t="inlineStr"/>
      <c r="Y136" s="12" t="inlineStr"/>
      <c r="Z136" s="12" t="inlineStr">
        <is>
          <t>(713) 681-2626</t>
        </is>
      </c>
      <c r="AA136" s="12" t="inlineStr">
        <is>
          <t>commercial, Judiway Street</t>
        </is>
      </c>
      <c r="AB136" s="12" t="inlineStr">
        <is>
          <t>https://www.marekbros.com/houston/</t>
        </is>
      </c>
      <c r="AC136" s="12" t="inlineStr"/>
      <c r="AD136" s="12" t="inlineStr"/>
    </row>
    <row r="137">
      <c r="A137" s="6" t="inlineStr">
        <is>
          <t>no contact identified</t>
        </is>
      </c>
      <c r="B137" s="6" t="inlineStr">
        <is>
          <t>Omega Industries</t>
        </is>
      </c>
      <c r="C137" s="6" t="inlineStr"/>
      <c r="D137" s="7" t="inlineStr">
        <is>
          <t>Builds the wall, not the house</t>
        </is>
      </c>
      <c r="E137" s="8" t="n">
        <v>3</v>
      </c>
      <c r="F137" s="6" t="inlineStr">
        <is>
          <t>Builds the wall</t>
        </is>
      </c>
      <c r="G137" s="6" t="inlineStr">
        <is>
          <t>Houston, within a footprint including Dallas, Austin, San Antonio and Los Angeles</t>
        </is>
      </c>
      <c r="H137" s="6" t="inlineStr">
        <is>
          <t>$30 million bonding capacity, 1,200-plus projects</t>
        </is>
      </c>
      <c r="I137" s="8" t="inlineStr">
        <is>
          <t>Yes</t>
        </is>
      </c>
      <c r="J137" s="9" t="inlineStr">
        <is>
          <t>Repeat work across a multi-city footprint including Houston.</t>
        </is>
      </c>
      <c r="K137" s="8" t="inlineStr">
        <is>
          <t>Partly</t>
        </is>
      </c>
      <c r="L137" s="9" t="inlineStr">
        <is>
          <t>Bonded at $30 million across four cities, placing more material than one or two printers cover.</t>
        </is>
      </c>
      <c r="M137" s="8" t="inlineStr">
        <is>
          <t>Partly</t>
        </is>
      </c>
      <c r="N137" s="9" t="inlineStr">
        <is>
          <t>Four placement methods, including fibre-reinforced shotcrete, each with its own equipment and crew training.</t>
        </is>
      </c>
      <c r="O137" s="10" t="inlineStr"/>
      <c r="P137" s="6" t="inlineStr"/>
      <c r="Q137" s="11">
        <f>IF(O137="","ADD LINKEDIN","ok")</f>
        <v/>
      </c>
      <c r="R137" s="6" t="inlineStr">
        <is>
          <t>https://omegaindinc.com/houston/service/gunite-shotcrete/</t>
        </is>
      </c>
      <c r="S137" s="9" t="inlineStr">
        <is>
          <t>Already shoots gunite and shotcrete through a nozzle to a profile, but works more material than one or two printers would cover.</t>
        </is>
      </c>
      <c r="T137" s="6" t="inlineStr"/>
      <c r="U137" s="9" t="inlineStr"/>
      <c r="V137" s="6" t="inlineStr"/>
      <c r="W137" s="6" t="inlineStr"/>
      <c r="X137" s="6" t="inlineStr"/>
      <c r="Y137" s="6" t="inlineStr"/>
      <c r="Z137" s="6" t="inlineStr">
        <is>
          <t>(972) 532-3340</t>
        </is>
      </c>
      <c r="AA137" s="6" t="inlineStr">
        <is>
          <t>Dallas, the only number published</t>
        </is>
      </c>
      <c r="AB137" s="6" t="inlineStr">
        <is>
          <t>https://omegaindinc.com/houston/contact-us/</t>
        </is>
      </c>
      <c r="AC137" s="6" t="inlineStr"/>
      <c r="AD137" s="6" t="inlineStr"/>
    </row>
    <row r="138">
      <c r="A138" s="12" t="inlineStr">
        <is>
          <t>Greg Elliott</t>
        </is>
      </c>
      <c r="B138" s="12" t="inlineStr">
        <is>
          <t>Tindall Corporation, Texas division</t>
        </is>
      </c>
      <c r="C138" s="12" t="inlineStr">
        <is>
          <t>Vice President, and the outgoing Texas general manager</t>
        </is>
      </c>
      <c r="D138" s="13" t="inlineStr">
        <is>
          <t>Builds the wall, not the house</t>
        </is>
      </c>
      <c r="E138" s="14" t="n">
        <v>3</v>
      </c>
      <c r="F138" s="12" t="inlineStr">
        <is>
          <t>Builds the wall</t>
        </is>
      </c>
      <c r="G138" s="12" t="inlineStr">
        <is>
          <t>San Antonio</t>
        </is>
      </c>
      <c r="H138" s="12" t="inlineStr">
        <is>
          <t>40-acre plant, 190-plus employees</t>
        </is>
      </c>
      <c r="I138" s="14" t="inlineStr">
        <is>
          <t>Yes</t>
        </is>
      </c>
      <c r="J138" s="15" t="inlineStr">
        <is>
          <t>Elements and modular cells cast from one plant for one region.</t>
        </is>
      </c>
      <c r="K138" s="14" t="inlineStr">
        <is>
          <t>Partly</t>
        </is>
      </c>
      <c r="L138" s="15" t="inlineStr">
        <is>
          <t>Forty acres and 190 people, beyond one or two printers. Product is commercial and data centre.</t>
        </is>
      </c>
      <c r="M138" s="14" t="inlineStr">
        <is>
          <t>Partly</t>
        </is>
      </c>
      <c r="N138" s="15" t="inlineStr">
        <is>
          <t>Added a modular cell line, needing new moulds and handling. Not a new building method.</t>
        </is>
      </c>
      <c r="O138" s="6" t="inlineStr">
        <is>
          <t>https://www.linkedin.com/in/greg-elliott-824a1458/</t>
        </is>
      </c>
      <c r="P138" s="12" t="inlineStr"/>
      <c r="Q138" s="16">
        <f>IF(O138="","ADD LINKEDIN","ok")</f>
        <v/>
      </c>
      <c r="R138" s="12" t="inlineStr">
        <is>
          <t>https://tindallcorp.com/</t>
        </is>
      </c>
      <c r="S138" s="15" t="inlineStr">
        <is>
          <t>Its general manager wants to widen what the plant makes, but its product is commercial and data centre work.</t>
        </is>
      </c>
      <c r="T138" s="12" t="inlineStr"/>
      <c r="U138" s="15" t="inlineStr">
        <is>
          <t>Release names him vice president and outgoing general manager. Profile still says general manager.</t>
        </is>
      </c>
      <c r="V138" s="12" t="inlineStr"/>
      <c r="W138" s="12" t="inlineStr"/>
      <c r="X138" s="12" t="inlineStr"/>
      <c r="Y138" s="12" t="inlineStr"/>
      <c r="Z138" s="12" t="inlineStr">
        <is>
          <t>(800) 280-1215</t>
        </is>
      </c>
      <c r="AA138" s="12" t="inlineStr">
        <is>
          <t>Texas division main</t>
        </is>
      </c>
      <c r="AB138" s="12" t="inlineStr">
        <is>
          <t>https://tindallcorp.com/contact/</t>
        </is>
      </c>
      <c r="AC138" s="12" t="inlineStr"/>
      <c r="AD138" s="12" t="inlineStr"/>
    </row>
    <row r="139">
      <c r="A139" s="6" t="inlineStr">
        <is>
          <t>Cecil Casinger</t>
        </is>
      </c>
      <c r="B139" s="6" t="inlineStr">
        <is>
          <t>Tindall Corporation, Texas division</t>
        </is>
      </c>
      <c r="C139" s="6" t="inlineStr">
        <is>
          <t>General Manager, Tindall Building Systems Texas</t>
        </is>
      </c>
      <c r="D139" s="7" t="inlineStr">
        <is>
          <t>Builds the wall, not the house</t>
        </is>
      </c>
      <c r="E139" s="8" t="n">
        <v>3</v>
      </c>
      <c r="F139" s="6" t="inlineStr">
        <is>
          <t>Builds the wall</t>
        </is>
      </c>
      <c r="G139" s="6" t="inlineStr">
        <is>
          <t>San Antonio</t>
        </is>
      </c>
      <c r="H139" s="6" t="inlineStr">
        <is>
          <t>40-acre plant, 190-plus employees</t>
        </is>
      </c>
      <c r="I139" s="8" t="inlineStr">
        <is>
          <t>Yes</t>
        </is>
      </c>
      <c r="J139" s="9" t="inlineStr">
        <is>
          <t>Elements and modular cells cast from one plant for one region.</t>
        </is>
      </c>
      <c r="K139" s="8" t="inlineStr">
        <is>
          <t>Partly</t>
        </is>
      </c>
      <c r="L139" s="9" t="inlineStr">
        <is>
          <t>Forty acres and 190 people, beyond one or two printers. Product is commercial and data centre.</t>
        </is>
      </c>
      <c r="M139" s="8" t="inlineStr">
        <is>
          <t>Partly</t>
        </is>
      </c>
      <c r="N139" s="9" t="inlineStr">
        <is>
          <t>Added a modular cell line, needing new moulds and handling. Not a new building method.</t>
        </is>
      </c>
      <c r="O139" s="10" t="inlineStr"/>
      <c r="P139" s="6" t="inlineStr"/>
      <c r="Q139" s="11">
        <f>IF(O139="","ADD LINKEDIN","ok")</f>
        <v/>
      </c>
      <c r="R139" s="6" t="inlineStr">
        <is>
          <t>https://tindallcorp.com/</t>
        </is>
      </c>
      <c r="S139" s="9" t="inlineStr">
        <is>
          <t>Its general manager wants to widen what the plant makes, but its product is commercial and data centre work.</t>
        </is>
      </c>
      <c r="T139" s="6" t="inlineStr">
        <is>
          <t>YES</t>
        </is>
      </c>
      <c r="U139" s="9" t="inlineStr">
        <is>
          <t>Firm's release welcoming him. Eighteen years in precast.</t>
        </is>
      </c>
      <c r="V139" s="6" t="inlineStr">
        <is>
          <t>https://tindallcorp.com/tindall-corporation-welcomes-new-general-manager/</t>
        </is>
      </c>
      <c r="W139" s="6" t="inlineStr"/>
      <c r="X139" s="6" t="inlineStr"/>
      <c r="Y139" s="6" t="inlineStr"/>
      <c r="Z139" s="6" t="inlineStr">
        <is>
          <t>(800) 280-1215</t>
        </is>
      </c>
      <c r="AA139" s="6" t="inlineStr">
        <is>
          <t>Texas division main</t>
        </is>
      </c>
      <c r="AB139" s="6" t="inlineStr">
        <is>
          <t>https://tindallcorp.com/contact/</t>
        </is>
      </c>
      <c r="AC139" s="6" t="inlineStr"/>
      <c r="AD139" s="6" t="inlineStr"/>
    </row>
    <row r="140">
      <c r="A140" s="12" t="inlineStr">
        <is>
          <t>Hachem Domloj</t>
        </is>
      </c>
      <c r="B140" s="12" t="inlineStr">
        <is>
          <t>CIVE</t>
        </is>
      </c>
      <c r="C140" s="12" t="inlineStr">
        <is>
          <t>Founder and Chief Executive Officer</t>
        </is>
      </c>
      <c r="D140" s="13" t="inlineStr">
        <is>
          <t>Builds the wall, not the house</t>
        </is>
      </c>
      <c r="E140" s="14" t="n">
        <v>3</v>
      </c>
      <c r="F140" s="12" t="inlineStr">
        <is>
          <t>Buys walls</t>
        </is>
      </c>
      <c r="G140" s="12" t="inlineStr">
        <is>
          <t>Houston, Harris</t>
        </is>
      </c>
      <c r="H140" s="12" t="inlineStr">
        <is>
          <t>Engineer and design-build partner on the printed house in Spring Branch</t>
        </is>
      </c>
      <c r="I140" s="14" t="inlineStr">
        <is>
          <t>Partly</t>
        </is>
      </c>
      <c r="J140" s="15" t="inlineStr">
        <is>
          <t>Design-build projects, each one different.</t>
        </is>
      </c>
      <c r="K140" s="14" t="inlineStr">
        <is>
          <t>Partly</t>
        </is>
      </c>
      <c r="L140" s="15" t="inlineStr">
        <is>
          <t>No headcount, revenue or annual project figure published.</t>
        </is>
      </c>
      <c r="M140" s="14" t="inlineStr">
        <is>
          <t>Yes</t>
        </is>
      </c>
      <c r="N140" s="15" t="inlineStr">
        <is>
          <t>Delivered a printed house with a printing contractor. Publishes it on its site.</t>
        </is>
      </c>
      <c r="O140" s="6" t="inlineStr">
        <is>
          <t>https://www.linkedin.com/in/hachem-domloj/</t>
        </is>
      </c>
      <c r="P140" s="12" t="inlineStr"/>
      <c r="Q140" s="16">
        <f>IF(O140="","ADD LINKEDIN","ok")</f>
        <v/>
      </c>
      <c r="R140" s="12" t="inlineStr">
        <is>
          <t>https://cive.com/</t>
        </is>
      </c>
      <c r="S140" s="15" t="inlineStr">
        <is>
          <t>It has the technical staff to run a machine, but each design-build project is different and no annual project figure is published.</t>
        </is>
      </c>
      <c r="T140" s="12" t="inlineStr">
        <is>
          <t>YES</t>
        </is>
      </c>
      <c r="U140" s="15" t="inlineStr">
        <is>
          <t>Headline confirms title. Houston, Texas.</t>
        </is>
      </c>
      <c r="V140" s="12" t="inlineStr"/>
      <c r="W140" s="12" t="inlineStr"/>
      <c r="X140" s="12" t="inlineStr"/>
      <c r="Y140" s="12" t="inlineStr">
        <is>
          <t>2025-03 Construction In Focus. CIVE, Construction and Design at their Finest  https://constructioninfocus.com/2025/03/cive-construction-and-design-at-their-finest/</t>
        </is>
      </c>
      <c r="Z140" s="12" t="inlineStr">
        <is>
          <t>(281) 870-8727</t>
        </is>
      </c>
      <c r="AA140" s="12" t="inlineStr"/>
      <c r="AB140" s="12" t="inlineStr">
        <is>
          <t>https://cive.com/</t>
        </is>
      </c>
      <c r="AC140" s="12" t="inlineStr"/>
      <c r="AD140" s="12" t="inlineStr"/>
    </row>
    <row r="141">
      <c r="A141" s="6" t="inlineStr">
        <is>
          <t>Hikmat Zerbe</t>
        </is>
      </c>
      <c r="B141" s="6" t="inlineStr">
        <is>
          <t>CIVE</t>
        </is>
      </c>
      <c r="C141" s="6" t="inlineStr">
        <is>
          <t>Head of Structural Engineering</t>
        </is>
      </c>
      <c r="D141" s="7" t="inlineStr">
        <is>
          <t>Builds the wall, not the house</t>
        </is>
      </c>
      <c r="E141" s="8" t="n">
        <v>3</v>
      </c>
      <c r="F141" s="6" t="inlineStr">
        <is>
          <t>Buys walls</t>
        </is>
      </c>
      <c r="G141" s="6" t="inlineStr">
        <is>
          <t>Houston, Harris</t>
        </is>
      </c>
      <c r="H141" s="6" t="inlineStr">
        <is>
          <t>Engineer and design-build partner on the printed house in Spring Branch</t>
        </is>
      </c>
      <c r="I141" s="8" t="inlineStr">
        <is>
          <t>Partly</t>
        </is>
      </c>
      <c r="J141" s="9" t="inlineStr">
        <is>
          <t>Design-build projects, each one different.</t>
        </is>
      </c>
      <c r="K141" s="8" t="inlineStr">
        <is>
          <t>Partly</t>
        </is>
      </c>
      <c r="L141" s="9" t="inlineStr">
        <is>
          <t>No headcount, revenue or annual project figure published.</t>
        </is>
      </c>
      <c r="M141" s="8" t="inlineStr">
        <is>
          <t>Yes</t>
        </is>
      </c>
      <c r="N141" s="9" t="inlineStr">
        <is>
          <t>Delivered a printed house with a printing contractor. Publishes it on its site.</t>
        </is>
      </c>
      <c r="O141" s="6" t="inlineStr">
        <is>
          <t>https://www.linkedin.com/in/hikmat-zerbe-b3139669/</t>
        </is>
      </c>
      <c r="P141" s="6" t="inlineStr"/>
      <c r="Q141" s="11">
        <f>IF(O141="","ADD LINKEDIN","ok")</f>
        <v/>
      </c>
      <c r="R141" s="6" t="inlineStr">
        <is>
          <t>https://cive.com/</t>
        </is>
      </c>
      <c r="S141" s="9" t="inlineStr">
        <is>
          <t>It has the technical staff to run a machine, but each design-build project is different and no annual project figure is published.</t>
        </is>
      </c>
      <c r="T141" s="6" t="inlineStr"/>
      <c r="U141" s="9" t="inlineStr">
        <is>
          <t>Headline confirms title. Houston. Broadcast coverage quoted him on the printed house.</t>
        </is>
      </c>
      <c r="V141" s="6" t="inlineStr"/>
      <c r="W141" s="6" t="inlineStr"/>
      <c r="X141" s="6" t="inlineStr"/>
      <c r="Y141" s="6" t="inlineStr">
        <is>
          <t>2025-03 Construction In Focus. CIVE, Construction and Design at their Finest  https://constructioninfocus.com/2025/03/cive-construction-and-design-at-their-finest/</t>
        </is>
      </c>
      <c r="Z141" s="6" t="inlineStr">
        <is>
          <t>(281) 870-8727</t>
        </is>
      </c>
      <c r="AA141" s="6" t="inlineStr"/>
      <c r="AB141" s="6" t="inlineStr">
        <is>
          <t>https://cive.com/</t>
        </is>
      </c>
      <c r="AC141" s="6" t="inlineStr"/>
      <c r="AD141" s="6" t="inlineStr"/>
    </row>
    <row r="142">
      <c r="A142" s="12" t="inlineStr">
        <is>
          <t>Clemente Barrera</t>
        </is>
      </c>
      <c r="B142" s="12" t="inlineStr">
        <is>
          <t>CIVE</t>
        </is>
      </c>
      <c r="C142" s="12" t="inlineStr">
        <is>
          <t>Vice President of Construction</t>
        </is>
      </c>
      <c r="D142" s="13" t="inlineStr">
        <is>
          <t>Builds the wall, not the house</t>
        </is>
      </c>
      <c r="E142" s="14" t="n">
        <v>3</v>
      </c>
      <c r="F142" s="12" t="inlineStr">
        <is>
          <t>Buys walls</t>
        </is>
      </c>
      <c r="G142" s="12" t="inlineStr">
        <is>
          <t>Houston, Harris</t>
        </is>
      </c>
      <c r="H142" s="12" t="inlineStr">
        <is>
          <t>Engineer and design-build partner on the printed house in Spring Branch</t>
        </is>
      </c>
      <c r="I142" s="14" t="inlineStr">
        <is>
          <t>Partly</t>
        </is>
      </c>
      <c r="J142" s="15" t="inlineStr">
        <is>
          <t>Design-build projects, each one different.</t>
        </is>
      </c>
      <c r="K142" s="14" t="inlineStr">
        <is>
          <t>Partly</t>
        </is>
      </c>
      <c r="L142" s="15" t="inlineStr">
        <is>
          <t>No headcount, revenue or annual project figure published.</t>
        </is>
      </c>
      <c r="M142" s="14" t="inlineStr">
        <is>
          <t>Yes</t>
        </is>
      </c>
      <c r="N142" s="15" t="inlineStr">
        <is>
          <t>Delivered a printed house with a printing contractor. Publishes it on its site.</t>
        </is>
      </c>
      <c r="O142" s="10" t="inlineStr"/>
      <c r="P142" s="12">
        <f>HYPERLINK("https://www.linkedin.com/search/results/people/?keywords=Clemente%20Barrera%20CIVE","search")</f>
        <v/>
      </c>
      <c r="Q142" s="16">
        <f>IF(O142="","ADD LINKEDIN","ok")</f>
        <v/>
      </c>
      <c r="R142" s="12" t="inlineStr">
        <is>
          <t>https://cive.com/</t>
        </is>
      </c>
      <c r="S142" s="15" t="inlineStr">
        <is>
          <t>It has the technical staff to run a machine, but each design-build project is different and no annual project figure is published.</t>
        </is>
      </c>
      <c r="T142" s="12" t="inlineStr"/>
      <c r="U142" s="15" t="inlineStr">
        <is>
          <t>Headline confirms title. Houston, Texas.</t>
        </is>
      </c>
      <c r="V142" s="12" t="inlineStr"/>
      <c r="W142" s="12" t="inlineStr"/>
      <c r="X142" s="12" t="inlineStr"/>
      <c r="Y142" s="12" t="inlineStr">
        <is>
          <t>2025-03 Construction In Focus. CIVE, Construction and Design at their Finest  https://constructioninfocus.com/2025/03/cive-construction-and-design-at-their-finest/</t>
        </is>
      </c>
      <c r="Z142" s="12" t="inlineStr">
        <is>
          <t>(281) 870-8727</t>
        </is>
      </c>
      <c r="AA142" s="12" t="inlineStr"/>
      <c r="AB142" s="12" t="inlineStr">
        <is>
          <t>https://cive.com/</t>
        </is>
      </c>
      <c r="AC142" s="12" t="inlineStr"/>
      <c r="AD142" s="12" t="inlineStr"/>
    </row>
    <row r="143">
      <c r="A143" s="6" t="inlineStr">
        <is>
          <t>Kevin M. Camarata</t>
        </is>
      </c>
      <c r="B143" s="6" t="inlineStr">
        <is>
          <t>Camarata Masonry Systems</t>
        </is>
      </c>
      <c r="C143" s="6" t="inlineStr">
        <is>
          <t>Founder and Chief Executive Officer</t>
        </is>
      </c>
      <c r="D143" s="7" t="inlineStr">
        <is>
          <t>Builds the wall, not the house</t>
        </is>
      </c>
      <c r="E143" s="8" t="n">
        <v>3</v>
      </c>
      <c r="F143" s="6" t="inlineStr">
        <is>
          <t>Builds the wall</t>
        </is>
      </c>
      <c r="G143" s="6" t="inlineStr">
        <is>
          <t>Houston, West Hardy Road, with offices in Florida and North Carolina</t>
        </is>
      </c>
      <c r="H143" s="6" t="inlineStr">
        <is>
          <t>Publishes panelisation of stone and masonry</t>
        </is>
      </c>
      <c r="I143" s="8" t="inlineStr">
        <is>
          <t>Yes</t>
        </is>
      </c>
      <c r="J143" s="9" t="inlineStr">
        <is>
          <t>Repeat masonry and stone on institutional and commercial work in one metro.</t>
        </is>
      </c>
      <c r="K143" s="8" t="inlineStr">
        <is>
          <t>Partly</t>
        </is>
      </c>
      <c r="L143" s="9" t="inlineStr">
        <is>
          <t>More wall than one or two printers would cover. Multi-family is one sector of eight.</t>
        </is>
      </c>
      <c r="M143" s="8" t="inlineStr">
        <is>
          <t>Partly</t>
        </is>
      </c>
      <c r="N143" s="9" t="inlineStr">
        <is>
          <t>Panelising moves production into a shop. No record of adopting a new material.</t>
        </is>
      </c>
      <c r="O143" s="6" t="inlineStr">
        <is>
          <t>https://www.linkedin.com/in/kevin-camarata-6883731b9/</t>
        </is>
      </c>
      <c r="P143" s="6" t="inlineStr"/>
      <c r="Q143" s="11">
        <f>IF(O143="","ADD LINKEDIN","ok")</f>
        <v/>
      </c>
      <c r="R143" s="6" t="inlineStr">
        <is>
          <t>http://www.camaratamasonry.com/</t>
        </is>
      </c>
      <c r="S143" s="9" t="inlineStr">
        <is>
          <t>Panelising already moves its production into a shop, but multi-family is one of eight sectors it works.</t>
        </is>
      </c>
      <c r="T143" s="6" t="inlineStr">
        <is>
          <t>YES</t>
        </is>
      </c>
      <c r="U143" s="9" t="inlineStr">
        <is>
          <t>AGC Houston and his profile headline give chief executive. Chairs the Natural Stone Foundation.</t>
        </is>
      </c>
      <c r="V143" s="6" t="inlineStr"/>
      <c r="W143" s="6" t="inlineStr"/>
      <c r="X143" s="6" t="inlineStr"/>
      <c r="Y143" s="6" t="inlineStr"/>
      <c r="Z143" s="6" t="inlineStr">
        <is>
          <t>(281) 876-1111</t>
        </is>
      </c>
      <c r="AA143" s="6" t="inlineStr">
        <is>
          <t>main</t>
        </is>
      </c>
      <c r="AB143" s="6" t="inlineStr">
        <is>
          <t>http://www.camaratamasonry.com/</t>
        </is>
      </c>
      <c r="AC143" s="6" t="inlineStr"/>
      <c r="AD143" s="6" t="inlineStr"/>
    </row>
    <row r="144">
      <c r="A144" s="12" t="inlineStr">
        <is>
          <t>Hussein Sinjari</t>
        </is>
      </c>
      <c r="B144" s="12" t="inlineStr">
        <is>
          <t>Legacy Precast</t>
        </is>
      </c>
      <c r="C144" s="12" t="inlineStr">
        <is>
          <t>Vice President</t>
        </is>
      </c>
      <c r="D144" s="13" t="inlineStr">
        <is>
          <t>Builds the wall, not the house</t>
        </is>
      </c>
      <c r="E144" s="14" t="n">
        <v>3</v>
      </c>
      <c r="F144" s="12" t="inlineStr">
        <is>
          <t>Builds the wall</t>
        </is>
      </c>
      <c r="G144" s="12" t="inlineStr">
        <is>
          <t>Brookshire, Waller County, about an hour from downtown Houston</t>
        </is>
      </c>
      <c r="H144" s="12" t="inlineStr">
        <is>
          <t>50-acre plant, batching well over 100 yards an hour</t>
        </is>
      </c>
      <c r="I144" s="14" t="inlineStr">
        <is>
          <t>Yes</t>
        </is>
      </c>
      <c r="J144" s="15" t="inlineStr">
        <is>
          <t>Eight certified product lines cast on the same beds in one plant.</t>
        </is>
      </c>
      <c r="K144" s="14" t="inlineStr">
        <is>
          <t>Partly</t>
        </is>
      </c>
      <c r="L144" s="15" t="inlineStr">
        <is>
          <t>Batches well over 100 yards an hour. A machine would be a line inside it.</t>
        </is>
      </c>
      <c r="M144" s="14" t="inlineStr">
        <is>
          <t>Partly</t>
        </is>
      </c>
      <c r="N144" s="15" t="inlineStr">
        <is>
          <t>Published EPDs in 2022 before any customer required them. An EPD is not a new way of building.</t>
        </is>
      </c>
      <c r="O144" s="6" t="inlineStr">
        <is>
          <t>https://www.linkedin.com/in/hussein-sinjari-53376545</t>
        </is>
      </c>
      <c r="P144" s="12" t="inlineStr"/>
      <c r="Q144" s="16">
        <f>IF(O144="","ADD LINKEDIN","ok")</f>
        <v/>
      </c>
      <c r="R144" s="12" t="inlineStr">
        <is>
          <t>https://www.legacyprecast.com/</t>
        </is>
      </c>
      <c r="S144" s="15" t="inlineStr">
        <is>
          <t>It already casts structural wall off site, but a printer would be one line inside it.</t>
        </is>
      </c>
      <c r="T144" s="12" t="inlineStr">
        <is>
          <t>YES</t>
        </is>
      </c>
      <c r="U144" s="15" t="inlineStr">
        <is>
          <t>Contact page. No president, owner or founder published. Highest rank disclosed.</t>
        </is>
      </c>
      <c r="V144" s="12" t="inlineStr"/>
      <c r="W144" s="12" t="inlineStr"/>
      <c r="X144" s="12" t="inlineStr"/>
      <c r="Y144" s="12" t="inlineStr"/>
      <c r="Z144" s="12" t="inlineStr">
        <is>
          <t>(281) 375-2050</t>
        </is>
      </c>
      <c r="AA144" s="12" t="inlineStr">
        <is>
          <t>direct line</t>
        </is>
      </c>
      <c r="AB144" s="12" t="inlineStr">
        <is>
          <t>https://www.legacyprecast.com/contact-us</t>
        </is>
      </c>
      <c r="AC144" s="12" t="inlineStr"/>
      <c r="AD144" s="12" t="inlineStr"/>
    </row>
    <row r="145">
      <c r="A145" s="6" t="inlineStr">
        <is>
          <t>Charles Franke</t>
        </is>
      </c>
      <c r="B145" s="6" t="inlineStr">
        <is>
          <t>Legacy Precast</t>
        </is>
      </c>
      <c r="C145" s="6" t="inlineStr">
        <is>
          <t>Chief of Estimating</t>
        </is>
      </c>
      <c r="D145" s="7" t="inlineStr">
        <is>
          <t>Builds the wall, not the house</t>
        </is>
      </c>
      <c r="E145" s="8" t="n">
        <v>3</v>
      </c>
      <c r="F145" s="6" t="inlineStr">
        <is>
          <t>Builds the wall</t>
        </is>
      </c>
      <c r="G145" s="6" t="inlineStr">
        <is>
          <t>Brookshire, Waller County, about an hour from downtown Houston</t>
        </is>
      </c>
      <c r="H145" s="6" t="inlineStr">
        <is>
          <t>50-acre plant, batching well over 100 yards an hour</t>
        </is>
      </c>
      <c r="I145" s="8" t="inlineStr">
        <is>
          <t>Yes</t>
        </is>
      </c>
      <c r="J145" s="9" t="inlineStr">
        <is>
          <t>Eight certified product lines cast on the same beds in one plant.</t>
        </is>
      </c>
      <c r="K145" s="8" t="inlineStr">
        <is>
          <t>Partly</t>
        </is>
      </c>
      <c r="L145" s="9" t="inlineStr">
        <is>
          <t>Batches well over 100 yards an hour. A machine would be a line inside it.</t>
        </is>
      </c>
      <c r="M145" s="8" t="inlineStr">
        <is>
          <t>Partly</t>
        </is>
      </c>
      <c r="N145" s="9" t="inlineStr">
        <is>
          <t>Published EPDs in 2022 before any customer required them. An EPD is not a new way of building.</t>
        </is>
      </c>
      <c r="O145" s="10" t="inlineStr"/>
      <c r="P145" s="6" t="inlineStr"/>
      <c r="Q145" s="11">
        <f>IF(O145="","ADD LINKEDIN","ok")</f>
        <v/>
      </c>
      <c r="R145" s="6" t="inlineStr">
        <is>
          <t>https://www.legacyprecast.com/</t>
        </is>
      </c>
      <c r="S145" s="9" t="inlineStr">
        <is>
          <t>It already casts structural wall off site, but a printer would be one line inside it.</t>
        </is>
      </c>
      <c r="T145" s="6" t="inlineStr"/>
      <c r="U145" s="9" t="inlineStr">
        <is>
          <t>Contact page.</t>
        </is>
      </c>
      <c r="V145" s="6" t="inlineStr">
        <is>
          <t>https://www.legacyprecast.com/contact-us</t>
        </is>
      </c>
      <c r="W145" s="6" t="inlineStr"/>
      <c r="X145" s="6" t="inlineStr"/>
      <c r="Y145" s="6" t="inlineStr"/>
      <c r="Z145" s="6" t="inlineStr">
        <is>
          <t>(281) 375-2050</t>
        </is>
      </c>
      <c r="AA145" s="6" t="inlineStr">
        <is>
          <t>direct line</t>
        </is>
      </c>
      <c r="AB145" s="6" t="inlineStr">
        <is>
          <t>https://www.legacyprecast.com/contact-us</t>
        </is>
      </c>
      <c r="AC145" s="6" t="inlineStr"/>
      <c r="AD145" s="6" t="inlineStr"/>
    </row>
    <row r="146">
      <c r="A146" s="12" t="inlineStr">
        <is>
          <t>Chris Richardson</t>
        </is>
      </c>
      <c r="B146" s="12" t="inlineStr">
        <is>
          <t>Blazer Building</t>
        </is>
      </c>
      <c r="C146" s="12" t="inlineStr">
        <is>
          <t>Founder</t>
        </is>
      </c>
      <c r="D146" s="13" t="inlineStr">
        <is>
          <t>Builds the wall, not the house</t>
        </is>
      </c>
      <c r="E146" s="14" t="n">
        <v>2</v>
      </c>
      <c r="F146" s="12" t="inlineStr">
        <is>
          <t>Builds the wall</t>
        </is>
      </c>
      <c r="G146" s="12" t="inlineStr">
        <is>
          <t>Houston, Harris, with Texas growth markets</t>
        </is>
      </c>
      <c r="H146" s="12" t="inlineStr">
        <is>
          <t>Over 44,000 apartment homes in 45-plus years</t>
        </is>
      </c>
      <c r="I146" s="14" t="inlineStr">
        <is>
          <t>Yes</t>
        </is>
      </c>
      <c r="J146" s="15" t="inlineStr">
        <is>
          <t>Garden-style and mid-rise buildings repeat across Texas markets.</t>
        </is>
      </c>
      <c r="K146" s="14" t="inlineStr">
        <is>
          <t>Partly</t>
        </is>
      </c>
      <c r="L146" s="15" t="inlineStr">
        <is>
          <t>Over 44,000 apartment homes in 45 years. A machine would sit with a subcontractor.</t>
        </is>
      </c>
      <c r="M146" s="14" t="inlineStr">
        <is>
          <t>No</t>
        </is>
      </c>
      <c r="N146" s="15" t="inlineStr">
        <is>
          <t>No method statement. Site lists building types only.</t>
        </is>
      </c>
      <c r="O146" s="10" t="inlineStr"/>
      <c r="P146" s="12" t="inlineStr"/>
      <c r="Q146" s="16">
        <f>IF(O146="","ADD LINKEDIN","ok")</f>
        <v/>
      </c>
      <c r="R146" s="12" t="inlineStr">
        <is>
          <t>https://www.blazerbuilding.com/</t>
        </is>
      </c>
      <c r="S146" s="15" t="inlineStr">
        <is>
          <t>It builds through trade partners rather than self-performing, so a machine would sit with a subcontractor.</t>
        </is>
      </c>
      <c r="T146" s="12" t="inlineStr"/>
      <c r="U146" s="15" t="inlineStr">
        <is>
          <t>Bio page: founded the company in 1978. Senior Leadership.</t>
        </is>
      </c>
      <c r="V146" s="12" t="inlineStr">
        <is>
          <t>https://www.blazerbuilding.com/team/chris-richardson/</t>
        </is>
      </c>
      <c r="W146" s="12" t="inlineStr"/>
      <c r="X146" s="12" t="inlineStr">
        <is>
          <t>https://www.blazerbuilding.com/who-we-are/</t>
        </is>
      </c>
      <c r="Y146" s="12" t="inlineStr"/>
      <c r="Z146" s="12" t="inlineStr">
        <is>
          <t>(713) 914-9200</t>
        </is>
      </c>
      <c r="AA146" s="12" t="inlineStr"/>
      <c r="AB146" s="12" t="inlineStr">
        <is>
          <t>https://www.blazerbuilding.com/</t>
        </is>
      </c>
      <c r="AC146" s="12" t="inlineStr"/>
      <c r="AD146" s="12" t="inlineStr"/>
    </row>
    <row r="147">
      <c r="A147" s="6" t="inlineStr">
        <is>
          <t>Chad Hillman</t>
        </is>
      </c>
      <c r="B147" s="6" t="inlineStr">
        <is>
          <t>Blazer Building</t>
        </is>
      </c>
      <c r="C147" s="6" t="inlineStr">
        <is>
          <t>President, Blazer Building Southwest</t>
        </is>
      </c>
      <c r="D147" s="7" t="inlineStr">
        <is>
          <t>Builds the wall, not the house</t>
        </is>
      </c>
      <c r="E147" s="8" t="n">
        <v>2</v>
      </c>
      <c r="F147" s="6" t="inlineStr">
        <is>
          <t>Builds the wall</t>
        </is>
      </c>
      <c r="G147" s="6" t="inlineStr">
        <is>
          <t>Houston, Harris, with Texas growth markets</t>
        </is>
      </c>
      <c r="H147" s="6" t="inlineStr">
        <is>
          <t>Over 44,000 apartment homes in 45-plus years</t>
        </is>
      </c>
      <c r="I147" s="8" t="inlineStr">
        <is>
          <t>Yes</t>
        </is>
      </c>
      <c r="J147" s="9" t="inlineStr">
        <is>
          <t>Garden-style and mid-rise buildings repeat across Texas markets.</t>
        </is>
      </c>
      <c r="K147" s="8" t="inlineStr">
        <is>
          <t>Partly</t>
        </is>
      </c>
      <c r="L147" s="9" t="inlineStr">
        <is>
          <t>Over 44,000 apartment homes in 45 years. A machine would sit with a subcontractor.</t>
        </is>
      </c>
      <c r="M147" s="8" t="inlineStr">
        <is>
          <t>No</t>
        </is>
      </c>
      <c r="N147" s="9" t="inlineStr">
        <is>
          <t>No method statement. Site lists building types only.</t>
        </is>
      </c>
      <c r="O147" s="10" t="inlineStr"/>
      <c r="P147" s="6" t="inlineStr"/>
      <c r="Q147" s="11">
        <f>IF(O147="","ADD LINKEDIN","ok")</f>
        <v/>
      </c>
      <c r="R147" s="6" t="inlineStr">
        <is>
          <t>https://www.blazerbuilding.com/</t>
        </is>
      </c>
      <c r="S147" s="9" t="inlineStr">
        <is>
          <t>It builds through trade partners rather than self-performing, so a machine would sit with a subcontractor.</t>
        </is>
      </c>
      <c r="T147" s="6" t="inlineStr"/>
      <c r="U147" s="9" t="inlineStr">
        <is>
          <t>Bio page. Runs operations, project management and finance. Formerly vice president of construction.</t>
        </is>
      </c>
      <c r="V147" s="6" t="inlineStr">
        <is>
          <t>https://www.blazerbuilding.com/team/chad-hillman/</t>
        </is>
      </c>
      <c r="W147" s="6" t="inlineStr"/>
      <c r="X147" s="6" t="inlineStr">
        <is>
          <t>https://www.blazerbuilding.com/who-we-are/</t>
        </is>
      </c>
      <c r="Y147" s="6" t="inlineStr"/>
      <c r="Z147" s="6" t="inlineStr">
        <is>
          <t>(713) 914-9200</t>
        </is>
      </c>
      <c r="AA147" s="6" t="inlineStr"/>
      <c r="AB147" s="6" t="inlineStr">
        <is>
          <t>https://www.blazerbuilding.com/</t>
        </is>
      </c>
      <c r="AC147" s="6" t="inlineStr"/>
      <c r="AD147" s="6" t="inlineStr"/>
    </row>
    <row r="148">
      <c r="A148" s="12" t="inlineStr">
        <is>
          <t>Matt Fuqua</t>
        </is>
      </c>
      <c r="B148" s="12" t="inlineStr">
        <is>
          <t>Blazer Building</t>
        </is>
      </c>
      <c r="C148" s="12" t="inlineStr">
        <is>
          <t>Business Development</t>
        </is>
      </c>
      <c r="D148" s="13" t="inlineStr">
        <is>
          <t>Builds the wall, not the house</t>
        </is>
      </c>
      <c r="E148" s="14" t="n">
        <v>2</v>
      </c>
      <c r="F148" s="12" t="inlineStr">
        <is>
          <t>Builds the wall</t>
        </is>
      </c>
      <c r="G148" s="12" t="inlineStr">
        <is>
          <t>Houston, Harris, with Texas growth markets</t>
        </is>
      </c>
      <c r="H148" s="12" t="inlineStr">
        <is>
          <t>Over 44,000 apartment homes in 45-plus years</t>
        </is>
      </c>
      <c r="I148" s="14" t="inlineStr">
        <is>
          <t>Yes</t>
        </is>
      </c>
      <c r="J148" s="15" t="inlineStr">
        <is>
          <t>Garden-style and mid-rise buildings repeat across Texas markets.</t>
        </is>
      </c>
      <c r="K148" s="14" t="inlineStr">
        <is>
          <t>Partly</t>
        </is>
      </c>
      <c r="L148" s="15" t="inlineStr">
        <is>
          <t>Over 44,000 apartment homes in 45 years. A machine would sit with a subcontractor.</t>
        </is>
      </c>
      <c r="M148" s="14" t="inlineStr">
        <is>
          <t>No</t>
        </is>
      </c>
      <c r="N148" s="15" t="inlineStr">
        <is>
          <t>No method statement. Site lists building types only.</t>
        </is>
      </c>
      <c r="O148" s="10" t="inlineStr"/>
      <c r="P148" s="12" t="inlineStr"/>
      <c r="Q148" s="16">
        <f>IF(O148="","ADD LINKEDIN","ok")</f>
        <v/>
      </c>
      <c r="R148" s="12" t="inlineStr">
        <is>
          <t>https://www.blazerbuilding.com/</t>
        </is>
      </c>
      <c r="S148" s="15" t="inlineStr">
        <is>
          <t>It builds through trade partners rather than self-performing, so a machine would sit with a subcontractor.</t>
        </is>
      </c>
      <c r="T148" s="12" t="inlineStr"/>
      <c r="U148" s="15" t="inlineStr">
        <is>
          <t>Bio page. Affordable, conventional multi-family and active adult housing. Over twenty years there.</t>
        </is>
      </c>
      <c r="V148" s="12" t="inlineStr">
        <is>
          <t>https://www.blazerbuilding.com/team/matt-fuqua/</t>
        </is>
      </c>
      <c r="W148" s="12" t="inlineStr"/>
      <c r="X148" s="12" t="inlineStr">
        <is>
          <t>https://www.blazerbuilding.com/who-we-are/</t>
        </is>
      </c>
      <c r="Y148" s="12" t="inlineStr"/>
      <c r="Z148" s="12" t="inlineStr">
        <is>
          <t>(713) 914-9200</t>
        </is>
      </c>
      <c r="AA148" s="12" t="inlineStr"/>
      <c r="AB148" s="12" t="inlineStr">
        <is>
          <t>https://www.blazerbuilding.com/</t>
        </is>
      </c>
      <c r="AC148" s="12" t="inlineStr"/>
      <c r="AD148" s="12" t="inlineStr"/>
    </row>
    <row r="149">
      <c r="A149" s="6" t="inlineStr">
        <is>
          <t>Brian Henderson</t>
        </is>
      </c>
      <c r="B149" s="6" t="inlineStr">
        <is>
          <t>Blazer Building</t>
        </is>
      </c>
      <c r="C149" s="6" t="inlineStr">
        <is>
          <t>Vice President of Construction</t>
        </is>
      </c>
      <c r="D149" s="7" t="inlineStr">
        <is>
          <t>Builds the wall, not the house</t>
        </is>
      </c>
      <c r="E149" s="8" t="n">
        <v>2</v>
      </c>
      <c r="F149" s="6" t="inlineStr">
        <is>
          <t>Builds the wall</t>
        </is>
      </c>
      <c r="G149" s="6" t="inlineStr">
        <is>
          <t>Houston, Harris, with Texas growth markets</t>
        </is>
      </c>
      <c r="H149" s="6" t="inlineStr">
        <is>
          <t>Over 44,000 apartment homes in 45-plus years</t>
        </is>
      </c>
      <c r="I149" s="8" t="inlineStr">
        <is>
          <t>Yes</t>
        </is>
      </c>
      <c r="J149" s="9" t="inlineStr">
        <is>
          <t>Garden-style and mid-rise buildings repeat across Texas markets.</t>
        </is>
      </c>
      <c r="K149" s="8" t="inlineStr">
        <is>
          <t>Partly</t>
        </is>
      </c>
      <c r="L149" s="9" t="inlineStr">
        <is>
          <t>Over 44,000 apartment homes in 45 years. A machine would sit with a subcontractor.</t>
        </is>
      </c>
      <c r="M149" s="8" t="inlineStr">
        <is>
          <t>No</t>
        </is>
      </c>
      <c r="N149" s="9" t="inlineStr">
        <is>
          <t>No method statement. Site lists building types only.</t>
        </is>
      </c>
      <c r="O149" s="10" t="inlineStr"/>
      <c r="P149" s="6" t="inlineStr"/>
      <c r="Q149" s="11">
        <f>IF(O149="","ADD LINKEDIN","ok")</f>
        <v/>
      </c>
      <c r="R149" s="6" t="inlineStr">
        <is>
          <t>https://www.blazerbuilding.com/</t>
        </is>
      </c>
      <c r="S149" s="9" t="inlineStr">
        <is>
          <t>It builds through trade partners rather than self-performing, so a machine would sit with a subcontractor.</t>
        </is>
      </c>
      <c r="T149" s="6" t="inlineStr"/>
      <c r="U149" s="9" t="inlineStr">
        <is>
          <t>Bio page. Joined 2014 as assistant superintendent. Listed under Senior Leadership and Construction Supervision.</t>
        </is>
      </c>
      <c r="V149" s="6" t="inlineStr">
        <is>
          <t>https://www.blazerbuilding.com/team/brian-henderson/</t>
        </is>
      </c>
      <c r="W149" s="6" t="inlineStr"/>
      <c r="X149" s="6" t="inlineStr">
        <is>
          <t>https://www.blazerbuilding.com/who-we-are/</t>
        </is>
      </c>
      <c r="Y149" s="6" t="inlineStr"/>
      <c r="Z149" s="6" t="inlineStr">
        <is>
          <t>(713) 914-9200</t>
        </is>
      </c>
      <c r="AA149" s="6" t="inlineStr"/>
      <c r="AB149" s="6" t="inlineStr">
        <is>
          <t>https://www.blazerbuilding.com/</t>
        </is>
      </c>
      <c r="AC149" s="6" t="inlineStr"/>
      <c r="AD149" s="6" t="inlineStr"/>
    </row>
    <row r="150">
      <c r="A150" s="12" t="inlineStr">
        <is>
          <t>Jeff Oliver</t>
        </is>
      </c>
      <c r="B150" s="12" t="inlineStr">
        <is>
          <t>Builders FirstSource</t>
        </is>
      </c>
      <c r="C150" s="12" t="inlineStr">
        <is>
          <t>Director of Truss and Wall Panels</t>
        </is>
      </c>
      <c r="D150" s="13" t="inlineStr">
        <is>
          <t>Builds the wall, not the house</t>
        </is>
      </c>
      <c r="E150" s="14" t="n">
        <v>2</v>
      </c>
      <c r="F150" s="12" t="inlineStr">
        <is>
          <t>Builds the wall</t>
        </is>
      </c>
      <c r="G150" s="12" t="inlineStr">
        <is>
          <t>Four Houston-area component plants: Conroe, Cut N Shoot, East Houston and Houston</t>
        </is>
      </c>
      <c r="H150" s="12" t="inlineStr">
        <is>
          <t>Four Houston-area component plants</t>
        </is>
      </c>
      <c r="I150" s="14" t="inlineStr">
        <is>
          <t>Yes</t>
        </is>
      </c>
      <c r="J150" s="15" t="inlineStr">
        <is>
          <t>Four Houston-area plants making wall panels and components repeatedly for production builders.</t>
        </is>
      </c>
      <c r="K150" s="14" t="inlineStr">
        <is>
          <t>No</t>
        </is>
      </c>
      <c r="L150" s="15" t="inlineStr">
        <is>
          <t>Four plants among 570 locations, beyond one or two printers. Purchasing sits at a national desk.</t>
        </is>
      </c>
      <c r="M150" s="14" t="inlineStr">
        <is>
          <t>Partly</t>
        </is>
      </c>
      <c r="N150" s="15" t="inlineStr">
        <is>
          <t>Runs automated robotic truss lines. Robotic trusses improve framing without replacing it.</t>
        </is>
      </c>
      <c r="O150" s="6" t="inlineStr">
        <is>
          <t>https://www.linkedin.com/in/jeff-oliver-ab686814/</t>
        </is>
      </c>
      <c r="P150" s="12" t="inlineStr"/>
      <c r="Q150" s="16">
        <f>IF(O150="","ADD LINKEDIN","ok")</f>
        <v/>
      </c>
      <c r="R150" s="12" t="inlineStr">
        <is>
          <t>https://www.bldr.com/</t>
        </is>
      </c>
      <c r="S150" s="15" t="inlineStr">
        <is>
          <t>Its scale is far beyond what one or two printers would cover, and purchasing sits at a national desk.</t>
        </is>
      </c>
      <c r="T150" s="12" t="inlineStr"/>
      <c r="U150" s="15" t="inlineStr">
        <is>
          <t>Profile headline shows no geography. Houston plants may not sit under him.</t>
        </is>
      </c>
      <c r="V150" s="12" t="inlineStr"/>
      <c r="W150" s="12" t="inlineStr"/>
      <c r="X150" s="12" t="inlineStr"/>
      <c r="Y150" s="12" t="inlineStr"/>
      <c r="Z150" s="12" t="inlineStr">
        <is>
          <t>(936) 703-2950</t>
        </is>
      </c>
      <c r="AA150" s="12" t="inlineStr">
        <is>
          <t>Cut N Shoot plant</t>
        </is>
      </c>
      <c r="AB150" s="12" t="inlineStr">
        <is>
          <t>https://www.bldr.com/location/cut-n-shoot-tx-truss/CUTNTXMF</t>
        </is>
      </c>
      <c r="AC150" s="12" t="inlineStr"/>
      <c r="AD150" s="12" t="inlineStr"/>
    </row>
    <row r="151">
      <c r="A151" s="6" t="inlineStr">
        <is>
          <t>Paul McCurdy</t>
        </is>
      </c>
      <c r="B151" s="6" t="inlineStr">
        <is>
          <t>City Masonry</t>
        </is>
      </c>
      <c r="C151" s="6" t="inlineStr">
        <is>
          <t>Chief Executive Officer</t>
        </is>
      </c>
      <c r="D151" s="7" t="inlineStr">
        <is>
          <t>Builds the wall, not the house</t>
        </is>
      </c>
      <c r="E151" s="8" t="n">
        <v>2</v>
      </c>
      <c r="F151" s="6" t="inlineStr">
        <is>
          <t>Builds the wall</t>
        </is>
      </c>
      <c r="G151" s="6" t="inlineStr">
        <is>
          <t>Tomball, serving Texas and the Gulf Coast</t>
        </is>
      </c>
      <c r="H151" s="6" t="inlineStr">
        <is>
          <t>Over 4 million square feet of masonry in one year, on its own count</t>
        </is>
      </c>
      <c r="I151" s="8" t="inlineStr">
        <is>
          <t>Yes</t>
        </is>
      </c>
      <c r="J151" s="9" t="inlineStr">
        <is>
          <t>Same trade repeated across one region.</t>
        </is>
      </c>
      <c r="K151" s="8" t="inlineStr">
        <is>
          <t>Partly</t>
        </is>
      </c>
      <c r="L151" s="9" t="inlineStr">
        <is>
          <t>More wall than one or two printers would cover.</t>
        </is>
      </c>
      <c r="M151" s="8" t="inlineStr">
        <is>
          <t>No</t>
        </is>
      </c>
      <c r="N151" s="9" t="inlineStr">
        <is>
          <t>No record of an unproven method. Published focus: craft and workforce training.</t>
        </is>
      </c>
      <c r="O151" s="10" t="inlineStr"/>
      <c r="P151" s="6" t="inlineStr"/>
      <c r="Q151" s="11">
        <f>IF(O151="","ADD LINKEDIN","ok")</f>
        <v/>
      </c>
      <c r="R151" s="6" t="inlineStr">
        <is>
          <t>https://www.citymasonry.com/</t>
        </is>
      </c>
      <c r="S151" s="9" t="inlineStr">
        <is>
          <t>It lays load-bearing masonry as well as veneer, but its volume is more wall than one or two printers would cover.</t>
        </is>
      </c>
      <c r="T151" s="6" t="inlineStr">
        <is>
          <t>YES</t>
        </is>
      </c>
      <c r="U151" s="9" t="inlineStr">
        <is>
          <t>Team page. Associated Masonry Contractors of Houston lists him as principal contact.</t>
        </is>
      </c>
      <c r="V151" s="6" t="inlineStr">
        <is>
          <t>https://www.citymasonry.com/team/</t>
        </is>
      </c>
      <c r="W151" s="6" t="inlineStr"/>
      <c r="X151" s="6" t="inlineStr"/>
      <c r="Y151" s="6" t="inlineStr"/>
      <c r="Z151" s="6" t="inlineStr">
        <is>
          <t>(713) 691-1000</t>
        </is>
      </c>
      <c r="AA151" s="6" t="inlineStr">
        <is>
          <t>main office</t>
        </is>
      </c>
      <c r="AB151" s="6" t="inlineStr">
        <is>
          <t>https://www.citymasonry.com/contact-us/</t>
        </is>
      </c>
      <c r="AC151" s="6" t="inlineStr"/>
      <c r="AD151" s="6" t="inlineStr"/>
    </row>
    <row r="152">
      <c r="A152" s="12" t="inlineStr">
        <is>
          <t>Glenn Whitehead</t>
        </is>
      </c>
      <c r="B152" s="12" t="inlineStr">
        <is>
          <t>City Masonry</t>
        </is>
      </c>
      <c r="C152" s="12" t="inlineStr">
        <is>
          <t>Chief Operating Officer</t>
        </is>
      </c>
      <c r="D152" s="13" t="inlineStr">
        <is>
          <t>Builds the wall, not the house</t>
        </is>
      </c>
      <c r="E152" s="14" t="n">
        <v>2</v>
      </c>
      <c r="F152" s="12" t="inlineStr">
        <is>
          <t>Builds the wall</t>
        </is>
      </c>
      <c r="G152" s="12" t="inlineStr">
        <is>
          <t>Tomball, serving Texas and the Gulf Coast</t>
        </is>
      </c>
      <c r="H152" s="12" t="inlineStr">
        <is>
          <t>Over 4 million square feet of masonry in one year, on its own count</t>
        </is>
      </c>
      <c r="I152" s="14" t="inlineStr">
        <is>
          <t>Yes</t>
        </is>
      </c>
      <c r="J152" s="15" t="inlineStr">
        <is>
          <t>Same trade repeated across one region.</t>
        </is>
      </c>
      <c r="K152" s="14" t="inlineStr">
        <is>
          <t>Partly</t>
        </is>
      </c>
      <c r="L152" s="15" t="inlineStr">
        <is>
          <t>More wall than one or two printers would cover.</t>
        </is>
      </c>
      <c r="M152" s="14" t="inlineStr">
        <is>
          <t>No</t>
        </is>
      </c>
      <c r="N152" s="15" t="inlineStr">
        <is>
          <t>No record of an unproven method. Published focus: craft and workforce training.</t>
        </is>
      </c>
      <c r="O152" s="10" t="inlineStr"/>
      <c r="P152" s="12" t="inlineStr"/>
      <c r="Q152" s="16">
        <f>IF(O152="","ADD LINKEDIN","ok")</f>
        <v/>
      </c>
      <c r="R152" s="12" t="inlineStr">
        <is>
          <t>https://www.citymasonry.com/</t>
        </is>
      </c>
      <c r="S152" s="15" t="inlineStr">
        <is>
          <t>It lays load-bearing masonry as well as veneer, but its volume is more wall than one or two printers would cover.</t>
        </is>
      </c>
      <c r="T152" s="12" t="inlineStr"/>
      <c r="U152" s="15" t="inlineStr"/>
      <c r="V152" s="12" t="inlineStr">
        <is>
          <t>https://www.citymasonry.com/team/</t>
        </is>
      </c>
      <c r="W152" s="12" t="inlineStr"/>
      <c r="X152" s="12" t="inlineStr"/>
      <c r="Y152" s="12" t="inlineStr"/>
      <c r="Z152" s="12" t="inlineStr">
        <is>
          <t>(713) 691-1000</t>
        </is>
      </c>
      <c r="AA152" s="12" t="inlineStr">
        <is>
          <t>main office</t>
        </is>
      </c>
      <c r="AB152" s="12" t="inlineStr">
        <is>
          <t>https://www.citymasonry.com/contact-us/</t>
        </is>
      </c>
      <c r="AC152" s="12" t="inlineStr"/>
      <c r="AD152" s="12" t="inlineStr"/>
    </row>
    <row r="153">
      <c r="A153" s="6" t="inlineStr">
        <is>
          <t>Edwin Rosales</t>
        </is>
      </c>
      <c r="B153" s="6" t="inlineStr">
        <is>
          <t>City Masonry</t>
        </is>
      </c>
      <c r="C153" s="6" t="inlineStr">
        <is>
          <t>Vice President of Operations</t>
        </is>
      </c>
      <c r="D153" s="7" t="inlineStr">
        <is>
          <t>Builds the wall, not the house</t>
        </is>
      </c>
      <c r="E153" s="8" t="n">
        <v>2</v>
      </c>
      <c r="F153" s="6" t="inlineStr">
        <is>
          <t>Builds the wall</t>
        </is>
      </c>
      <c r="G153" s="6" t="inlineStr">
        <is>
          <t>Tomball, serving Texas and the Gulf Coast</t>
        </is>
      </c>
      <c r="H153" s="6" t="inlineStr">
        <is>
          <t>Over 4 million square feet of masonry in one year, on its own count</t>
        </is>
      </c>
      <c r="I153" s="8" t="inlineStr">
        <is>
          <t>Yes</t>
        </is>
      </c>
      <c r="J153" s="9" t="inlineStr">
        <is>
          <t>Same trade repeated across one region.</t>
        </is>
      </c>
      <c r="K153" s="8" t="inlineStr">
        <is>
          <t>Partly</t>
        </is>
      </c>
      <c r="L153" s="9" t="inlineStr">
        <is>
          <t>More wall than one or two printers would cover.</t>
        </is>
      </c>
      <c r="M153" s="8" t="inlineStr">
        <is>
          <t>No</t>
        </is>
      </c>
      <c r="N153" s="9" t="inlineStr">
        <is>
          <t>No record of an unproven method. Published focus: craft and workforce training.</t>
        </is>
      </c>
      <c r="O153" s="10" t="inlineStr"/>
      <c r="P153" s="6" t="inlineStr"/>
      <c r="Q153" s="11">
        <f>IF(O153="","ADD LINKEDIN","ok")</f>
        <v/>
      </c>
      <c r="R153" s="6" t="inlineStr">
        <is>
          <t>https://www.citymasonry.com/</t>
        </is>
      </c>
      <c r="S153" s="9" t="inlineStr">
        <is>
          <t>It lays load-bearing masonry as well as veneer, but its volume is more wall than one or two printers would cover.</t>
        </is>
      </c>
      <c r="T153" s="6" t="inlineStr"/>
      <c r="U153" s="9" t="inlineStr"/>
      <c r="V153" s="6" t="inlineStr">
        <is>
          <t>https://www.citymasonry.com/team/</t>
        </is>
      </c>
      <c r="W153" s="6" t="inlineStr"/>
      <c r="X153" s="6" t="inlineStr"/>
      <c r="Y153" s="6" t="inlineStr"/>
      <c r="Z153" s="6" t="inlineStr">
        <is>
          <t>(713) 691-1000</t>
        </is>
      </c>
      <c r="AA153" s="6" t="inlineStr">
        <is>
          <t>main office</t>
        </is>
      </c>
      <c r="AB153" s="6" t="inlineStr">
        <is>
          <t>https://www.citymasonry.com/contact-us/</t>
        </is>
      </c>
      <c r="AC153" s="6" t="inlineStr"/>
      <c r="AD153" s="6" t="inlineStr"/>
    </row>
    <row r="154">
      <c r="A154" s="12" t="inlineStr">
        <is>
          <t>Brad Burrows</t>
        </is>
      </c>
      <c r="B154" s="12" t="inlineStr">
        <is>
          <t>City Masonry</t>
        </is>
      </c>
      <c r="C154" s="12" t="inlineStr">
        <is>
          <t>Chief Financial Officer</t>
        </is>
      </c>
      <c r="D154" s="13" t="inlineStr">
        <is>
          <t>Builds the wall, not the house</t>
        </is>
      </c>
      <c r="E154" s="14" t="n">
        <v>2</v>
      </c>
      <c r="F154" s="12" t="inlineStr">
        <is>
          <t>Builds the wall</t>
        </is>
      </c>
      <c r="G154" s="12" t="inlineStr">
        <is>
          <t>Tomball, serving Texas and the Gulf Coast</t>
        </is>
      </c>
      <c r="H154" s="12" t="inlineStr">
        <is>
          <t>Over 4 million square feet of masonry in one year, on its own count</t>
        </is>
      </c>
      <c r="I154" s="14" t="inlineStr">
        <is>
          <t>Yes</t>
        </is>
      </c>
      <c r="J154" s="15" t="inlineStr">
        <is>
          <t>Same trade repeated across one region.</t>
        </is>
      </c>
      <c r="K154" s="14" t="inlineStr">
        <is>
          <t>Partly</t>
        </is>
      </c>
      <c r="L154" s="15" t="inlineStr">
        <is>
          <t>More wall than one or two printers would cover.</t>
        </is>
      </c>
      <c r="M154" s="14" t="inlineStr">
        <is>
          <t>No</t>
        </is>
      </c>
      <c r="N154" s="15" t="inlineStr">
        <is>
          <t>No record of an unproven method. Published focus: craft and workforce training.</t>
        </is>
      </c>
      <c r="O154" s="10" t="inlineStr"/>
      <c r="P154" s="12" t="inlineStr"/>
      <c r="Q154" s="16">
        <f>IF(O154="","ADD LINKEDIN","ok")</f>
        <v/>
      </c>
      <c r="R154" s="12" t="inlineStr">
        <is>
          <t>https://www.citymasonry.com/</t>
        </is>
      </c>
      <c r="S154" s="15" t="inlineStr">
        <is>
          <t>It lays load-bearing masonry as well as veneer, but its volume is more wall than one or two printers would cover.</t>
        </is>
      </c>
      <c r="T154" s="12" t="inlineStr"/>
      <c r="U154" s="15" t="inlineStr"/>
      <c r="V154" s="12" t="inlineStr">
        <is>
          <t>https://www.citymasonry.com/team/</t>
        </is>
      </c>
      <c r="W154" s="12" t="inlineStr"/>
      <c r="X154" s="12" t="inlineStr"/>
      <c r="Y154" s="12" t="inlineStr"/>
      <c r="Z154" s="12" t="inlineStr">
        <is>
          <t>(713) 691-1000</t>
        </is>
      </c>
      <c r="AA154" s="12" t="inlineStr">
        <is>
          <t>main office</t>
        </is>
      </c>
      <c r="AB154" s="12" t="inlineStr">
        <is>
          <t>https://www.citymasonry.com/contact-us/</t>
        </is>
      </c>
      <c r="AC154" s="12" t="inlineStr"/>
      <c r="AD154" s="12" t="inlineStr"/>
    </row>
    <row r="155">
      <c r="A155" s="6" t="inlineStr">
        <is>
          <t>Bruce Wardlaw</t>
        </is>
      </c>
      <c r="B155" s="6" t="inlineStr">
        <is>
          <t>Coreslab Structures (Texas)</t>
        </is>
      </c>
      <c r="C155" s="6" t="inlineStr">
        <is>
          <t>Project Consultant, Houston, East Texas and Multifamily</t>
        </is>
      </c>
      <c r="D155" s="7" t="inlineStr">
        <is>
          <t>Builds the wall, not the house</t>
        </is>
      </c>
      <c r="E155" s="8" t="n">
        <v>2</v>
      </c>
      <c r="F155" s="6" t="inlineStr">
        <is>
          <t>Builds the wall</t>
        </is>
      </c>
      <c r="G155" s="6" t="inlineStr">
        <is>
          <t>Cedar Park plant, with a project consultant covering Houston</t>
        </is>
      </c>
      <c r="H155" s="6" t="inlineStr">
        <is>
          <t>The group's only Texas plant</t>
        </is>
      </c>
      <c r="I155" s="8" t="inlineStr">
        <is>
          <t>Yes</t>
        </is>
      </c>
      <c r="J155" s="9" t="inlineStr">
        <is>
          <t>Since 1988, architectural and structural products cast repeatedly from one Texas plant.</t>
        </is>
      </c>
      <c r="K155" s="8" t="inlineStr">
        <is>
          <t>Partly</t>
        </is>
      </c>
      <c r="L155" s="9" t="inlineStr">
        <is>
          <t>Larger than one or two printers would cover. Houston is a sales territory only.</t>
        </is>
      </c>
      <c r="M155" s="8" t="inlineStr">
        <is>
          <t>No</t>
        </is>
      </c>
      <c r="N155" s="9" t="inlineStr">
        <is>
          <t>No record of an unproven method.</t>
        </is>
      </c>
      <c r="O155" s="10" t="inlineStr"/>
      <c r="P155" s="6" t="inlineStr"/>
      <c r="Q155" s="11">
        <f>IF(O155="","ADD LINKEDIN","ok")</f>
        <v/>
      </c>
      <c r="R155" s="6" t="inlineStr">
        <is>
          <t>https://www.coreslab.com/locations/austin-texas-precast-concrete/</t>
        </is>
      </c>
      <c r="S155" s="9" t="inlineStr">
        <is>
          <t>Its staffing page names Houston and multifamily in one title, but Houston is a sales territory only.</t>
        </is>
      </c>
      <c r="T155" s="6" t="inlineStr"/>
      <c r="U155" s="9" t="inlineStr">
        <is>
          <t>Plant page.</t>
        </is>
      </c>
      <c r="V155" s="6" t="inlineStr">
        <is>
          <t>https://www.coreslab.com/locations/austin-texas-precast-concrete/</t>
        </is>
      </c>
      <c r="W155" s="6" t="inlineStr"/>
      <c r="X155" s="6" t="inlineStr"/>
      <c r="Y155" s="6" t="inlineStr"/>
      <c r="Z155" s="6" t="inlineStr">
        <is>
          <t>(512) 250-0755</t>
        </is>
      </c>
      <c r="AA155" s="6" t="inlineStr">
        <is>
          <t>main</t>
        </is>
      </c>
      <c r="AB155" s="6" t="inlineStr">
        <is>
          <t>https://www.coreslab.com/locations/austin-texas-precast-concrete/</t>
        </is>
      </c>
      <c r="AC155" s="6" t="inlineStr"/>
      <c r="AD155" s="6" t="inlineStr"/>
    </row>
    <row r="156">
      <c r="A156" s="12" t="inlineStr">
        <is>
          <t>Garrett Weidman, P.E.</t>
        </is>
      </c>
      <c r="B156" s="12" t="inlineStr">
        <is>
          <t>Coreslab Structures (Texas)</t>
        </is>
      </c>
      <c r="C156" s="12" t="inlineStr">
        <is>
          <t>Sales Manager</t>
        </is>
      </c>
      <c r="D156" s="13" t="inlineStr">
        <is>
          <t>Builds the wall, not the house</t>
        </is>
      </c>
      <c r="E156" s="14" t="n">
        <v>2</v>
      </c>
      <c r="F156" s="12" t="inlineStr">
        <is>
          <t>Builds the wall</t>
        </is>
      </c>
      <c r="G156" s="12" t="inlineStr">
        <is>
          <t>Cedar Park plant, with a project consultant covering Houston</t>
        </is>
      </c>
      <c r="H156" s="12" t="inlineStr">
        <is>
          <t>The group's only Texas plant</t>
        </is>
      </c>
      <c r="I156" s="14" t="inlineStr">
        <is>
          <t>Yes</t>
        </is>
      </c>
      <c r="J156" s="15" t="inlineStr">
        <is>
          <t>Since 1988, architectural and structural products cast repeatedly from one Texas plant.</t>
        </is>
      </c>
      <c r="K156" s="14" t="inlineStr">
        <is>
          <t>Partly</t>
        </is>
      </c>
      <c r="L156" s="15" t="inlineStr">
        <is>
          <t>Larger than one or two printers would cover. Houston is a sales territory only.</t>
        </is>
      </c>
      <c r="M156" s="14" t="inlineStr">
        <is>
          <t>No</t>
        </is>
      </c>
      <c r="N156" s="15" t="inlineStr">
        <is>
          <t>No record of an unproven method.</t>
        </is>
      </c>
      <c r="O156" s="10" t="inlineStr"/>
      <c r="P156" s="12" t="inlineStr"/>
      <c r="Q156" s="16">
        <f>IF(O156="","ADD LINKEDIN","ok")</f>
        <v/>
      </c>
      <c r="R156" s="12" t="inlineStr">
        <is>
          <t>https://www.coreslab.com/locations/austin-texas-precast-concrete/</t>
        </is>
      </c>
      <c r="S156" s="15" t="inlineStr">
        <is>
          <t>Its staffing page names Houston and multifamily in one title, but Houston is a sales territory only.</t>
        </is>
      </c>
      <c r="T156" s="12" t="inlineStr"/>
      <c r="U156" s="15" t="inlineStr">
        <is>
          <t>Plant page, with a direct line.</t>
        </is>
      </c>
      <c r="V156" s="12" t="inlineStr">
        <is>
          <t>https://www.coreslab.com/locations/austin-texas-precast-concrete/</t>
        </is>
      </c>
      <c r="W156" s="12" t="inlineStr"/>
      <c r="X156" s="12" t="inlineStr"/>
      <c r="Y156" s="12" t="inlineStr"/>
      <c r="Z156" s="12" t="inlineStr">
        <is>
          <t>(512) 250-0755</t>
        </is>
      </c>
      <c r="AA156" s="12" t="inlineStr">
        <is>
          <t>main</t>
        </is>
      </c>
      <c r="AB156" s="12" t="inlineStr">
        <is>
          <t>https://www.coreslab.com/locations/austin-texas-precast-concrete/</t>
        </is>
      </c>
      <c r="AC156" s="12" t="inlineStr"/>
      <c r="AD156" s="12" t="inlineStr"/>
    </row>
    <row r="157">
      <c r="A157" s="6" t="inlineStr">
        <is>
          <t>Robb Harrington</t>
        </is>
      </c>
      <c r="B157" s="6" t="inlineStr">
        <is>
          <t>Coreslab Structures (Texas)</t>
        </is>
      </c>
      <c r="C157" s="6" t="inlineStr">
        <is>
          <t>Project Consultant, Dallas-Fort Worth and North Texas</t>
        </is>
      </c>
      <c r="D157" s="7" t="inlineStr">
        <is>
          <t>Builds the wall, not the house</t>
        </is>
      </c>
      <c r="E157" s="8" t="n">
        <v>2</v>
      </c>
      <c r="F157" s="6" t="inlineStr">
        <is>
          <t>Builds the wall</t>
        </is>
      </c>
      <c r="G157" s="6" t="inlineStr">
        <is>
          <t>Cedar Park plant, with a project consultant covering Houston</t>
        </is>
      </c>
      <c r="H157" s="6" t="inlineStr">
        <is>
          <t>The group's only Texas plant</t>
        </is>
      </c>
      <c r="I157" s="8" t="inlineStr">
        <is>
          <t>Yes</t>
        </is>
      </c>
      <c r="J157" s="9" t="inlineStr">
        <is>
          <t>Since 1988, architectural and structural products cast repeatedly from one Texas plant.</t>
        </is>
      </c>
      <c r="K157" s="8" t="inlineStr">
        <is>
          <t>Partly</t>
        </is>
      </c>
      <c r="L157" s="9" t="inlineStr">
        <is>
          <t>Larger than one or two printers would cover. Houston is a sales territory only.</t>
        </is>
      </c>
      <c r="M157" s="8" t="inlineStr">
        <is>
          <t>No</t>
        </is>
      </c>
      <c r="N157" s="9" t="inlineStr">
        <is>
          <t>No record of an unproven method.</t>
        </is>
      </c>
      <c r="O157" s="10" t="inlineStr"/>
      <c r="P157" s="6" t="inlineStr"/>
      <c r="Q157" s="11">
        <f>IF(O157="","ADD LINKEDIN","ok")</f>
        <v/>
      </c>
      <c r="R157" s="6" t="inlineStr">
        <is>
          <t>https://www.coreslab.com/locations/austin-texas-precast-concrete/</t>
        </is>
      </c>
      <c r="S157" s="9" t="inlineStr">
        <is>
          <t>Its staffing page names Houston and multifamily in one title, but Houston is a sales territory only.</t>
        </is>
      </c>
      <c r="T157" s="6" t="inlineStr"/>
      <c r="U157" s="9" t="inlineStr">
        <is>
          <t>Plant page.</t>
        </is>
      </c>
      <c r="V157" s="6" t="inlineStr">
        <is>
          <t>https://www.coreslab.com/locations/austin-texas-precast-concrete/</t>
        </is>
      </c>
      <c r="W157" s="6" t="inlineStr"/>
      <c r="X157" s="6" t="inlineStr"/>
      <c r="Y157" s="6" t="inlineStr"/>
      <c r="Z157" s="6" t="inlineStr">
        <is>
          <t>(512) 250-0755</t>
        </is>
      </c>
      <c r="AA157" s="6" t="inlineStr">
        <is>
          <t>main</t>
        </is>
      </c>
      <c r="AB157" s="6" t="inlineStr">
        <is>
          <t>https://www.coreslab.com/locations/austin-texas-precast-concrete/</t>
        </is>
      </c>
      <c r="AC157" s="6" t="inlineStr"/>
      <c r="AD157" s="6" t="inlineStr"/>
    </row>
    <row r="158">
      <c r="A158" s="12" t="inlineStr">
        <is>
          <t>Trey Green</t>
        </is>
      </c>
      <c r="B158" s="12" t="inlineStr">
        <is>
          <t>Greco Structures</t>
        </is>
      </c>
      <c r="C158" s="12" t="inlineStr">
        <is>
          <t>Senior Vice President, Self Perform Group, Satterfield and Pontikes</t>
        </is>
      </c>
      <c r="D158" s="13" t="inlineStr">
        <is>
          <t>Builds the wall, not the house</t>
        </is>
      </c>
      <c r="E158" s="14" t="n">
        <v>2</v>
      </c>
      <c r="F158" s="12" t="inlineStr">
        <is>
          <t>Builds the wall</t>
        </is>
      </c>
      <c r="G158" s="12" t="inlineStr">
        <is>
          <t>Houston, working Harris and Fort Bend</t>
        </is>
      </c>
      <c r="H158" s="12" t="inlineStr">
        <is>
          <t>49 panels, tallest 52 feet 7 inches, on one job</t>
        </is>
      </c>
      <c r="I158" s="14" t="inlineStr">
        <is>
          <t>Yes</t>
        </is>
      </c>
      <c r="J158" s="15" t="inlineStr">
        <is>
          <t>Panel and deck work recurring across Houston projects.</t>
        </is>
      </c>
      <c r="K158" s="14" t="inlineStr">
        <is>
          <t>Partly</t>
        </is>
      </c>
      <c r="L158" s="15" t="inlineStr">
        <is>
          <t>No crew count or annual volume published. A purchase would clear through the parent's self-perform group.</t>
        </is>
      </c>
      <c r="M158" s="14" t="inlineStr">
        <is>
          <t>No</t>
        </is>
      </c>
      <c r="N158" s="15" t="inlineStr">
        <is>
          <t>No method statement.</t>
        </is>
      </c>
      <c r="O158" s="10" t="inlineStr"/>
      <c r="P158" s="12" t="inlineStr"/>
      <c r="Q158" s="16">
        <f>IF(O158="","ADD LINKEDIN","ok")</f>
        <v/>
      </c>
      <c r="R158" s="12" t="inlineStr">
        <is>
          <t>https://grecostructures.com/</t>
        </is>
      </c>
      <c r="S158" s="15" t="inlineStr">
        <is>
          <t>General contractors buy its work, and a purchase would clear through the parent's self-perform group.</t>
        </is>
      </c>
      <c r="T158" s="12" t="inlineStr">
        <is>
          <t>YES</t>
        </is>
      </c>
      <c r="U158" s="15" t="inlineStr">
        <is>
          <t>Parent's team page. Oversees Greco Structures, Rollcon, Rocket Pumping and Westway Construction.</t>
        </is>
      </c>
      <c r="V158" s="12" t="inlineStr">
        <is>
          <t>https://www.satpon.com/about/team/</t>
        </is>
      </c>
      <c r="W158" s="12" t="inlineStr"/>
      <c r="X158" s="12" t="inlineStr">
        <is>
          <t>https://www.satpon.com/about/team/</t>
        </is>
      </c>
      <c r="Y158" s="12" t="inlineStr"/>
      <c r="Z158" s="12" t="inlineStr">
        <is>
          <t>(713) 375-2380</t>
        </is>
      </c>
      <c r="AA158" s="12" t="inlineStr"/>
      <c r="AB158" s="12" t="inlineStr">
        <is>
          <t>https://grecostructures.com/contact/</t>
        </is>
      </c>
      <c r="AC158" s="12" t="inlineStr"/>
      <c r="AD158" s="12" t="inlineStr"/>
    </row>
    <row r="159">
      <c r="A159" s="6" t="inlineStr">
        <is>
          <t>George A. Pontikes Jr.</t>
        </is>
      </c>
      <c r="B159" s="6" t="inlineStr">
        <is>
          <t>Greco Structures</t>
        </is>
      </c>
      <c r="C159" s="6" t="inlineStr">
        <is>
          <t>Chief Executive Officer and Chairman, Satterfield and Pontikes</t>
        </is>
      </c>
      <c r="D159" s="7" t="inlineStr">
        <is>
          <t>Builds the wall, not the house</t>
        </is>
      </c>
      <c r="E159" s="8" t="n">
        <v>2</v>
      </c>
      <c r="F159" s="6" t="inlineStr">
        <is>
          <t>Builds the wall</t>
        </is>
      </c>
      <c r="G159" s="6" t="inlineStr">
        <is>
          <t>Houston, working Harris and Fort Bend</t>
        </is>
      </c>
      <c r="H159" s="6" t="inlineStr">
        <is>
          <t>49 panels, tallest 52 feet 7 inches, on one job</t>
        </is>
      </c>
      <c r="I159" s="8" t="inlineStr">
        <is>
          <t>Yes</t>
        </is>
      </c>
      <c r="J159" s="9" t="inlineStr">
        <is>
          <t>Panel and deck work recurring across Houston projects.</t>
        </is>
      </c>
      <c r="K159" s="8" t="inlineStr">
        <is>
          <t>Partly</t>
        </is>
      </c>
      <c r="L159" s="9" t="inlineStr">
        <is>
          <t>No crew count or annual volume published. A purchase would clear through the parent's self-perform group.</t>
        </is>
      </c>
      <c r="M159" s="8" t="inlineStr">
        <is>
          <t>No</t>
        </is>
      </c>
      <c r="N159" s="9" t="inlineStr">
        <is>
          <t>No method statement.</t>
        </is>
      </c>
      <c r="O159" s="10" t="inlineStr"/>
      <c r="P159" s="6" t="inlineStr"/>
      <c r="Q159" s="11">
        <f>IF(O159="","ADD LINKEDIN","ok")</f>
        <v/>
      </c>
      <c r="R159" s="6" t="inlineStr">
        <is>
          <t>https://grecostructures.com/</t>
        </is>
      </c>
      <c r="S159" s="9" t="inlineStr">
        <is>
          <t>General contractors buy its work, and a purchase would clear through the parent's self-perform group.</t>
        </is>
      </c>
      <c r="T159" s="6" t="inlineStr"/>
      <c r="U159" s="9" t="inlineStr">
        <is>
          <t>Parent's team page. Founded Satterfield and Pontikes with Tommy Satterfield in 1989.</t>
        </is>
      </c>
      <c r="V159" s="6" t="inlineStr">
        <is>
          <t>https://www.satpon.com/about/team/</t>
        </is>
      </c>
      <c r="W159" s="6" t="inlineStr"/>
      <c r="X159" s="6" t="inlineStr">
        <is>
          <t>https://www.satpon.com/about/team/</t>
        </is>
      </c>
      <c r="Y159" s="6" t="inlineStr"/>
      <c r="Z159" s="6" t="inlineStr">
        <is>
          <t>(713) 375-2380</t>
        </is>
      </c>
      <c r="AA159" s="6" t="inlineStr"/>
      <c r="AB159" s="6" t="inlineStr">
        <is>
          <t>https://grecostructures.com/contact/</t>
        </is>
      </c>
      <c r="AC159" s="6" t="inlineStr"/>
      <c r="AD159" s="6" t="inlineStr"/>
    </row>
    <row r="160">
      <c r="A160" s="12" t="inlineStr">
        <is>
          <t>Thomas Valentine</t>
        </is>
      </c>
      <c r="B160" s="12" t="inlineStr">
        <is>
          <t>Greco Structures</t>
        </is>
      </c>
      <c r="C160" s="12" t="inlineStr">
        <is>
          <t>Operations Manager</t>
        </is>
      </c>
      <c r="D160" s="13" t="inlineStr">
        <is>
          <t>Builds the wall, not the house</t>
        </is>
      </c>
      <c r="E160" s="14" t="n">
        <v>2</v>
      </c>
      <c r="F160" s="12" t="inlineStr">
        <is>
          <t>Builds the wall</t>
        </is>
      </c>
      <c r="G160" s="12" t="inlineStr">
        <is>
          <t>Houston, working Harris and Fort Bend</t>
        </is>
      </c>
      <c r="H160" s="12" t="inlineStr">
        <is>
          <t>49 panels, tallest 52 feet 7 inches, on one job</t>
        </is>
      </c>
      <c r="I160" s="14" t="inlineStr">
        <is>
          <t>Yes</t>
        </is>
      </c>
      <c r="J160" s="15" t="inlineStr">
        <is>
          <t>Panel and deck work recurring across Houston projects.</t>
        </is>
      </c>
      <c r="K160" s="14" t="inlineStr">
        <is>
          <t>Partly</t>
        </is>
      </c>
      <c r="L160" s="15" t="inlineStr">
        <is>
          <t>No crew count or annual volume published. A purchase would clear through the parent's self-perform group.</t>
        </is>
      </c>
      <c r="M160" s="14" t="inlineStr">
        <is>
          <t>No</t>
        </is>
      </c>
      <c r="N160" s="15" t="inlineStr">
        <is>
          <t>No method statement.</t>
        </is>
      </c>
      <c r="O160" s="6" t="inlineStr">
        <is>
          <t>https://www.linkedin.com/in/thomas-valentine-6b1a7b117/</t>
        </is>
      </c>
      <c r="P160" s="12" t="inlineStr"/>
      <c r="Q160" s="16">
        <f>IF(O160="","ADD LINKEDIN","ok")</f>
        <v/>
      </c>
      <c r="R160" s="12" t="inlineStr">
        <is>
          <t>https://grecostructures.com/</t>
        </is>
      </c>
      <c r="S160" s="15" t="inlineStr">
        <is>
          <t>General contractors buy its work, and a purchase would clear through the parent's self-perform group.</t>
        </is>
      </c>
      <c r="T160" s="12" t="inlineStr"/>
      <c r="U160" s="15" t="inlineStr">
        <is>
          <t>Headline confirms title. Spring, Texas.</t>
        </is>
      </c>
      <c r="V160" s="12" t="inlineStr"/>
      <c r="W160" s="12" t="inlineStr"/>
      <c r="X160" s="12" t="inlineStr">
        <is>
          <t>https://www.satpon.com/about/team/</t>
        </is>
      </c>
      <c r="Y160" s="12" t="inlineStr"/>
      <c r="Z160" s="12" t="inlineStr">
        <is>
          <t>(713) 375-2380</t>
        </is>
      </c>
      <c r="AA160" s="12" t="inlineStr"/>
      <c r="AB160" s="12" t="inlineStr">
        <is>
          <t>https://grecostructures.com/contact/</t>
        </is>
      </c>
      <c r="AC160" s="12" t="inlineStr"/>
      <c r="AD160" s="12" t="inlineStr"/>
    </row>
    <row r="161">
      <c r="A161" s="6" t="inlineStr">
        <is>
          <t>Jordan Lopez</t>
        </is>
      </c>
      <c r="B161" s="6" t="inlineStr">
        <is>
          <t>Greco Structures</t>
        </is>
      </c>
      <c r="C161" s="6" t="inlineStr">
        <is>
          <t>Business Development, Greco Structures and Rollcon</t>
        </is>
      </c>
      <c r="D161" s="7" t="inlineStr">
        <is>
          <t>Builds the wall, not the house</t>
        </is>
      </c>
      <c r="E161" s="8" t="n">
        <v>2</v>
      </c>
      <c r="F161" s="6" t="inlineStr">
        <is>
          <t>Builds the wall</t>
        </is>
      </c>
      <c r="G161" s="6" t="inlineStr">
        <is>
          <t>Houston, working Harris and Fort Bend</t>
        </is>
      </c>
      <c r="H161" s="6" t="inlineStr">
        <is>
          <t>49 panels, tallest 52 feet 7 inches, on one job</t>
        </is>
      </c>
      <c r="I161" s="8" t="inlineStr">
        <is>
          <t>Yes</t>
        </is>
      </c>
      <c r="J161" s="9" t="inlineStr">
        <is>
          <t>Panel and deck work recurring across Houston projects.</t>
        </is>
      </c>
      <c r="K161" s="8" t="inlineStr">
        <is>
          <t>Partly</t>
        </is>
      </c>
      <c r="L161" s="9" t="inlineStr">
        <is>
          <t>No crew count or annual volume published. A purchase would clear through the parent's self-perform group.</t>
        </is>
      </c>
      <c r="M161" s="8" t="inlineStr">
        <is>
          <t>No</t>
        </is>
      </c>
      <c r="N161" s="9" t="inlineStr">
        <is>
          <t>No method statement.</t>
        </is>
      </c>
      <c r="O161" s="6" t="inlineStr">
        <is>
          <t>https://www.linkedin.com/in/jordan-lopez-528225229/</t>
        </is>
      </c>
      <c r="P161" s="6" t="inlineStr"/>
      <c r="Q161" s="11">
        <f>IF(O161="","ADD LINKEDIN","ok")</f>
        <v/>
      </c>
      <c r="R161" s="6" t="inlineStr">
        <is>
          <t>https://grecostructures.com/</t>
        </is>
      </c>
      <c r="S161" s="9" t="inlineStr">
        <is>
          <t>General contractors buy its work, and a purchase would clear through the parent's self-perform group.</t>
        </is>
      </c>
      <c r="T161" s="6" t="inlineStr"/>
      <c r="U161" s="9" t="inlineStr">
        <is>
          <t>Headline: Business Development Specialist, Greco Structures &amp; Rollcon. Houston, Texas.</t>
        </is>
      </c>
      <c r="V161" s="6" t="inlineStr"/>
      <c r="W161" s="6" t="inlineStr"/>
      <c r="X161" s="6" t="inlineStr">
        <is>
          <t>https://www.satpon.com/about/team/</t>
        </is>
      </c>
      <c r="Y161" s="6" t="inlineStr"/>
      <c r="Z161" s="6" t="inlineStr">
        <is>
          <t>(713) 375-2380</t>
        </is>
      </c>
      <c r="AA161" s="6" t="inlineStr"/>
      <c r="AB161" s="6" t="inlineStr">
        <is>
          <t>https://grecostructures.com/contact/</t>
        </is>
      </c>
      <c r="AC161" s="6" t="inlineStr"/>
      <c r="AD161" s="6" t="inlineStr"/>
    </row>
    <row r="162">
      <c r="A162" s="12" t="inlineStr">
        <is>
          <t>David E. Harvey Sr.</t>
        </is>
      </c>
      <c r="B162" s="12" t="inlineStr">
        <is>
          <t>Harvey Cleary</t>
        </is>
      </c>
      <c r="C162" s="12" t="inlineStr">
        <is>
          <t>Founder</t>
        </is>
      </c>
      <c r="D162" s="13" t="inlineStr">
        <is>
          <t>Builds the wall, not the house</t>
        </is>
      </c>
      <c r="E162" s="14" t="n">
        <v>2</v>
      </c>
      <c r="F162" s="12" t="inlineStr">
        <is>
          <t>Builds the wall</t>
        </is>
      </c>
      <c r="G162" s="12" t="inlineStr">
        <is>
          <t>Houston, with Austin, San Antonio, Denver and Washington</t>
        </is>
      </c>
      <c r="H162" s="12" t="inlineStr">
        <is>
          <t>$2 billion in volume, 700-plus employees, founded 1957</t>
        </is>
      </c>
      <c r="I162" s="14" t="inlineStr">
        <is>
          <t>Yes</t>
        </is>
      </c>
      <c r="J162" s="15" t="inlineStr">
        <is>
          <t>Standing residential market. Multifamily buildings delivered repeatedly.</t>
        </is>
      </c>
      <c r="K162" s="14" t="inlineStr">
        <is>
          <t>Partly</t>
        </is>
      </c>
      <c r="L162" s="15" t="inlineStr">
        <is>
          <t>$2 billion volume, 700-plus staff, its own count. Printers would be a line item.</t>
        </is>
      </c>
      <c r="M162" s="14" t="inlineStr">
        <is>
          <t>No</t>
        </is>
      </c>
      <c r="N162" s="15" t="inlineStr">
        <is>
          <t>No method statement published.</t>
        </is>
      </c>
      <c r="O162" s="10" t="inlineStr"/>
      <c r="P162" s="12" t="inlineStr"/>
      <c r="Q162" s="16">
        <f>IF(O162="","ADD LINKEDIN","ok")</f>
        <v/>
      </c>
      <c r="R162" s="12" t="inlineStr">
        <is>
          <t>https://www.harveycleary.com/</t>
        </is>
      </c>
      <c r="S162" s="15" t="inlineStr">
        <is>
          <t>It self-performs formwork, rebar, tiltwall and precast, and builds apartments, but at its size printers would be a line item.</t>
        </is>
      </c>
      <c r="T162" s="12" t="inlineStr"/>
      <c r="U162" s="15" t="inlineStr">
        <is>
          <t>About page. Co-founded 1957 with Gerald D. Hines. Early tiltwall proponent.</t>
        </is>
      </c>
      <c r="V162" s="12" t="inlineStr">
        <is>
          <t>https://www.harveycleary.com/about-us/</t>
        </is>
      </c>
      <c r="W162" s="12" t="inlineStr"/>
      <c r="X162" s="12" t="inlineStr">
        <is>
          <t>https://www.harveycleary.com/about-us/</t>
        </is>
      </c>
      <c r="Y162" s="12" t="inlineStr"/>
      <c r="Z162" s="12" t="inlineStr"/>
      <c r="AA162" s="12" t="inlineStr"/>
      <c r="AB162" s="12" t="inlineStr"/>
      <c r="AC162" s="12" t="inlineStr"/>
      <c r="AD162" s="12" t="inlineStr"/>
    </row>
    <row r="163">
      <c r="A163" s="6" t="inlineStr">
        <is>
          <t>David Harvey Jr.</t>
        </is>
      </c>
      <c r="B163" s="6" t="inlineStr">
        <is>
          <t>Harvey Cleary</t>
        </is>
      </c>
      <c r="C163" s="6" t="inlineStr">
        <is>
          <t>Took ownership in 1987</t>
        </is>
      </c>
      <c r="D163" s="7" t="inlineStr">
        <is>
          <t>Builds the wall, not the house</t>
        </is>
      </c>
      <c r="E163" s="8" t="n">
        <v>2</v>
      </c>
      <c r="F163" s="6" t="inlineStr">
        <is>
          <t>Builds the wall</t>
        </is>
      </c>
      <c r="G163" s="6" t="inlineStr">
        <is>
          <t>Houston, with Austin, San Antonio, Denver and Washington</t>
        </is>
      </c>
      <c r="H163" s="6" t="inlineStr">
        <is>
          <t>$2 billion in volume, 700-plus employees, founded 1957</t>
        </is>
      </c>
      <c r="I163" s="8" t="inlineStr">
        <is>
          <t>Yes</t>
        </is>
      </c>
      <c r="J163" s="9" t="inlineStr">
        <is>
          <t>Standing residential market. Multifamily buildings delivered repeatedly.</t>
        </is>
      </c>
      <c r="K163" s="8" t="inlineStr">
        <is>
          <t>Partly</t>
        </is>
      </c>
      <c r="L163" s="9" t="inlineStr">
        <is>
          <t>$2 billion volume, 700-plus staff, its own count. Printers would be a line item.</t>
        </is>
      </c>
      <c r="M163" s="8" t="inlineStr">
        <is>
          <t>No</t>
        </is>
      </c>
      <c r="N163" s="9" t="inlineStr">
        <is>
          <t>No method statement published.</t>
        </is>
      </c>
      <c r="O163" s="10" t="inlineStr"/>
      <c r="P163" s="6" t="inlineStr"/>
      <c r="Q163" s="11">
        <f>IF(O163="","ADD LINKEDIN","ok")</f>
        <v/>
      </c>
      <c r="R163" s="6" t="inlineStr">
        <is>
          <t>https://www.harveycleary.com/</t>
        </is>
      </c>
      <c r="S163" s="9" t="inlineStr">
        <is>
          <t>It self-performs formwork, rebar, tiltwall and precast, and builds apartments, but at its size printers would be a line item.</t>
        </is>
      </c>
      <c r="T163" s="6" t="inlineStr"/>
      <c r="U163" s="9" t="inlineStr">
        <is>
          <t>About page. Joined 1977. Renamed it Harvey Cleary with Joseph Cleary.</t>
        </is>
      </c>
      <c r="V163" s="6" t="inlineStr">
        <is>
          <t>https://www.harveycleary.com/about-us/</t>
        </is>
      </c>
      <c r="W163" s="6" t="inlineStr"/>
      <c r="X163" s="6" t="inlineStr">
        <is>
          <t>https://www.harveycleary.com/about-us/</t>
        </is>
      </c>
      <c r="Y163" s="6" t="inlineStr"/>
      <c r="Z163" s="6" t="inlineStr"/>
      <c r="AA163" s="6" t="inlineStr"/>
      <c r="AB163" s="6" t="inlineStr"/>
      <c r="AC163" s="6" t="inlineStr"/>
      <c r="AD163" s="6" t="inlineStr"/>
    </row>
    <row r="164">
      <c r="A164" s="12" t="inlineStr">
        <is>
          <t>Joseph Cleary</t>
        </is>
      </c>
      <c r="B164" s="12" t="inlineStr">
        <is>
          <t>Harvey Cleary</t>
        </is>
      </c>
      <c r="C164" s="12" t="inlineStr">
        <is>
          <t>Took ownership in 1987</t>
        </is>
      </c>
      <c r="D164" s="13" t="inlineStr">
        <is>
          <t>Builds the wall, not the house</t>
        </is>
      </c>
      <c r="E164" s="14" t="n">
        <v>2</v>
      </c>
      <c r="F164" s="12" t="inlineStr">
        <is>
          <t>Builds the wall</t>
        </is>
      </c>
      <c r="G164" s="12" t="inlineStr">
        <is>
          <t>Houston, with Austin, San Antonio, Denver and Washington</t>
        </is>
      </c>
      <c r="H164" s="12" t="inlineStr">
        <is>
          <t>$2 billion in volume, 700-plus employees, founded 1957</t>
        </is>
      </c>
      <c r="I164" s="14" t="inlineStr">
        <is>
          <t>Yes</t>
        </is>
      </c>
      <c r="J164" s="15" t="inlineStr">
        <is>
          <t>Standing residential market. Multifamily buildings delivered repeatedly.</t>
        </is>
      </c>
      <c r="K164" s="14" t="inlineStr">
        <is>
          <t>Partly</t>
        </is>
      </c>
      <c r="L164" s="15" t="inlineStr">
        <is>
          <t>$2 billion volume, 700-plus staff, its own count. Printers would be a line item.</t>
        </is>
      </c>
      <c r="M164" s="14" t="inlineStr">
        <is>
          <t>No</t>
        </is>
      </c>
      <c r="N164" s="15" t="inlineStr">
        <is>
          <t>No method statement published.</t>
        </is>
      </c>
      <c r="O164" s="10" t="inlineStr"/>
      <c r="P164" s="12" t="inlineStr"/>
      <c r="Q164" s="16">
        <f>IF(O164="","ADD LINKEDIN","ok")</f>
        <v/>
      </c>
      <c r="R164" s="12" t="inlineStr">
        <is>
          <t>https://www.harveycleary.com/</t>
        </is>
      </c>
      <c r="S164" s="15" t="inlineStr">
        <is>
          <t>It self-performs formwork, rebar, tiltwall and precast, and builds apartments, but at its size printers would be a line item.</t>
        </is>
      </c>
      <c r="T164" s="12" t="inlineStr"/>
      <c r="U164" s="15" t="inlineStr">
        <is>
          <t>About page. Joined 1976. Renamed Harvey Builders to Harvey Cleary.</t>
        </is>
      </c>
      <c r="V164" s="12" t="inlineStr">
        <is>
          <t>https://www.harveycleary.com/about-us/</t>
        </is>
      </c>
      <c r="W164" s="12" t="inlineStr"/>
      <c r="X164" s="12" t="inlineStr">
        <is>
          <t>https://www.harveycleary.com/about-us/</t>
        </is>
      </c>
      <c r="Y164" s="12" t="inlineStr"/>
      <c r="Z164" s="12" t="inlineStr"/>
      <c r="AA164" s="12" t="inlineStr"/>
      <c r="AB164" s="12" t="inlineStr"/>
      <c r="AC164" s="12" t="inlineStr"/>
      <c r="AD164" s="12" t="inlineStr"/>
    </row>
    <row r="165">
      <c r="A165" s="6" t="inlineStr">
        <is>
          <t>Scott Clarke</t>
        </is>
      </c>
      <c r="B165" s="6" t="inlineStr">
        <is>
          <t>Harvey Cleary</t>
        </is>
      </c>
      <c r="C165" s="6" t="inlineStr">
        <is>
          <t>Chief Operating Officer</t>
        </is>
      </c>
      <c r="D165" s="7" t="inlineStr">
        <is>
          <t>Builds the wall, not the house</t>
        </is>
      </c>
      <c r="E165" s="8" t="n">
        <v>2</v>
      </c>
      <c r="F165" s="6" t="inlineStr">
        <is>
          <t>Builds the wall</t>
        </is>
      </c>
      <c r="G165" s="6" t="inlineStr">
        <is>
          <t>Houston, with Austin, San Antonio, Denver and Washington</t>
        </is>
      </c>
      <c r="H165" s="6" t="inlineStr">
        <is>
          <t>$2 billion in volume, 700-plus employees, founded 1957</t>
        </is>
      </c>
      <c r="I165" s="8" t="inlineStr">
        <is>
          <t>Yes</t>
        </is>
      </c>
      <c r="J165" s="9" t="inlineStr">
        <is>
          <t>Standing residential market. Multifamily buildings delivered repeatedly.</t>
        </is>
      </c>
      <c r="K165" s="8" t="inlineStr">
        <is>
          <t>Partly</t>
        </is>
      </c>
      <c r="L165" s="9" t="inlineStr">
        <is>
          <t>$2 billion volume, 700-plus staff, its own count. Printers would be a line item.</t>
        </is>
      </c>
      <c r="M165" s="8" t="inlineStr">
        <is>
          <t>No</t>
        </is>
      </c>
      <c r="N165" s="9" t="inlineStr">
        <is>
          <t>No method statement published.</t>
        </is>
      </c>
      <c r="O165" s="6" t="inlineStr">
        <is>
          <t>https://www.linkedin.com/in/scott-clarke-a2a1a521/</t>
        </is>
      </c>
      <c r="P165" s="6" t="inlineStr"/>
      <c r="Q165" s="11">
        <f>IF(O165="","ADD LINKEDIN","ok")</f>
        <v/>
      </c>
      <c r="R165" s="6" t="inlineStr">
        <is>
          <t>https://www.harveycleary.com/</t>
        </is>
      </c>
      <c r="S165" s="9" t="inlineStr">
        <is>
          <t>It self-performs formwork, rebar, tiltwall and precast, and builds apartments, but at its size printers would be a line item.</t>
        </is>
      </c>
      <c r="T165" s="6" t="inlineStr">
        <is>
          <t>YES</t>
        </is>
      </c>
      <c r="U165" s="9" t="inlineStr">
        <is>
          <t>LinkedIn headline: Chief Operating Officer, Harvey-Cleary Builders. Houston.</t>
        </is>
      </c>
      <c r="V165" s="6" t="inlineStr"/>
      <c r="W165" s="6" t="inlineStr"/>
      <c r="X165" s="6" t="inlineStr">
        <is>
          <t>https://www.harveycleary.com/about-us/</t>
        </is>
      </c>
      <c r="Y165" s="6" t="inlineStr"/>
      <c r="Z165" s="6" t="inlineStr"/>
      <c r="AA165" s="6" t="inlineStr"/>
      <c r="AB165" s="6" t="inlineStr"/>
      <c r="AC165" s="6" t="inlineStr"/>
      <c r="AD165" s="6" t="inlineStr"/>
    </row>
    <row r="166">
      <c r="A166" s="12" t="inlineStr">
        <is>
          <t>Jarrod Portelance</t>
        </is>
      </c>
      <c r="B166" s="12" t="inlineStr">
        <is>
          <t>Harvey Cleary</t>
        </is>
      </c>
      <c r="C166" s="12" t="inlineStr">
        <is>
          <t>Project Director</t>
        </is>
      </c>
      <c r="D166" s="13" t="inlineStr">
        <is>
          <t>Builds the wall, not the house</t>
        </is>
      </c>
      <c r="E166" s="14" t="n">
        <v>2</v>
      </c>
      <c r="F166" s="12" t="inlineStr">
        <is>
          <t>Builds the wall</t>
        </is>
      </c>
      <c r="G166" s="12" t="inlineStr">
        <is>
          <t>Houston, with Austin, San Antonio, Denver and Washington</t>
        </is>
      </c>
      <c r="H166" s="12" t="inlineStr">
        <is>
          <t>$2 billion in volume, 700-plus employees, founded 1957</t>
        </is>
      </c>
      <c r="I166" s="14" t="inlineStr">
        <is>
          <t>Yes</t>
        </is>
      </c>
      <c r="J166" s="15" t="inlineStr">
        <is>
          <t>Standing residential market. Multifamily buildings delivered repeatedly.</t>
        </is>
      </c>
      <c r="K166" s="14" t="inlineStr">
        <is>
          <t>Partly</t>
        </is>
      </c>
      <c r="L166" s="15" t="inlineStr">
        <is>
          <t>$2 billion volume, 700-plus staff, its own count. Printers would be a line item.</t>
        </is>
      </c>
      <c r="M166" s="14" t="inlineStr">
        <is>
          <t>No</t>
        </is>
      </c>
      <c r="N166" s="15" t="inlineStr">
        <is>
          <t>No method statement published.</t>
        </is>
      </c>
      <c r="O166" s="6" t="inlineStr">
        <is>
          <t>https://www.linkedin.com/in/jarrodportelance/</t>
        </is>
      </c>
      <c r="P166" s="12" t="inlineStr"/>
      <c r="Q166" s="16">
        <f>IF(O166="","ADD LINKEDIN","ok")</f>
        <v/>
      </c>
      <c r="R166" s="12" t="inlineStr">
        <is>
          <t>https://www.harveycleary.com/</t>
        </is>
      </c>
      <c r="S166" s="15" t="inlineStr">
        <is>
          <t>It self-performs formwork, rebar, tiltwall and precast, and builds apartments, but at its size printers would be a line item.</t>
        </is>
      </c>
      <c r="T166" s="12" t="inlineStr"/>
      <c r="U166" s="15" t="inlineStr">
        <is>
          <t>LinkedIn headline: Project Director, Harvey-Cleary Builders. Houston.</t>
        </is>
      </c>
      <c r="V166" s="12" t="inlineStr"/>
      <c r="W166" s="12" t="inlineStr"/>
      <c r="X166" s="12" t="inlineStr">
        <is>
          <t>https://www.harveycleary.com/about-us/</t>
        </is>
      </c>
      <c r="Y166" s="12" t="inlineStr"/>
      <c r="Z166" s="12" t="inlineStr"/>
      <c r="AA166" s="12" t="inlineStr"/>
      <c r="AB166" s="12" t="inlineStr"/>
      <c r="AC166" s="12" t="inlineStr"/>
      <c r="AD166" s="12" t="inlineStr"/>
    </row>
    <row r="167">
      <c r="A167" s="6" t="inlineStr">
        <is>
          <t>Chad Petro</t>
        </is>
      </c>
      <c r="B167" s="6" t="inlineStr">
        <is>
          <t>Heldenfels Enterprises, a Metromont company</t>
        </is>
      </c>
      <c r="C167" s="6" t="inlineStr">
        <is>
          <t>President and Chief Executive Officer</t>
        </is>
      </c>
      <c r="D167" s="7" t="inlineStr">
        <is>
          <t>Builds the wall, not the house</t>
        </is>
      </c>
      <c r="E167" s="8" t="n">
        <v>2</v>
      </c>
      <c r="F167" s="6" t="inlineStr">
        <is>
          <t>Builds the wall</t>
        </is>
      </c>
      <c r="G167" s="6" t="inlineStr">
        <is>
          <t>San Marcos and Corpus Christi plants</t>
        </is>
      </c>
      <c r="H167" s="6" t="inlineStr">
        <is>
          <t>85-acre plant in San Marcos</t>
        </is>
      </c>
      <c r="I167" s="8" t="inlineStr">
        <is>
          <t>Yes</t>
        </is>
      </c>
      <c r="J167" s="9" t="inlineStr">
        <is>
          <t>An 85-acre yard casts prestressed elements repeatedly for one region.</t>
        </is>
      </c>
      <c r="K167" s="8" t="inlineStr">
        <is>
          <t>Partly</t>
        </is>
      </c>
      <c r="L167" s="9" t="inlineStr">
        <is>
          <t>Beyond one or two printers. Infrastructure and stadium work, not house wall.</t>
        </is>
      </c>
      <c r="M167" s="8" t="inlineStr">
        <is>
          <t>No</t>
        </is>
      </c>
      <c r="N167" s="9" t="inlineStr">
        <is>
          <t>No record of buying an unproven method.</t>
        </is>
      </c>
      <c r="O167" s="6" t="inlineStr">
        <is>
          <t>https://www.linkedin.com/in/chad-petro-89b7a913/</t>
        </is>
      </c>
      <c r="P167" s="6" t="inlineStr"/>
      <c r="Q167" s="11">
        <f>IF(O167="","ADD LINKEDIN","ok")</f>
        <v/>
      </c>
      <c r="R167" s="6" t="inlineStr">
        <is>
          <t>https://heldenfels.com/</t>
        </is>
      </c>
      <c r="S167" s="9" t="inlineStr">
        <is>
          <t>It casts prestressed elements for infrastructure and stadium work, not house wall, and its output is beyond one or two printers.</t>
        </is>
      </c>
      <c r="T167" s="6" t="inlineStr">
        <is>
          <t>YES</t>
        </is>
      </c>
      <c r="U167" s="9" t="inlineStr">
        <is>
          <t>Metromont's chief executive named him continuing president and chief executive, 9 February 2026.</t>
        </is>
      </c>
      <c r="V167" s="6" t="inlineStr"/>
      <c r="W167" s="6" t="inlineStr"/>
      <c r="X167" s="6" t="inlineStr"/>
      <c r="Y167" s="6" t="inlineStr"/>
      <c r="Z167" s="6" t="inlineStr">
        <is>
          <t>(512) 396-2376</t>
        </is>
      </c>
      <c r="AA167" s="6" t="inlineStr">
        <is>
          <t>San Marcos main</t>
        </is>
      </c>
      <c r="AB167" s="6" t="inlineStr">
        <is>
          <t>https://heldenfels.com/contact/</t>
        </is>
      </c>
      <c r="AC167" s="6" t="inlineStr"/>
      <c r="AD167" s="6" t="inlineStr"/>
    </row>
    <row r="168">
      <c r="A168" s="12" t="inlineStr">
        <is>
          <t>Larry Miller, P.E.</t>
        </is>
      </c>
      <c r="B168" s="12" t="inlineStr">
        <is>
          <t>Heldenfels Enterprises, a Metromont company</t>
        </is>
      </c>
      <c r="C168" s="12" t="inlineStr">
        <is>
          <t>Vice President, Preconstruction and Business Development</t>
        </is>
      </c>
      <c r="D168" s="13" t="inlineStr">
        <is>
          <t>Builds the wall, not the house</t>
        </is>
      </c>
      <c r="E168" s="14" t="n">
        <v>2</v>
      </c>
      <c r="F168" s="12" t="inlineStr">
        <is>
          <t>Builds the wall</t>
        </is>
      </c>
      <c r="G168" s="12" t="inlineStr">
        <is>
          <t>San Marcos and Corpus Christi plants</t>
        </is>
      </c>
      <c r="H168" s="12" t="inlineStr">
        <is>
          <t>85-acre plant in San Marcos</t>
        </is>
      </c>
      <c r="I168" s="14" t="inlineStr">
        <is>
          <t>Yes</t>
        </is>
      </c>
      <c r="J168" s="15" t="inlineStr">
        <is>
          <t>An 85-acre yard casts prestressed elements repeatedly for one region.</t>
        </is>
      </c>
      <c r="K168" s="14" t="inlineStr">
        <is>
          <t>Partly</t>
        </is>
      </c>
      <c r="L168" s="15" t="inlineStr">
        <is>
          <t>Beyond one or two printers. Infrastructure and stadium work, not house wall.</t>
        </is>
      </c>
      <c r="M168" s="14" t="inlineStr">
        <is>
          <t>No</t>
        </is>
      </c>
      <c r="N168" s="15" t="inlineStr">
        <is>
          <t>No record of buying an unproven method.</t>
        </is>
      </c>
      <c r="O168" s="10" t="inlineStr"/>
      <c r="P168" s="12" t="inlineStr"/>
      <c r="Q168" s="16">
        <f>IF(O168="","ADD LINKEDIN","ok")</f>
        <v/>
      </c>
      <c r="R168" s="12" t="inlineStr">
        <is>
          <t>https://heldenfels.com/</t>
        </is>
      </c>
      <c r="S168" s="15" t="inlineStr">
        <is>
          <t>It casts prestressed elements for infrastructure and stadium work, not house wall, and its output is beyond one or two printers.</t>
        </is>
      </c>
      <c r="T168" s="12" t="inlineStr"/>
      <c r="U168" s="15" t="inlineStr"/>
      <c r="V168" s="12" t="inlineStr">
        <is>
          <t>https://heldenfels.com/contact/</t>
        </is>
      </c>
      <c r="W168" s="12" t="inlineStr"/>
      <c r="X168" s="12" t="inlineStr"/>
      <c r="Y168" s="12" t="inlineStr"/>
      <c r="Z168" s="12" t="inlineStr">
        <is>
          <t>(512) 396-2376</t>
        </is>
      </c>
      <c r="AA168" s="12" t="inlineStr">
        <is>
          <t>San Marcos main</t>
        </is>
      </c>
      <c r="AB168" s="12" t="inlineStr">
        <is>
          <t>https://heldenfels.com/contact/</t>
        </is>
      </c>
      <c r="AC168" s="12" t="inlineStr"/>
      <c r="AD168" s="12" t="inlineStr"/>
    </row>
    <row r="169">
      <c r="A169" s="6" t="inlineStr">
        <is>
          <t>Fred W. Heldenfels IV</t>
        </is>
      </c>
      <c r="B169" s="6" t="inlineStr">
        <is>
          <t>Heldenfels Enterprises, a Metromont company</t>
        </is>
      </c>
      <c r="C169" s="6" t="inlineStr">
        <is>
          <t>Founder</t>
        </is>
      </c>
      <c r="D169" s="7" t="inlineStr">
        <is>
          <t>Builds the wall, not the house</t>
        </is>
      </c>
      <c r="E169" s="8" t="n">
        <v>2</v>
      </c>
      <c r="F169" s="6" t="inlineStr">
        <is>
          <t>Builds the wall</t>
        </is>
      </c>
      <c r="G169" s="6" t="inlineStr">
        <is>
          <t>San Marcos and Corpus Christi plants</t>
        </is>
      </c>
      <c r="H169" s="6" t="inlineStr">
        <is>
          <t>85-acre plant in San Marcos</t>
        </is>
      </c>
      <c r="I169" s="8" t="inlineStr">
        <is>
          <t>Yes</t>
        </is>
      </c>
      <c r="J169" s="9" t="inlineStr">
        <is>
          <t>An 85-acre yard casts prestressed elements repeatedly for one region.</t>
        </is>
      </c>
      <c r="K169" s="8" t="inlineStr">
        <is>
          <t>Partly</t>
        </is>
      </c>
      <c r="L169" s="9" t="inlineStr">
        <is>
          <t>Beyond one or two printers. Infrastructure and stadium work, not house wall.</t>
        </is>
      </c>
      <c r="M169" s="8" t="inlineStr">
        <is>
          <t>No</t>
        </is>
      </c>
      <c r="N169" s="9" t="inlineStr">
        <is>
          <t>No record of buying an unproven method.</t>
        </is>
      </c>
      <c r="O169" s="10" t="inlineStr"/>
      <c r="P169" s="6" t="inlineStr"/>
      <c r="Q169" s="11">
        <f>IF(O169="","ADD LINKEDIN","ok")</f>
        <v/>
      </c>
      <c r="R169" s="6" t="inlineStr">
        <is>
          <t>https://heldenfels.com/</t>
        </is>
      </c>
      <c r="S169" s="9" t="inlineStr">
        <is>
          <t>It casts prestressed elements for infrastructure and stadium work, not house wall, and its output is beyond one or two printers.</t>
        </is>
      </c>
      <c r="T169" s="6" t="inlineStr"/>
      <c r="U169" s="9" t="inlineStr">
        <is>
          <t>About page. Formed it in 1995. Sold to Metromont December 2025.</t>
        </is>
      </c>
      <c r="V169" s="6" t="inlineStr">
        <is>
          <t>https://heldenfels.com/about-us/</t>
        </is>
      </c>
      <c r="W169" s="6" t="inlineStr"/>
      <c r="X169" s="6" t="inlineStr"/>
      <c r="Y169" s="6" t="inlineStr"/>
      <c r="Z169" s="6" t="inlineStr">
        <is>
          <t>(512) 396-2376</t>
        </is>
      </c>
      <c r="AA169" s="6" t="inlineStr">
        <is>
          <t>San Marcos main</t>
        </is>
      </c>
      <c r="AB169" s="6" t="inlineStr">
        <is>
          <t>https://heldenfels.com/contact/</t>
        </is>
      </c>
      <c r="AC169" s="6" t="inlineStr"/>
      <c r="AD169" s="6" t="inlineStr"/>
    </row>
    <row r="170">
      <c r="A170" s="12" t="inlineStr">
        <is>
          <t>Travis Boone</t>
        </is>
      </c>
      <c r="B170" s="12" t="inlineStr">
        <is>
          <t>ORION</t>
        </is>
      </c>
      <c r="C170" s="12" t="inlineStr">
        <is>
          <t>Chief Executive Officer, Orion Group Holdings</t>
        </is>
      </c>
      <c r="D170" s="13" t="inlineStr">
        <is>
          <t>Builds the wall, not the house</t>
        </is>
      </c>
      <c r="E170" s="14" t="n">
        <v>2</v>
      </c>
      <c r="F170" s="12" t="inlineStr">
        <is>
          <t>Builds the wall</t>
        </is>
      </c>
      <c r="G170" s="12" t="inlineStr">
        <is>
          <t>Houston, Harris</t>
        </is>
      </c>
      <c r="H170" s="12" t="inlineStr">
        <is>
          <t>257 panels and 175,820 square feet of wall on one job</t>
        </is>
      </c>
      <c r="I170" s="14" t="inlineStr">
        <is>
          <t>Yes</t>
        </is>
      </c>
      <c r="J170" s="15" t="inlineStr">
        <is>
          <t>257 panels on one job. Panel work recurs across institutional and commercial projects.</t>
        </is>
      </c>
      <c r="K170" s="14" t="inlineStr">
        <is>
          <t>Partly</t>
        </is>
      </c>
      <c r="L170" s="15" t="inlineStr">
        <is>
          <t>A printer would be a line item. The decision sits outside Houston.</t>
        </is>
      </c>
      <c r="M170" s="14" t="inlineStr">
        <is>
          <t>No</t>
        </is>
      </c>
      <c r="N170" s="15" t="inlineStr">
        <is>
          <t>No method statement published.</t>
        </is>
      </c>
      <c r="O170" s="10" t="inlineStr"/>
      <c r="P170" s="12" t="inlineStr"/>
      <c r="Q170" s="16">
        <f>IF(O170="","ADD LINKEDIN","ok")</f>
        <v/>
      </c>
      <c r="R170" s="12" t="inlineStr">
        <is>
          <t>https://www.oriongroupholdingsinc.com/</t>
        </is>
      </c>
      <c r="S170" s="15" t="inlineStr">
        <is>
          <t>Purchasing runs through a listed parent, so a printer would be a line item decided outside Houston.</t>
        </is>
      </c>
      <c r="T170" s="12" t="inlineStr">
        <is>
          <t>YES</t>
        </is>
      </c>
      <c r="U170" s="15" t="inlineStr">
        <is>
          <t>Company release, 29 January 2024, on the rename from TAS.</t>
        </is>
      </c>
      <c r="V170" s="12" t="inlineStr">
        <is>
          <t>https://www.oriongroupholdingsinc.com/investors/press-release/2024/29-01-2024-120203346</t>
        </is>
      </c>
      <c r="W170" s="12" t="inlineStr"/>
      <c r="X170" s="12" t="inlineStr"/>
      <c r="Y170" s="12" t="inlineStr"/>
      <c r="Z170" s="12" t="inlineStr">
        <is>
          <t>(713) 852-6500</t>
        </is>
      </c>
      <c r="AA170" s="12" t="inlineStr"/>
      <c r="AB170" s="12" t="inlineStr">
        <is>
          <t>https://www.oriongroupholdingsinc.com/</t>
        </is>
      </c>
      <c r="AC170" s="12" t="inlineStr"/>
      <c r="AD170" s="12" t="inlineStr"/>
    </row>
    <row r="171">
      <c r="A171" s="6" t="inlineStr">
        <is>
          <t>Mark Furse</t>
        </is>
      </c>
      <c r="B171" s="6" t="inlineStr">
        <is>
          <t>Texas Building Supply, a US LBM company</t>
        </is>
      </c>
      <c r="C171" s="6" t="inlineStr">
        <is>
          <t>Market President</t>
        </is>
      </c>
      <c r="D171" s="7" t="inlineStr">
        <is>
          <t>Builds the wall, not the house</t>
        </is>
      </c>
      <c r="E171" s="8" t="n">
        <v>2</v>
      </c>
      <c r="F171" s="6" t="inlineStr">
        <is>
          <t>Builds the wall</t>
        </is>
      </c>
      <c r="G171" s="6" t="inlineStr">
        <is>
          <t>Houston branch on Railhead Lane, panel plants in San Antonio, Taylor and Van Alstyne</t>
        </is>
      </c>
      <c r="H171" s="6" t="inlineStr">
        <is>
          <t>Wall panels trucked into a Houston branch</t>
        </is>
      </c>
      <c r="I171" s="8" t="inlineStr">
        <is>
          <t>Yes</t>
        </is>
      </c>
      <c r="J171" s="9" t="inlineStr">
        <is>
          <t>Wall panels made repeatedly at three Texas plants.</t>
        </is>
      </c>
      <c r="K171" s="8" t="inlineStr">
        <is>
          <t>Partly</t>
        </is>
      </c>
      <c r="L171" s="9" t="inlineStr">
        <is>
          <t>More capacity than one or two printers, inside a national parent.</t>
        </is>
      </c>
      <c r="M171" s="8" t="inlineStr">
        <is>
          <t>No</t>
        </is>
      </c>
      <c r="N171" s="9" t="inlineStr">
        <is>
          <t>No record of buying an unproven method.</t>
        </is>
      </c>
      <c r="O171" s="6" t="inlineStr">
        <is>
          <t>https://www.linkedin.com/in/mark-furse-02b1b717/</t>
        </is>
      </c>
      <c r="P171" s="6" t="inlineStr"/>
      <c r="Q171" s="11">
        <f>IF(O171="","ADD LINKEDIN","ok")</f>
        <v/>
      </c>
      <c r="R171" s="6" t="inlineStr">
        <is>
          <t>https://texasbuildingsupply.com/</t>
        </is>
      </c>
      <c r="S171" s="9" t="inlineStr">
        <is>
          <t>Houston is a branch fed by panel plants elsewhere, so a local machine would remove the haul.</t>
        </is>
      </c>
      <c r="T171" s="6" t="inlineStr"/>
      <c r="U171" s="9" t="inlineStr">
        <is>
          <t>Headline: Texas Building Supply, no market shown. Tied to San Antonio legacy banner. Houston unconfirmed.</t>
        </is>
      </c>
      <c r="V171" s="6" t="inlineStr"/>
      <c r="W171" s="6" t="inlineStr"/>
      <c r="X171" s="6" t="inlineStr"/>
      <c r="Y171" s="6" t="inlineStr"/>
      <c r="Z171" s="6" t="inlineStr">
        <is>
          <t>(281) 447-0384</t>
        </is>
      </c>
      <c r="AA171" s="6" t="inlineStr">
        <is>
          <t>Houston branch</t>
        </is>
      </c>
      <c r="AB171" s="6" t="inlineStr">
        <is>
          <t>https://texasbuildingsupply.com/locations</t>
        </is>
      </c>
      <c r="AC171" s="6" t="inlineStr"/>
      <c r="AD171" s="6" t="inlineStr"/>
    </row>
    <row r="172">
      <c r="A172" s="12" t="inlineStr">
        <is>
          <t>Dwain Hutton</t>
        </is>
      </c>
      <c r="B172" s="12" t="inlineStr">
        <is>
          <t>UFP Site Built</t>
        </is>
      </c>
      <c r="C172" s="12" t="inlineStr">
        <is>
          <t>Executive Vice President, UFP Site Built</t>
        </is>
      </c>
      <c r="D172" s="13" t="inlineStr">
        <is>
          <t>Builds the wall, not the house</t>
        </is>
      </c>
      <c r="E172" s="14" t="n">
        <v>2</v>
      </c>
      <c r="F172" s="12" t="inlineStr">
        <is>
          <t>Builds the wall</t>
        </is>
      </c>
      <c r="G172" s="12" t="inlineStr">
        <is>
          <t>Huntsville plant, about 70 miles north, within five Texas plants</t>
        </is>
      </c>
      <c r="H172" s="12" t="inlineStr">
        <is>
          <t>Five Texas plants, wall panels at Huntsville</t>
        </is>
      </c>
      <c r="I172" s="14" t="inlineStr">
        <is>
          <t>Yes</t>
        </is>
      </c>
      <c r="J172" s="15" t="inlineStr">
        <is>
          <t>One Texas plant making wall panels and cassettes repeatedly for regional builders.</t>
        </is>
      </c>
      <c r="K172" s="14" t="inlineStr">
        <is>
          <t>Partly</t>
        </is>
      </c>
      <c r="L172" s="15" t="inlineStr">
        <is>
          <t>Huntsville alone is more capacity than one or two printers.</t>
        </is>
      </c>
      <c r="M172" s="14" t="inlineStr">
        <is>
          <t>No</t>
        </is>
      </c>
      <c r="N172" s="15" t="inlineStr">
        <is>
          <t>No record of buying an unproven method. Wall panels are its ordinary product.</t>
        </is>
      </c>
      <c r="O172" s="10" t="inlineStr"/>
      <c r="P172" s="12" t="inlineStr"/>
      <c r="Q172" s="16">
        <f>IF(O172="","ADD LINKEDIN","ok")</f>
        <v/>
      </c>
      <c r="R172" s="12" t="inlineStr">
        <is>
          <t>https://ufpsitebuilt.com/</t>
        </is>
      </c>
      <c r="S172" s="15" t="inlineStr">
        <is>
          <t>Its Huntsville plant, 70 miles from Houston, already makes wall panels, so a printer would replace a product it sells.</t>
        </is>
      </c>
      <c r="T172" s="12" t="inlineStr">
        <is>
          <t>YES</t>
        </is>
      </c>
      <c r="U172" s="15" t="inlineStr">
        <is>
          <t>Division leadership page. Regional roles are all West. No Huntsville contact named.</t>
        </is>
      </c>
      <c r="V172" s="12" t="inlineStr">
        <is>
          <t>https://ufpsitebuilt.com/leadershipteam</t>
        </is>
      </c>
      <c r="W172" s="12" t="inlineStr"/>
      <c r="X172" s="12" t="inlineStr"/>
      <c r="Y172" s="12" t="inlineStr"/>
      <c r="Z172" s="12" t="inlineStr">
        <is>
          <t>(936) 295-3411</t>
        </is>
      </c>
      <c r="AA172" s="12" t="inlineStr">
        <is>
          <t>Huntsville plant</t>
        </is>
      </c>
      <c r="AB172" s="12" t="inlineStr">
        <is>
          <t>https://ufpsitebuilt.com/our-locations/huntsville-tx</t>
        </is>
      </c>
      <c r="AC172" s="12" t="inlineStr"/>
      <c r="AD172" s="12" t="inlineStr"/>
    </row>
    <row r="173">
      <c r="A173" s="6" t="inlineStr">
        <is>
          <t>Dan Juntunen</t>
        </is>
      </c>
      <c r="B173" s="6" t="inlineStr">
        <is>
          <t>Wells, Hillsboro plants</t>
        </is>
      </c>
      <c r="C173" s="6" t="inlineStr">
        <is>
          <t>Chief Executive Officer, Wells</t>
        </is>
      </c>
      <c r="D173" s="7" t="inlineStr">
        <is>
          <t>Builds the wall, not the house</t>
        </is>
      </c>
      <c r="E173" s="8" t="n">
        <v>2</v>
      </c>
      <c r="F173" s="6" t="inlineStr">
        <is>
          <t>Builds the wall</t>
        </is>
      </c>
      <c r="G173" s="6" t="inlineStr">
        <is>
          <t>Hillsboro, two plants on North Waco Street</t>
        </is>
      </c>
      <c r="H173" s="6" t="inlineStr">
        <is>
          <t>102,000 combined square feet, 320-plus people</t>
        </is>
      </c>
      <c r="I173" s="8" t="inlineStr">
        <is>
          <t>Yes</t>
        </is>
      </c>
      <c r="J173" s="9" t="inlineStr">
        <is>
          <t>Two dedicated plants casting wall and structural elements repeatedly.</t>
        </is>
      </c>
      <c r="K173" s="8" t="inlineStr">
        <is>
          <t>Partly</t>
        </is>
      </c>
      <c r="L173" s="9" t="inlineStr">
        <is>
          <t>102,000 square feet across two plants, beyond what one or two printers would cover.</t>
        </is>
      </c>
      <c r="M173" s="8" t="inlineStr">
        <is>
          <t>No</t>
        </is>
      </c>
      <c r="N173" s="9" t="inlineStr">
        <is>
          <t>No record of buying an unproven method.</t>
        </is>
      </c>
      <c r="O173" s="6" t="inlineStr">
        <is>
          <t>https://www.linkedin.com/in/dan-juntunen-b2765a14/</t>
        </is>
      </c>
      <c r="P173" s="6" t="inlineStr"/>
      <c r="Q173" s="11">
        <f>IF(O173="","ADD LINKEDIN","ok")</f>
        <v/>
      </c>
      <c r="R173" s="6" t="inlineStr">
        <is>
          <t>https://wells.build/contact/locations/hillsboro-texas/</t>
        </is>
      </c>
      <c r="S173" s="9" t="inlineStr">
        <is>
          <t>It already casts architectural and structural wall in two plants, and its output is beyond what one or two printers would cover.</t>
        </is>
      </c>
      <c r="T173" s="6" t="inlineStr">
        <is>
          <t>YES</t>
        </is>
      </c>
      <c r="U173" s="9" t="inlineStr">
        <is>
          <t>No Hillsboro contact named. Former Gate Precast yard. Corporate is the only named authority.</t>
        </is>
      </c>
      <c r="V173" s="6" t="inlineStr"/>
      <c r="W173" s="6" t="inlineStr"/>
      <c r="X173" s="6" t="inlineStr"/>
      <c r="Y173" s="6" t="inlineStr"/>
      <c r="Z173" s="6" t="inlineStr">
        <is>
          <t>(254) 582-7200</t>
        </is>
      </c>
      <c r="AA173" s="6" t="inlineStr">
        <is>
          <t>Hillsboro plant</t>
        </is>
      </c>
      <c r="AB173" s="6" t="inlineStr">
        <is>
          <t>https://wells.build/contact/locations/hillsboro-texas/</t>
        </is>
      </c>
      <c r="AC173" s="6" t="inlineStr"/>
      <c r="AD173" s="6" t="inlineStr"/>
    </row>
    <row r="174">
      <c r="A174" s="12" t="inlineStr">
        <is>
          <t>Dan Juntunen</t>
        </is>
      </c>
      <c r="B174" s="12" t="inlineStr">
        <is>
          <t>Wells, Pearland plant</t>
        </is>
      </c>
      <c r="C174" s="12" t="inlineStr">
        <is>
          <t>Chief Executive Officer, Wells</t>
        </is>
      </c>
      <c r="D174" s="13" t="inlineStr">
        <is>
          <t>Builds the wall, not the house</t>
        </is>
      </c>
      <c r="E174" s="14" t="n">
        <v>2</v>
      </c>
      <c r="F174" s="12" t="inlineStr">
        <is>
          <t>Builds the wall</t>
        </is>
      </c>
      <c r="G174" s="12" t="inlineStr">
        <is>
          <t>Pearland, Brazoria County</t>
        </is>
      </c>
      <c r="H174" s="12" t="inlineStr">
        <is>
          <t>32,000 square foot plant, 125-plus projects a year</t>
        </is>
      </c>
      <c r="I174" s="14" t="inlineStr">
        <is>
          <t>Yes</t>
        </is>
      </c>
      <c r="J174" s="15" t="inlineStr">
        <is>
          <t>One product, one plant, one region.</t>
        </is>
      </c>
      <c r="K174" s="14" t="inlineStr">
        <is>
          <t>Partly</t>
        </is>
      </c>
      <c r="L174" s="15" t="inlineStr">
        <is>
          <t>125-plus projects a year, more than one or two machines cover. Hollowcore is plank, not wall.</t>
        </is>
      </c>
      <c r="M174" s="14" t="inlineStr">
        <is>
          <t>No</t>
        </is>
      </c>
      <c r="N174" s="15" t="inlineStr">
        <is>
          <t>No record of buying an unproven method. History is consolidation and certification.</t>
        </is>
      </c>
      <c r="O174" s="6" t="inlineStr">
        <is>
          <t>https://www.linkedin.com/in/dan-juntunen-b2765a14/</t>
        </is>
      </c>
      <c r="P174" s="12" t="inlineStr"/>
      <c r="Q174" s="16">
        <f>IF(O174="","ADD LINKEDIN","ok")</f>
        <v/>
      </c>
      <c r="R174" s="12" t="inlineStr">
        <is>
          <t>https://wells.build/contact/locations/pearland-texas/</t>
        </is>
      </c>
      <c r="S174" s="15" t="inlineStr">
        <is>
          <t>Its one product is hollowcore floor and roof plank, not wall, and the plant is bigger than one or two machines would cover.</t>
        </is>
      </c>
      <c r="T174" s="12" t="inlineStr">
        <is>
          <t>YES</t>
        </is>
      </c>
      <c r="U174" s="15" t="inlineStr">
        <is>
          <t>Quoted in the KPS release. None of 36 listed staff has a Texas or plant title.</t>
        </is>
      </c>
      <c r="V174" s="12" t="inlineStr"/>
      <c r="W174" s="12" t="inlineStr"/>
      <c r="X174" s="12" t="inlineStr"/>
      <c r="Y174" s="12" t="inlineStr"/>
      <c r="Z174" s="12" t="inlineStr">
        <is>
          <t>(281) 485-3273</t>
        </is>
      </c>
      <c r="AA174" s="12" t="inlineStr">
        <is>
          <t>Pearland plant</t>
        </is>
      </c>
      <c r="AB174" s="12" t="inlineStr">
        <is>
          <t>https://wells.build/contact/locations/pearland-texas/</t>
        </is>
      </c>
      <c r="AC174" s="12" t="inlineStr"/>
      <c r="AD174" s="12" t="inlineStr"/>
    </row>
    <row r="175">
      <c r="A175" s="6" t="inlineStr">
        <is>
          <t>Mark Scully</t>
        </is>
      </c>
      <c r="B175" s="6" t="inlineStr">
        <is>
          <t>Encore Concrete Construction</t>
        </is>
      </c>
      <c r="C175" s="6" t="inlineStr">
        <is>
          <t>President</t>
        </is>
      </c>
      <c r="D175" s="7" t="inlineStr">
        <is>
          <t>Builds the wall, not the house</t>
        </is>
      </c>
      <c r="E175" s="8" t="n">
        <v>2</v>
      </c>
      <c r="F175" s="6" t="inlineStr">
        <is>
          <t>Builds the wall</t>
        </is>
      </c>
      <c r="G175" s="6" t="inlineStr">
        <is>
          <t>Spring, Harris and Montgomery</t>
        </is>
      </c>
      <c r="H175" s="6" t="inlineStr">
        <is>
          <t>Employee-owned, and lists elevated multifamily as a project type</t>
        </is>
      </c>
      <c r="I175" s="8" t="inlineStr">
        <is>
          <t>Yes</t>
        </is>
      </c>
      <c r="J175" s="9" t="inlineStr">
        <is>
          <t>Tilt-up warehouses, retail centres and schools recur in Houston.</t>
        </is>
      </c>
      <c r="K175" s="8" t="inlineStr">
        <is>
          <t>Partly</t>
        </is>
      </c>
      <c r="L175" s="9" t="inlineStr">
        <is>
          <t>One published job, 32 panels across four floors. No crew count or annual volume.</t>
        </is>
      </c>
      <c r="M175" s="8" t="inlineStr">
        <is>
          <t>No</t>
        </is>
      </c>
      <c r="N175" s="9" t="inlineStr">
        <is>
          <t>No method statement published.</t>
        </is>
      </c>
      <c r="O175" s="6" t="inlineStr">
        <is>
          <t>https://www.linkedin.com/in/mark-scully-596648201/</t>
        </is>
      </c>
      <c r="P175" s="6" t="inlineStr"/>
      <c r="Q175" s="11">
        <f>IF(O175="","ADD LINKEDIN","ok")</f>
        <v/>
      </c>
      <c r="R175" s="6" t="inlineStr">
        <is>
          <t>https://www.encoreconcrete.com/</t>
        </is>
      </c>
      <c r="S175" s="9" t="inlineStr">
        <is>
          <t>The capital decision is made inside the company, and elevated multifamily is among the seven project types it publishes.</t>
        </is>
      </c>
      <c r="T175" s="6" t="inlineStr">
        <is>
          <t>YES</t>
        </is>
      </c>
      <c r="U175" s="9" t="inlineStr">
        <is>
          <t>LinkedIn headline: President, Encore Concrete Construction. Spring, Texas.</t>
        </is>
      </c>
      <c r="V175" s="6" t="inlineStr"/>
      <c r="W175" s="6" t="inlineStr"/>
      <c r="X175" s="6" t="inlineStr"/>
      <c r="Y175" s="6" t="inlineStr"/>
      <c r="Z175" s="6" t="inlineStr">
        <is>
          <t>(832) 663-6800</t>
        </is>
      </c>
      <c r="AA175" s="6" t="inlineStr"/>
      <c r="AB175" s="6" t="inlineStr">
        <is>
          <t>https://www.encoreconcrete.com/</t>
        </is>
      </c>
      <c r="AC175" s="6" t="inlineStr"/>
      <c r="AD175" s="6" t="inlineStr"/>
    </row>
    <row r="176">
      <c r="A176" s="12" t="inlineStr">
        <is>
          <t>Tim Manherz</t>
        </is>
      </c>
      <c r="B176" s="12" t="inlineStr">
        <is>
          <t>Encore Concrete Construction</t>
        </is>
      </c>
      <c r="C176" s="12" t="inlineStr">
        <is>
          <t>Vice President</t>
        </is>
      </c>
      <c r="D176" s="13" t="inlineStr">
        <is>
          <t>Builds the wall, not the house</t>
        </is>
      </c>
      <c r="E176" s="14" t="n">
        <v>2</v>
      </c>
      <c r="F176" s="12" t="inlineStr">
        <is>
          <t>Builds the wall</t>
        </is>
      </c>
      <c r="G176" s="12" t="inlineStr">
        <is>
          <t>Spring, Harris and Montgomery</t>
        </is>
      </c>
      <c r="H176" s="12" t="inlineStr">
        <is>
          <t>Employee-owned, and lists elevated multifamily as a project type</t>
        </is>
      </c>
      <c r="I176" s="14" t="inlineStr">
        <is>
          <t>Yes</t>
        </is>
      </c>
      <c r="J176" s="15" t="inlineStr">
        <is>
          <t>Tilt-up warehouses, retail centres and schools recur in Houston.</t>
        </is>
      </c>
      <c r="K176" s="14" t="inlineStr">
        <is>
          <t>Partly</t>
        </is>
      </c>
      <c r="L176" s="15" t="inlineStr">
        <is>
          <t>One published job, 32 panels across four floors. No crew count or annual volume.</t>
        </is>
      </c>
      <c r="M176" s="14" t="inlineStr">
        <is>
          <t>No</t>
        </is>
      </c>
      <c r="N176" s="15" t="inlineStr">
        <is>
          <t>No method statement published.</t>
        </is>
      </c>
      <c r="O176" s="6" t="inlineStr">
        <is>
          <t>https://www.linkedin.com/in/tim-manherz-9a2b62148/</t>
        </is>
      </c>
      <c r="P176" s="12" t="inlineStr"/>
      <c r="Q176" s="16">
        <f>IF(O176="","ADD LINKEDIN","ok")</f>
        <v/>
      </c>
      <c r="R176" s="12" t="inlineStr">
        <is>
          <t>https://www.encoreconcrete.com/</t>
        </is>
      </c>
      <c r="S176" s="15" t="inlineStr">
        <is>
          <t>The capital decision is made inside the company, and elevated multifamily is among the seven project types it publishes.</t>
        </is>
      </c>
      <c r="T176" s="12" t="inlineStr">
        <is>
          <t>YES</t>
        </is>
      </c>
      <c r="U176" s="15" t="inlineStr">
        <is>
          <t>LinkedIn headline: Vice President, Encore Concrete Construction. Greater Houston.</t>
        </is>
      </c>
      <c r="V176" s="12" t="inlineStr"/>
      <c r="W176" s="12" t="inlineStr"/>
      <c r="X176" s="12" t="inlineStr"/>
      <c r="Y176" s="12" t="inlineStr"/>
      <c r="Z176" s="12" t="inlineStr">
        <is>
          <t>(832) 663-6800</t>
        </is>
      </c>
      <c r="AA176" s="12" t="inlineStr"/>
      <c r="AB176" s="12" t="inlineStr">
        <is>
          <t>https://www.encoreconcrete.com/</t>
        </is>
      </c>
      <c r="AC176" s="12" t="inlineStr"/>
      <c r="AD176" s="12" t="inlineStr"/>
    </row>
    <row r="177">
      <c r="A177" s="6" t="inlineStr">
        <is>
          <t>Kevin Medlin</t>
        </is>
      </c>
      <c r="B177" s="6" t="inlineStr">
        <is>
          <t>NAPCO Precast</t>
        </is>
      </c>
      <c r="C177" s="6" t="inlineStr">
        <is>
          <t>President</t>
        </is>
      </c>
      <c r="D177" s="7" t="inlineStr">
        <is>
          <t>Builds the wall, not the house</t>
        </is>
      </c>
      <c r="E177" s="8" t="n">
        <v>2</v>
      </c>
      <c r="F177" s="6" t="inlineStr">
        <is>
          <t>Builds the wall</t>
        </is>
      </c>
      <c r="G177" s="6" t="inlineStr">
        <is>
          <t>San Antonio, Low Bid Lane</t>
        </is>
      </c>
      <c r="H177" s="6" t="inlineStr">
        <is>
          <t>500-plus projects since 1994</t>
        </is>
      </c>
      <c r="I177" s="8" t="inlineStr">
        <is>
          <t>Yes</t>
        </is>
      </c>
      <c r="J177" s="9" t="inlineStr">
        <is>
          <t>One plant casting parking structures and multi-family elements repeatedly since 1994.</t>
        </is>
      </c>
      <c r="K177" s="8" t="inlineStr">
        <is>
          <t>Partly</t>
        </is>
      </c>
      <c r="L177" s="9" t="inlineStr">
        <is>
          <t>A statewide plant, larger than one or two printers cover. Smaller than multi-plant producers.</t>
        </is>
      </c>
      <c r="M177" s="8" t="inlineStr">
        <is>
          <t>No</t>
        </is>
      </c>
      <c r="N177" s="9" t="inlineStr">
        <is>
          <t>No record of buying an unproven method.</t>
        </is>
      </c>
      <c r="O177" s="6" t="inlineStr">
        <is>
          <t>https://www.linkedin.com/in/kevin-medlin-8693832b/</t>
        </is>
      </c>
      <c r="P177" s="6" t="inlineStr"/>
      <c r="Q177" s="11">
        <f>IF(O177="","ADD LINKEDIN","ok")</f>
        <v/>
      </c>
      <c r="R177" s="6" t="inlineStr">
        <is>
          <t>https://www.napcoprecast.com/</t>
        </is>
      </c>
      <c r="S177" s="9" t="inlineStr">
        <is>
          <t>Its published markets include multi-family residential, but its single plant already casts more than one or two printers would cover.</t>
        </is>
      </c>
      <c r="T177" s="6" t="inlineStr">
        <is>
          <t>YES</t>
        </is>
      </c>
      <c r="U177" s="9" t="inlineStr">
        <is>
          <t>Firm history, present tense: leads the company, expanding product lines.</t>
        </is>
      </c>
      <c r="V177" s="6" t="inlineStr"/>
      <c r="W177" s="6" t="inlineStr"/>
      <c r="X177" s="6" t="inlineStr"/>
      <c r="Y177" s="6" t="inlineStr"/>
      <c r="Z177" s="6" t="inlineStr">
        <is>
          <t>(210) 509-9100</t>
        </is>
      </c>
      <c r="AA177" s="6" t="inlineStr">
        <is>
          <t>the only number published</t>
        </is>
      </c>
      <c r="AB177" s="6" t="inlineStr">
        <is>
          <t>https://www.napcoprecast.com/contact</t>
        </is>
      </c>
      <c r="AC177" s="6" t="inlineStr"/>
      <c r="AD177" s="6" t="inlineStr"/>
    </row>
    <row r="178">
      <c r="A178" s="12" t="inlineStr">
        <is>
          <t>Jaime Iragorri</t>
        </is>
      </c>
      <c r="B178" s="12" t="inlineStr">
        <is>
          <t>NAPCO Precast</t>
        </is>
      </c>
      <c r="C178" s="12" t="inlineStr">
        <is>
          <t>Founder</t>
        </is>
      </c>
      <c r="D178" s="13" t="inlineStr">
        <is>
          <t>Builds the wall, not the house</t>
        </is>
      </c>
      <c r="E178" s="14" t="n">
        <v>2</v>
      </c>
      <c r="F178" s="12" t="inlineStr">
        <is>
          <t>Builds the wall</t>
        </is>
      </c>
      <c r="G178" s="12" t="inlineStr">
        <is>
          <t>San Antonio, Low Bid Lane</t>
        </is>
      </c>
      <c r="H178" s="12" t="inlineStr">
        <is>
          <t>500-plus projects since 1994</t>
        </is>
      </c>
      <c r="I178" s="14" t="inlineStr">
        <is>
          <t>Yes</t>
        </is>
      </c>
      <c r="J178" s="15" t="inlineStr">
        <is>
          <t>One plant casting parking structures and multi-family elements repeatedly since 1994.</t>
        </is>
      </c>
      <c r="K178" s="14" t="inlineStr">
        <is>
          <t>Partly</t>
        </is>
      </c>
      <c r="L178" s="15" t="inlineStr">
        <is>
          <t>A statewide plant, larger than one or two printers cover. Smaller than multi-plant producers.</t>
        </is>
      </c>
      <c r="M178" s="14" t="inlineStr">
        <is>
          <t>No</t>
        </is>
      </c>
      <c r="N178" s="15" t="inlineStr">
        <is>
          <t>No record of buying an unproven method.</t>
        </is>
      </c>
      <c r="O178" s="10" t="inlineStr"/>
      <c r="P178" s="12" t="inlineStr"/>
      <c r="Q178" s="16">
        <f>IF(O178="","ADD LINKEDIN","ok")</f>
        <v/>
      </c>
      <c r="R178" s="12" t="inlineStr">
        <is>
          <t>https://www.napcoprecast.com/</t>
        </is>
      </c>
      <c r="S178" s="15" t="inlineStr">
        <is>
          <t>Its published markets include multi-family residential, but its single plant already casts more than one or two printers would cover.</t>
        </is>
      </c>
      <c r="T178" s="12" t="inlineStr"/>
      <c r="U178" s="15" t="inlineStr">
        <is>
          <t>Firm history.</t>
        </is>
      </c>
      <c r="V178" s="12" t="inlineStr">
        <is>
          <t>https://www.napcoprecast.com/the-company/our-story</t>
        </is>
      </c>
      <c r="W178" s="12" t="inlineStr"/>
      <c r="X178" s="12" t="inlineStr"/>
      <c r="Y178" s="12" t="inlineStr"/>
      <c r="Z178" s="12" t="inlineStr">
        <is>
          <t>(210) 509-9100</t>
        </is>
      </c>
      <c r="AA178" s="12" t="inlineStr">
        <is>
          <t>the only number published</t>
        </is>
      </c>
      <c r="AB178" s="12" t="inlineStr">
        <is>
          <t>https://www.napcoprecast.com/contact</t>
        </is>
      </c>
      <c r="AC178" s="12" t="inlineStr"/>
      <c r="AD178" s="12" t="inlineStr"/>
    </row>
    <row r="179">
      <c r="A179" s="6" t="inlineStr">
        <is>
          <t>Steve Salverino</t>
        </is>
      </c>
      <c r="B179" s="6" t="inlineStr">
        <is>
          <t>Rino Construction</t>
        </is>
      </c>
      <c r="C179" s="6" t="inlineStr">
        <is>
          <t>Chief Executive Officer</t>
        </is>
      </c>
      <c r="D179" s="7" t="inlineStr">
        <is>
          <t>Builds the wall, not the house</t>
        </is>
      </c>
      <c r="E179" s="8" t="n">
        <v>2</v>
      </c>
      <c r="F179" s="6" t="inlineStr">
        <is>
          <t>Builds the wall</t>
        </is>
      </c>
      <c r="G179" s="6" t="inlineStr">
        <is>
          <t>Katy, Harris and Fort Bend, with Austin</t>
        </is>
      </c>
      <c r="H179" s="6" t="inlineStr">
        <is>
          <t>Operating since 1991, tilt-up its stated specialty</t>
        </is>
      </c>
      <c r="I179" s="8" t="inlineStr">
        <is>
          <t>Yes</t>
        </is>
      </c>
      <c r="J179" s="9" t="inlineStr">
        <is>
          <t>48 million square feet of tilt-up across two Texas metros since 1991, on its own count.</t>
        </is>
      </c>
      <c r="K179" s="8" t="inlineStr">
        <is>
          <t>Partly</t>
        </is>
      </c>
      <c r="L179" s="9" t="inlineStr">
        <is>
          <t>48 million square feet, its own count. Older page figure: 38 million. No yearly figure.</t>
        </is>
      </c>
      <c r="M179" s="8" t="inlineStr">
        <is>
          <t>No</t>
        </is>
      </c>
      <c r="N179" s="9" t="inlineStr">
        <is>
          <t>No method statement published.</t>
        </is>
      </c>
      <c r="O179" s="10" t="inlineStr"/>
      <c r="P179" s="6" t="inlineStr"/>
      <c r="Q179" s="11">
        <f>IF(O179="","ADD LINKEDIN","ok")</f>
        <v/>
      </c>
      <c r="R179" s="6" t="inlineStr">
        <is>
          <t>https://rino-con.com/</t>
        </is>
      </c>
      <c r="S179" s="9" t="inlineStr">
        <is>
          <t>Its own site puts its self-performed concrete in the past tense, so whether it still owns concrete crews is unconfirmed.</t>
        </is>
      </c>
      <c r="T179" s="6" t="inlineStr"/>
      <c r="U179" s="9" t="inlineStr">
        <is>
          <t>Leadership page.</t>
        </is>
      </c>
      <c r="V179" s="6" t="inlineStr">
        <is>
          <t>https://rino-con.com/leadership/</t>
        </is>
      </c>
      <c r="W179" s="6" t="inlineStr"/>
      <c r="X179" s="6" t="inlineStr">
        <is>
          <t>https://rino-con.com/leadership/</t>
        </is>
      </c>
      <c r="Y179" s="6" t="inlineStr"/>
      <c r="Z179" s="6" t="inlineStr">
        <is>
          <t>(281) 207-0700</t>
        </is>
      </c>
      <c r="AA179" s="6" t="inlineStr">
        <is>
          <t>Houston, at Katy</t>
        </is>
      </c>
      <c r="AB179" s="6" t="inlineStr">
        <is>
          <t>https://rino-con.com/</t>
        </is>
      </c>
      <c r="AC179" s="6" t="inlineStr"/>
      <c r="AD179" s="6" t="inlineStr"/>
    </row>
    <row r="180">
      <c r="A180" s="12" t="inlineStr">
        <is>
          <t>Jacob Aswad</t>
        </is>
      </c>
      <c r="B180" s="12" t="inlineStr">
        <is>
          <t>Rino Construction</t>
        </is>
      </c>
      <c r="C180" s="12" t="inlineStr">
        <is>
          <t>President</t>
        </is>
      </c>
      <c r="D180" s="13" t="inlineStr">
        <is>
          <t>Builds the wall, not the house</t>
        </is>
      </c>
      <c r="E180" s="14" t="n">
        <v>2</v>
      </c>
      <c r="F180" s="12" t="inlineStr">
        <is>
          <t>Builds the wall</t>
        </is>
      </c>
      <c r="G180" s="12" t="inlineStr">
        <is>
          <t>Katy, Harris and Fort Bend, with Austin</t>
        </is>
      </c>
      <c r="H180" s="12" t="inlineStr">
        <is>
          <t>Operating since 1991, tilt-up its stated specialty</t>
        </is>
      </c>
      <c r="I180" s="14" t="inlineStr">
        <is>
          <t>Yes</t>
        </is>
      </c>
      <c r="J180" s="15" t="inlineStr">
        <is>
          <t>48 million square feet of tilt-up across two Texas metros since 1991, on its own count.</t>
        </is>
      </c>
      <c r="K180" s="14" t="inlineStr">
        <is>
          <t>Partly</t>
        </is>
      </c>
      <c r="L180" s="15" t="inlineStr">
        <is>
          <t>48 million square feet, its own count. Older page figure: 38 million. No yearly figure.</t>
        </is>
      </c>
      <c r="M180" s="14" t="inlineStr">
        <is>
          <t>No</t>
        </is>
      </c>
      <c r="N180" s="15" t="inlineStr">
        <is>
          <t>No method statement published.</t>
        </is>
      </c>
      <c r="O180" s="10" t="inlineStr"/>
      <c r="P180" s="12" t="inlineStr"/>
      <c r="Q180" s="16">
        <f>IF(O180="","ADD LINKEDIN","ok")</f>
        <v/>
      </c>
      <c r="R180" s="12" t="inlineStr">
        <is>
          <t>https://rino-con.com/</t>
        </is>
      </c>
      <c r="S180" s="15" t="inlineStr">
        <is>
          <t>Its own site puts its self-performed concrete in the past tense, so whether it still owns concrete crews is unconfirmed.</t>
        </is>
      </c>
      <c r="T180" s="12" t="inlineStr"/>
      <c r="U180" s="15" t="inlineStr">
        <is>
          <t>Leadership page.</t>
        </is>
      </c>
      <c r="V180" s="12" t="inlineStr">
        <is>
          <t>https://rino-con.com/leadership/</t>
        </is>
      </c>
      <c r="W180" s="12" t="inlineStr"/>
      <c r="X180" s="12" t="inlineStr">
        <is>
          <t>https://rino-con.com/leadership/</t>
        </is>
      </c>
      <c r="Y180" s="12" t="inlineStr"/>
      <c r="Z180" s="12" t="inlineStr">
        <is>
          <t>(281) 207-0700</t>
        </is>
      </c>
      <c r="AA180" s="12" t="inlineStr">
        <is>
          <t>Houston, at Katy</t>
        </is>
      </c>
      <c r="AB180" s="12" t="inlineStr">
        <is>
          <t>https://rino-con.com/</t>
        </is>
      </c>
      <c r="AC180" s="12" t="inlineStr"/>
      <c r="AD180" s="12" t="inlineStr"/>
    </row>
    <row r="181">
      <c r="A181" s="6" t="inlineStr">
        <is>
          <t>Justin Henderson</t>
        </is>
      </c>
      <c r="B181" s="6" t="inlineStr">
        <is>
          <t>Rino Construction</t>
        </is>
      </c>
      <c r="C181" s="6" t="inlineStr">
        <is>
          <t>Vice President</t>
        </is>
      </c>
      <c r="D181" s="7" t="inlineStr">
        <is>
          <t>Builds the wall, not the house</t>
        </is>
      </c>
      <c r="E181" s="8" t="n">
        <v>2</v>
      </c>
      <c r="F181" s="6" t="inlineStr">
        <is>
          <t>Builds the wall</t>
        </is>
      </c>
      <c r="G181" s="6" t="inlineStr">
        <is>
          <t>Katy, Harris and Fort Bend, with Austin</t>
        </is>
      </c>
      <c r="H181" s="6" t="inlineStr">
        <is>
          <t>Operating since 1991, tilt-up its stated specialty</t>
        </is>
      </c>
      <c r="I181" s="8" t="inlineStr">
        <is>
          <t>Yes</t>
        </is>
      </c>
      <c r="J181" s="9" t="inlineStr">
        <is>
          <t>48 million square feet of tilt-up across two Texas metros since 1991, on its own count.</t>
        </is>
      </c>
      <c r="K181" s="8" t="inlineStr">
        <is>
          <t>Partly</t>
        </is>
      </c>
      <c r="L181" s="9" t="inlineStr">
        <is>
          <t>48 million square feet, its own count. Older page figure: 38 million. No yearly figure.</t>
        </is>
      </c>
      <c r="M181" s="8" t="inlineStr">
        <is>
          <t>No</t>
        </is>
      </c>
      <c r="N181" s="9" t="inlineStr">
        <is>
          <t>No method statement published.</t>
        </is>
      </c>
      <c r="O181" s="10" t="inlineStr"/>
      <c r="P181" s="6" t="inlineStr"/>
      <c r="Q181" s="11">
        <f>IF(O181="","ADD LINKEDIN","ok")</f>
        <v/>
      </c>
      <c r="R181" s="6" t="inlineStr">
        <is>
          <t>https://rino-con.com/</t>
        </is>
      </c>
      <c r="S181" s="9" t="inlineStr">
        <is>
          <t>Its own site puts its self-performed concrete in the past tense, so whether it still owns concrete crews is unconfirmed.</t>
        </is>
      </c>
      <c r="T181" s="6" t="inlineStr"/>
      <c r="U181" s="9" t="inlineStr">
        <is>
          <t>Leadership page.</t>
        </is>
      </c>
      <c r="V181" s="6" t="inlineStr">
        <is>
          <t>https://rino-con.com/leadership/</t>
        </is>
      </c>
      <c r="W181" s="6" t="inlineStr"/>
      <c r="X181" s="6" t="inlineStr">
        <is>
          <t>https://rino-con.com/leadership/</t>
        </is>
      </c>
      <c r="Y181" s="6" t="inlineStr"/>
      <c r="Z181" s="6" t="inlineStr">
        <is>
          <t>(281) 207-0700</t>
        </is>
      </c>
      <c r="AA181" s="6" t="inlineStr">
        <is>
          <t>Houston, at Katy</t>
        </is>
      </c>
      <c r="AB181" s="6" t="inlineStr">
        <is>
          <t>https://rino-con.com/</t>
        </is>
      </c>
      <c r="AC181" s="6" t="inlineStr"/>
      <c r="AD181" s="6" t="inlineStr"/>
    </row>
    <row r="182">
      <c r="A182" s="12" t="inlineStr">
        <is>
          <t>Jeff Rager</t>
        </is>
      </c>
      <c r="B182" s="12" t="inlineStr">
        <is>
          <t>Rino Construction</t>
        </is>
      </c>
      <c r="C182" s="12" t="inlineStr">
        <is>
          <t>Senior Project Manager</t>
        </is>
      </c>
      <c r="D182" s="13" t="inlineStr">
        <is>
          <t>Builds the wall, not the house</t>
        </is>
      </c>
      <c r="E182" s="14" t="n">
        <v>2</v>
      </c>
      <c r="F182" s="12" t="inlineStr">
        <is>
          <t>Builds the wall</t>
        </is>
      </c>
      <c r="G182" s="12" t="inlineStr">
        <is>
          <t>Katy, Harris and Fort Bend, with Austin</t>
        </is>
      </c>
      <c r="H182" s="12" t="inlineStr">
        <is>
          <t>Operating since 1991, tilt-up its stated specialty</t>
        </is>
      </c>
      <c r="I182" s="14" t="inlineStr">
        <is>
          <t>Yes</t>
        </is>
      </c>
      <c r="J182" s="15" t="inlineStr">
        <is>
          <t>48 million square feet of tilt-up across two Texas metros since 1991, on its own count.</t>
        </is>
      </c>
      <c r="K182" s="14" t="inlineStr">
        <is>
          <t>Partly</t>
        </is>
      </c>
      <c r="L182" s="15" t="inlineStr">
        <is>
          <t>48 million square feet, its own count. Older page figure: 38 million. No yearly figure.</t>
        </is>
      </c>
      <c r="M182" s="14" t="inlineStr">
        <is>
          <t>No</t>
        </is>
      </c>
      <c r="N182" s="15" t="inlineStr">
        <is>
          <t>No method statement published.</t>
        </is>
      </c>
      <c r="O182" s="6" t="inlineStr">
        <is>
          <t>https://www.linkedin.com/in/jeff-rager-b0ab6a380/</t>
        </is>
      </c>
      <c r="P182" s="12" t="inlineStr"/>
      <c r="Q182" s="16">
        <f>IF(O182="","ADD LINKEDIN","ok")</f>
        <v/>
      </c>
      <c r="R182" s="12" t="inlineStr">
        <is>
          <t>https://rino-con.com/</t>
        </is>
      </c>
      <c r="S182" s="15" t="inlineStr">
        <is>
          <t>Its own site puts its self-performed concrete in the past tense, so whether it still owns concrete crews is unconfirmed.</t>
        </is>
      </c>
      <c r="T182" s="12" t="inlineStr"/>
      <c r="U182" s="15" t="inlineStr">
        <is>
          <t>LinkedIn headline: Senior Project Manager, Rino (Rosenberger) Construction. Spring, Texas. Confirms the rename.</t>
        </is>
      </c>
      <c r="V182" s="12" t="inlineStr"/>
      <c r="W182" s="12" t="inlineStr"/>
      <c r="X182" s="12" t="inlineStr">
        <is>
          <t>https://rino-con.com/leadership/</t>
        </is>
      </c>
      <c r="Y182" s="12" t="inlineStr"/>
      <c r="Z182" s="12" t="inlineStr">
        <is>
          <t>(281) 207-0700</t>
        </is>
      </c>
      <c r="AA182" s="12" t="inlineStr">
        <is>
          <t>Houston, at Katy</t>
        </is>
      </c>
      <c r="AB182" s="12" t="inlineStr">
        <is>
          <t>https://rino-con.com/</t>
        </is>
      </c>
      <c r="AC182" s="12" t="inlineStr"/>
      <c r="AD182" s="12" t="inlineStr"/>
    </row>
    <row r="183">
      <c r="A183" s="6" t="inlineStr">
        <is>
          <t>James Abbate</t>
        </is>
      </c>
      <c r="B183" s="6" t="inlineStr">
        <is>
          <t>Rino Construction</t>
        </is>
      </c>
      <c r="C183" s="6" t="inlineStr">
        <is>
          <t>Controller</t>
        </is>
      </c>
      <c r="D183" s="7" t="inlineStr">
        <is>
          <t>Builds the wall, not the house</t>
        </is>
      </c>
      <c r="E183" s="8" t="n">
        <v>2</v>
      </c>
      <c r="F183" s="6" t="inlineStr">
        <is>
          <t>Builds the wall</t>
        </is>
      </c>
      <c r="G183" s="6" t="inlineStr">
        <is>
          <t>Katy, Harris and Fort Bend, with Austin</t>
        </is>
      </c>
      <c r="H183" s="6" t="inlineStr">
        <is>
          <t>Operating since 1991, tilt-up its stated specialty</t>
        </is>
      </c>
      <c r="I183" s="8" t="inlineStr">
        <is>
          <t>Yes</t>
        </is>
      </c>
      <c r="J183" s="9" t="inlineStr">
        <is>
          <t>48 million square feet of tilt-up across two Texas metros since 1991, on its own count.</t>
        </is>
      </c>
      <c r="K183" s="8" t="inlineStr">
        <is>
          <t>Partly</t>
        </is>
      </c>
      <c r="L183" s="9" t="inlineStr">
        <is>
          <t>48 million square feet, its own count. Older page figure: 38 million. No yearly figure.</t>
        </is>
      </c>
      <c r="M183" s="8" t="inlineStr">
        <is>
          <t>No</t>
        </is>
      </c>
      <c r="N183" s="9" t="inlineStr">
        <is>
          <t>No method statement published.</t>
        </is>
      </c>
      <c r="O183" s="6" t="inlineStr">
        <is>
          <t>https://www.linkedin.com/in/james-abbate/</t>
        </is>
      </c>
      <c r="P183" s="6" t="inlineStr"/>
      <c r="Q183" s="11">
        <f>IF(O183="","ADD LINKEDIN","ok")</f>
        <v/>
      </c>
      <c r="R183" s="6" t="inlineStr">
        <is>
          <t>https://rino-con.com/</t>
        </is>
      </c>
      <c r="S183" s="9" t="inlineStr">
        <is>
          <t>Its own site puts its self-performed concrete in the past tense, so whether it still owns concrete crews is unconfirmed.</t>
        </is>
      </c>
      <c r="T183" s="6" t="inlineStr"/>
      <c r="U183" s="9" t="inlineStr">
        <is>
          <t>LinkedIn headline: Controller, Rosenberger Construction. Katy, Texas.</t>
        </is>
      </c>
      <c r="V183" s="6" t="inlineStr"/>
      <c r="W183" s="6" t="inlineStr"/>
      <c r="X183" s="6" t="inlineStr">
        <is>
          <t>https://rino-con.com/leadership/</t>
        </is>
      </c>
      <c r="Y183" s="6" t="inlineStr"/>
      <c r="Z183" s="6" t="inlineStr">
        <is>
          <t>(281) 207-0700</t>
        </is>
      </c>
      <c r="AA183" s="6" t="inlineStr">
        <is>
          <t>Houston, at Katy</t>
        </is>
      </c>
      <c r="AB183" s="6" t="inlineStr">
        <is>
          <t>https://rino-con.com/</t>
        </is>
      </c>
      <c r="AC183" s="6" t="inlineStr"/>
      <c r="AD183" s="6" t="inlineStr"/>
    </row>
    <row r="184">
      <c r="A184" s="12" t="inlineStr">
        <is>
          <t>Don Jackson</t>
        </is>
      </c>
      <c r="B184" s="12" t="inlineStr">
        <is>
          <t>Solid Foundations</t>
        </is>
      </c>
      <c r="C184" s="12" t="inlineStr">
        <is>
          <t>Owner and President</t>
        </is>
      </c>
      <c r="D184" s="13" t="inlineStr">
        <is>
          <t>Builds the wall, not the house</t>
        </is>
      </c>
      <c r="E184" s="14" t="n">
        <v>2</v>
      </c>
      <c r="F184" s="12" t="inlineStr">
        <is>
          <t>Builds the wall</t>
        </is>
      </c>
      <c r="G184" s="12" t="inlineStr">
        <is>
          <t>Conroe, Montgomery County, and across the state</t>
        </is>
      </c>
      <c r="H184" s="12" t="inlineStr">
        <is>
          <t>Founded 1999, rebar and post-tension foundations</t>
        </is>
      </c>
      <c r="I184" s="14" t="inlineStr">
        <is>
          <t>Partly</t>
        </is>
      </c>
      <c r="J184" s="15" t="inlineStr">
        <is>
          <t>Foundations repeat across the region. Listed projects are commercial, not production homes.</t>
        </is>
      </c>
      <c r="K184" s="14" t="inlineStr">
        <is>
          <t>Yes</t>
        </is>
      </c>
      <c r="L184" s="15" t="inlineStr">
        <is>
          <t>Single office. One or two machines cover a real share of its work.</t>
        </is>
      </c>
      <c r="M184" s="14" t="inlineStr">
        <is>
          <t>No</t>
        </is>
      </c>
      <c r="N184" s="15" t="inlineStr">
        <is>
          <t>No record of buying an unproven method.</t>
        </is>
      </c>
      <c r="O184" s="6" t="inlineStr">
        <is>
          <t>https://www.linkedin.com/in/don-jackson-2366351a/</t>
        </is>
      </c>
      <c r="P184" s="12" t="inlineStr"/>
      <c r="Q184" s="16">
        <f>IF(O184="","ADD LINKEDIN","ok")</f>
        <v/>
      </c>
      <c r="R184" s="12" t="inlineStr">
        <is>
          <t>https://solidfoundationsltd.com/about.php</t>
        </is>
      </c>
      <c r="S184" s="15" t="inlineStr">
        <is>
          <t>It works from a single Conroe office, so one or two machines would cover a real share of its work.</t>
        </is>
      </c>
      <c r="T184" s="12" t="inlineStr">
        <is>
          <t>YES</t>
        </is>
      </c>
      <c r="U184" s="15" t="inlineStr">
        <is>
          <t>LinkedIn headline names the firm. His name is common. The only person published.</t>
        </is>
      </c>
      <c r="V184" s="12" t="inlineStr"/>
      <c r="W184" s="12" t="inlineStr"/>
      <c r="X184" s="12" t="inlineStr"/>
      <c r="Y184" s="12" t="inlineStr"/>
      <c r="Z184" s="12" t="inlineStr">
        <is>
          <t>(281) 798-4821</t>
        </is>
      </c>
      <c r="AA184" s="12" t="inlineStr">
        <is>
          <t>main</t>
        </is>
      </c>
      <c r="AB184" s="12" t="inlineStr">
        <is>
          <t>https://solidfoundationsltd.com/about.php</t>
        </is>
      </c>
      <c r="AC184" s="12" t="inlineStr"/>
      <c r="AD184" s="12" t="inlineStr"/>
    </row>
    <row r="185">
      <c r="A185" s="6" t="inlineStr">
        <is>
          <t>Francisco Trevino</t>
        </is>
      </c>
      <c r="B185" s="6" t="inlineStr">
        <is>
          <t>Texan Pumpers Company</t>
        </is>
      </c>
      <c r="C185" s="6" t="inlineStr">
        <is>
          <t>Title not published</t>
        </is>
      </c>
      <c r="D185" s="7" t="inlineStr">
        <is>
          <t>Builds the wall, not the house</t>
        </is>
      </c>
      <c r="E185" s="8" t="n">
        <v>2</v>
      </c>
      <c r="F185" s="6" t="inlineStr">
        <is>
          <t>Builds the wall</t>
        </is>
      </c>
      <c r="G185" s="6" t="inlineStr">
        <is>
          <t>Kingwood, serving a 150-mile radius</t>
        </is>
      </c>
      <c r="H185" s="6" t="inlineStr">
        <is>
          <t>Over 30 pump trucks, 45 to 50 percent annual growth</t>
        </is>
      </c>
      <c r="I185" s="8" t="inlineStr">
        <is>
          <t>Yes</t>
        </is>
      </c>
      <c r="J185" s="9" t="inlineStr">
        <is>
          <t>Daily placement across one region.</t>
        </is>
      </c>
      <c r="K185" s="8" t="inlineStr">
        <is>
          <t>Partly</t>
        </is>
      </c>
      <c r="L185" s="9" t="inlineStr">
        <is>
          <t>More placement capacity than one or two printers.</t>
        </is>
      </c>
      <c r="M185" s="8" t="inlineStr">
        <is>
          <t>No</t>
        </is>
      </c>
      <c r="N185" s="9" t="inlineStr">
        <is>
          <t>No record of buying an unproven method. Focus is fleet growth and service.</t>
        </is>
      </c>
      <c r="O185" s="6" t="inlineStr">
        <is>
          <t>https://www.linkedin.com/in/francisco-trevino-3b122822b/</t>
        </is>
      </c>
      <c r="P185" s="6" t="inlineStr"/>
      <c r="Q185" s="11">
        <f>IF(O185="","ADD LINKEDIN","ok")</f>
        <v/>
      </c>
      <c r="R185" s="6" t="inlineStr">
        <is>
          <t>https://texconpumping.com/</t>
        </is>
      </c>
      <c r="S185" s="9" t="inlineStr">
        <is>
          <t>It already sells placement to home builders, but its focus is fleet growth and service, not a new method.</t>
        </is>
      </c>
      <c r="T185" s="6" t="inlineStr"/>
      <c r="U185" s="9" t="inlineStr">
        <is>
          <t>LinkedIn headline names the company. No title shown.</t>
        </is>
      </c>
      <c r="V185" s="6" t="inlineStr"/>
      <c r="W185" s="6" t="inlineStr"/>
      <c r="X185" s="6" t="inlineStr"/>
      <c r="Y185" s="6" t="inlineStr"/>
      <c r="Z185" s="6" t="inlineStr">
        <is>
          <t>(713) 588-3500</t>
        </is>
      </c>
      <c r="AA185" s="6" t="inlineStr">
        <is>
          <t>the only number published</t>
        </is>
      </c>
      <c r="AB185" s="6" t="inlineStr">
        <is>
          <t>https://texconpumping.com/</t>
        </is>
      </c>
      <c r="AC185" s="6" t="inlineStr"/>
      <c r="AD185" s="6" t="inlineStr"/>
    </row>
    <row r="186">
      <c r="A186" s="12" t="inlineStr">
        <is>
          <t>David Buzzelli</t>
        </is>
      </c>
      <c r="B186" s="12" t="inlineStr">
        <is>
          <t>Texas A&amp;M Concrete</t>
        </is>
      </c>
      <c r="C186" s="12" t="inlineStr">
        <is>
          <t>Vice President</t>
        </is>
      </c>
      <c r="D186" s="13" t="inlineStr">
        <is>
          <t>Builds the wall, not the house</t>
        </is>
      </c>
      <c r="E186" s="14" t="n">
        <v>2</v>
      </c>
      <c r="F186" s="12" t="inlineStr">
        <is>
          <t>Builds the wall</t>
        </is>
      </c>
      <c r="G186" s="12" t="inlineStr">
        <is>
          <t>Houston, Harris</t>
        </is>
      </c>
      <c r="H186" s="12" t="inlineStr">
        <is>
          <t>79 panels and 52,116 square feet of tilt-up wall on one job</t>
        </is>
      </c>
      <c r="I186" s="14" t="inlineStr">
        <is>
          <t>Yes</t>
        </is>
      </c>
      <c r="J186" s="15" t="inlineStr">
        <is>
          <t>Tilt-up panels repeat inside one metro even when the buildings differ.</t>
        </is>
      </c>
      <c r="K186" s="14" t="inlineStr">
        <is>
          <t>Partly</t>
        </is>
      </c>
      <c r="L186" s="15" t="inlineStr">
        <is>
          <t>Jobs run $500,000 to $15 million. A printer would be one line.</t>
        </is>
      </c>
      <c r="M186" s="14" t="inlineStr">
        <is>
          <t>No</t>
        </is>
      </c>
      <c r="N186" s="15" t="inlineStr">
        <is>
          <t>No method statement published. Sits on concrete standards committees.</t>
        </is>
      </c>
      <c r="O186" s="6" t="inlineStr">
        <is>
          <t>https://www.linkedin.com/in/david-buzzelli-faci-77109b29/</t>
        </is>
      </c>
      <c r="P186" s="12" t="inlineStr"/>
      <c r="Q186" s="16">
        <f>IF(O186="","ADD LINKEDIN","ok")</f>
        <v/>
      </c>
      <c r="R186" s="12" t="inlineStr">
        <is>
          <t>https://www.texasamconcrete.com/</t>
        </is>
      </c>
      <c r="S186" s="15" t="inlineStr">
        <is>
          <t>Its tilt-up panels repeat from job to job, but a printer would be one line on jobs of $500,000 to $15 million.</t>
        </is>
      </c>
      <c r="T186" s="12" t="inlineStr">
        <is>
          <t>YES</t>
        </is>
      </c>
      <c r="U186" s="15" t="inlineStr">
        <is>
          <t>LinkedIn headline: Vice President, Texas A&amp;M Concrete. Houston. Named a founder in its news post.</t>
        </is>
      </c>
      <c r="V186" s="12" t="inlineStr"/>
      <c r="W186" s="12" t="inlineStr"/>
      <c r="X186" s="12" t="inlineStr"/>
      <c r="Y186" s="12" t="inlineStr"/>
      <c r="Z186" s="12" t="inlineStr">
        <is>
          <t>(281) 405-9557</t>
        </is>
      </c>
      <c r="AA186" s="12" t="inlineStr">
        <is>
          <t>office</t>
        </is>
      </c>
      <c r="AB186" s="12" t="inlineStr">
        <is>
          <t>https://www.texasamconcrete.com/</t>
        </is>
      </c>
      <c r="AC186" s="12" t="inlineStr"/>
      <c r="AD186" s="12" t="inlineStr"/>
    </row>
    <row r="187">
      <c r="A187" s="6" t="inlineStr">
        <is>
          <t>Adrian Villarreal</t>
        </is>
      </c>
      <c r="B187" s="6" t="inlineStr">
        <is>
          <t>Texas A&amp;M Concrete</t>
        </is>
      </c>
      <c r="C187" s="6" t="inlineStr">
        <is>
          <t>Co-founder</t>
        </is>
      </c>
      <c r="D187" s="7" t="inlineStr">
        <is>
          <t>Builds the wall, not the house</t>
        </is>
      </c>
      <c r="E187" s="8" t="n">
        <v>2</v>
      </c>
      <c r="F187" s="6" t="inlineStr">
        <is>
          <t>Builds the wall</t>
        </is>
      </c>
      <c r="G187" s="6" t="inlineStr">
        <is>
          <t>Houston, Harris</t>
        </is>
      </c>
      <c r="H187" s="6" t="inlineStr">
        <is>
          <t>79 panels and 52,116 square feet of tilt-up wall on one job</t>
        </is>
      </c>
      <c r="I187" s="8" t="inlineStr">
        <is>
          <t>Yes</t>
        </is>
      </c>
      <c r="J187" s="9" t="inlineStr">
        <is>
          <t>Tilt-up panels repeat inside one metro even when the buildings differ.</t>
        </is>
      </c>
      <c r="K187" s="8" t="inlineStr">
        <is>
          <t>Partly</t>
        </is>
      </c>
      <c r="L187" s="9" t="inlineStr">
        <is>
          <t>Jobs run $500,000 to $15 million. A printer would be one line.</t>
        </is>
      </c>
      <c r="M187" s="8" t="inlineStr">
        <is>
          <t>No</t>
        </is>
      </c>
      <c r="N187" s="9" t="inlineStr">
        <is>
          <t>No method statement published. Sits on concrete standards committees.</t>
        </is>
      </c>
      <c r="O187" s="10" t="inlineStr"/>
      <c r="P187" s="6" t="inlineStr"/>
      <c r="Q187" s="11">
        <f>IF(O187="","ADD LINKEDIN","ok")</f>
        <v/>
      </c>
      <c r="R187" s="6" t="inlineStr">
        <is>
          <t>https://www.texasamconcrete.com/</t>
        </is>
      </c>
      <c r="S187" s="9" t="inlineStr">
        <is>
          <t>Its tilt-up panels repeat from job to job, but a printer would be one line on jobs of $500,000 to $15 million.</t>
        </is>
      </c>
      <c r="T187" s="6" t="inlineStr"/>
      <c r="U187" s="9" t="inlineStr"/>
      <c r="V187" s="6" t="inlineStr">
        <is>
          <t>https://www.texasamconcrete.com/blogs/news/texas-concrete-contractor-makes-it-big</t>
        </is>
      </c>
      <c r="W187" s="6" t="inlineStr"/>
      <c r="X187" s="6" t="inlineStr"/>
      <c r="Y187" s="6" t="inlineStr"/>
      <c r="Z187" s="6" t="inlineStr">
        <is>
          <t>(281) 405-9557</t>
        </is>
      </c>
      <c r="AA187" s="6" t="inlineStr">
        <is>
          <t>office</t>
        </is>
      </c>
      <c r="AB187" s="6" t="inlineStr">
        <is>
          <t>https://www.texasamconcrete.com/</t>
        </is>
      </c>
      <c r="AC187" s="6" t="inlineStr"/>
      <c r="AD187" s="6" t="inlineStr"/>
    </row>
    <row r="188">
      <c r="A188" s="12" t="inlineStr">
        <is>
          <t>Marcos Chavez</t>
        </is>
      </c>
      <c r="B188" s="12" t="inlineStr">
        <is>
          <t>Texas A&amp;M Concrete</t>
        </is>
      </c>
      <c r="C188" s="12" t="inlineStr">
        <is>
          <t>Co-founder</t>
        </is>
      </c>
      <c r="D188" s="13" t="inlineStr">
        <is>
          <t>Builds the wall, not the house</t>
        </is>
      </c>
      <c r="E188" s="14" t="n">
        <v>2</v>
      </c>
      <c r="F188" s="12" t="inlineStr">
        <is>
          <t>Builds the wall</t>
        </is>
      </c>
      <c r="G188" s="12" t="inlineStr">
        <is>
          <t>Houston, Harris</t>
        </is>
      </c>
      <c r="H188" s="12" t="inlineStr">
        <is>
          <t>79 panels and 52,116 square feet of tilt-up wall on one job</t>
        </is>
      </c>
      <c r="I188" s="14" t="inlineStr">
        <is>
          <t>Yes</t>
        </is>
      </c>
      <c r="J188" s="15" t="inlineStr">
        <is>
          <t>Tilt-up panels repeat inside one metro even when the buildings differ.</t>
        </is>
      </c>
      <c r="K188" s="14" t="inlineStr">
        <is>
          <t>Partly</t>
        </is>
      </c>
      <c r="L188" s="15" t="inlineStr">
        <is>
          <t>Jobs run $500,000 to $15 million. A printer would be one line.</t>
        </is>
      </c>
      <c r="M188" s="14" t="inlineStr">
        <is>
          <t>No</t>
        </is>
      </c>
      <c r="N188" s="15" t="inlineStr">
        <is>
          <t>No method statement published. Sits on concrete standards committees.</t>
        </is>
      </c>
      <c r="O188" s="10" t="inlineStr"/>
      <c r="P188" s="12" t="inlineStr"/>
      <c r="Q188" s="16">
        <f>IF(O188="","ADD LINKEDIN","ok")</f>
        <v/>
      </c>
      <c r="R188" s="12" t="inlineStr">
        <is>
          <t>https://www.texasamconcrete.com/</t>
        </is>
      </c>
      <c r="S188" s="15" t="inlineStr">
        <is>
          <t>Its tilt-up panels repeat from job to job, but a printer would be one line on jobs of $500,000 to $15 million.</t>
        </is>
      </c>
      <c r="T188" s="12" t="inlineStr"/>
      <c r="U188" s="15" t="inlineStr"/>
      <c r="V188" s="12" t="inlineStr">
        <is>
          <t>https://www.texasamconcrete.com/blogs/news/texas-concrete-contractor-makes-it-big</t>
        </is>
      </c>
      <c r="W188" s="12" t="inlineStr"/>
      <c r="X188" s="12" t="inlineStr"/>
      <c r="Y188" s="12" t="inlineStr"/>
      <c r="Z188" s="12" t="inlineStr">
        <is>
          <t>(281) 405-9557</t>
        </is>
      </c>
      <c r="AA188" s="12" t="inlineStr">
        <is>
          <t>office</t>
        </is>
      </c>
      <c r="AB188" s="12" t="inlineStr">
        <is>
          <t>https://www.texasamconcrete.com/</t>
        </is>
      </c>
      <c r="AC188" s="12" t="inlineStr"/>
      <c r="AD188" s="12" t="inlineStr"/>
    </row>
    <row r="189">
      <c r="A189" s="6" t="inlineStr">
        <is>
          <t>Robert May</t>
        </is>
      </c>
      <c r="B189" s="6" t="inlineStr">
        <is>
          <t>Tricon Precast</t>
        </is>
      </c>
      <c r="C189" s="6" t="inlineStr">
        <is>
          <t>Business Development</t>
        </is>
      </c>
      <c r="D189" s="7" t="inlineStr">
        <is>
          <t>Builds the wall, not the house</t>
        </is>
      </c>
      <c r="E189" s="8" t="n">
        <v>2</v>
      </c>
      <c r="F189" s="6" t="inlineStr">
        <is>
          <t>Builds the wall</t>
        </is>
      </c>
      <c r="G189" s="6" t="inlineStr">
        <is>
          <t>Houston, Henry Road, with a second Texas plant</t>
        </is>
      </c>
      <c r="H189" s="6" t="inlineStr">
        <is>
          <t>ACI and PCI Level 1 certified quality control</t>
        </is>
      </c>
      <c r="I189" s="8" t="inlineStr">
        <is>
          <t>Yes</t>
        </is>
      </c>
      <c r="J189" s="9" t="inlineStr">
        <is>
          <t>Two Texas plants casting bridge and substructure elements repeatedly.</t>
        </is>
      </c>
      <c r="K189" s="8" t="inlineStr">
        <is>
          <t>Partly</t>
        </is>
      </c>
      <c r="L189" s="9" t="inlineStr">
        <is>
          <t>More capacity than one or two printers would cover.</t>
        </is>
      </c>
      <c r="M189" s="8" t="inlineStr">
        <is>
          <t>No</t>
        </is>
      </c>
      <c r="N189" s="9" t="inlineStr">
        <is>
          <t>No record of buying an unproven method.</t>
        </is>
      </c>
      <c r="O189" s="6" t="inlineStr">
        <is>
          <t>https://www.linkedin.com/in/robert-may-18560560</t>
        </is>
      </c>
      <c r="P189" s="6" t="inlineStr"/>
      <c r="Q189" s="11">
        <f>IF(O189="","ADD LINKEDIN","ok")</f>
        <v/>
      </c>
      <c r="R189" s="6" t="inlineStr">
        <is>
          <t>https://www.triconprecast.com</t>
        </is>
      </c>
      <c r="S189" s="9" t="inlineStr">
        <is>
          <t>Its products are bridge, highway and industrial precast, not building wall, and its plants exceed what one or two printers would cover.</t>
        </is>
      </c>
      <c r="T189" s="6" t="inlineStr"/>
      <c r="U189" s="9" t="inlineStr">
        <is>
          <t>Texas precast association contact. His headline gives the function. Tricon publishes no leadership.</t>
        </is>
      </c>
      <c r="V189" s="6" t="inlineStr"/>
      <c r="W189" s="6" t="inlineStr"/>
      <c r="X189" s="6" t="inlineStr"/>
      <c r="Y189" s="6" t="inlineStr"/>
      <c r="Z189" s="6" t="inlineStr">
        <is>
          <t>(281) 931-9832</t>
        </is>
      </c>
      <c r="AA189" s="6" t="inlineStr">
        <is>
          <t>Houston, Henry Road</t>
        </is>
      </c>
      <c r="AB189" s="6" t="inlineStr">
        <is>
          <t>https://tricon-industrial.com/contact</t>
        </is>
      </c>
      <c r="AC189" s="6" t="inlineStr"/>
      <c r="AD189" s="6" t="inlineStr"/>
    </row>
    <row r="190">
      <c r="A190" s="12" t="inlineStr">
        <is>
          <t>Don Groom</t>
        </is>
      </c>
      <c r="B190" s="12" t="inlineStr">
        <is>
          <t>Trussworks Operations</t>
        </is>
      </c>
      <c r="C190" s="12" t="inlineStr">
        <is>
          <t>President, Chief Executive Officer and Managing Partner</t>
        </is>
      </c>
      <c r="D190" s="13" t="inlineStr">
        <is>
          <t>Builds the wall, not the house</t>
        </is>
      </c>
      <c r="E190" s="14" t="n">
        <v>2</v>
      </c>
      <c r="F190" s="12" t="inlineStr">
        <is>
          <t>Builds the wall</t>
        </is>
      </c>
      <c r="G190" s="12" t="inlineStr">
        <is>
          <t>Caldwell plant, about 90 minutes from Houston</t>
        </is>
      </c>
      <c r="H190" s="12" t="inlineStr">
        <is>
          <t>Wall panels for production builder projects</t>
        </is>
      </c>
      <c r="I190" s="14" t="inlineStr">
        <is>
          <t>Yes</t>
        </is>
      </c>
      <c r="J190" s="15" t="inlineStr">
        <is>
          <t>One plant making wall panels repeatedly for production builders across the region.</t>
        </is>
      </c>
      <c r="K190" s="14" t="inlineStr">
        <is>
          <t>Partly</t>
        </is>
      </c>
      <c r="L190" s="15" t="inlineStr">
        <is>
          <t>Seven-plant group, beyond one or two printers. Caldwell is regional, not in Houston.</t>
        </is>
      </c>
      <c r="M190" s="14" t="inlineStr">
        <is>
          <t>No</t>
        </is>
      </c>
      <c r="N190" s="15" t="inlineStr">
        <is>
          <t>No record of buying an unproven method.</t>
        </is>
      </c>
      <c r="O190" s="6" t="inlineStr">
        <is>
          <t>https://www.linkedin.com/in/don-groom-a60811147</t>
        </is>
      </c>
      <c r="P190" s="12" t="inlineStr"/>
      <c r="Q190" s="16">
        <f>IF(O190="","ADD LINKEDIN","ok")</f>
        <v/>
      </c>
      <c r="R190" s="12" t="inlineStr">
        <is>
          <t>https://www.trussworksllc.net/</t>
        </is>
      </c>
      <c r="S190" s="15" t="inlineStr">
        <is>
          <t>Its Caldwell plant already sells wall panels to production builders, so a printer would replace a product it makes.</t>
        </is>
      </c>
      <c r="T190" s="12" t="inlineStr">
        <is>
          <t>YES</t>
        </is>
      </c>
      <c r="U190" s="15" t="inlineStr">
        <is>
          <t>Firm staff page. Managing partner means ownership.</t>
        </is>
      </c>
      <c r="V190" s="12" t="inlineStr"/>
      <c r="W190" s="12" t="inlineStr"/>
      <c r="X190" s="12" t="inlineStr"/>
      <c r="Y190" s="12" t="inlineStr"/>
      <c r="Z190" s="12" t="inlineStr">
        <is>
          <t>(979) 567-0400</t>
        </is>
      </c>
      <c r="AA190" s="12" t="inlineStr">
        <is>
          <t>the line published against every location</t>
        </is>
      </c>
      <c r="AB190" s="12" t="inlineStr">
        <is>
          <t>https://www.trussworksllc.net/locations</t>
        </is>
      </c>
      <c r="AC190" s="12" t="inlineStr"/>
      <c r="AD190" s="12" t="inlineStr"/>
    </row>
    <row r="191">
      <c r="A191" s="6" t="inlineStr">
        <is>
          <t>Justin Groom</t>
        </is>
      </c>
      <c r="B191" s="6" t="inlineStr">
        <is>
          <t>Trussworks Operations</t>
        </is>
      </c>
      <c r="C191" s="6" t="inlineStr">
        <is>
          <t>Executive Vice President, Manufacturing and Distribution</t>
        </is>
      </c>
      <c r="D191" s="7" t="inlineStr">
        <is>
          <t>Builds the wall, not the house</t>
        </is>
      </c>
      <c r="E191" s="8" t="n">
        <v>2</v>
      </c>
      <c r="F191" s="6" t="inlineStr">
        <is>
          <t>Builds the wall</t>
        </is>
      </c>
      <c r="G191" s="6" t="inlineStr">
        <is>
          <t>Caldwell plant, about 90 minutes from Houston</t>
        </is>
      </c>
      <c r="H191" s="6" t="inlineStr">
        <is>
          <t>Wall panels for production builder projects</t>
        </is>
      </c>
      <c r="I191" s="8" t="inlineStr">
        <is>
          <t>Yes</t>
        </is>
      </c>
      <c r="J191" s="9" t="inlineStr">
        <is>
          <t>One plant making wall panels repeatedly for production builders across the region.</t>
        </is>
      </c>
      <c r="K191" s="8" t="inlineStr">
        <is>
          <t>Partly</t>
        </is>
      </c>
      <c r="L191" s="9" t="inlineStr">
        <is>
          <t>Seven-plant group, beyond one or two printers. Caldwell is regional, not in Houston.</t>
        </is>
      </c>
      <c r="M191" s="8" t="inlineStr">
        <is>
          <t>No</t>
        </is>
      </c>
      <c r="N191" s="9" t="inlineStr">
        <is>
          <t>No record of buying an unproven method.</t>
        </is>
      </c>
      <c r="O191" s="10" t="inlineStr"/>
      <c r="P191" s="6" t="inlineStr"/>
      <c r="Q191" s="11">
        <f>IF(O191="","ADD LINKEDIN","ok")</f>
        <v/>
      </c>
      <c r="R191" s="6" t="inlineStr">
        <is>
          <t>https://www.trussworksllc.net/</t>
        </is>
      </c>
      <c r="S191" s="9" t="inlineStr">
        <is>
          <t>Its Caldwell plant already sells wall panels to production builders, so a printer would replace a product it makes.</t>
        </is>
      </c>
      <c r="T191" s="6" t="inlineStr">
        <is>
          <t>YES</t>
        </is>
      </c>
      <c r="U191" s="9" t="inlineStr">
        <is>
          <t>Team page. Runs the plant floor.</t>
        </is>
      </c>
      <c r="V191" s="6" t="inlineStr">
        <is>
          <t>https://www.trussworksllc.net/our-team</t>
        </is>
      </c>
      <c r="W191" s="6" t="inlineStr"/>
      <c r="X191" s="6" t="inlineStr"/>
      <c r="Y191" s="6" t="inlineStr"/>
      <c r="Z191" s="6" t="inlineStr">
        <is>
          <t>(979) 567-0400</t>
        </is>
      </c>
      <c r="AA191" s="6" t="inlineStr">
        <is>
          <t>the line published against every location</t>
        </is>
      </c>
      <c r="AB191" s="6" t="inlineStr">
        <is>
          <t>https://www.trussworksllc.net/locations</t>
        </is>
      </c>
      <c r="AC191" s="6" t="inlineStr"/>
      <c r="AD191" s="6" t="inlineStr"/>
    </row>
    <row r="192">
      <c r="A192" s="12" t="inlineStr">
        <is>
          <t>Mike Bellows</t>
        </is>
      </c>
      <c r="B192" s="12" t="inlineStr">
        <is>
          <t>Trussworks Operations</t>
        </is>
      </c>
      <c r="C192" s="12" t="inlineStr">
        <is>
          <t>Partner</t>
        </is>
      </c>
      <c r="D192" s="13" t="inlineStr">
        <is>
          <t>Builds the wall, not the house</t>
        </is>
      </c>
      <c r="E192" s="14" t="n">
        <v>2</v>
      </c>
      <c r="F192" s="12" t="inlineStr">
        <is>
          <t>Builds the wall</t>
        </is>
      </c>
      <c r="G192" s="12" t="inlineStr">
        <is>
          <t>Caldwell plant, about 90 minutes from Houston</t>
        </is>
      </c>
      <c r="H192" s="12" t="inlineStr">
        <is>
          <t>Wall panels for production builder projects</t>
        </is>
      </c>
      <c r="I192" s="14" t="inlineStr">
        <is>
          <t>Yes</t>
        </is>
      </c>
      <c r="J192" s="15" t="inlineStr">
        <is>
          <t>One plant making wall panels repeatedly for production builders across the region.</t>
        </is>
      </c>
      <c r="K192" s="14" t="inlineStr">
        <is>
          <t>Partly</t>
        </is>
      </c>
      <c r="L192" s="15" t="inlineStr">
        <is>
          <t>Seven-plant group, beyond one or two printers. Caldwell is regional, not in Houston.</t>
        </is>
      </c>
      <c r="M192" s="14" t="inlineStr">
        <is>
          <t>No</t>
        </is>
      </c>
      <c r="N192" s="15" t="inlineStr">
        <is>
          <t>No record of buying an unproven method.</t>
        </is>
      </c>
      <c r="O192" s="10" t="inlineStr"/>
      <c r="P192" s="12" t="inlineStr"/>
      <c r="Q192" s="16">
        <f>IF(O192="","ADD LINKEDIN","ok")</f>
        <v/>
      </c>
      <c r="R192" s="12" t="inlineStr">
        <is>
          <t>https://www.trussworksllc.net/</t>
        </is>
      </c>
      <c r="S192" s="15" t="inlineStr">
        <is>
          <t>Its Caldwell plant already sells wall panels to production builders, so a printer would replace a product it makes.</t>
        </is>
      </c>
      <c r="T192" s="12" t="inlineStr"/>
      <c r="U192" s="15" t="inlineStr"/>
      <c r="V192" s="12" t="inlineStr">
        <is>
          <t>https://www.trussworksllc.net/our-team</t>
        </is>
      </c>
      <c r="W192" s="12" t="inlineStr"/>
      <c r="X192" s="12" t="inlineStr"/>
      <c r="Y192" s="12" t="inlineStr"/>
      <c r="Z192" s="12" t="inlineStr">
        <is>
          <t>(979) 567-0400</t>
        </is>
      </c>
      <c r="AA192" s="12" t="inlineStr">
        <is>
          <t>the line published against every location</t>
        </is>
      </c>
      <c r="AB192" s="12" t="inlineStr">
        <is>
          <t>https://www.trussworksllc.net/locations</t>
        </is>
      </c>
      <c r="AC192" s="12" t="inlineStr"/>
      <c r="AD192" s="12" t="inlineStr"/>
    </row>
    <row r="193">
      <c r="A193" s="6" t="inlineStr">
        <is>
          <t>Tony Urban</t>
        </is>
      </c>
      <c r="B193" s="6" t="inlineStr">
        <is>
          <t>Trussworks Operations</t>
        </is>
      </c>
      <c r="C193" s="6" t="inlineStr">
        <is>
          <t>Partner</t>
        </is>
      </c>
      <c r="D193" s="7" t="inlineStr">
        <is>
          <t>Builds the wall, not the house</t>
        </is>
      </c>
      <c r="E193" s="8" t="n">
        <v>2</v>
      </c>
      <c r="F193" s="6" t="inlineStr">
        <is>
          <t>Builds the wall</t>
        </is>
      </c>
      <c r="G193" s="6" t="inlineStr">
        <is>
          <t>Caldwell plant, about 90 minutes from Houston</t>
        </is>
      </c>
      <c r="H193" s="6" t="inlineStr">
        <is>
          <t>Wall panels for production builder projects</t>
        </is>
      </c>
      <c r="I193" s="8" t="inlineStr">
        <is>
          <t>Yes</t>
        </is>
      </c>
      <c r="J193" s="9" t="inlineStr">
        <is>
          <t>One plant making wall panels repeatedly for production builders across the region.</t>
        </is>
      </c>
      <c r="K193" s="8" t="inlineStr">
        <is>
          <t>Partly</t>
        </is>
      </c>
      <c r="L193" s="9" t="inlineStr">
        <is>
          <t>Seven-plant group, beyond one or two printers. Caldwell is regional, not in Houston.</t>
        </is>
      </c>
      <c r="M193" s="8" t="inlineStr">
        <is>
          <t>No</t>
        </is>
      </c>
      <c r="N193" s="9" t="inlineStr">
        <is>
          <t>No record of buying an unproven method.</t>
        </is>
      </c>
      <c r="O193" s="10" t="inlineStr"/>
      <c r="P193" s="6" t="inlineStr"/>
      <c r="Q193" s="11">
        <f>IF(O193="","ADD LINKEDIN","ok")</f>
        <v/>
      </c>
      <c r="R193" s="6" t="inlineStr">
        <is>
          <t>https://www.trussworksllc.net/</t>
        </is>
      </c>
      <c r="S193" s="9" t="inlineStr">
        <is>
          <t>Its Caldwell plant already sells wall panels to production builders, so a printer would replace a product it makes.</t>
        </is>
      </c>
      <c r="T193" s="6" t="inlineStr"/>
      <c r="U193" s="9" t="inlineStr"/>
      <c r="V193" s="6" t="inlineStr">
        <is>
          <t>https://www.trussworksllc.net/our-team</t>
        </is>
      </c>
      <c r="W193" s="6" t="inlineStr"/>
      <c r="X193" s="6" t="inlineStr"/>
      <c r="Y193" s="6" t="inlineStr"/>
      <c r="Z193" s="6" t="inlineStr">
        <is>
          <t>(979) 567-0400</t>
        </is>
      </c>
      <c r="AA193" s="6" t="inlineStr">
        <is>
          <t>the line published against every location</t>
        </is>
      </c>
      <c r="AB193" s="6" t="inlineStr">
        <is>
          <t>https://www.trussworksllc.net/locations</t>
        </is>
      </c>
      <c r="AC193" s="6" t="inlineStr"/>
      <c r="AD193" s="6" t="inlineStr"/>
    </row>
    <row r="194">
      <c r="A194" s="12" t="inlineStr">
        <is>
          <t>David Veazey</t>
        </is>
      </c>
      <c r="B194" s="12" t="inlineStr">
        <is>
          <t>Veazey Enterprises</t>
        </is>
      </c>
      <c r="C194" s="12" t="inlineStr">
        <is>
          <t>President</t>
        </is>
      </c>
      <c r="D194" s="13" t="inlineStr">
        <is>
          <t>Builds the wall, not the house</t>
        </is>
      </c>
      <c r="E194" s="14" t="n">
        <v>2</v>
      </c>
      <c r="F194" s="12" t="inlineStr">
        <is>
          <t>Builds the wall</t>
        </is>
      </c>
      <c r="G194" s="12" t="inlineStr">
        <is>
          <t>Houston, Appleton Street, serving Greater Houston and Galveston</t>
        </is>
      </c>
      <c r="H194" s="12" t="inlineStr">
        <is>
          <t>Four generations, operating since the early 1960s</t>
        </is>
      </c>
      <c r="I194" s="14" t="inlineStr">
        <is>
          <t>Yes</t>
        </is>
      </c>
      <c r="J194" s="15" t="inlineStr">
        <is>
          <t>Masonry laid repeatedly across one metro.</t>
        </is>
      </c>
      <c r="K194" s="14" t="inlineStr">
        <is>
          <t>Partly</t>
        </is>
      </c>
      <c r="L194" s="15" t="inlineStr">
        <is>
          <t>Puts up more wall than one or two printers would cover.</t>
        </is>
      </c>
      <c r="M194" s="14" t="inlineStr">
        <is>
          <t>No</t>
        </is>
      </c>
      <c r="N194" s="15" t="inlineStr">
        <is>
          <t>No record of buying an unproven method.</t>
        </is>
      </c>
      <c r="O194" s="6" t="inlineStr">
        <is>
          <t>https://www.linkedin.com/in/david-veazey-0b585b17/</t>
        </is>
      </c>
      <c r="P194" s="12" t="inlineStr"/>
      <c r="Q194" s="16">
        <f>IF(O194="","ADD LINKEDIN","ok")</f>
        <v/>
      </c>
      <c r="R194" s="12" t="inlineStr">
        <is>
          <t>https://vzmasonry.com/</t>
        </is>
      </c>
      <c r="S194" s="15" t="inlineStr">
        <is>
          <t>It builds institutional masonry where load-bearing block is still specified, and puts up more wall than one or two printers would cover.</t>
        </is>
      </c>
      <c r="T194" s="12" t="inlineStr">
        <is>
          <t>YES</t>
        </is>
      </c>
      <c r="U194" s="15" t="inlineStr">
        <is>
          <t>LinkedIn headline carries the title. Byline on a Mason Contractors Association interview. Site names nobody.</t>
        </is>
      </c>
      <c r="V194" s="12" t="inlineStr"/>
      <c r="W194" s="12" t="inlineStr"/>
      <c r="X194" s="12" t="inlineStr"/>
      <c r="Y194" s="12" t="inlineStr"/>
      <c r="Z194" s="12" t="inlineStr">
        <is>
          <t>(713) 695-6500</t>
        </is>
      </c>
      <c r="AA194" s="12" t="inlineStr">
        <is>
          <t>main line</t>
        </is>
      </c>
      <c r="AB194" s="12" t="inlineStr">
        <is>
          <t>https://vzmasonry.com/</t>
        </is>
      </c>
      <c r="AC194" s="12" t="inlineStr"/>
      <c r="AD194" s="12" t="inlineStr"/>
    </row>
    <row r="195">
      <c r="A195" s="6" t="inlineStr">
        <is>
          <t>Sharon Stelter</t>
        </is>
      </c>
      <c r="B195" s="6" t="inlineStr">
        <is>
          <t>Veazey Enterprises</t>
        </is>
      </c>
      <c r="C195" s="6" t="inlineStr">
        <is>
          <t>Vice President</t>
        </is>
      </c>
      <c r="D195" s="7" t="inlineStr">
        <is>
          <t>Builds the wall, not the house</t>
        </is>
      </c>
      <c r="E195" s="8" t="n">
        <v>2</v>
      </c>
      <c r="F195" s="6" t="inlineStr">
        <is>
          <t>Builds the wall</t>
        </is>
      </c>
      <c r="G195" s="6" t="inlineStr">
        <is>
          <t>Houston, Appleton Street, serving Greater Houston and Galveston</t>
        </is>
      </c>
      <c r="H195" s="6" t="inlineStr">
        <is>
          <t>Four generations, operating since the early 1960s</t>
        </is>
      </c>
      <c r="I195" s="8" t="inlineStr">
        <is>
          <t>Yes</t>
        </is>
      </c>
      <c r="J195" s="9" t="inlineStr">
        <is>
          <t>Masonry laid repeatedly across one metro.</t>
        </is>
      </c>
      <c r="K195" s="8" t="inlineStr">
        <is>
          <t>Partly</t>
        </is>
      </c>
      <c r="L195" s="9" t="inlineStr">
        <is>
          <t>Puts up more wall than one or two printers would cover.</t>
        </is>
      </c>
      <c r="M195" s="8" t="inlineStr">
        <is>
          <t>No</t>
        </is>
      </c>
      <c r="N195" s="9" t="inlineStr">
        <is>
          <t>No record of buying an unproven method.</t>
        </is>
      </c>
      <c r="O195" s="10" t="inlineStr"/>
      <c r="P195" s="6" t="inlineStr"/>
      <c r="Q195" s="11">
        <f>IF(O195="","ADD LINKEDIN","ok")</f>
        <v/>
      </c>
      <c r="R195" s="6" t="inlineStr">
        <is>
          <t>https://vzmasonry.com/</t>
        </is>
      </c>
      <c r="S195" s="9" t="inlineStr">
        <is>
          <t>It builds institutional masonry where load-bearing block is still specified, and puts up more wall than one or two printers would cover.</t>
        </is>
      </c>
      <c r="T195" s="6" t="inlineStr"/>
      <c r="U195" s="9" t="inlineStr">
        <is>
          <t>American Subcontractors Association directory.</t>
        </is>
      </c>
      <c r="V195" s="6" t="inlineStr">
        <is>
          <t>https://members.asaonline.com/directory/Details/veazey-enterprises-inc-542938</t>
        </is>
      </c>
      <c r="W195" s="6" t="inlineStr"/>
      <c r="X195" s="6" t="inlineStr"/>
      <c r="Y195" s="6" t="inlineStr"/>
      <c r="Z195" s="6" t="inlineStr">
        <is>
          <t>(713) 695-6500</t>
        </is>
      </c>
      <c r="AA195" s="6" t="inlineStr">
        <is>
          <t>main line</t>
        </is>
      </c>
      <c r="AB195" s="6" t="inlineStr">
        <is>
          <t>https://vzmasonry.com/</t>
        </is>
      </c>
      <c r="AC195" s="6" t="inlineStr"/>
      <c r="AD195" s="6" t="inlineStr"/>
    </row>
    <row r="196">
      <c r="A196" s="12" t="inlineStr">
        <is>
          <t>Gerald Guzman</t>
        </is>
      </c>
      <c r="B196" s="12" t="inlineStr">
        <is>
          <t>Winco Masonry</t>
        </is>
      </c>
      <c r="C196" s="12" t="inlineStr">
        <is>
          <t>President</t>
        </is>
      </c>
      <c r="D196" s="13" t="inlineStr">
        <is>
          <t>Builds the wall, not the house</t>
        </is>
      </c>
      <c r="E196" s="14" t="n">
        <v>2</v>
      </c>
      <c r="F196" s="12" t="inlineStr">
        <is>
          <t>Builds the wall</t>
        </is>
      </c>
      <c r="G196" s="12" t="inlineStr">
        <is>
          <t>Porter, Montgomery County</t>
        </is>
      </c>
      <c r="H196" s="12" t="inlineStr">
        <is>
          <t>Serving Texas for over 52 years</t>
        </is>
      </c>
      <c r="I196" s="14" t="inlineStr">
        <is>
          <t>Yes</t>
        </is>
      </c>
      <c r="J196" s="15" t="inlineStr">
        <is>
          <t>Brick, block and cast stone laid repeatedly across one region.</t>
        </is>
      </c>
      <c r="K196" s="14" t="inlineStr">
        <is>
          <t>Partly</t>
        </is>
      </c>
      <c r="L196" s="15" t="inlineStr">
        <is>
          <t>Projects run all over town at once. More wall than one or two printers cover.</t>
        </is>
      </c>
      <c r="M196" s="14" t="inlineStr">
        <is>
          <t>No</t>
        </is>
      </c>
      <c r="N196" s="15" t="inlineStr">
        <is>
          <t>No record of buying an unproven method. Pitches schedule reliability.</t>
        </is>
      </c>
      <c r="O196" s="10" t="inlineStr"/>
      <c r="P196" s="12" t="inlineStr"/>
      <c r="Q196" s="16">
        <f>IF(O196="","ADD LINKEDIN","ok")</f>
        <v/>
      </c>
      <c r="R196" s="12" t="inlineStr">
        <is>
          <t>http://www.wincomasonry.com/</t>
        </is>
      </c>
      <c r="S196" s="15" t="inlineStr">
        <is>
          <t>It runs projects all over town at once, so it lays more wall than one or two printers would cover.</t>
        </is>
      </c>
      <c r="T196" s="12" t="inlineStr">
        <is>
          <t>YES</t>
        </is>
      </c>
      <c r="U196" s="15" t="inlineStr">
        <is>
          <t>AGC Houston member directory. The firm's site names no leaders.</t>
        </is>
      </c>
      <c r="V196" s="12" t="inlineStr">
        <is>
          <t>https://members.agchouston.org/directory/Details/winco-masonry-inc-2123266</t>
        </is>
      </c>
      <c r="W196" s="12" t="inlineStr"/>
      <c r="X196" s="12" t="inlineStr"/>
      <c r="Y196" s="12" t="inlineStr"/>
      <c r="Z196" s="12" t="inlineStr">
        <is>
          <t>(281) 354-2515</t>
        </is>
      </c>
      <c r="AA196" s="12" t="inlineStr">
        <is>
          <t>the only number on the firm's own site</t>
        </is>
      </c>
      <c r="AB196" s="12" t="inlineStr">
        <is>
          <t>http://www.wincomasonry.com/</t>
        </is>
      </c>
      <c r="AC196" s="12" t="inlineStr"/>
      <c r="AD196" s="12" t="inlineStr"/>
    </row>
    <row r="197">
      <c r="A197" s="6" t="inlineStr">
        <is>
          <t>Nathan Frazier</t>
        </is>
      </c>
      <c r="B197" s="6" t="inlineStr">
        <is>
          <t>All About Concrete</t>
        </is>
      </c>
      <c r="C197" s="6" t="inlineStr">
        <is>
          <t>Founder and Chief Executive Officer</t>
        </is>
      </c>
      <c r="D197" s="7" t="inlineStr">
        <is>
          <t>Builds the wall, not the house</t>
        </is>
      </c>
      <c r="E197" s="8" t="n">
        <v>2</v>
      </c>
      <c r="F197" s="6" t="inlineStr">
        <is>
          <t>Builds the wall</t>
        </is>
      </c>
      <c r="G197" s="6" t="inlineStr">
        <is>
          <t>Tomball, Houston primary, also Dallas-Fort Worth, Austin and San Antonio</t>
        </is>
      </c>
      <c r="H197" s="6" t="inlineStr">
        <is>
          <t>Turn-key concrete for production builders</t>
        </is>
      </c>
      <c r="I197" s="8" t="inlineStr">
        <is>
          <t>Yes</t>
        </is>
      </c>
      <c r="J197" s="9" t="inlineStr">
        <is>
          <t>Repeat work in the same Houston submarkets.</t>
        </is>
      </c>
      <c r="K197" s="8" t="inlineStr">
        <is>
          <t>Partly</t>
        </is>
      </c>
      <c r="L197" s="9" t="inlineStr">
        <is>
          <t>Single office. No slab count published.</t>
        </is>
      </c>
      <c r="M197" s="8" t="inlineStr">
        <is>
          <t>No</t>
        </is>
      </c>
      <c r="N197" s="9" t="inlineStr">
        <is>
          <t>No record of buying an unproven method. No method content.</t>
        </is>
      </c>
      <c r="O197" s="6" t="inlineStr">
        <is>
          <t>https://www.linkedin.com/in/nathan-frazier-frazier-528106104</t>
        </is>
      </c>
      <c r="P197" s="6" t="inlineStr"/>
      <c r="Q197" s="11">
        <f>IF(O197="","ADD LINKEDIN","ok")</f>
        <v/>
      </c>
      <c r="R197" s="6" t="inlineStr">
        <is>
          <t>https://allaboutconcretellc.net/</t>
        </is>
      </c>
      <c r="S197" s="9" t="inlineStr">
        <is>
          <t>It repeats work in the same Houston submarkets from a single office, but publishes no slab count.</t>
        </is>
      </c>
      <c r="T197" s="6" t="inlineStr">
        <is>
          <t>YES</t>
        </is>
      </c>
      <c r="U197" s="9" t="inlineStr">
        <is>
          <t>High Street Capital announcement, August 2026. Continues as chief executive.</t>
        </is>
      </c>
      <c r="V197" s="6" t="inlineStr"/>
      <c r="W197" s="6" t="inlineStr"/>
      <c r="X197" s="6" t="inlineStr"/>
      <c r="Y197" s="6" t="inlineStr"/>
      <c r="Z197" s="6" t="inlineStr">
        <is>
          <t>(281) 370-4470</t>
        </is>
      </c>
      <c r="AA197" s="6" t="inlineStr">
        <is>
          <t>Tomball</t>
        </is>
      </c>
      <c r="AB197" s="6" t="inlineStr">
        <is>
          <t>https://allaboutconcretellc.net/partner-with-us/</t>
        </is>
      </c>
      <c r="AC197" s="6" t="inlineStr"/>
      <c r="AD197" s="6" t="inlineStr"/>
    </row>
    <row r="198">
      <c r="A198" s="12" t="inlineStr">
        <is>
          <t>Don Edwards</t>
        </is>
      </c>
      <c r="B198" s="12" t="inlineStr">
        <is>
          <t>All About Concrete</t>
        </is>
      </c>
      <c r="C198" s="12" t="inlineStr">
        <is>
          <t>Chief Operating Officer</t>
        </is>
      </c>
      <c r="D198" s="13" t="inlineStr">
        <is>
          <t>Builds the wall, not the house</t>
        </is>
      </c>
      <c r="E198" s="14" t="n">
        <v>2</v>
      </c>
      <c r="F198" s="12" t="inlineStr">
        <is>
          <t>Builds the wall</t>
        </is>
      </c>
      <c r="G198" s="12" t="inlineStr">
        <is>
          <t>Tomball, Houston primary, also Dallas-Fort Worth, Austin and San Antonio</t>
        </is>
      </c>
      <c r="H198" s="12" t="inlineStr">
        <is>
          <t>Turn-key concrete for production builders</t>
        </is>
      </c>
      <c r="I198" s="14" t="inlineStr">
        <is>
          <t>Yes</t>
        </is>
      </c>
      <c r="J198" s="15" t="inlineStr">
        <is>
          <t>Repeat work in the same Houston submarkets.</t>
        </is>
      </c>
      <c r="K198" s="14" t="inlineStr">
        <is>
          <t>Partly</t>
        </is>
      </c>
      <c r="L198" s="15" t="inlineStr">
        <is>
          <t>Single office. No slab count published.</t>
        </is>
      </c>
      <c r="M198" s="14" t="inlineStr">
        <is>
          <t>No</t>
        </is>
      </c>
      <c r="N198" s="15" t="inlineStr">
        <is>
          <t>No record of buying an unproven method. No method content.</t>
        </is>
      </c>
      <c r="O198" s="10" t="inlineStr"/>
      <c r="P198" s="12" t="inlineStr"/>
      <c r="Q198" s="16">
        <f>IF(O198="","ADD LINKEDIN","ok")</f>
        <v/>
      </c>
      <c r="R198" s="12" t="inlineStr">
        <is>
          <t>https://allaboutconcretellc.net/</t>
        </is>
      </c>
      <c r="S198" s="15" t="inlineStr">
        <is>
          <t>It repeats work in the same Houston submarkets from a single office, but publishes no slab count.</t>
        </is>
      </c>
      <c r="T198" s="12" t="inlineStr"/>
      <c r="U198" s="15" t="inlineStr">
        <is>
          <t>Same announcement. Continues as chief operating officer.</t>
        </is>
      </c>
      <c r="V198" s="12" t="inlineStr">
        <is>
          <t>https://www.highstreetcapital.com/news/high-street-capital-invests-in-all-about-concrete/</t>
        </is>
      </c>
      <c r="W198" s="12" t="inlineStr"/>
      <c r="X198" s="12" t="inlineStr"/>
      <c r="Y198" s="12" t="inlineStr"/>
      <c r="Z198" s="12" t="inlineStr">
        <is>
          <t>(281) 370-4470</t>
        </is>
      </c>
      <c r="AA198" s="12" t="inlineStr">
        <is>
          <t>Tomball</t>
        </is>
      </c>
      <c r="AB198" s="12" t="inlineStr">
        <is>
          <t>https://allaboutconcretellc.net/partner-with-us/</t>
        </is>
      </c>
      <c r="AC198" s="12" t="inlineStr"/>
      <c r="AD198" s="12" t="inlineStr"/>
    </row>
    <row r="199">
      <c r="A199" s="6" t="inlineStr">
        <is>
          <t>no contact identified</t>
        </is>
      </c>
      <c r="B199" s="6" t="inlineStr">
        <is>
          <t>Texas Lite Gauge Steel MFG</t>
        </is>
      </c>
      <c r="C199" s="6" t="inlineStr"/>
      <c r="D199" s="7" t="inlineStr">
        <is>
          <t>Builds the wall, not the house</t>
        </is>
      </c>
      <c r="E199" s="8" t="n">
        <v>2</v>
      </c>
      <c r="F199" s="6" t="inlineStr">
        <is>
          <t>Builds the wall</t>
        </is>
      </c>
      <c r="G199" s="6" t="inlineStr">
        <is>
          <t>Texas, Houston telephone exchange</t>
        </is>
      </c>
      <c r="H199" s="6" t="inlineStr">
        <is>
          <t>Prefab walls to plus or minus 0.3mm</t>
        </is>
      </c>
      <c r="I199" s="8" t="inlineStr">
        <is>
          <t>Partly</t>
        </is>
      </c>
      <c r="J199" s="9" t="inlineStr">
        <is>
          <t>Prefab wall made repeatedly. No market, city or repeat customer named.</t>
        </is>
      </c>
      <c r="K199" s="8" t="inlineStr">
        <is>
          <t>Yes</t>
        </is>
      </c>
      <c r="L199" s="9" t="inlineStr">
        <is>
          <t>Single-line fabricator. One or two machines would cover a real share.</t>
        </is>
      </c>
      <c r="M199" s="8" t="inlineStr">
        <is>
          <t>No</t>
        </is>
      </c>
      <c r="N199" s="9" t="inlineStr">
        <is>
          <t>No record of buying an unproven method.</t>
        </is>
      </c>
      <c r="O199" s="10" t="inlineStr"/>
      <c r="P199" s="6" t="inlineStr"/>
      <c r="Q199" s="11">
        <f>IF(O199="","ADD LINKEDIN","ok")</f>
        <v/>
      </c>
      <c r="R199" s="6" t="inlineStr">
        <is>
          <t>https://txlitegaugesteel.com/</t>
        </is>
      </c>
      <c r="S199" s="9" t="inlineStr">
        <is>
          <t>It already makes and installs prefab wall on a single line, so one or two machines would cover a real share of its business.</t>
        </is>
      </c>
      <c r="T199" s="6" t="inlineStr"/>
      <c r="U199" s="9" t="inlineStr"/>
      <c r="V199" s="6" t="inlineStr"/>
      <c r="W199" s="6" t="inlineStr"/>
      <c r="X199" s="6" t="inlineStr"/>
      <c r="Y199" s="6" t="inlineStr"/>
      <c r="Z199" s="6" t="inlineStr">
        <is>
          <t>(281) 799-1501</t>
        </is>
      </c>
      <c r="AA199" s="6" t="inlineStr">
        <is>
          <t>call or text</t>
        </is>
      </c>
      <c r="AB199" s="6" t="inlineStr">
        <is>
          <t>https://txlitegaugesteel.com/</t>
        </is>
      </c>
      <c r="AC199" s="6" t="inlineStr"/>
      <c r="AD199" s="6" t="inlineStr"/>
    </row>
    <row r="200">
      <c r="A200" s="12" t="inlineStr">
        <is>
          <t>Martin Jordana</t>
        </is>
      </c>
      <c r="B200" s="12" t="inlineStr">
        <is>
          <t>Baker Construction</t>
        </is>
      </c>
      <c r="C200" s="12" t="inlineStr">
        <is>
          <t>President, Central and Great West Region</t>
        </is>
      </c>
      <c r="D200" s="13" t="inlineStr">
        <is>
          <t>Builds the wall, not the house</t>
        </is>
      </c>
      <c r="E200" s="14" t="n">
        <v>1</v>
      </c>
      <c r="F200" s="12" t="inlineStr">
        <is>
          <t>Builds the wall</t>
        </is>
      </c>
      <c r="G200" s="12" t="inlineStr">
        <is>
          <t>Houston industrial office, Harris, inside a national firm</t>
        </is>
      </c>
      <c r="H200" s="12" t="inlineStr">
        <is>
          <t>61 panels at 70 feet, the heaviest about 87 tons</t>
        </is>
      </c>
      <c r="I200" s="14" t="inlineStr">
        <is>
          <t>Yes</t>
        </is>
      </c>
      <c r="J200" s="15" t="inlineStr">
        <is>
          <t>Panel and structural concrete recur in Houston.</t>
        </is>
      </c>
      <c r="K200" s="14" t="inlineStr">
        <is>
          <t>No</t>
        </is>
      </c>
      <c r="L200" s="15" t="inlineStr">
        <is>
          <t>12,500-plus people nationally, its own count. Purchases run through a national desk.</t>
        </is>
      </c>
      <c r="M200" s="14" t="inlineStr">
        <is>
          <t>No</t>
        </is>
      </c>
      <c r="N200" s="15" t="inlineStr">
        <is>
          <t>70-foot panels are size, not a new method. No method statement on record.</t>
        </is>
      </c>
      <c r="O200" s="10" t="inlineStr"/>
      <c r="P200" s="12" t="inlineStr"/>
      <c r="Q200" s="16">
        <f>IF(O200="","ADD LINKEDIN","ok")</f>
        <v/>
      </c>
      <c r="R200" s="12" t="inlineStr">
        <is>
          <t>https://bakerconstruction.com/</t>
        </is>
      </c>
      <c r="S200" s="15" t="inlineStr">
        <is>
          <t>Its Houston tilt-wall work sits inside a national firm, so purchases run through a national desk.</t>
        </is>
      </c>
      <c r="T200" s="12" t="inlineStr">
        <is>
          <t>YES</t>
        </is>
      </c>
      <c r="U200" s="15" t="inlineStr">
        <is>
          <t>Regional seat covering Texas.</t>
        </is>
      </c>
      <c r="V200" s="12" t="inlineStr">
        <is>
          <t>https://bakerconstruction.com/leadership/</t>
        </is>
      </c>
      <c r="W200" s="12" t="inlineStr"/>
      <c r="X200" s="12" t="inlineStr"/>
      <c r="Y200" s="12" t="inlineStr"/>
      <c r="Z200" s="12" t="inlineStr">
        <is>
          <t>(800) 539-2224</t>
        </is>
      </c>
      <c r="AA200" s="12" t="inlineStr">
        <is>
          <t>headquarters</t>
        </is>
      </c>
      <c r="AB200" s="12" t="inlineStr">
        <is>
          <t>https://bakerconstruction.com/</t>
        </is>
      </c>
      <c r="AC200" s="12" t="inlineStr"/>
      <c r="AD200" s="12" t="inlineStr"/>
    </row>
    <row r="201">
      <c r="A201" s="6" t="inlineStr">
        <is>
          <t>Karl Watson</t>
        </is>
      </c>
      <c r="B201" s="6" t="inlineStr">
        <is>
          <t>Baker Construction</t>
        </is>
      </c>
      <c r="C201" s="6" t="inlineStr">
        <is>
          <t>Chief Executive Officer, Baker Construction Enterprises</t>
        </is>
      </c>
      <c r="D201" s="7" t="inlineStr">
        <is>
          <t>Builds the wall, not the house</t>
        </is>
      </c>
      <c r="E201" s="8" t="n">
        <v>1</v>
      </c>
      <c r="F201" s="6" t="inlineStr">
        <is>
          <t>Builds the wall</t>
        </is>
      </c>
      <c r="G201" s="6" t="inlineStr">
        <is>
          <t>Houston industrial office, Harris, inside a national firm</t>
        </is>
      </c>
      <c r="H201" s="6" t="inlineStr">
        <is>
          <t>61 panels at 70 feet, the heaviest about 87 tons</t>
        </is>
      </c>
      <c r="I201" s="8" t="inlineStr">
        <is>
          <t>Yes</t>
        </is>
      </c>
      <c r="J201" s="9" t="inlineStr">
        <is>
          <t>Panel and structural concrete recur in Houston.</t>
        </is>
      </c>
      <c r="K201" s="8" t="inlineStr">
        <is>
          <t>No</t>
        </is>
      </c>
      <c r="L201" s="9" t="inlineStr">
        <is>
          <t>12,500-plus people nationally, its own count. Purchases run through a national desk.</t>
        </is>
      </c>
      <c r="M201" s="8" t="inlineStr">
        <is>
          <t>No</t>
        </is>
      </c>
      <c r="N201" s="9" t="inlineStr">
        <is>
          <t>70-foot panels are size, not a new method. No method statement on record.</t>
        </is>
      </c>
      <c r="O201" s="10" t="inlineStr"/>
      <c r="P201" s="6" t="inlineStr"/>
      <c r="Q201" s="11">
        <f>IF(O201="","ADD LINKEDIN","ok")</f>
        <v/>
      </c>
      <c r="R201" s="6" t="inlineStr">
        <is>
          <t>https://bakerconstruction.com/</t>
        </is>
      </c>
      <c r="S201" s="9" t="inlineStr">
        <is>
          <t>Its Houston tilt-wall work sits inside a national firm, so purchases run through a national desk.</t>
        </is>
      </c>
      <c r="T201" s="6" t="inlineStr"/>
      <c r="U201" s="9" t="inlineStr"/>
      <c r="V201" s="6" t="inlineStr">
        <is>
          <t>https://bakerconstruction.com/leadership/</t>
        </is>
      </c>
      <c r="W201" s="6" t="inlineStr"/>
      <c r="X201" s="6" t="inlineStr"/>
      <c r="Y201" s="6" t="inlineStr"/>
      <c r="Z201" s="6" t="inlineStr">
        <is>
          <t>(800) 539-2224</t>
        </is>
      </c>
      <c r="AA201" s="6" t="inlineStr">
        <is>
          <t>headquarters</t>
        </is>
      </c>
      <c r="AB201" s="6" t="inlineStr">
        <is>
          <t>https://bakerconstruction.com/</t>
        </is>
      </c>
      <c r="AC201" s="6" t="inlineStr"/>
      <c r="AD201" s="6" t="inlineStr"/>
    </row>
    <row r="202">
      <c r="A202" s="12" t="inlineStr">
        <is>
          <t>Dan T. Baker</t>
        </is>
      </c>
      <c r="B202" s="12" t="inlineStr">
        <is>
          <t>Baker Construction</t>
        </is>
      </c>
      <c r="C202" s="12" t="inlineStr">
        <is>
          <t>Executive Vice Chair and President</t>
        </is>
      </c>
      <c r="D202" s="13" t="inlineStr">
        <is>
          <t>Builds the wall, not the house</t>
        </is>
      </c>
      <c r="E202" s="14" t="n">
        <v>1</v>
      </c>
      <c r="F202" s="12" t="inlineStr">
        <is>
          <t>Builds the wall</t>
        </is>
      </c>
      <c r="G202" s="12" t="inlineStr">
        <is>
          <t>Houston industrial office, Harris, inside a national firm</t>
        </is>
      </c>
      <c r="H202" s="12" t="inlineStr">
        <is>
          <t>61 panels at 70 feet, the heaviest about 87 tons</t>
        </is>
      </c>
      <c r="I202" s="14" t="inlineStr">
        <is>
          <t>Yes</t>
        </is>
      </c>
      <c r="J202" s="15" t="inlineStr">
        <is>
          <t>Panel and structural concrete recur in Houston.</t>
        </is>
      </c>
      <c r="K202" s="14" t="inlineStr">
        <is>
          <t>No</t>
        </is>
      </c>
      <c r="L202" s="15" t="inlineStr">
        <is>
          <t>12,500-plus people nationally, its own count. Purchases run through a national desk.</t>
        </is>
      </c>
      <c r="M202" s="14" t="inlineStr">
        <is>
          <t>No</t>
        </is>
      </c>
      <c r="N202" s="15" t="inlineStr">
        <is>
          <t>70-foot panels are size, not a new method. No method statement on record.</t>
        </is>
      </c>
      <c r="O202" s="10" t="inlineStr"/>
      <c r="P202" s="12" t="inlineStr"/>
      <c r="Q202" s="16">
        <f>IF(O202="","ADD LINKEDIN","ok")</f>
        <v/>
      </c>
      <c r="R202" s="12" t="inlineStr">
        <is>
          <t>https://bakerconstruction.com/</t>
        </is>
      </c>
      <c r="S202" s="15" t="inlineStr">
        <is>
          <t>Its Houston tilt-wall work sits inside a national firm, so purchases run through a national desk.</t>
        </is>
      </c>
      <c r="T202" s="12" t="inlineStr"/>
      <c r="U202" s="15" t="inlineStr"/>
      <c r="V202" s="12" t="inlineStr">
        <is>
          <t>https://bakerconstruction.com/leadership/</t>
        </is>
      </c>
      <c r="W202" s="12" t="inlineStr"/>
      <c r="X202" s="12" t="inlineStr"/>
      <c r="Y202" s="12" t="inlineStr"/>
      <c r="Z202" s="12" t="inlineStr">
        <is>
          <t>(800) 539-2224</t>
        </is>
      </c>
      <c r="AA202" s="12" t="inlineStr">
        <is>
          <t>headquarters</t>
        </is>
      </c>
      <c r="AB202" s="12" t="inlineStr">
        <is>
          <t>https://bakerconstruction.com/</t>
        </is>
      </c>
      <c r="AC202" s="12" t="inlineStr"/>
      <c r="AD202" s="12" t="inlineStr"/>
    </row>
    <row r="203">
      <c r="A203" s="6" t="inlineStr">
        <is>
          <t>Jonas Barboza</t>
        </is>
      </c>
      <c r="B203" s="6" t="inlineStr">
        <is>
          <t>Brundage-Bone Concrete Pumping</t>
        </is>
      </c>
      <c r="C203" s="6" t="inlineStr">
        <is>
          <t>Regional Director South, Texas</t>
        </is>
      </c>
      <c r="D203" s="7" t="inlineStr">
        <is>
          <t>Builds the wall, not the house</t>
        </is>
      </c>
      <c r="E203" s="8" t="n">
        <v>1</v>
      </c>
      <c r="F203" s="6" t="inlineStr">
        <is>
          <t>Builds the wall</t>
        </is>
      </c>
      <c r="G203" s="6" t="inlineStr">
        <is>
          <t>Houston, two yards on West Old Spanish Trail and Sellers Road</t>
        </is>
      </c>
      <c r="H203" s="6" t="inlineStr">
        <is>
          <t>Boom pumps from 17 to 65 metres, plus placing booms</t>
        </is>
      </c>
      <c r="I203" s="8" t="inlineStr">
        <is>
          <t>Yes</t>
        </is>
      </c>
      <c r="J203" s="9" t="inlineStr">
        <is>
          <t>Daily placement across one metro from two yards.</t>
        </is>
      </c>
      <c r="K203" s="8" t="inlineStr">
        <is>
          <t>No</t>
        </is>
      </c>
      <c r="L203" s="9" t="inlineStr">
        <is>
          <t>National pump fleet, bought at a scale beyond one or two printers.</t>
        </is>
      </c>
      <c r="M203" s="8" t="inlineStr">
        <is>
          <t>No</t>
        </is>
      </c>
      <c r="N203" s="9" t="inlineStr">
        <is>
          <t>Advertises low carbon and pervious concrete pumping. Advertising a method is not buying one.</t>
        </is>
      </c>
      <c r="O203" s="6" t="inlineStr">
        <is>
          <t>https://www.linkedin.com/in/jonas-barboza-9794a1136/</t>
        </is>
      </c>
      <c r="P203" s="6" t="inlineStr"/>
      <c r="Q203" s="11">
        <f>IF(O203="","ADD LINKEDIN","ok")</f>
        <v/>
      </c>
      <c r="R203" s="6" t="inlineStr">
        <is>
          <t>https://brundagebone.com/locations/houston/</t>
        </is>
      </c>
      <c r="S203" s="9" t="inlineStr">
        <is>
          <t>It places other firms' concrete with owned equipment, like a printer operator, but its national fleet is beyond one or two printers.</t>
        </is>
      </c>
      <c r="T203" s="6" t="inlineStr">
        <is>
          <t>YES</t>
        </is>
      </c>
      <c r="U203" s="9" t="inlineStr">
        <is>
          <t>Management page. Runs the Texas region. Operations vice president excludes Texas. Escalate to the division president.</t>
        </is>
      </c>
      <c r="V203" s="6" t="inlineStr"/>
      <c r="W203" s="6" t="inlineStr"/>
      <c r="X203" s="6" t="inlineStr"/>
      <c r="Y203" s="6" t="inlineStr"/>
      <c r="Z203" s="6" t="inlineStr">
        <is>
          <t>(713) 455-1464</t>
        </is>
      </c>
      <c r="AA203" s="6" t="inlineStr">
        <is>
          <t>West Old Spanish Trail yard</t>
        </is>
      </c>
      <c r="AB203" s="6" t="inlineStr">
        <is>
          <t>https://brundagebone.com/locations/houston/</t>
        </is>
      </c>
      <c r="AC203" s="6" t="inlineStr"/>
      <c r="AD203" s="6" t="inlineStr"/>
    </row>
    <row r="204">
      <c r="A204" s="12" t="inlineStr">
        <is>
          <t>Mark Young</t>
        </is>
      </c>
      <c r="B204" s="12" t="inlineStr">
        <is>
          <t>Brundage-Bone Concrete Pumping</t>
        </is>
      </c>
      <c r="C204" s="12" t="inlineStr">
        <is>
          <t>President, US Concrete Pumping</t>
        </is>
      </c>
      <c r="D204" s="13" t="inlineStr">
        <is>
          <t>Builds the wall, not the house</t>
        </is>
      </c>
      <c r="E204" s="14" t="n">
        <v>1</v>
      </c>
      <c r="F204" s="12" t="inlineStr">
        <is>
          <t>Builds the wall</t>
        </is>
      </c>
      <c r="G204" s="12" t="inlineStr">
        <is>
          <t>Houston, two yards on West Old Spanish Trail and Sellers Road</t>
        </is>
      </c>
      <c r="H204" s="12" t="inlineStr">
        <is>
          <t>Boom pumps from 17 to 65 metres, plus placing booms</t>
        </is>
      </c>
      <c r="I204" s="14" t="inlineStr">
        <is>
          <t>Yes</t>
        </is>
      </c>
      <c r="J204" s="15" t="inlineStr">
        <is>
          <t>Daily placement across one metro from two yards.</t>
        </is>
      </c>
      <c r="K204" s="14" t="inlineStr">
        <is>
          <t>No</t>
        </is>
      </c>
      <c r="L204" s="15" t="inlineStr">
        <is>
          <t>National pump fleet, bought at a scale beyond one or two printers.</t>
        </is>
      </c>
      <c r="M204" s="14" t="inlineStr">
        <is>
          <t>No</t>
        </is>
      </c>
      <c r="N204" s="15" t="inlineStr">
        <is>
          <t>Advertises low carbon and pervious concrete pumping. Advertising a method is not buying one.</t>
        </is>
      </c>
      <c r="O204" s="10" t="inlineStr"/>
      <c r="P204" s="12" t="inlineStr"/>
      <c r="Q204" s="16">
        <f>IF(O204="","ADD LINKEDIN","ok")</f>
        <v/>
      </c>
      <c r="R204" s="12" t="inlineStr">
        <is>
          <t>https://brundagebone.com/locations/houston/</t>
        </is>
      </c>
      <c r="S204" s="15" t="inlineStr">
        <is>
          <t>It places other firms' concrete with owned equipment, like a printer operator, but its national fleet is beyond one or two printers.</t>
        </is>
      </c>
      <c r="T204" s="12" t="inlineStr"/>
      <c r="U204" s="15" t="inlineStr">
        <is>
          <t>Management and investor pages. Not the public parent's chief executive.</t>
        </is>
      </c>
      <c r="V204" s="12" t="inlineStr">
        <is>
          <t>https://brundagebone.com/about/</t>
        </is>
      </c>
      <c r="W204" s="12" t="inlineStr"/>
      <c r="X204" s="12" t="inlineStr"/>
      <c r="Y204" s="12" t="inlineStr"/>
      <c r="Z204" s="12" t="inlineStr">
        <is>
          <t>(713) 455-1464</t>
        </is>
      </c>
      <c r="AA204" s="12" t="inlineStr">
        <is>
          <t>West Old Spanish Trail yard</t>
        </is>
      </c>
      <c r="AB204" s="12" t="inlineStr">
        <is>
          <t>https://brundagebone.com/locations/houston/</t>
        </is>
      </c>
      <c r="AC204" s="12" t="inlineStr"/>
      <c r="AD204" s="12" t="inlineStr"/>
    </row>
    <row r="205">
      <c r="A205" s="6" t="inlineStr">
        <is>
          <t>Gary Engasser</t>
        </is>
      </c>
      <c r="B205" s="6" t="inlineStr">
        <is>
          <t>Tealstone Residential Concrete</t>
        </is>
      </c>
      <c r="C205" s="6" t="inlineStr">
        <is>
          <t>President</t>
        </is>
      </c>
      <c r="D205" s="7" t="inlineStr">
        <is>
          <t>Builds the wall, not the house</t>
        </is>
      </c>
      <c r="E205" s="8" t="n">
        <v>1</v>
      </c>
      <c r="F205" s="6" t="inlineStr">
        <is>
          <t>Builds the wall</t>
        </is>
      </c>
      <c r="G205" s="6" t="inlineStr">
        <is>
          <t>Entire Houston region, plus Dallas-Fort Worth, Austin and San Antonio</t>
        </is>
      </c>
      <c r="H205" s="6" t="inlineStr">
        <is>
          <t>10,000-plus slabs placed a year</t>
        </is>
      </c>
      <c r="I205" s="8" t="inlineStr">
        <is>
          <t>Yes</t>
        </is>
      </c>
      <c r="J205" s="9" t="inlineStr">
        <is>
          <t>Ten thousand foundations a year for production builders, in the same communities and metros.</t>
        </is>
      </c>
      <c r="K205" s="8" t="inlineStr">
        <is>
          <t>No</t>
        </is>
      </c>
      <c r="L205" s="9" t="inlineStr">
        <is>
          <t>Far beyond one or two printers. A machine would be a pilot line.</t>
        </is>
      </c>
      <c r="M205" s="8" t="inlineStr">
        <is>
          <t>No</t>
        </is>
      </c>
      <c r="N205" s="9" t="inlineStr">
        <is>
          <t>No record of buying an unproven method.</t>
        </is>
      </c>
      <c r="O205" s="6" t="inlineStr">
        <is>
          <t>https://www.linkedin.com/in/gary-engasser-1b39b219/</t>
        </is>
      </c>
      <c r="P205" s="6" t="inlineStr"/>
      <c r="Q205" s="11">
        <f>IF(O205="","ADD LINKEDIN","ok")</f>
        <v/>
      </c>
      <c r="R205" s="6" t="inlineStr">
        <is>
          <t>https://www.tealstonelp.com/</t>
        </is>
      </c>
      <c r="S205" s="9" t="inlineStr">
        <is>
          <t>It pours foundations for production builders at a volume far beyond one or two printers, so a machine would be a pilot line.</t>
        </is>
      </c>
      <c r="T205" s="6" t="inlineStr">
        <is>
          <t>YES</t>
        </is>
      </c>
      <c r="U205" s="9" t="inlineStr">
        <is>
          <t>Co-founder retained in Sterling's April 2017 acquisition. Operating company president, not a Sterling officer.</t>
        </is>
      </c>
      <c r="V205" s="6" t="inlineStr"/>
      <c r="W205" s="6" t="inlineStr"/>
      <c r="X205" s="6" t="inlineStr"/>
      <c r="Y205" s="6" t="inlineStr"/>
      <c r="Z205" s="6" t="inlineStr">
        <is>
          <t>(940) 383-2887</t>
        </is>
      </c>
      <c r="AA205" s="6" t="inlineStr">
        <is>
          <t>Denton office, the only number on the firm's own site</t>
        </is>
      </c>
      <c r="AB205" s="6" t="inlineStr">
        <is>
          <t>https://www.tealstonelp.com/contact-us/</t>
        </is>
      </c>
      <c r="AC205" s="6" t="inlineStr"/>
      <c r="AD205" s="6" t="inlineStr"/>
    </row>
    <row r="206">
      <c r="A206" s="12" t="inlineStr">
        <is>
          <t>Rick Callihan</t>
        </is>
      </c>
      <c r="B206" s="12" t="inlineStr">
        <is>
          <t>Tealstone Residential Concrete</t>
        </is>
      </c>
      <c r="C206" s="12" t="inlineStr">
        <is>
          <t>Vice President</t>
        </is>
      </c>
      <c r="D206" s="13" t="inlineStr">
        <is>
          <t>Builds the wall, not the house</t>
        </is>
      </c>
      <c r="E206" s="14" t="n">
        <v>1</v>
      </c>
      <c r="F206" s="12" t="inlineStr">
        <is>
          <t>Builds the wall</t>
        </is>
      </c>
      <c r="G206" s="12" t="inlineStr">
        <is>
          <t>Entire Houston region, plus Dallas-Fort Worth, Austin and San Antonio</t>
        </is>
      </c>
      <c r="H206" s="12" t="inlineStr">
        <is>
          <t>10,000-plus slabs placed a year</t>
        </is>
      </c>
      <c r="I206" s="14" t="inlineStr">
        <is>
          <t>Yes</t>
        </is>
      </c>
      <c r="J206" s="15" t="inlineStr">
        <is>
          <t>Ten thousand foundations a year for production builders, in the same communities and metros.</t>
        </is>
      </c>
      <c r="K206" s="14" t="inlineStr">
        <is>
          <t>No</t>
        </is>
      </c>
      <c r="L206" s="15" t="inlineStr">
        <is>
          <t>Far beyond one or two printers. A machine would be a pilot line.</t>
        </is>
      </c>
      <c r="M206" s="14" t="inlineStr">
        <is>
          <t>No</t>
        </is>
      </c>
      <c r="N206" s="15" t="inlineStr">
        <is>
          <t>No record of buying an unproven method.</t>
        </is>
      </c>
      <c r="O206" s="10" t="inlineStr"/>
      <c r="P206" s="12" t="inlineStr"/>
      <c r="Q206" s="16">
        <f>IF(O206="","ADD LINKEDIN","ok")</f>
        <v/>
      </c>
      <c r="R206" s="12" t="inlineStr">
        <is>
          <t>https://www.tealstonelp.com/</t>
        </is>
      </c>
      <c r="S206" s="15" t="inlineStr">
        <is>
          <t>It pours foundations for production builders at a volume far beyond one or two printers, so a machine would be a pilot line.</t>
        </is>
      </c>
      <c r="T206" s="12" t="inlineStr"/>
      <c r="U206" s="15" t="inlineStr"/>
      <c r="V206" s="12" t="inlineStr">
        <is>
          <t>https://www.tealstonelp.com/who-we-are/</t>
        </is>
      </c>
      <c r="W206" s="12" t="inlineStr"/>
      <c r="X206" s="12" t="inlineStr"/>
      <c r="Y206" s="12" t="inlineStr"/>
      <c r="Z206" s="12" t="inlineStr">
        <is>
          <t>(940) 383-2887</t>
        </is>
      </c>
      <c r="AA206" s="12" t="inlineStr">
        <is>
          <t>Denton office, the only number on the firm's own site</t>
        </is>
      </c>
      <c r="AB206" s="12" t="inlineStr">
        <is>
          <t>https://www.tealstonelp.com/contact-us/</t>
        </is>
      </c>
      <c r="AC206" s="12" t="inlineStr"/>
      <c r="AD206" s="12" t="inlineStr"/>
    </row>
    <row r="207">
      <c r="A207" s="6" t="inlineStr">
        <is>
          <t>Logan Lippoldt</t>
        </is>
      </c>
      <c r="B207" s="6" t="inlineStr">
        <is>
          <t>Tealstone Residential Concrete</t>
        </is>
      </c>
      <c r="C207" s="6" t="inlineStr">
        <is>
          <t>General Superintendent</t>
        </is>
      </c>
      <c r="D207" s="7" t="inlineStr">
        <is>
          <t>Builds the wall, not the house</t>
        </is>
      </c>
      <c r="E207" s="8" t="n">
        <v>1</v>
      </c>
      <c r="F207" s="6" t="inlineStr">
        <is>
          <t>Builds the wall</t>
        </is>
      </c>
      <c r="G207" s="6" t="inlineStr">
        <is>
          <t>Entire Houston region, plus Dallas-Fort Worth, Austin and San Antonio</t>
        </is>
      </c>
      <c r="H207" s="6" t="inlineStr">
        <is>
          <t>10,000-plus slabs placed a year</t>
        </is>
      </c>
      <c r="I207" s="8" t="inlineStr">
        <is>
          <t>Yes</t>
        </is>
      </c>
      <c r="J207" s="9" t="inlineStr">
        <is>
          <t>Ten thousand foundations a year for production builders, in the same communities and metros.</t>
        </is>
      </c>
      <c r="K207" s="8" t="inlineStr">
        <is>
          <t>No</t>
        </is>
      </c>
      <c r="L207" s="9" t="inlineStr">
        <is>
          <t>Far beyond one or two printers. A machine would be a pilot line.</t>
        </is>
      </c>
      <c r="M207" s="8" t="inlineStr">
        <is>
          <t>No</t>
        </is>
      </c>
      <c r="N207" s="9" t="inlineStr">
        <is>
          <t>No record of buying an unproven method.</t>
        </is>
      </c>
      <c r="O207" s="10" t="inlineStr"/>
      <c r="P207" s="6" t="inlineStr"/>
      <c r="Q207" s="11">
        <f>IF(O207="","ADD LINKEDIN","ok")</f>
        <v/>
      </c>
      <c r="R207" s="6" t="inlineStr">
        <is>
          <t>https://www.tealstonelp.com/</t>
        </is>
      </c>
      <c r="S207" s="9" t="inlineStr">
        <is>
          <t>It pours foundations for production builders at a volume far beyond one or two printers, so a machine would be a pilot line.</t>
        </is>
      </c>
      <c r="T207" s="6" t="inlineStr"/>
      <c r="U207" s="9" t="inlineStr">
        <is>
          <t>Greater Houston Builders Association: primary Houston contact. Does not set specifications. Leadership in Denton.</t>
        </is>
      </c>
      <c r="V207" s="6" t="inlineStr">
        <is>
          <t>https://members.ghba.org/memberdirectory/Details/tealstone-residential-concrete-1307510</t>
        </is>
      </c>
      <c r="W207" s="6" t="inlineStr"/>
      <c r="X207" s="6" t="inlineStr"/>
      <c r="Y207" s="6" t="inlineStr"/>
      <c r="Z207" s="6" t="inlineStr">
        <is>
          <t>(940) 383-2887</t>
        </is>
      </c>
      <c r="AA207" s="6" t="inlineStr">
        <is>
          <t>Denton office, the only number on the firm's own site</t>
        </is>
      </c>
      <c r="AB207" s="6" t="inlineStr">
        <is>
          <t>https://www.tealstonelp.com/contact-us/</t>
        </is>
      </c>
      <c r="AC207" s="6" t="inlineStr"/>
      <c r="AD207" s="6" t="inlineStr"/>
    </row>
    <row r="208">
      <c r="A208" s="12" t="inlineStr">
        <is>
          <t>Brandon Buskohl</t>
        </is>
      </c>
      <c r="B208" s="12" t="inlineStr">
        <is>
          <t>Trussway Manufacturing</t>
        </is>
      </c>
      <c r="C208" s="12" t="inlineStr">
        <is>
          <t>Assistant General Manager</t>
        </is>
      </c>
      <c r="D208" s="13" t="inlineStr">
        <is>
          <t>Builds the wall, not the house</t>
        </is>
      </c>
      <c r="E208" s="14" t="n">
        <v>1</v>
      </c>
      <c r="F208" s="12" t="inlineStr">
        <is>
          <t>Builds the wall</t>
        </is>
      </c>
      <c r="G208" s="12" t="inlineStr">
        <is>
          <t>Houston headquarters, Alcorn Street</t>
        </is>
      </c>
      <c r="H208" s="12" t="inlineStr">
        <is>
          <t>About $340 million in sales, 1,000 employees, per Builders FirstSource, 2022</t>
        </is>
      </c>
      <c r="I208" s="14" t="inlineStr">
        <is>
          <t>Yes</t>
        </is>
      </c>
      <c r="J208" s="15" t="inlineStr">
        <is>
          <t>Wall panels made repeatedly from a Houston plant.</t>
        </is>
      </c>
      <c r="K208" s="14" t="inlineStr">
        <is>
          <t>No</t>
        </is>
      </c>
      <c r="L208" s="15" t="inlineStr">
        <is>
          <t>Six plants, $340 million sales, beyond one or two printers. Purchasing sits with a national parent.</t>
        </is>
      </c>
      <c r="M208" s="14" t="inlineStr">
        <is>
          <t>No</t>
        </is>
      </c>
      <c r="N208" s="15" t="inlineStr">
        <is>
          <t>No record of buying an unproven method.</t>
        </is>
      </c>
      <c r="O208" s="6" t="inlineStr">
        <is>
          <t>https://www.linkedin.com/in/brandon-buskohl-40649a75/</t>
        </is>
      </c>
      <c r="P208" s="12" t="inlineStr"/>
      <c r="Q208" s="16">
        <f>IF(O208="","ADD LINKEDIN","ok")</f>
        <v/>
      </c>
      <c r="R208" s="12" t="inlineStr">
        <is>
          <t>https://trussway.com/products/</t>
        </is>
      </c>
      <c r="S208" s="15" t="inlineStr">
        <is>
          <t>It already sells wall panels to Houston multifamily builders, but purchasing sits with its national parent.</t>
        </is>
      </c>
      <c r="T208" s="12" t="inlineStr"/>
      <c r="U208" s="15" t="inlineStr">
        <is>
          <t>LinkedIn headline: Trussway Manufacturing, a Builders FirstSource company.</t>
        </is>
      </c>
      <c r="V208" s="12" t="inlineStr"/>
      <c r="W208" s="12" t="inlineStr"/>
      <c r="X208" s="12" t="inlineStr"/>
      <c r="Y208" s="12" t="inlineStr"/>
      <c r="Z208" s="12" t="inlineStr">
        <is>
          <t>(713) 691-6900</t>
        </is>
      </c>
      <c r="AA208" s="12" t="inlineStr">
        <is>
          <t>Houston, Alcorn Street</t>
        </is>
      </c>
      <c r="AB208" s="12" t="inlineStr">
        <is>
          <t>https://www.sbcacomponents.com/tmat-directory/trussway</t>
        </is>
      </c>
      <c r="AC208" s="12" t="inlineStr"/>
      <c r="AD208" s="12" t="inlineStr"/>
    </row>
    <row r="209">
      <c r="A209" s="6" t="inlineStr">
        <is>
          <t>Chris Vogler</t>
        </is>
      </c>
      <c r="B209" s="6" t="inlineStr">
        <is>
          <t>Leola Construction</t>
        </is>
      </c>
      <c r="C209" s="6" t="inlineStr">
        <is>
          <t>Business Development Manager</t>
        </is>
      </c>
      <c r="D209" s="7" t="inlineStr">
        <is>
          <t>Builds the wall, not the house</t>
        </is>
      </c>
      <c r="E209" s="8" t="n">
        <v>1</v>
      </c>
      <c r="F209" s="6" t="inlineStr">
        <is>
          <t>Builds the wall</t>
        </is>
      </c>
      <c r="G209" s="6" t="inlineStr">
        <is>
          <t>Houston division, working Harris, Fort Bend, Montgomery and Waller</t>
        </is>
      </c>
      <c r="H209" s="6" t="inlineStr">
        <is>
          <t>9,900 homes a year company-wide, across 300 communities</t>
        </is>
      </c>
      <c r="I209" s="8" t="inlineStr">
        <is>
          <t>Yes</t>
        </is>
      </c>
      <c r="J209" s="9" t="inlineStr">
        <is>
          <t>Same wall package, community after community, north and west of the metro.</t>
        </is>
      </c>
      <c r="K209" s="8" t="inlineStr">
        <is>
          <t>No</t>
        </is>
      </c>
      <c r="L209" s="9" t="inlineStr">
        <is>
          <t>9,900 homes a year across Florida and Texas, far above what one or two printers cover.</t>
        </is>
      </c>
      <c r="M209" s="8" t="inlineStr">
        <is>
          <t>No</t>
        </is>
      </c>
      <c r="N209" s="9" t="inlineStr">
        <is>
          <t>No method statement published.</t>
        </is>
      </c>
      <c r="O209" s="6" t="inlineStr">
        <is>
          <t>https://www.linkedin.com/in/chris-vogler-56239a52/</t>
        </is>
      </c>
      <c r="P209" s="6" t="inlineStr"/>
      <c r="Q209" s="11">
        <f>IF(O209="","ADD LINKEDIN","ok")</f>
        <v/>
      </c>
      <c r="R209" s="6" t="inlineStr">
        <is>
          <t>https://leolaconstruction.com/houston/</t>
        </is>
      </c>
      <c r="S209" s="9" t="inlineStr">
        <is>
          <t>It sells the whole wall package to production builders, the purchase a printed wall would displace, but owns almost no field labour.</t>
        </is>
      </c>
      <c r="T209" s="6" t="inlineStr"/>
      <c r="U209" s="9" t="inlineStr">
        <is>
          <t>LinkedIn headline: Business Development Manager, Leola Construction. Spring, Texas.</t>
        </is>
      </c>
      <c r="V209" s="6" t="inlineStr"/>
      <c r="W209" s="6" t="inlineStr"/>
      <c r="X209" s="6" t="inlineStr"/>
      <c r="Y209" s="6" t="inlineStr"/>
      <c r="Z209" s="6" t="inlineStr">
        <is>
          <t>(813) 397-6100</t>
        </is>
      </c>
      <c r="AA209" s="6" t="inlineStr"/>
      <c r="AB209" s="6" t="inlineStr">
        <is>
          <t>https://leolaconstruction.com/houston/</t>
        </is>
      </c>
      <c r="AC209" s="6" t="inlineStr"/>
      <c r="AD209" s="6" t="inlineStr"/>
    </row>
    <row r="210">
      <c r="A210" s="12" t="inlineStr">
        <is>
          <t>Michael G. Scheurich</t>
        </is>
      </c>
      <c r="B210" s="12" t="inlineStr">
        <is>
          <t>Arch-Con Corporation</t>
        </is>
      </c>
      <c r="C210" s="12" t="inlineStr">
        <is>
          <t>Founder and Chief Executive Officer</t>
        </is>
      </c>
      <c r="D210" s="13" t="inlineStr">
        <is>
          <t>Builds the wall, not the house</t>
        </is>
      </c>
      <c r="E210" s="14" t="n">
        <v>3</v>
      </c>
      <c r="F210" s="12" t="inlineStr">
        <is>
          <t>Builds the wall</t>
        </is>
      </c>
      <c r="G210" s="12" t="inlineStr">
        <is>
          <t>Houston, Harris</t>
        </is>
      </c>
      <c r="H210" s="12" t="inlineStr">
        <is>
          <t>Reversed the standard tilt-wall sequence to save a month</t>
        </is>
      </c>
      <c r="I210" s="14" t="inlineStr">
        <is>
          <t>Partly</t>
        </is>
      </c>
      <c r="J210" s="15" t="inlineStr">
        <is>
          <t>Eight divisions across commercial, retail, healthcare and multifamily. Buildings differ project to project.</t>
        </is>
      </c>
      <c r="K210" s="14" t="inlineStr">
        <is>
          <t>Partly</t>
        </is>
      </c>
      <c r="L210" s="15" t="inlineStr">
        <is>
          <t>One published job, 770,640 square feet, with panels poured by somebody else. No annual volume.</t>
        </is>
      </c>
      <c r="M210" s="14" t="inlineStr">
        <is>
          <t>Partly</t>
        </is>
      </c>
      <c r="N210" s="15" t="inlineStr">
        <is>
          <t>Set a 275-ton lattice boom crane on the perimeter to spare the slab. No new method bought.</t>
        </is>
      </c>
      <c r="O210" s="6" t="inlineStr">
        <is>
          <t>https://www.linkedin.com/in/michael-scheurich-07811331/</t>
        </is>
      </c>
      <c r="P210" s="12" t="inlineStr"/>
      <c r="Q210" s="16">
        <f>IF(O210="","ADD LINKEDIN","ok")</f>
        <v/>
      </c>
      <c r="R210" s="12" t="inlineStr">
        <is>
          <t>https://www.arch-con.com/</t>
        </is>
      </c>
      <c r="S210" s="15" t="inlineStr">
        <is>
          <t>It buys its concrete rather than pouring it, and Encore Concrete Construction poured its award-listed tilt-up panels.</t>
        </is>
      </c>
      <c r="T210" s="12" t="inlineStr">
        <is>
          <t>YES</t>
        </is>
      </c>
      <c r="U210" s="15" t="inlineStr">
        <is>
          <t>LinkedIn headline: Chief Executive Officer, Arch-Con Corporation. Houston.</t>
        </is>
      </c>
      <c r="V210" s="12" t="inlineStr"/>
      <c r="W210" s="12" t="inlineStr"/>
      <c r="X210" s="12" t="inlineStr"/>
      <c r="Y210" s="12" t="inlineStr">
        <is>
          <t>2026-07-21 Construction Owners. Arch-Con Tops Out 330-Unit Artis Montrose Apartment Project  https://www.constructionowners.com/news/arch-con-reaches-topping-out-milestone-on-330-unit-artis-montrose-apartment-project</t>
        </is>
      </c>
      <c r="Z210" s="12" t="inlineStr">
        <is>
          <t>(713) 533-1900</t>
        </is>
      </c>
      <c r="AA210" s="12" t="inlineStr">
        <is>
          <t>Houston</t>
        </is>
      </c>
      <c r="AB210" s="12" t="inlineStr">
        <is>
          <t>https://www.arch-con.com/contact-us/</t>
        </is>
      </c>
      <c r="AC210" s="12" t="inlineStr"/>
      <c r="AD210" s="12" t="inlineStr"/>
    </row>
    <row r="211">
      <c r="A211" s="6" t="inlineStr">
        <is>
          <t>Jason M. Cooper</t>
        </is>
      </c>
      <c r="B211" s="6" t="inlineStr">
        <is>
          <t>Arch-Con Corporation</t>
        </is>
      </c>
      <c r="C211" s="6" t="inlineStr">
        <is>
          <t>President</t>
        </is>
      </c>
      <c r="D211" s="7" t="inlineStr">
        <is>
          <t>Builds the wall, not the house</t>
        </is>
      </c>
      <c r="E211" s="8" t="n">
        <v>3</v>
      </c>
      <c r="F211" s="6" t="inlineStr">
        <is>
          <t>Builds the wall</t>
        </is>
      </c>
      <c r="G211" s="6" t="inlineStr">
        <is>
          <t>Houston, Harris</t>
        </is>
      </c>
      <c r="H211" s="6" t="inlineStr">
        <is>
          <t>Reversed the standard tilt-wall sequence to save a month</t>
        </is>
      </c>
      <c r="I211" s="8" t="inlineStr">
        <is>
          <t>Partly</t>
        </is>
      </c>
      <c r="J211" s="9" t="inlineStr">
        <is>
          <t>Eight divisions across commercial, retail, healthcare and multifamily. Buildings differ project to project.</t>
        </is>
      </c>
      <c r="K211" s="8" t="inlineStr">
        <is>
          <t>Partly</t>
        </is>
      </c>
      <c r="L211" s="9" t="inlineStr">
        <is>
          <t>One published job, 770,640 square feet, with panels poured by somebody else. No annual volume.</t>
        </is>
      </c>
      <c r="M211" s="8" t="inlineStr">
        <is>
          <t>Partly</t>
        </is>
      </c>
      <c r="N211" s="9" t="inlineStr">
        <is>
          <t>Set a 275-ton lattice boom crane on the perimeter to spare the slab. No new method bought.</t>
        </is>
      </c>
      <c r="O211" s="10" t="inlineStr"/>
      <c r="P211" s="6">
        <f>HYPERLINK("https://www.linkedin.com/search/results/people/?keywords=Jason%20M.%20Cooper%20Arch-Con%20Corporation","search")</f>
        <v/>
      </c>
      <c r="Q211" s="11">
        <f>IF(O211="","ADD LINKEDIN","ok")</f>
        <v/>
      </c>
      <c r="R211" s="6" t="inlineStr">
        <is>
          <t>https://www.arch-con.com/</t>
        </is>
      </c>
      <c r="S211" s="9" t="inlineStr">
        <is>
          <t>It buys its concrete rather than pouring it, and Encore Concrete Construction poured its award-listed tilt-up panels.</t>
        </is>
      </c>
      <c r="T211" s="6" t="inlineStr">
        <is>
          <t>YES</t>
        </is>
      </c>
      <c r="U211" s="9" t="inlineStr"/>
      <c r="V211" s="6" t="inlineStr"/>
      <c r="W211" s="6" t="inlineStr"/>
      <c r="X211" s="6" t="inlineStr"/>
      <c r="Y211" s="6" t="inlineStr">
        <is>
          <t>2026-07-21 Construction Owners. Arch-Con Tops Out 330-Unit Artis Montrose Apartment Project  https://www.constructionowners.com/news/arch-con-reaches-topping-out-milestone-on-330-unit-artis-montrose-apartment-project</t>
        </is>
      </c>
      <c r="Z211" s="6" t="inlineStr">
        <is>
          <t>(713) 533-1900</t>
        </is>
      </c>
      <c r="AA211" s="6" t="inlineStr">
        <is>
          <t>Houston</t>
        </is>
      </c>
      <c r="AB211" s="6" t="inlineStr">
        <is>
          <t>https://www.arch-con.com/contact-us/</t>
        </is>
      </c>
      <c r="AC211" s="6" t="inlineStr"/>
      <c r="AD211" s="6" t="inlineStr"/>
    </row>
    <row r="212">
      <c r="A212" s="12" t="inlineStr">
        <is>
          <t>Daniel J. O'Hare</t>
        </is>
      </c>
      <c r="B212" s="12" t="inlineStr">
        <is>
          <t>Arch-Con Corporation</t>
        </is>
      </c>
      <c r="C212" s="12" t="inlineStr">
        <is>
          <t>Chief Financial Officer</t>
        </is>
      </c>
      <c r="D212" s="13" t="inlineStr">
        <is>
          <t>Builds the wall, not the house</t>
        </is>
      </c>
      <c r="E212" s="14" t="n">
        <v>3</v>
      </c>
      <c r="F212" s="12" t="inlineStr">
        <is>
          <t>Builds the wall</t>
        </is>
      </c>
      <c r="G212" s="12" t="inlineStr">
        <is>
          <t>Houston, Harris</t>
        </is>
      </c>
      <c r="H212" s="12" t="inlineStr">
        <is>
          <t>Reversed the standard tilt-wall sequence to save a month</t>
        </is>
      </c>
      <c r="I212" s="14" t="inlineStr">
        <is>
          <t>Partly</t>
        </is>
      </c>
      <c r="J212" s="15" t="inlineStr">
        <is>
          <t>Eight divisions across commercial, retail, healthcare and multifamily. Buildings differ project to project.</t>
        </is>
      </c>
      <c r="K212" s="14" t="inlineStr">
        <is>
          <t>Partly</t>
        </is>
      </c>
      <c r="L212" s="15" t="inlineStr">
        <is>
          <t>One published job, 770,640 square feet, with panels poured by somebody else. No annual volume.</t>
        </is>
      </c>
      <c r="M212" s="14" t="inlineStr">
        <is>
          <t>Partly</t>
        </is>
      </c>
      <c r="N212" s="15" t="inlineStr">
        <is>
          <t>Set a 275-ton lattice boom crane on the perimeter to spare the slab. No new method bought.</t>
        </is>
      </c>
      <c r="O212" s="10" t="inlineStr"/>
      <c r="P212" s="12">
        <f>HYPERLINK("https://www.linkedin.com/search/results/people/?keywords=Daniel%20J.%20O%27Hare%20Arch-Con%20Corporation","search")</f>
        <v/>
      </c>
      <c r="Q212" s="16">
        <f>IF(O212="","ADD LINKEDIN","ok")</f>
        <v/>
      </c>
      <c r="R212" s="12" t="inlineStr">
        <is>
          <t>https://www.arch-con.com/</t>
        </is>
      </c>
      <c r="S212" s="15" t="inlineStr">
        <is>
          <t>It buys its concrete rather than pouring it, and Encore Concrete Construction poured its award-listed tilt-up panels.</t>
        </is>
      </c>
      <c r="T212" s="12" t="inlineStr"/>
      <c r="U212" s="15" t="inlineStr"/>
      <c r="V212" s="12" t="inlineStr"/>
      <c r="W212" s="12" t="inlineStr"/>
      <c r="X212" s="12" t="inlineStr"/>
      <c r="Y212" s="12" t="inlineStr">
        <is>
          <t>2026-07-21 Construction Owners. Arch-Con Tops Out 330-Unit Artis Montrose Apartment Project  https://www.constructionowners.com/news/arch-con-reaches-topping-out-milestone-on-330-unit-artis-montrose-apartment-project</t>
        </is>
      </c>
      <c r="Z212" s="12" t="inlineStr">
        <is>
          <t>(713) 533-1900</t>
        </is>
      </c>
      <c r="AA212" s="12" t="inlineStr">
        <is>
          <t>Houston</t>
        </is>
      </c>
      <c r="AB212" s="12" t="inlineStr">
        <is>
          <t>https://www.arch-con.com/contact-us/</t>
        </is>
      </c>
      <c r="AC212" s="12" t="inlineStr"/>
      <c r="AD212" s="12" t="inlineStr"/>
    </row>
    <row r="213">
      <c r="A213" s="6" t="inlineStr">
        <is>
          <t>Christopher Scheurich</t>
        </is>
      </c>
      <c r="B213" s="6" t="inlineStr">
        <is>
          <t>Arch-Con Corporation</t>
        </is>
      </c>
      <c r="C213" s="6" t="inlineStr">
        <is>
          <t>General Counsel</t>
        </is>
      </c>
      <c r="D213" s="7" t="inlineStr">
        <is>
          <t>Builds the wall, not the house</t>
        </is>
      </c>
      <c r="E213" s="8" t="n">
        <v>3</v>
      </c>
      <c r="F213" s="6" t="inlineStr">
        <is>
          <t>Builds the wall</t>
        </is>
      </c>
      <c r="G213" s="6" t="inlineStr">
        <is>
          <t>Houston, Harris</t>
        </is>
      </c>
      <c r="H213" s="6" t="inlineStr">
        <is>
          <t>Reversed the standard tilt-wall sequence to save a month</t>
        </is>
      </c>
      <c r="I213" s="8" t="inlineStr">
        <is>
          <t>Partly</t>
        </is>
      </c>
      <c r="J213" s="9" t="inlineStr">
        <is>
          <t>Eight divisions across commercial, retail, healthcare and multifamily. Buildings differ project to project.</t>
        </is>
      </c>
      <c r="K213" s="8" t="inlineStr">
        <is>
          <t>Partly</t>
        </is>
      </c>
      <c r="L213" s="9" t="inlineStr">
        <is>
          <t>One published job, 770,640 square feet, with panels poured by somebody else. No annual volume.</t>
        </is>
      </c>
      <c r="M213" s="8" t="inlineStr">
        <is>
          <t>Partly</t>
        </is>
      </c>
      <c r="N213" s="9" t="inlineStr">
        <is>
          <t>Set a 275-ton lattice boom crane on the perimeter to spare the slab. No new method bought.</t>
        </is>
      </c>
      <c r="O213" s="10" t="inlineStr"/>
      <c r="P213" s="6">
        <f>HYPERLINK("https://www.linkedin.com/search/results/people/?keywords=Christopher%20Scheurich%20Arch-Con%20Corporation","search")</f>
        <v/>
      </c>
      <c r="Q213" s="11">
        <f>IF(O213="","ADD LINKEDIN","ok")</f>
        <v/>
      </c>
      <c r="R213" s="6" t="inlineStr">
        <is>
          <t>https://www.arch-con.com/</t>
        </is>
      </c>
      <c r="S213" s="9" t="inlineStr">
        <is>
          <t>It buys its concrete rather than pouring it, and Encore Concrete Construction poured its award-listed tilt-up panels.</t>
        </is>
      </c>
      <c r="T213" s="6" t="inlineStr"/>
      <c r="U213" s="9" t="inlineStr">
        <is>
          <t>LinkedIn headline: General Counsel, Arch-Con Corporation. Houston.</t>
        </is>
      </c>
      <c r="V213" s="6" t="inlineStr"/>
      <c r="W213" s="6" t="inlineStr"/>
      <c r="X213" s="6" t="inlineStr"/>
      <c r="Y213" s="6" t="inlineStr">
        <is>
          <t>2026-07-21 Construction Owners. Arch-Con Tops Out 330-Unit Artis Montrose Apartment Project  https://www.constructionowners.com/news/arch-con-reaches-topping-out-milestone-on-330-unit-artis-montrose-apartment-project</t>
        </is>
      </c>
      <c r="Z213" s="6" t="inlineStr">
        <is>
          <t>(713) 533-1900</t>
        </is>
      </c>
      <c r="AA213" s="6" t="inlineStr">
        <is>
          <t>Houston</t>
        </is>
      </c>
      <c r="AB213" s="6" t="inlineStr">
        <is>
          <t>https://www.arch-con.com/contact-us/</t>
        </is>
      </c>
      <c r="AC213" s="6" t="inlineStr"/>
      <c r="AD213" s="6" t="inlineStr"/>
    </row>
    <row r="214">
      <c r="A214" s="12" t="inlineStr">
        <is>
          <t>Trent Tellepsen</t>
        </is>
      </c>
      <c r="B214" s="12" t="inlineStr">
        <is>
          <t>Building Concrete Solutions</t>
        </is>
      </c>
      <c r="C214" s="12" t="inlineStr">
        <is>
          <t>President</t>
        </is>
      </c>
      <c r="D214" s="13" t="inlineStr">
        <is>
          <t>Builds the wall, not the house</t>
        </is>
      </c>
      <c r="E214" s="14" t="n">
        <v>3</v>
      </c>
      <c r="F214" s="12" t="inlineStr">
        <is>
          <t>Builds the wall</t>
        </is>
      </c>
      <c r="G214" s="12" t="inlineStr">
        <is>
          <t>Houston, Harris</t>
        </is>
      </c>
      <c r="H214" s="12" t="inlineStr">
        <is>
          <t>Runs Revit, Tekla, AutoCAD and Navisworks in house</t>
        </is>
      </c>
      <c r="I214" s="14" t="inlineStr">
        <is>
          <t>Partly</t>
        </is>
      </c>
      <c r="J214" s="15" t="inlineStr">
        <is>
          <t>Concrete packages recur across Houston projects.</t>
        </is>
      </c>
      <c r="K214" s="14" t="inlineStr">
        <is>
          <t>Partly</t>
        </is>
      </c>
      <c r="L214" s="15" t="inlineStr">
        <is>
          <t>No crew count, revenue or project size published.</t>
        </is>
      </c>
      <c r="M214" s="14" t="inlineStr">
        <is>
          <t>Partly</t>
        </is>
      </c>
      <c r="N214" s="15" t="inlineStr">
        <is>
          <t>Bought and staffed Revit, Tekla, AutoCAD and Navisworks. A printed wall is a model first.</t>
        </is>
      </c>
      <c r="O214" s="6" t="inlineStr">
        <is>
          <t>https://www.linkedin.com/in/trent-tellepsen-b8608024/</t>
        </is>
      </c>
      <c r="P214" s="12" t="inlineStr"/>
      <c r="Q214" s="16">
        <f>IF(O214="","ADD LINKEDIN","ok")</f>
        <v/>
      </c>
      <c r="R214" s="12" t="inlineStr">
        <is>
          <t>https://www.bcshouston.com/</t>
        </is>
      </c>
      <c r="S214" s="15" t="inlineStr">
        <is>
          <t>It models its work in three dimensions before pouring, and a printed wall starts as a model too.</t>
        </is>
      </c>
      <c r="T214" s="12" t="inlineStr">
        <is>
          <t>YES</t>
        </is>
      </c>
      <c r="U214" s="15" t="inlineStr">
        <is>
          <t>LinkedIn headline: President, Building Concrete Solutions. Houston.</t>
        </is>
      </c>
      <c r="V214" s="12" t="inlineStr"/>
      <c r="W214" s="12" t="inlineStr"/>
      <c r="X214" s="12" t="inlineStr"/>
      <c r="Y214" s="12" t="inlineStr"/>
      <c r="Z214" s="12" t="inlineStr">
        <is>
          <t>(281) 272-7900</t>
        </is>
      </c>
      <c r="AA214" s="12" t="inlineStr"/>
      <c r="AB214" s="12" t="inlineStr">
        <is>
          <t>https://www.bcshouston.com/</t>
        </is>
      </c>
      <c r="AC214" s="12" t="inlineStr"/>
      <c r="AD214" s="12" t="inlineStr"/>
    </row>
    <row r="215">
      <c r="A215" s="6" t="inlineStr">
        <is>
          <t>Daniel Lara</t>
        </is>
      </c>
      <c r="B215" s="6" t="inlineStr">
        <is>
          <t>Building Concrete Solutions</t>
        </is>
      </c>
      <c r="C215" s="6" t="inlineStr">
        <is>
          <t>Vice President</t>
        </is>
      </c>
      <c r="D215" s="7" t="inlineStr">
        <is>
          <t>Builds the wall, not the house</t>
        </is>
      </c>
      <c r="E215" s="8" t="n">
        <v>3</v>
      </c>
      <c r="F215" s="6" t="inlineStr">
        <is>
          <t>Builds the wall</t>
        </is>
      </c>
      <c r="G215" s="6" t="inlineStr">
        <is>
          <t>Houston, Harris</t>
        </is>
      </c>
      <c r="H215" s="6" t="inlineStr">
        <is>
          <t>Runs Revit, Tekla, AutoCAD and Navisworks in house</t>
        </is>
      </c>
      <c r="I215" s="8" t="inlineStr">
        <is>
          <t>Partly</t>
        </is>
      </c>
      <c r="J215" s="9" t="inlineStr">
        <is>
          <t>Concrete packages recur across Houston projects.</t>
        </is>
      </c>
      <c r="K215" s="8" t="inlineStr">
        <is>
          <t>Partly</t>
        </is>
      </c>
      <c r="L215" s="9" t="inlineStr">
        <is>
          <t>No crew count, revenue or project size published.</t>
        </is>
      </c>
      <c r="M215" s="8" t="inlineStr">
        <is>
          <t>Partly</t>
        </is>
      </c>
      <c r="N215" s="9" t="inlineStr">
        <is>
          <t>Bought and staffed Revit, Tekla, AutoCAD and Navisworks. A printed wall is a model first.</t>
        </is>
      </c>
      <c r="O215" s="6" t="inlineStr">
        <is>
          <t>https://www.linkedin.com/in/daniel-lara-24329570/</t>
        </is>
      </c>
      <c r="P215" s="6" t="inlineStr"/>
      <c r="Q215" s="11">
        <f>IF(O215="","ADD LINKEDIN","ok")</f>
        <v/>
      </c>
      <c r="R215" s="6" t="inlineStr">
        <is>
          <t>https://www.bcshouston.com/</t>
        </is>
      </c>
      <c r="S215" s="9" t="inlineStr">
        <is>
          <t>It models its work in three dimensions before pouring, and a printed wall starts as a model too.</t>
        </is>
      </c>
      <c r="T215" s="6" t="inlineStr">
        <is>
          <t>YES</t>
        </is>
      </c>
      <c r="U215" s="9" t="inlineStr">
        <is>
          <t>LinkedIn headline: Vice President, Building Concrete Solutions. Houston.</t>
        </is>
      </c>
      <c r="V215" s="6" t="inlineStr"/>
      <c r="W215" s="6" t="inlineStr"/>
      <c r="X215" s="6" t="inlineStr"/>
      <c r="Y215" s="6" t="inlineStr"/>
      <c r="Z215" s="6" t="inlineStr">
        <is>
          <t>(281) 272-7900</t>
        </is>
      </c>
      <c r="AA215" s="6" t="inlineStr"/>
      <c r="AB215" s="6" t="inlineStr">
        <is>
          <t>https://www.bcshouston.com/</t>
        </is>
      </c>
      <c r="AC215" s="6" t="inlineStr"/>
      <c r="AD215" s="6" t="inlineStr"/>
    </row>
    <row r="216">
      <c r="A216" s="12" t="inlineStr">
        <is>
          <t>Jorge Hernandez</t>
        </is>
      </c>
      <c r="B216" s="12" t="inlineStr">
        <is>
          <t>Building Concrete Solutions</t>
        </is>
      </c>
      <c r="C216" s="12" t="inlineStr">
        <is>
          <t>Manager of Operations</t>
        </is>
      </c>
      <c r="D216" s="13" t="inlineStr">
        <is>
          <t>Builds the wall, not the house</t>
        </is>
      </c>
      <c r="E216" s="14" t="n">
        <v>3</v>
      </c>
      <c r="F216" s="12" t="inlineStr">
        <is>
          <t>Builds the wall</t>
        </is>
      </c>
      <c r="G216" s="12" t="inlineStr">
        <is>
          <t>Houston, Harris</t>
        </is>
      </c>
      <c r="H216" s="12" t="inlineStr">
        <is>
          <t>Runs Revit, Tekla, AutoCAD and Navisworks in house</t>
        </is>
      </c>
      <c r="I216" s="14" t="inlineStr">
        <is>
          <t>Partly</t>
        </is>
      </c>
      <c r="J216" s="15" t="inlineStr">
        <is>
          <t>Concrete packages recur across Houston projects.</t>
        </is>
      </c>
      <c r="K216" s="14" t="inlineStr">
        <is>
          <t>Partly</t>
        </is>
      </c>
      <c r="L216" s="15" t="inlineStr">
        <is>
          <t>No crew count, revenue or project size published.</t>
        </is>
      </c>
      <c r="M216" s="14" t="inlineStr">
        <is>
          <t>Partly</t>
        </is>
      </c>
      <c r="N216" s="15" t="inlineStr">
        <is>
          <t>Bought and staffed Revit, Tekla, AutoCAD and Navisworks. A printed wall is a model first.</t>
        </is>
      </c>
      <c r="O216" s="6" t="inlineStr">
        <is>
          <t>https://www.linkedin.com/in/jorge-hern%C3%A1ndez-614616204/</t>
        </is>
      </c>
      <c r="P216" s="12" t="inlineStr"/>
      <c r="Q216" s="16">
        <f>IF(O216="","ADD LINKEDIN","ok")</f>
        <v/>
      </c>
      <c r="R216" s="12" t="inlineStr">
        <is>
          <t>https://www.bcshouston.com/</t>
        </is>
      </c>
      <c r="S216" s="15" t="inlineStr">
        <is>
          <t>It models its work in three dimensions before pouring, and a printed wall starts as a model too.</t>
        </is>
      </c>
      <c r="T216" s="12" t="inlineStr"/>
      <c r="U216" s="15" t="inlineStr">
        <is>
          <t>LinkedIn headline: Manager of Operations, Building Concrete Solutions. Houston.</t>
        </is>
      </c>
      <c r="V216" s="12" t="inlineStr"/>
      <c r="W216" s="12" t="inlineStr"/>
      <c r="X216" s="12" t="inlineStr"/>
      <c r="Y216" s="12" t="inlineStr"/>
      <c r="Z216" s="12" t="inlineStr">
        <is>
          <t>(281) 272-7900</t>
        </is>
      </c>
      <c r="AA216" s="12" t="inlineStr"/>
      <c r="AB216" s="12" t="inlineStr">
        <is>
          <t>https://www.bcshouston.com/</t>
        </is>
      </c>
      <c r="AC216" s="12" t="inlineStr"/>
      <c r="AD216" s="12" t="inlineStr"/>
    </row>
    <row r="217">
      <c r="A217" s="6" t="inlineStr">
        <is>
          <t>Marc Deer</t>
        </is>
      </c>
      <c r="B217" s="6" t="inlineStr">
        <is>
          <t>M.L. Deer Construction</t>
        </is>
      </c>
      <c r="C217" s="6" t="inlineStr">
        <is>
          <t>Managing General Partner</t>
        </is>
      </c>
      <c r="D217" s="7" t="inlineStr">
        <is>
          <t>Builds the wall, not the house</t>
        </is>
      </c>
      <c r="E217" s="8" t="n">
        <v>3</v>
      </c>
      <c r="F217" s="6" t="inlineStr">
        <is>
          <t>Builds the wall</t>
        </is>
      </c>
      <c r="G217" s="6" t="inlineStr">
        <is>
          <t>Houston, Harris, and the Texas Gulf Coast</t>
        </is>
      </c>
      <c r="H217" s="6" t="inlineStr">
        <is>
          <t>Carries insulated concrete form buildings as a standard offering</t>
        </is>
      </c>
      <c r="I217" s="8" t="inlineStr">
        <is>
          <t>Partly</t>
        </is>
      </c>
      <c r="J217" s="9" t="inlineStr">
        <is>
          <t>Gulf Coast commercial buildings. Each structure differs.</t>
        </is>
      </c>
      <c r="K217" s="8" t="inlineStr">
        <is>
          <t>Partly</t>
        </is>
      </c>
      <c r="L217" s="9" t="inlineStr">
        <is>
          <t>No revenue, crew count or project count published.</t>
        </is>
      </c>
      <c r="M217" s="8" t="inlineStr">
        <is>
          <t>Partly</t>
        </is>
      </c>
      <c r="N217" s="9" t="inlineStr">
        <is>
          <t>Sells an insulated concrete form wall, not only a wood one. No named project dates it.</t>
        </is>
      </c>
      <c r="O217" s="10" t="inlineStr"/>
      <c r="P217" s="6" t="inlineStr"/>
      <c r="Q217" s="11">
        <f>IF(O217="","ADD LINKEDIN","ok")</f>
        <v/>
      </c>
      <c r="R217" s="6" t="inlineStr">
        <is>
          <t>https://www.mldeer.com/</t>
        </is>
      </c>
      <c r="S217" s="9" t="inlineStr">
        <is>
          <t>It already sells a concrete wall system to commercial clients, but no residential project appears on its site.</t>
        </is>
      </c>
      <c r="T217" s="6" t="inlineStr"/>
      <c r="U217" s="9" t="inlineStr"/>
      <c r="V217" s="6" t="inlineStr">
        <is>
          <t>https://www.mldeer.com/our-team</t>
        </is>
      </c>
      <c r="W217" s="6" t="inlineStr"/>
      <c r="X217" s="6" t="inlineStr"/>
      <c r="Y217" s="6" t="inlineStr"/>
      <c r="Z217" s="6" t="inlineStr">
        <is>
          <t>(713) 681-1100</t>
        </is>
      </c>
      <c r="AA217" s="6" t="inlineStr">
        <is>
          <t>office</t>
        </is>
      </c>
      <c r="AB217" s="6" t="inlineStr">
        <is>
          <t>https://www.mldeer.com/</t>
        </is>
      </c>
      <c r="AC217" s="6" t="inlineStr"/>
      <c r="AD217" s="6" t="inlineStr"/>
    </row>
    <row r="218">
      <c r="A218" s="12" t="inlineStr">
        <is>
          <t>Richard Rolland</t>
        </is>
      </c>
      <c r="B218" s="12" t="inlineStr">
        <is>
          <t>M.L. Deer Construction</t>
        </is>
      </c>
      <c r="C218" s="12" t="inlineStr">
        <is>
          <t>Managing General Partner</t>
        </is>
      </c>
      <c r="D218" s="13" t="inlineStr">
        <is>
          <t>Builds the wall, not the house</t>
        </is>
      </c>
      <c r="E218" s="14" t="n">
        <v>3</v>
      </c>
      <c r="F218" s="12" t="inlineStr">
        <is>
          <t>Builds the wall</t>
        </is>
      </c>
      <c r="G218" s="12" t="inlineStr">
        <is>
          <t>Houston, Harris, and the Texas Gulf Coast</t>
        </is>
      </c>
      <c r="H218" s="12" t="inlineStr">
        <is>
          <t>Carries insulated concrete form buildings as a standard offering</t>
        </is>
      </c>
      <c r="I218" s="14" t="inlineStr">
        <is>
          <t>Partly</t>
        </is>
      </c>
      <c r="J218" s="15" t="inlineStr">
        <is>
          <t>Gulf Coast commercial buildings. Each structure differs.</t>
        </is>
      </c>
      <c r="K218" s="14" t="inlineStr">
        <is>
          <t>Partly</t>
        </is>
      </c>
      <c r="L218" s="15" t="inlineStr">
        <is>
          <t>No revenue, crew count or project count published.</t>
        </is>
      </c>
      <c r="M218" s="14" t="inlineStr">
        <is>
          <t>Partly</t>
        </is>
      </c>
      <c r="N218" s="15" t="inlineStr">
        <is>
          <t>Sells an insulated concrete form wall, not only a wood one. No named project dates it.</t>
        </is>
      </c>
      <c r="O218" s="10" t="inlineStr"/>
      <c r="P218" s="12" t="inlineStr"/>
      <c r="Q218" s="16">
        <f>IF(O218="","ADD LINKEDIN","ok")</f>
        <v/>
      </c>
      <c r="R218" s="12" t="inlineStr">
        <is>
          <t>https://www.mldeer.com/</t>
        </is>
      </c>
      <c r="S218" s="15" t="inlineStr">
        <is>
          <t>It already sells a concrete wall system to commercial clients, but no residential project appears on its site.</t>
        </is>
      </c>
      <c r="T218" s="12" t="inlineStr"/>
      <c r="U218" s="15" t="inlineStr"/>
      <c r="V218" s="12" t="inlineStr">
        <is>
          <t>https://www.mldeer.com/our-team</t>
        </is>
      </c>
      <c r="W218" s="12" t="inlineStr"/>
      <c r="X218" s="12" t="inlineStr"/>
      <c r="Y218" s="12" t="inlineStr"/>
      <c r="Z218" s="12" t="inlineStr">
        <is>
          <t>(713) 681-1100</t>
        </is>
      </c>
      <c r="AA218" s="12" t="inlineStr">
        <is>
          <t>office</t>
        </is>
      </c>
      <c r="AB218" s="12" t="inlineStr">
        <is>
          <t>https://www.mldeer.com/</t>
        </is>
      </c>
      <c r="AC218" s="12" t="inlineStr"/>
      <c r="AD218" s="12" t="inlineStr"/>
    </row>
    <row r="219">
      <c r="A219" s="6" t="inlineStr">
        <is>
          <t>Jack Baker</t>
        </is>
      </c>
      <c r="B219" s="6" t="inlineStr">
        <is>
          <t>M.L. Deer Construction</t>
        </is>
      </c>
      <c r="C219" s="6" t="inlineStr">
        <is>
          <t>Senior Project Manager, ML Deer Construction</t>
        </is>
      </c>
      <c r="D219" s="7" t="inlineStr">
        <is>
          <t>Builds the wall, not the house</t>
        </is>
      </c>
      <c r="E219" s="8" t="n">
        <v>3</v>
      </c>
      <c r="F219" s="6" t="inlineStr">
        <is>
          <t>Builds the wall</t>
        </is>
      </c>
      <c r="G219" s="6" t="inlineStr">
        <is>
          <t>Houston, Harris, and the Texas Gulf Coast</t>
        </is>
      </c>
      <c r="H219" s="6" t="inlineStr">
        <is>
          <t>Carries insulated concrete form buildings as a standard offering</t>
        </is>
      </c>
      <c r="I219" s="8" t="inlineStr">
        <is>
          <t>Partly</t>
        </is>
      </c>
      <c r="J219" s="9" t="inlineStr">
        <is>
          <t>Gulf Coast commercial buildings. Each structure differs.</t>
        </is>
      </c>
      <c r="K219" s="8" t="inlineStr">
        <is>
          <t>Partly</t>
        </is>
      </c>
      <c r="L219" s="9" t="inlineStr">
        <is>
          <t>No revenue, crew count or project count published.</t>
        </is>
      </c>
      <c r="M219" s="8" t="inlineStr">
        <is>
          <t>Partly</t>
        </is>
      </c>
      <c r="N219" s="9" t="inlineStr">
        <is>
          <t>Sells an insulated concrete form wall, not only a wood one. No named project dates it.</t>
        </is>
      </c>
      <c r="O219" s="10" t="inlineStr"/>
      <c r="P219" s="6" t="inlineStr"/>
      <c r="Q219" s="11">
        <f>IF(O219="","ADD LINKEDIN","ok")</f>
        <v/>
      </c>
      <c r="R219" s="6" t="inlineStr">
        <is>
          <t>https://www.mldeer.com/</t>
        </is>
      </c>
      <c r="S219" s="9" t="inlineStr">
        <is>
          <t>It already sells a concrete wall system to commercial clients, but no residential project appears on its site.</t>
        </is>
      </c>
      <c r="T219" s="6" t="inlineStr"/>
      <c r="U219" s="9" t="inlineStr">
        <is>
          <t>Only construction-side name published.</t>
        </is>
      </c>
      <c r="V219" s="6" t="inlineStr">
        <is>
          <t>https://www.mldeer.com/our-team</t>
        </is>
      </c>
      <c r="W219" s="6" t="inlineStr"/>
      <c r="X219" s="6" t="inlineStr"/>
      <c r="Y219" s="6" t="inlineStr"/>
      <c r="Z219" s="6" t="inlineStr">
        <is>
          <t>(713) 681-1100</t>
        </is>
      </c>
      <c r="AA219" s="6" t="inlineStr">
        <is>
          <t>office</t>
        </is>
      </c>
      <c r="AB219" s="6" t="inlineStr">
        <is>
          <t>https://www.mldeer.com/</t>
        </is>
      </c>
      <c r="AC219" s="6" t="inlineStr"/>
      <c r="AD219" s="6" t="inlineStr"/>
    </row>
    <row r="220">
      <c r="A220" s="12" t="inlineStr">
        <is>
          <t>Ryan Taylor</t>
        </is>
      </c>
      <c r="B220" s="12" t="inlineStr">
        <is>
          <t>T&amp;T Construction</t>
        </is>
      </c>
      <c r="C220" s="12" t="inlineStr">
        <is>
          <t>Third generation, assumed leadership in 2001</t>
        </is>
      </c>
      <c r="D220" s="13" t="inlineStr">
        <is>
          <t>Builds the wall, not the house</t>
        </is>
      </c>
      <c r="E220" s="14" t="n">
        <v>3</v>
      </c>
      <c r="F220" s="12" t="inlineStr">
        <is>
          <t>Builds the wall</t>
        </is>
      </c>
      <c r="G220" s="12" t="inlineStr">
        <is>
          <t>Pasadena, Harris</t>
        </is>
      </c>
      <c r="H220" s="12" t="inlineStr">
        <is>
          <t>65 employees, 1,000-plus Houston projects since 1969</t>
        </is>
      </c>
      <c r="I220" s="14" t="inlineStr">
        <is>
          <t>Partly</t>
        </is>
      </c>
      <c r="J220" s="15" t="inlineStr">
        <is>
          <t>Industrial and commercial concrete recur on the metro's east side.</t>
        </is>
      </c>
      <c r="K220" s="14" t="inlineStr">
        <is>
          <t>Partly</t>
        </is>
      </c>
      <c r="L220" s="15" t="inlineStr">
        <is>
          <t>65 employees and over 1,000 Greater Houston projects since 1969. No annual wall figure published.</t>
        </is>
      </c>
      <c r="M220" s="14" t="inlineStr">
        <is>
          <t>Partly</t>
        </is>
      </c>
      <c r="N220" s="15" t="inlineStr">
        <is>
          <t>Bought volumetric mixers in place of plant ready-mix. Not a wall method.</t>
        </is>
      </c>
      <c r="O220" s="10" t="inlineStr"/>
      <c r="P220" s="12" t="inlineStr"/>
      <c r="Q220" s="16">
        <f>IF(O220="","ADD LINKEDIN","ok")</f>
        <v/>
      </c>
      <c r="R220" s="12" t="inlineStr">
        <is>
          <t>https://tandtconstruction.com/</t>
        </is>
      </c>
      <c r="S220" s="15" t="inlineStr">
        <is>
          <t>It delivers its own concrete on volumetric mixers, so it already supplies the continuous feed a printer needs.</t>
        </is>
      </c>
      <c r="T220" s="12" t="inlineStr"/>
      <c r="U220" s="15" t="inlineStr">
        <is>
          <t>About page. Jeff's son, joined 1988. Surname not printed beside him.</t>
        </is>
      </c>
      <c r="V220" s="12" t="inlineStr">
        <is>
          <t>https://tandtconstruction.com/about-us/</t>
        </is>
      </c>
      <c r="W220" s="12" t="inlineStr"/>
      <c r="X220" s="12" t="inlineStr">
        <is>
          <t>https://tandtconstruction.com/about-us/</t>
        </is>
      </c>
      <c r="Y220" s="12" t="inlineStr"/>
      <c r="Z220" s="12" t="inlineStr">
        <is>
          <t>(713) 477-6660</t>
        </is>
      </c>
      <c r="AA220" s="12" t="inlineStr"/>
      <c r="AB220" s="12" t="inlineStr">
        <is>
          <t>https://tandtconstruction.com/</t>
        </is>
      </c>
      <c r="AC220" s="12" t="inlineStr"/>
      <c r="AD220" s="12" t="inlineStr"/>
    </row>
    <row r="221">
      <c r="A221" s="6" t="inlineStr">
        <is>
          <t>Jeff Taylor</t>
        </is>
      </c>
      <c r="B221" s="6" t="inlineStr">
        <is>
          <t>T&amp;T Construction</t>
        </is>
      </c>
      <c r="C221" s="6" t="inlineStr">
        <is>
          <t>Second-generation co-owner</t>
        </is>
      </c>
      <c r="D221" s="7" t="inlineStr">
        <is>
          <t>Builds the wall, not the house</t>
        </is>
      </c>
      <c r="E221" s="8" t="n">
        <v>3</v>
      </c>
      <c r="F221" s="6" t="inlineStr">
        <is>
          <t>Builds the wall</t>
        </is>
      </c>
      <c r="G221" s="6" t="inlineStr">
        <is>
          <t>Pasadena, Harris</t>
        </is>
      </c>
      <c r="H221" s="6" t="inlineStr">
        <is>
          <t>65 employees, 1,000-plus Houston projects since 1969</t>
        </is>
      </c>
      <c r="I221" s="8" t="inlineStr">
        <is>
          <t>Partly</t>
        </is>
      </c>
      <c r="J221" s="9" t="inlineStr">
        <is>
          <t>Industrial and commercial concrete recur on the metro's east side.</t>
        </is>
      </c>
      <c r="K221" s="8" t="inlineStr">
        <is>
          <t>Partly</t>
        </is>
      </c>
      <c r="L221" s="9" t="inlineStr">
        <is>
          <t>65 employees and over 1,000 Greater Houston projects since 1969. No annual wall figure published.</t>
        </is>
      </c>
      <c r="M221" s="8" t="inlineStr">
        <is>
          <t>Partly</t>
        </is>
      </c>
      <c r="N221" s="9" t="inlineStr">
        <is>
          <t>Bought volumetric mixers in place of plant ready-mix. Not a wall method.</t>
        </is>
      </c>
      <c r="O221" s="10" t="inlineStr"/>
      <c r="P221" s="6" t="inlineStr"/>
      <c r="Q221" s="11">
        <f>IF(O221="","ADD LINKEDIN","ok")</f>
        <v/>
      </c>
      <c r="R221" s="6" t="inlineStr">
        <is>
          <t>https://tandtconstruction.com/</t>
        </is>
      </c>
      <c r="S221" s="9" t="inlineStr">
        <is>
          <t>It delivers its own concrete on volumetric mixers, so it already supplies the continuous feed a printer needs.</t>
        </is>
      </c>
      <c r="T221" s="6" t="inlineStr"/>
      <c r="U221" s="9" t="inlineStr">
        <is>
          <t>About page. Founder's son. First name only.</t>
        </is>
      </c>
      <c r="V221" s="6" t="inlineStr">
        <is>
          <t>https://tandtconstruction.com/about-us/</t>
        </is>
      </c>
      <c r="W221" s="6" t="inlineStr"/>
      <c r="X221" s="6" t="inlineStr">
        <is>
          <t>https://tandtconstruction.com/about-us/</t>
        </is>
      </c>
      <c r="Y221" s="6" t="inlineStr"/>
      <c r="Z221" s="6" t="inlineStr">
        <is>
          <t>(713) 477-6660</t>
        </is>
      </c>
      <c r="AA221" s="6" t="inlineStr"/>
      <c r="AB221" s="6" t="inlineStr">
        <is>
          <t>https://tandtconstruction.com/</t>
        </is>
      </c>
      <c r="AC221" s="6" t="inlineStr"/>
      <c r="AD221" s="6" t="inlineStr"/>
    </row>
    <row r="222">
      <c r="A222" s="12" t="inlineStr">
        <is>
          <t>Dianna Taylor</t>
        </is>
      </c>
      <c r="B222" s="12" t="inlineStr">
        <is>
          <t>T&amp;T Construction</t>
        </is>
      </c>
      <c r="C222" s="12" t="inlineStr">
        <is>
          <t>Second-generation co-owner</t>
        </is>
      </c>
      <c r="D222" s="13" t="inlineStr">
        <is>
          <t>Builds the wall, not the house</t>
        </is>
      </c>
      <c r="E222" s="14" t="n">
        <v>3</v>
      </c>
      <c r="F222" s="12" t="inlineStr">
        <is>
          <t>Builds the wall</t>
        </is>
      </c>
      <c r="G222" s="12" t="inlineStr">
        <is>
          <t>Pasadena, Harris</t>
        </is>
      </c>
      <c r="H222" s="12" t="inlineStr">
        <is>
          <t>65 employees, 1,000-plus Houston projects since 1969</t>
        </is>
      </c>
      <c r="I222" s="14" t="inlineStr">
        <is>
          <t>Partly</t>
        </is>
      </c>
      <c r="J222" s="15" t="inlineStr">
        <is>
          <t>Industrial and commercial concrete recur on the metro's east side.</t>
        </is>
      </c>
      <c r="K222" s="14" t="inlineStr">
        <is>
          <t>Partly</t>
        </is>
      </c>
      <c r="L222" s="15" t="inlineStr">
        <is>
          <t>65 employees and over 1,000 Greater Houston projects since 1969. No annual wall figure published.</t>
        </is>
      </c>
      <c r="M222" s="14" t="inlineStr">
        <is>
          <t>Partly</t>
        </is>
      </c>
      <c r="N222" s="15" t="inlineStr">
        <is>
          <t>Bought volumetric mixers in place of plant ready-mix. Not a wall method.</t>
        </is>
      </c>
      <c r="O222" s="10" t="inlineStr"/>
      <c r="P222" s="12" t="inlineStr"/>
      <c r="Q222" s="16">
        <f>IF(O222="","ADD LINKEDIN","ok")</f>
        <v/>
      </c>
      <c r="R222" s="12" t="inlineStr">
        <is>
          <t>https://tandtconstruction.com/</t>
        </is>
      </c>
      <c r="S222" s="15" t="inlineStr">
        <is>
          <t>It delivers its own concrete on volumetric mixers, so it already supplies the continuous feed a printer needs.</t>
        </is>
      </c>
      <c r="T222" s="12" t="inlineStr"/>
      <c r="U222" s="15" t="inlineStr">
        <is>
          <t>About page. Jeff's wife. First name only.</t>
        </is>
      </c>
      <c r="V222" s="12" t="inlineStr">
        <is>
          <t>https://tandtconstruction.com/about-us/</t>
        </is>
      </c>
      <c r="W222" s="12" t="inlineStr"/>
      <c r="X222" s="12" t="inlineStr">
        <is>
          <t>https://tandtconstruction.com/about-us/</t>
        </is>
      </c>
      <c r="Y222" s="12" t="inlineStr"/>
      <c r="Z222" s="12" t="inlineStr">
        <is>
          <t>(713) 477-6660</t>
        </is>
      </c>
      <c r="AA222" s="12" t="inlineStr"/>
      <c r="AB222" s="12" t="inlineStr">
        <is>
          <t>https://tandtconstruction.com/</t>
        </is>
      </c>
      <c r="AC222" s="12" t="inlineStr"/>
      <c r="AD222" s="12" t="inlineStr"/>
    </row>
    <row r="223">
      <c r="A223" s="6" t="inlineStr">
        <is>
          <t>Victor Andrade</t>
        </is>
      </c>
      <c r="B223" s="6" t="inlineStr">
        <is>
          <t>Andrade Construction Companies</t>
        </is>
      </c>
      <c r="C223" s="6" t="inlineStr">
        <is>
          <t>Founder</t>
        </is>
      </c>
      <c r="D223" s="7" t="inlineStr">
        <is>
          <t>Builds the wall, not the house</t>
        </is>
      </c>
      <c r="E223" s="8" t="n">
        <v>2</v>
      </c>
      <c r="F223" s="6" t="inlineStr">
        <is>
          <t>Builds the wall</t>
        </is>
      </c>
      <c r="G223" s="6" t="inlineStr">
        <is>
          <t>Houston, working Harris and Brazoria</t>
        </is>
      </c>
      <c r="H223" s="6" t="inlineStr">
        <is>
          <t>Owns earthwork, utilities and concrete</t>
        </is>
      </c>
      <c r="I223" s="8" t="inlineStr">
        <is>
          <t>Partly</t>
        </is>
      </c>
      <c r="J223" s="9" t="inlineStr">
        <is>
          <t>Site and concrete packages recur across Houston jobs.</t>
        </is>
      </c>
      <c r="K223" s="8" t="inlineStr">
        <is>
          <t>Partly</t>
        </is>
      </c>
      <c r="L223" s="9" t="inlineStr">
        <is>
          <t>No crew count, revenue or annual volume published.</t>
        </is>
      </c>
      <c r="M223" s="8" t="inlineStr">
        <is>
          <t>No</t>
        </is>
      </c>
      <c r="N223" s="9" t="inlineStr">
        <is>
          <t>No method statement published.</t>
        </is>
      </c>
      <c r="O223" s="10" t="inlineStr"/>
      <c r="P223" s="6" t="inlineStr"/>
      <c r="Q223" s="11">
        <f>IF(O223="","ADD LINKEDIN","ok")</f>
        <v/>
      </c>
      <c r="R223" s="6" t="inlineStr">
        <is>
          <t>https://andradeconstructioncompanies.com/</t>
        </is>
      </c>
      <c r="S223" s="9" t="inlineStr">
        <is>
          <t>Its own crews pour the slab a printer would stand on, but it publishes no crew count, revenue or annual volume.</t>
        </is>
      </c>
      <c r="T223" s="6" t="inlineStr"/>
      <c r="U223" s="9" t="inlineStr">
        <is>
          <t>About page. Founded 2003 in residential, commercial from 2013.</t>
        </is>
      </c>
      <c r="V223" s="6" t="inlineStr">
        <is>
          <t>http://andradeconstructioncompanies.com/about-us/</t>
        </is>
      </c>
      <c r="W223" s="6" t="inlineStr"/>
      <c r="X223" s="6" t="inlineStr"/>
      <c r="Y223" s="6" t="inlineStr"/>
      <c r="Z223" s="6" t="inlineStr">
        <is>
          <t>(281) 227-8225</t>
        </is>
      </c>
      <c r="AA223" s="6" t="inlineStr"/>
      <c r="AB223" s="6" t="inlineStr">
        <is>
          <t>https://andradeconstructioncompanies.com/</t>
        </is>
      </c>
      <c r="AC223" s="6" t="inlineStr"/>
      <c r="AD223" s="6" t="inlineStr"/>
    </row>
    <row r="224">
      <c r="A224" s="12" t="inlineStr">
        <is>
          <t>Eric Rice</t>
        </is>
      </c>
      <c r="B224" s="12" t="inlineStr">
        <is>
          <t>Andrade Construction Companies</t>
        </is>
      </c>
      <c r="C224" s="12" t="inlineStr">
        <is>
          <t>Business Development Manager</t>
        </is>
      </c>
      <c r="D224" s="13" t="inlineStr">
        <is>
          <t>Builds the wall, not the house</t>
        </is>
      </c>
      <c r="E224" s="14" t="n">
        <v>2</v>
      </c>
      <c r="F224" s="12" t="inlineStr">
        <is>
          <t>Builds the wall</t>
        </is>
      </c>
      <c r="G224" s="12" t="inlineStr">
        <is>
          <t>Houston, working Harris and Brazoria</t>
        </is>
      </c>
      <c r="H224" s="12" t="inlineStr">
        <is>
          <t>Owns earthwork, utilities and concrete</t>
        </is>
      </c>
      <c r="I224" s="14" t="inlineStr">
        <is>
          <t>Partly</t>
        </is>
      </c>
      <c r="J224" s="15" t="inlineStr">
        <is>
          <t>Site and concrete packages recur across Houston jobs.</t>
        </is>
      </c>
      <c r="K224" s="14" t="inlineStr">
        <is>
          <t>Partly</t>
        </is>
      </c>
      <c r="L224" s="15" t="inlineStr">
        <is>
          <t>No crew count, revenue or annual volume published.</t>
        </is>
      </c>
      <c r="M224" s="14" t="inlineStr">
        <is>
          <t>No</t>
        </is>
      </c>
      <c r="N224" s="15" t="inlineStr">
        <is>
          <t>No method statement published.</t>
        </is>
      </c>
      <c r="O224" s="6" t="inlineStr">
        <is>
          <t>https://www.linkedin.com/in/eric-rice-177124352/</t>
        </is>
      </c>
      <c r="P224" s="12" t="inlineStr"/>
      <c r="Q224" s="16">
        <f>IF(O224="","ADD LINKEDIN","ok")</f>
        <v/>
      </c>
      <c r="R224" s="12" t="inlineStr">
        <is>
          <t>https://andradeconstructioncompanies.com/</t>
        </is>
      </c>
      <c r="S224" s="15" t="inlineStr">
        <is>
          <t>Its own crews pour the slab a printer would stand on, but it publishes no crew count, revenue or annual volume.</t>
        </is>
      </c>
      <c r="T224" s="12" t="inlineStr"/>
      <c r="U224" s="15" t="inlineStr">
        <is>
          <t>LinkedIn headline: Business Development Manager, Andrade Construction Companies. Houston.</t>
        </is>
      </c>
      <c r="V224" s="12" t="inlineStr"/>
      <c r="W224" s="12" t="inlineStr"/>
      <c r="X224" s="12" t="inlineStr"/>
      <c r="Y224" s="12" t="inlineStr"/>
      <c r="Z224" s="12" t="inlineStr">
        <is>
          <t>(281) 227-8225</t>
        </is>
      </c>
      <c r="AA224" s="12" t="inlineStr"/>
      <c r="AB224" s="12" t="inlineStr">
        <is>
          <t>https://andradeconstructioncompanies.com/</t>
        </is>
      </c>
      <c r="AC224" s="12" t="inlineStr"/>
      <c r="AD224" s="12" t="inlineStr"/>
    </row>
    <row r="225">
      <c r="A225" s="6" t="inlineStr">
        <is>
          <t>Luis Andrade</t>
        </is>
      </c>
      <c r="B225" s="6" t="inlineStr">
        <is>
          <t>Andrade Construction Companies</t>
        </is>
      </c>
      <c r="C225" s="6" t="inlineStr">
        <is>
          <t>Chief Operating Officer, Andrade Concrete and Construction</t>
        </is>
      </c>
      <c r="D225" s="7" t="inlineStr">
        <is>
          <t>Builds the wall, not the house</t>
        </is>
      </c>
      <c r="E225" s="8" t="n">
        <v>2</v>
      </c>
      <c r="F225" s="6" t="inlineStr">
        <is>
          <t>Builds the wall</t>
        </is>
      </c>
      <c r="G225" s="6" t="inlineStr">
        <is>
          <t>Houston, working Harris and Brazoria</t>
        </is>
      </c>
      <c r="H225" s="6" t="inlineStr">
        <is>
          <t>Owns earthwork, utilities and concrete</t>
        </is>
      </c>
      <c r="I225" s="8" t="inlineStr">
        <is>
          <t>Partly</t>
        </is>
      </c>
      <c r="J225" s="9" t="inlineStr">
        <is>
          <t>Site and concrete packages recur across Houston jobs.</t>
        </is>
      </c>
      <c r="K225" s="8" t="inlineStr">
        <is>
          <t>Partly</t>
        </is>
      </c>
      <c r="L225" s="9" t="inlineStr">
        <is>
          <t>No crew count, revenue or annual volume published.</t>
        </is>
      </c>
      <c r="M225" s="8" t="inlineStr">
        <is>
          <t>No</t>
        </is>
      </c>
      <c r="N225" s="9" t="inlineStr">
        <is>
          <t>No method statement published.</t>
        </is>
      </c>
      <c r="O225" s="6" t="inlineStr">
        <is>
          <t>https://www.linkedin.com/in/luis-andrade-128317159/</t>
        </is>
      </c>
      <c r="P225" s="6" t="inlineStr"/>
      <c r="Q225" s="11">
        <f>IF(O225="","ADD LINKEDIN","ok")</f>
        <v/>
      </c>
      <c r="R225" s="6" t="inlineStr">
        <is>
          <t>https://andradeconstructioncompanies.com/</t>
        </is>
      </c>
      <c r="S225" s="9" t="inlineStr">
        <is>
          <t>Its own crews pour the slab a printer would stand on, but it publishes no crew count, revenue or annual volume.</t>
        </is>
      </c>
      <c r="T225" s="6" t="inlineStr"/>
      <c r="U225" s="9" t="inlineStr">
        <is>
          <t>LinkedIn headline: COO, Andrade Concrete &amp; Construction Inc. A different registered name. Same business: unsettled.</t>
        </is>
      </c>
      <c r="V225" s="6" t="inlineStr"/>
      <c r="W225" s="6" t="inlineStr"/>
      <c r="X225" s="6" t="inlineStr"/>
      <c r="Y225" s="6" t="inlineStr"/>
      <c r="Z225" s="6" t="inlineStr">
        <is>
          <t>(281) 227-8225</t>
        </is>
      </c>
      <c r="AA225" s="6" t="inlineStr"/>
      <c r="AB225" s="6" t="inlineStr">
        <is>
          <t>https://andradeconstructioncompanies.com/</t>
        </is>
      </c>
      <c r="AC225" s="6" t="inlineStr"/>
      <c r="AD225" s="6" t="inlineStr"/>
    </row>
    <row r="226">
      <c r="A226" s="12" t="inlineStr">
        <is>
          <t>Shawn McAlpin</t>
        </is>
      </c>
      <c r="B226" s="12" t="inlineStr">
        <is>
          <t>Burton Construction</t>
        </is>
      </c>
      <c r="C226" s="12" t="inlineStr">
        <is>
          <t>Chief Executive Officer</t>
        </is>
      </c>
      <c r="D226" s="13" t="inlineStr">
        <is>
          <t>Builds the wall, not the house</t>
        </is>
      </c>
      <c r="E226" s="14" t="n">
        <v>2</v>
      </c>
      <c r="F226" s="12" t="inlineStr">
        <is>
          <t>Builds the wall</t>
        </is>
      </c>
      <c r="G226" s="12" t="inlineStr">
        <is>
          <t>Houston, with Austin, San Antonio and Phoenix</t>
        </is>
      </c>
      <c r="H226" s="12" t="inlineStr">
        <is>
          <t>Founded 2004, with multifamily in its published portfolio</t>
        </is>
      </c>
      <c r="I226" s="14" t="inlineStr">
        <is>
          <t>Partly</t>
        </is>
      </c>
      <c r="J226" s="15" t="inlineStr">
        <is>
          <t>Work across four metros. Buildings differ project to project.</t>
        </is>
      </c>
      <c r="K226" s="14" t="inlineStr">
        <is>
          <t>Partly</t>
        </is>
      </c>
      <c r="L226" s="15" t="inlineStr">
        <is>
          <t>No revenue, crew count or project size published.</t>
        </is>
      </c>
      <c r="M226" s="14" t="inlineStr">
        <is>
          <t>No</t>
        </is>
      </c>
      <c r="N226" s="15" t="inlineStr">
        <is>
          <t>No method statement published. The award is for execution.</t>
        </is>
      </c>
      <c r="O226" s="6" t="inlineStr">
        <is>
          <t>https://www.linkedin.com/in/shawn-mcalpin-b1260312/</t>
        </is>
      </c>
      <c r="P226" s="12" t="inlineStr"/>
      <c r="Q226" s="16">
        <f>IF(O226="","ADD LINKEDIN","ok")</f>
        <v/>
      </c>
      <c r="R226" s="12" t="inlineStr">
        <is>
          <t>https://burtonconstruction.com/</t>
        </is>
      </c>
      <c r="S226" s="15" t="inlineStr">
        <is>
          <t>It does not state its self-perform scope, so whether it owns concrete crews is unconfirmed.</t>
        </is>
      </c>
      <c r="T226" s="12" t="inlineStr">
        <is>
          <t>YES</t>
        </is>
      </c>
      <c r="U226" s="15" t="inlineStr">
        <is>
          <t>LinkedIn headline: CEO, Burton Construction. Katy, Texas.</t>
        </is>
      </c>
      <c r="V226" s="12" t="inlineStr"/>
      <c r="W226" s="12" t="inlineStr"/>
      <c r="X226" s="12" t="inlineStr"/>
      <c r="Y226" s="12" t="inlineStr"/>
      <c r="Z226" s="12" t="inlineStr">
        <is>
          <t>(281) 313-5055</t>
        </is>
      </c>
      <c r="AA226" s="12" t="inlineStr">
        <is>
          <t>Houston office</t>
        </is>
      </c>
      <c r="AB226" s="12" t="inlineStr">
        <is>
          <t>https://burtonconstruction.com/</t>
        </is>
      </c>
      <c r="AC226" s="12" t="inlineStr"/>
      <c r="AD226" s="12" t="inlineStr"/>
    </row>
    <row r="227">
      <c r="A227" s="6" t="inlineStr">
        <is>
          <t>Cullen Burton</t>
        </is>
      </c>
      <c r="B227" s="6" t="inlineStr">
        <is>
          <t>Burton Construction</t>
        </is>
      </c>
      <c r="C227" s="6" t="inlineStr">
        <is>
          <t>President</t>
        </is>
      </c>
      <c r="D227" s="7" t="inlineStr">
        <is>
          <t>Builds the wall, not the house</t>
        </is>
      </c>
      <c r="E227" s="8" t="n">
        <v>2</v>
      </c>
      <c r="F227" s="6" t="inlineStr">
        <is>
          <t>Builds the wall</t>
        </is>
      </c>
      <c r="G227" s="6" t="inlineStr">
        <is>
          <t>Houston, with Austin, San Antonio and Phoenix</t>
        </is>
      </c>
      <c r="H227" s="6" t="inlineStr">
        <is>
          <t>Founded 2004, with multifamily in its published portfolio</t>
        </is>
      </c>
      <c r="I227" s="8" t="inlineStr">
        <is>
          <t>Partly</t>
        </is>
      </c>
      <c r="J227" s="9" t="inlineStr">
        <is>
          <t>Work across four metros. Buildings differ project to project.</t>
        </is>
      </c>
      <c r="K227" s="8" t="inlineStr">
        <is>
          <t>Partly</t>
        </is>
      </c>
      <c r="L227" s="9" t="inlineStr">
        <is>
          <t>No revenue, crew count or project size published.</t>
        </is>
      </c>
      <c r="M227" s="8" t="inlineStr">
        <is>
          <t>No</t>
        </is>
      </c>
      <c r="N227" s="9" t="inlineStr">
        <is>
          <t>No method statement published. The award is for execution.</t>
        </is>
      </c>
      <c r="O227" s="10" t="inlineStr"/>
      <c r="P227" s="6" t="inlineStr"/>
      <c r="Q227" s="11">
        <f>IF(O227="","ADD LINKEDIN","ok")</f>
        <v/>
      </c>
      <c r="R227" s="6" t="inlineStr">
        <is>
          <t>https://burtonconstruction.com/</t>
        </is>
      </c>
      <c r="S227" s="9" t="inlineStr">
        <is>
          <t>It does not state its self-perform scope, so whether it owns concrete crews is unconfirmed.</t>
        </is>
      </c>
      <c r="T227" s="6" t="inlineStr">
        <is>
          <t>YES</t>
        </is>
      </c>
      <c r="U227" s="9" t="inlineStr"/>
      <c r="V227" s="6" t="inlineStr">
        <is>
          <t>https://burtonconstruction.com/leadership/</t>
        </is>
      </c>
      <c r="W227" s="6" t="inlineStr"/>
      <c r="X227" s="6" t="inlineStr"/>
      <c r="Y227" s="6" t="inlineStr"/>
      <c r="Z227" s="6" t="inlineStr">
        <is>
          <t>(281) 313-5055</t>
        </is>
      </c>
      <c r="AA227" s="6" t="inlineStr">
        <is>
          <t>Houston office</t>
        </is>
      </c>
      <c r="AB227" s="6" t="inlineStr">
        <is>
          <t>https://burtonconstruction.com/</t>
        </is>
      </c>
      <c r="AC227" s="6" t="inlineStr"/>
      <c r="AD227" s="6" t="inlineStr"/>
    </row>
    <row r="228">
      <c r="A228" s="12" t="inlineStr">
        <is>
          <t>J. Cameron Guinn</t>
        </is>
      </c>
      <c r="B228" s="12" t="inlineStr">
        <is>
          <t>HTX Concrete</t>
        </is>
      </c>
      <c r="C228" s="12" t="inlineStr">
        <is>
          <t>Vice President, Business Development</t>
        </is>
      </c>
      <c r="D228" s="13" t="inlineStr">
        <is>
          <t>Builds the wall, not the house</t>
        </is>
      </c>
      <c r="E228" s="14" t="n">
        <v>2</v>
      </c>
      <c r="F228" s="12" t="inlineStr">
        <is>
          <t>Builds the wall</t>
        </is>
      </c>
      <c r="G228" s="12" t="inlineStr">
        <is>
          <t>Houston, working Harris, Fort Bend and Brazoria</t>
        </is>
      </c>
      <c r="H228" s="12" t="inlineStr">
        <is>
          <t>Names a garden-style multifamily project on its own site</t>
        </is>
      </c>
      <c r="I228" s="14" t="inlineStr">
        <is>
          <t>Partly</t>
        </is>
      </c>
      <c r="J228" s="15" t="inlineStr">
        <is>
          <t>Commercial shells and paving recur across the metro.</t>
        </is>
      </c>
      <c r="K228" s="14" t="inlineStr">
        <is>
          <t>Partly</t>
        </is>
      </c>
      <c r="L228" s="15" t="inlineStr">
        <is>
          <t>12,000 square feet of tilt wall against 155,000 of paving on one job. No annual volume.</t>
        </is>
      </c>
      <c r="M228" s="14" t="inlineStr">
        <is>
          <t>No</t>
        </is>
      </c>
      <c r="N228" s="15" t="inlineStr">
        <is>
          <t>No method statement published.</t>
        </is>
      </c>
      <c r="O228" s="6" t="inlineStr">
        <is>
          <t>https://www.linkedin.com/in/j-cameron-guinn-2047686/</t>
        </is>
      </c>
      <c r="P228" s="12" t="inlineStr"/>
      <c r="Q228" s="16">
        <f>IF(O228="","ADD LINKEDIN","ok")</f>
        <v/>
      </c>
      <c r="R228" s="12" t="inlineStr">
        <is>
          <t>https://htxconcrete.com/</t>
        </is>
      </c>
      <c r="S228" s="15" t="inlineStr">
        <is>
          <t>Its published paving runs many times its tilt-wall square footage, and it publishes no annual volume.</t>
        </is>
      </c>
      <c r="T228" s="12" t="inlineStr"/>
      <c r="U228" s="15" t="inlineStr">
        <is>
          <t>LinkedIn headline: Vice President Business Development, HTX Concrete. Houston.</t>
        </is>
      </c>
      <c r="V228" s="12" t="inlineStr"/>
      <c r="W228" s="12" t="inlineStr"/>
      <c r="X228" s="12" t="inlineStr"/>
      <c r="Y228" s="12" t="inlineStr"/>
      <c r="Z228" s="12" t="inlineStr">
        <is>
          <t>(832) 930-7739</t>
        </is>
      </c>
      <c r="AA228" s="12" t="inlineStr"/>
      <c r="AB228" s="12" t="inlineStr">
        <is>
          <t>https://htxconcrete.com/</t>
        </is>
      </c>
      <c r="AC228" s="12" t="inlineStr"/>
      <c r="AD228" s="12" t="inlineStr"/>
    </row>
    <row r="229">
      <c r="A229" s="6" t="inlineStr">
        <is>
          <t>Tony Le</t>
        </is>
      </c>
      <c r="B229" s="6" t="inlineStr">
        <is>
          <t>HTX Concrete</t>
        </is>
      </c>
      <c r="C229" s="6" t="inlineStr">
        <is>
          <t>Chief Estimator</t>
        </is>
      </c>
      <c r="D229" s="7" t="inlineStr">
        <is>
          <t>Builds the wall, not the house</t>
        </is>
      </c>
      <c r="E229" s="8" t="n">
        <v>2</v>
      </c>
      <c r="F229" s="6" t="inlineStr">
        <is>
          <t>Builds the wall</t>
        </is>
      </c>
      <c r="G229" s="6" t="inlineStr">
        <is>
          <t>Houston, working Harris, Fort Bend and Brazoria</t>
        </is>
      </c>
      <c r="H229" s="6" t="inlineStr">
        <is>
          <t>Names a garden-style multifamily project on its own site</t>
        </is>
      </c>
      <c r="I229" s="8" t="inlineStr">
        <is>
          <t>Partly</t>
        </is>
      </c>
      <c r="J229" s="9" t="inlineStr">
        <is>
          <t>Commercial shells and paving recur across the metro.</t>
        </is>
      </c>
      <c r="K229" s="8" t="inlineStr">
        <is>
          <t>Partly</t>
        </is>
      </c>
      <c r="L229" s="9" t="inlineStr">
        <is>
          <t>12,000 square feet of tilt wall against 155,000 of paving on one job. No annual volume.</t>
        </is>
      </c>
      <c r="M229" s="8" t="inlineStr">
        <is>
          <t>No</t>
        </is>
      </c>
      <c r="N229" s="9" t="inlineStr">
        <is>
          <t>No method statement published.</t>
        </is>
      </c>
      <c r="O229" s="6" t="inlineStr">
        <is>
          <t>https://www.linkedin.com/in/tony-le-81ba0032/</t>
        </is>
      </c>
      <c r="P229" s="6" t="inlineStr"/>
      <c r="Q229" s="11">
        <f>IF(O229="","ADD LINKEDIN","ok")</f>
        <v/>
      </c>
      <c r="R229" s="6" t="inlineStr">
        <is>
          <t>https://htxconcrete.com/</t>
        </is>
      </c>
      <c r="S229" s="9" t="inlineStr">
        <is>
          <t>Its published paving runs many times its tilt-wall square footage, and it publishes no annual volume.</t>
        </is>
      </c>
      <c r="T229" s="6" t="inlineStr"/>
      <c r="U229" s="9" t="inlineStr">
        <is>
          <t>LinkedIn headline: Chief Estimator, HTX Concrete. Houston.</t>
        </is>
      </c>
      <c r="V229" s="6" t="inlineStr"/>
      <c r="W229" s="6" t="inlineStr"/>
      <c r="X229" s="6" t="inlineStr"/>
      <c r="Y229" s="6" t="inlineStr"/>
      <c r="Z229" s="6" t="inlineStr">
        <is>
          <t>(832) 930-7739</t>
        </is>
      </c>
      <c r="AA229" s="6" t="inlineStr"/>
      <c r="AB229" s="6" t="inlineStr">
        <is>
          <t>https://htxconcrete.com/</t>
        </is>
      </c>
      <c r="AC229" s="6" t="inlineStr"/>
      <c r="AD229" s="6" t="inlineStr"/>
    </row>
    <row r="230">
      <c r="A230" s="12" t="inlineStr">
        <is>
          <t>Trent Mitchell</t>
        </is>
      </c>
      <c r="B230" s="12" t="inlineStr">
        <is>
          <t>Silver Spur Concrete Contractors</t>
        </is>
      </c>
      <c r="C230" s="12" t="inlineStr">
        <is>
          <t>Owner</t>
        </is>
      </c>
      <c r="D230" s="13" t="inlineStr">
        <is>
          <t>Builds the wall, not the house</t>
        </is>
      </c>
      <c r="E230" s="14" t="n">
        <v>2</v>
      </c>
      <c r="F230" s="12" t="inlineStr">
        <is>
          <t>Builds the wall</t>
        </is>
      </c>
      <c r="G230" s="12" t="inlineStr">
        <is>
          <t>Tomball and north Houston, Harris and Montgomery</t>
        </is>
      </c>
      <c r="H230" s="12" t="inlineStr">
        <is>
          <t>Publishes a custom residential concrete line</t>
        </is>
      </c>
      <c r="I230" s="14" t="inlineStr">
        <is>
          <t>Partly</t>
        </is>
      </c>
      <c r="J230" s="15" t="inlineStr">
        <is>
          <t>Commercial concrete and metal buildings recur on the metro's north side.</t>
        </is>
      </c>
      <c r="K230" s="14" t="inlineStr">
        <is>
          <t>Partly</t>
        </is>
      </c>
      <c r="L230" s="15" t="inlineStr">
        <is>
          <t>No crew count, revenue or project size published.</t>
        </is>
      </c>
      <c r="M230" s="14" t="inlineStr">
        <is>
          <t>No</t>
        </is>
      </c>
      <c r="N230" s="15" t="inlineStr">
        <is>
          <t>No method statement published.</t>
        </is>
      </c>
      <c r="O230" s="10" t="inlineStr"/>
      <c r="P230" s="12" t="inlineStr"/>
      <c r="Q230" s="16">
        <f>IF(O230="","ADD LINKEDIN","ok")</f>
        <v/>
      </c>
      <c r="R230" s="12" t="inlineStr">
        <is>
          <t>https://silverspurconcrete.com/</t>
        </is>
      </c>
      <c r="S230" s="15" t="inlineStr">
        <is>
          <t>It pours engineered slabs in its residential line beside tilt-wall, but publishes no crew count, revenue or project size.</t>
        </is>
      </c>
      <c r="T230" s="12" t="inlineStr">
        <is>
          <t>YES</t>
        </is>
      </c>
      <c r="U230" s="15" t="inlineStr">
        <is>
          <t>Firm's about page. Work includes ExxonMobil World Headquarters and Baylor College of Medicine.</t>
        </is>
      </c>
      <c r="V230" s="12" t="inlineStr">
        <is>
          <t>https://www.silverspurconcrete.com/about-silver-spur-concrete-contractors/</t>
        </is>
      </c>
      <c r="W230" s="12" t="inlineStr"/>
      <c r="X230" s="12" t="inlineStr">
        <is>
          <t>https://www.silverspurconcrete.com/about-silver-spur-concrete-contractors/</t>
        </is>
      </c>
      <c r="Y230" s="12" t="inlineStr"/>
      <c r="Z230" s="12" t="inlineStr">
        <is>
          <t>(713) 482-7712</t>
        </is>
      </c>
      <c r="AA230" s="12" t="inlineStr"/>
      <c r="AB230" s="12" t="inlineStr">
        <is>
          <t>https://silverspurconcrete.com/</t>
        </is>
      </c>
      <c r="AC230" s="12" t="inlineStr"/>
      <c r="AD230" s="12" t="inlineStr"/>
    </row>
    <row r="231">
      <c r="A231" s="6" t="inlineStr">
        <is>
          <t>Scott Arnoldy</t>
        </is>
      </c>
      <c r="B231" s="6" t="inlineStr">
        <is>
          <t>Triten Real Estate Partners</t>
        </is>
      </c>
      <c r="C231" s="6" t="inlineStr">
        <is>
          <t>Chief Executive Officer, Founder</t>
        </is>
      </c>
      <c r="D231" s="7" t="inlineStr">
        <is>
          <t>Custom and hybrid job</t>
        </is>
      </c>
      <c r="E231" s="8" t="n">
        <v>3</v>
      </c>
      <c r="F231" s="6" t="inlineStr">
        <is>
          <t>Buys walls</t>
        </is>
      </c>
      <c r="G231" s="6" t="inlineStr">
        <is>
          <t>East End / Fort Bend, Harris County</t>
        </is>
      </c>
      <c r="H231" s="6" t="inlineStr">
        <is>
          <t>341 units at The Mill, 294 more under construction at Aliana</t>
        </is>
      </c>
      <c r="I231" s="8" t="inlineStr">
        <is>
          <t>Yes</t>
        </is>
      </c>
      <c r="J231" s="9" t="inlineStr">
        <is>
          <t>341 units delivered, 294 under construction.</t>
        </is>
      </c>
      <c r="K231" s="8" t="inlineStr">
        <is>
          <t>Partly</t>
        </is>
      </c>
      <c r="L231" s="9" t="inlineStr">
        <is>
          <t>294 units of three-storey garden-style housing on one Fort Bend site. No yearly figure is published.</t>
        </is>
      </c>
      <c r="M231" s="8" t="inlineStr">
        <is>
          <t>Partly</t>
        </is>
      </c>
      <c r="N231" s="9" t="inlineStr">
        <is>
          <t>Six-storey mass timber office, contingent on retail leasing. Missing from its own portfolio entry.</t>
        </is>
      </c>
      <c r="O231" s="6" t="inlineStr">
        <is>
          <t>https://www.linkedin.com/in/scottarnoldy/</t>
        </is>
      </c>
      <c r="P231" s="6" t="inlineStr"/>
      <c r="Q231" s="11">
        <f>IF(O231="","ADD LINKEDIN","ok")</f>
        <v/>
      </c>
      <c r="R231" s="6" t="inlineStr">
        <is>
          <t>https://www.tritenre.com/</t>
        </is>
      </c>
      <c r="S231" s="9" t="inlineStr">
        <is>
          <t>Its Aliana project is three-storey garden-style housing on one site, but no source shows the timber office it planned in 2021 was built.</t>
        </is>
      </c>
      <c r="T231" s="6" t="inlineStr"/>
      <c r="U231" s="9" t="inlineStr">
        <is>
          <t>Founder and CEO, Triten. Houston.</t>
        </is>
      </c>
      <c r="V231" s="6" t="inlineStr"/>
      <c r="W231" s="6" t="inlineStr">
        <is>
          <t>https://www.linkedin.com/company/triten-real-estate-partners</t>
        </is>
      </c>
      <c r="X231" s="6" t="inlineStr">
        <is>
          <t>https://www.tritenre.com/team</t>
        </is>
      </c>
      <c r="Y231" s="6" t="inlineStr"/>
      <c r="Z231" s="6" t="inlineStr">
        <is>
          <t>(832) 214-5000</t>
        </is>
      </c>
      <c r="AA231" s="6" t="inlineStr"/>
      <c r="AB231" s="6" t="inlineStr">
        <is>
          <t>https://www.tritenre.com/</t>
        </is>
      </c>
      <c r="AC231" s="6" t="inlineStr"/>
      <c r="AD231" s="6" t="inlineStr"/>
    </row>
    <row r="232">
      <c r="A232" s="12" t="inlineStr">
        <is>
          <t>Larry Sloan</t>
        </is>
      </c>
      <c r="B232" s="12" t="inlineStr">
        <is>
          <t>Triten Real Estate Partners</t>
        </is>
      </c>
      <c r="C232" s="12" t="inlineStr">
        <is>
          <t>Partner, Chief Development Officer</t>
        </is>
      </c>
      <c r="D232" s="13" t="inlineStr">
        <is>
          <t>Custom and hybrid job</t>
        </is>
      </c>
      <c r="E232" s="14" t="n">
        <v>3</v>
      </c>
      <c r="F232" s="12" t="inlineStr">
        <is>
          <t>Buys walls</t>
        </is>
      </c>
      <c r="G232" s="12" t="inlineStr">
        <is>
          <t>East End / Fort Bend, Harris County</t>
        </is>
      </c>
      <c r="H232" s="12" t="inlineStr">
        <is>
          <t>341 units at The Mill, 294 more under construction at Aliana</t>
        </is>
      </c>
      <c r="I232" s="14" t="inlineStr">
        <is>
          <t>Yes</t>
        </is>
      </c>
      <c r="J232" s="15" t="inlineStr">
        <is>
          <t>341 units delivered, 294 under construction.</t>
        </is>
      </c>
      <c r="K232" s="14" t="inlineStr">
        <is>
          <t>Partly</t>
        </is>
      </c>
      <c r="L232" s="15" t="inlineStr">
        <is>
          <t>294 units of three-storey garden-style housing on one Fort Bend site. No yearly figure is published.</t>
        </is>
      </c>
      <c r="M232" s="14" t="inlineStr">
        <is>
          <t>Partly</t>
        </is>
      </c>
      <c r="N232" s="15" t="inlineStr">
        <is>
          <t>Six-storey mass timber office, contingent on retail leasing. Missing from its own portfolio entry.</t>
        </is>
      </c>
      <c r="O232" s="6" t="inlineStr">
        <is>
          <t>https://www.linkedin.com/in/larry-sloan-894204b/</t>
        </is>
      </c>
      <c r="P232" s="12" t="inlineStr"/>
      <c r="Q232" s="16">
        <f>IF(O232="","ADD LINKEDIN","ok")</f>
        <v/>
      </c>
      <c r="R232" s="12" t="inlineStr">
        <is>
          <t>https://www.tritenre.com/</t>
        </is>
      </c>
      <c r="S232" s="15" t="inlineStr">
        <is>
          <t>Its Aliana project is three-storey garden-style housing on one site, but no source shows the timber office it planned in 2021 was built.</t>
        </is>
      </c>
      <c r="T232" s="12" t="inlineStr"/>
      <c r="U232" s="15" t="inlineStr">
        <is>
          <t>Chief Development Officer, Triten. Houston. Left Midway as EVP, investment and development, November 2023.</t>
        </is>
      </c>
      <c r="V232" s="12" t="inlineStr"/>
      <c r="W232" s="12" t="inlineStr">
        <is>
          <t>https://www.linkedin.com/company/triten-real-estate-partners</t>
        </is>
      </c>
      <c r="X232" s="12" t="inlineStr">
        <is>
          <t>https://www.tritenre.com/team</t>
        </is>
      </c>
      <c r="Y232" s="12" t="inlineStr"/>
      <c r="Z232" s="12" t="inlineStr">
        <is>
          <t>(832) 214-5000</t>
        </is>
      </c>
      <c r="AA232" s="12" t="inlineStr"/>
      <c r="AB232" s="12" t="inlineStr">
        <is>
          <t>https://www.tritenre.com/</t>
        </is>
      </c>
      <c r="AC232" s="12" t="inlineStr"/>
      <c r="AD232" s="12" t="inlineStr"/>
    </row>
    <row r="233">
      <c r="A233" s="6" t="inlineStr">
        <is>
          <t>Brent Ozenbaugh</t>
        </is>
      </c>
      <c r="B233" s="6" t="inlineStr">
        <is>
          <t>Triten Real Estate Partners</t>
        </is>
      </c>
      <c r="C233" s="6" t="inlineStr">
        <is>
          <t>Partner, Chief Operating Officer</t>
        </is>
      </c>
      <c r="D233" s="7" t="inlineStr">
        <is>
          <t>Custom and hybrid job</t>
        </is>
      </c>
      <c r="E233" s="8" t="n">
        <v>3</v>
      </c>
      <c r="F233" s="6" t="inlineStr">
        <is>
          <t>Buys walls</t>
        </is>
      </c>
      <c r="G233" s="6" t="inlineStr">
        <is>
          <t>East End / Fort Bend, Harris County</t>
        </is>
      </c>
      <c r="H233" s="6" t="inlineStr">
        <is>
          <t>341 units at The Mill, 294 more under construction at Aliana</t>
        </is>
      </c>
      <c r="I233" s="8" t="inlineStr">
        <is>
          <t>Yes</t>
        </is>
      </c>
      <c r="J233" s="9" t="inlineStr">
        <is>
          <t>341 units delivered, 294 under construction.</t>
        </is>
      </c>
      <c r="K233" s="8" t="inlineStr">
        <is>
          <t>Partly</t>
        </is>
      </c>
      <c r="L233" s="9" t="inlineStr">
        <is>
          <t>294 units of three-storey garden-style housing on one Fort Bend site. No yearly figure is published.</t>
        </is>
      </c>
      <c r="M233" s="8" t="inlineStr">
        <is>
          <t>Partly</t>
        </is>
      </c>
      <c r="N233" s="9" t="inlineStr">
        <is>
          <t>Six-storey mass timber office, contingent on retail leasing. Missing from its own portfolio entry.</t>
        </is>
      </c>
      <c r="O233" s="6" t="inlineStr">
        <is>
          <t>https://www.linkedin.com/in/brent-ozenbaugh-b99872/</t>
        </is>
      </c>
      <c r="P233" s="6" t="inlineStr"/>
      <c r="Q233" s="11">
        <f>IF(O233="","ADD LINKEDIN","ok")</f>
        <v/>
      </c>
      <c r="R233" s="6" t="inlineStr">
        <is>
          <t>https://www.tritenre.com/</t>
        </is>
      </c>
      <c r="S233" s="9" t="inlineStr">
        <is>
          <t>Its Aliana project is three-storey garden-style housing on one site, but no source shows the timber office it planned in 2021 was built.</t>
        </is>
      </c>
      <c r="T233" s="6" t="inlineStr"/>
      <c r="U233" s="9" t="inlineStr">
        <is>
          <t>COO, Triten. Greater Houston.</t>
        </is>
      </c>
      <c r="V233" s="6" t="inlineStr"/>
      <c r="W233" s="6" t="inlineStr">
        <is>
          <t>https://www.linkedin.com/company/triten-real-estate-partners</t>
        </is>
      </c>
      <c r="X233" s="6" t="inlineStr">
        <is>
          <t>https://www.tritenre.com/team</t>
        </is>
      </c>
      <c r="Y233" s="6" t="inlineStr"/>
      <c r="Z233" s="6" t="inlineStr">
        <is>
          <t>(832) 214-5000</t>
        </is>
      </c>
      <c r="AA233" s="6" t="inlineStr"/>
      <c r="AB233" s="6" t="inlineStr">
        <is>
          <t>https://www.tritenre.com/</t>
        </is>
      </c>
      <c r="AC233" s="6" t="inlineStr"/>
      <c r="AD233" s="6" t="inlineStr"/>
    </row>
    <row r="234">
      <c r="A234" s="12" t="inlineStr">
        <is>
          <t>Carter Bechtol</t>
        </is>
      </c>
      <c r="B234" s="12" t="inlineStr">
        <is>
          <t>Triten Real Estate Partners</t>
        </is>
      </c>
      <c r="C234" s="12" t="inlineStr">
        <is>
          <t>Partner, Head of Triten Residential</t>
        </is>
      </c>
      <c r="D234" s="13" t="inlineStr">
        <is>
          <t>Custom and hybrid job</t>
        </is>
      </c>
      <c r="E234" s="14" t="n">
        <v>3</v>
      </c>
      <c r="F234" s="12" t="inlineStr">
        <is>
          <t>Buys walls</t>
        </is>
      </c>
      <c r="G234" s="12" t="inlineStr">
        <is>
          <t>East End / Fort Bend, Harris County</t>
        </is>
      </c>
      <c r="H234" s="12" t="inlineStr">
        <is>
          <t>341 units at The Mill, 294 more under construction at Aliana</t>
        </is>
      </c>
      <c r="I234" s="14" t="inlineStr">
        <is>
          <t>Yes</t>
        </is>
      </c>
      <c r="J234" s="15" t="inlineStr">
        <is>
          <t>341 units delivered, 294 under construction.</t>
        </is>
      </c>
      <c r="K234" s="14" t="inlineStr">
        <is>
          <t>Partly</t>
        </is>
      </c>
      <c r="L234" s="15" t="inlineStr">
        <is>
          <t>294 units of three-storey garden-style housing on one Fort Bend site. No yearly figure is published.</t>
        </is>
      </c>
      <c r="M234" s="14" t="inlineStr">
        <is>
          <t>Partly</t>
        </is>
      </c>
      <c r="N234" s="15" t="inlineStr">
        <is>
          <t>Six-storey mass timber office, contingent on retail leasing. Missing from its own portfolio entry.</t>
        </is>
      </c>
      <c r="O234" s="10" t="inlineStr"/>
      <c r="P234" s="12">
        <f>HYPERLINK("https://www.linkedin.com/search/results/people/?keywords=Carter%20Bechtol%20Triten%20Real%20Estate%20Partners","search")</f>
        <v/>
      </c>
      <c r="Q234" s="16">
        <f>IF(O234="","ADD LINKEDIN","ok")</f>
        <v/>
      </c>
      <c r="R234" s="12" t="inlineStr">
        <is>
          <t>https://www.tritenre.com/</t>
        </is>
      </c>
      <c r="S234" s="15" t="inlineStr">
        <is>
          <t>Its Aliana project is three-storey garden-style housing on one site, but no source shows the timber office it planned in 2021 was built.</t>
        </is>
      </c>
      <c r="T234" s="12" t="inlineStr"/>
      <c r="U234" s="15" t="inlineStr">
        <is>
          <t>Triten's bio page. Residential is the arm that would buy a repeated wall.</t>
        </is>
      </c>
      <c r="V234" s="12" t="inlineStr">
        <is>
          <t>https://www.tritenre.com/team/carter-becthol</t>
        </is>
      </c>
      <c r="W234" s="12" t="inlineStr">
        <is>
          <t>https://www.linkedin.com/company/triten-real-estate-partners</t>
        </is>
      </c>
      <c r="X234" s="12" t="inlineStr">
        <is>
          <t>https://www.tritenre.com/team</t>
        </is>
      </c>
      <c r="Y234" s="12" t="inlineStr"/>
      <c r="Z234" s="12" t="inlineStr">
        <is>
          <t>(832) 214-5000</t>
        </is>
      </c>
      <c r="AA234" s="12" t="inlineStr"/>
      <c r="AB234" s="12" t="inlineStr">
        <is>
          <t>https://www.tritenre.com/</t>
        </is>
      </c>
      <c r="AC234" s="12" t="inlineStr"/>
      <c r="AD234" s="12" t="inlineStr"/>
    </row>
    <row r="235">
      <c r="A235" s="6" t="inlineStr">
        <is>
          <t>Jim Lemming</t>
        </is>
      </c>
      <c r="B235" s="6" t="inlineStr">
        <is>
          <t>Partners in Building</t>
        </is>
      </c>
      <c r="C235" s="6" t="inlineStr">
        <is>
          <t>Chairman, formerly President and Chief Executive Officer until June 2026</t>
        </is>
      </c>
      <c r="D235" s="7" t="inlineStr">
        <is>
          <t>Custom and hybrid job</t>
        </is>
      </c>
      <c r="E235" s="8" t="n">
        <v>1</v>
      </c>
      <c r="F235" s="6" t="inlineStr">
        <is>
          <t>Buys walls</t>
        </is>
      </c>
      <c r="G235" s="6" t="inlineStr">
        <is>
          <t>Houston, build on your lot</t>
        </is>
      </c>
      <c r="H235" s="6" t="inlineStr">
        <is>
          <t>More than 300 homes a year in Texas and Tennessee</t>
        </is>
      </c>
      <c r="I235" s="8" t="inlineStr">
        <is>
          <t>No</t>
        </is>
      </c>
      <c r="J235" s="9" t="inlineStr">
        <is>
          <t>Build on your lot, one-of-a-kind by its own description. No plan set to repeat.</t>
        </is>
      </c>
      <c r="K235" s="8" t="inlineStr">
        <is>
          <t>Yes</t>
        </is>
      </c>
      <c r="L235" s="9" t="inlineStr">
        <is>
          <t>More than 300 homes a year, its own count.</t>
        </is>
      </c>
      <c r="M235" s="8" t="inlineStr">
        <is>
          <t>No</t>
        </is>
      </c>
      <c r="N235" s="9" t="inlineStr">
        <is>
          <t>No method evidence.</t>
        </is>
      </c>
      <c r="O235" s="10" t="inlineStr"/>
      <c r="P235" s="6">
        <f>HYPERLINK("https://www.linkedin.com/search/results/people/?keywords=Jim%20Lemming%20Partners%20in%20Building","search")</f>
        <v/>
      </c>
      <c r="Q235" s="11">
        <f>IF(O235="","ADD LINKEDIN","ok")</f>
        <v/>
      </c>
      <c r="R235" s="6" t="inlineStr">
        <is>
          <t>https://partnersinbuilding.com/</t>
        </is>
      </c>
      <c r="S235" s="9" t="inlineStr">
        <is>
          <t>Every house is one-of-a-kind by its own description, so no plan set repeats, but it has a vice president of purchasing.</t>
        </is>
      </c>
      <c r="T235" s="6" t="inlineStr"/>
      <c r="U235" s="9" t="inlineStr">
        <is>
          <t>HousingWire, 15 June 2026.</t>
        </is>
      </c>
      <c r="V235" s="6" t="inlineStr">
        <is>
          <t>https://www.housingwire.com/articles/partners-building-succession-plan/</t>
        </is>
      </c>
      <c r="W235" s="6" t="inlineStr"/>
      <c r="X235" s="6" t="inlineStr"/>
      <c r="Y235" s="6" t="inlineStr"/>
      <c r="Z235" s="6" t="inlineStr">
        <is>
          <t>(713) 937-1121</t>
        </is>
      </c>
      <c r="AA235" s="6" t="inlineStr">
        <is>
          <t>Houston office, corporate</t>
        </is>
      </c>
      <c r="AB235" s="6" t="inlineStr">
        <is>
          <t>https://partnersinbuilding.com/</t>
        </is>
      </c>
      <c r="AC235" s="6" t="inlineStr"/>
      <c r="AD235" s="6" t="inlineStr"/>
    </row>
    <row r="236">
      <c r="A236" s="12" t="inlineStr">
        <is>
          <t>Dewey Hennessee</t>
        </is>
      </c>
      <c r="B236" s="12" t="inlineStr">
        <is>
          <t>Partners in Building</t>
        </is>
      </c>
      <c r="C236" s="12" t="inlineStr">
        <is>
          <t>Vice President of Purchasing</t>
        </is>
      </c>
      <c r="D236" s="13" t="inlineStr">
        <is>
          <t>Custom and hybrid job</t>
        </is>
      </c>
      <c r="E236" s="14" t="n">
        <v>1</v>
      </c>
      <c r="F236" s="12" t="inlineStr">
        <is>
          <t>Buys walls</t>
        </is>
      </c>
      <c r="G236" s="12" t="inlineStr">
        <is>
          <t>Houston, build on your lot</t>
        </is>
      </c>
      <c r="H236" s="12" t="inlineStr">
        <is>
          <t>More than 300 homes a year in Texas and Tennessee</t>
        </is>
      </c>
      <c r="I236" s="14" t="inlineStr">
        <is>
          <t>No</t>
        </is>
      </c>
      <c r="J236" s="15" t="inlineStr">
        <is>
          <t>Build on your lot, one-of-a-kind by its own description. No plan set to repeat.</t>
        </is>
      </c>
      <c r="K236" s="14" t="inlineStr">
        <is>
          <t>Yes</t>
        </is>
      </c>
      <c r="L236" s="15" t="inlineStr">
        <is>
          <t>More than 300 homes a year, its own count.</t>
        </is>
      </c>
      <c r="M236" s="14" t="inlineStr">
        <is>
          <t>No</t>
        </is>
      </c>
      <c r="N236" s="15" t="inlineStr">
        <is>
          <t>No method evidence.</t>
        </is>
      </c>
      <c r="O236" s="6" t="inlineStr">
        <is>
          <t>https://www.linkedin.com/in/dewey-hennessee-gmb-caps-cgp-95418531</t>
        </is>
      </c>
      <c r="P236" s="12" t="inlineStr"/>
      <c r="Q236" s="16">
        <f>IF(O236="","ADD LINKEDIN","ok")</f>
        <v/>
      </c>
      <c r="R236" s="12" t="inlineStr">
        <is>
          <t>https://partnersinbuilding.com/</t>
        </is>
      </c>
      <c r="S236" s="15" t="inlineStr">
        <is>
          <t>Every house is one-of-a-kind by its own description, so no plan set repeats, but it has a vice president of purchasing.</t>
        </is>
      </c>
      <c r="T236" s="12" t="inlineStr">
        <is>
          <t>YES</t>
        </is>
      </c>
      <c r="U236" s="15" t="inlineStr">
        <is>
          <t>Indexed title at Partners in Building.</t>
        </is>
      </c>
      <c r="V236" s="12" t="inlineStr"/>
      <c r="W236" s="12" t="inlineStr"/>
      <c r="X236" s="12" t="inlineStr"/>
      <c r="Y236" s="12" t="inlineStr"/>
      <c r="Z236" s="12" t="inlineStr">
        <is>
          <t>(713) 937-1121</t>
        </is>
      </c>
      <c r="AA236" s="12" t="inlineStr">
        <is>
          <t>Houston office, corporate</t>
        </is>
      </c>
      <c r="AB236" s="12" t="inlineStr">
        <is>
          <t>https://partnersinbuilding.com/</t>
        </is>
      </c>
      <c r="AC236" s="12" t="inlineStr"/>
      <c r="AD236" s="12" t="inlineStr"/>
    </row>
    <row r="237">
      <c r="A237" s="6" t="inlineStr">
        <is>
          <t>Chris Lemming</t>
        </is>
      </c>
      <c r="B237" s="6" t="inlineStr">
        <is>
          <t>Partners in Building</t>
        </is>
      </c>
      <c r="C237" s="6" t="inlineStr">
        <is>
          <t>President, since June 2026</t>
        </is>
      </c>
      <c r="D237" s="7" t="inlineStr">
        <is>
          <t>Custom and hybrid job</t>
        </is>
      </c>
      <c r="E237" s="8" t="n">
        <v>1</v>
      </c>
      <c r="F237" s="6" t="inlineStr">
        <is>
          <t>Buys walls</t>
        </is>
      </c>
      <c r="G237" s="6" t="inlineStr">
        <is>
          <t>Houston, build on your lot</t>
        </is>
      </c>
      <c r="H237" s="6" t="inlineStr">
        <is>
          <t>More than 300 homes a year in Texas and Tennessee</t>
        </is>
      </c>
      <c r="I237" s="8" t="inlineStr">
        <is>
          <t>No</t>
        </is>
      </c>
      <c r="J237" s="9" t="inlineStr">
        <is>
          <t>Build on your lot, one-of-a-kind by its own description. No plan set to repeat.</t>
        </is>
      </c>
      <c r="K237" s="8" t="inlineStr">
        <is>
          <t>Yes</t>
        </is>
      </c>
      <c r="L237" s="9" t="inlineStr">
        <is>
          <t>More than 300 homes a year, its own count.</t>
        </is>
      </c>
      <c r="M237" s="8" t="inlineStr">
        <is>
          <t>No</t>
        </is>
      </c>
      <c r="N237" s="9" t="inlineStr">
        <is>
          <t>No method evidence.</t>
        </is>
      </c>
      <c r="O237" s="10" t="inlineStr"/>
      <c r="P237" s="6">
        <f>HYPERLINK("https://www.linkedin.com/search/results/people/?keywords=Chris%20Lemming%20Partners%20in%20Building","search")</f>
        <v/>
      </c>
      <c r="Q237" s="11">
        <f>IF(O237="","ADD LINKEDIN","ok")</f>
        <v/>
      </c>
      <c r="R237" s="6" t="inlineStr">
        <is>
          <t>https://partnersinbuilding.com/</t>
        </is>
      </c>
      <c r="S237" s="9" t="inlineStr">
        <is>
          <t>Every house is one-of-a-kind by its own description, so no plan set repeats, but it has a vice president of purchasing.</t>
        </is>
      </c>
      <c r="T237" s="6" t="inlineStr"/>
      <c r="U237" s="9" t="inlineStr">
        <is>
          <t>HousingWire, 15 June 2026. Son of Jim Lemming.</t>
        </is>
      </c>
      <c r="V237" s="6" t="inlineStr">
        <is>
          <t>https://www.housingwire.com/articles/partners-building-succession-plan/</t>
        </is>
      </c>
      <c r="W237" s="6" t="inlineStr"/>
      <c r="X237" s="6" t="inlineStr"/>
      <c r="Y237" s="6" t="inlineStr"/>
      <c r="Z237" s="6" t="inlineStr">
        <is>
          <t>(713) 937-1121</t>
        </is>
      </c>
      <c r="AA237" s="6" t="inlineStr">
        <is>
          <t>Houston office, corporate</t>
        </is>
      </c>
      <c r="AB237" s="6" t="inlineStr">
        <is>
          <t>https://partnersinbuilding.com/</t>
        </is>
      </c>
      <c r="AC237" s="6" t="inlineStr"/>
      <c r="AD237" s="6" t="inlineStr"/>
    </row>
    <row r="238">
      <c r="A238" s="12" t="inlineStr">
        <is>
          <t>Dan Braun</t>
        </is>
      </c>
      <c r="B238" s="12" t="inlineStr">
        <is>
          <t>Braun Enterprises</t>
        </is>
      </c>
      <c r="C238" s="12" t="inlineStr">
        <is>
          <t>President</t>
        </is>
      </c>
      <c r="D238" s="13" t="inlineStr">
        <is>
          <t>Custom and hybrid job</t>
        </is>
      </c>
      <c r="E238" s="14" t="n">
        <v>2</v>
      </c>
      <c r="F238" s="12" t="inlineStr">
        <is>
          <t>Buys walls</t>
        </is>
      </c>
      <c r="G238" s="12" t="inlineStr">
        <is>
          <t>Houston, San Antonio and Austin</t>
        </is>
      </c>
      <c r="H238" s="12" t="inlineStr">
        <is>
          <t>Ground-up retail in the Heights and small flex industrial</t>
        </is>
      </c>
      <c r="I238" s="14" t="inlineStr">
        <is>
          <t>Partly</t>
        </is>
      </c>
      <c r="J238" s="15" t="inlineStr">
        <is>
          <t>Small retail buildings repeated across three cities.</t>
        </is>
      </c>
      <c r="K238" s="14" t="inlineStr">
        <is>
          <t>Partly</t>
        </is>
      </c>
      <c r="L238" s="15" t="inlineStr">
        <is>
          <t>One published building, 24,000 square feet. A printed wall would compete with tilt-wall.</t>
        </is>
      </c>
      <c r="M238" s="14" t="inlineStr">
        <is>
          <t>No</t>
        </is>
      </c>
      <c r="N238" s="15" t="inlineStr">
        <is>
          <t>No method evidence.</t>
        </is>
      </c>
      <c r="O238" s="6" t="inlineStr">
        <is>
          <t>https://www.linkedin.com/in/dan-braun-36451a15/</t>
        </is>
      </c>
      <c r="P238" s="12" t="inlineStr"/>
      <c r="Q238" s="16">
        <f>IF(O238="","ADD LINKEDIN","ok")</f>
        <v/>
      </c>
      <c r="R238" s="12" t="inlineStr">
        <is>
          <t>https://braunenterprises.com/</t>
        </is>
      </c>
      <c r="S238" s="15" t="inlineStr">
        <is>
          <t>Repeats small retail buildings across three Texas cities, but a printed wall would compete with tilt-wall.</t>
        </is>
      </c>
      <c r="T238" s="12" t="inlineStr"/>
      <c r="U238" s="15" t="inlineStr">
        <is>
          <t>Indexed title: President, Braun Enterprises.</t>
        </is>
      </c>
      <c r="V238" s="12" t="inlineStr"/>
      <c r="W238" s="12" t="inlineStr"/>
      <c r="X238" s="12" t="inlineStr"/>
      <c r="Y238" s="12" t="inlineStr"/>
      <c r="Z238" s="12" t="inlineStr">
        <is>
          <t>(713) 541-0066</t>
        </is>
      </c>
      <c r="AA238" s="12" t="inlineStr"/>
      <c r="AB238" s="12" t="inlineStr">
        <is>
          <t>https://braunenterprises.com/</t>
        </is>
      </c>
      <c r="AC238" s="12" t="inlineStr"/>
      <c r="AD238" s="12" t="inlineStr"/>
    </row>
    <row r="239">
      <c r="A239" s="6" t="inlineStr">
        <is>
          <t>Steve Radom</t>
        </is>
      </c>
      <c r="B239" s="6" t="inlineStr">
        <is>
          <t>Radom Capital</t>
        </is>
      </c>
      <c r="C239" s="6" t="inlineStr">
        <is>
          <t>Managing Principal</t>
        </is>
      </c>
      <c r="D239" s="7" t="inlineStr">
        <is>
          <t>Custom and hybrid job</t>
        </is>
      </c>
      <c r="E239" s="8" t="n">
        <v>1</v>
      </c>
      <c r="F239" s="6" t="inlineStr">
        <is>
          <t>Buys walls</t>
        </is>
      </c>
      <c r="G239" s="6" t="inlineStr">
        <is>
          <t>Heights / Montrose, Harris County</t>
        </is>
      </c>
      <c r="H239" s="6" t="inlineStr">
        <is>
          <t>$104.75M Montrose Collective financing, 2020</t>
        </is>
      </c>
      <c r="I239" s="8" t="inlineStr">
        <is>
          <t>Partly</t>
        </is>
      </c>
      <c r="J239" s="9" t="inlineStr">
        <is>
          <t>Fifteen projects in one district. 218 units at Clock Tower.</t>
        </is>
      </c>
      <c r="K239" s="8" t="inlineStr">
        <is>
          <t>No</t>
        </is>
      </c>
      <c r="L239" s="9" t="inlineStr">
        <is>
          <t>Adaptive reuse and retail. Every project is its own building.</t>
        </is>
      </c>
      <c r="M239" s="8" t="inlineStr">
        <is>
          <t>No</t>
        </is>
      </c>
      <c r="N239" s="9" t="inlineStr">
        <is>
          <t>No method on record.</t>
        </is>
      </c>
      <c r="O239" s="6" t="inlineStr">
        <is>
          <t>https://www.linkedin.com/in/steveradom/</t>
        </is>
      </c>
      <c r="P239" s="6" t="inlineStr"/>
      <c r="Q239" s="11">
        <f>IF(O239="","ADD LINKEDIN","ok")</f>
        <v/>
      </c>
      <c r="R239" s="6" t="inlineStr">
        <is>
          <t>https://www.radomcapital.com/</t>
        </is>
      </c>
      <c r="S239" s="9" t="inlineStr">
        <is>
          <t>Every project is its own adaptive reuse or retail building, but its architect, Michael Hsu, also drew ICON's printed homes at Mueller.</t>
        </is>
      </c>
      <c r="T239" s="6" t="inlineStr"/>
      <c r="U239" s="9" t="inlineStr"/>
      <c r="V239" s="6" t="inlineStr"/>
      <c r="W239" s="6" t="inlineStr">
        <is>
          <t>https://www.linkedin.com/company/radom-capital-llc</t>
        </is>
      </c>
      <c r="X239" s="6" t="inlineStr">
        <is>
          <t>https://www.radomcapital.com/team</t>
        </is>
      </c>
      <c r="Y239" s="6" t="inlineStr"/>
      <c r="Z239" s="6" t="inlineStr">
        <is>
          <t>(713) 783-4444</t>
        </is>
      </c>
      <c r="AA239" s="6" t="inlineStr"/>
      <c r="AB239" s="6" t="inlineStr">
        <is>
          <t>https://www.radomcapital.com/</t>
        </is>
      </c>
      <c r="AC239" s="6" t="inlineStr"/>
      <c r="AD239" s="6" t="inlineStr"/>
    </row>
    <row r="240">
      <c r="A240" s="12" t="inlineStr">
        <is>
          <t>Barton Kelly</t>
        </is>
      </c>
      <c r="B240" s="12" t="inlineStr">
        <is>
          <t>Radom Capital</t>
        </is>
      </c>
      <c r="C240" s="12" t="inlineStr">
        <is>
          <t>Principal</t>
        </is>
      </c>
      <c r="D240" s="13" t="inlineStr">
        <is>
          <t>Custom and hybrid job</t>
        </is>
      </c>
      <c r="E240" s="14" t="n">
        <v>1</v>
      </c>
      <c r="F240" s="12" t="inlineStr">
        <is>
          <t>Buys walls</t>
        </is>
      </c>
      <c r="G240" s="12" t="inlineStr">
        <is>
          <t>Heights / Montrose, Harris County</t>
        </is>
      </c>
      <c r="H240" s="12" t="inlineStr">
        <is>
          <t>$104.75M Montrose Collective financing, 2020</t>
        </is>
      </c>
      <c r="I240" s="14" t="inlineStr">
        <is>
          <t>Partly</t>
        </is>
      </c>
      <c r="J240" s="15" t="inlineStr">
        <is>
          <t>Fifteen projects in one district. 218 units at Clock Tower.</t>
        </is>
      </c>
      <c r="K240" s="14" t="inlineStr">
        <is>
          <t>No</t>
        </is>
      </c>
      <c r="L240" s="15" t="inlineStr">
        <is>
          <t>Adaptive reuse and retail. Every project is its own building.</t>
        </is>
      </c>
      <c r="M240" s="14" t="inlineStr">
        <is>
          <t>No</t>
        </is>
      </c>
      <c r="N240" s="15" t="inlineStr">
        <is>
          <t>No method on record.</t>
        </is>
      </c>
      <c r="O240" s="6" t="inlineStr">
        <is>
          <t>https://www.linkedin.com/in/bartonk/</t>
        </is>
      </c>
      <c r="P240" s="12" t="inlineStr"/>
      <c r="Q240" s="16">
        <f>IF(O240="","ADD LINKEDIN","ok")</f>
        <v/>
      </c>
      <c r="R240" s="12" t="inlineStr">
        <is>
          <t>https://www.radomcapital.com/</t>
        </is>
      </c>
      <c r="S240" s="15" t="inlineStr">
        <is>
          <t>Every project is its own adaptive reuse or retail building, but its architect, Michael Hsu, also drew ICON's printed homes at Mueller.</t>
        </is>
      </c>
      <c r="T240" s="12" t="inlineStr"/>
      <c r="U240" s="15" t="inlineStr">
        <is>
          <t>Vice President, Radom Capital. Houston. Team page says Principal. The titles conflict.</t>
        </is>
      </c>
      <c r="V240" s="12" t="inlineStr"/>
      <c r="W240" s="12" t="inlineStr">
        <is>
          <t>https://www.linkedin.com/company/radom-capital-llc</t>
        </is>
      </c>
      <c r="X240" s="12" t="inlineStr">
        <is>
          <t>https://www.radomcapital.com/team</t>
        </is>
      </c>
      <c r="Y240" s="12" t="inlineStr"/>
      <c r="Z240" s="12" t="inlineStr">
        <is>
          <t>(713) 783-4444</t>
        </is>
      </c>
      <c r="AA240" s="12" t="inlineStr"/>
      <c r="AB240" s="12" t="inlineStr">
        <is>
          <t>https://www.radomcapital.com/</t>
        </is>
      </c>
      <c r="AC240" s="12" t="inlineStr"/>
      <c r="AD240" s="12" t="inlineStr"/>
    </row>
    <row r="241">
      <c r="A241" s="6" t="inlineStr">
        <is>
          <t>Evan Peterson</t>
        </is>
      </c>
      <c r="B241" s="6" t="inlineStr">
        <is>
          <t>Radom Capital</t>
        </is>
      </c>
      <c r="C241" s="6" t="inlineStr">
        <is>
          <t>Principal</t>
        </is>
      </c>
      <c r="D241" s="7" t="inlineStr">
        <is>
          <t>Custom and hybrid job</t>
        </is>
      </c>
      <c r="E241" s="8" t="n">
        <v>1</v>
      </c>
      <c r="F241" s="6" t="inlineStr">
        <is>
          <t>Buys walls</t>
        </is>
      </c>
      <c r="G241" s="6" t="inlineStr">
        <is>
          <t>Heights / Montrose, Harris County</t>
        </is>
      </c>
      <c r="H241" s="6" t="inlineStr">
        <is>
          <t>$104.75M Montrose Collective financing, 2020</t>
        </is>
      </c>
      <c r="I241" s="8" t="inlineStr">
        <is>
          <t>Partly</t>
        </is>
      </c>
      <c r="J241" s="9" t="inlineStr">
        <is>
          <t>Fifteen projects in one district. 218 units at Clock Tower.</t>
        </is>
      </c>
      <c r="K241" s="8" t="inlineStr">
        <is>
          <t>No</t>
        </is>
      </c>
      <c r="L241" s="9" t="inlineStr">
        <is>
          <t>Adaptive reuse and retail. Every project is its own building.</t>
        </is>
      </c>
      <c r="M241" s="8" t="inlineStr">
        <is>
          <t>No</t>
        </is>
      </c>
      <c r="N241" s="9" t="inlineStr">
        <is>
          <t>No method on record.</t>
        </is>
      </c>
      <c r="O241" s="6" t="inlineStr">
        <is>
          <t>https://www.linkedin.com/in/evan-peterson-19656548/</t>
        </is>
      </c>
      <c r="P241" s="6" t="inlineStr"/>
      <c r="Q241" s="11">
        <f>IF(O241="","ADD LINKEDIN","ok")</f>
        <v/>
      </c>
      <c r="R241" s="6" t="inlineStr">
        <is>
          <t>https://www.radomcapital.com/</t>
        </is>
      </c>
      <c r="S241" s="9" t="inlineStr">
        <is>
          <t>Every project is its own adaptive reuse or retail building, but its architect, Michael Hsu, also drew ICON's printed homes at Mueller.</t>
        </is>
      </c>
      <c r="T241" s="6" t="inlineStr"/>
      <c r="U241" s="9" t="inlineStr">
        <is>
          <t>Principal, Radom Capital. Houston.</t>
        </is>
      </c>
      <c r="V241" s="6" t="inlineStr"/>
      <c r="W241" s="6" t="inlineStr">
        <is>
          <t>https://www.linkedin.com/company/radom-capital-llc</t>
        </is>
      </c>
      <c r="X241" s="6" t="inlineStr">
        <is>
          <t>https://www.radomcapital.com/team</t>
        </is>
      </c>
      <c r="Y241" s="6" t="inlineStr"/>
      <c r="Z241" s="6" t="inlineStr">
        <is>
          <t>(713) 783-4444</t>
        </is>
      </c>
      <c r="AA241" s="6" t="inlineStr"/>
      <c r="AB241" s="6" t="inlineStr">
        <is>
          <t>https://www.radomcapital.com/</t>
        </is>
      </c>
      <c r="AC241" s="6" t="inlineStr"/>
      <c r="AD241" s="6" t="inlineStr"/>
    </row>
    <row r="242">
      <c r="A242" s="12" t="inlineStr">
        <is>
          <t>Paul Coonrod</t>
        </is>
      </c>
      <c r="B242" s="12" t="inlineStr">
        <is>
          <t>Pagewood</t>
        </is>
      </c>
      <c r="C242" s="12" t="inlineStr">
        <is>
          <t>Founder and Managing Principal</t>
        </is>
      </c>
      <c r="D242" s="13" t="inlineStr">
        <is>
          <t>Custom and hybrid job</t>
        </is>
      </c>
      <c r="E242" s="14" t="n">
        <v>1</v>
      </c>
      <c r="F242" s="12" t="inlineStr">
        <is>
          <t>Buys walls</t>
        </is>
      </c>
      <c r="G242" s="12" t="inlineStr">
        <is>
          <t>Houston</t>
        </is>
      </c>
      <c r="H242" s="12" t="inlineStr">
        <is>
          <t>East Blocks phase one, 30,000 sf across two warehouses</t>
        </is>
      </c>
      <c r="I242" s="14" t="inlineStr">
        <is>
          <t>Partly</t>
        </is>
      </c>
      <c r="J242" s="15" t="inlineStr">
        <is>
          <t>One district plan. Every building is a one-off.</t>
        </is>
      </c>
      <c r="K242" s="14" t="inlineStr">
        <is>
          <t>No</t>
        </is>
      </c>
      <c r="L242" s="15" t="inlineStr">
        <is>
          <t>Rest of the district is one-offs. Its build-to-rent line is outside Houston.</t>
        </is>
      </c>
      <c r="M242" s="14" t="inlineStr">
        <is>
          <t>No</t>
        </is>
      </c>
      <c r="N242" s="15" t="inlineStr">
        <is>
          <t>Kept eighty-year-old warehouses that would have been cheaper to demolish, per the partner.</t>
        </is>
      </c>
      <c r="O242" s="10" t="inlineStr"/>
      <c r="P242" s="12">
        <f>HYPERLINK("https://www.linkedin.com/search/results/people/?keywords=Paul%20Coonrod%20Pagewood","search")</f>
        <v/>
      </c>
      <c r="Q242" s="16">
        <f>IF(O242="","ADD LINKEDIN","ok")</f>
        <v/>
      </c>
      <c r="R242" s="12" t="inlineStr">
        <is>
          <t>https://www.pagewood.com/</t>
        </is>
      </c>
      <c r="S242" s="15" t="inlineStr">
        <is>
          <t>East Blocks is one district plan of one-off buildings, and its build-to-rent line is outside Houston.</t>
        </is>
      </c>
      <c r="T242" s="12" t="inlineStr"/>
      <c r="U242" s="15" t="inlineStr"/>
      <c r="V242" s="12" t="inlineStr">
        <is>
          <t>https://www.pagewood.com/team</t>
        </is>
      </c>
      <c r="W242" s="12" t="inlineStr"/>
      <c r="X242" s="12" t="inlineStr"/>
      <c r="Y242" s="12" t="inlineStr"/>
      <c r="Z242" s="12" t="inlineStr">
        <is>
          <t>(713) 804-4000</t>
        </is>
      </c>
      <c r="AA242" s="12" t="inlineStr"/>
      <c r="AB242" s="12" t="inlineStr">
        <is>
          <t>https://www.pagewood.com/</t>
        </is>
      </c>
      <c r="AC242" s="12" t="inlineStr"/>
      <c r="AD242" s="12" t="inlineStr"/>
    </row>
    <row r="243">
      <c r="A243" s="6" t="inlineStr">
        <is>
          <t>Mat Volz</t>
        </is>
      </c>
      <c r="B243" s="6" t="inlineStr">
        <is>
          <t>Pagewood</t>
        </is>
      </c>
      <c r="C243" s="6" t="inlineStr">
        <is>
          <t>Managing Principal</t>
        </is>
      </c>
      <c r="D243" s="7" t="inlineStr">
        <is>
          <t>Custom and hybrid job</t>
        </is>
      </c>
      <c r="E243" s="8" t="n">
        <v>1</v>
      </c>
      <c r="F243" s="6" t="inlineStr">
        <is>
          <t>Buys walls</t>
        </is>
      </c>
      <c r="G243" s="6" t="inlineStr">
        <is>
          <t>Houston</t>
        </is>
      </c>
      <c r="H243" s="6" t="inlineStr">
        <is>
          <t>East Blocks phase one, 30,000 sf across two warehouses</t>
        </is>
      </c>
      <c r="I243" s="8" t="inlineStr">
        <is>
          <t>Partly</t>
        </is>
      </c>
      <c r="J243" s="9" t="inlineStr">
        <is>
          <t>One district plan. Every building is a one-off.</t>
        </is>
      </c>
      <c r="K243" s="8" t="inlineStr">
        <is>
          <t>No</t>
        </is>
      </c>
      <c r="L243" s="9" t="inlineStr">
        <is>
          <t>Rest of the district is one-offs. Its build-to-rent line is outside Houston.</t>
        </is>
      </c>
      <c r="M243" s="8" t="inlineStr">
        <is>
          <t>No</t>
        </is>
      </c>
      <c r="N243" s="9" t="inlineStr">
        <is>
          <t>Kept eighty-year-old warehouses that would have been cheaper to demolish, per the partner.</t>
        </is>
      </c>
      <c r="O243" s="6" t="inlineStr">
        <is>
          <t>https://www.linkedin.com/in/mathew-volz-14684850/</t>
        </is>
      </c>
      <c r="P243" s="6" t="inlineStr"/>
      <c r="Q243" s="11">
        <f>IF(O243="","ADD LINKEDIN","ok")</f>
        <v/>
      </c>
      <c r="R243" s="6" t="inlineStr">
        <is>
          <t>https://www.pagewood.com/</t>
        </is>
      </c>
      <c r="S243" s="9" t="inlineStr">
        <is>
          <t>East Blocks is one district plan of one-off buildings, and its build-to-rent line is outside Houston.</t>
        </is>
      </c>
      <c r="T243" s="6" t="inlineStr"/>
      <c r="U243" s="9" t="inlineStr">
        <is>
          <t>Indexed as Mathew Volz, Managing Principal. Team page spells it Mat.</t>
        </is>
      </c>
      <c r="V243" s="6" t="inlineStr">
        <is>
          <t>https://www.pagewood.com/team</t>
        </is>
      </c>
      <c r="W243" s="6" t="inlineStr"/>
      <c r="X243" s="6" t="inlineStr"/>
      <c r="Y243" s="6" t="inlineStr"/>
      <c r="Z243" s="6" t="inlineStr">
        <is>
          <t>(713) 804-4000</t>
        </is>
      </c>
      <c r="AA243" s="6" t="inlineStr"/>
      <c r="AB243" s="6" t="inlineStr">
        <is>
          <t>https://www.pagewood.com/</t>
        </is>
      </c>
      <c r="AC243" s="6" t="inlineStr"/>
      <c r="AD243" s="6" t="inlineStr"/>
    </row>
    <row r="244">
      <c r="A244" s="12" t="inlineStr">
        <is>
          <t>Preston Luster</t>
        </is>
      </c>
      <c r="B244" s="12" t="inlineStr">
        <is>
          <t>Pagewood</t>
        </is>
      </c>
      <c r="C244" s="12" t="inlineStr">
        <is>
          <t>Senior Construction Manager</t>
        </is>
      </c>
      <c r="D244" s="13" t="inlineStr">
        <is>
          <t>Custom and hybrid job</t>
        </is>
      </c>
      <c r="E244" s="14" t="n">
        <v>1</v>
      </c>
      <c r="F244" s="12" t="inlineStr">
        <is>
          <t>Buys walls</t>
        </is>
      </c>
      <c r="G244" s="12" t="inlineStr">
        <is>
          <t>Houston</t>
        </is>
      </c>
      <c r="H244" s="12" t="inlineStr">
        <is>
          <t>East Blocks phase one, 30,000 sf across two warehouses</t>
        </is>
      </c>
      <c r="I244" s="14" t="inlineStr">
        <is>
          <t>Partly</t>
        </is>
      </c>
      <c r="J244" s="15" t="inlineStr">
        <is>
          <t>One district plan. Every building is a one-off.</t>
        </is>
      </c>
      <c r="K244" s="14" t="inlineStr">
        <is>
          <t>No</t>
        </is>
      </c>
      <c r="L244" s="15" t="inlineStr">
        <is>
          <t>Rest of the district is one-offs. Its build-to-rent line is outside Houston.</t>
        </is>
      </c>
      <c r="M244" s="14" t="inlineStr">
        <is>
          <t>No</t>
        </is>
      </c>
      <c r="N244" s="15" t="inlineStr">
        <is>
          <t>Kept eighty-year-old warehouses that would have been cheaper to demolish, per the partner.</t>
        </is>
      </c>
      <c r="O244" s="10" t="inlineStr"/>
      <c r="P244" s="12">
        <f>HYPERLINK("https://www.linkedin.com/search/results/people/?keywords=Preston%20Luster%20Pagewood","search")</f>
        <v/>
      </c>
      <c r="Q244" s="16">
        <f>IF(O244="","ADD LINKEDIN","ok")</f>
        <v/>
      </c>
      <c r="R244" s="12" t="inlineStr">
        <is>
          <t>https://www.pagewood.com/</t>
        </is>
      </c>
      <c r="S244" s="15" t="inlineStr">
        <is>
          <t>East Blocks is one district plan of one-off buildings, and its build-to-rent line is outside Houston.</t>
        </is>
      </c>
      <c r="T244" s="12" t="inlineStr"/>
      <c r="U244" s="15" t="inlineStr"/>
      <c r="V244" s="12" t="inlineStr">
        <is>
          <t>https://www.pagewood.com/team</t>
        </is>
      </c>
      <c r="W244" s="12" t="inlineStr"/>
      <c r="X244" s="12" t="inlineStr"/>
      <c r="Y244" s="12" t="inlineStr"/>
      <c r="Z244" s="12" t="inlineStr">
        <is>
          <t>(713) 804-4000</t>
        </is>
      </c>
      <c r="AA244" s="12" t="inlineStr"/>
      <c r="AB244" s="12" t="inlineStr">
        <is>
          <t>https://www.pagewood.com/</t>
        </is>
      </c>
      <c r="AC244" s="12" t="inlineStr"/>
      <c r="AD244" s="12" t="inlineStr"/>
    </row>
    <row r="245">
      <c r="A245" s="6" t="inlineStr">
        <is>
          <t>Bradley Freels</t>
        </is>
      </c>
      <c r="B245" s="6" t="inlineStr">
        <is>
          <t>Midway</t>
        </is>
      </c>
      <c r="C245" s="6" t="inlineStr">
        <is>
          <t>Chairman and Chief Executive Officer</t>
        </is>
      </c>
      <c r="D245" s="7" t="inlineStr">
        <is>
          <t>Custom and hybrid job</t>
        </is>
      </c>
      <c r="E245" s="8" t="n">
        <v>1</v>
      </c>
      <c r="F245" s="6" t="inlineStr">
        <is>
          <t>Buys walls</t>
        </is>
      </c>
      <c r="G245" s="6" t="inlineStr">
        <is>
          <t>Houston HQ / East End, Harris County</t>
        </is>
      </c>
      <c r="H245" s="6" t="inlineStr">
        <is>
          <t>East River: 150 acres, 60 city blocks</t>
        </is>
      </c>
      <c r="I245" s="8" t="inlineStr">
        <is>
          <t>Partly</t>
        </is>
      </c>
      <c r="J245" s="9" t="inlineStr">
        <is>
          <t>60 city blocks on one site, phased over decades.</t>
        </is>
      </c>
      <c r="K245" s="8" t="inlineStr">
        <is>
          <t>No</t>
        </is>
      </c>
      <c r="L245" s="9" t="inlineStr">
        <is>
          <t>Mixed-use blocks. The buildings are one-offs.</t>
        </is>
      </c>
      <c r="M245" s="8" t="inlineStr">
        <is>
          <t>No</t>
        </is>
      </c>
      <c r="N245" s="9" t="inlineStr">
        <is>
          <t>No construction method on record.</t>
        </is>
      </c>
      <c r="O245" s="10" t="inlineStr"/>
      <c r="P245" s="6">
        <f>HYPERLINK("https://www.linkedin.com/search/results/people/?keywords=Bradley%20Freels%20Midway","search")</f>
        <v/>
      </c>
      <c r="Q245" s="11">
        <f>IF(O245="","ADD LINKEDIN","ok")</f>
        <v/>
      </c>
      <c r="R245" s="6" t="inlineStr">
        <is>
          <t>https://www.midway.team/</t>
        </is>
      </c>
      <c r="S245" s="9" t="inlineStr">
        <is>
          <t>East River is one site phased over decades, but its mixed-use buildings are one-offs, so there is no repeated unit to print.</t>
        </is>
      </c>
      <c r="T245" s="6" t="inlineStr"/>
      <c r="U245" s="9" t="inlineStr">
        <is>
          <t>Midway's people page.</t>
        </is>
      </c>
      <c r="V245" s="6" t="inlineStr">
        <is>
          <t>https://www.midway.team/our-people</t>
        </is>
      </c>
      <c r="W245" s="6" t="inlineStr">
        <is>
          <t>https://www.linkedin.com/company/midway</t>
        </is>
      </c>
      <c r="X245" s="6" t="inlineStr">
        <is>
          <t>https://www.midway.team/our-people</t>
        </is>
      </c>
      <c r="Y245" s="6" t="inlineStr"/>
      <c r="Z245" s="6" t="inlineStr">
        <is>
          <t>(713) 629-5200</t>
        </is>
      </c>
      <c r="AA245" s="6" t="inlineStr"/>
      <c r="AB245" s="6" t="inlineStr">
        <is>
          <t>https://www.midway.team/contact</t>
        </is>
      </c>
      <c r="AC245" s="6" t="inlineStr"/>
      <c r="AD245" s="6" t="inlineStr"/>
    </row>
    <row r="246">
      <c r="A246" s="12" t="inlineStr">
        <is>
          <t>David Hightower</t>
        </is>
      </c>
      <c r="B246" s="12" t="inlineStr">
        <is>
          <t>Midway</t>
        </is>
      </c>
      <c r="C246" s="12" t="inlineStr">
        <is>
          <t>Executive Vice President</t>
        </is>
      </c>
      <c r="D246" s="13" t="inlineStr">
        <is>
          <t>Custom and hybrid job</t>
        </is>
      </c>
      <c r="E246" s="14" t="n">
        <v>1</v>
      </c>
      <c r="F246" s="12" t="inlineStr">
        <is>
          <t>Buys walls</t>
        </is>
      </c>
      <c r="G246" s="12" t="inlineStr">
        <is>
          <t>Houston HQ / East End, Harris County</t>
        </is>
      </c>
      <c r="H246" s="12" t="inlineStr">
        <is>
          <t>East River: 150 acres, 60 city blocks</t>
        </is>
      </c>
      <c r="I246" s="14" t="inlineStr">
        <is>
          <t>Partly</t>
        </is>
      </c>
      <c r="J246" s="15" t="inlineStr">
        <is>
          <t>60 city blocks on one site, phased over decades.</t>
        </is>
      </c>
      <c r="K246" s="14" t="inlineStr">
        <is>
          <t>No</t>
        </is>
      </c>
      <c r="L246" s="15" t="inlineStr">
        <is>
          <t>Mixed-use blocks. The buildings are one-offs.</t>
        </is>
      </c>
      <c r="M246" s="14" t="inlineStr">
        <is>
          <t>No</t>
        </is>
      </c>
      <c r="N246" s="15" t="inlineStr">
        <is>
          <t>No construction method on record.</t>
        </is>
      </c>
      <c r="O246" s="6" t="inlineStr">
        <is>
          <t>https://www.linkedin.com/in/dahightower/</t>
        </is>
      </c>
      <c r="P246" s="12" t="inlineStr"/>
      <c r="Q246" s="16">
        <f>IF(O246="","ADD LINKEDIN","ok")</f>
        <v/>
      </c>
      <c r="R246" s="12" t="inlineStr">
        <is>
          <t>https://www.midway.team/</t>
        </is>
      </c>
      <c r="S246" s="15" t="inlineStr">
        <is>
          <t>East River is one site phased over decades, but its mixed-use buildings are one-offs, so there is no repeated unit to print.</t>
        </is>
      </c>
      <c r="T246" s="12" t="inlineStr"/>
      <c r="U246" s="15" t="inlineStr">
        <is>
          <t>Executive Vice President, Development, Midway Companies. Houston.</t>
        </is>
      </c>
      <c r="V246" s="12" t="inlineStr"/>
      <c r="W246" s="12" t="inlineStr">
        <is>
          <t>https://www.linkedin.com/company/midway</t>
        </is>
      </c>
      <c r="X246" s="12" t="inlineStr">
        <is>
          <t>https://www.midway.team/our-people</t>
        </is>
      </c>
      <c r="Y246" s="12" t="inlineStr"/>
      <c r="Z246" s="12" t="inlineStr">
        <is>
          <t>(713) 629-5200</t>
        </is>
      </c>
      <c r="AA246" s="12" t="inlineStr"/>
      <c r="AB246" s="12" t="inlineStr">
        <is>
          <t>https://www.midway.team/contact</t>
        </is>
      </c>
      <c r="AC246" s="12" t="inlineStr"/>
      <c r="AD246" s="12" t="inlineStr"/>
    </row>
    <row r="247">
      <c r="A247" s="6" t="inlineStr">
        <is>
          <t>Clark Thompson</t>
        </is>
      </c>
      <c r="B247" s="6" t="inlineStr">
        <is>
          <t>Midway</t>
        </is>
      </c>
      <c r="C247" s="6" t="inlineStr">
        <is>
          <t>Executive Vice President and General Counsel</t>
        </is>
      </c>
      <c r="D247" s="7" t="inlineStr">
        <is>
          <t>Custom and hybrid job</t>
        </is>
      </c>
      <c r="E247" s="8" t="n">
        <v>1</v>
      </c>
      <c r="F247" s="6" t="inlineStr">
        <is>
          <t>Buys walls</t>
        </is>
      </c>
      <c r="G247" s="6" t="inlineStr">
        <is>
          <t>Houston HQ / East End, Harris County</t>
        </is>
      </c>
      <c r="H247" s="6" t="inlineStr">
        <is>
          <t>East River: 150 acres, 60 city blocks</t>
        </is>
      </c>
      <c r="I247" s="8" t="inlineStr">
        <is>
          <t>Partly</t>
        </is>
      </c>
      <c r="J247" s="9" t="inlineStr">
        <is>
          <t>60 city blocks on one site, phased over decades.</t>
        </is>
      </c>
      <c r="K247" s="8" t="inlineStr">
        <is>
          <t>No</t>
        </is>
      </c>
      <c r="L247" s="9" t="inlineStr">
        <is>
          <t>Mixed-use blocks. The buildings are one-offs.</t>
        </is>
      </c>
      <c r="M247" s="8" t="inlineStr">
        <is>
          <t>No</t>
        </is>
      </c>
      <c r="N247" s="9" t="inlineStr">
        <is>
          <t>No construction method on record.</t>
        </is>
      </c>
      <c r="O247" s="10" t="inlineStr"/>
      <c r="P247" s="6">
        <f>HYPERLINK("https://www.linkedin.com/search/results/people/?keywords=Clark%20Thompson%20Midway","search")</f>
        <v/>
      </c>
      <c r="Q247" s="11">
        <f>IF(O247="","ADD LINKEDIN","ok")</f>
        <v/>
      </c>
      <c r="R247" s="6" t="inlineStr">
        <is>
          <t>https://www.midway.team/</t>
        </is>
      </c>
      <c r="S247" s="9" t="inlineStr">
        <is>
          <t>East River is one site phased over decades, but its mixed-use buildings are one-offs, so there is no repeated unit to print.</t>
        </is>
      </c>
      <c r="T247" s="6" t="inlineStr"/>
      <c r="U247" s="9" t="inlineStr"/>
      <c r="V247" s="6" t="inlineStr">
        <is>
          <t>https://www.midway.team/our-people</t>
        </is>
      </c>
      <c r="W247" s="6" t="inlineStr">
        <is>
          <t>https://www.linkedin.com/company/midway</t>
        </is>
      </c>
      <c r="X247" s="6" t="inlineStr">
        <is>
          <t>https://www.midway.team/our-people</t>
        </is>
      </c>
      <c r="Y247" s="6" t="inlineStr"/>
      <c r="Z247" s="6" t="inlineStr">
        <is>
          <t>(713) 629-5200</t>
        </is>
      </c>
      <c r="AA247" s="6" t="inlineStr"/>
      <c r="AB247" s="6" t="inlineStr">
        <is>
          <t>https://www.midway.team/contact</t>
        </is>
      </c>
      <c r="AC247" s="6" t="inlineStr"/>
      <c r="AD247" s="6" t="inlineStr"/>
    </row>
    <row r="248">
      <c r="A248" s="12" t="inlineStr">
        <is>
          <t>Rob Sigler</t>
        </is>
      </c>
      <c r="B248" s="12" t="inlineStr">
        <is>
          <t>Midway</t>
        </is>
      </c>
      <c r="C248" s="12" t="inlineStr">
        <is>
          <t>Executive Vice President, Construction, Investment and Development, Midway</t>
        </is>
      </c>
      <c r="D248" s="13" t="inlineStr">
        <is>
          <t>Custom and hybrid job</t>
        </is>
      </c>
      <c r="E248" s="14" t="n">
        <v>1</v>
      </c>
      <c r="F248" s="12" t="inlineStr">
        <is>
          <t>Buys walls</t>
        </is>
      </c>
      <c r="G248" s="12" t="inlineStr">
        <is>
          <t>Houston HQ / East End, Harris County</t>
        </is>
      </c>
      <c r="H248" s="12" t="inlineStr">
        <is>
          <t>East River: 150 acres, 60 city blocks</t>
        </is>
      </c>
      <c r="I248" s="14" t="inlineStr">
        <is>
          <t>Partly</t>
        </is>
      </c>
      <c r="J248" s="15" t="inlineStr">
        <is>
          <t>60 city blocks on one site, phased over decades.</t>
        </is>
      </c>
      <c r="K248" s="14" t="inlineStr">
        <is>
          <t>No</t>
        </is>
      </c>
      <c r="L248" s="15" t="inlineStr">
        <is>
          <t>Mixed-use blocks. The buildings are one-offs.</t>
        </is>
      </c>
      <c r="M248" s="14" t="inlineStr">
        <is>
          <t>No</t>
        </is>
      </c>
      <c r="N248" s="15" t="inlineStr">
        <is>
          <t>No construction method on record.</t>
        </is>
      </c>
      <c r="O248" s="6" t="inlineStr">
        <is>
          <t>https://www.linkedin.com/in/robsigler/</t>
        </is>
      </c>
      <c r="P248" s="12" t="inlineStr"/>
      <c r="Q248" s="16">
        <f>IF(O248="","ADD LINKEDIN","ok")</f>
        <v/>
      </c>
      <c r="R248" s="12" t="inlineStr">
        <is>
          <t>https://www.midway.team/</t>
        </is>
      </c>
      <c r="S248" s="15" t="inlineStr">
        <is>
          <t>East River is one site phased over decades, but its mixed-use buildings are one-offs, so there is no repeated unit to print.</t>
        </is>
      </c>
      <c r="T248" s="12" t="inlineStr">
        <is>
          <t>YES</t>
        </is>
      </c>
      <c r="U248" s="15" t="inlineStr">
        <is>
          <t>Headline and company line match the role.</t>
        </is>
      </c>
      <c r="V248" s="12" t="inlineStr"/>
      <c r="W248" s="12" t="inlineStr">
        <is>
          <t>https://www.linkedin.com/company/midway</t>
        </is>
      </c>
      <c r="X248" s="12" t="inlineStr">
        <is>
          <t>https://www.midway.team/our-people</t>
        </is>
      </c>
      <c r="Y248" s="12" t="inlineStr"/>
      <c r="Z248" s="12" t="inlineStr">
        <is>
          <t>(713) 629-5200</t>
        </is>
      </c>
      <c r="AA248" s="12" t="inlineStr"/>
      <c r="AB248" s="12" t="inlineStr">
        <is>
          <t>https://www.midway.team/contact</t>
        </is>
      </c>
      <c r="AC248" s="12" t="inlineStr"/>
      <c r="AD248" s="12" t="inlineStr"/>
    </row>
    <row r="249">
      <c r="A249" s="6" t="inlineStr">
        <is>
          <t>Anna Deans</t>
        </is>
      </c>
      <c r="B249" s="6" t="inlineStr">
        <is>
          <t>Midway</t>
        </is>
      </c>
      <c r="C249" s="6" t="inlineStr">
        <is>
          <t>Executive Vice President, Midway</t>
        </is>
      </c>
      <c r="D249" s="7" t="inlineStr">
        <is>
          <t>Custom and hybrid job</t>
        </is>
      </c>
      <c r="E249" s="8" t="n">
        <v>1</v>
      </c>
      <c r="F249" s="6" t="inlineStr">
        <is>
          <t>Buys walls</t>
        </is>
      </c>
      <c r="G249" s="6" t="inlineStr">
        <is>
          <t>Houston HQ / East End, Harris County</t>
        </is>
      </c>
      <c r="H249" s="6" t="inlineStr">
        <is>
          <t>East River: 150 acres, 60 city blocks</t>
        </is>
      </c>
      <c r="I249" s="8" t="inlineStr">
        <is>
          <t>Partly</t>
        </is>
      </c>
      <c r="J249" s="9" t="inlineStr">
        <is>
          <t>60 city blocks on one site, phased over decades.</t>
        </is>
      </c>
      <c r="K249" s="8" t="inlineStr">
        <is>
          <t>No</t>
        </is>
      </c>
      <c r="L249" s="9" t="inlineStr">
        <is>
          <t>Mixed-use blocks. The buildings are one-offs.</t>
        </is>
      </c>
      <c r="M249" s="8" t="inlineStr">
        <is>
          <t>No</t>
        </is>
      </c>
      <c r="N249" s="9" t="inlineStr">
        <is>
          <t>No construction method on record.</t>
        </is>
      </c>
      <c r="O249" s="6" t="inlineStr">
        <is>
          <t>https://www.linkedin.com/in/anna-deans-bbbab03/</t>
        </is>
      </c>
      <c r="P249" s="6" t="inlineStr"/>
      <c r="Q249" s="11">
        <f>IF(O249="","ADD LINKEDIN","ok")</f>
        <v/>
      </c>
      <c r="R249" s="6" t="inlineStr">
        <is>
          <t>https://www.midway.team/</t>
        </is>
      </c>
      <c r="S249" s="9" t="inlineStr">
        <is>
          <t>East River is one site phased over decades, but its mixed-use buildings are one-offs, so there is no repeated unit to print.</t>
        </is>
      </c>
      <c r="T249" s="6" t="inlineStr"/>
      <c r="U249" s="9" t="inlineStr"/>
      <c r="V249" s="6" t="inlineStr"/>
      <c r="W249" s="6" t="inlineStr">
        <is>
          <t>https://www.linkedin.com/company/midway</t>
        </is>
      </c>
      <c r="X249" s="6" t="inlineStr">
        <is>
          <t>https://www.midway.team/our-people</t>
        </is>
      </c>
      <c r="Y249" s="6" t="inlineStr"/>
      <c r="Z249" s="6" t="inlineStr">
        <is>
          <t>(713) 629-5200</t>
        </is>
      </c>
      <c r="AA249" s="6" t="inlineStr"/>
      <c r="AB249" s="6" t="inlineStr">
        <is>
          <t>https://www.midway.team/contact</t>
        </is>
      </c>
      <c r="AC249" s="6" t="inlineStr"/>
      <c r="AD249" s="6" t="inlineStr"/>
    </row>
    <row r="250">
      <c r="A250" s="12" t="inlineStr">
        <is>
          <t>Jon Deal</t>
        </is>
      </c>
      <c r="B250" s="12" t="inlineStr">
        <is>
          <t>The Deal Company (Sawyer Yards)</t>
        </is>
      </c>
      <c r="C250" s="12" t="inlineStr">
        <is>
          <t>Founder and Chief Executive Officer</t>
        </is>
      </c>
      <c r="D250" s="13" t="inlineStr">
        <is>
          <t>Custom and hybrid job</t>
        </is>
      </c>
      <c r="E250" s="14" t="n">
        <v>1</v>
      </c>
      <c r="F250" s="12" t="inlineStr">
        <is>
          <t>Buys walls</t>
        </is>
      </c>
      <c r="G250" s="12" t="inlineStr">
        <is>
          <t>Washington Corridor, Harris County</t>
        </is>
      </c>
      <c r="H250" s="12" t="inlineStr">
        <is>
          <t>55 acres, 27 buildings, 2M+ sf</t>
        </is>
      </c>
      <c r="I250" s="14" t="inlineStr">
        <is>
          <t>Partly</t>
        </is>
      </c>
      <c r="J250" s="15" t="inlineStr">
        <is>
          <t>27 buildings across 55 acres since 2005.</t>
        </is>
      </c>
      <c r="K250" s="14" t="inlineStr">
        <is>
          <t>No</t>
        </is>
      </c>
      <c r="L250" s="15" t="inlineStr">
        <is>
          <t>Conversions leave almost no new wall to print.</t>
        </is>
      </c>
      <c r="M250" s="14" t="inlineStr">
        <is>
          <t>No</t>
        </is>
      </c>
      <c r="N250" s="15" t="inlineStr">
        <is>
          <t>No method on record.</t>
        </is>
      </c>
      <c r="O250" s="10" t="inlineStr"/>
      <c r="P250" s="12">
        <f>HYPERLINK("https://www.linkedin.com/search/results/people/?keywords=Jon%20Deal%20The%20Deal%20Company","search")</f>
        <v/>
      </c>
      <c r="Q250" s="16">
        <f>IF(O250="","ADD LINKEDIN","ok")</f>
        <v/>
      </c>
      <c r="R250" s="12" t="inlineStr">
        <is>
          <t>https://www.dealco.net/</t>
        </is>
      </c>
      <c r="S250" s="15" t="inlineStr">
        <is>
          <t>Every project on record is a conversion of an industrial building, so almost no new wall is left to print.</t>
        </is>
      </c>
      <c r="T250" s="12" t="inlineStr"/>
      <c r="U250" s="15" t="inlineStr">
        <is>
          <t>Co-developer of Sawyer Yards.</t>
        </is>
      </c>
      <c r="V250" s="12" t="inlineStr">
        <is>
          <t>https://www.dealco.net/about/</t>
        </is>
      </c>
      <c r="W250" s="12" t="inlineStr"/>
      <c r="X250" s="12" t="inlineStr">
        <is>
          <t>https://www.dealco.net/about/</t>
        </is>
      </c>
      <c r="Y250" s="12" t="inlineStr"/>
      <c r="Z250" s="12" t="inlineStr">
        <is>
          <t>(713) 993-9823</t>
        </is>
      </c>
      <c r="AA250" s="12" t="inlineStr">
        <is>
          <t>office</t>
        </is>
      </c>
      <c r="AB250" s="12" t="inlineStr">
        <is>
          <t>https://www.dealco.net/</t>
        </is>
      </c>
      <c r="AC250" s="12" t="inlineStr"/>
      <c r="AD250" s="12" t="inlineStr"/>
    </row>
    <row r="251">
      <c r="A251" s="6" t="inlineStr">
        <is>
          <t>Randolph Wile</t>
        </is>
      </c>
      <c r="B251" s="6" t="inlineStr">
        <is>
          <t>Wile Interests</t>
        </is>
      </c>
      <c r="C251" s="6" t="inlineStr">
        <is>
          <t>Founder and President</t>
        </is>
      </c>
      <c r="D251" s="7" t="inlineStr">
        <is>
          <t>Custom and hybrid job</t>
        </is>
      </c>
      <c r="E251" s="8" t="n">
        <v>1</v>
      </c>
      <c r="F251" s="6" t="inlineStr">
        <is>
          <t>Buys walls</t>
        </is>
      </c>
      <c r="G251" s="6" t="inlineStr">
        <is>
          <t>Houston and Katy</t>
        </is>
      </c>
      <c r="H251" s="6" t="inlineStr">
        <is>
          <t>About 513,000 sq ft in the East Blocks first phase</t>
        </is>
      </c>
      <c r="I251" s="8" t="inlineStr">
        <is>
          <t>Partly</t>
        </is>
      </c>
      <c r="J251" s="9" t="inlineStr">
        <is>
          <t>Two different programmes in two submarkets. No repeated unit.</t>
        </is>
      </c>
      <c r="K251" s="8" t="inlineStr">
        <is>
          <t>No</t>
        </is>
      </c>
      <c r="L251" s="9" t="inlineStr">
        <is>
          <t>Medical office and retail shells.</t>
        </is>
      </c>
      <c r="M251" s="8" t="inlineStr">
        <is>
          <t>No</t>
        </is>
      </c>
      <c r="N251" s="9" t="inlineStr">
        <is>
          <t>Its president is the one quoted on keeping the old warehouses rather than clearing the site.</t>
        </is>
      </c>
      <c r="O251" s="6" t="inlineStr">
        <is>
          <t>https://www.linkedin.com/in/randolph-wile/</t>
        </is>
      </c>
      <c r="P251" s="6" t="inlineStr"/>
      <c r="Q251" s="11">
        <f>IF(O251="","ADD LINKEDIN","ok")</f>
        <v/>
      </c>
      <c r="R251" s="6" t="inlineStr">
        <is>
          <t>https://www.wileinterests.com/</t>
        </is>
      </c>
      <c r="S251" s="9" t="inlineStr">
        <is>
          <t>Its medical office and retail shells and its warehouse conversion are two programmes, so no unit repeats.</t>
        </is>
      </c>
      <c r="T251" s="6" t="inlineStr"/>
      <c r="U251" s="9" t="inlineStr">
        <is>
          <t>Indexed title: Wile Interests, Inc. The Real Deal, November 2023.</t>
        </is>
      </c>
      <c r="V251" s="6" t="inlineStr">
        <is>
          <t>https://therealdeal.com/texas/houston/2023/11/13/pagewood-wile-to-convert-eado-houston-warehouses/</t>
        </is>
      </c>
      <c r="W251" s="6" t="inlineStr"/>
      <c r="X251" s="6" t="inlineStr"/>
      <c r="Y251" s="6" t="inlineStr"/>
      <c r="Z251" s="6" t="inlineStr"/>
      <c r="AA251" s="6" t="inlineStr"/>
      <c r="AB251" s="6" t="inlineStr"/>
      <c r="AC251" s="6" t="inlineStr"/>
      <c r="AD251" s="6" t="inlineStr"/>
    </row>
    <row r="252">
      <c r="A252" s="12" t="inlineStr">
        <is>
          <t>Dougal A. Cameron</t>
        </is>
      </c>
      <c r="B252" s="12" t="inlineStr">
        <is>
          <t>Cameron Management</t>
        </is>
      </c>
      <c r="C252" s="12" t="inlineStr">
        <is>
          <t>President and Owner</t>
        </is>
      </c>
      <c r="D252" s="13" t="inlineStr">
        <is>
          <t>Custom and hybrid job</t>
        </is>
      </c>
      <c r="E252" s="14" t="n">
        <v>0</v>
      </c>
      <c r="F252" s="12" t="inlineStr">
        <is>
          <t>Buys walls</t>
        </is>
      </c>
      <c r="G252" s="12" t="inlineStr">
        <is>
          <t>Downtown Houston, Harris County</t>
        </is>
      </c>
      <c r="H252" s="12" t="inlineStr">
        <is>
          <t>$50M conversion stated in 2023, up to 100 units</t>
        </is>
      </c>
      <c r="I252" s="14" t="inlineStr">
        <is>
          <t>No</t>
        </is>
      </c>
      <c r="J252" s="15" t="inlineStr">
        <is>
          <t>Two towers, one conversion each. Nothing repeats.</t>
        </is>
      </c>
      <c r="K252" s="14" t="inlineStr">
        <is>
          <t>No</t>
        </is>
      </c>
      <c r="L252" s="15" t="inlineStr">
        <is>
          <t>Two 1927 and 1941 office towers converting to residential. No new exterior wall.</t>
        </is>
      </c>
      <c r="M252" s="14" t="inlineStr">
        <is>
          <t>No</t>
        </is>
      </c>
      <c r="N252" s="15" t="inlineStr">
        <is>
          <t>$50 million two-tower conversion planned, not shown surviving the 2024 sale. No method on record.</t>
        </is>
      </c>
      <c r="O252" s="10" t="inlineStr"/>
      <c r="P252" s="12">
        <f>HYPERLINK("https://www.linkedin.com/search/results/people/?keywords=Dougal%20A.%20Cameron%20Cameron%20Management","search")</f>
        <v/>
      </c>
      <c r="Q252" s="16">
        <f>IF(O252="","ADD LINKEDIN","ok")</f>
        <v/>
      </c>
      <c r="R252" s="12" t="inlineStr">
        <is>
          <t>https://cameronmanagement.com/</t>
        </is>
      </c>
      <c r="S252" s="15" t="inlineStr">
        <is>
          <t>It no longer owns the towers, and no source shows the conversion surviving the sale.</t>
        </is>
      </c>
      <c r="T252" s="12" t="inlineStr"/>
      <c r="U252" s="15" t="inlineStr">
        <is>
          <t>Founded the firm in 1995, after asset and project management at Hines.</t>
        </is>
      </c>
      <c r="V252" s="12" t="inlineStr">
        <is>
          <t>https://cameronmanagement.com/team_member/dougal-a-cameron</t>
        </is>
      </c>
      <c r="W252" s="12" t="inlineStr">
        <is>
          <t>https://www.linkedin.com/company/cameron-management</t>
        </is>
      </c>
      <c r="X252" s="12" t="inlineStr">
        <is>
          <t>https://cameronmanagement.com/about</t>
        </is>
      </c>
      <c r="Y252" s="12" t="inlineStr"/>
      <c r="Z252" s="12" t="inlineStr">
        <is>
          <t>(713) 224-1663</t>
        </is>
      </c>
      <c r="AA252" s="12" t="inlineStr"/>
      <c r="AB252" s="12" t="inlineStr">
        <is>
          <t>https://cameronmanagement.com/contact</t>
        </is>
      </c>
      <c r="AC252" s="12" t="inlineStr"/>
      <c r="AD252" s="12" t="inlineStr"/>
    </row>
    <row r="253">
      <c r="A253" s="6" t="inlineStr">
        <is>
          <t>William T. Dom</t>
        </is>
      </c>
      <c r="B253" s="6" t="inlineStr">
        <is>
          <t>Cameron Management</t>
        </is>
      </c>
      <c r="C253" s="6" t="inlineStr">
        <is>
          <t>Chief Operating Officer</t>
        </is>
      </c>
      <c r="D253" s="7" t="inlineStr">
        <is>
          <t>Custom and hybrid job</t>
        </is>
      </c>
      <c r="E253" s="8" t="n">
        <v>0</v>
      </c>
      <c r="F253" s="6" t="inlineStr">
        <is>
          <t>Buys walls</t>
        </is>
      </c>
      <c r="G253" s="6" t="inlineStr">
        <is>
          <t>Downtown Houston, Harris County</t>
        </is>
      </c>
      <c r="H253" s="6" t="inlineStr">
        <is>
          <t>$50M conversion stated in 2023, up to 100 units</t>
        </is>
      </c>
      <c r="I253" s="8" t="inlineStr">
        <is>
          <t>No</t>
        </is>
      </c>
      <c r="J253" s="9" t="inlineStr">
        <is>
          <t>Two towers, one conversion each. Nothing repeats.</t>
        </is>
      </c>
      <c r="K253" s="8" t="inlineStr">
        <is>
          <t>No</t>
        </is>
      </c>
      <c r="L253" s="9" t="inlineStr">
        <is>
          <t>Two 1927 and 1941 office towers converting to residential. No new exterior wall.</t>
        </is>
      </c>
      <c r="M253" s="8" t="inlineStr">
        <is>
          <t>No</t>
        </is>
      </c>
      <c r="N253" s="9" t="inlineStr">
        <is>
          <t>$50 million two-tower conversion planned, not shown surviving the 2024 sale. No method on record.</t>
        </is>
      </c>
      <c r="O253" s="10" t="inlineStr"/>
      <c r="P253" s="6">
        <f>HYPERLINK("https://www.linkedin.com/search/results/people/?keywords=William%20T.%20Dom%20Cameron%20Management","search")</f>
        <v/>
      </c>
      <c r="Q253" s="11">
        <f>IF(O253="","ADD LINKEDIN","ok")</f>
        <v/>
      </c>
      <c r="R253" s="6" t="inlineStr">
        <is>
          <t>https://cameronmanagement.com/</t>
        </is>
      </c>
      <c r="S253" s="9" t="inlineStr">
        <is>
          <t>It no longer owns the towers, and no source shows the conversion surviving the sale.</t>
        </is>
      </c>
      <c r="T253" s="6" t="inlineStr"/>
      <c r="U253" s="9" t="inlineStr">
        <is>
          <t>Partner since 2000. Formerly an asset manager at Hines.</t>
        </is>
      </c>
      <c r="V253" s="6" t="inlineStr">
        <is>
          <t>https://cameronmanagement.com/team_member/william-t-ted-dom</t>
        </is>
      </c>
      <c r="W253" s="6" t="inlineStr">
        <is>
          <t>https://www.linkedin.com/company/cameron-management</t>
        </is>
      </c>
      <c r="X253" s="6" t="inlineStr">
        <is>
          <t>https://cameronmanagement.com/about</t>
        </is>
      </c>
      <c r="Y253" s="6" t="inlineStr"/>
      <c r="Z253" s="6" t="inlineStr">
        <is>
          <t>(713) 224-1663</t>
        </is>
      </c>
      <c r="AA253" s="6" t="inlineStr"/>
      <c r="AB253" s="6" t="inlineStr">
        <is>
          <t>https://cameronmanagement.com/contact</t>
        </is>
      </c>
      <c r="AC253" s="6" t="inlineStr"/>
      <c r="AD253" s="6" t="inlineStr"/>
    </row>
    <row r="254">
      <c r="A254" s="12" t="inlineStr">
        <is>
          <t>David Kelley</t>
        </is>
      </c>
      <c r="B254" s="12" t="inlineStr">
        <is>
          <t>Concept Neighborhood</t>
        </is>
      </c>
      <c r="C254" s="12" t="inlineStr">
        <is>
          <t>Managing Partner, Projects and Finance</t>
        </is>
      </c>
      <c r="D254" s="13" t="inlineStr">
        <is>
          <t>Custom and hybrid job</t>
        </is>
      </c>
      <c r="E254" s="14" t="n">
        <v>0</v>
      </c>
      <c r="F254" s="12" t="inlineStr">
        <is>
          <t>Buys walls</t>
        </is>
      </c>
      <c r="G254" s="12" t="inlineStr">
        <is>
          <t>East End, Harris</t>
        </is>
      </c>
      <c r="H254" s="12" t="inlineStr">
        <is>
          <t>17 acres at The Plant, Second Ward</t>
        </is>
      </c>
      <c r="I254" s="14" t="inlineStr">
        <is>
          <t>No</t>
        </is>
      </c>
      <c r="J254" s="15" t="inlineStr">
        <is>
          <t>Eighty-year-old industrial buildings, each one different. No plan to repeat.</t>
        </is>
      </c>
      <c r="K254" s="14" t="inlineStr">
        <is>
          <t>No</t>
        </is>
      </c>
      <c r="L254" s="15" t="inlineStr">
        <is>
          <t>Conversion leaves little new wall. A printed element would be an addition.</t>
        </is>
      </c>
      <c r="M254" s="14" t="inlineStr">
        <is>
          <t>No</t>
        </is>
      </c>
      <c r="N254" s="15" t="inlineStr">
        <is>
          <t>Restored an 1890s building to open Axelrad. Adaptive reuse is not a new building method.</t>
        </is>
      </c>
      <c r="O254" s="6" t="inlineStr">
        <is>
          <t>https://www.linkedin.com/in/david-kelley-275240105/</t>
        </is>
      </c>
      <c r="P254" s="12" t="inlineStr"/>
      <c r="Q254" s="16">
        <f>IF(O254="","ADD LINKEDIN","ok")</f>
        <v/>
      </c>
      <c r="R254" s="12" t="inlineStr">
        <is>
          <t>https://www.conceptneighborhood.com/</t>
        </is>
      </c>
      <c r="S254" s="15" t="inlineStr">
        <is>
          <t>It converts eighty-year-old industrial buildings, each one different, so a printed element would be an addition.</t>
        </is>
      </c>
      <c r="T254" s="12" t="inlineStr"/>
      <c r="U254" s="15" t="inlineStr"/>
      <c r="V254" s="12" t="inlineStr">
        <is>
          <t>https://www.conceptneighborhood.com/team</t>
        </is>
      </c>
      <c r="W254" s="12" t="inlineStr"/>
      <c r="X254" s="12" t="inlineStr"/>
      <c r="Y254" s="12" t="inlineStr"/>
      <c r="Z254" s="12" t="inlineStr">
        <is>
          <t>(713) 821-7052</t>
        </is>
      </c>
      <c r="AA254" s="12" t="inlineStr"/>
      <c r="AB254" s="12" t="inlineStr">
        <is>
          <t>https://www.conceptneighborhood.com/</t>
        </is>
      </c>
      <c r="AC254" s="12" t="inlineStr"/>
      <c r="AD254" s="12" t="inlineStr"/>
    </row>
    <row r="255">
      <c r="A255" s="6" t="inlineStr">
        <is>
          <t>Jeffrey Kaplan</t>
        </is>
      </c>
      <c r="B255" s="6" t="inlineStr">
        <is>
          <t>Concept Neighborhood</t>
        </is>
      </c>
      <c r="C255" s="6" t="inlineStr">
        <is>
          <t>Managing Partner, Brokerage and Placemaking, co-founder of Axelrad</t>
        </is>
      </c>
      <c r="D255" s="7" t="inlineStr">
        <is>
          <t>Custom and hybrid job</t>
        </is>
      </c>
      <c r="E255" s="8" t="n">
        <v>0</v>
      </c>
      <c r="F255" s="6" t="inlineStr">
        <is>
          <t>Buys walls</t>
        </is>
      </c>
      <c r="G255" s="6" t="inlineStr">
        <is>
          <t>East End, Harris</t>
        </is>
      </c>
      <c r="H255" s="6" t="inlineStr">
        <is>
          <t>17 acres at The Plant, Second Ward</t>
        </is>
      </c>
      <c r="I255" s="8" t="inlineStr">
        <is>
          <t>No</t>
        </is>
      </c>
      <c r="J255" s="9" t="inlineStr">
        <is>
          <t>Eighty-year-old industrial buildings, each one different. No plan to repeat.</t>
        </is>
      </c>
      <c r="K255" s="8" t="inlineStr">
        <is>
          <t>No</t>
        </is>
      </c>
      <c r="L255" s="9" t="inlineStr">
        <is>
          <t>Conversion leaves little new wall. A printed element would be an addition.</t>
        </is>
      </c>
      <c r="M255" s="8" t="inlineStr">
        <is>
          <t>No</t>
        </is>
      </c>
      <c r="N255" s="9" t="inlineStr">
        <is>
          <t>Restored an 1890s building to open Axelrad. Adaptive reuse is not a new building method.</t>
        </is>
      </c>
      <c r="O255" s="6" t="inlineStr">
        <is>
          <t>https://www.linkedin.com/in/jeffrey-kaplan-71190150/</t>
        </is>
      </c>
      <c r="P255" s="6" t="inlineStr"/>
      <c r="Q255" s="11">
        <f>IF(O255="","ADD LINKEDIN","ok")</f>
        <v/>
      </c>
      <c r="R255" s="6" t="inlineStr">
        <is>
          <t>https://www.conceptneighborhood.com/</t>
        </is>
      </c>
      <c r="S255" s="9" t="inlineStr">
        <is>
          <t>It converts eighty-year-old industrial buildings, each one different, so a printed element would be an addition.</t>
        </is>
      </c>
      <c r="T255" s="6" t="inlineStr"/>
      <c r="U255" s="9" t="inlineStr"/>
      <c r="V255" s="6" t="inlineStr">
        <is>
          <t>https://www.conceptneighborhood.com/team</t>
        </is>
      </c>
      <c r="W255" s="6" t="inlineStr"/>
      <c r="X255" s="6" t="inlineStr"/>
      <c r="Y255" s="6" t="inlineStr"/>
      <c r="Z255" s="6" t="inlineStr">
        <is>
          <t>(713) 821-7052</t>
        </is>
      </c>
      <c r="AA255" s="6" t="inlineStr"/>
      <c r="AB255" s="6" t="inlineStr">
        <is>
          <t>https://www.conceptneighborhood.com/</t>
        </is>
      </c>
      <c r="AC255" s="6" t="inlineStr"/>
      <c r="AD255" s="6" t="inlineStr"/>
    </row>
    <row r="256">
      <c r="A256" s="12" t="inlineStr">
        <is>
          <t>Monte Large</t>
        </is>
      </c>
      <c r="B256" s="12" t="inlineStr">
        <is>
          <t>Concept Neighborhood</t>
        </is>
      </c>
      <c r="C256" s="12" t="inlineStr">
        <is>
          <t>Partner, Design and Placemaking</t>
        </is>
      </c>
      <c r="D256" s="13" t="inlineStr">
        <is>
          <t>Custom and hybrid job</t>
        </is>
      </c>
      <c r="E256" s="14" t="n">
        <v>0</v>
      </c>
      <c r="F256" s="12" t="inlineStr">
        <is>
          <t>Buys walls</t>
        </is>
      </c>
      <c r="G256" s="12" t="inlineStr">
        <is>
          <t>East End, Harris</t>
        </is>
      </c>
      <c r="H256" s="12" t="inlineStr">
        <is>
          <t>17 acres at The Plant, Second Ward</t>
        </is>
      </c>
      <c r="I256" s="14" t="inlineStr">
        <is>
          <t>No</t>
        </is>
      </c>
      <c r="J256" s="15" t="inlineStr">
        <is>
          <t>Eighty-year-old industrial buildings, each one different. No plan to repeat.</t>
        </is>
      </c>
      <c r="K256" s="14" t="inlineStr">
        <is>
          <t>No</t>
        </is>
      </c>
      <c r="L256" s="15" t="inlineStr">
        <is>
          <t>Conversion leaves little new wall. A printed element would be an addition.</t>
        </is>
      </c>
      <c r="M256" s="14" t="inlineStr">
        <is>
          <t>No</t>
        </is>
      </c>
      <c r="N256" s="15" t="inlineStr">
        <is>
          <t>Restored an 1890s building to open Axelrad. Adaptive reuse is not a new building method.</t>
        </is>
      </c>
      <c r="O256" s="6" t="inlineStr">
        <is>
          <t>https://www.linkedin.com/in/montelarge/</t>
        </is>
      </c>
      <c r="P256" s="12" t="inlineStr"/>
      <c r="Q256" s="16">
        <f>IF(O256="","ADD LINKEDIN","ok")</f>
        <v/>
      </c>
      <c r="R256" s="12" t="inlineStr">
        <is>
          <t>https://www.conceptneighborhood.com/</t>
        </is>
      </c>
      <c r="S256" s="15" t="inlineStr">
        <is>
          <t>It converts eighty-year-old industrial buildings, each one different, so a printed element would be an addition.</t>
        </is>
      </c>
      <c r="T256" s="12" t="inlineStr"/>
      <c r="U256" s="15" t="inlineStr"/>
      <c r="V256" s="12" t="inlineStr">
        <is>
          <t>https://www.conceptneighborhood.com/team</t>
        </is>
      </c>
      <c r="W256" s="12" t="inlineStr"/>
      <c r="X256" s="12" t="inlineStr"/>
      <c r="Y256" s="12" t="inlineStr"/>
      <c r="Z256" s="12" t="inlineStr">
        <is>
          <t>(713) 821-7052</t>
        </is>
      </c>
      <c r="AA256" s="12" t="inlineStr"/>
      <c r="AB256" s="12" t="inlineStr">
        <is>
          <t>https://www.conceptneighborhood.com/</t>
        </is>
      </c>
      <c r="AC256" s="12" t="inlineStr"/>
      <c r="AD256" s="12" t="inlineStr"/>
    </row>
    <row r="257">
      <c r="A257" s="6" t="inlineStr">
        <is>
          <t>Jeremy Roberts</t>
        </is>
      </c>
      <c r="B257" s="6" t="inlineStr">
        <is>
          <t>Concept Neighborhood</t>
        </is>
      </c>
      <c r="C257" s="6" t="inlineStr">
        <is>
          <t>Managing Partner, Projects and Legal</t>
        </is>
      </c>
      <c r="D257" s="7" t="inlineStr">
        <is>
          <t>Custom and hybrid job</t>
        </is>
      </c>
      <c r="E257" s="8" t="n">
        <v>0</v>
      </c>
      <c r="F257" s="6" t="inlineStr">
        <is>
          <t>Buys walls</t>
        </is>
      </c>
      <c r="G257" s="6" t="inlineStr">
        <is>
          <t>East End, Harris</t>
        </is>
      </c>
      <c r="H257" s="6" t="inlineStr">
        <is>
          <t>17 acres at The Plant, Second Ward</t>
        </is>
      </c>
      <c r="I257" s="8" t="inlineStr">
        <is>
          <t>No</t>
        </is>
      </c>
      <c r="J257" s="9" t="inlineStr">
        <is>
          <t>Eighty-year-old industrial buildings, each one different. No plan to repeat.</t>
        </is>
      </c>
      <c r="K257" s="8" t="inlineStr">
        <is>
          <t>No</t>
        </is>
      </c>
      <c r="L257" s="9" t="inlineStr">
        <is>
          <t>Conversion leaves little new wall. A printed element would be an addition.</t>
        </is>
      </c>
      <c r="M257" s="8" t="inlineStr">
        <is>
          <t>No</t>
        </is>
      </c>
      <c r="N257" s="9" t="inlineStr">
        <is>
          <t>Restored an 1890s building to open Axelrad. Adaptive reuse is not a new building method.</t>
        </is>
      </c>
      <c r="O257" s="6" t="inlineStr">
        <is>
          <t>https://www.linkedin.com/in/jeremyaaronroberts/</t>
        </is>
      </c>
      <c r="P257" s="6" t="inlineStr"/>
      <c r="Q257" s="11">
        <f>IF(O257="","ADD LINKEDIN","ok")</f>
        <v/>
      </c>
      <c r="R257" s="6" t="inlineStr">
        <is>
          <t>https://www.conceptneighborhood.com/</t>
        </is>
      </c>
      <c r="S257" s="9" t="inlineStr">
        <is>
          <t>It converts eighty-year-old industrial buildings, each one different, so a printed element would be an addition.</t>
        </is>
      </c>
      <c r="T257" s="6" t="inlineStr"/>
      <c r="U257" s="9" t="inlineStr"/>
      <c r="V257" s="6" t="inlineStr">
        <is>
          <t>https://www.conceptneighborhood.com/team</t>
        </is>
      </c>
      <c r="W257" s="6" t="inlineStr"/>
      <c r="X257" s="6" t="inlineStr"/>
      <c r="Y257" s="6" t="inlineStr"/>
      <c r="Z257" s="6" t="inlineStr">
        <is>
          <t>(713) 821-7052</t>
        </is>
      </c>
      <c r="AA257" s="6" t="inlineStr"/>
      <c r="AB257" s="6" t="inlineStr">
        <is>
          <t>https://www.conceptneighborhood.com/</t>
        </is>
      </c>
      <c r="AC257" s="6" t="inlineStr"/>
      <c r="AD257" s="6" t="inlineStr"/>
    </row>
    <row r="258">
      <c r="A258" s="12" t="inlineStr">
        <is>
          <t>Paul J. Romanowski</t>
        </is>
      </c>
      <c r="B258" s="12" t="inlineStr">
        <is>
          <t>D.R. Horton, Inc.</t>
        </is>
      </c>
      <c r="C258" s="12" t="inlineStr">
        <is>
          <t>President and Chief Executive Officer</t>
        </is>
      </c>
      <c r="D258" s="13" t="inlineStr">
        <is>
          <t>National builder</t>
        </is>
      </c>
      <c r="E258" s="14" t="n">
        <v>2</v>
      </c>
      <c r="F258" s="12" t="inlineStr">
        <is>
          <t>Buys walls</t>
        </is>
      </c>
      <c r="G258" s="12" t="inlineStr">
        <is>
          <t>Arlington HQ / Sugar Land, Richmond, Conroe</t>
        </is>
      </c>
      <c r="H258" s="12" t="inlineStr">
        <is>
          <t>4,925 Houston closings in 2025, second in the metro</t>
        </is>
      </c>
      <c r="I258" s="14" t="inlineStr">
        <is>
          <t>Yes</t>
        </is>
      </c>
      <c r="J258" s="15" t="inlineStr">
        <is>
          <t>65 Houston communities, 668 standing homes, one national plan library.</t>
        </is>
      </c>
      <c r="K258" s="14" t="inlineStr">
        <is>
          <t>No</t>
        </is>
      </c>
      <c r="L258" s="15" t="inlineStr">
        <is>
          <t>84,863 closings company-wide in fiscal 2025.</t>
        </is>
      </c>
      <c r="M258" s="14" t="inlineStr">
        <is>
          <t>Yes</t>
        </is>
      </c>
      <c r="N258" s="15" t="inlineStr">
        <is>
          <t>Invested in Apis Cor, maker of construction 3D printers, in March 2024. Amount undisclosed.</t>
        </is>
      </c>
      <c r="O258" s="10" t="inlineStr"/>
      <c r="P258" s="12">
        <f>HYPERLINK("https://www.linkedin.com/search/results/people/?keywords=Paul%20J.%20Romanowski%20D.R.%20Horton%2C%20Inc.","search")</f>
        <v/>
      </c>
      <c r="Q258" s="16">
        <f>IF(O258="","ADD LINKEDIN","ok")</f>
        <v/>
      </c>
      <c r="R258" s="12" t="inlineStr">
        <is>
          <t>https://www.drhorton.com/texas/houston</t>
        </is>
      </c>
      <c r="S258" s="15" t="inlineStr">
        <is>
          <t>It invested in Apis Cor, a maker of construction 3D printers, in March 2024, but it closed 84,863 homes company-wide in fiscal 2025.</t>
        </is>
      </c>
      <c r="T258" s="12" t="inlineStr"/>
      <c r="U258" s="15" t="inlineStr"/>
      <c r="V258" s="12" t="inlineStr">
        <is>
          <t>https://investor.drhorton.com/corporate-governance/executive-officers</t>
        </is>
      </c>
      <c r="W258" s="12" t="inlineStr"/>
      <c r="X258" s="12" t="inlineStr"/>
      <c r="Y258" s="12" t="inlineStr"/>
      <c r="Z258" s="12" t="inlineStr"/>
      <c r="AA258" s="12" t="inlineStr"/>
      <c r="AB258" s="12" t="inlineStr">
        <is>
          <t>https://www.drhorton.com/contact-us-page</t>
        </is>
      </c>
      <c r="AC258" s="12" t="inlineStr"/>
      <c r="AD258" s="12" t="inlineStr"/>
    </row>
    <row r="259">
      <c r="A259" s="6" t="inlineStr">
        <is>
          <t>Michael J. Murray</t>
        </is>
      </c>
      <c r="B259" s="6" t="inlineStr">
        <is>
          <t>D.R. Horton, Inc.</t>
        </is>
      </c>
      <c r="C259" s="6" t="inlineStr">
        <is>
          <t>Executive Vice President and Chief Operating Officer</t>
        </is>
      </c>
      <c r="D259" s="7" t="inlineStr">
        <is>
          <t>National builder</t>
        </is>
      </c>
      <c r="E259" s="8" t="n">
        <v>2</v>
      </c>
      <c r="F259" s="6" t="inlineStr">
        <is>
          <t>Buys walls</t>
        </is>
      </c>
      <c r="G259" s="6" t="inlineStr">
        <is>
          <t>Arlington HQ / Sugar Land, Richmond, Conroe</t>
        </is>
      </c>
      <c r="H259" s="6" t="inlineStr">
        <is>
          <t>4,925 Houston closings in 2025, second in the metro</t>
        </is>
      </c>
      <c r="I259" s="8" t="inlineStr">
        <is>
          <t>Yes</t>
        </is>
      </c>
      <c r="J259" s="9" t="inlineStr">
        <is>
          <t>65 Houston communities, 668 standing homes, one national plan library.</t>
        </is>
      </c>
      <c r="K259" s="8" t="inlineStr">
        <is>
          <t>No</t>
        </is>
      </c>
      <c r="L259" s="9" t="inlineStr">
        <is>
          <t>84,863 closings company-wide in fiscal 2025.</t>
        </is>
      </c>
      <c r="M259" s="8" t="inlineStr">
        <is>
          <t>Yes</t>
        </is>
      </c>
      <c r="N259" s="9" t="inlineStr">
        <is>
          <t>Invested in Apis Cor, maker of construction 3D printers, in March 2024. Amount undisclosed.</t>
        </is>
      </c>
      <c r="O259" s="10" t="inlineStr"/>
      <c r="P259" s="6">
        <f>HYPERLINK("https://www.linkedin.com/search/results/people/?keywords=Michael%20J.%20Murray%20D.R.%20Horton%2C%20Inc.","search")</f>
        <v/>
      </c>
      <c r="Q259" s="11">
        <f>IF(O259="","ADD LINKEDIN","ok")</f>
        <v/>
      </c>
      <c r="R259" s="6" t="inlineStr">
        <is>
          <t>https://www.drhorton.com/texas/houston</t>
        </is>
      </c>
      <c r="S259" s="9" t="inlineStr">
        <is>
          <t>It invested in Apis Cor, a maker of construction 3D printers, in March 2024, but it closed 84,863 homes company-wide in fiscal 2025.</t>
        </is>
      </c>
      <c r="T259" s="6" t="inlineStr"/>
      <c r="U259" s="9" t="inlineStr"/>
      <c r="V259" s="6" t="inlineStr">
        <is>
          <t>https://investor.drhorton.com/corporate-governance/executive-officers</t>
        </is>
      </c>
      <c r="W259" s="6" t="inlineStr"/>
      <c r="X259" s="6" t="inlineStr"/>
      <c r="Y259" s="6" t="inlineStr"/>
      <c r="Z259" s="6" t="inlineStr"/>
      <c r="AA259" s="6" t="inlineStr"/>
      <c r="AB259" s="6" t="inlineStr">
        <is>
          <t>https://www.drhorton.com/contact-us-page</t>
        </is>
      </c>
      <c r="AC259" s="6" t="inlineStr"/>
      <c r="AD259" s="6" t="inlineStr"/>
    </row>
    <row r="260">
      <c r="A260" s="12" t="inlineStr">
        <is>
          <t>Brad Conlon</t>
        </is>
      </c>
      <c r="B260" s="12" t="inlineStr">
        <is>
          <t>D.R. Horton, Inc.</t>
        </is>
      </c>
      <c r="C260" s="12" t="inlineStr">
        <is>
          <t>Senior Vice President of Business Development</t>
        </is>
      </c>
      <c r="D260" s="13" t="inlineStr">
        <is>
          <t>National builder</t>
        </is>
      </c>
      <c r="E260" s="14" t="n">
        <v>2</v>
      </c>
      <c r="F260" s="12" t="inlineStr">
        <is>
          <t>Buys walls</t>
        </is>
      </c>
      <c r="G260" s="12" t="inlineStr">
        <is>
          <t>Arlington HQ / Sugar Land, Richmond, Conroe</t>
        </is>
      </c>
      <c r="H260" s="12" t="inlineStr">
        <is>
          <t>4,925 Houston closings in 2025, second in the metro</t>
        </is>
      </c>
      <c r="I260" s="14" t="inlineStr">
        <is>
          <t>Yes</t>
        </is>
      </c>
      <c r="J260" s="15" t="inlineStr">
        <is>
          <t>65 Houston communities, 668 standing homes, one national plan library.</t>
        </is>
      </c>
      <c r="K260" s="14" t="inlineStr">
        <is>
          <t>No</t>
        </is>
      </c>
      <c r="L260" s="15" t="inlineStr">
        <is>
          <t>84,863 closings company-wide in fiscal 2025.</t>
        </is>
      </c>
      <c r="M260" s="14" t="inlineStr">
        <is>
          <t>Yes</t>
        </is>
      </c>
      <c r="N260" s="15" t="inlineStr">
        <is>
          <t>Invested in Apis Cor, maker of construction 3D printers, in March 2024. Amount undisclosed.</t>
        </is>
      </c>
      <c r="O260" s="10" t="inlineStr"/>
      <c r="P260" s="12">
        <f>HYPERLINK("https://www.linkedin.com/search/results/people/?keywords=Brad%20Conlon%20D.R.%20Horton%2C%20Inc.","search")</f>
        <v/>
      </c>
      <c r="Q260" s="16">
        <f>IF(O260="","ADD LINKEDIN","ok")</f>
        <v/>
      </c>
      <c r="R260" s="12" t="inlineStr">
        <is>
          <t>https://www.drhorton.com/texas/houston</t>
        </is>
      </c>
      <c r="S260" s="15" t="inlineStr">
        <is>
          <t>It invested in Apis Cor, a maker of construction 3D printers, in March 2024, but it closed 84,863 homes company-wide in fiscal 2025.</t>
        </is>
      </c>
      <c r="T260" s="12" t="inlineStr"/>
      <c r="U260" s="15" t="inlineStr">
        <is>
          <t>Spoke for the company on Apis Cor. Not an executive officer.</t>
        </is>
      </c>
      <c r="V260" s="12" t="inlineStr">
        <is>
          <t>https://www.prnewswire.com/news-releases/apis-cor-a-manufacturer-of-construction-3d-printing-robots-announces-strategic-investment-by-dr-horton-302084850.html</t>
        </is>
      </c>
      <c r="W260" s="12" t="inlineStr"/>
      <c r="X260" s="12" t="inlineStr"/>
      <c r="Y260" s="12" t="inlineStr"/>
      <c r="Z260" s="12" t="inlineStr"/>
      <c r="AA260" s="12" t="inlineStr"/>
      <c r="AB260" s="12" t="inlineStr">
        <is>
          <t>https://www.drhorton.com/contact-us-page</t>
        </is>
      </c>
      <c r="AC260" s="12" t="inlineStr"/>
      <c r="AD260" s="12" t="inlineStr"/>
    </row>
    <row r="261">
      <c r="A261" s="6" t="inlineStr">
        <is>
          <t>Lindy Oliva</t>
        </is>
      </c>
      <c r="B261" s="6" t="inlineStr">
        <is>
          <t>PulteGroup, Houston Division</t>
        </is>
      </c>
      <c r="C261" s="6" t="inlineStr">
        <is>
          <t>Houston Division President</t>
        </is>
      </c>
      <c r="D261" s="7" t="inlineStr">
        <is>
          <t>National builder</t>
        </is>
      </c>
      <c r="E261" s="8" t="n">
        <v>2</v>
      </c>
      <c r="F261" s="6" t="inlineStr">
        <is>
          <t>Buys walls</t>
        </is>
      </c>
      <c r="G261" s="6" t="inlineStr">
        <is>
          <t>Houston / Pulte, Centex and Del Webb</t>
        </is>
      </c>
      <c r="H261" s="6" t="inlineStr">
        <is>
          <t>1,146 Houston closings in 2025, fifth in the metro</t>
        </is>
      </c>
      <c r="I261" s="8" t="inlineStr">
        <is>
          <t>Yes</t>
        </is>
      </c>
      <c r="J261" s="9" t="inlineStr">
        <is>
          <t>Communities from Conroe to Fulshear and Sugar Land.</t>
        </is>
      </c>
      <c r="K261" s="8" t="inlineStr">
        <is>
          <t>No</t>
        </is>
      </c>
      <c r="L261" s="9" t="inlineStr">
        <is>
          <t>1,146 Houston closings in 2025. Certain materials negotiated nationally or regionally make change a corporate pilot.</t>
        </is>
      </c>
      <c r="M261" s="8" t="inlineStr">
        <is>
          <t>Yes</t>
        </is>
      </c>
      <c r="N261" s="9" t="inlineStr">
        <is>
          <t>Owned a framing plant and piloted a robotic wall.</t>
        </is>
      </c>
      <c r="O261" s="10" t="inlineStr"/>
      <c r="P261" s="6" t="inlineStr"/>
      <c r="Q261" s="11">
        <f>IF(O261="","ADD LINKEDIN","ok")</f>
        <v/>
      </c>
      <c r="R261" s="6" t="inlineStr">
        <is>
          <t>https://www.pulte.com/homes/texas/houston</t>
        </is>
      </c>
      <c r="S261" s="9" t="inlineStr">
        <is>
          <t>Its chief executive wants to use new building methods, not operate them, and it sold its framing plant in 2026.</t>
        </is>
      </c>
      <c r="T261" s="6" t="inlineStr">
        <is>
          <t>YES</t>
        </is>
      </c>
      <c r="U261" s="9" t="inlineStr">
        <is>
          <t>Ryehill release, 3 July 2024. Fulshear release, 6 October 2022.</t>
        </is>
      </c>
      <c r="V261" s="6" t="inlineStr">
        <is>
          <t>https://www.pultegroupinc.com/investor-relations/news/news-details/2024/PulteGroup-Breaks-Ground-on-New-Master-Planned-Ryehill-Communities-in-Sugar-Land/default.aspx</t>
        </is>
      </c>
      <c r="W261" s="6" t="inlineStr"/>
      <c r="X261" s="6" t="inlineStr"/>
      <c r="Y261" s="6" t="inlineStr"/>
      <c r="Z261" s="6" t="inlineStr">
        <is>
          <t>(281) 801-6008</t>
        </is>
      </c>
      <c r="AA261" s="6" t="inlineStr">
        <is>
          <t>Houston sales</t>
        </is>
      </c>
      <c r="AB261" s="6" t="inlineStr">
        <is>
          <t>https://www.pulte.com/homes/texas/houston</t>
        </is>
      </c>
      <c r="AC261" s="6" t="inlineStr"/>
      <c r="AD261" s="6" t="inlineStr"/>
    </row>
    <row r="262">
      <c r="A262" s="12" t="inlineStr">
        <is>
          <t>Jay Brown</t>
        </is>
      </c>
      <c r="B262" s="12" t="inlineStr">
        <is>
          <t>David Weekley Homes</t>
        </is>
      </c>
      <c r="C262" s="12" t="inlineStr">
        <is>
          <t>Chief Executive Officer</t>
        </is>
      </c>
      <c r="D262" s="13" t="inlineStr">
        <is>
          <t>National builder</t>
        </is>
      </c>
      <c r="E262" s="14" t="n">
        <v>2</v>
      </c>
      <c r="F262" s="12" t="inlineStr">
        <is>
          <t>Buys walls</t>
        </is>
      </c>
      <c r="G262" s="12" t="inlineStr">
        <is>
          <t>Houston HQ, Harris County</t>
        </is>
      </c>
      <c r="H262" s="12" t="inlineStr">
        <is>
          <t>125,000+ homes, 19 markets, Houston HQ</t>
        </is>
      </c>
      <c r="I262" s="14" t="inlineStr">
        <is>
          <t>Yes</t>
        </is>
      </c>
      <c r="J262" s="15" t="inlineStr">
        <is>
          <t>Home market. Builds across the metro.</t>
        </is>
      </c>
      <c r="K262" s="14" t="inlineStr">
        <is>
          <t>No</t>
        </is>
      </c>
      <c r="L262" s="15" t="inlineStr">
        <is>
          <t>National builder, national supply chain.</t>
        </is>
      </c>
      <c r="M262" s="14" t="inlineStr">
        <is>
          <t>Partly</t>
        </is>
      </c>
      <c r="N262" s="15" t="inlineStr">
        <is>
          <t>Named suppliers for the whole envelope in 2026. A supply commitment, no method.</t>
        </is>
      </c>
      <c r="O262" s="6" t="inlineStr">
        <is>
          <t>https://www.linkedin.com/in/jay-brown-14305a12/</t>
        </is>
      </c>
      <c r="P262" s="12" t="inlineStr"/>
      <c r="Q262" s="16">
        <f>IF(O262="","ADD LINKEDIN","ok")</f>
        <v/>
      </c>
      <c r="R262" s="12" t="inlineStr">
        <is>
          <t>https://www.davidweekleyhomes.com/</t>
        </is>
      </c>
      <c r="S262" s="15" t="inlineStr">
        <is>
          <t>Its 2026 partner list names suppliers for the whole envelope, so a printed wall would replace part of a supply commitment.</t>
        </is>
      </c>
      <c r="T262" s="12" t="inlineStr"/>
      <c r="U262" s="15" t="inlineStr">
        <is>
          <t>Chief Executive Officer, David Weekley Homes. Houston.</t>
        </is>
      </c>
      <c r="V262" s="12" t="inlineStr"/>
      <c r="W262" s="12" t="inlineStr">
        <is>
          <t>https://www.linkedin.com/company/david-weekley-homes</t>
        </is>
      </c>
      <c r="X262" s="12" t="inlineStr">
        <is>
          <t>https://www.davidweekleyhomes.com/about-us/meet-the-team</t>
        </is>
      </c>
      <c r="Y262" s="12" t="inlineStr"/>
      <c r="Z262" s="12" t="inlineStr">
        <is>
          <t>(844) 777-3717</t>
        </is>
      </c>
      <c r="AA262" s="12" t="inlineStr"/>
      <c r="AB262" s="12" t="inlineStr">
        <is>
          <t>https://www.davidweekleyhomes.com/</t>
        </is>
      </c>
      <c r="AC262" s="12" t="inlineStr"/>
      <c r="AD262" s="12" t="inlineStr"/>
    </row>
    <row r="263">
      <c r="A263" s="6" t="inlineStr">
        <is>
          <t>Chris Weekley</t>
        </is>
      </c>
      <c r="B263" s="6" t="inlineStr">
        <is>
          <t>David Weekley Homes</t>
        </is>
      </c>
      <c r="C263" s="6" t="inlineStr">
        <is>
          <t>President and Vice Chairman</t>
        </is>
      </c>
      <c r="D263" s="7" t="inlineStr">
        <is>
          <t>National builder</t>
        </is>
      </c>
      <c r="E263" s="8" t="n">
        <v>2</v>
      </c>
      <c r="F263" s="6" t="inlineStr">
        <is>
          <t>Buys walls</t>
        </is>
      </c>
      <c r="G263" s="6" t="inlineStr">
        <is>
          <t>Houston HQ, Harris County</t>
        </is>
      </c>
      <c r="H263" s="6" t="inlineStr">
        <is>
          <t>125,000+ homes, 19 markets, Houston HQ</t>
        </is>
      </c>
      <c r="I263" s="8" t="inlineStr">
        <is>
          <t>Yes</t>
        </is>
      </c>
      <c r="J263" s="9" t="inlineStr">
        <is>
          <t>Home market. Builds across the metro.</t>
        </is>
      </c>
      <c r="K263" s="8" t="inlineStr">
        <is>
          <t>No</t>
        </is>
      </c>
      <c r="L263" s="9" t="inlineStr">
        <is>
          <t>National builder, national supply chain.</t>
        </is>
      </c>
      <c r="M263" s="8" t="inlineStr">
        <is>
          <t>Partly</t>
        </is>
      </c>
      <c r="N263" s="9" t="inlineStr">
        <is>
          <t>Named suppliers for the whole envelope in 2026. A supply commitment, no method.</t>
        </is>
      </c>
      <c r="O263" s="10" t="inlineStr"/>
      <c r="P263" s="6">
        <f>HYPERLINK("https://www.linkedin.com/search/results/people/?keywords=Chris%20Weekley%20David%20Weekley%20Homes","search")</f>
        <v/>
      </c>
      <c r="Q263" s="11">
        <f>IF(O263="","ADD LINKEDIN","ok")</f>
        <v/>
      </c>
      <c r="R263" s="6" t="inlineStr">
        <is>
          <t>https://www.davidweekleyhomes.com/</t>
        </is>
      </c>
      <c r="S263" s="9" t="inlineStr">
        <is>
          <t>Its 2026 partner list names suppliers for the whole envelope, so a printed wall would replace part of a supply commitment.</t>
        </is>
      </c>
      <c r="T263" s="6" t="inlineStr"/>
      <c r="U263" s="9" t="inlineStr">
        <is>
          <t>Firm's page credits him with innovation and developer relationships.</t>
        </is>
      </c>
      <c r="V263" s="6" t="inlineStr">
        <is>
          <t>https://www.davidweekleyhomes.com/about-us/meet-the-team</t>
        </is>
      </c>
      <c r="W263" s="6" t="inlineStr">
        <is>
          <t>https://www.linkedin.com/company/david-weekley-homes</t>
        </is>
      </c>
      <c r="X263" s="6" t="inlineStr">
        <is>
          <t>https://www.davidweekleyhomes.com/about-us/meet-the-team</t>
        </is>
      </c>
      <c r="Y263" s="6" t="inlineStr"/>
      <c r="Z263" s="6" t="inlineStr">
        <is>
          <t>(844) 777-3717</t>
        </is>
      </c>
      <c r="AA263" s="6" t="inlineStr"/>
      <c r="AB263" s="6" t="inlineStr">
        <is>
          <t>https://www.davidweekleyhomes.com/</t>
        </is>
      </c>
      <c r="AC263" s="6" t="inlineStr"/>
      <c r="AD263" s="6" t="inlineStr"/>
    </row>
    <row r="264">
      <c r="A264" s="12" t="inlineStr">
        <is>
          <t>David Weekley</t>
        </is>
      </c>
      <c r="B264" s="12" t="inlineStr">
        <is>
          <t>David Weekley Homes</t>
        </is>
      </c>
      <c r="C264" s="12" t="inlineStr">
        <is>
          <t>Chairman and Founder</t>
        </is>
      </c>
      <c r="D264" s="13" t="inlineStr">
        <is>
          <t>National builder</t>
        </is>
      </c>
      <c r="E264" s="14" t="n">
        <v>2</v>
      </c>
      <c r="F264" s="12" t="inlineStr">
        <is>
          <t>Buys walls</t>
        </is>
      </c>
      <c r="G264" s="12" t="inlineStr">
        <is>
          <t>Houston HQ, Harris County</t>
        </is>
      </c>
      <c r="H264" s="12" t="inlineStr">
        <is>
          <t>125,000+ homes, 19 markets, Houston HQ</t>
        </is>
      </c>
      <c r="I264" s="14" t="inlineStr">
        <is>
          <t>Yes</t>
        </is>
      </c>
      <c r="J264" s="15" t="inlineStr">
        <is>
          <t>Home market. Builds across the metro.</t>
        </is>
      </c>
      <c r="K264" s="14" t="inlineStr">
        <is>
          <t>No</t>
        </is>
      </c>
      <c r="L264" s="15" t="inlineStr">
        <is>
          <t>National builder, national supply chain.</t>
        </is>
      </c>
      <c r="M264" s="14" t="inlineStr">
        <is>
          <t>Partly</t>
        </is>
      </c>
      <c r="N264" s="15" t="inlineStr">
        <is>
          <t>Named suppliers for the whole envelope in 2026. A supply commitment, no method.</t>
        </is>
      </c>
      <c r="O264" s="10" t="inlineStr"/>
      <c r="P264" s="12">
        <f>HYPERLINK("https://www.linkedin.com/search/results/people/?keywords=David%20Weekley%20David%20Weekley%20Homes","search")</f>
        <v/>
      </c>
      <c r="Q264" s="16">
        <f>IF(O264="","ADD LINKEDIN","ok")</f>
        <v/>
      </c>
      <c r="R264" s="12" t="inlineStr">
        <is>
          <t>https://www.davidweekleyhomes.com/</t>
        </is>
      </c>
      <c r="S264" s="15" t="inlineStr">
        <is>
          <t>Its 2026 partner list names suppliers for the whole envelope, so a printed wall would replace part of a supply commitment.</t>
        </is>
      </c>
      <c r="T264" s="12" t="inlineStr"/>
      <c r="U264" s="15" t="inlineStr">
        <is>
          <t>Started the company in 1976 at twenty-three.</t>
        </is>
      </c>
      <c r="V264" s="12" t="inlineStr">
        <is>
          <t>https://www.davidweekleyhomes.com/about-us/meet-the-team</t>
        </is>
      </c>
      <c r="W264" s="12" t="inlineStr">
        <is>
          <t>https://www.linkedin.com/company/david-weekley-homes</t>
        </is>
      </c>
      <c r="X264" s="12" t="inlineStr">
        <is>
          <t>https://www.davidweekleyhomes.com/about-us/meet-the-team</t>
        </is>
      </c>
      <c r="Y264" s="12" t="inlineStr"/>
      <c r="Z264" s="12" t="inlineStr">
        <is>
          <t>(844) 777-3717</t>
        </is>
      </c>
      <c r="AA264" s="12" t="inlineStr"/>
      <c r="AB264" s="12" t="inlineStr">
        <is>
          <t>https://www.davidweekleyhomes.com/</t>
        </is>
      </c>
      <c r="AC264" s="12" t="inlineStr"/>
      <c r="AD264" s="12" t="inlineStr"/>
    </row>
    <row r="265">
      <c r="A265" s="6" t="inlineStr">
        <is>
          <t>John Schiegg</t>
        </is>
      </c>
      <c r="B265" s="6" t="inlineStr">
        <is>
          <t>David Weekley Homes</t>
        </is>
      </c>
      <c r="C265" s="6" t="inlineStr">
        <is>
          <t>Vice President of Purchasing and Supply Chain, David Weekley Homes</t>
        </is>
      </c>
      <c r="D265" s="7" t="inlineStr">
        <is>
          <t>National builder</t>
        </is>
      </c>
      <c r="E265" s="8" t="n">
        <v>2</v>
      </c>
      <c r="F265" s="6" t="inlineStr">
        <is>
          <t>Buys walls</t>
        </is>
      </c>
      <c r="G265" s="6" t="inlineStr">
        <is>
          <t>Houston HQ, Harris County</t>
        </is>
      </c>
      <c r="H265" s="6" t="inlineStr">
        <is>
          <t>125,000+ homes, 19 markets, Houston HQ</t>
        </is>
      </c>
      <c r="I265" s="8" t="inlineStr">
        <is>
          <t>Yes</t>
        </is>
      </c>
      <c r="J265" s="9" t="inlineStr">
        <is>
          <t>Home market. Builds across the metro.</t>
        </is>
      </c>
      <c r="K265" s="8" t="inlineStr">
        <is>
          <t>No</t>
        </is>
      </c>
      <c r="L265" s="9" t="inlineStr">
        <is>
          <t>National builder, national supply chain.</t>
        </is>
      </c>
      <c r="M265" s="8" t="inlineStr">
        <is>
          <t>Partly</t>
        </is>
      </c>
      <c r="N265" s="9" t="inlineStr">
        <is>
          <t>Named suppliers for the whole envelope in 2026. A supply commitment, no method.</t>
        </is>
      </c>
      <c r="O265" s="6" t="inlineStr">
        <is>
          <t>https://www.linkedin.com/in/john-schiegg-7593996/</t>
        </is>
      </c>
      <c r="P265" s="6" t="inlineStr"/>
      <c r="Q265" s="11">
        <f>IF(O265="","ADD LINKEDIN","ok")</f>
        <v/>
      </c>
      <c r="R265" s="6" t="inlineStr">
        <is>
          <t>https://www.davidweekleyhomes.com/</t>
        </is>
      </c>
      <c r="S265" s="9" t="inlineStr">
        <is>
          <t>Its 2026 partner list names suppliers for the whole envelope, so a printed wall would replace part of a supply commitment.</t>
        </is>
      </c>
      <c r="T265" s="6" t="inlineStr">
        <is>
          <t>YES</t>
        </is>
      </c>
      <c r="U265" s="9" t="inlineStr">
        <is>
          <t>David Weekley Homes, Houston.</t>
        </is>
      </c>
      <c r="V265" s="6" t="inlineStr">
        <is>
          <t>https://www.prnewswire.com/news-releases/david-weekley-homes-announces-2026-national-preferred-partners-302809074.html</t>
        </is>
      </c>
      <c r="W265" s="6" t="inlineStr">
        <is>
          <t>https://www.linkedin.com/company/david-weekley-homes</t>
        </is>
      </c>
      <c r="X265" s="6" t="inlineStr">
        <is>
          <t>https://www.davidweekleyhomes.com/about-us/meet-the-team</t>
        </is>
      </c>
      <c r="Y265" s="6" t="inlineStr"/>
      <c r="Z265" s="6" t="inlineStr">
        <is>
          <t>(844) 777-3717</t>
        </is>
      </c>
      <c r="AA265" s="6" t="inlineStr"/>
      <c r="AB265" s="6" t="inlineStr">
        <is>
          <t>https://www.davidweekleyhomes.com/</t>
        </is>
      </c>
      <c r="AC265" s="6" t="inlineStr"/>
      <c r="AD265" s="6" t="inlineStr"/>
    </row>
    <row r="266">
      <c r="A266" s="12" t="inlineStr">
        <is>
          <t>Ladd Fargo</t>
        </is>
      </c>
      <c r="B266" s="12" t="inlineStr">
        <is>
          <t>David Weekley Homes</t>
        </is>
      </c>
      <c r="C266" s="12" t="inlineStr">
        <is>
          <t>Chief Operating Officer, David Weekley Homes</t>
        </is>
      </c>
      <c r="D266" s="13" t="inlineStr">
        <is>
          <t>National builder</t>
        </is>
      </c>
      <c r="E266" s="14" t="n">
        <v>2</v>
      </c>
      <c r="F266" s="12" t="inlineStr">
        <is>
          <t>Buys walls</t>
        </is>
      </c>
      <c r="G266" s="12" t="inlineStr">
        <is>
          <t>Houston HQ, Harris County</t>
        </is>
      </c>
      <c r="H266" s="12" t="inlineStr">
        <is>
          <t>125,000+ homes, 19 markets, Houston HQ</t>
        </is>
      </c>
      <c r="I266" s="14" t="inlineStr">
        <is>
          <t>Yes</t>
        </is>
      </c>
      <c r="J266" s="15" t="inlineStr">
        <is>
          <t>Home market. Builds across the metro.</t>
        </is>
      </c>
      <c r="K266" s="14" t="inlineStr">
        <is>
          <t>No</t>
        </is>
      </c>
      <c r="L266" s="15" t="inlineStr">
        <is>
          <t>National builder, national supply chain.</t>
        </is>
      </c>
      <c r="M266" s="14" t="inlineStr">
        <is>
          <t>Partly</t>
        </is>
      </c>
      <c r="N266" s="15" t="inlineStr">
        <is>
          <t>Named suppliers for the whole envelope in 2026. A supply commitment, no method.</t>
        </is>
      </c>
      <c r="O266" s="6" t="inlineStr">
        <is>
          <t>https://www.linkedin.com/in/ladd-fargo-241a47259/</t>
        </is>
      </c>
      <c r="P266" s="12" t="inlineStr"/>
      <c r="Q266" s="16">
        <f>IF(O266="","ADD LINKEDIN","ok")</f>
        <v/>
      </c>
      <c r="R266" s="12" t="inlineStr">
        <is>
          <t>https://www.davidweekleyhomes.com/</t>
        </is>
      </c>
      <c r="S266" s="15" t="inlineStr">
        <is>
          <t>Its 2026 partner list names suppliers for the whole envelope, so a printed wall would replace part of a supply commitment.</t>
        </is>
      </c>
      <c r="T266" s="12" t="inlineStr"/>
      <c r="U266" s="15" t="inlineStr"/>
      <c r="V266" s="12" t="inlineStr"/>
      <c r="W266" s="12" t="inlineStr">
        <is>
          <t>https://www.linkedin.com/company/david-weekley-homes</t>
        </is>
      </c>
      <c r="X266" s="12" t="inlineStr">
        <is>
          <t>https://www.davidweekleyhomes.com/about-us/meet-the-team</t>
        </is>
      </c>
      <c r="Y266" s="12" t="inlineStr"/>
      <c r="Z266" s="12" t="inlineStr">
        <is>
          <t>(844) 777-3717</t>
        </is>
      </c>
      <c r="AA266" s="12" t="inlineStr"/>
      <c r="AB266" s="12" t="inlineStr">
        <is>
          <t>https://www.davidweekleyhomes.com/</t>
        </is>
      </c>
      <c r="AC266" s="12" t="inlineStr"/>
      <c r="AD266" s="12" t="inlineStr"/>
    </row>
    <row r="267">
      <c r="A267" s="6" t="inlineStr">
        <is>
          <t>Saun Sullivan</t>
        </is>
      </c>
      <c r="B267" s="6" t="inlineStr">
        <is>
          <t>DSLD Homes</t>
        </is>
      </c>
      <c r="C267" s="6" t="inlineStr">
        <is>
          <t>Chief Executive Officer</t>
        </is>
      </c>
      <c r="D267" s="7" t="inlineStr">
        <is>
          <t>National builder</t>
        </is>
      </c>
      <c r="E267" s="8" t="n">
        <v>1</v>
      </c>
      <c r="F267" s="6" t="inlineStr">
        <is>
          <t>Buys walls</t>
        </is>
      </c>
      <c r="G267" s="6" t="inlineStr">
        <is>
          <t>Baton Rouge HQ / Bonney, Magnolia, Montgomery</t>
        </is>
      </c>
      <c r="H267" s="6" t="inlineStr">
        <is>
          <t>3,989 closings company-wide in 2025, three Houston communities</t>
        </is>
      </c>
      <c r="I267" s="8" t="inlineStr">
        <is>
          <t>Yes</t>
        </is>
      </c>
      <c r="J267" s="9" t="inlineStr">
        <is>
          <t>One plan library across six states.</t>
        </is>
      </c>
      <c r="K267" s="8" t="inlineStr">
        <is>
          <t>No</t>
        </is>
      </c>
      <c r="L267" s="9" t="inlineStr">
        <is>
          <t>3,989 closings a year, above what one or two printers cover. Houston is three communities.</t>
        </is>
      </c>
      <c r="M267" s="8" t="inlineStr">
        <is>
          <t>No</t>
        </is>
      </c>
      <c r="N267" s="9" t="inlineStr">
        <is>
          <t>Claims energy efficiency and structural excellence. No method named.</t>
        </is>
      </c>
      <c r="O267" s="10" t="inlineStr"/>
      <c r="P267" s="6">
        <f>HYPERLINK("https://www.linkedin.com/search/results/people/?keywords=Saun%20Sullivan%20DSLD%20Homes","search")</f>
        <v/>
      </c>
      <c r="Q267" s="11">
        <f>IF(O267="","ADD LINKEDIN","ok")</f>
        <v/>
      </c>
      <c r="R267" s="6" t="inlineStr">
        <is>
          <t>https://www.dsldhomes.com/</t>
        </is>
      </c>
      <c r="S267" s="9" t="inlineStr">
        <is>
          <t>One plan library runs across six states, but no Texas or Houston division head is published to call.</t>
        </is>
      </c>
      <c r="T267" s="6" t="inlineStr"/>
      <c r="U267" s="9" t="inlineStr"/>
      <c r="V267" s="6" t="inlineStr">
        <is>
          <t>https://www.builderonline.com/firms/dsld-homes/</t>
        </is>
      </c>
      <c r="W267" s="6" t="inlineStr"/>
      <c r="X267" s="6" t="inlineStr"/>
      <c r="Y267" s="6" t="inlineStr"/>
      <c r="Z267" s="6" t="inlineStr">
        <is>
          <t>(844) 767-2713</t>
        </is>
      </c>
      <c r="AA267" s="6" t="inlineStr">
        <is>
          <t>main office, Baton Rouge</t>
        </is>
      </c>
      <c r="AB267" s="6" t="inlineStr">
        <is>
          <t>https://www.dsldhomes.com/</t>
        </is>
      </c>
      <c r="AC267" s="6" t="inlineStr"/>
      <c r="AD267" s="6" t="inlineStr"/>
    </row>
    <row r="268">
      <c r="A268" s="12" t="inlineStr">
        <is>
          <t>Eric Lipar</t>
        </is>
      </c>
      <c r="B268" s="12" t="inlineStr">
        <is>
          <t>LGI Homes, Inc.</t>
        </is>
      </c>
      <c r="C268" s="12" t="inlineStr">
        <is>
          <t>Chief Executive Officer and Chairman of the Board</t>
        </is>
      </c>
      <c r="D268" s="13" t="inlineStr">
        <is>
          <t>National builder</t>
        </is>
      </c>
      <c r="E268" s="14" t="n">
        <v>1</v>
      </c>
      <c r="F268" s="12" t="inlineStr">
        <is>
          <t>Buys walls</t>
        </is>
      </c>
      <c r="G268" s="12" t="inlineStr">
        <is>
          <t>The Woodlands HQ, Montgomery County</t>
        </is>
      </c>
      <c r="H268" s="12" t="inlineStr">
        <is>
          <t>153 active selling communities, 36 markets, 21 states</t>
        </is>
      </c>
      <c r="I268" s="14" t="inlineStr">
        <is>
          <t>Yes</t>
        </is>
      </c>
      <c r="J268" s="15" t="inlineStr">
        <is>
          <t>153 active selling communities on one systematic plan set.</t>
        </is>
      </c>
      <c r="K268" s="14" t="inlineStr">
        <is>
          <t>No</t>
        </is>
      </c>
      <c r="L268" s="15" t="inlineStr">
        <is>
          <t>Thousands of closings a year across 36 markets in 21 states.</t>
        </is>
      </c>
      <c r="M268" s="14" t="inlineStr">
        <is>
          <t>No</t>
        </is>
      </c>
      <c r="N268" s="15" t="inlineStr">
        <is>
          <t>Nothing on record.</t>
        </is>
      </c>
      <c r="O268" s="10" t="inlineStr"/>
      <c r="P268" s="12">
        <f>HYPERLINK("https://www.linkedin.com/search/results/people/?keywords=Eric%20Lipar%20LGI%20Homes%2C%20Inc.","search")</f>
        <v/>
      </c>
      <c r="Q268" s="16">
        <f>IF(O268="","ADD LINKEDIN","ok")</f>
        <v/>
      </c>
      <c r="R268" s="12" t="inlineStr">
        <is>
          <t>https://www.lgihomes.com/</t>
        </is>
      </c>
      <c r="S268" s="15" t="inlineStr">
        <is>
          <t>One systematic plan set is bought through a national purchasing function, and its Q2 2026 call never mentions method.</t>
        </is>
      </c>
      <c r="T268" s="12" t="inlineStr"/>
      <c r="U268" s="15" t="inlineStr"/>
      <c r="V268" s="12" t="inlineStr">
        <is>
          <t>https://investor.lgihomes.com/corporate-governance/management</t>
        </is>
      </c>
      <c r="W268" s="12" t="inlineStr">
        <is>
          <t>https://www.linkedin.com/company/lgi-homes</t>
        </is>
      </c>
      <c r="X268" s="12" t="inlineStr">
        <is>
          <t>https://investor.lgihomes.com/corporate-governance/management</t>
        </is>
      </c>
      <c r="Y268" s="12" t="inlineStr"/>
      <c r="Z268" s="12" t="inlineStr"/>
      <c r="AA268" s="12" t="inlineStr"/>
      <c r="AB268" s="12" t="inlineStr"/>
      <c r="AC268" s="12" t="inlineStr"/>
      <c r="AD268" s="12" t="inlineStr"/>
    </row>
    <row r="269">
      <c r="A269" s="6" t="inlineStr">
        <is>
          <t>Mike Snider</t>
        </is>
      </c>
      <c r="B269" s="6" t="inlineStr">
        <is>
          <t>LGI Homes, Inc.</t>
        </is>
      </c>
      <c r="C269" s="6" t="inlineStr">
        <is>
          <t>President and Chief Operating Officer</t>
        </is>
      </c>
      <c r="D269" s="7" t="inlineStr">
        <is>
          <t>National builder</t>
        </is>
      </c>
      <c r="E269" s="8" t="n">
        <v>1</v>
      </c>
      <c r="F269" s="6" t="inlineStr">
        <is>
          <t>Buys walls</t>
        </is>
      </c>
      <c r="G269" s="6" t="inlineStr">
        <is>
          <t>The Woodlands HQ, Montgomery County</t>
        </is>
      </c>
      <c r="H269" s="6" t="inlineStr">
        <is>
          <t>153 active selling communities, 36 markets, 21 states</t>
        </is>
      </c>
      <c r="I269" s="8" t="inlineStr">
        <is>
          <t>Yes</t>
        </is>
      </c>
      <c r="J269" s="9" t="inlineStr">
        <is>
          <t>153 active selling communities on one systematic plan set.</t>
        </is>
      </c>
      <c r="K269" s="8" t="inlineStr">
        <is>
          <t>No</t>
        </is>
      </c>
      <c r="L269" s="9" t="inlineStr">
        <is>
          <t>Thousands of closings a year across 36 markets in 21 states.</t>
        </is>
      </c>
      <c r="M269" s="8" t="inlineStr">
        <is>
          <t>No</t>
        </is>
      </c>
      <c r="N269" s="9" t="inlineStr">
        <is>
          <t>Nothing on record.</t>
        </is>
      </c>
      <c r="O269" s="10" t="inlineStr"/>
      <c r="P269" s="6">
        <f>HYPERLINK("https://www.linkedin.com/search/results/people/?keywords=Mike%20Snider%20LGI%20Homes%2C%20Inc.","search")</f>
        <v/>
      </c>
      <c r="Q269" s="11">
        <f>IF(O269="","ADD LINKEDIN","ok")</f>
        <v/>
      </c>
      <c r="R269" s="6" t="inlineStr">
        <is>
          <t>https://www.lgihomes.com/</t>
        </is>
      </c>
      <c r="S269" s="9" t="inlineStr">
        <is>
          <t>One systematic plan set is bought through a national purchasing function, and its Q2 2026 call never mentions method.</t>
        </is>
      </c>
      <c r="T269" s="6" t="inlineStr"/>
      <c r="U269" s="9" t="inlineStr"/>
      <c r="V269" s="6" t="inlineStr">
        <is>
          <t>https://investor.lgihomes.com/corporate-governance/management</t>
        </is>
      </c>
      <c r="W269" s="6" t="inlineStr">
        <is>
          <t>https://www.linkedin.com/company/lgi-homes</t>
        </is>
      </c>
      <c r="X269" s="6" t="inlineStr">
        <is>
          <t>https://investor.lgihomes.com/corporate-governance/management</t>
        </is>
      </c>
      <c r="Y269" s="6" t="inlineStr"/>
      <c r="Z269" s="6" t="inlineStr"/>
      <c r="AA269" s="6" t="inlineStr"/>
      <c r="AB269" s="6" t="inlineStr"/>
      <c r="AC269" s="6" t="inlineStr"/>
      <c r="AD269" s="6" t="inlineStr"/>
    </row>
    <row r="270">
      <c r="A270" s="12" t="inlineStr">
        <is>
          <t>Charles Merdian</t>
        </is>
      </c>
      <c r="B270" s="12" t="inlineStr">
        <is>
          <t>LGI Homes, Inc.</t>
        </is>
      </c>
      <c r="C270" s="12" t="inlineStr">
        <is>
          <t>Chief Financial Officer and Treasurer</t>
        </is>
      </c>
      <c r="D270" s="13" t="inlineStr">
        <is>
          <t>National builder</t>
        </is>
      </c>
      <c r="E270" s="14" t="n">
        <v>1</v>
      </c>
      <c r="F270" s="12" t="inlineStr">
        <is>
          <t>Buys walls</t>
        </is>
      </c>
      <c r="G270" s="12" t="inlineStr">
        <is>
          <t>The Woodlands HQ, Montgomery County</t>
        </is>
      </c>
      <c r="H270" s="12" t="inlineStr">
        <is>
          <t>153 active selling communities, 36 markets, 21 states</t>
        </is>
      </c>
      <c r="I270" s="14" t="inlineStr">
        <is>
          <t>Yes</t>
        </is>
      </c>
      <c r="J270" s="15" t="inlineStr">
        <is>
          <t>153 active selling communities on one systematic plan set.</t>
        </is>
      </c>
      <c r="K270" s="14" t="inlineStr">
        <is>
          <t>No</t>
        </is>
      </c>
      <c r="L270" s="15" t="inlineStr">
        <is>
          <t>Thousands of closings a year across 36 markets in 21 states.</t>
        </is>
      </c>
      <c r="M270" s="14" t="inlineStr">
        <is>
          <t>No</t>
        </is>
      </c>
      <c r="N270" s="15" t="inlineStr">
        <is>
          <t>Nothing on record.</t>
        </is>
      </c>
      <c r="O270" s="10" t="inlineStr"/>
      <c r="P270" s="12">
        <f>HYPERLINK("https://www.linkedin.com/search/results/people/?keywords=Charles%20Merdian%20LGI%20Homes%2C%20Inc.","search")</f>
        <v/>
      </c>
      <c r="Q270" s="16">
        <f>IF(O270="","ADD LINKEDIN","ok")</f>
        <v/>
      </c>
      <c r="R270" s="12" t="inlineStr">
        <is>
          <t>https://www.lgihomes.com/</t>
        </is>
      </c>
      <c r="S270" s="15" t="inlineStr">
        <is>
          <t>One systematic plan set is bought through a national purchasing function, and its Q2 2026 call never mentions method.</t>
        </is>
      </c>
      <c r="T270" s="12" t="inlineStr"/>
      <c r="U270" s="15" t="inlineStr"/>
      <c r="V270" s="12" t="inlineStr">
        <is>
          <t>https://investor.lgihomes.com/corporate-governance/management</t>
        </is>
      </c>
      <c r="W270" s="12" t="inlineStr">
        <is>
          <t>https://www.linkedin.com/company/lgi-homes</t>
        </is>
      </c>
      <c r="X270" s="12" t="inlineStr">
        <is>
          <t>https://investor.lgihomes.com/corporate-governance/management</t>
        </is>
      </c>
      <c r="Y270" s="12" t="inlineStr"/>
      <c r="Z270" s="12" t="inlineStr"/>
      <c r="AA270" s="12" t="inlineStr"/>
      <c r="AB270" s="12" t="inlineStr"/>
      <c r="AC270" s="12" t="inlineStr"/>
      <c r="AD270" s="12" t="inlineStr"/>
    </row>
    <row r="271">
      <c r="A271" s="6" t="inlineStr">
        <is>
          <t>Chuck Collier</t>
        </is>
      </c>
      <c r="B271" s="6" t="inlineStr">
        <is>
          <t>LGI Homes, Inc.</t>
        </is>
      </c>
      <c r="C271" s="6" t="inlineStr">
        <is>
          <t>Vice President of Construction, Houston, LGI Homes</t>
        </is>
      </c>
      <c r="D271" s="7" t="inlineStr">
        <is>
          <t>National builder</t>
        </is>
      </c>
      <c r="E271" s="8" t="n">
        <v>1</v>
      </c>
      <c r="F271" s="6" t="inlineStr">
        <is>
          <t>Buys walls</t>
        </is>
      </c>
      <c r="G271" s="6" t="inlineStr">
        <is>
          <t>The Woodlands HQ, Montgomery County</t>
        </is>
      </c>
      <c r="H271" s="6" t="inlineStr">
        <is>
          <t>153 active selling communities, 36 markets, 21 states</t>
        </is>
      </c>
      <c r="I271" s="8" t="inlineStr">
        <is>
          <t>Yes</t>
        </is>
      </c>
      <c r="J271" s="9" t="inlineStr">
        <is>
          <t>153 active selling communities on one systematic plan set.</t>
        </is>
      </c>
      <c r="K271" s="8" t="inlineStr">
        <is>
          <t>No</t>
        </is>
      </c>
      <c r="L271" s="9" t="inlineStr">
        <is>
          <t>Thousands of closings a year across 36 markets in 21 states.</t>
        </is>
      </c>
      <c r="M271" s="8" t="inlineStr">
        <is>
          <t>No</t>
        </is>
      </c>
      <c r="N271" s="9" t="inlineStr">
        <is>
          <t>Nothing on record.</t>
        </is>
      </c>
      <c r="O271" s="6" t="inlineStr">
        <is>
          <t>https://www.linkedin.com/in/chuck-collier-48286829/</t>
        </is>
      </c>
      <c r="P271" s="6" t="inlineStr"/>
      <c r="Q271" s="11">
        <f>IF(O271="","ADD LINKEDIN","ok")</f>
        <v/>
      </c>
      <c r="R271" s="6" t="inlineStr">
        <is>
          <t>https://www.lgihomes.com/</t>
        </is>
      </c>
      <c r="S271" s="9" t="inlineStr">
        <is>
          <t>One systematic plan set is bought through a national purchasing function, and its Q2 2026 call never mentions method.</t>
        </is>
      </c>
      <c r="T271" s="6" t="inlineStr">
        <is>
          <t>YES</t>
        </is>
      </c>
      <c r="U271" s="9" t="inlineStr">
        <is>
          <t>Own headline: VP of Construction, Houston. Location shows only United States.</t>
        </is>
      </c>
      <c r="V271" s="6" t="inlineStr"/>
      <c r="W271" s="6" t="inlineStr">
        <is>
          <t>https://www.linkedin.com/company/lgi-homes</t>
        </is>
      </c>
      <c r="X271" s="6" t="inlineStr">
        <is>
          <t>https://investor.lgihomes.com/corporate-governance/management</t>
        </is>
      </c>
      <c r="Y271" s="6" t="inlineStr"/>
      <c r="Z271" s="6" t="inlineStr"/>
      <c r="AA271" s="6" t="inlineStr"/>
      <c r="AB271" s="6" t="inlineStr"/>
      <c r="AC271" s="6" t="inlineStr"/>
      <c r="AD271" s="6" t="inlineStr"/>
    </row>
    <row r="272">
      <c r="A272" s="12" t="inlineStr">
        <is>
          <t>Kyle Hanna</t>
        </is>
      </c>
      <c r="B272" s="12" t="inlineStr">
        <is>
          <t>LGI Homes, Inc.</t>
        </is>
      </c>
      <c r="C272" s="12" t="inlineStr">
        <is>
          <t>Vice President of Purchasing, LGI Homes</t>
        </is>
      </c>
      <c r="D272" s="13" t="inlineStr">
        <is>
          <t>National builder</t>
        </is>
      </c>
      <c r="E272" s="14" t="n">
        <v>1</v>
      </c>
      <c r="F272" s="12" t="inlineStr">
        <is>
          <t>Buys walls</t>
        </is>
      </c>
      <c r="G272" s="12" t="inlineStr">
        <is>
          <t>The Woodlands HQ, Montgomery County</t>
        </is>
      </c>
      <c r="H272" s="12" t="inlineStr">
        <is>
          <t>153 active selling communities, 36 markets, 21 states</t>
        </is>
      </c>
      <c r="I272" s="14" t="inlineStr">
        <is>
          <t>Yes</t>
        </is>
      </c>
      <c r="J272" s="15" t="inlineStr">
        <is>
          <t>153 active selling communities on one systematic plan set.</t>
        </is>
      </c>
      <c r="K272" s="14" t="inlineStr">
        <is>
          <t>No</t>
        </is>
      </c>
      <c r="L272" s="15" t="inlineStr">
        <is>
          <t>Thousands of closings a year across 36 markets in 21 states.</t>
        </is>
      </c>
      <c r="M272" s="14" t="inlineStr">
        <is>
          <t>No</t>
        </is>
      </c>
      <c r="N272" s="15" t="inlineStr">
        <is>
          <t>Nothing on record.</t>
        </is>
      </c>
      <c r="O272" s="6" t="inlineStr">
        <is>
          <t>https://www.linkedin.com/in/kylemhanna/</t>
        </is>
      </c>
      <c r="P272" s="12" t="inlineStr"/>
      <c r="Q272" s="16">
        <f>IF(O272="","ADD LINKEDIN","ok")</f>
        <v/>
      </c>
      <c r="R272" s="12" t="inlineStr">
        <is>
          <t>https://www.lgihomes.com/</t>
        </is>
      </c>
      <c r="S272" s="15" t="inlineStr">
        <is>
          <t>One systematic plan set is bought through a national purchasing function, and its Q2 2026 call never mentions method.</t>
        </is>
      </c>
      <c r="T272" s="12" t="inlineStr">
        <is>
          <t>YES</t>
        </is>
      </c>
      <c r="U272" s="15" t="inlineStr">
        <is>
          <t>Conroe, the head office. Construction vice presidents sit in the markets. Purchasing sits in Greater Houston.</t>
        </is>
      </c>
      <c r="V272" s="12" t="inlineStr"/>
      <c r="W272" s="12" t="inlineStr">
        <is>
          <t>https://www.linkedin.com/company/lgi-homes</t>
        </is>
      </c>
      <c r="X272" s="12" t="inlineStr">
        <is>
          <t>https://investor.lgihomes.com/corporate-governance/management</t>
        </is>
      </c>
      <c r="Y272" s="12" t="inlineStr"/>
      <c r="Z272" s="12" t="inlineStr"/>
      <c r="AA272" s="12" t="inlineStr"/>
      <c r="AB272" s="12" t="inlineStr"/>
      <c r="AC272" s="12" t="inlineStr"/>
      <c r="AD272" s="12" t="inlineStr"/>
    </row>
    <row r="273">
      <c r="A273" s="6" t="inlineStr">
        <is>
          <t>Bob Schottenstein</t>
        </is>
      </c>
      <c r="B273" s="6" t="inlineStr">
        <is>
          <t>M/I Homes, Inc.</t>
        </is>
      </c>
      <c r="C273" s="6" t="inlineStr">
        <is>
          <t>Chief Executive Officer</t>
        </is>
      </c>
      <c r="D273" s="7" t="inlineStr">
        <is>
          <t>National builder</t>
        </is>
      </c>
      <c r="E273" s="8" t="n">
        <v>1</v>
      </c>
      <c r="F273" s="6" t="inlineStr">
        <is>
          <t>Buys walls</t>
        </is>
      </c>
      <c r="G273" s="6" t="inlineStr">
        <is>
          <t>Columbus HQ / Liberty, Harris</t>
        </is>
      </c>
      <c r="H273" s="6" t="inlineStr">
        <is>
          <t>3 Houston land deals in 6 months</t>
        </is>
      </c>
      <c r="I273" s="8" t="inlineStr">
        <is>
          <t>Yes</t>
        </is>
      </c>
      <c r="J273" s="9" t="inlineStr">
        <is>
          <t>1,000 homes at Trinity Landing. Three Houston land deals in six months.</t>
        </is>
      </c>
      <c r="K273" s="8" t="inlineStr">
        <is>
          <t>No</t>
        </is>
      </c>
      <c r="L273" s="9" t="inlineStr">
        <is>
          <t>A national builder, bought centrally.</t>
        </is>
      </c>
      <c r="M273" s="8" t="inlineStr">
        <is>
          <t>No</t>
        </is>
      </c>
      <c r="N273" s="9" t="inlineStr">
        <is>
          <t>CEO cites shorter cycle time. No cause given.</t>
        </is>
      </c>
      <c r="O273" s="10" t="inlineStr"/>
      <c r="P273" s="6">
        <f>HYPERLINK("https://www.linkedin.com/search/results/people/?keywords=Bob%20Schottenstein%20M/I%20Homes%2C%20Inc.","search")</f>
        <v/>
      </c>
      <c r="Q273" s="11">
        <f>IF(O273="","ADD LINKEDIN","ok")</f>
        <v/>
      </c>
      <c r="R273" s="6" t="inlineStr">
        <is>
          <t>https://www.mihomes.com/</t>
        </is>
      </c>
      <c r="S273" s="9" t="inlineStr">
        <is>
          <t>Buys centrally as a national builder, but its Houston division, under a named president, plans 1,000 homes at Trinity Landing.</t>
        </is>
      </c>
      <c r="T273" s="6" t="inlineStr"/>
      <c r="U273" s="9" t="inlineStr">
        <is>
          <t>Chairman. CEO since January 2004. M/I officers page.</t>
        </is>
      </c>
      <c r="V273" s="6" t="inlineStr">
        <is>
          <t>https://investors.mihomes.com/investor-relations/officers-directors/default.aspx</t>
        </is>
      </c>
      <c r="W273" s="6" t="inlineStr">
        <is>
          <t>https://www.linkedin.com/company/mihomes/</t>
        </is>
      </c>
      <c r="X273" s="6" t="inlineStr">
        <is>
          <t>https://investors.mihomes.com/investor-relations/officers-directors/default.aspx</t>
        </is>
      </c>
      <c r="Y273" s="6" t="inlineStr"/>
      <c r="Z273" s="6" t="inlineStr"/>
      <c r="AA273" s="6" t="inlineStr"/>
      <c r="AB273" s="6" t="inlineStr"/>
      <c r="AC273" s="6" t="inlineStr"/>
      <c r="AD273" s="6" t="inlineStr"/>
    </row>
    <row r="274">
      <c r="A274" s="12" t="inlineStr">
        <is>
          <t>Jay McManus</t>
        </is>
      </c>
      <c r="B274" s="12" t="inlineStr">
        <is>
          <t>M/I Homes, Inc.</t>
        </is>
      </c>
      <c r="C274" s="12" t="inlineStr">
        <is>
          <t>Houston Division President</t>
        </is>
      </c>
      <c r="D274" s="13" t="inlineStr">
        <is>
          <t>National builder</t>
        </is>
      </c>
      <c r="E274" s="14" t="n">
        <v>1</v>
      </c>
      <c r="F274" s="12" t="inlineStr">
        <is>
          <t>Buys walls</t>
        </is>
      </c>
      <c r="G274" s="12" t="inlineStr">
        <is>
          <t>Columbus HQ / Liberty, Harris</t>
        </is>
      </c>
      <c r="H274" s="12" t="inlineStr">
        <is>
          <t>3 Houston land deals in 6 months</t>
        </is>
      </c>
      <c r="I274" s="14" t="inlineStr">
        <is>
          <t>Yes</t>
        </is>
      </c>
      <c r="J274" s="15" t="inlineStr">
        <is>
          <t>1,000 homes at Trinity Landing. Three Houston land deals in six months.</t>
        </is>
      </c>
      <c r="K274" s="14" t="inlineStr">
        <is>
          <t>No</t>
        </is>
      </c>
      <c r="L274" s="15" t="inlineStr">
        <is>
          <t>A national builder, bought centrally.</t>
        </is>
      </c>
      <c r="M274" s="14" t="inlineStr">
        <is>
          <t>No</t>
        </is>
      </c>
      <c r="N274" s="15" t="inlineStr">
        <is>
          <t>CEO cites shorter cycle time. No cause given.</t>
        </is>
      </c>
      <c r="O274" s="10" t="inlineStr"/>
      <c r="P274" s="12">
        <f>HYPERLINK("https://www.linkedin.com/search/results/people/?keywords=Jay%20McManus%20M/I%20Homes%2C%20Inc.","search")</f>
        <v/>
      </c>
      <c r="Q274" s="16">
        <f>IF(O274="","ADD LINKEDIN","ok")</f>
        <v/>
      </c>
      <c r="R274" s="12" t="inlineStr">
        <is>
          <t>https://www.mihomes.com/</t>
        </is>
      </c>
      <c r="S274" s="15" t="inlineStr">
        <is>
          <t>Buys centrally as a national builder, but its Houston division, under a named president, plans 1,000 homes at Trinity Landing.</t>
        </is>
      </c>
      <c r="T274" s="12" t="inlineStr">
        <is>
          <t>YES</t>
        </is>
      </c>
      <c r="U274" s="15" t="inlineStr">
        <is>
          <t>Trade coverage of the Houston expansion. M/I's site names corporate officers only.</t>
        </is>
      </c>
      <c r="V274" s="12" t="inlineStr">
        <is>
          <t>https://houstonagentmagazine.com/2021/08/23/m-i-homes-to-double-presence-in-houston-area/</t>
        </is>
      </c>
      <c r="W274" s="12" t="inlineStr">
        <is>
          <t>https://www.linkedin.com/company/mihomes/</t>
        </is>
      </c>
      <c r="X274" s="12" t="inlineStr">
        <is>
          <t>https://investors.mihomes.com/investor-relations/officers-directors/default.aspx</t>
        </is>
      </c>
      <c r="Y274" s="12" t="inlineStr"/>
      <c r="Z274" s="12" t="inlineStr"/>
      <c r="AA274" s="12" t="inlineStr"/>
      <c r="AB274" s="12" t="inlineStr"/>
      <c r="AC274" s="12" t="inlineStr"/>
      <c r="AD274" s="12" t="inlineStr"/>
    </row>
    <row r="275">
      <c r="A275" s="6" t="inlineStr">
        <is>
          <t>Patrick Mayhan</t>
        </is>
      </c>
      <c r="B275" s="6" t="inlineStr">
        <is>
          <t>M/I Homes, Inc.</t>
        </is>
      </c>
      <c r="C275" s="6" t="inlineStr">
        <is>
          <t>Vice President of Purchasing, M/I Homes</t>
        </is>
      </c>
      <c r="D275" s="7" t="inlineStr">
        <is>
          <t>National builder</t>
        </is>
      </c>
      <c r="E275" s="8" t="n">
        <v>1</v>
      </c>
      <c r="F275" s="6" t="inlineStr">
        <is>
          <t>Buys walls</t>
        </is>
      </c>
      <c r="G275" s="6" t="inlineStr">
        <is>
          <t>Columbus HQ / Liberty, Harris</t>
        </is>
      </c>
      <c r="H275" s="6" t="inlineStr">
        <is>
          <t>3 Houston land deals in 6 months</t>
        </is>
      </c>
      <c r="I275" s="8" t="inlineStr">
        <is>
          <t>Yes</t>
        </is>
      </c>
      <c r="J275" s="9" t="inlineStr">
        <is>
          <t>1,000 homes at Trinity Landing. Three Houston land deals in six months.</t>
        </is>
      </c>
      <c r="K275" s="8" t="inlineStr">
        <is>
          <t>No</t>
        </is>
      </c>
      <c r="L275" s="9" t="inlineStr">
        <is>
          <t>A national builder, bought centrally.</t>
        </is>
      </c>
      <c r="M275" s="8" t="inlineStr">
        <is>
          <t>No</t>
        </is>
      </c>
      <c r="N275" s="9" t="inlineStr">
        <is>
          <t>CEO cites shorter cycle time. No cause given.</t>
        </is>
      </c>
      <c r="O275" s="6" t="inlineStr">
        <is>
          <t>https://www.linkedin.com/in/patrick-mayhan-5591478/</t>
        </is>
      </c>
      <c r="P275" s="6" t="inlineStr"/>
      <c r="Q275" s="11">
        <f>IF(O275="","ADD LINKEDIN","ok")</f>
        <v/>
      </c>
      <c r="R275" s="6" t="inlineStr">
        <is>
          <t>https://www.mihomes.com/</t>
        </is>
      </c>
      <c r="S275" s="9" t="inlineStr">
        <is>
          <t>Buys centrally as a national builder, but its Houston division, under a named president, plans 1,000 homes at Trinity Landing.</t>
        </is>
      </c>
      <c r="T275" s="6" t="inlineStr">
        <is>
          <t>YES</t>
        </is>
      </c>
      <c r="U275" s="9" t="inlineStr">
        <is>
          <t>Houston. His title carries the corporate entity. Randy Barras's carries the Houston division.</t>
        </is>
      </c>
      <c r="V275" s="6" t="inlineStr"/>
      <c r="W275" s="6" t="inlineStr">
        <is>
          <t>https://www.linkedin.com/company/mihomes/</t>
        </is>
      </c>
      <c r="X275" s="6" t="inlineStr">
        <is>
          <t>https://investors.mihomes.com/investor-relations/officers-directors/default.aspx</t>
        </is>
      </c>
      <c r="Y275" s="6" t="inlineStr"/>
      <c r="Z275" s="6" t="inlineStr"/>
      <c r="AA275" s="6" t="inlineStr"/>
      <c r="AB275" s="6" t="inlineStr"/>
      <c r="AC275" s="6" t="inlineStr"/>
      <c r="AD275" s="6" t="inlineStr"/>
    </row>
    <row r="276">
      <c r="A276" s="12" t="inlineStr">
        <is>
          <t>Randy Barras</t>
        </is>
      </c>
      <c r="B276" s="12" t="inlineStr">
        <is>
          <t>M/I Homes, Inc.</t>
        </is>
      </c>
      <c r="C276" s="12" t="inlineStr">
        <is>
          <t>Vice President of Purchasing, M/I Homes Houston</t>
        </is>
      </c>
      <c r="D276" s="13" t="inlineStr">
        <is>
          <t>National builder</t>
        </is>
      </c>
      <c r="E276" s="14" t="n">
        <v>1</v>
      </c>
      <c r="F276" s="12" t="inlineStr">
        <is>
          <t>Buys walls</t>
        </is>
      </c>
      <c r="G276" s="12" t="inlineStr">
        <is>
          <t>Columbus HQ / Liberty, Harris</t>
        </is>
      </c>
      <c r="H276" s="12" t="inlineStr">
        <is>
          <t>3 Houston land deals in 6 months</t>
        </is>
      </c>
      <c r="I276" s="14" t="inlineStr">
        <is>
          <t>Yes</t>
        </is>
      </c>
      <c r="J276" s="15" t="inlineStr">
        <is>
          <t>1,000 homes at Trinity Landing. Three Houston land deals in six months.</t>
        </is>
      </c>
      <c r="K276" s="14" t="inlineStr">
        <is>
          <t>No</t>
        </is>
      </c>
      <c r="L276" s="15" t="inlineStr">
        <is>
          <t>A national builder, bought centrally.</t>
        </is>
      </c>
      <c r="M276" s="14" t="inlineStr">
        <is>
          <t>No</t>
        </is>
      </c>
      <c r="N276" s="15" t="inlineStr">
        <is>
          <t>CEO cites shorter cycle time. No cause given.</t>
        </is>
      </c>
      <c r="O276" s="6" t="inlineStr">
        <is>
          <t>https://www.linkedin.com/in/rbarras/</t>
        </is>
      </c>
      <c r="P276" s="12" t="inlineStr"/>
      <c r="Q276" s="16">
        <f>IF(O276="","ADD LINKEDIN","ok")</f>
        <v/>
      </c>
      <c r="R276" s="12" t="inlineStr">
        <is>
          <t>https://www.mihomes.com/</t>
        </is>
      </c>
      <c r="S276" s="15" t="inlineStr">
        <is>
          <t>Buys centrally as a national builder, but its Houston division, under a named president, plans 1,000 homes at Trinity Landing.</t>
        </is>
      </c>
      <c r="T276" s="12" t="inlineStr">
        <is>
          <t>YES</t>
        </is>
      </c>
      <c r="U276" s="15" t="inlineStr"/>
      <c r="V276" s="12" t="inlineStr"/>
      <c r="W276" s="12" t="inlineStr">
        <is>
          <t>https://www.linkedin.com/company/mihomes/</t>
        </is>
      </c>
      <c r="X276" s="12" t="inlineStr">
        <is>
          <t>https://investors.mihomes.com/investor-relations/officers-directors/default.aspx</t>
        </is>
      </c>
      <c r="Y276" s="12" t="inlineStr"/>
      <c r="Z276" s="12" t="inlineStr"/>
      <c r="AA276" s="12" t="inlineStr"/>
      <c r="AB276" s="12" t="inlineStr"/>
      <c r="AC276" s="12" t="inlineStr"/>
      <c r="AD276" s="12" t="inlineStr"/>
    </row>
    <row r="277">
      <c r="A277" s="6" t="inlineStr">
        <is>
          <t>Darin Rowe</t>
        </is>
      </c>
      <c r="B277" s="6" t="inlineStr">
        <is>
          <t>Taylor Morrison Home Corporation</t>
        </is>
      </c>
      <c r="C277" s="6" t="inlineStr">
        <is>
          <t>National President, Build-to-Rent</t>
        </is>
      </c>
      <c r="D277" s="7" t="inlineStr">
        <is>
          <t>National builder</t>
        </is>
      </c>
      <c r="E277" s="8" t="n">
        <v>1</v>
      </c>
      <c r="F277" s="6" t="inlineStr">
        <is>
          <t>Buys walls</t>
        </is>
      </c>
      <c r="G277" s="6" t="inlineStr">
        <is>
          <t>Scottsdale HQ / Harris County</t>
        </is>
      </c>
      <c r="H277" s="6" t="inlineStr">
        <is>
          <t>240-home Houston BTR community</t>
        </is>
      </c>
      <c r="I277" s="8" t="inlineStr">
        <is>
          <t>Yes</t>
        </is>
      </c>
      <c r="J277" s="9" t="inlineStr">
        <is>
          <t>A 240-home Houston build-to-rent community and a dedicated brand.</t>
        </is>
      </c>
      <c r="K277" s="8" t="inlineStr">
        <is>
          <t>No</t>
        </is>
      </c>
      <c r="L277" s="9" t="inlineStr">
        <is>
          <t>National builder, national rental brand.</t>
        </is>
      </c>
      <c r="M277" s="8" t="inlineStr">
        <is>
          <t>No</t>
        </is>
      </c>
      <c r="N277" s="9" t="inlineStr">
        <is>
          <t>Yardly retrospective cites input costs. No method detail.</t>
        </is>
      </c>
      <c r="O277" s="10" t="inlineStr"/>
      <c r="P277" s="6">
        <f>HYPERLINK("https://www.linkedin.com/search/results/people/?keywords=Darin%20Rowe%20Taylor%20Morrison%20Home%20Corporation","search")</f>
        <v/>
      </c>
      <c r="Q277" s="11">
        <f>IF(O277="","ADD LINKEDIN","ok")</f>
        <v/>
      </c>
      <c r="R277" s="6" t="inlineStr">
        <is>
          <t>https://www.taylormorrison.com/</t>
        </is>
      </c>
      <c r="S277" s="9" t="inlineStr">
        <is>
          <t>Runs Yardly, a national build-to-rent brand, but its Houston division president is unconfirmed, last dated 2018.</t>
        </is>
      </c>
      <c r="T277" s="6" t="inlineStr"/>
      <c r="U277" s="9" t="inlineStr">
        <is>
          <t>Quoted on the Yardly launch. National, not Houston.</t>
        </is>
      </c>
      <c r="V277" s="6" t="inlineStr">
        <is>
          <t>https://newsroom.taylormorrison.com/2022-11-14-Taylor-Morrison-Unveils-New-Build-To-Rent-Brand,-Yardly</t>
        </is>
      </c>
      <c r="W277" s="6" t="inlineStr">
        <is>
          <t>https://www.linkedin.com/company/taylor-morrison</t>
        </is>
      </c>
      <c r="X277" s="6" t="inlineStr">
        <is>
          <t>https://newsroom.taylormorrison.com/Leadership</t>
        </is>
      </c>
      <c r="Y277" s="6" t="inlineStr"/>
      <c r="Z277" s="6" t="inlineStr"/>
      <c r="AA277" s="6" t="inlineStr"/>
      <c r="AB277" s="6" t="inlineStr">
        <is>
          <t>https://www.taylormorrison.com/contact-us</t>
        </is>
      </c>
      <c r="AC277" s="6" t="inlineStr"/>
      <c r="AD277" s="6" t="inlineStr"/>
    </row>
    <row r="278">
      <c r="A278" s="12" t="inlineStr">
        <is>
          <t>Amy Rino</t>
        </is>
      </c>
      <c r="B278" s="12" t="inlineStr">
        <is>
          <t>Taylor Morrison Home Corporation</t>
        </is>
      </c>
      <c r="C278" s="12" t="inlineStr">
        <is>
          <t>Chief Customer Officer, Taylor Morrison, Scottsdale (2026), formerly Houston Division President</t>
        </is>
      </c>
      <c r="D278" s="13" t="inlineStr">
        <is>
          <t>National builder</t>
        </is>
      </c>
      <c r="E278" s="14" t="n">
        <v>1</v>
      </c>
      <c r="F278" s="12" t="inlineStr">
        <is>
          <t>Buys walls</t>
        </is>
      </c>
      <c r="G278" s="12" t="inlineStr">
        <is>
          <t>Scottsdale HQ / Harris County</t>
        </is>
      </c>
      <c r="H278" s="12" t="inlineStr">
        <is>
          <t>240-home Houston BTR community</t>
        </is>
      </c>
      <c r="I278" s="14" t="inlineStr">
        <is>
          <t>Yes</t>
        </is>
      </c>
      <c r="J278" s="15" t="inlineStr">
        <is>
          <t>A 240-home Houston build-to-rent community and a dedicated brand.</t>
        </is>
      </c>
      <c r="K278" s="14" t="inlineStr">
        <is>
          <t>No</t>
        </is>
      </c>
      <c r="L278" s="15" t="inlineStr">
        <is>
          <t>National builder, national rental brand.</t>
        </is>
      </c>
      <c r="M278" s="14" t="inlineStr">
        <is>
          <t>No</t>
        </is>
      </c>
      <c r="N278" s="15" t="inlineStr">
        <is>
          <t>Yardly retrospective cites input costs. No method detail.</t>
        </is>
      </c>
      <c r="O278" s="6" t="inlineStr">
        <is>
          <t>https://www.linkedin.com/in/amy-rino-5152b111/</t>
        </is>
      </c>
      <c r="P278" s="12" t="inlineStr"/>
      <c r="Q278" s="16">
        <f>IF(O278="","ADD LINKEDIN","ok")</f>
        <v/>
      </c>
      <c r="R278" s="12" t="inlineStr">
        <is>
          <t>https://www.taylormorrison.com/</t>
        </is>
      </c>
      <c r="S278" s="15" t="inlineStr">
        <is>
          <t>Runs Yardly, a national build-to-rent brand, but its Houston division president is unconfirmed, last dated 2018.</t>
        </is>
      </c>
      <c r="T278" s="12" t="inlineStr"/>
      <c r="U278" s="15" t="inlineStr">
        <is>
          <t>Scottsdale in 2026. No longer Houston division president.</t>
        </is>
      </c>
      <c r="V278" s="12" t="inlineStr"/>
      <c r="W278" s="12" t="inlineStr">
        <is>
          <t>https://www.linkedin.com/company/taylor-morrison</t>
        </is>
      </c>
      <c r="X278" s="12" t="inlineStr">
        <is>
          <t>https://newsroom.taylormorrison.com/Leadership</t>
        </is>
      </c>
      <c r="Y278" s="12" t="inlineStr"/>
      <c r="Z278" s="12" t="inlineStr"/>
      <c r="AA278" s="12" t="inlineStr"/>
      <c r="AB278" s="12" t="inlineStr">
        <is>
          <t>https://www.taylormorrison.com/contact-us</t>
        </is>
      </c>
      <c r="AC278" s="12" t="inlineStr"/>
      <c r="AD278" s="12" t="inlineStr"/>
    </row>
    <row r="279">
      <c r="A279" s="6" t="inlineStr">
        <is>
          <t>Ken Balogh</t>
        </is>
      </c>
      <c r="B279" s="6" t="inlineStr">
        <is>
          <t>Ashton Woods Homes</t>
        </is>
      </c>
      <c r="C279" s="6" t="inlineStr">
        <is>
          <t>President and Chief Executive Officer</t>
        </is>
      </c>
      <c r="D279" s="7" t="inlineStr">
        <is>
          <t>National builder</t>
        </is>
      </c>
      <c r="E279" s="8" t="n">
        <v>1</v>
      </c>
      <c r="F279" s="6" t="inlineStr">
        <is>
          <t>Buys walls</t>
        </is>
      </c>
      <c r="G279" s="6" t="inlineStr">
        <is>
          <t>Alpharetta HQ / Harris, Fort Bend</t>
        </is>
      </c>
      <c r="H279" s="6" t="inlineStr">
        <is>
          <t>1,115 Houston closings in 2025, sixth in the metro</t>
        </is>
      </c>
      <c r="I279" s="8" t="inlineStr">
        <is>
          <t>Yes</t>
        </is>
      </c>
      <c r="J279" s="9" t="inlineStr">
        <is>
          <t>Fourteen named Houston communities.</t>
        </is>
      </c>
      <c r="K279" s="8" t="inlineStr">
        <is>
          <t>No</t>
        </is>
      </c>
      <c r="L279" s="9" t="inlineStr">
        <is>
          <t>Corporate purchasing function.</t>
        </is>
      </c>
      <c r="M279" s="8" t="inlineStr">
        <is>
          <t>No</t>
        </is>
      </c>
      <c r="N279" s="9" t="inlineStr">
        <is>
          <t>No method evidence.</t>
        </is>
      </c>
      <c r="O279" s="10" t="inlineStr"/>
      <c r="P279" s="6">
        <f>HYPERLINK("https://www.linkedin.com/search/results/people/?keywords=Ken%20Balogh%20Ashton%20Woods%20Homes","search")</f>
        <v/>
      </c>
      <c r="Q279" s="11">
        <f>IF(O279="","ADD LINKEDIN","ok")</f>
        <v/>
      </c>
      <c r="R279" s="6" t="inlineStr">
        <is>
          <t>https://www.ashtonwoods.com/</t>
        </is>
      </c>
      <c r="S279" s="9" t="inlineStr">
        <is>
          <t>Purchasing is a corporate function, but it has a named Texas regional president.</t>
        </is>
      </c>
      <c r="T279" s="6" t="inlineStr"/>
      <c r="U279" s="9" t="inlineStr"/>
      <c r="V279" s="6" t="inlineStr">
        <is>
          <t>https://www.ashtonwoods.com/corporate-info</t>
        </is>
      </c>
      <c r="W279" s="6" t="inlineStr">
        <is>
          <t>https://www.linkedin.com/company/ashton-woods-homes</t>
        </is>
      </c>
      <c r="X279" s="6" t="inlineStr">
        <is>
          <t>https://www.ashtonwoods.com/corporate-info</t>
        </is>
      </c>
      <c r="Y279" s="6" t="inlineStr"/>
      <c r="Z279" s="6" t="inlineStr">
        <is>
          <t>(770) 998-9663</t>
        </is>
      </c>
      <c r="AA279" s="6" t="inlineStr">
        <is>
          <t>corporate headquarters, Alpharetta, Georgia</t>
        </is>
      </c>
      <c r="AB279" s="6" t="inlineStr">
        <is>
          <t>https://www.ashtonwoods.com/corporate-info</t>
        </is>
      </c>
      <c r="AC279" s="6" t="inlineStr"/>
      <c r="AD279" s="6" t="inlineStr"/>
    </row>
    <row r="280">
      <c r="A280" s="12" t="inlineStr">
        <is>
          <t>Lindsay Motley</t>
        </is>
      </c>
      <c r="B280" s="12" t="inlineStr">
        <is>
          <t>Ashton Woods Homes</t>
        </is>
      </c>
      <c r="C280" s="12" t="inlineStr">
        <is>
          <t>Regional President</t>
        </is>
      </c>
      <c r="D280" s="13" t="inlineStr">
        <is>
          <t>National builder</t>
        </is>
      </c>
      <c r="E280" s="14" t="n">
        <v>1</v>
      </c>
      <c r="F280" s="12" t="inlineStr">
        <is>
          <t>Buys walls</t>
        </is>
      </c>
      <c r="G280" s="12" t="inlineStr">
        <is>
          <t>Alpharetta HQ / Harris, Fort Bend</t>
        </is>
      </c>
      <c r="H280" s="12" t="inlineStr">
        <is>
          <t>1,115 Houston closings in 2025, sixth in the metro</t>
        </is>
      </c>
      <c r="I280" s="14" t="inlineStr">
        <is>
          <t>Yes</t>
        </is>
      </c>
      <c r="J280" s="15" t="inlineStr">
        <is>
          <t>Fourteen named Houston communities.</t>
        </is>
      </c>
      <c r="K280" s="14" t="inlineStr">
        <is>
          <t>No</t>
        </is>
      </c>
      <c r="L280" s="15" t="inlineStr">
        <is>
          <t>Corporate purchasing function.</t>
        </is>
      </c>
      <c r="M280" s="14" t="inlineStr">
        <is>
          <t>No</t>
        </is>
      </c>
      <c r="N280" s="15" t="inlineStr">
        <is>
          <t>No method evidence.</t>
        </is>
      </c>
      <c r="O280" s="10" t="inlineStr"/>
      <c r="P280" s="12">
        <f>HYPERLINK("https://www.linkedin.com/search/results/people/?keywords=Lindsay%20Motley%20Ashton%20Woods%20Homes","search")</f>
        <v/>
      </c>
      <c r="Q280" s="16">
        <f>IF(O280="","ADD LINKEDIN","ok")</f>
        <v/>
      </c>
      <c r="R280" s="12" t="inlineStr">
        <is>
          <t>https://www.ashtonwoods.com/</t>
        </is>
      </c>
      <c r="S280" s="15" t="inlineStr">
        <is>
          <t>Purchasing is a corporate function, but it has a named Texas regional president.</t>
        </is>
      </c>
      <c r="T280" s="12" t="inlineStr">
        <is>
          <t>YES</t>
        </is>
      </c>
      <c r="U280" s="15" t="inlineStr">
        <is>
          <t>Firm announcement names her Austin division president.</t>
        </is>
      </c>
      <c r="V280" s="12" t="inlineStr">
        <is>
          <t>https://www.ashtonwoods.com/corporate-info</t>
        </is>
      </c>
      <c r="W280" s="12" t="inlineStr">
        <is>
          <t>https://www.linkedin.com/company/ashton-woods-homes</t>
        </is>
      </c>
      <c r="X280" s="12" t="inlineStr">
        <is>
          <t>https://www.ashtonwoods.com/corporate-info</t>
        </is>
      </c>
      <c r="Y280" s="12" t="inlineStr"/>
      <c r="Z280" s="12" t="inlineStr">
        <is>
          <t>(770) 998-9663</t>
        </is>
      </c>
      <c r="AA280" s="12" t="inlineStr">
        <is>
          <t>corporate headquarters, Alpharetta, Georgia</t>
        </is>
      </c>
      <c r="AB280" s="12" t="inlineStr">
        <is>
          <t>https://www.ashtonwoods.com/corporate-info</t>
        </is>
      </c>
      <c r="AC280" s="12" t="inlineStr"/>
      <c r="AD280" s="12" t="inlineStr"/>
    </row>
    <row r="281">
      <c r="A281" s="6" t="inlineStr">
        <is>
          <t>Ryan Lewis</t>
        </is>
      </c>
      <c r="B281" s="6" t="inlineStr">
        <is>
          <t>Ashton Woods Homes</t>
        </is>
      </c>
      <c r="C281" s="6" t="inlineStr">
        <is>
          <t>Chief Operating Officer</t>
        </is>
      </c>
      <c r="D281" s="7" t="inlineStr">
        <is>
          <t>National builder</t>
        </is>
      </c>
      <c r="E281" s="8" t="n">
        <v>1</v>
      </c>
      <c r="F281" s="6" t="inlineStr">
        <is>
          <t>Buys walls</t>
        </is>
      </c>
      <c r="G281" s="6" t="inlineStr">
        <is>
          <t>Alpharetta HQ / Harris, Fort Bend</t>
        </is>
      </c>
      <c r="H281" s="6" t="inlineStr">
        <is>
          <t>1,115 Houston closings in 2025, sixth in the metro</t>
        </is>
      </c>
      <c r="I281" s="8" t="inlineStr">
        <is>
          <t>Yes</t>
        </is>
      </c>
      <c r="J281" s="9" t="inlineStr">
        <is>
          <t>Fourteen named Houston communities.</t>
        </is>
      </c>
      <c r="K281" s="8" t="inlineStr">
        <is>
          <t>No</t>
        </is>
      </c>
      <c r="L281" s="9" t="inlineStr">
        <is>
          <t>Corporate purchasing function.</t>
        </is>
      </c>
      <c r="M281" s="8" t="inlineStr">
        <is>
          <t>No</t>
        </is>
      </c>
      <c r="N281" s="9" t="inlineStr">
        <is>
          <t>No method evidence.</t>
        </is>
      </c>
      <c r="O281" s="10" t="inlineStr"/>
      <c r="P281" s="6">
        <f>HYPERLINK("https://www.linkedin.com/search/results/people/?keywords=Ryan%20Lewis%20Ashton%20Woods%20Homes","search")</f>
        <v/>
      </c>
      <c r="Q281" s="11">
        <f>IF(O281="","ADD LINKEDIN","ok")</f>
        <v/>
      </c>
      <c r="R281" s="6" t="inlineStr">
        <is>
          <t>https://www.ashtonwoods.com/</t>
        </is>
      </c>
      <c r="S281" s="9" t="inlineStr">
        <is>
          <t>Purchasing is a corporate function, but it has a named Texas regional president.</t>
        </is>
      </c>
      <c r="T281" s="6" t="inlineStr"/>
      <c r="U281" s="9" t="inlineStr"/>
      <c r="V281" s="6" t="inlineStr">
        <is>
          <t>https://www.ashtonwoods.com/corporate-info</t>
        </is>
      </c>
      <c r="W281" s="6" t="inlineStr">
        <is>
          <t>https://www.linkedin.com/company/ashton-woods-homes</t>
        </is>
      </c>
      <c r="X281" s="6" t="inlineStr">
        <is>
          <t>https://www.ashtonwoods.com/corporate-info</t>
        </is>
      </c>
      <c r="Y281" s="6" t="inlineStr"/>
      <c r="Z281" s="6" t="inlineStr">
        <is>
          <t>(770) 998-9663</t>
        </is>
      </c>
      <c r="AA281" s="6" t="inlineStr">
        <is>
          <t>corporate headquarters, Alpharetta, Georgia</t>
        </is>
      </c>
      <c r="AB281" s="6" t="inlineStr">
        <is>
          <t>https://www.ashtonwoods.com/corporate-info</t>
        </is>
      </c>
      <c r="AC281" s="6" t="inlineStr"/>
      <c r="AD281" s="6" t="inlineStr"/>
    </row>
    <row r="282">
      <c r="A282" s="12" t="inlineStr">
        <is>
          <t>Adam Weaver</t>
        </is>
      </c>
      <c r="B282" s="12" t="inlineStr">
        <is>
          <t>Ashton Woods Homes</t>
        </is>
      </c>
      <c r="C282" s="12" t="inlineStr">
        <is>
          <t>Senior Vice President of Purchasing</t>
        </is>
      </c>
      <c r="D282" s="13" t="inlineStr">
        <is>
          <t>National builder</t>
        </is>
      </c>
      <c r="E282" s="14" t="n">
        <v>1</v>
      </c>
      <c r="F282" s="12" t="inlineStr">
        <is>
          <t>Buys walls</t>
        </is>
      </c>
      <c r="G282" s="12" t="inlineStr">
        <is>
          <t>Alpharetta HQ / Harris, Fort Bend</t>
        </is>
      </c>
      <c r="H282" s="12" t="inlineStr">
        <is>
          <t>1,115 Houston closings in 2025, sixth in the metro</t>
        </is>
      </c>
      <c r="I282" s="14" t="inlineStr">
        <is>
          <t>Yes</t>
        </is>
      </c>
      <c r="J282" s="15" t="inlineStr">
        <is>
          <t>Fourteen named Houston communities.</t>
        </is>
      </c>
      <c r="K282" s="14" t="inlineStr">
        <is>
          <t>No</t>
        </is>
      </c>
      <c r="L282" s="15" t="inlineStr">
        <is>
          <t>Corporate purchasing function.</t>
        </is>
      </c>
      <c r="M282" s="14" t="inlineStr">
        <is>
          <t>No</t>
        </is>
      </c>
      <c r="N282" s="15" t="inlineStr">
        <is>
          <t>No method evidence.</t>
        </is>
      </c>
      <c r="O282" s="10" t="inlineStr"/>
      <c r="P282" s="12" t="inlineStr"/>
      <c r="Q282" s="16">
        <f>IF(O282="","ADD LINKEDIN","ok")</f>
        <v/>
      </c>
      <c r="R282" s="12" t="inlineStr">
        <is>
          <t>https://www.ashtonwoods.com/</t>
        </is>
      </c>
      <c r="S282" s="15" t="inlineStr">
        <is>
          <t>Purchasing is a corporate function, but it has a named Texas regional president.</t>
        </is>
      </c>
      <c r="T282" s="12" t="inlineStr">
        <is>
          <t>YES</t>
        </is>
      </c>
      <c r="U282" s="15" t="inlineStr"/>
      <c r="V282" s="12" t="inlineStr">
        <is>
          <t>https://www.ashtonwoods.com/corporate-info</t>
        </is>
      </c>
      <c r="W282" s="12" t="inlineStr">
        <is>
          <t>https://www.linkedin.com/company/ashton-woods-homes</t>
        </is>
      </c>
      <c r="X282" s="12" t="inlineStr">
        <is>
          <t>https://www.ashtonwoods.com/corporate-info</t>
        </is>
      </c>
      <c r="Y282" s="12" t="inlineStr"/>
      <c r="Z282" s="12" t="inlineStr">
        <is>
          <t>(770) 998-9663</t>
        </is>
      </c>
      <c r="AA282" s="12" t="inlineStr">
        <is>
          <t>corporate headquarters, Alpharetta, Georgia</t>
        </is>
      </c>
      <c r="AB282" s="12" t="inlineStr">
        <is>
          <t>https://www.ashtonwoods.com/corporate-info</t>
        </is>
      </c>
      <c r="AC282" s="12" t="inlineStr"/>
      <c r="AD282" s="12" t="inlineStr"/>
    </row>
    <row r="283">
      <c r="A283" s="6" t="inlineStr">
        <is>
          <t>Ken Newman</t>
        </is>
      </c>
      <c r="B283" s="6" t="inlineStr">
        <is>
          <t>Ashton Woods Homes</t>
        </is>
      </c>
      <c r="C283" s="6" t="inlineStr">
        <is>
          <t>Senior Vice President of Construction Operations</t>
        </is>
      </c>
      <c r="D283" s="7" t="inlineStr">
        <is>
          <t>National builder</t>
        </is>
      </c>
      <c r="E283" s="8" t="n">
        <v>1</v>
      </c>
      <c r="F283" s="6" t="inlineStr">
        <is>
          <t>Buys walls</t>
        </is>
      </c>
      <c r="G283" s="6" t="inlineStr">
        <is>
          <t>Alpharetta HQ / Harris, Fort Bend</t>
        </is>
      </c>
      <c r="H283" s="6" t="inlineStr">
        <is>
          <t>1,115 Houston closings in 2025, sixth in the metro</t>
        </is>
      </c>
      <c r="I283" s="8" t="inlineStr">
        <is>
          <t>Yes</t>
        </is>
      </c>
      <c r="J283" s="9" t="inlineStr">
        <is>
          <t>Fourteen named Houston communities.</t>
        </is>
      </c>
      <c r="K283" s="8" t="inlineStr">
        <is>
          <t>No</t>
        </is>
      </c>
      <c r="L283" s="9" t="inlineStr">
        <is>
          <t>Corporate purchasing function.</t>
        </is>
      </c>
      <c r="M283" s="8" t="inlineStr">
        <is>
          <t>No</t>
        </is>
      </c>
      <c r="N283" s="9" t="inlineStr">
        <is>
          <t>No method evidence.</t>
        </is>
      </c>
      <c r="O283" s="10" t="inlineStr"/>
      <c r="P283" s="6" t="inlineStr"/>
      <c r="Q283" s="11">
        <f>IF(O283="","ADD LINKEDIN","ok")</f>
        <v/>
      </c>
      <c r="R283" s="6" t="inlineStr">
        <is>
          <t>https://www.ashtonwoods.com/</t>
        </is>
      </c>
      <c r="S283" s="9" t="inlineStr">
        <is>
          <t>Purchasing is a corporate function, but it has a named Texas regional president.</t>
        </is>
      </c>
      <c r="T283" s="6" t="inlineStr">
        <is>
          <t>YES</t>
        </is>
      </c>
      <c r="U283" s="9" t="inlineStr"/>
      <c r="V283" s="6" t="inlineStr">
        <is>
          <t>https://www.ashtonwoods.com/corporate-info</t>
        </is>
      </c>
      <c r="W283" s="6" t="inlineStr">
        <is>
          <t>https://www.linkedin.com/company/ashton-woods-homes</t>
        </is>
      </c>
      <c r="X283" s="6" t="inlineStr">
        <is>
          <t>https://www.ashtonwoods.com/corporate-info</t>
        </is>
      </c>
      <c r="Y283" s="6" t="inlineStr"/>
      <c r="Z283" s="6" t="inlineStr">
        <is>
          <t>(770) 998-9663</t>
        </is>
      </c>
      <c r="AA283" s="6" t="inlineStr">
        <is>
          <t>corporate headquarters, Alpharetta, Georgia</t>
        </is>
      </c>
      <c r="AB283" s="6" t="inlineStr">
        <is>
          <t>https://www.ashtonwoods.com/corporate-info</t>
        </is>
      </c>
      <c r="AC283" s="6" t="inlineStr"/>
      <c r="AD283" s="6" t="inlineStr"/>
    </row>
    <row r="284">
      <c r="A284" s="12" t="inlineStr">
        <is>
          <t>Kathy Britton</t>
        </is>
      </c>
      <c r="B284" s="12" t="inlineStr">
        <is>
          <t>Perry Homes</t>
        </is>
      </c>
      <c r="C284" s="12" t="inlineStr">
        <is>
          <t>Owner and Executive Chair</t>
        </is>
      </c>
      <c r="D284" s="13" t="inlineStr">
        <is>
          <t>National builder</t>
        </is>
      </c>
      <c r="E284" s="14" t="n">
        <v>1</v>
      </c>
      <c r="F284" s="12" t="inlineStr">
        <is>
          <t>Buys walls</t>
        </is>
      </c>
      <c r="G284" s="12" t="inlineStr">
        <is>
          <t>Houston HQ, Harris County</t>
        </is>
      </c>
      <c r="H284" s="12" t="inlineStr">
        <is>
          <t>1,809 Houston closings in 2025, third in the metro</t>
        </is>
      </c>
      <c r="I284" s="14" t="inlineStr">
        <is>
          <t>Yes</t>
        </is>
      </c>
      <c r="J284" s="15" t="inlineStr">
        <is>
          <t>One plan library, nine markets.</t>
        </is>
      </c>
      <c r="K284" s="14" t="inlineStr">
        <is>
          <t>No</t>
        </is>
      </c>
      <c r="L284" s="15" t="inlineStr">
        <is>
          <t>1,809 Houston closings in 2025, above what one or two printers cover. Bought centrally.</t>
        </is>
      </c>
      <c r="M284" s="14" t="inlineStr">
        <is>
          <t>No</t>
        </is>
      </c>
      <c r="N284" s="15" t="inlineStr">
        <is>
          <t>Innovation means smart-home features and floor plans, by its own definition.</t>
        </is>
      </c>
      <c r="O284" s="10" t="inlineStr"/>
      <c r="P284" s="12">
        <f>HYPERLINK("https://www.linkedin.com/search/results/people/?keywords=Kathy%20Britton%20Perry%20Homes","search")</f>
        <v/>
      </c>
      <c r="Q284" s="16">
        <f>IF(O284="","ADD LINKEDIN","ok")</f>
        <v/>
      </c>
      <c r="R284" s="12" t="inlineStr">
        <is>
          <t>https://www.perryhomes.com/</t>
        </is>
      </c>
      <c r="S284" s="15" t="inlineStr">
        <is>
          <t>Its Houston volume is above what one or two printers cover, and it defines innovation as smart-home features and floor plans.</t>
        </is>
      </c>
      <c r="T284" s="12" t="inlineStr"/>
      <c r="U284" s="15" t="inlineStr">
        <is>
          <t>Perry's page. Succeeded her father, Bob Perry, as chief executive.</t>
        </is>
      </c>
      <c r="V284" s="12" t="inlineStr">
        <is>
          <t>https://www.perryhomes.com/about-perry-homes</t>
        </is>
      </c>
      <c r="W284" s="12" t="inlineStr">
        <is>
          <t>https://www.linkedin.com/company/perry-homes</t>
        </is>
      </c>
      <c r="X284" s="12" t="inlineStr">
        <is>
          <t>https://www.perryhomes.com/about-perry-homes</t>
        </is>
      </c>
      <c r="Y284" s="12" t="inlineStr"/>
      <c r="Z284" s="12" t="inlineStr">
        <is>
          <t>(800) 247-3779</t>
        </is>
      </c>
      <c r="AA284" s="12" t="inlineStr"/>
      <c r="AB284" s="12" t="inlineStr">
        <is>
          <t>https://www.perryhomes.com/contact-us</t>
        </is>
      </c>
      <c r="AC284" s="12" t="inlineStr"/>
      <c r="AD284" s="12" t="inlineStr"/>
    </row>
    <row r="285">
      <c r="A285" s="6" t="inlineStr">
        <is>
          <t>Todd Chachere</t>
        </is>
      </c>
      <c r="B285" s="6" t="inlineStr">
        <is>
          <t>Perry Homes</t>
        </is>
      </c>
      <c r="C285" s="6" t="inlineStr">
        <is>
          <t>Chief Executive Officer</t>
        </is>
      </c>
      <c r="D285" s="7" t="inlineStr">
        <is>
          <t>National builder</t>
        </is>
      </c>
      <c r="E285" s="8" t="n">
        <v>1</v>
      </c>
      <c r="F285" s="6" t="inlineStr">
        <is>
          <t>Buys walls</t>
        </is>
      </c>
      <c r="G285" s="6" t="inlineStr">
        <is>
          <t>Houston HQ, Harris County</t>
        </is>
      </c>
      <c r="H285" s="6" t="inlineStr">
        <is>
          <t>1,809 Houston closings in 2025, third in the metro</t>
        </is>
      </c>
      <c r="I285" s="8" t="inlineStr">
        <is>
          <t>Yes</t>
        </is>
      </c>
      <c r="J285" s="9" t="inlineStr">
        <is>
          <t>One plan library, nine markets.</t>
        </is>
      </c>
      <c r="K285" s="8" t="inlineStr">
        <is>
          <t>No</t>
        </is>
      </c>
      <c r="L285" s="9" t="inlineStr">
        <is>
          <t>1,809 Houston closings in 2025, above what one or two printers cover. Bought centrally.</t>
        </is>
      </c>
      <c r="M285" s="8" t="inlineStr">
        <is>
          <t>No</t>
        </is>
      </c>
      <c r="N285" s="9" t="inlineStr">
        <is>
          <t>Innovation means smart-home features and floor plans, by its own definition.</t>
        </is>
      </c>
      <c r="O285" s="10" t="inlineStr"/>
      <c r="P285" s="6">
        <f>HYPERLINK("https://www.linkedin.com/search/results/people/?keywords=Todd%20Chachere%20Perry%20Homes","search")</f>
        <v/>
      </c>
      <c r="Q285" s="11">
        <f>IF(O285="","ADD LINKEDIN","ok")</f>
        <v/>
      </c>
      <c r="R285" s="6" t="inlineStr">
        <is>
          <t>https://www.perryhomes.com/</t>
        </is>
      </c>
      <c r="S285" s="9" t="inlineStr">
        <is>
          <t>Its Houston volume is above what one or two printers cover, and it defines innovation as smart-home features and floor plans.</t>
        </is>
      </c>
      <c r="T285" s="6" t="inlineStr"/>
      <c r="U285" s="9" t="inlineStr"/>
      <c r="V285" s="6" t="inlineStr">
        <is>
          <t>https://www.perryhomes.com/about-perry-homes</t>
        </is>
      </c>
      <c r="W285" s="6" t="inlineStr">
        <is>
          <t>https://www.linkedin.com/company/perry-homes</t>
        </is>
      </c>
      <c r="X285" s="6" t="inlineStr">
        <is>
          <t>https://www.perryhomes.com/about-perry-homes</t>
        </is>
      </c>
      <c r="Y285" s="6" t="inlineStr"/>
      <c r="Z285" s="6" t="inlineStr">
        <is>
          <t>(800) 247-3779</t>
        </is>
      </c>
      <c r="AA285" s="6" t="inlineStr"/>
      <c r="AB285" s="6" t="inlineStr">
        <is>
          <t>https://www.perryhomes.com/contact-us</t>
        </is>
      </c>
      <c r="AC285" s="6" t="inlineStr"/>
      <c r="AD285" s="6" t="inlineStr"/>
    </row>
    <row r="286">
      <c r="A286" s="12" t="inlineStr">
        <is>
          <t>Ronny Salameh</t>
        </is>
      </c>
      <c r="B286" s="12" t="inlineStr">
        <is>
          <t>Brightland Homes</t>
        </is>
      </c>
      <c r="C286" s="12" t="inlineStr">
        <is>
          <t>President and Chief Executive Officer, The DRB Group</t>
        </is>
      </c>
      <c r="D286" s="13" t="inlineStr">
        <is>
          <t>National builder</t>
        </is>
      </c>
      <c r="E286" s="14" t="n">
        <v>1</v>
      </c>
      <c r="F286" s="12" t="inlineStr">
        <is>
          <t>Buys walls</t>
        </is>
      </c>
      <c r="G286" s="12" t="inlineStr">
        <is>
          <t>Addison HQ / Montgomery, Harris</t>
        </is>
      </c>
      <c r="H286" s="12" t="inlineStr">
        <is>
          <t>110 communities and 17,000+ homes company-wide at its 2023 rename</t>
        </is>
      </c>
      <c r="I286" s="14" t="inlineStr">
        <is>
          <t>Partly</t>
        </is>
      </c>
      <c r="J286" s="15" t="inlineStr">
        <is>
          <t>110 active communities.</t>
        </is>
      </c>
      <c r="K286" s="14" t="inlineStr">
        <is>
          <t>No</t>
        </is>
      </c>
      <c r="L286" s="15" t="inlineStr">
        <is>
          <t>110 communities inside the DRB platform. The parent has put capital into wood.</t>
        </is>
      </c>
      <c r="M286" s="14" t="inlineStr">
        <is>
          <t>No</t>
        </is>
      </c>
      <c r="N286" s="15" t="inlineStr">
        <is>
          <t>Nothing on record. Its owner is a timber group.</t>
        </is>
      </c>
      <c r="O286" s="10" t="inlineStr"/>
      <c r="P286" s="12">
        <f>HYPERLINK("https://www.linkedin.com/search/results/people/?keywords=Ronny%20Salameh%20Brightland%20Homes","search")</f>
        <v/>
      </c>
      <c r="Q286" s="16">
        <f>IF(O286="","ADD LINKEDIN","ok")</f>
        <v/>
      </c>
      <c r="R286" s="12" t="inlineStr">
        <is>
          <t>https://www.brightlandhomes.com/</t>
        </is>
      </c>
      <c r="S286" s="15" t="inlineStr">
        <is>
          <t>Its parent, Sumitomo Forestry, bought a sawmill in 2025 to supply wood framing across DRB, so a printer would compete with its own lumber.</t>
        </is>
      </c>
      <c r="T286" s="12" t="inlineStr"/>
      <c r="U286" s="15" t="inlineStr">
        <is>
          <t>DRB Group, Brightland's owner.</t>
        </is>
      </c>
      <c r="V286" s="12" t="inlineStr">
        <is>
          <t>https://www.drbgroup.com/about</t>
        </is>
      </c>
      <c r="W286" s="12" t="inlineStr">
        <is>
          <t>https://www.linkedin.com/company/brightlandhomes</t>
        </is>
      </c>
      <c r="X286" s="12" t="inlineStr">
        <is>
          <t>https://www.drbgroup.com/about</t>
        </is>
      </c>
      <c r="Y286" s="12" t="inlineStr"/>
      <c r="Z286" s="12" t="inlineStr">
        <is>
          <t>(281) 201-6961</t>
        </is>
      </c>
      <c r="AA286" s="12" t="inlineStr">
        <is>
          <t>Houston office, published by DRB Homes</t>
        </is>
      </c>
      <c r="AB286" s="12" t="inlineStr">
        <is>
          <t>https://www.drbhomes.com/drbhomes/contact/contact-us</t>
        </is>
      </c>
      <c r="AC286" s="12" t="inlineStr"/>
      <c r="AD286" s="12" t="inlineStr"/>
    </row>
    <row r="287">
      <c r="A287" s="6" t="inlineStr">
        <is>
          <t>Young Nam</t>
        </is>
      </c>
      <c r="B287" s="6" t="inlineStr">
        <is>
          <t>Brightland Homes</t>
        </is>
      </c>
      <c r="C287" s="6" t="inlineStr">
        <is>
          <t>Senior Vice President of Purchasing, The DRB Group</t>
        </is>
      </c>
      <c r="D287" s="7" t="inlineStr">
        <is>
          <t>National builder</t>
        </is>
      </c>
      <c r="E287" s="8" t="n">
        <v>1</v>
      </c>
      <c r="F287" s="6" t="inlineStr">
        <is>
          <t>Buys walls</t>
        </is>
      </c>
      <c r="G287" s="6" t="inlineStr">
        <is>
          <t>Addison HQ / Montgomery, Harris</t>
        </is>
      </c>
      <c r="H287" s="6" t="inlineStr">
        <is>
          <t>110 communities and 17,000+ homes company-wide at its 2023 rename</t>
        </is>
      </c>
      <c r="I287" s="8" t="inlineStr">
        <is>
          <t>Partly</t>
        </is>
      </c>
      <c r="J287" s="9" t="inlineStr">
        <is>
          <t>110 active communities.</t>
        </is>
      </c>
      <c r="K287" s="8" t="inlineStr">
        <is>
          <t>No</t>
        </is>
      </c>
      <c r="L287" s="9" t="inlineStr">
        <is>
          <t>110 communities inside the DRB platform. The parent has put capital into wood.</t>
        </is>
      </c>
      <c r="M287" s="8" t="inlineStr">
        <is>
          <t>No</t>
        </is>
      </c>
      <c r="N287" s="9" t="inlineStr">
        <is>
          <t>Nothing on record. Its owner is a timber group.</t>
        </is>
      </c>
      <c r="O287" s="6" t="inlineStr">
        <is>
          <t>https://www.linkedin.com/in/young-nam-78b36229/</t>
        </is>
      </c>
      <c r="P287" s="6" t="inlineStr"/>
      <c r="Q287" s="11">
        <f>IF(O287="","ADD LINKEDIN","ok")</f>
        <v/>
      </c>
      <c r="R287" s="6" t="inlineStr">
        <is>
          <t>https://www.brightlandhomes.com/</t>
        </is>
      </c>
      <c r="S287" s="9" t="inlineStr">
        <is>
          <t>Its parent, Sumitomo Forestry, bought a sawmill in 2025 to supply wood framing across DRB, so a printer would compete with its own lumber.</t>
        </is>
      </c>
      <c r="T287" s="6" t="inlineStr">
        <is>
          <t>YES</t>
        </is>
      </c>
      <c r="U287" s="9" t="inlineStr">
        <is>
          <t>Senior Vice President of Supply Chain, Bethesda, Maryland. DRB is headquartered in the Maryland suburbs. Buys for the DRB platform Brightland sits inside.</t>
        </is>
      </c>
      <c r="V287" s="6" t="inlineStr">
        <is>
          <t>https://www.drbgroup.com/about</t>
        </is>
      </c>
      <c r="W287" s="6" t="inlineStr">
        <is>
          <t>https://www.linkedin.com/company/brightlandhomes</t>
        </is>
      </c>
      <c r="X287" s="6" t="inlineStr">
        <is>
          <t>https://www.drbgroup.com/about</t>
        </is>
      </c>
      <c r="Y287" s="6" t="inlineStr"/>
      <c r="Z287" s="6" t="inlineStr">
        <is>
          <t>(281) 201-6961</t>
        </is>
      </c>
      <c r="AA287" s="6" t="inlineStr">
        <is>
          <t>Houston office, published by DRB Homes</t>
        </is>
      </c>
      <c r="AB287" s="6" t="inlineStr">
        <is>
          <t>https://www.drbhomes.com/drbhomes/contact/contact-us</t>
        </is>
      </c>
      <c r="AC287" s="6" t="inlineStr"/>
      <c r="AD287" s="6" t="inlineStr"/>
    </row>
    <row r="288">
      <c r="A288" s="12" t="inlineStr">
        <is>
          <t>David O'Reilly</t>
        </is>
      </c>
      <c r="B288" s="12" t="inlineStr">
        <is>
          <t>Howard Hughes Holdings Inc.</t>
        </is>
      </c>
      <c r="C288" s="12" t="inlineStr">
        <is>
          <t>Chief Executive Officer</t>
        </is>
      </c>
      <c r="D288" s="13" t="inlineStr">
        <is>
          <t>Land owner, not the buyer</t>
        </is>
      </c>
      <c r="E288" s="14" t="n">
        <v>2</v>
      </c>
      <c r="F288" s="12" t="inlineStr">
        <is>
          <t>Sells lots</t>
        </is>
      </c>
      <c r="G288" s="12" t="inlineStr">
        <is>
          <t>The Woodlands HQ / Harris, Montgomery</t>
        </is>
      </c>
      <c r="H288" s="12" t="inlineStr">
        <is>
          <t>1,802 residential acres left to sell</t>
        </is>
      </c>
      <c r="I288" s="14" t="inlineStr">
        <is>
          <t>Yes</t>
        </is>
      </c>
      <c r="J288" s="15" t="inlineStr">
        <is>
          <t>1,802 residential acres still to sell. Three communities on one metro's edge.</t>
        </is>
      </c>
      <c r="K288" s="14" t="inlineStr">
        <is>
          <t>No</t>
        </is>
      </c>
      <c r="L288" s="15" t="inlineStr">
        <is>
          <t>Sells finished lots and builds no houses.</t>
        </is>
      </c>
      <c r="M288" s="14" t="inlineStr">
        <is>
          <t>Yes</t>
        </is>
      </c>
      <c r="N288" s="15" t="inlineStr">
        <is>
          <t>Mass timber and low-carbon concrete in one building, One Bridgeland Green.</t>
        </is>
      </c>
      <c r="O288" s="10" t="inlineStr"/>
      <c r="P288" s="12">
        <f>HYPERLINK("https://www.linkedin.com/search/results/people/?keywords=David%20O%27Reilly%20Howard%20Hughes%20Holdings%20Inc.","search")</f>
        <v/>
      </c>
      <c r="Q288" s="16">
        <f>IF(O288="","ADD LINKEDIN","ok")</f>
        <v/>
      </c>
      <c r="R288" s="12" t="inlineStr">
        <is>
          <t>https://www.howardhughes.com/</t>
        </is>
      </c>
      <c r="S288" s="15" t="inlineStr">
        <is>
          <t>It sells finished lots and builds no houses, so builders buy the wall, but it paid for Greater Houston's first mass timber office.</t>
        </is>
      </c>
      <c r="T288" s="12" t="inlineStr"/>
      <c r="U288" s="15" t="inlineStr"/>
      <c r="V288" s="12" t="inlineStr">
        <is>
          <t>https://investor.howardhughes.com/governance/leadership</t>
        </is>
      </c>
      <c r="W288" s="12" t="inlineStr">
        <is>
          <t>https://www.linkedin.com/company/the-howard-hughes-corporation</t>
        </is>
      </c>
      <c r="X288" s="12" t="inlineStr">
        <is>
          <t>https://investor.howardhughes.com/governance/leadership</t>
        </is>
      </c>
      <c r="Y288" s="12" t="inlineStr"/>
      <c r="Z288" s="12" t="inlineStr">
        <is>
          <t>(281) 929-7700</t>
        </is>
      </c>
      <c r="AA288" s="12" t="inlineStr"/>
      <c r="AB288" s="12" t="inlineStr">
        <is>
          <t>https://www.howardhughes.com/contact/</t>
        </is>
      </c>
      <c r="AC288" s="12" t="inlineStr"/>
      <c r="AD288" s="12" t="inlineStr"/>
    </row>
    <row r="289">
      <c r="A289" s="6" t="inlineStr">
        <is>
          <t>Bill Ackman</t>
        </is>
      </c>
      <c r="B289" s="6" t="inlineStr">
        <is>
          <t>Howard Hughes Holdings Inc.</t>
        </is>
      </c>
      <c r="C289" s="6" t="inlineStr">
        <is>
          <t>Executive Chairman of the Board</t>
        </is>
      </c>
      <c r="D289" s="7" t="inlineStr">
        <is>
          <t>Land owner, not the buyer</t>
        </is>
      </c>
      <c r="E289" s="8" t="n">
        <v>2</v>
      </c>
      <c r="F289" s="6" t="inlineStr">
        <is>
          <t>Sells lots</t>
        </is>
      </c>
      <c r="G289" s="6" t="inlineStr">
        <is>
          <t>The Woodlands HQ / Harris, Montgomery</t>
        </is>
      </c>
      <c r="H289" s="6" t="inlineStr">
        <is>
          <t>1,802 residential acres left to sell</t>
        </is>
      </c>
      <c r="I289" s="8" t="inlineStr">
        <is>
          <t>Yes</t>
        </is>
      </c>
      <c r="J289" s="9" t="inlineStr">
        <is>
          <t>1,802 residential acres still to sell. Three communities on one metro's edge.</t>
        </is>
      </c>
      <c r="K289" s="8" t="inlineStr">
        <is>
          <t>No</t>
        </is>
      </c>
      <c r="L289" s="9" t="inlineStr">
        <is>
          <t>Sells finished lots and builds no houses.</t>
        </is>
      </c>
      <c r="M289" s="8" t="inlineStr">
        <is>
          <t>Yes</t>
        </is>
      </c>
      <c r="N289" s="9" t="inlineStr">
        <is>
          <t>Mass timber and low-carbon concrete in one building, One Bridgeland Green.</t>
        </is>
      </c>
      <c r="O289" s="10" t="inlineStr"/>
      <c r="P289" s="6">
        <f>HYPERLINK("https://www.linkedin.com/search/results/people/?keywords=Bill%20Ackman%20Howard%20Hughes%20Holdings%20Inc.","search")</f>
        <v/>
      </c>
      <c r="Q289" s="11">
        <f>IF(O289="","ADD LINKEDIN","ok")</f>
        <v/>
      </c>
      <c r="R289" s="6" t="inlineStr">
        <is>
          <t>https://www.howardhughes.com/</t>
        </is>
      </c>
      <c r="S289" s="9" t="inlineStr">
        <is>
          <t>It sells finished lots and builds no houses, so builders buy the wall, but it paid for Greater Houston's first mass timber office.</t>
        </is>
      </c>
      <c r="T289" s="6" t="inlineStr"/>
      <c r="U289" s="9" t="inlineStr"/>
      <c r="V289" s="6" t="inlineStr">
        <is>
          <t>https://investor.howardhughes.com/governance/leadership</t>
        </is>
      </c>
      <c r="W289" s="6" t="inlineStr">
        <is>
          <t>https://www.linkedin.com/company/the-howard-hughes-corporation</t>
        </is>
      </c>
      <c r="X289" s="6" t="inlineStr">
        <is>
          <t>https://investor.howardhughes.com/governance/leadership</t>
        </is>
      </c>
      <c r="Y289" s="6" t="inlineStr"/>
      <c r="Z289" s="6" t="inlineStr">
        <is>
          <t>(281) 929-7700</t>
        </is>
      </c>
      <c r="AA289" s="6" t="inlineStr"/>
      <c r="AB289" s="6" t="inlineStr">
        <is>
          <t>https://www.howardhughes.com/contact/</t>
        </is>
      </c>
      <c r="AC289" s="6" t="inlineStr"/>
      <c r="AD289" s="6" t="inlineStr"/>
    </row>
    <row r="290">
      <c r="A290" s="12" t="inlineStr">
        <is>
          <t>Ryan Israel</t>
        </is>
      </c>
      <c r="B290" s="12" t="inlineStr">
        <is>
          <t>Howard Hughes Holdings Inc.</t>
        </is>
      </c>
      <c r="C290" s="12" t="inlineStr">
        <is>
          <t>Chief Investment Officer</t>
        </is>
      </c>
      <c r="D290" s="13" t="inlineStr">
        <is>
          <t>Land owner, not the buyer</t>
        </is>
      </c>
      <c r="E290" s="14" t="n">
        <v>2</v>
      </c>
      <c r="F290" s="12" t="inlineStr">
        <is>
          <t>Sells lots</t>
        </is>
      </c>
      <c r="G290" s="12" t="inlineStr">
        <is>
          <t>The Woodlands HQ / Harris, Montgomery</t>
        </is>
      </c>
      <c r="H290" s="12" t="inlineStr">
        <is>
          <t>1,802 residential acres left to sell</t>
        </is>
      </c>
      <c r="I290" s="14" t="inlineStr">
        <is>
          <t>Yes</t>
        </is>
      </c>
      <c r="J290" s="15" t="inlineStr">
        <is>
          <t>1,802 residential acres still to sell. Three communities on one metro's edge.</t>
        </is>
      </c>
      <c r="K290" s="14" t="inlineStr">
        <is>
          <t>No</t>
        </is>
      </c>
      <c r="L290" s="15" t="inlineStr">
        <is>
          <t>Sells finished lots and builds no houses.</t>
        </is>
      </c>
      <c r="M290" s="14" t="inlineStr">
        <is>
          <t>Yes</t>
        </is>
      </c>
      <c r="N290" s="15" t="inlineStr">
        <is>
          <t>Mass timber and low-carbon concrete in one building, One Bridgeland Green.</t>
        </is>
      </c>
      <c r="O290" s="10" t="inlineStr"/>
      <c r="P290" s="12">
        <f>HYPERLINK("https://www.linkedin.com/search/results/people/?keywords=Ryan%20Israel%20Howard%20Hughes%20Holdings%20Inc.","search")</f>
        <v/>
      </c>
      <c r="Q290" s="16">
        <f>IF(O290="","ADD LINKEDIN","ok")</f>
        <v/>
      </c>
      <c r="R290" s="12" t="inlineStr">
        <is>
          <t>https://www.howardhughes.com/</t>
        </is>
      </c>
      <c r="S290" s="15" t="inlineStr">
        <is>
          <t>It sells finished lots and builds no houses, so builders buy the wall, but it paid for Greater Houston's first mass timber office.</t>
        </is>
      </c>
      <c r="T290" s="12" t="inlineStr"/>
      <c r="U290" s="15" t="inlineStr"/>
      <c r="V290" s="12" t="inlineStr">
        <is>
          <t>https://investor.howardhughes.com/governance/leadership</t>
        </is>
      </c>
      <c r="W290" s="12" t="inlineStr">
        <is>
          <t>https://www.linkedin.com/company/the-howard-hughes-corporation</t>
        </is>
      </c>
      <c r="X290" s="12" t="inlineStr">
        <is>
          <t>https://investor.howardhughes.com/governance/leadership</t>
        </is>
      </c>
      <c r="Y290" s="12" t="inlineStr"/>
      <c r="Z290" s="12" t="inlineStr">
        <is>
          <t>(281) 929-7700</t>
        </is>
      </c>
      <c r="AA290" s="12" t="inlineStr"/>
      <c r="AB290" s="12" t="inlineStr">
        <is>
          <t>https://www.howardhughes.com/contact/</t>
        </is>
      </c>
      <c r="AC290" s="12" t="inlineStr"/>
      <c r="AD290" s="12" t="inlineStr"/>
    </row>
    <row r="291">
      <c r="A291" s="6" t="inlineStr">
        <is>
          <t>Jim Carman</t>
        </is>
      </c>
      <c r="B291" s="6" t="inlineStr">
        <is>
          <t>Howard Hughes Holdings Inc.</t>
        </is>
      </c>
      <c r="C291" s="6" t="inlineStr">
        <is>
          <t>President, Texas Region</t>
        </is>
      </c>
      <c r="D291" s="7" t="inlineStr">
        <is>
          <t>Land owner, not the buyer</t>
        </is>
      </c>
      <c r="E291" s="8" t="n">
        <v>2</v>
      </c>
      <c r="F291" s="6" t="inlineStr">
        <is>
          <t>Sells lots</t>
        </is>
      </c>
      <c r="G291" s="6" t="inlineStr">
        <is>
          <t>The Woodlands HQ / Harris, Montgomery</t>
        </is>
      </c>
      <c r="H291" s="6" t="inlineStr">
        <is>
          <t>1,802 residential acres left to sell</t>
        </is>
      </c>
      <c r="I291" s="8" t="inlineStr">
        <is>
          <t>Yes</t>
        </is>
      </c>
      <c r="J291" s="9" t="inlineStr">
        <is>
          <t>1,802 residential acres still to sell. Three communities on one metro's edge.</t>
        </is>
      </c>
      <c r="K291" s="8" t="inlineStr">
        <is>
          <t>No</t>
        </is>
      </c>
      <c r="L291" s="9" t="inlineStr">
        <is>
          <t>Sells finished lots and builds no houses.</t>
        </is>
      </c>
      <c r="M291" s="8" t="inlineStr">
        <is>
          <t>Yes</t>
        </is>
      </c>
      <c r="N291" s="9" t="inlineStr">
        <is>
          <t>Mass timber and low-carbon concrete in one building, One Bridgeland Green.</t>
        </is>
      </c>
      <c r="O291" s="6" t="inlineStr">
        <is>
          <t>https://www.linkedin.com/in/carmanjim/</t>
        </is>
      </c>
      <c r="P291" s="6" t="inlineStr"/>
      <c r="Q291" s="11">
        <f>IF(O291="","ADD LINKEDIN","ok")</f>
        <v/>
      </c>
      <c r="R291" s="6" t="inlineStr">
        <is>
          <t>https://www.howardhughes.com/</t>
        </is>
      </c>
      <c r="S291" s="9" t="inlineStr">
        <is>
          <t>It sells finished lots and builds no houses, so builders buy the wall, but it paid for Greater Houston's first mass timber office.</t>
        </is>
      </c>
      <c r="T291" s="6" t="inlineStr"/>
      <c r="U291" s="9" t="inlineStr">
        <is>
          <t>President, Texas Region at Howard Hughes Communities. Greater Houston.</t>
        </is>
      </c>
      <c r="V291" s="6" t="inlineStr"/>
      <c r="W291" s="6" t="inlineStr">
        <is>
          <t>https://www.linkedin.com/company/the-howard-hughes-corporation</t>
        </is>
      </c>
      <c r="X291" s="6" t="inlineStr">
        <is>
          <t>https://investor.howardhughes.com/governance/leadership</t>
        </is>
      </c>
      <c r="Y291" s="6" t="inlineStr"/>
      <c r="Z291" s="6" t="inlineStr">
        <is>
          <t>(281) 929-7700</t>
        </is>
      </c>
      <c r="AA291" s="6" t="inlineStr"/>
      <c r="AB291" s="6" t="inlineStr">
        <is>
          <t>https://www.howardhughes.com/contact/</t>
        </is>
      </c>
      <c r="AC291" s="6" t="inlineStr"/>
      <c r="AD291" s="6" t="inlineStr"/>
    </row>
    <row r="292">
      <c r="A292" s="12" t="inlineStr">
        <is>
          <t>Danny Signorelli</t>
        </is>
      </c>
      <c r="B292" s="12" t="inlineStr">
        <is>
          <t>The Signorelli Company</t>
        </is>
      </c>
      <c r="C292" s="12" t="inlineStr">
        <is>
          <t>Founder and Chief Executive Officer</t>
        </is>
      </c>
      <c r="D292" s="13" t="inlineStr">
        <is>
          <t>Land owner, not the buyer</t>
        </is>
      </c>
      <c r="E292" s="14" t="n">
        <v>2</v>
      </c>
      <c r="F292" s="12" t="inlineStr">
        <is>
          <t>Sells lots</t>
        </is>
      </c>
      <c r="G292" s="12" t="inlineStr">
        <is>
          <t>The Woodlands HQ / Fort Bend, Liberty</t>
        </is>
      </c>
      <c r="H292" s="12" t="inlineStr">
        <is>
          <t>23,000+ paper lots in pipeline</t>
        </is>
      </c>
      <c r="I292" s="14" t="inlineStr">
        <is>
          <t>Yes</t>
        </is>
      </c>
      <c r="J292" s="15" t="inlineStr">
        <is>
          <t>More than 16 masterplans. Lot count as of August 6, 2026.</t>
        </is>
      </c>
      <c r="K292" s="14" t="inlineStr">
        <is>
          <t>Partly</t>
        </is>
      </c>
      <c r="L292" s="15" t="inlineStr">
        <is>
          <t>Land and vertical under one owner.</t>
        </is>
      </c>
      <c r="M292" s="14" t="inlineStr">
        <is>
          <t>No</t>
        </is>
      </c>
      <c r="N292" s="15" t="inlineStr">
        <is>
          <t>Nothing on record about construction method.</t>
        </is>
      </c>
      <c r="O292" s="6" t="inlineStr">
        <is>
          <t>https://www.linkedin.com/in/danny-signorelli-6284461b/</t>
        </is>
      </c>
      <c r="P292" s="12" t="inlineStr"/>
      <c r="Q292" s="16">
        <f>IF(O292="","ADD LINKEDIN","ok")</f>
        <v/>
      </c>
      <c r="R292" s="12" t="inlineStr">
        <is>
          <t>https://www.signorellicompany.com/</t>
        </is>
      </c>
      <c r="S292" s="15" t="inlineStr">
        <is>
          <t>Sells lots but owns First America Homes, and one president, John Winniford, runs both.</t>
        </is>
      </c>
      <c r="T292" s="12" t="inlineStr"/>
      <c r="U292" s="15" t="inlineStr">
        <is>
          <t>CEO, President, The Signorelli Company. Greater Houston.</t>
        </is>
      </c>
      <c r="V292" s="12" t="inlineStr"/>
      <c r="W292" s="12" t="inlineStr">
        <is>
          <t>https://www.linkedin.com/company/signorelli-company</t>
        </is>
      </c>
      <c r="X292" s="12" t="inlineStr">
        <is>
          <t>https://www.signorellicompany.com/our-leadership</t>
        </is>
      </c>
      <c r="Y292" s="12" t="inlineStr"/>
      <c r="Z292" s="12" t="inlineStr">
        <is>
          <t>(713) 452-1700</t>
        </is>
      </c>
      <c r="AA292" s="12" t="inlineStr"/>
      <c r="AB292" s="12" t="inlineStr">
        <is>
          <t>https://www.signorellicompany.com/</t>
        </is>
      </c>
      <c r="AC292" s="12" t="inlineStr"/>
      <c r="AD292" s="12" t="inlineStr"/>
    </row>
    <row r="293">
      <c r="A293" s="6" t="inlineStr">
        <is>
          <t>Jeff Dewese</t>
        </is>
      </c>
      <c r="B293" s="6" t="inlineStr">
        <is>
          <t>The Signorelli Company</t>
        </is>
      </c>
      <c r="C293" s="6" t="inlineStr">
        <is>
          <t>President, Land Division</t>
        </is>
      </c>
      <c r="D293" s="7" t="inlineStr">
        <is>
          <t>Land owner, not the buyer</t>
        </is>
      </c>
      <c r="E293" s="8" t="n">
        <v>2</v>
      </c>
      <c r="F293" s="6" t="inlineStr">
        <is>
          <t>Sells lots</t>
        </is>
      </c>
      <c r="G293" s="6" t="inlineStr">
        <is>
          <t>The Woodlands HQ / Fort Bend, Liberty</t>
        </is>
      </c>
      <c r="H293" s="6" t="inlineStr">
        <is>
          <t>23,000+ paper lots in pipeline</t>
        </is>
      </c>
      <c r="I293" s="8" t="inlineStr">
        <is>
          <t>Yes</t>
        </is>
      </c>
      <c r="J293" s="9" t="inlineStr">
        <is>
          <t>More than 16 masterplans. Lot count as of August 6, 2026.</t>
        </is>
      </c>
      <c r="K293" s="8" t="inlineStr">
        <is>
          <t>Partly</t>
        </is>
      </c>
      <c r="L293" s="9" t="inlineStr">
        <is>
          <t>Land and vertical under one owner.</t>
        </is>
      </c>
      <c r="M293" s="8" t="inlineStr">
        <is>
          <t>No</t>
        </is>
      </c>
      <c r="N293" s="9" t="inlineStr">
        <is>
          <t>Nothing on record about construction method.</t>
        </is>
      </c>
      <c r="O293" s="10" t="inlineStr"/>
      <c r="P293" s="6">
        <f>HYPERLINK("https://www.linkedin.com/search/results/people/?keywords=Jeff%20Dewese%20The%20Signorelli%20Company","search")</f>
        <v/>
      </c>
      <c r="Q293" s="11">
        <f>IF(O293="","ADD LINKEDIN","ok")</f>
        <v/>
      </c>
      <c r="R293" s="6" t="inlineStr">
        <is>
          <t>https://www.signorellicompany.com/</t>
        </is>
      </c>
      <c r="S293" s="9" t="inlineStr">
        <is>
          <t>Sells lots but owns First America Homes, and one president, John Winniford, runs both.</t>
        </is>
      </c>
      <c r="T293" s="6" t="inlineStr"/>
      <c r="U293" s="9" t="inlineStr">
        <is>
          <t>Bio page. Oversees acquisition, planning and construction for Granger Pines, Cielo, Austin Point.</t>
        </is>
      </c>
      <c r="V293" s="6" t="inlineStr">
        <is>
          <t>https://www.signorellicompany.com/our-leadership/15/jeff-dewese</t>
        </is>
      </c>
      <c r="W293" s="6" t="inlineStr">
        <is>
          <t>https://www.linkedin.com/company/signorelli-company</t>
        </is>
      </c>
      <c r="X293" s="6" t="inlineStr">
        <is>
          <t>https://www.signorellicompany.com/our-leadership</t>
        </is>
      </c>
      <c r="Y293" s="6" t="inlineStr"/>
      <c r="Z293" s="6" t="inlineStr">
        <is>
          <t>(713) 452-1700</t>
        </is>
      </c>
      <c r="AA293" s="6" t="inlineStr"/>
      <c r="AB293" s="6" t="inlineStr">
        <is>
          <t>https://www.signorellicompany.com/</t>
        </is>
      </c>
      <c r="AC293" s="6" t="inlineStr"/>
      <c r="AD293" s="6" t="inlineStr"/>
    </row>
    <row r="294">
      <c r="A294" s="12" t="inlineStr">
        <is>
          <t>Harry Dinham</t>
        </is>
      </c>
      <c r="B294" s="12" t="inlineStr">
        <is>
          <t>The Signorelli Company</t>
        </is>
      </c>
      <c r="C294" s="12" t="inlineStr">
        <is>
          <t>Chief Financial Officer</t>
        </is>
      </c>
      <c r="D294" s="13" t="inlineStr">
        <is>
          <t>Land owner, not the buyer</t>
        </is>
      </c>
      <c r="E294" s="14" t="n">
        <v>2</v>
      </c>
      <c r="F294" s="12" t="inlineStr">
        <is>
          <t>Sells lots</t>
        </is>
      </c>
      <c r="G294" s="12" t="inlineStr">
        <is>
          <t>The Woodlands HQ / Fort Bend, Liberty</t>
        </is>
      </c>
      <c r="H294" s="12" t="inlineStr">
        <is>
          <t>23,000+ paper lots in pipeline</t>
        </is>
      </c>
      <c r="I294" s="14" t="inlineStr">
        <is>
          <t>Yes</t>
        </is>
      </c>
      <c r="J294" s="15" t="inlineStr">
        <is>
          <t>More than 16 masterplans. Lot count as of August 6, 2026.</t>
        </is>
      </c>
      <c r="K294" s="14" t="inlineStr">
        <is>
          <t>Partly</t>
        </is>
      </c>
      <c r="L294" s="15" t="inlineStr">
        <is>
          <t>Land and vertical under one owner.</t>
        </is>
      </c>
      <c r="M294" s="14" t="inlineStr">
        <is>
          <t>No</t>
        </is>
      </c>
      <c r="N294" s="15" t="inlineStr">
        <is>
          <t>Nothing on record about construction method.</t>
        </is>
      </c>
      <c r="O294" s="10" t="inlineStr"/>
      <c r="P294" s="12">
        <f>HYPERLINK("https://www.linkedin.com/search/results/people/?keywords=Harry%20Dinham%20The%20Signorelli%20Company","search")</f>
        <v/>
      </c>
      <c r="Q294" s="16">
        <f>IF(O294="","ADD LINKEDIN","ok")</f>
        <v/>
      </c>
      <c r="R294" s="12" t="inlineStr">
        <is>
          <t>https://www.signorellicompany.com/</t>
        </is>
      </c>
      <c r="S294" s="15" t="inlineStr">
        <is>
          <t>Sells lots but owns First America Homes, and one president, John Winniford, runs both.</t>
        </is>
      </c>
      <c r="T294" s="12" t="inlineStr"/>
      <c r="U294" s="15" t="inlineStr">
        <is>
          <t>Signorelli bio page.</t>
        </is>
      </c>
      <c r="V294" s="12" t="inlineStr">
        <is>
          <t>https://www.signorellicompany.com/our-leadership/30/harry-dinham</t>
        </is>
      </c>
      <c r="W294" s="12" t="inlineStr">
        <is>
          <t>https://www.linkedin.com/company/signorelli-company</t>
        </is>
      </c>
      <c r="X294" s="12" t="inlineStr">
        <is>
          <t>https://www.signorellicompany.com/our-leadership</t>
        </is>
      </c>
      <c r="Y294" s="12" t="inlineStr"/>
      <c r="Z294" s="12" t="inlineStr">
        <is>
          <t>(713) 452-1700</t>
        </is>
      </c>
      <c r="AA294" s="12" t="inlineStr"/>
      <c r="AB294" s="12" t="inlineStr">
        <is>
          <t>https://www.signorellicompany.com/</t>
        </is>
      </c>
      <c r="AC294" s="12" t="inlineStr"/>
      <c r="AD294" s="12" t="inlineStr"/>
    </row>
    <row r="295">
      <c r="A295" s="6" t="inlineStr">
        <is>
          <t>John Winniford</t>
        </is>
      </c>
      <c r="B295" s="6" t="inlineStr">
        <is>
          <t>The Signorelli Company</t>
        </is>
      </c>
      <c r="C295" s="6" t="inlineStr">
        <is>
          <t>President, Homebuilding, The Signorelli Company</t>
        </is>
      </c>
      <c r="D295" s="7" t="inlineStr">
        <is>
          <t>Land owner, not the buyer</t>
        </is>
      </c>
      <c r="E295" s="8" t="n">
        <v>2</v>
      </c>
      <c r="F295" s="6" t="inlineStr">
        <is>
          <t>Sells lots</t>
        </is>
      </c>
      <c r="G295" s="6" t="inlineStr">
        <is>
          <t>The Woodlands HQ / Fort Bend, Liberty</t>
        </is>
      </c>
      <c r="H295" s="6" t="inlineStr">
        <is>
          <t>23,000+ paper lots in pipeline</t>
        </is>
      </c>
      <c r="I295" s="8" t="inlineStr">
        <is>
          <t>Yes</t>
        </is>
      </c>
      <c r="J295" s="9" t="inlineStr">
        <is>
          <t>More than 16 masterplans. Lot count as of August 6, 2026.</t>
        </is>
      </c>
      <c r="K295" s="8" t="inlineStr">
        <is>
          <t>Partly</t>
        </is>
      </c>
      <c r="L295" s="9" t="inlineStr">
        <is>
          <t>Land and vertical under one owner.</t>
        </is>
      </c>
      <c r="M295" s="8" t="inlineStr">
        <is>
          <t>No</t>
        </is>
      </c>
      <c r="N295" s="9" t="inlineStr">
        <is>
          <t>Nothing on record about construction method.</t>
        </is>
      </c>
      <c r="O295" s="10" t="inlineStr"/>
      <c r="P295" s="6">
        <f>HYPERLINK("https://www.linkedin.com/search/results/people/?keywords=John%20Winniford%20The%20Signorelli%20Company","search")</f>
        <v/>
      </c>
      <c r="Q295" s="11">
        <f>IF(O295="","ADD LINKEDIN","ok")</f>
        <v/>
      </c>
      <c r="R295" s="6" t="inlineStr">
        <is>
          <t>https://www.signorellicompany.com/</t>
        </is>
      </c>
      <c r="S295" s="9" t="inlineStr">
        <is>
          <t>Sells lots but owns First America Homes, and one president, John Winniford, runs both.</t>
        </is>
      </c>
      <c r="T295" s="6" t="inlineStr"/>
      <c r="U295" s="9" t="inlineStr">
        <is>
          <t>Also president of First America Homes.</t>
        </is>
      </c>
      <c r="V295" s="6" t="inlineStr">
        <is>
          <t>https://www.signorellicompany.com/our-leadership/34/john-winniford</t>
        </is>
      </c>
      <c r="W295" s="6" t="inlineStr">
        <is>
          <t>https://www.linkedin.com/company/signorelli-company</t>
        </is>
      </c>
      <c r="X295" s="6" t="inlineStr">
        <is>
          <t>https://www.signorellicompany.com/our-leadership</t>
        </is>
      </c>
      <c r="Y295" s="6" t="inlineStr"/>
      <c r="Z295" s="6" t="inlineStr">
        <is>
          <t>(713) 452-1700</t>
        </is>
      </c>
      <c r="AA295" s="6" t="inlineStr"/>
      <c r="AB295" s="6" t="inlineStr">
        <is>
          <t>https://www.signorellicompany.com/</t>
        </is>
      </c>
      <c r="AC295" s="6" t="inlineStr"/>
      <c r="AD295" s="6" t="inlineStr"/>
    </row>
    <row r="296">
      <c r="A296" s="12" t="inlineStr">
        <is>
          <t>Fred Caldwell</t>
        </is>
      </c>
      <c r="B296" s="12" t="inlineStr">
        <is>
          <t>Caldwell Companies</t>
        </is>
      </c>
      <c r="C296" s="12" t="inlineStr">
        <is>
          <t>Chief Executive Officer, Caldwell Companies</t>
        </is>
      </c>
      <c r="D296" s="13" t="inlineStr">
        <is>
          <t>Land owner, not the buyer</t>
        </is>
      </c>
      <c r="E296" s="14" t="n">
        <v>2</v>
      </c>
      <c r="F296" s="12" t="inlineStr">
        <is>
          <t>Sells lots</t>
        </is>
      </c>
      <c r="G296" s="12" t="inlineStr">
        <is>
          <t>Cypress / Montgomery, Harris</t>
        </is>
      </c>
      <c r="H296" s="12" t="inlineStr">
        <is>
          <t>Towne Lake and The Highlands, more than 4,000 homes at The Highlands alone</t>
        </is>
      </c>
      <c r="I296" s="14" t="inlineStr">
        <is>
          <t>Yes</t>
        </is>
      </c>
      <c r="J296" s="15" t="inlineStr">
        <is>
          <t>Over 4,000 planned homes, thirteen builders at The Highlands alone. Towne Lake is a second community.</t>
        </is>
      </c>
      <c r="K296" s="14" t="inlineStr">
        <is>
          <t>Partly</t>
        </is>
      </c>
      <c r="L296" s="15" t="inlineStr">
        <is>
          <t>The wall decision sits inside the group, at Caldwell Homes.</t>
        </is>
      </c>
      <c r="M296" s="14" t="inlineStr">
        <is>
          <t>No</t>
        </is>
      </c>
      <c r="N296" s="15" t="inlineStr">
        <is>
          <t>No construction-method content published.</t>
        </is>
      </c>
      <c r="O296" s="10" t="inlineStr"/>
      <c r="P296" s="12">
        <f>HYPERLINK("https://www.linkedin.com/search/results/people/?keywords=Fred%20Caldwell%20Caldwell%20Companies","search")</f>
        <v/>
      </c>
      <c r="Q296" s="16">
        <f>IF(O296="","ADD LINKEDIN","ok")</f>
        <v/>
      </c>
      <c r="R296" s="12" t="inlineStr">
        <is>
          <t>https://caldwellcos.com/</t>
        </is>
      </c>
      <c r="S296" s="15" t="inlineStr">
        <is>
          <t>It sells lots, but the wall decision sits inside the group at Caldwell Homes, its own builder, screened separately.</t>
        </is>
      </c>
      <c r="T296" s="12" t="inlineStr"/>
      <c r="U296" s="15" t="inlineStr"/>
      <c r="V296" s="12" t="inlineStr">
        <is>
          <t>https://caldwellcos.com/our-team</t>
        </is>
      </c>
      <c r="W296" s="12" t="inlineStr">
        <is>
          <t>https://www.linkedin.com/company/caldwell-companies</t>
        </is>
      </c>
      <c r="X296" s="12" t="inlineStr">
        <is>
          <t>https://caldwellcos.com/our-team</t>
        </is>
      </c>
      <c r="Y296" s="12" t="inlineStr"/>
      <c r="Z296" s="12" t="inlineStr">
        <is>
          <t>(713) 690-0000</t>
        </is>
      </c>
      <c r="AA296" s="12" t="inlineStr">
        <is>
          <t>Houston and Cypress</t>
        </is>
      </c>
      <c r="AB296" s="12" t="inlineStr">
        <is>
          <t>https://caldwellcos.com/</t>
        </is>
      </c>
      <c r="AC296" s="12" t="inlineStr"/>
      <c r="AD296" s="12" t="inlineStr"/>
    </row>
    <row r="297">
      <c r="A297" s="6" t="inlineStr">
        <is>
          <t>Fred Balda</t>
        </is>
      </c>
      <c r="B297" s="6" t="inlineStr">
        <is>
          <t>Hillwood Communities</t>
        </is>
      </c>
      <c r="C297" s="6" t="inlineStr">
        <is>
          <t>President</t>
        </is>
      </c>
      <c r="D297" s="7" t="inlineStr">
        <is>
          <t>Land owner, not the buyer</t>
        </is>
      </c>
      <c r="E297" s="8" t="n">
        <v>1</v>
      </c>
      <c r="F297" s="6" t="inlineStr">
        <is>
          <t>Sells lots</t>
        </is>
      </c>
      <c r="G297" s="6" t="inlineStr">
        <is>
          <t>Dallas HQ / Manvel, Pearland, League City</t>
        </is>
      </c>
      <c r="H297" s="6" t="inlineStr">
        <is>
          <t>Three Houston masterplans, 700 acres at Legacy alone</t>
        </is>
      </c>
      <c r="I297" s="8" t="inlineStr">
        <is>
          <t>Yes</t>
        </is>
      </c>
      <c r="J297" s="9" t="inlineStr">
        <is>
          <t>700 acres at Legacy alone. Three concurrent Houston masterplans.</t>
        </is>
      </c>
      <c r="K297" s="8" t="inlineStr">
        <is>
          <t>No</t>
        </is>
      </c>
      <c r="L297" s="9" t="inlineStr">
        <is>
          <t>Sells lots to vertical builders.</t>
        </is>
      </c>
      <c r="M297" s="8" t="inlineStr">
        <is>
          <t>No</t>
        </is>
      </c>
      <c r="N297" s="9" t="inlineStr">
        <is>
          <t>A hundred printed homes went into one of its communities. Lennar paid for the printing.</t>
        </is>
      </c>
      <c r="O297" s="10" t="inlineStr"/>
      <c r="P297" s="6">
        <f>HYPERLINK("https://www.linkedin.com/search/results/people/?keywords=Fred%20Balda%20Hillwood%20Communities","search")</f>
        <v/>
      </c>
      <c r="Q297" s="11">
        <f>IF(O297="","ADD LINKEDIN","ok")</f>
        <v/>
      </c>
      <c r="R297" s="6" t="inlineStr">
        <is>
          <t>https://www.hillwoodcommunities.com/</t>
        </is>
      </c>
      <c r="S297" s="9" t="inlineStr">
        <is>
          <t>It sells lots to vertical builders, but it developed Wolf Ranch, where ICON printed a hundred homes for Lennar.</t>
        </is>
      </c>
      <c r="T297" s="6" t="inlineStr"/>
      <c r="U297" s="9" t="inlineStr"/>
      <c r="V297" s="6" t="inlineStr">
        <is>
          <t>https://www.hillwoodcommunities.com/leadership/</t>
        </is>
      </c>
      <c r="W297" s="6" t="inlineStr"/>
      <c r="X297" s="6" t="inlineStr"/>
      <c r="Y297" s="6" t="inlineStr"/>
      <c r="Z297" s="6" t="inlineStr">
        <is>
          <t>(214) 449-0914</t>
        </is>
      </c>
      <c r="AA297" s="6" t="inlineStr">
        <is>
          <t>Dallas office</t>
        </is>
      </c>
      <c r="AB297" s="6" t="inlineStr">
        <is>
          <t>https://www.hillwoodcommunities.com/</t>
        </is>
      </c>
      <c r="AC297" s="6" t="inlineStr"/>
      <c r="AD297" s="6" t="inlineStr"/>
    </row>
    <row r="298">
      <c r="A298" s="12" t="inlineStr">
        <is>
          <t>Russell Bynum</t>
        </is>
      </c>
      <c r="B298" s="12" t="inlineStr">
        <is>
          <t>Hillwood Communities</t>
        </is>
      </c>
      <c r="C298" s="12" t="inlineStr">
        <is>
          <t>Senior Vice President, General Manager, Houston MSA</t>
        </is>
      </c>
      <c r="D298" s="13" t="inlineStr">
        <is>
          <t>Land owner, not the buyer</t>
        </is>
      </c>
      <c r="E298" s="14" t="n">
        <v>1</v>
      </c>
      <c r="F298" s="12" t="inlineStr">
        <is>
          <t>Sells lots</t>
        </is>
      </c>
      <c r="G298" s="12" t="inlineStr">
        <is>
          <t>Dallas HQ / Manvel, Pearland, League City</t>
        </is>
      </c>
      <c r="H298" s="12" t="inlineStr">
        <is>
          <t>Three Houston masterplans, 700 acres at Legacy alone</t>
        </is>
      </c>
      <c r="I298" s="14" t="inlineStr">
        <is>
          <t>Yes</t>
        </is>
      </c>
      <c r="J298" s="15" t="inlineStr">
        <is>
          <t>700 acres at Legacy alone. Three concurrent Houston masterplans.</t>
        </is>
      </c>
      <c r="K298" s="14" t="inlineStr">
        <is>
          <t>No</t>
        </is>
      </c>
      <c r="L298" s="15" t="inlineStr">
        <is>
          <t>Sells lots to vertical builders.</t>
        </is>
      </c>
      <c r="M298" s="14" t="inlineStr">
        <is>
          <t>No</t>
        </is>
      </c>
      <c r="N298" s="15" t="inlineStr">
        <is>
          <t>A hundred printed homes went into one of its communities. Lennar paid for the printing.</t>
        </is>
      </c>
      <c r="O298" s="10" t="inlineStr"/>
      <c r="P298" s="12">
        <f>HYPERLINK("https://www.linkedin.com/search/results/people/?keywords=Russell%20Bynum%20Hillwood%20Communities","search")</f>
        <v/>
      </c>
      <c r="Q298" s="16">
        <f>IF(O298="","ADD LINKEDIN","ok")</f>
        <v/>
      </c>
      <c r="R298" s="12" t="inlineStr">
        <is>
          <t>https://www.hillwoodcommunities.com/</t>
        </is>
      </c>
      <c r="S298" s="15" t="inlineStr">
        <is>
          <t>It sells lots to vertical builders, but it developed Wolf Ranch, where ICON printed a hundred homes for Lennar.</t>
        </is>
      </c>
      <c r="T298" s="12" t="inlineStr">
        <is>
          <t>YES</t>
        </is>
      </c>
      <c r="U298" s="15" t="inlineStr"/>
      <c r="V298" s="12" t="inlineStr">
        <is>
          <t>https://www.hillwoodcommunities.com/leadership/</t>
        </is>
      </c>
      <c r="W298" s="12" t="inlineStr"/>
      <c r="X298" s="12" t="inlineStr"/>
      <c r="Y298" s="12" t="inlineStr"/>
      <c r="Z298" s="12" t="inlineStr">
        <is>
          <t>(214) 449-0914</t>
        </is>
      </c>
      <c r="AA298" s="12" t="inlineStr">
        <is>
          <t>Dallas office</t>
        </is>
      </c>
      <c r="AB298" s="12" t="inlineStr">
        <is>
          <t>https://www.hillwoodcommunities.com/</t>
        </is>
      </c>
      <c r="AC298" s="12" t="inlineStr"/>
      <c r="AD298" s="12" t="inlineStr"/>
    </row>
    <row r="299">
      <c r="A299" s="6" t="inlineStr">
        <is>
          <t>Mark Meyer</t>
        </is>
      </c>
      <c r="B299" s="6" t="inlineStr">
        <is>
          <t>Hillwood Communities</t>
        </is>
      </c>
      <c r="C299" s="6" t="inlineStr">
        <is>
          <t>Senior Vice President, Planning and Innovation</t>
        </is>
      </c>
      <c r="D299" s="7" t="inlineStr">
        <is>
          <t>Land owner, not the buyer</t>
        </is>
      </c>
      <c r="E299" s="8" t="n">
        <v>1</v>
      </c>
      <c r="F299" s="6" t="inlineStr">
        <is>
          <t>Sells lots</t>
        </is>
      </c>
      <c r="G299" s="6" t="inlineStr">
        <is>
          <t>Dallas HQ / Manvel, Pearland, League City</t>
        </is>
      </c>
      <c r="H299" s="6" t="inlineStr">
        <is>
          <t>Three Houston masterplans, 700 acres at Legacy alone</t>
        </is>
      </c>
      <c r="I299" s="8" t="inlineStr">
        <is>
          <t>Yes</t>
        </is>
      </c>
      <c r="J299" s="9" t="inlineStr">
        <is>
          <t>700 acres at Legacy alone. Three concurrent Houston masterplans.</t>
        </is>
      </c>
      <c r="K299" s="8" t="inlineStr">
        <is>
          <t>No</t>
        </is>
      </c>
      <c r="L299" s="9" t="inlineStr">
        <is>
          <t>Sells lots to vertical builders.</t>
        </is>
      </c>
      <c r="M299" s="8" t="inlineStr">
        <is>
          <t>No</t>
        </is>
      </c>
      <c r="N299" s="9" t="inlineStr">
        <is>
          <t>A hundred printed homes went into one of its communities. Lennar paid for the printing.</t>
        </is>
      </c>
      <c r="O299" s="10" t="inlineStr"/>
      <c r="P299" s="6">
        <f>HYPERLINK("https://www.linkedin.com/search/results/people/?keywords=Mark%20Meyer%20Hillwood%20Communities","search")</f>
        <v/>
      </c>
      <c r="Q299" s="11">
        <f>IF(O299="","ADD LINKEDIN","ok")</f>
        <v/>
      </c>
      <c r="R299" s="6" t="inlineStr">
        <is>
          <t>https://www.hillwoodcommunities.com/</t>
        </is>
      </c>
      <c r="S299" s="9" t="inlineStr">
        <is>
          <t>It sells lots to vertical builders, but it developed Wolf Ranch, where ICON printed a hundred homes for Lennar.</t>
        </is>
      </c>
      <c r="T299" s="6" t="inlineStr"/>
      <c r="U299" s="9" t="inlineStr"/>
      <c r="V299" s="6" t="inlineStr">
        <is>
          <t>https://www.hillwoodcommunities.com/leadership/</t>
        </is>
      </c>
      <c r="W299" s="6" t="inlineStr"/>
      <c r="X299" s="6" t="inlineStr"/>
      <c r="Y299" s="6" t="inlineStr"/>
      <c r="Z299" s="6" t="inlineStr">
        <is>
          <t>(214) 449-0914</t>
        </is>
      </c>
      <c r="AA299" s="6" t="inlineStr">
        <is>
          <t>Dallas office</t>
        </is>
      </c>
      <c r="AB299" s="6" t="inlineStr">
        <is>
          <t>https://www.hillwoodcommunities.com/</t>
        </is>
      </c>
      <c r="AC299" s="6" t="inlineStr"/>
      <c r="AD299" s="6" t="inlineStr"/>
    </row>
    <row r="300">
      <c r="A300" s="12" t="inlineStr">
        <is>
          <t>Patrick Cowden</t>
        </is>
      </c>
      <c r="B300" s="12" t="inlineStr">
        <is>
          <t>Hillwood Communities</t>
        </is>
      </c>
      <c r="C300" s="12" t="inlineStr">
        <is>
          <t>Senior Vice President, Development</t>
        </is>
      </c>
      <c r="D300" s="13" t="inlineStr">
        <is>
          <t>Land owner, not the buyer</t>
        </is>
      </c>
      <c r="E300" s="14" t="n">
        <v>1</v>
      </c>
      <c r="F300" s="12" t="inlineStr">
        <is>
          <t>Sells lots</t>
        </is>
      </c>
      <c r="G300" s="12" t="inlineStr">
        <is>
          <t>Dallas HQ / Manvel, Pearland, League City</t>
        </is>
      </c>
      <c r="H300" s="12" t="inlineStr">
        <is>
          <t>Three Houston masterplans, 700 acres at Legacy alone</t>
        </is>
      </c>
      <c r="I300" s="14" t="inlineStr">
        <is>
          <t>Yes</t>
        </is>
      </c>
      <c r="J300" s="15" t="inlineStr">
        <is>
          <t>700 acres at Legacy alone. Three concurrent Houston masterplans.</t>
        </is>
      </c>
      <c r="K300" s="14" t="inlineStr">
        <is>
          <t>No</t>
        </is>
      </c>
      <c r="L300" s="15" t="inlineStr">
        <is>
          <t>Sells lots to vertical builders.</t>
        </is>
      </c>
      <c r="M300" s="14" t="inlineStr">
        <is>
          <t>No</t>
        </is>
      </c>
      <c r="N300" s="15" t="inlineStr">
        <is>
          <t>A hundred printed homes went into one of its communities. Lennar paid for the printing.</t>
        </is>
      </c>
      <c r="O300" s="10" t="inlineStr"/>
      <c r="P300" s="12">
        <f>HYPERLINK("https://www.linkedin.com/search/results/people/?keywords=Patrick%20Cowden%20Hillwood%20Communities","search")</f>
        <v/>
      </c>
      <c r="Q300" s="16">
        <f>IF(O300="","ADD LINKEDIN","ok")</f>
        <v/>
      </c>
      <c r="R300" s="12" t="inlineStr">
        <is>
          <t>https://www.hillwoodcommunities.com/</t>
        </is>
      </c>
      <c r="S300" s="15" t="inlineStr">
        <is>
          <t>It sells lots to vertical builders, but it developed Wolf Ranch, where ICON printed a hundred homes for Lennar.</t>
        </is>
      </c>
      <c r="T300" s="12" t="inlineStr"/>
      <c r="U300" s="15" t="inlineStr"/>
      <c r="V300" s="12" t="inlineStr">
        <is>
          <t>https://www.hillwoodcommunities.com/leadership/</t>
        </is>
      </c>
      <c r="W300" s="12" t="inlineStr"/>
      <c r="X300" s="12" t="inlineStr"/>
      <c r="Y300" s="12" t="inlineStr"/>
      <c r="Z300" s="12" t="inlineStr">
        <is>
          <t>(214) 449-0914</t>
        </is>
      </c>
      <c r="AA300" s="12" t="inlineStr">
        <is>
          <t>Dallas office</t>
        </is>
      </c>
      <c r="AB300" s="12" t="inlineStr">
        <is>
          <t>https://www.hillwoodcommunities.com/</t>
        </is>
      </c>
      <c r="AC300" s="12" t="inlineStr"/>
      <c r="AD300" s="12" t="inlineStr"/>
    </row>
    <row r="301">
      <c r="A301" s="6" t="inlineStr">
        <is>
          <t>Alan Brende</t>
        </is>
      </c>
      <c r="B301" s="6" t="inlineStr">
        <is>
          <t>Land Tejas</t>
        </is>
      </c>
      <c r="C301" s="6" t="inlineStr">
        <is>
          <t>Co-President, Land Tejas</t>
        </is>
      </c>
      <c r="D301" s="7" t="inlineStr">
        <is>
          <t>Land owner, not the buyer</t>
        </is>
      </c>
      <c r="E301" s="8" t="n">
        <v>1</v>
      </c>
      <c r="F301" s="6" t="inlineStr">
        <is>
          <t>Sells lots</t>
        </is>
      </c>
      <c r="G301" s="6" t="inlineStr">
        <is>
          <t>Houston / Katy, Harris-Waller</t>
        </is>
      </c>
      <c r="H301" s="6" t="inlineStr">
        <is>
          <t>Sunterra in Katy, eighteen builder names on its own page</t>
        </is>
      </c>
      <c r="I301" s="8" t="inlineStr">
        <is>
          <t>Yes</t>
        </is>
      </c>
      <c r="J301" s="9" t="inlineStr">
        <is>
          <t>Eighteen builders inside one community.</t>
        </is>
      </c>
      <c r="K301" s="8" t="inlineStr">
        <is>
          <t>No</t>
        </is>
      </c>
      <c r="L301" s="9" t="inlineStr">
        <is>
          <t>Builders buy the wall.</t>
        </is>
      </c>
      <c r="M301" s="8" t="inlineStr">
        <is>
          <t>No</t>
        </is>
      </c>
      <c r="N301" s="9" t="inlineStr">
        <is>
          <t>Nothing on record about construction method.</t>
        </is>
      </c>
      <c r="O301" s="10" t="inlineStr"/>
      <c r="P301" s="6">
        <f>HYPERLINK("https://www.linkedin.com/search/results/people/?keywords=Alan%20Brende%20Land%20Tejas","search")</f>
        <v/>
      </c>
      <c r="Q301" s="11">
        <f>IF(O301="","ADD LINKEDIN","ok")</f>
        <v/>
      </c>
      <c r="R301" s="6" t="inlineStr">
        <is>
          <t>https://landtejas.com/</t>
        </is>
      </c>
      <c r="S301" s="9" t="inlineStr">
        <is>
          <t>It sells lots to builders, so the builders buy the wall.</t>
        </is>
      </c>
      <c r="T301" s="6" t="inlineStr"/>
      <c r="U301" s="9" t="inlineStr"/>
      <c r="V301" s="6" t="inlineStr">
        <is>
          <t>https://landtejas.com/about-us/our-leadership/</t>
        </is>
      </c>
      <c r="W301" s="6" t="inlineStr">
        <is>
          <t>https://www.linkedin.com/company/land-tejas-companies</t>
        </is>
      </c>
      <c r="X301" s="6" t="inlineStr">
        <is>
          <t>https://landtejas.com/about-us/our-leadership/</t>
        </is>
      </c>
      <c r="Y301" s="6" t="inlineStr"/>
      <c r="Z301" s="6" t="inlineStr">
        <is>
          <t>(713) 783-6702</t>
        </is>
      </c>
      <c r="AA301" s="6" t="inlineStr"/>
      <c r="AB301" s="6" t="inlineStr">
        <is>
          <t>https://landtejas.com/</t>
        </is>
      </c>
      <c r="AC301" s="6" t="inlineStr"/>
      <c r="AD301" s="6" t="inlineStr"/>
    </row>
    <row r="302">
      <c r="A302" s="12" t="inlineStr">
        <is>
          <t>Melanie Ohl</t>
        </is>
      </c>
      <c r="B302" s="12" t="inlineStr">
        <is>
          <t>Land Tejas</t>
        </is>
      </c>
      <c r="C302" s="12" t="inlineStr">
        <is>
          <t>Co-President, Land Tejas</t>
        </is>
      </c>
      <c r="D302" s="13" t="inlineStr">
        <is>
          <t>Land owner, not the buyer</t>
        </is>
      </c>
      <c r="E302" s="14" t="n">
        <v>1</v>
      </c>
      <c r="F302" s="12" t="inlineStr">
        <is>
          <t>Sells lots</t>
        </is>
      </c>
      <c r="G302" s="12" t="inlineStr">
        <is>
          <t>Houston / Katy, Harris-Waller</t>
        </is>
      </c>
      <c r="H302" s="12" t="inlineStr">
        <is>
          <t>Sunterra in Katy, eighteen builder names on its own page</t>
        </is>
      </c>
      <c r="I302" s="14" t="inlineStr">
        <is>
          <t>Yes</t>
        </is>
      </c>
      <c r="J302" s="15" t="inlineStr">
        <is>
          <t>Eighteen builders inside one community.</t>
        </is>
      </c>
      <c r="K302" s="14" t="inlineStr">
        <is>
          <t>No</t>
        </is>
      </c>
      <c r="L302" s="15" t="inlineStr">
        <is>
          <t>Builders buy the wall.</t>
        </is>
      </c>
      <c r="M302" s="14" t="inlineStr">
        <is>
          <t>No</t>
        </is>
      </c>
      <c r="N302" s="15" t="inlineStr">
        <is>
          <t>Nothing on record about construction method.</t>
        </is>
      </c>
      <c r="O302" s="10" t="inlineStr"/>
      <c r="P302" s="12">
        <f>HYPERLINK("https://www.linkedin.com/search/results/people/?keywords=Melanie%20Ohl%20Land%20Tejas","search")</f>
        <v/>
      </c>
      <c r="Q302" s="16">
        <f>IF(O302="","ADD LINKEDIN","ok")</f>
        <v/>
      </c>
      <c r="R302" s="12" t="inlineStr">
        <is>
          <t>https://landtejas.com/</t>
        </is>
      </c>
      <c r="S302" s="15" t="inlineStr">
        <is>
          <t>It sells lots to builders, so the builders buy the wall.</t>
        </is>
      </c>
      <c r="T302" s="12" t="inlineStr"/>
      <c r="U302" s="15" t="inlineStr"/>
      <c r="V302" s="12" t="inlineStr">
        <is>
          <t>https://landtejas.com/about-us/our-leadership/</t>
        </is>
      </c>
      <c r="W302" s="12" t="inlineStr">
        <is>
          <t>https://www.linkedin.com/company/land-tejas-companies</t>
        </is>
      </c>
      <c r="X302" s="12" t="inlineStr">
        <is>
          <t>https://landtejas.com/about-us/our-leadership/</t>
        </is>
      </c>
      <c r="Y302" s="12" t="inlineStr"/>
      <c r="Z302" s="12" t="inlineStr">
        <is>
          <t>(713) 783-6702</t>
        </is>
      </c>
      <c r="AA302" s="12" t="inlineStr"/>
      <c r="AB302" s="12" t="inlineStr">
        <is>
          <t>https://landtejas.com/</t>
        </is>
      </c>
      <c r="AC302" s="12" t="inlineStr"/>
      <c r="AD302" s="12" t="inlineStr"/>
    </row>
    <row r="303">
      <c r="A303" s="6" t="inlineStr">
        <is>
          <t>Michael J. Smith</t>
        </is>
      </c>
      <c r="B303" s="6" t="inlineStr">
        <is>
          <t>Johnson Development Corp</t>
        </is>
      </c>
      <c r="C303" s="6" t="inlineStr">
        <is>
          <t>President and Chief Executive Officer, Johnson Development</t>
        </is>
      </c>
      <c r="D303" s="7" t="inlineStr">
        <is>
          <t>Land owner, not the buyer</t>
        </is>
      </c>
      <c r="E303" s="8" t="n">
        <v>1</v>
      </c>
      <c r="F303" s="6" t="inlineStr">
        <is>
          <t>Sells lots</t>
        </is>
      </c>
      <c r="G303" s="6" t="inlineStr">
        <is>
          <t>Houston / Fort Bend, Montgomery</t>
        </is>
      </c>
      <c r="H303" s="6" t="inlineStr">
        <is>
          <t>Fifteen concurrent Houston masterplans</t>
        </is>
      </c>
      <c r="I303" s="8" t="inlineStr">
        <is>
          <t>Yes</t>
        </is>
      </c>
      <c r="J303" s="9" t="inlineStr">
        <is>
          <t>Fifteen at once, its own count.</t>
        </is>
      </c>
      <c r="K303" s="8" t="inlineStr">
        <is>
          <t>No</t>
        </is>
      </c>
      <c r="L303" s="9" t="inlineStr">
        <is>
          <t>Does not pour walls.</t>
        </is>
      </c>
      <c r="M303" s="8" t="inlineStr">
        <is>
          <t>No</t>
        </is>
      </c>
      <c r="N303" s="9" t="inlineStr">
        <is>
          <t>No construction-method content published.</t>
        </is>
      </c>
      <c r="O303" s="10" t="inlineStr"/>
      <c r="P303" s="6">
        <f>HYPERLINK("https://www.linkedin.com/search/results/people/?keywords=Michael%20J.%20Smith%20Johnson%20Development%20Corp","search")</f>
        <v/>
      </c>
      <c r="Q303" s="11">
        <f>IF(O303="","ADD LINKEDIN","ok")</f>
        <v/>
      </c>
      <c r="R303" s="6" t="inlineStr">
        <is>
          <t>https://www.johnsondevelopment.com/</t>
        </is>
      </c>
      <c r="S303" s="9" t="inlineStr">
        <is>
          <t>It sells lots and buys no walls, so the wall decision sits with the builders on its land.</t>
        </is>
      </c>
      <c r="T303" s="6" t="inlineStr"/>
      <c r="U303" s="9" t="inlineStr"/>
      <c r="V303" s="6" t="inlineStr">
        <is>
          <t>https://www.johnsondevelopment.com/our-leaders</t>
        </is>
      </c>
      <c r="W303" s="6" t="inlineStr">
        <is>
          <t>https://www.linkedin.com/company/the-johnson-development-corp</t>
        </is>
      </c>
      <c r="X303" s="6" t="inlineStr">
        <is>
          <t>https://www.johnsondevelopment.com/our-leaders</t>
        </is>
      </c>
      <c r="Y303" s="6" t="inlineStr"/>
      <c r="Z303" s="6" t="inlineStr">
        <is>
          <t>(713) 960-9977</t>
        </is>
      </c>
      <c r="AA303" s="6" t="inlineStr"/>
      <c r="AB303" s="6" t="inlineStr">
        <is>
          <t>https://www.johnsondevelopment.com/</t>
        </is>
      </c>
      <c r="AC303" s="6" t="inlineStr"/>
      <c r="AD303" s="6" t="inlineStr"/>
    </row>
    <row r="304">
      <c r="A304" s="12" t="inlineStr">
        <is>
          <t>Alan Bauer</t>
        </is>
      </c>
      <c r="B304" s="12" t="inlineStr">
        <is>
          <t>Newland Communities</t>
        </is>
      </c>
      <c r="C304" s="12" t="inlineStr">
        <is>
          <t>Senior Vice President and Houston Division Manager, Newland (2019)</t>
        </is>
      </c>
      <c r="D304" s="13" t="inlineStr">
        <is>
          <t>Land owner, not the buyer</t>
        </is>
      </c>
      <c r="E304" s="14" t="n">
        <v>1</v>
      </c>
      <c r="F304" s="12" t="inlineStr">
        <is>
          <t>Sells lots</t>
        </is>
      </c>
      <c r="G304" s="12" t="inlineStr">
        <is>
          <t>Katy, Harris</t>
        </is>
      </c>
      <c r="H304" s="12" t="inlineStr">
        <is>
          <t>Elyson, 3,600 acres in Katy</t>
        </is>
      </c>
      <c r="I304" s="14" t="inlineStr">
        <is>
          <t>Partly</t>
        </is>
      </c>
      <c r="J304" s="15" t="inlineStr">
        <is>
          <t>3,600 acres at Elyson, one Houston community.</t>
        </is>
      </c>
      <c r="K304" s="14" t="inlineStr">
        <is>
          <t>No</t>
        </is>
      </c>
      <c r="L304" s="15" t="inlineStr">
        <is>
          <t>Sells lots.</t>
        </is>
      </c>
      <c r="M304" s="14" t="inlineStr">
        <is>
          <t>No</t>
        </is>
      </c>
      <c r="N304" s="15" t="inlineStr">
        <is>
          <t>Nothing on record about construction method.</t>
        </is>
      </c>
      <c r="O304" s="10" t="inlineStr"/>
      <c r="P304" s="12">
        <f>HYPERLINK("https://www.linkedin.com/search/results/people/?keywords=Alan%20Bauer%20Newland%20Communities","search")</f>
        <v/>
      </c>
      <c r="Q304" s="16">
        <f>IF(O304="","ADD LINKEDIN","ok")</f>
        <v/>
      </c>
      <c r="R304" s="12" t="inlineStr">
        <is>
          <t>https://newlandco.com/</t>
        </is>
      </c>
      <c r="S304" s="15" t="inlineStr">
        <is>
          <t>It sells lots, so builders buy the wall, and the one Houston name on record is from 2019.</t>
        </is>
      </c>
      <c r="T304" s="12" t="inlineStr"/>
      <c r="U304" s="15" t="inlineStr">
        <is>
          <t>West Houston Association board announcement, 2019. Unconfirmed since.</t>
        </is>
      </c>
      <c r="V304" s="12" t="inlineStr">
        <is>
          <t>https://www.westhouston.org/2019/01/18/welcome-to-the-2019-board-or-directors/</t>
        </is>
      </c>
      <c r="W304" s="12" t="inlineStr">
        <is>
          <t>https://www.linkedin.com/company/newland-communities-llc</t>
        </is>
      </c>
      <c r="X304" s="12" t="inlineStr"/>
      <c r="Y304" s="12" t="inlineStr"/>
      <c r="Z304" s="12" t="inlineStr"/>
      <c r="AA304" s="12" t="inlineStr"/>
      <c r="AB304" s="12" t="inlineStr"/>
      <c r="AC304" s="12" t="inlineStr"/>
      <c r="AD304" s="12" t="inlineStr"/>
    </row>
    <row r="305">
      <c r="A305" s="6" t="inlineStr">
        <is>
          <t>Michael Reamer</t>
        </is>
      </c>
      <c r="B305" s="6" t="inlineStr">
        <is>
          <t>Lennar, Houston Division</t>
        </is>
      </c>
      <c r="C305" s="6" t="inlineStr">
        <is>
          <t>Division President, Houston</t>
        </is>
      </c>
      <c r="D305" s="7" t="inlineStr">
        <is>
          <t>Lennar and the firms it owns</t>
        </is>
      </c>
      <c r="E305" s="8" t="n">
        <v>2</v>
      </c>
      <c r="F305" s="6" t="inlineStr">
        <is>
          <t>Buys walls</t>
        </is>
      </c>
      <c r="G305" s="6" t="inlineStr">
        <is>
          <t>Houston / 36 cities, Angleton to Bay City</t>
        </is>
      </c>
      <c r="H305" s="6" t="inlineStr">
        <is>
          <t>6,362 Houston closings in 2025, first in the metro</t>
        </is>
      </c>
      <c r="I305" s="8" t="inlineStr">
        <is>
          <t>Yes</t>
        </is>
      </c>
      <c r="J305" s="9" t="inlineStr">
        <is>
          <t>Same standard features, built in 36 Houston-area cities.</t>
        </is>
      </c>
      <c r="K305" s="8" t="inlineStr">
        <is>
          <t>No</t>
        </is>
      </c>
      <c r="L305" s="9" t="inlineStr">
        <is>
          <t>6,362 Houston closings in 2025, beyond one or two printers. First order is a divisional pilot.</t>
        </is>
      </c>
      <c r="M305" s="8" t="inlineStr">
        <is>
          <t>Yes</t>
        </is>
      </c>
      <c r="N305" s="9" t="inlineStr">
        <is>
          <t>Lennar built the 100-home Wolf Ranch with ICON. LEN X invested in ICON in August 2021.</t>
        </is>
      </c>
      <c r="O305" s="10" t="inlineStr"/>
      <c r="P305" s="6" t="inlineStr"/>
      <c r="Q305" s="11">
        <f>IF(O305="","ADD LINKEDIN","ok")</f>
        <v/>
      </c>
      <c r="R305" s="6" t="inlineStr">
        <is>
          <t>https://www.lennar.com/new-homes/texas/houston</t>
        </is>
      </c>
      <c r="S305" s="9" t="inlineStr">
        <is>
          <t>Its division president controls home design and construction, so a first order would be a divisional pilot.</t>
        </is>
      </c>
      <c r="T305" s="6" t="inlineStr">
        <is>
          <t>YES</t>
        </is>
      </c>
      <c r="U305" s="9" t="inlineStr">
        <is>
          <t>Release, 14 December 2023. Appointed early 2021, succeeding John Hammond.</t>
        </is>
      </c>
      <c r="V305" s="6" t="inlineStr">
        <is>
          <t>https://www.prnewswire.com/news-releases/lennar-helping-a-hero-bass-pro-shops-and-the-highlands-by-caldwell-communities-welcome-corporal-matthew-houston-usa-ret-an-amputee-injured-in-iraq-to-his-new-home-302016046.html</t>
        </is>
      </c>
      <c r="W305" s="6" t="inlineStr"/>
      <c r="X305" s="6" t="inlineStr"/>
      <c r="Y305" s="6" t="inlineStr"/>
      <c r="Z305" s="6" t="inlineStr">
        <is>
          <t>(888) 671-8175</t>
        </is>
      </c>
      <c r="AA305" s="6" t="inlineStr">
        <is>
          <t>Houston new-home consultants, toll-free</t>
        </is>
      </c>
      <c r="AB305" s="6" t="inlineStr">
        <is>
          <t>https://www.lennar.com/contact?divisionNumber=HOULEN&amp;market=HOU&amp;state=TX</t>
        </is>
      </c>
      <c r="AC305" s="6" t="inlineStr"/>
      <c r="AD305" s="6" t="inlineStr"/>
    </row>
    <row r="306">
      <c r="A306" s="12" t="inlineStr">
        <is>
          <t>Michael Reamer</t>
        </is>
      </c>
      <c r="B306" s="12" t="inlineStr">
        <is>
          <t>Friendswood Development Company</t>
        </is>
      </c>
      <c r="C306" s="12" t="inlineStr">
        <is>
          <t>President, Friendswood Development Company</t>
        </is>
      </c>
      <c r="D306" s="13" t="inlineStr">
        <is>
          <t>Lennar and the firms it owns</t>
        </is>
      </c>
      <c r="E306" s="14" t="n">
        <v>2</v>
      </c>
      <c r="F306" s="12" t="inlineStr">
        <is>
          <t>Sells lots</t>
        </is>
      </c>
      <c r="G306" s="12" t="inlineStr">
        <is>
          <t>Houston / Montgomery, Galveston</t>
        </is>
      </c>
      <c r="H306" s="12" t="inlineStr">
        <is>
          <t>Sells lots inside its own masterplans, and Lennar builds</t>
        </is>
      </c>
      <c r="I306" s="14" t="inlineStr">
        <is>
          <t>Partly</t>
        </is>
      </c>
      <c r="J306" s="15" t="inlineStr">
        <is>
          <t>Sells lots inside its own masterplans. Lennar builds the houses.</t>
        </is>
      </c>
      <c r="K306" s="14" t="inlineStr">
        <is>
          <t>No</t>
        </is>
      </c>
      <c r="L306" s="15" t="inlineStr">
        <is>
          <t>The route is Lennar.</t>
        </is>
      </c>
      <c r="M306" s="14" t="inlineStr">
        <is>
          <t>Partly</t>
        </is>
      </c>
      <c r="N306" s="15" t="inlineStr">
        <is>
          <t>Parent Lennar built a hundred printed homes with ICON. Friendswood itself buys no walls.</t>
        </is>
      </c>
      <c r="O306" s="10" t="inlineStr"/>
      <c r="P306" s="12">
        <f>HYPERLINK("https://www.linkedin.com/search/results/people/?keywords=Michael%20Reamer%20Friendswood%20Development%20Company","search")</f>
        <v/>
      </c>
      <c r="Q306" s="16">
        <f>IF(O306="","ADD LINKEDIN","ok")</f>
        <v/>
      </c>
      <c r="R306" s="12" t="inlineStr">
        <is>
          <t>https://friendswooddevelopment.com/</t>
        </is>
      </c>
      <c r="S306" s="15" t="inlineStr">
        <is>
          <t>It sells lots inside its own masterplans and buys no walls, so the route to a printer is Lennar.</t>
        </is>
      </c>
      <c r="T306" s="12" t="inlineStr"/>
      <c r="U306" s="15" t="inlineStr"/>
      <c r="V306" s="12" t="inlineStr">
        <is>
          <t>https://friendswooddevelopment.com/people</t>
        </is>
      </c>
      <c r="W306" s="12" t="inlineStr">
        <is>
          <t>https://www.linkedin.com/company/friendswood-development-company</t>
        </is>
      </c>
      <c r="X306" s="12" t="inlineStr">
        <is>
          <t>https://friendswooddevelopment.com/people</t>
        </is>
      </c>
      <c r="Y306" s="12" t="inlineStr"/>
      <c r="Z306" s="12" t="inlineStr">
        <is>
          <t>(281) 875-1552</t>
        </is>
      </c>
      <c r="AA306" s="12" t="inlineStr"/>
      <c r="AB306" s="12" t="inlineStr">
        <is>
          <t>https://friendswooddevelopment.com/contact-us</t>
        </is>
      </c>
      <c r="AC306" s="12" t="inlineStr"/>
      <c r="AD306" s="12" t="inlineStr"/>
    </row>
    <row r="307">
      <c r="A307" s="6" t="inlineStr">
        <is>
          <t>George Kopecky</t>
        </is>
      </c>
      <c r="B307" s="6" t="inlineStr">
        <is>
          <t>GreenEco Builders</t>
        </is>
      </c>
      <c r="C307" s="6" t="inlineStr">
        <is>
          <t>President</t>
        </is>
      </c>
      <c r="D307" s="7" t="inlineStr">
        <is>
          <t>Lennar and the firms it owns</t>
        </is>
      </c>
      <c r="E307" s="8" t="n">
        <v>2</v>
      </c>
      <c r="F307" s="6" t="inlineStr">
        <is>
          <t>Buys walls</t>
        </is>
      </c>
      <c r="G307" s="6" t="inlineStr">
        <is>
          <t>Tavola, New Caney</t>
        </is>
      </c>
      <c r="H307" s="6" t="inlineStr">
        <is>
          <t>Owned by Rausch Coleman, which Lennar bought in February 2025</t>
        </is>
      </c>
      <c r="I307" s="8" t="inlineStr">
        <is>
          <t>Partly</t>
        </is>
      </c>
      <c r="J307" s="9" t="inlineStr">
        <is>
          <t>One confirmed community, Tavola in New Caney.</t>
        </is>
      </c>
      <c r="K307" s="8" t="inlineStr">
        <is>
          <t>Partly</t>
        </is>
      </c>
      <c r="L307" s="9" t="inlineStr">
        <is>
          <t>No Houston volume figure published.</t>
        </is>
      </c>
      <c r="M307" s="8" t="inlineStr">
        <is>
          <t>No</t>
        </is>
      </c>
      <c r="N307" s="9" t="inlineStr">
        <is>
          <t>Nothing on record.</t>
        </is>
      </c>
      <c r="O307" s="6" t="inlineStr">
        <is>
          <t>https://www.linkedin.com/in/george-kopecky-7ba08a26/</t>
        </is>
      </c>
      <c r="P307" s="6" t="inlineStr"/>
      <c r="Q307" s="11">
        <f>IF(O307="","ADD LINKEDIN","ok")</f>
        <v/>
      </c>
      <c r="R307" s="6" t="inlineStr">
        <is>
          <t>no website confirmed</t>
        </is>
      </c>
      <c r="S307" s="9" t="inlineStr">
        <is>
          <t>It sells at one confirmed community, Tavola, and publishes no Houston volume figure.</t>
        </is>
      </c>
      <c r="T307" s="6" t="inlineStr"/>
      <c r="U307" s="9" t="inlineStr">
        <is>
          <t>Indexed title: President, GreenEco Builders. Principal in coverage of the 2020 sale.</t>
        </is>
      </c>
      <c r="V307" s="6" t="inlineStr"/>
      <c r="W307" s="6" t="inlineStr"/>
      <c r="X307" s="6" t="inlineStr"/>
      <c r="Y307" s="6" t="inlineStr"/>
      <c r="Z307" s="6" t="inlineStr"/>
      <c r="AA307" s="6" t="inlineStr"/>
      <c r="AB307" s="6" t="inlineStr"/>
      <c r="AC307" s="6" t="inlineStr"/>
      <c r="AD307" s="6" t="inlineStr"/>
    </row>
    <row r="309">
      <c r="A309"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Greater Houston, 2026-09-24.</t>
        </is>
      </c>
    </row>
  </sheetData>
  <autoFilter ref="A6:AD30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Building Permits,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2026-09-26T00:48:07Z</dcterms:created>
  <dcterms:modified xmlns:dcterms="http://purl.org/dc/terms/" xmlns:xsi="http://www.w3.org/2001/XMLSchema-instance" xsi:type="dcterms:W3CDTF">2026-09-26T00:48:08Z</dcterms:modified>
</cp:coreProperties>
</file>