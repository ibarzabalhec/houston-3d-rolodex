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acts" sheetId="1" state="visible" r:id="rId1"/>
    <sheet xmlns:r="http://schemas.openxmlformats.org/officeDocument/2006/relationships" name="Permits" sheetId="2" state="visible" r:id="rId2"/>
  </sheets>
  <definedNames>
    <definedName name="_xlnm._FilterDatabase" localSheetId="0" hidden="1">'Contacts'!$A$6:$Z$264</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111111"/>
      <sz val="15"/>
    </font>
    <font>
      <name val="Arial"/>
      <color rgb="00666666"/>
      <sz val="9"/>
    </font>
    <font>
      <name val="Arial"/>
      <i val="1"/>
      <color rgb="00666666"/>
      <sz val="9"/>
    </font>
    <font>
      <name val="Arial"/>
      <b val="1"/>
      <color rgb="00111111"/>
      <sz val="12"/>
    </font>
    <font>
      <name val="Arial"/>
      <b val="1"/>
      <color rgb="00FFFFFF"/>
      <sz val="9"/>
    </font>
    <font>
      <name val="Arial"/>
      <color rgb="00111111"/>
      <sz val="10"/>
    </font>
    <font>
      <name val="Arial"/>
      <b val="1"/>
      <color rgb="00111111"/>
      <sz val="10"/>
    </font>
    <font>
      <name val="Arial"/>
      <b val="1"/>
      <color rgb="00FF4F00"/>
      <sz val="9"/>
    </font>
    <font>
      <name val="Arial"/>
      <b val="1"/>
      <color rgb="00111111"/>
      <sz val="11"/>
    </font>
    <font>
      <name val="Arial"/>
      <color rgb="00666666"/>
      <sz val="10"/>
    </font>
  </fonts>
  <fills count="5">
    <fill>
      <patternFill/>
    </fill>
    <fill>
      <patternFill patternType="gray125"/>
    </fill>
    <fill>
      <patternFill patternType="solid">
        <fgColor rgb="00111111"/>
      </patternFill>
    </fill>
    <fill>
      <patternFill patternType="solid">
        <fgColor rgb="00FFE9DF"/>
      </patternFill>
    </fill>
    <fill>
      <patternFill patternType="solid">
        <fgColor rgb="00FAFAFA"/>
      </patternFill>
    </fill>
  </fills>
  <borders count="2">
    <border>
      <left/>
      <right/>
      <top/>
      <bottom/>
      <diagonal/>
    </border>
    <border>
      <bottom style="thin">
        <color rgb="00E4E4E4"/>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0" borderId="0" applyAlignment="1" pivotButton="0" quotePrefix="0" xfId="0">
      <alignment/>
    </xf>
    <xf numFmtId="0" fontId="5" fillId="2" borderId="0" applyAlignment="1" pivotButton="0" quotePrefix="0" xfId="0">
      <alignment horizontal="left" vertical="center"/>
    </xf>
    <xf numFmtId="0" fontId="6" fillId="0" borderId="1" applyAlignment="1" pivotButton="0" quotePrefix="0" xfId="0">
      <alignment vertical="top"/>
    </xf>
    <xf numFmtId="0" fontId="7" fillId="0" borderId="1" applyAlignment="1" pivotButton="0" quotePrefix="0" xfId="0">
      <alignment horizontal="left" vertical="top"/>
    </xf>
    <xf numFmtId="0" fontId="6" fillId="0" borderId="1" applyAlignment="1" pivotButton="0" quotePrefix="0" xfId="0">
      <alignment horizontal="center" vertical="top"/>
    </xf>
    <xf numFmtId="0" fontId="6" fillId="0" borderId="1" applyAlignment="1" pivotButton="0" quotePrefix="0" xfId="0">
      <alignment vertical="top" wrapText="1"/>
    </xf>
    <xf numFmtId="0" fontId="6" fillId="3" borderId="1" applyAlignment="1" pivotButton="0" quotePrefix="0" xfId="0">
      <alignment vertical="top"/>
    </xf>
    <xf numFmtId="0" fontId="8" fillId="0" borderId="1" applyAlignment="1" pivotButton="0" quotePrefix="0" xfId="0">
      <alignment horizontal="center" vertical="top"/>
    </xf>
    <xf numFmtId="0" fontId="6" fillId="4" borderId="1" applyAlignment="1" pivotButton="0" quotePrefix="0" xfId="0">
      <alignment vertical="top"/>
    </xf>
    <xf numFmtId="0" fontId="7" fillId="4" borderId="1" applyAlignment="1" pivotButton="0" quotePrefix="0" xfId="0">
      <alignment horizontal="left" vertical="top"/>
    </xf>
    <xf numFmtId="0" fontId="6" fillId="4" borderId="1" applyAlignment="1" pivotButton="0" quotePrefix="0" xfId="0">
      <alignment horizontal="center" vertical="top"/>
    </xf>
    <xf numFmtId="0" fontId="6" fillId="4" borderId="1" applyAlignment="1" pivotButton="0" quotePrefix="0" xfId="0">
      <alignment vertical="top" wrapText="1"/>
    </xf>
    <xf numFmtId="0" fontId="8" fillId="4" borderId="1" applyAlignment="1" pivotButton="0" quotePrefix="0" xfId="0">
      <alignment horizontal="center" vertical="top"/>
    </xf>
    <xf numFmtId="0" fontId="3" fillId="0" borderId="0" pivotButton="0" quotePrefix="0" xfId="0"/>
    <xf numFmtId="0" fontId="9" fillId="0" borderId="0" pivotButton="0" quotePrefix="0" xfId="0"/>
    <xf numFmtId="0" fontId="5" fillId="2" borderId="0" pivotButton="0" quotePrefix="0" xfId="0"/>
    <xf numFmtId="0" fontId="6" fillId="0" borderId="0" pivotButton="0" quotePrefix="0" xfId="0"/>
    <xf numFmtId="0" fontId="7" fillId="0" borderId="0" pivotButton="0" quotePrefix="0" xfId="0"/>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6"/>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34" customWidth="1" min="3" max="3"/>
    <col width="26" customWidth="1" min="4" max="4"/>
    <col width="7" customWidth="1" min="5" max="5"/>
    <col width="13" customWidth="1" min="6" max="6"/>
    <col width="30" customWidth="1" min="7" max="7"/>
    <col width="30" customWidth="1" min="8" max="8"/>
    <col width="12" customWidth="1" min="9" max="9"/>
    <col width="48" customWidth="1" min="10" max="10"/>
    <col width="12" customWidth="1" min="11" max="11"/>
    <col width="48" customWidth="1" min="12" max="12"/>
    <col width="13" customWidth="1" min="13" max="13"/>
    <col width="48" customWidth="1" min="14" max="14"/>
    <col width="10" customWidth="1" min="15" max="15"/>
    <col width="40" customWidth="1" min="16" max="16"/>
    <col width="9" customWidth="1" min="17" max="17"/>
    <col width="14" customWidth="1" min="18" max="18"/>
    <col width="34" customWidth="1" min="19" max="19"/>
    <col width="80" customWidth="1" min="20" max="20"/>
    <col width="15" customWidth="1" min="21" max="21"/>
    <col width="70" customWidth="1" min="22" max="22"/>
    <col width="46" customWidth="1" min="23" max="23"/>
    <col width="42" customWidth="1" min="24" max="24"/>
    <col width="42" customWidth="1" min="25" max="25"/>
    <col width="70" customWidth="1" min="26" max="26"/>
  </cols>
  <sheetData>
    <row r="1">
      <c r="A1" s="1" t="inlineStr">
        <is>
          <t>ICON · Greater Houston screen · contact workbench</t>
        </is>
      </c>
    </row>
    <row r="2">
      <c r="A2" s="2" t="inlineStr">
        <is>
          <t>Generated from houston-data.json · build 46 · 2026-09-11 · public render. Do not hand-edit the HTML deck; it regenerates from the same file.</t>
        </is>
      </c>
    </row>
    <row r="3">
      <c r="A3" s="2" t="inlineStr">
        <is>
          <t>Contacts</t>
        </is>
      </c>
      <c r="B3" s="3">
        <f>COUNTA($A$7:$A$264)</f>
        <v/>
      </c>
      <c r="C3" s="2" t="inlineStr">
        <is>
          <t>LinkedIn held</t>
        </is>
      </c>
      <c r="D3" s="3">
        <f>COUNTIF($R$7:$R$264,"ok")</f>
        <v/>
      </c>
      <c r="E3" s="2" t="inlineStr">
        <is>
          <t>Still to add</t>
        </is>
      </c>
      <c r="F3" s="3">
        <f>COUNTIF($R$7:$R$264,"ADD LINKEDIN")</f>
        <v/>
      </c>
      <c r="G3" s="2" t="inlineStr">
        <is>
          <t>Strong targets</t>
        </is>
      </c>
      <c r="H3" s="3">
        <f>SUMPRODUCT((COUNTIF(OFFSET($B$7,ROW($B$7:$B$264)-ROW($B$7),0,1,1),$B$7:$B$264)&gt;0)*($D$7:$D$264="Strong target")/COUNTIF($B$7:$B$264,$B$7:$B$264&amp;""))</f>
        <v/>
      </c>
      <c r="I3" s="2" t="inlineStr">
        <is>
          <t>Wall deciders</t>
        </is>
      </c>
      <c r="J3" s="3">
        <f>COUNTIF($V$7:$V$264,"YES")</f>
        <v/>
      </c>
    </row>
    <row r="4">
      <c r="A4" s="4" t="inlineStr">
        <is>
          <t>LEGEND. Column Q is a one-click LinkedIn people search for that name at that firm, run in your own signed-in session. Paste the profile URL into the shaded cell in column P and column R flips from ADD LINKEDIN to ok, with the counters in row 3 updating live. Every other column is generated and is overwritten on the next build. Column V marks the people who can change a wall specification, a vice president or director of construction or the head of purchasing; filter it to YES for the call list. Column W is the evidence behind the name, column X the firm's own page that names them, and columns Y and Z the company's LinkedIn and leadership pages. Example: https://www.linkedin.com/in/jane-doe-1a2b3c4d/</t>
        </is>
      </c>
    </row>
    <row r="6" ht="22" customHeight="1">
      <c r="A6" s="5" t="inlineStr">
        <is>
          <t>Name</t>
        </is>
      </c>
      <c r="B6" s="5" t="inlineStr">
        <is>
          <t>Firm</t>
        </is>
      </c>
      <c r="C6" s="5" t="inlineStr">
        <is>
          <t>Title</t>
        </is>
      </c>
      <c r="D6" s="5" t="inlineStr">
        <is>
          <t>Group</t>
        </is>
      </c>
      <c r="E6" s="5" t="inlineStr">
        <is>
          <t>Holds</t>
        </is>
      </c>
      <c r="F6" s="5" t="inlineStr">
        <is>
          <t>Role</t>
        </is>
      </c>
      <c r="G6" s="5" t="inlineStr">
        <is>
          <t>Region</t>
        </is>
      </c>
      <c r="H6" s="5" t="inlineStr">
        <is>
          <t>Headline figure</t>
        </is>
      </c>
      <c r="I6" s="5" t="inlineStr">
        <is>
          <t>Repetition</t>
        </is>
      </c>
      <c r="J6" s="5" t="inlineStr">
        <is>
          <t>Repetition why</t>
        </is>
      </c>
      <c r="K6" s="5" t="inlineStr">
        <is>
          <t>Printer fit</t>
        </is>
      </c>
      <c r="L6" s="5" t="inlineStr">
        <is>
          <t>Printer fit why</t>
        </is>
      </c>
      <c r="M6" s="5" t="inlineStr">
        <is>
          <t>Track record</t>
        </is>
      </c>
      <c r="N6" s="5" t="inlineStr">
        <is>
          <t>Track record why</t>
        </is>
      </c>
      <c r="O6" s="5" t="inlineStr">
        <is>
          <t>Capital</t>
        </is>
      </c>
      <c r="P6" s="5" t="inlineStr">
        <is>
          <t>LinkedIn URL</t>
        </is>
      </c>
      <c r="Q6" s="5" t="inlineStr">
        <is>
          <t>Find</t>
        </is>
      </c>
      <c r="R6" s="5" t="inlineStr">
        <is>
          <t>Status</t>
        </is>
      </c>
      <c r="S6" s="5" t="inlineStr">
        <is>
          <t>Company URL</t>
        </is>
      </c>
      <c r="T6" s="5" t="inlineStr">
        <is>
          <t>Screen result</t>
        </is>
      </c>
      <c r="U6" s="5" t="inlineStr">
        <is>
          <t>Decides the wall</t>
        </is>
      </c>
      <c r="V6" s="5" t="inlineStr">
        <is>
          <t>How this person was verified</t>
        </is>
      </c>
      <c r="W6" s="5" t="inlineStr">
        <is>
          <t>Firm page for this person</t>
        </is>
      </c>
      <c r="X6" s="5" t="inlineStr">
        <is>
          <t>Company LinkedIn</t>
        </is>
      </c>
      <c r="Y6" s="5" t="inlineStr">
        <is>
          <t>Leadership page</t>
        </is>
      </c>
      <c r="Z6" s="5" t="inlineStr">
        <is>
          <t>Latest press</t>
        </is>
      </c>
    </row>
    <row r="7">
      <c r="A7" s="6" t="inlineStr">
        <is>
          <t>Vanessa Cole</t>
        </is>
      </c>
      <c r="B7" s="6" t="inlineStr">
        <is>
          <t>Cole Klein Builders / Zuri Gardens</t>
        </is>
      </c>
      <c r="C7" s="6" t="inlineStr">
        <is>
          <t>Co-founder, Cole Klein Builders</t>
        </is>
      </c>
      <c r="D7" s="7" t="inlineStr">
        <is>
          <t>Already buying printed walls</t>
        </is>
      </c>
      <c r="E7" s="8" t="n">
        <v>3</v>
      </c>
      <c r="F7" s="6" t="inlineStr">
        <is>
          <t>Prints today</t>
        </is>
      </c>
      <c r="G7" s="6" t="inlineStr">
        <is>
          <t>Southeast Houston, Harris County</t>
        </is>
      </c>
      <c r="H7" s="6" t="inlineStr">
        <is>
          <t>80 3D-printed homes on 13 acres</t>
        </is>
      </c>
      <c r="I7" s="8" t="inlineStr">
        <is>
          <t>Yes</t>
        </is>
      </c>
      <c r="J7" s="9" t="inlineStr">
        <is>
          <t>80 homes on one 13-acre site.</t>
        </is>
      </c>
      <c r="K7" s="8" t="inlineStr">
        <is>
          <t>Yes</t>
        </is>
      </c>
      <c r="L7" s="9" t="inlineStr">
        <is>
          <t>Eighty printed homes on one site is inside the band one machine serves.</t>
        </is>
      </c>
      <c r="M7" s="8" t="inlineStr">
        <is>
          <t>Yes</t>
        </is>
      </c>
      <c r="N7" s="9" t="inlineStr">
        <is>
          <t>All 80 already committed to printing, with HiveASMBLD.</t>
        </is>
      </c>
      <c r="O7" s="8" t="inlineStr">
        <is>
          <t>No</t>
        </is>
      </c>
      <c r="P7" s="10" t="inlineStr"/>
      <c r="Q7" s="6">
        <f>HYPERLINK("https://www.linkedin.com/search/results/people/?keywords=Vanessa%20Cole%20Cole%20Klein%20Builders","search")</f>
        <v/>
      </c>
      <c r="R7" s="11">
        <f>IF(P7="","ADD LINKEDIN","ok")</f>
        <v/>
      </c>
      <c r="S7" s="6" t="inlineStr">
        <is>
          <t>no website confirmed</t>
        </is>
      </c>
      <c r="T7" s="9" t="inlineStr">
        <is>
          <t>80 printed homes on one site, the largest printed project in the metro. HiveASMBLD supplies it.</t>
        </is>
      </c>
      <c r="U7" s="6" t="inlineStr"/>
      <c r="V7" s="9" t="inlineStr">
        <is>
          <t>Co-founder. The firm's own about page names Vanessa Cole and Harry Klein as founders.</t>
        </is>
      </c>
      <c r="W7" s="6" t="inlineStr">
        <is>
          <t>https://colekleinbuilders.com/about/</t>
        </is>
      </c>
      <c r="X7" s="6" t="inlineStr">
        <is>
          <t>https://www.linkedin.com/company/cole-klein-builders</t>
        </is>
      </c>
      <c r="Y7" s="6" t="inlineStr">
        <is>
          <t>https://colekleinbuilders.com/about/</t>
        </is>
      </c>
      <c r="Z7" s="6" t="inlineStr">
        <is>
          <t>2026-02 The Architect's Newspaper. Zuri Gardens, a 3D-printed Texas community, shows promise for attainable housing  https://www.archpaper.com/2026/02/zuri-gardens-3d-printed-texas-community/</t>
        </is>
      </c>
    </row>
    <row r="8">
      <c r="A8" s="12" t="inlineStr">
        <is>
          <t>Harry Klein</t>
        </is>
      </c>
      <c r="B8" s="12" t="inlineStr">
        <is>
          <t>Cole Klein Builders / Zuri Gardens</t>
        </is>
      </c>
      <c r="C8" s="12" t="inlineStr">
        <is>
          <t>Co-founder, Cole Klein Builders</t>
        </is>
      </c>
      <c r="D8" s="13" t="inlineStr">
        <is>
          <t>Already buying printed walls</t>
        </is>
      </c>
      <c r="E8" s="14" t="n">
        <v>3</v>
      </c>
      <c r="F8" s="12" t="inlineStr">
        <is>
          <t>Prints today</t>
        </is>
      </c>
      <c r="G8" s="12" t="inlineStr">
        <is>
          <t>Southeast Houston, Harris County</t>
        </is>
      </c>
      <c r="H8" s="12" t="inlineStr">
        <is>
          <t>80 3D-printed homes on 13 acres</t>
        </is>
      </c>
      <c r="I8" s="14" t="inlineStr">
        <is>
          <t>Yes</t>
        </is>
      </c>
      <c r="J8" s="15" t="inlineStr">
        <is>
          <t>80 homes on one 13-acre site.</t>
        </is>
      </c>
      <c r="K8" s="14" t="inlineStr">
        <is>
          <t>Yes</t>
        </is>
      </c>
      <c r="L8" s="15" t="inlineStr">
        <is>
          <t>Eighty printed homes on one site is inside the band one machine serves.</t>
        </is>
      </c>
      <c r="M8" s="14" t="inlineStr">
        <is>
          <t>Yes</t>
        </is>
      </c>
      <c r="N8" s="15" t="inlineStr">
        <is>
          <t>All 80 already committed to printing, with HiveASMBLD.</t>
        </is>
      </c>
      <c r="O8" s="14" t="inlineStr">
        <is>
          <t>No</t>
        </is>
      </c>
      <c r="P8" s="10" t="inlineStr"/>
      <c r="Q8" s="12">
        <f>HYPERLINK("https://www.linkedin.com/search/results/people/?keywords=Harry%20Klein%20Cole%20Klein%20Builders","search")</f>
        <v/>
      </c>
      <c r="R8" s="16">
        <f>IF(P8="","ADD LINKEDIN","ok")</f>
        <v/>
      </c>
      <c r="S8" s="12" t="inlineStr">
        <is>
          <t>no website confirmed</t>
        </is>
      </c>
      <c r="T8" s="15" t="inlineStr">
        <is>
          <t>80 printed homes on one site, the largest printed project in the metro. HiveASMBLD supplies it.</t>
        </is>
      </c>
      <c r="U8" s="12" t="inlineStr"/>
      <c r="V8" s="15" t="inlineStr">
        <is>
          <t>Co-founder.</t>
        </is>
      </c>
      <c r="W8" s="12" t="inlineStr">
        <is>
          <t>https://colekleinbuilders.com/about/</t>
        </is>
      </c>
      <c r="X8" s="12" t="inlineStr">
        <is>
          <t>https://www.linkedin.com/company/cole-klein-builders</t>
        </is>
      </c>
      <c r="Y8" s="12" t="inlineStr">
        <is>
          <t>https://colekleinbuilders.com/about/</t>
        </is>
      </c>
      <c r="Z8" s="12" t="inlineStr">
        <is>
          <t>2026-02 The Architect's Newspaper. Zuri Gardens, a 3D-printed Texas community, shows promise for attainable housing  https://www.archpaper.com/2026/02/zuri-gardens-3d-printed-texas-community/</t>
        </is>
      </c>
    </row>
    <row r="9">
      <c r="A9" s="6" t="inlineStr">
        <is>
          <t>Steve Commander</t>
        </is>
      </c>
      <c r="B9" s="6" t="inlineStr">
        <is>
          <t>Commander Home Builders</t>
        </is>
      </c>
      <c r="C9" s="6" t="inlineStr">
        <is>
          <t>Owner</t>
        </is>
      </c>
      <c r="D9" s="7" t="inlineStr">
        <is>
          <t>Already buying printed walls</t>
        </is>
      </c>
      <c r="E9" s="8" t="n">
        <v>3</v>
      </c>
      <c r="F9" s="6" t="inlineStr">
        <is>
          <t>Prints today</t>
        </is>
      </c>
      <c r="G9" s="6" t="inlineStr">
        <is>
          <t>San Leon, Galveston County</t>
        </is>
      </c>
      <c r="H9" s="6" t="inlineStr">
        <is>
          <t>23 of 26 homes 3D printed</t>
        </is>
      </c>
      <c r="I9" s="8" t="inlineStr">
        <is>
          <t>Partly</t>
        </is>
      </c>
      <c r="J9" s="9" t="inlineStr">
        <is>
          <t>26 homes in San Leon, 23 of them printed.</t>
        </is>
      </c>
      <c r="K9" s="8" t="inlineStr">
        <is>
          <t>Yes</t>
        </is>
      </c>
      <c r="L9" s="9" t="inlineStr">
        <is>
          <t>Twenty-six homes on one site, twenty-three of them already printed.</t>
        </is>
      </c>
      <c r="M9" s="8" t="inlineStr">
        <is>
          <t>Yes</t>
        </is>
      </c>
      <c r="N9" s="9" t="inlineStr">
        <is>
          <t>Built three conventionally, then committed the rest to printing.</t>
        </is>
      </c>
      <c r="O9" s="8" t="inlineStr">
        <is>
          <t>No</t>
        </is>
      </c>
      <c r="P9" s="10" t="inlineStr"/>
      <c r="Q9" s="6">
        <f>HYPERLINK("https://www.linkedin.com/search/results/people/?keywords=Steve%20Commander%20Commander%20Home%20Builders","search")</f>
        <v/>
      </c>
      <c r="R9" s="11">
        <f>IF(P9="","ADD LINKEDIN","ok")</f>
        <v/>
      </c>
      <c r="S9" s="6" t="inlineStr">
        <is>
          <t>no website confirmed</t>
        </is>
      </c>
      <c r="T9" s="9" t="inlineStr">
        <is>
          <t>23 of 26 homes printed. Owner cites 50 percent faster and 5 to 7 percent cheaper. HiveASMBLD supplies it.</t>
        </is>
      </c>
      <c r="U9" s="6" t="inlineStr"/>
      <c r="V9" s="9" t="inlineStr">
        <is>
          <t>Quoted as the developer of the San Leon printed-home project, in partnership with HiveASMBLD. The only citable source: there is no company site and no LinkedIn page.</t>
        </is>
      </c>
      <c r="W9" s="6" t="inlineStr">
        <is>
          <t>https://www.galvnews.com/news/printing-the-future-san-leon-project-tests-new-model-for-coastal-housing/article_e6c622f8-f6cd-47f6-ad36-ed1cac45a3d4.html</t>
        </is>
      </c>
      <c r="X9" s="6" t="inlineStr"/>
      <c r="Y9" s="6" t="inlineStr"/>
      <c r="Z9" s="6" t="inlineStr">
        <is>
          <t>2026-04-30 Intelligent Build.tech. Partnership to develop an innovative 3D-printed residential community  https://www.intelligentbuild.tech/2026/04/30/partnership-to-develop-an-innovative-3d-printed-residential-community/</t>
        </is>
      </c>
    </row>
    <row r="10">
      <c r="A10" s="12" t="inlineStr">
        <is>
          <t>Tony M. Brown</t>
        </is>
      </c>
      <c r="B10" s="12" t="inlineStr">
        <is>
          <t>Elpis 3D Home Builders</t>
        </is>
      </c>
      <c r="C10" s="12" t="inlineStr">
        <is>
          <t>Principal</t>
        </is>
      </c>
      <c r="D10" s="13" t="inlineStr">
        <is>
          <t>Already buying printed walls</t>
        </is>
      </c>
      <c r="E10" s="14" t="n">
        <v>2</v>
      </c>
      <c r="F10" s="12" t="inlineStr">
        <is>
          <t>Prints today</t>
        </is>
      </c>
      <c r="G10" s="12" t="inlineStr">
        <is>
          <t>East End Houston, Harris County</t>
        </is>
      </c>
      <c r="H10" s="12" t="inlineStr">
        <is>
          <t>Duplex, ~1,727 sf per unit, $365,000</t>
        </is>
      </c>
      <c r="I10" s="14" t="inlineStr">
        <is>
          <t>No</t>
        </is>
      </c>
      <c r="J10" s="15" t="inlineStr">
        <is>
          <t>One duplex. Two units.</t>
        </is>
      </c>
      <c r="K10" s="14" t="inlineStr">
        <is>
          <t>Partly</t>
        </is>
      </c>
      <c r="L10" s="15" t="inlineStr">
        <is>
          <t>One duplex. Proof the method works in the city limits, not a volume that keeps a machine busy.</t>
        </is>
      </c>
      <c r="M10" s="14" t="inlineStr">
        <is>
          <t>Yes</t>
        </is>
      </c>
      <c r="N10" s="15" t="inlineStr">
        <is>
          <t>Printed it in Harris County between March and June 2026.</t>
        </is>
      </c>
      <c r="O10" s="14" t="inlineStr">
        <is>
          <t>No</t>
        </is>
      </c>
      <c r="P10" s="10" t="inlineStr"/>
      <c r="Q10" s="12">
        <f>HYPERLINK("https://www.linkedin.com/search/results/people/?keywords=Tony%20M.%20Brown%20Elpis%203D%20Home%20Builders","search")</f>
        <v/>
      </c>
      <c r="R10" s="16">
        <f>IF(P10="","ADD LINKEDIN","ok")</f>
        <v/>
      </c>
      <c r="S10" s="12" t="inlineStr">
        <is>
          <t>no website confirmed</t>
        </is>
      </c>
      <c r="T10" s="15" t="inlineStr">
        <is>
          <t>One printed duplex in the East End. Proof of printed party walls inside the city limits. HiveASMBLD supplies it.</t>
        </is>
      </c>
      <c r="U10" s="12" t="inlineStr"/>
      <c r="V10" s="15" t="inlineStr">
        <is>
          <t>Named managing member of Elpis 3D, speaking about the Avenue J printed duplex in the East End. The only citable source: there is no company site and no LinkedIn page.</t>
        </is>
      </c>
      <c r="W10" s="12" t="inlineStr">
        <is>
          <t>https://www.homes.com/news/houstons-3d-printed-housing-push-grows-with-two-new-developments/647676272/</t>
        </is>
      </c>
      <c r="X10" s="12" t="inlineStr"/>
      <c r="Y10" s="12" t="inlineStr"/>
      <c r="Z10" s="12" t="inlineStr">
        <is>
          <t>2026-04-22 Homes.com. Houston's 3D-printed housing push grows with two new developments  https://www.homes.com/news/houstons-3d-printed-housing-push-grows-with-two-new-developments/647676272/</t>
        </is>
      </c>
    </row>
    <row r="11">
      <c r="A11" s="6" t="inlineStr">
        <is>
          <t>Ting Qiao</t>
        </is>
      </c>
      <c r="B11" s="6" t="inlineStr">
        <is>
          <t>Wan Bridge Group</t>
        </is>
      </c>
      <c r="C11" s="6" t="inlineStr">
        <is>
          <t>Chief Executive Officer and Co-Founder</t>
        </is>
      </c>
      <c r="D11" s="7" t="inlineStr">
        <is>
          <t>Strong target</t>
        </is>
      </c>
      <c r="E11" s="8" t="n">
        <v>3</v>
      </c>
      <c r="F11" s="6" t="inlineStr">
        <is>
          <t>Buys walls</t>
        </is>
      </c>
      <c r="G11" s="6" t="inlineStr">
        <is>
          <t>Houston HQ / Harris, Fort Bend</t>
        </is>
      </c>
      <c r="H11" s="6" t="inlineStr">
        <is>
          <t>5 TX projects under way, 5-7 in pipeline (Apr 2025)</t>
        </is>
      </c>
      <c r="I11" s="8" t="inlineStr">
        <is>
          <t>Yes</t>
        </is>
      </c>
      <c r="J11" s="9" t="inlineStr">
        <is>
          <t>Five Texas projects under way, five to seven more in the pipeline.</t>
        </is>
      </c>
      <c r="K11" s="8" t="inlineStr">
        <is>
          <t>Yes</t>
        </is>
      </c>
      <c r="L11" s="9" t="inlineStr">
        <is>
          <t>Builds and holds whole build-to-rent communities, so the output is concentrated where a machine can stand still.</t>
        </is>
      </c>
      <c r="M11" s="8" t="inlineStr">
        <is>
          <t>Yes</t>
        </is>
      </c>
      <c r="N11" s="9" t="inlineStr">
        <is>
          <t>Six years building its own construction software, plus robotic site inspection.</t>
        </is>
      </c>
      <c r="O11" s="8" t="inlineStr">
        <is>
          <t>Partly</t>
        </is>
      </c>
      <c r="P11" s="6" t="inlineStr">
        <is>
          <t>https://www.linkedin.com/in/ting-qiao-b95436aa/</t>
        </is>
      </c>
      <c r="Q11" s="6" t="inlineStr"/>
      <c r="R11" s="11">
        <f>IF(P11="","ADD LINKEDIN","ok")</f>
        <v/>
      </c>
      <c r="S11" s="6" t="inlineStr">
        <is>
          <t>https://wanbridge.com/</t>
        </is>
      </c>
      <c r="T11" s="9" t="inlineStr">
        <is>
          <t>Builds and holds build-to-rent. Spent six years on its own construction software and site robotics.</t>
        </is>
      </c>
      <c r="U11" s="6" t="inlineStr"/>
      <c r="V11" s="9" t="inlineStr">
        <is>
          <t>CEO of AiWB, Co-Founder at Wan Bridge. Bellaire, Texas.</t>
        </is>
      </c>
      <c r="W11" s="6" t="inlineStr"/>
      <c r="X11" s="6" t="inlineStr">
        <is>
          <t>https://www.linkedin.com/company/wan-bridge-group/</t>
        </is>
      </c>
      <c r="Y11" s="6" t="inlineStr">
        <is>
          <t>https://wanbridge.com/leadership/</t>
        </is>
      </c>
      <c r="Z11" s="6" t="inlineStr">
        <is>
          <t>2026-04-25 Houston Chronicle. Why Houston's booming build-to-rent sector could slow  https://www.houstonchronicle.com/business/article/houston-build-to-rent-housing-21293194.php</t>
        </is>
      </c>
    </row>
    <row r="12">
      <c r="A12" s="12" t="inlineStr">
        <is>
          <t>Randy Hutchinson</t>
        </is>
      </c>
      <c r="B12" s="12" t="inlineStr">
        <is>
          <t>Wan Bridge Group</t>
        </is>
      </c>
      <c r="C12" s="12" t="inlineStr">
        <is>
          <t>Vice President of Construction Operations, AiWB</t>
        </is>
      </c>
      <c r="D12" s="13" t="inlineStr">
        <is>
          <t>Strong target</t>
        </is>
      </c>
      <c r="E12" s="14" t="n">
        <v>3</v>
      </c>
      <c r="F12" s="12" t="inlineStr">
        <is>
          <t>Buys walls</t>
        </is>
      </c>
      <c r="G12" s="12" t="inlineStr">
        <is>
          <t>Houston HQ / Harris, Fort Bend</t>
        </is>
      </c>
      <c r="H12" s="12" t="inlineStr">
        <is>
          <t>5 TX projects under way, 5-7 in pipeline (Apr 2025)</t>
        </is>
      </c>
      <c r="I12" s="14" t="inlineStr">
        <is>
          <t>Yes</t>
        </is>
      </c>
      <c r="J12" s="15" t="inlineStr">
        <is>
          <t>Five Texas projects under way, five to seven more in the pipeline.</t>
        </is>
      </c>
      <c r="K12" s="14" t="inlineStr">
        <is>
          <t>Yes</t>
        </is>
      </c>
      <c r="L12" s="15" t="inlineStr">
        <is>
          <t>Builds and holds whole build-to-rent communities, so the output is concentrated where a machine can stand still.</t>
        </is>
      </c>
      <c r="M12" s="14" t="inlineStr">
        <is>
          <t>Yes</t>
        </is>
      </c>
      <c r="N12" s="15" t="inlineStr">
        <is>
          <t>Six years building its own construction software, plus robotic site inspection.</t>
        </is>
      </c>
      <c r="O12" s="14" t="inlineStr">
        <is>
          <t>Partly</t>
        </is>
      </c>
      <c r="P12" s="6" t="inlineStr">
        <is>
          <t>https://www.linkedin.com/in/randy-hutchinson-0b0a71124/</t>
        </is>
      </c>
      <c r="Q12" s="12" t="inlineStr"/>
      <c r="R12" s="16">
        <f>IF(P12="","ADD LINKEDIN","ok")</f>
        <v/>
      </c>
      <c r="S12" s="12" t="inlineStr">
        <is>
          <t>https://wanbridge.com/</t>
        </is>
      </c>
      <c r="T12" s="15" t="inlineStr">
        <is>
          <t>Builds and holds build-to-rent. Spent six years on its own construction software and site robotics.</t>
        </is>
      </c>
      <c r="U12" s="12" t="inlineStr">
        <is>
          <t>YES</t>
        </is>
      </c>
      <c r="V12" s="15" t="inlineStr">
        <is>
          <t>Vice President of Construction Operations at AiWB. Greater Houston.</t>
        </is>
      </c>
      <c r="W12" s="12" t="inlineStr"/>
      <c r="X12" s="12" t="inlineStr">
        <is>
          <t>https://www.linkedin.com/company/wan-bridge-group/</t>
        </is>
      </c>
      <c r="Y12" s="12" t="inlineStr">
        <is>
          <t>https://wanbridge.com/leadership/</t>
        </is>
      </c>
      <c r="Z12" s="12" t="inlineStr">
        <is>
          <t>2026-04-25 Houston Chronicle. Why Houston's booming build-to-rent sector could slow  https://www.houstonchronicle.com/business/article/houston-build-to-rent-housing-21293194.php</t>
        </is>
      </c>
    </row>
    <row r="13">
      <c r="A13" s="6" t="inlineStr">
        <is>
          <t>John Serra</t>
        </is>
      </c>
      <c r="B13" s="6" t="inlineStr">
        <is>
          <t>Wan Bridge Group</t>
        </is>
      </c>
      <c r="C13" s="6" t="inlineStr">
        <is>
          <t>Purchasing Manager, AiWB</t>
        </is>
      </c>
      <c r="D13" s="7" t="inlineStr">
        <is>
          <t>Strong target</t>
        </is>
      </c>
      <c r="E13" s="8" t="n">
        <v>3</v>
      </c>
      <c r="F13" s="6" t="inlineStr">
        <is>
          <t>Buys walls</t>
        </is>
      </c>
      <c r="G13" s="6" t="inlineStr">
        <is>
          <t>Houston HQ / Harris, Fort Bend</t>
        </is>
      </c>
      <c r="H13" s="6" t="inlineStr">
        <is>
          <t>5 TX projects under way, 5-7 in pipeline (Apr 2025)</t>
        </is>
      </c>
      <c r="I13" s="8" t="inlineStr">
        <is>
          <t>Yes</t>
        </is>
      </c>
      <c r="J13" s="9" t="inlineStr">
        <is>
          <t>Five Texas projects under way, five to seven more in the pipeline.</t>
        </is>
      </c>
      <c r="K13" s="8" t="inlineStr">
        <is>
          <t>Yes</t>
        </is>
      </c>
      <c r="L13" s="9" t="inlineStr">
        <is>
          <t>Builds and holds whole build-to-rent communities, so the output is concentrated where a machine can stand still.</t>
        </is>
      </c>
      <c r="M13" s="8" t="inlineStr">
        <is>
          <t>Yes</t>
        </is>
      </c>
      <c r="N13" s="9" t="inlineStr">
        <is>
          <t>Six years building its own construction software, plus robotic site inspection.</t>
        </is>
      </c>
      <c r="O13" s="8" t="inlineStr">
        <is>
          <t>Partly</t>
        </is>
      </c>
      <c r="P13" s="6" t="inlineStr">
        <is>
          <t>https://www.linkedin.com/in/john-serra-b1b48394/</t>
        </is>
      </c>
      <c r="Q13" s="6" t="inlineStr"/>
      <c r="R13" s="11">
        <f>IF(P13="","ADD LINKEDIN","ok")</f>
        <v/>
      </c>
      <c r="S13" s="6" t="inlineStr">
        <is>
          <t>https://wanbridge.com/</t>
        </is>
      </c>
      <c r="T13" s="9" t="inlineStr">
        <is>
          <t>Builds and holds build-to-rent. Spent six years on its own construction software and site robotics.</t>
        </is>
      </c>
      <c r="U13" s="6" t="inlineStr">
        <is>
          <t>YES</t>
        </is>
      </c>
      <c r="V13" s="9" t="inlineStr">
        <is>
          <t>Purchasing Manager at AiWB. Houston, Texas.</t>
        </is>
      </c>
      <c r="W13" s="6" t="inlineStr"/>
      <c r="X13" s="6" t="inlineStr">
        <is>
          <t>https://www.linkedin.com/company/wan-bridge-group/</t>
        </is>
      </c>
      <c r="Y13" s="6" t="inlineStr">
        <is>
          <t>https://wanbridge.com/leadership/</t>
        </is>
      </c>
      <c r="Z13" s="6" t="inlineStr">
        <is>
          <t>2026-04-25 Houston Chronicle. Why Houston's booming build-to-rent sector could slow  https://www.houstonchronicle.com/business/article/houston-build-to-rent-housing-21293194.php</t>
        </is>
      </c>
    </row>
    <row r="14">
      <c r="A14" s="12" t="inlineStr">
        <is>
          <t>Frank Liu</t>
        </is>
      </c>
      <c r="B14" s="12" t="inlineStr">
        <is>
          <t>InTown Homes / Lovett Commercial (Frank Liu)</t>
        </is>
      </c>
      <c r="C14" s="12" t="inlineStr">
        <is>
          <t>Founder, InTown Homes; President, Lovett Commercial</t>
        </is>
      </c>
      <c r="D14" s="13" t="inlineStr">
        <is>
          <t>Strong target</t>
        </is>
      </c>
      <c r="E14" s="14" t="n">
        <v>3</v>
      </c>
      <c r="F14" s="12" t="inlineStr">
        <is>
          <t>Buys walls</t>
        </is>
      </c>
      <c r="G14" s="12" t="inlineStr">
        <is>
          <t>Inner-loop Houston, Harris County</t>
        </is>
      </c>
      <c r="H14" s="12" t="inlineStr">
        <is>
          <t>3-story attached townhomes, citywide volume</t>
        </is>
      </c>
      <c r="I14" s="14" t="inlineStr">
        <is>
          <t>Yes</t>
        </is>
      </c>
      <c r="J14" s="15" t="inlineStr">
        <is>
          <t>Three-storey townhomes repeated across inner Houston.</t>
        </is>
      </c>
      <c r="K14" s="14" t="inlineStr">
        <is>
          <t>Yes</t>
        </is>
      </c>
      <c r="L14" s="15" t="inlineStr">
        <is>
          <t>Three-storey attached townhomes at citywide volume, built by one owner who also develops the land.</t>
        </is>
      </c>
      <c r="M14" s="14" t="inlineStr">
        <is>
          <t>Partly</t>
        </is>
      </c>
      <c r="N14" s="15" t="inlineStr">
        <is>
          <t>Same owner commissioned OMA for POST Houston, on the commercial side of the business.</t>
        </is>
      </c>
      <c r="O14" s="14" t="inlineStr">
        <is>
          <t>Partly</t>
        </is>
      </c>
      <c r="P14" s="6" t="inlineStr">
        <is>
          <t>https://www.linkedin.com/in/frank-liu-b33247a/</t>
        </is>
      </c>
      <c r="Q14" s="12" t="inlineStr"/>
      <c r="R14" s="16">
        <f>IF(P14="","ADD LINKEDIN","ok")</f>
        <v/>
      </c>
      <c r="S14" s="12" t="inlineStr">
        <is>
          <t>https://intownhomes.com/</t>
        </is>
      </c>
      <c r="T14" s="15" t="inlineStr">
        <is>
          <t>Three-storey attached townhomes at citywide volume. The same owner commissioned OMA for POST Houston.</t>
        </is>
      </c>
      <c r="U14" s="12" t="inlineStr"/>
      <c r="V14" s="15" t="inlineStr">
        <is>
          <t>President at Lovett. Houston, Texas. A second Frank Liu at Lovett Commercial is a real estate specialist, not the principal. Frank Liu's exact title at each entity is not confirmed on a company page. No LinkedIn profile is held for Frank Liu. No profile under that name is identifiable as the InTown and Lovett principal.</t>
        </is>
      </c>
      <c r="W14" s="12" t="inlineStr"/>
      <c r="X14" s="12" t="inlineStr">
        <is>
          <t>https://www.linkedin.com/company/intown-homes</t>
        </is>
      </c>
      <c r="Y14" s="12" t="inlineStr">
        <is>
          <t>https://www.lovettcommercial.com/about</t>
        </is>
      </c>
      <c r="Z14" s="12" t="inlineStr"/>
    </row>
    <row r="15">
      <c r="A15" s="6" t="inlineStr">
        <is>
          <t>Andrew Segal</t>
        </is>
      </c>
      <c r="B15" s="6" t="inlineStr">
        <is>
          <t>Boxer Property</t>
        </is>
      </c>
      <c r="C15" s="6" t="inlineStr">
        <is>
          <t>Chairman and Chief Executive Officer</t>
        </is>
      </c>
      <c r="D15" s="7" t="inlineStr">
        <is>
          <t>Strong target</t>
        </is>
      </c>
      <c r="E15" s="8" t="n">
        <v>3</v>
      </c>
      <c r="F15" s="6" t="inlineStr">
        <is>
          <t>Buys walls</t>
        </is>
      </c>
      <c r="G15" s="6" t="inlineStr">
        <is>
          <t>Houston, Harris</t>
        </is>
      </c>
      <c r="H15" s="6" t="inlineStr">
        <is>
          <t>Paid for a printed house in Fort Worth</t>
        </is>
      </c>
      <c r="I15" s="8" t="inlineStr">
        <is>
          <t>Partly</t>
        </is>
      </c>
      <c r="J15" s="9" t="inlineStr">
        <is>
          <t>Commercial buildings across sixteen cities. The product is not a repeated house plan.</t>
        </is>
      </c>
      <c r="K15" s="8" t="inlineStr">
        <is>
          <t>Partly</t>
        </is>
      </c>
      <c r="L15" s="9" t="inlineStr">
        <is>
          <t>A portfolio this size could absorb a machine, though the firm is an owner rather than a builder and would hire the crew.</t>
        </is>
      </c>
      <c r="M15" s="8" t="inlineStr">
        <is>
          <t>Yes</t>
        </is>
      </c>
      <c r="N15" s="9" t="inlineStr">
        <is>
          <t>It partnered on a printed house in Fort Worth with a printing contractor and its founder is on the record saying the future is printed concrete houses.</t>
        </is>
      </c>
      <c r="O15" s="8" t="inlineStr">
        <is>
          <t>Yes</t>
        </is>
      </c>
      <c r="P15" s="6" t="inlineStr">
        <is>
          <t>https://www.linkedin.com/in/andrew-segal-40049914/</t>
        </is>
      </c>
      <c r="Q15" s="6" t="inlineStr"/>
      <c r="R15" s="11">
        <f>IF(P15="","ADD LINKEDIN","ok")</f>
        <v/>
      </c>
      <c r="S15" s="6" t="inlineStr">
        <is>
          <t>https://www.boxerproperty.com/</t>
        </is>
      </c>
      <c r="T15" s="9" t="inlineStr">
        <is>
          <t>A Houston owner with 15 million square feet that has paid for a printed building, in Fort Worth, and said in print why.</t>
        </is>
      </c>
      <c r="U15" s="6" t="inlineStr">
        <is>
          <t>YES</t>
        </is>
      </c>
      <c r="V15" s="9" t="inlineStr">
        <is>
          <t>Headline reads Boxer Property. Houston, Texas. The title comes from the firm's own about page.</t>
        </is>
      </c>
      <c r="W15" s="6" t="inlineStr"/>
      <c r="X15" s="6" t="inlineStr"/>
      <c r="Y15" s="6" t="inlineStr"/>
      <c r="Z15" s="6" t="inlineStr">
        <is>
          <t>2013-10-30 Boxer Property. Boxer Announces Executive Leadership Changes, which is where the current titles come from and which puts engineering and construction under the president  https://www.boxerproperty.com/blog/roles-responsibilities-evolve-executives/</t>
        </is>
      </c>
    </row>
    <row r="16">
      <c r="A16" s="12" t="inlineStr">
        <is>
          <t>Justin Segal</t>
        </is>
      </c>
      <c r="B16" s="12" t="inlineStr">
        <is>
          <t>Boxer Property</t>
        </is>
      </c>
      <c r="C16" s="12" t="inlineStr">
        <is>
          <t>President</t>
        </is>
      </c>
      <c r="D16" s="13" t="inlineStr">
        <is>
          <t>Strong target</t>
        </is>
      </c>
      <c r="E16" s="14" t="n">
        <v>3</v>
      </c>
      <c r="F16" s="12" t="inlineStr">
        <is>
          <t>Buys walls</t>
        </is>
      </c>
      <c r="G16" s="12" t="inlineStr">
        <is>
          <t>Houston, Harris</t>
        </is>
      </c>
      <c r="H16" s="12" t="inlineStr">
        <is>
          <t>Paid for a printed house in Fort Worth</t>
        </is>
      </c>
      <c r="I16" s="14" t="inlineStr">
        <is>
          <t>Partly</t>
        </is>
      </c>
      <c r="J16" s="15" t="inlineStr">
        <is>
          <t>Commercial buildings across sixteen cities. The product is not a repeated house plan.</t>
        </is>
      </c>
      <c r="K16" s="14" t="inlineStr">
        <is>
          <t>Partly</t>
        </is>
      </c>
      <c r="L16" s="15" t="inlineStr">
        <is>
          <t>A portfolio this size could absorb a machine, though the firm is an owner rather than a builder and would hire the crew.</t>
        </is>
      </c>
      <c r="M16" s="14" t="inlineStr">
        <is>
          <t>Yes</t>
        </is>
      </c>
      <c r="N16" s="15" t="inlineStr">
        <is>
          <t>It partnered on a printed house in Fort Worth with a printing contractor and its founder is on the record saying the future is printed concrete houses.</t>
        </is>
      </c>
      <c r="O16" s="14" t="inlineStr">
        <is>
          <t>Yes</t>
        </is>
      </c>
      <c r="P16" s="6" t="inlineStr">
        <is>
          <t>https://www.linkedin.com/in/segaljustin/</t>
        </is>
      </c>
      <c r="Q16" s="12" t="inlineStr"/>
      <c r="R16" s="16">
        <f>IF(P16="","ADD LINKEDIN","ok")</f>
        <v/>
      </c>
      <c r="S16" s="12" t="inlineStr">
        <is>
          <t>https://www.boxerproperty.com/</t>
        </is>
      </c>
      <c r="T16" s="15" t="inlineStr">
        <is>
          <t>A Houston owner with 15 million square feet that has paid for a printed building, in Fort Worth, and said in print why.</t>
        </is>
      </c>
      <c r="U16" s="12" t="inlineStr">
        <is>
          <t>YES</t>
        </is>
      </c>
      <c r="V16" s="15" t="inlineStr">
        <is>
          <t>Headline reads President - Boxer Property. Founder - Stemmons Enterprise. Houston, Texas.</t>
        </is>
      </c>
      <c r="W16" s="12" t="inlineStr"/>
      <c r="X16" s="12" t="inlineStr"/>
      <c r="Y16" s="12" t="inlineStr"/>
      <c r="Z16" s="12" t="inlineStr">
        <is>
          <t>2013-10-30 Boxer Property. Boxer Announces Executive Leadership Changes, which is where the current titles come from and which puts engineering and construction under the president  https://www.boxerproperty.com/blog/roles-responsibilities-evolve-executives/</t>
        </is>
      </c>
    </row>
    <row r="17">
      <c r="A17" s="6" t="inlineStr">
        <is>
          <t>Blake Morris</t>
        </is>
      </c>
      <c r="B17" s="6" t="inlineStr">
        <is>
          <t>Boxer Property</t>
        </is>
      </c>
      <c r="C17" s="6" t="inlineStr">
        <is>
          <t>Chief Financial Officer</t>
        </is>
      </c>
      <c r="D17" s="7" t="inlineStr">
        <is>
          <t>Strong target</t>
        </is>
      </c>
      <c r="E17" s="8" t="n">
        <v>3</v>
      </c>
      <c r="F17" s="6" t="inlineStr">
        <is>
          <t>Buys walls</t>
        </is>
      </c>
      <c r="G17" s="6" t="inlineStr">
        <is>
          <t>Houston, Harris</t>
        </is>
      </c>
      <c r="H17" s="6" t="inlineStr">
        <is>
          <t>Paid for a printed house in Fort Worth</t>
        </is>
      </c>
      <c r="I17" s="8" t="inlineStr">
        <is>
          <t>Partly</t>
        </is>
      </c>
      <c r="J17" s="9" t="inlineStr">
        <is>
          <t>Commercial buildings across sixteen cities. The product is not a repeated house plan.</t>
        </is>
      </c>
      <c r="K17" s="8" t="inlineStr">
        <is>
          <t>Partly</t>
        </is>
      </c>
      <c r="L17" s="9" t="inlineStr">
        <is>
          <t>A portfolio this size could absorb a machine, though the firm is an owner rather than a builder and would hire the crew.</t>
        </is>
      </c>
      <c r="M17" s="8" t="inlineStr">
        <is>
          <t>Yes</t>
        </is>
      </c>
      <c r="N17" s="9" t="inlineStr">
        <is>
          <t>It partnered on a printed house in Fort Worth with a printing contractor and its founder is on the record saying the future is printed concrete houses.</t>
        </is>
      </c>
      <c r="O17" s="8" t="inlineStr">
        <is>
          <t>Yes</t>
        </is>
      </c>
      <c r="P17" s="10" t="inlineStr"/>
      <c r="Q17" s="6">
        <f>HYPERLINK("https://www.linkedin.com/search/results/people/?keywords=Blake%20Morris%20Boxer%20Property","search")</f>
        <v/>
      </c>
      <c r="R17" s="11">
        <f>IF(P17="","ADD LINKEDIN","ok")</f>
        <v/>
      </c>
      <c r="S17" s="6" t="inlineStr">
        <is>
          <t>https://www.boxerproperty.com/</t>
        </is>
      </c>
      <c r="T17" s="9" t="inlineStr">
        <is>
          <t>A Houston owner with 15 million square feet that has paid for a printed building, in Fort Worth, and said in print why.</t>
        </is>
      </c>
      <c r="U17" s="6" t="inlineStr"/>
      <c r="V17" s="9" t="inlineStr"/>
      <c r="W17" s="6" t="inlineStr"/>
      <c r="X17" s="6" t="inlineStr"/>
      <c r="Y17" s="6" t="inlineStr"/>
      <c r="Z17" s="6" t="inlineStr">
        <is>
          <t>2013-10-30 Boxer Property. Boxer Announces Executive Leadership Changes, which is where the current titles come from and which puts engineering and construction under the president  https://www.boxerproperty.com/blog/roles-responsibilities-evolve-executives/</t>
        </is>
      </c>
    </row>
    <row r="18">
      <c r="A18" s="12" t="inlineStr">
        <is>
          <t>John Rentz</t>
        </is>
      </c>
      <c r="B18" s="12" t="inlineStr">
        <is>
          <t>Boxer Property</t>
        </is>
      </c>
      <c r="C18" s="12" t="inlineStr">
        <is>
          <t>Vice President and General Counsel</t>
        </is>
      </c>
      <c r="D18" s="13" t="inlineStr">
        <is>
          <t>Strong target</t>
        </is>
      </c>
      <c r="E18" s="14" t="n">
        <v>3</v>
      </c>
      <c r="F18" s="12" t="inlineStr">
        <is>
          <t>Buys walls</t>
        </is>
      </c>
      <c r="G18" s="12" t="inlineStr">
        <is>
          <t>Houston, Harris</t>
        </is>
      </c>
      <c r="H18" s="12" t="inlineStr">
        <is>
          <t>Paid for a printed house in Fort Worth</t>
        </is>
      </c>
      <c r="I18" s="14" t="inlineStr">
        <is>
          <t>Partly</t>
        </is>
      </c>
      <c r="J18" s="15" t="inlineStr">
        <is>
          <t>Commercial buildings across sixteen cities. The product is not a repeated house plan.</t>
        </is>
      </c>
      <c r="K18" s="14" t="inlineStr">
        <is>
          <t>Partly</t>
        </is>
      </c>
      <c r="L18" s="15" t="inlineStr">
        <is>
          <t>A portfolio this size could absorb a machine, though the firm is an owner rather than a builder and would hire the crew.</t>
        </is>
      </c>
      <c r="M18" s="14" t="inlineStr">
        <is>
          <t>Yes</t>
        </is>
      </c>
      <c r="N18" s="15" t="inlineStr">
        <is>
          <t>It partnered on a printed house in Fort Worth with a printing contractor and its founder is on the record saying the future is printed concrete houses.</t>
        </is>
      </c>
      <c r="O18" s="14" t="inlineStr">
        <is>
          <t>Yes</t>
        </is>
      </c>
      <c r="P18" s="10" t="inlineStr"/>
      <c r="Q18" s="12">
        <f>HYPERLINK("https://www.linkedin.com/search/results/people/?keywords=John%20Rentz%20Boxer%20Property","search")</f>
        <v/>
      </c>
      <c r="R18" s="16">
        <f>IF(P18="","ADD LINKEDIN","ok")</f>
        <v/>
      </c>
      <c r="S18" s="12" t="inlineStr">
        <is>
          <t>https://www.boxerproperty.com/</t>
        </is>
      </c>
      <c r="T18" s="15" t="inlineStr">
        <is>
          <t>A Houston owner with 15 million square feet that has paid for a printed building, in Fort Worth, and said in print why.</t>
        </is>
      </c>
      <c r="U18" s="12" t="inlineStr"/>
      <c r="V18" s="15" t="inlineStr"/>
      <c r="W18" s="12" t="inlineStr"/>
      <c r="X18" s="12" t="inlineStr"/>
      <c r="Y18" s="12" t="inlineStr"/>
      <c r="Z18" s="12" t="inlineStr">
        <is>
          <t>2013-10-30 Boxer Property. Boxer Announces Executive Leadership Changes, which is where the current titles come from and which puts engineering and construction under the president  https://www.boxerproperty.com/blog/roles-responsibilities-evolve-executives/</t>
        </is>
      </c>
    </row>
    <row r="19">
      <c r="A19" s="6" t="inlineStr">
        <is>
          <t>Roderick Flint</t>
        </is>
      </c>
      <c r="B19" s="6" t="inlineStr">
        <is>
          <t>Brohn Homes</t>
        </is>
      </c>
      <c r="C19" s="6" t="inlineStr">
        <is>
          <t>Division President, Houston</t>
        </is>
      </c>
      <c r="D19" s="7" t="inlineStr">
        <is>
          <t>Strong target</t>
        </is>
      </c>
      <c r="E19" s="8" t="n">
        <v>3</v>
      </c>
      <c r="F19" s="6" t="inlineStr">
        <is>
          <t>Buys walls</t>
        </is>
      </c>
      <c r="G19" s="6" t="inlineStr">
        <is>
          <t>Austin, with a Houston division</t>
        </is>
      </c>
      <c r="H19" s="6" t="inlineStr">
        <is>
          <t>Average build time of 3.5 months</t>
        </is>
      </c>
      <c r="I19" s="8" t="inlineStr">
        <is>
          <t>Yes</t>
        </is>
      </c>
      <c r="J19" s="9" t="inlineStr">
        <is>
          <t>Communities across the north, west and south suburbs on a plan set inherited from HistoryMaker.</t>
        </is>
      </c>
      <c r="K19" s="8" t="inlineStr">
        <is>
          <t>Partly</t>
        </is>
      </c>
      <c r="L19" s="9" t="inlineStr">
        <is>
          <t>No Houston closings figure is published, and purchasing may sit with Clayton rather than locally.</t>
        </is>
      </c>
      <c r="M19" s="8" t="inlineStr">
        <is>
          <t>Partly</t>
        </is>
      </c>
      <c r="N19" s="9" t="inlineStr">
        <is>
          <t>It publishes an average build time of three and a half months across all products. A firm that measures and publishes cycle time has already made schedule a competitive variable.</t>
        </is>
      </c>
      <c r="O19" s="8" t="inlineStr">
        <is>
          <t>Yes</t>
        </is>
      </c>
      <c r="P19" s="10" t="inlineStr"/>
      <c r="Q19" s="6">
        <f>HYPERLINK("https://www.linkedin.com/search/results/people/?keywords=Roderick%20Flint%20Brohn%20Homes","search")</f>
        <v/>
      </c>
      <c r="R19" s="11">
        <f>IF(P19="","ADD LINKEDIN","ok")</f>
        <v/>
      </c>
      <c r="S19" s="6" t="inlineStr">
        <is>
          <t>https://www.brohnhomes.com/</t>
        </is>
      </c>
      <c r="T19" s="9" t="inlineStr">
        <is>
          <t>A published average build time of three and a half months, which is the shortest on record here, and Berkshire Hathaway capital behind it. Purchasing may run through the parent.</t>
        </is>
      </c>
      <c r="U19" s="6" t="inlineStr"/>
      <c r="V19" s="9" t="inlineStr">
        <is>
          <t>The firm's own post on the Houston launch names him Division President and quotes him on folding existing plans into Brohn's line.</t>
        </is>
      </c>
      <c r="W19" s="6" t="inlineStr">
        <is>
          <t>https://brohnhomes.com/community-impact-features-brohn-homes-houston-vision/</t>
        </is>
      </c>
      <c r="X19" s="6" t="inlineStr"/>
      <c r="Y19" s="6" t="inlineStr"/>
      <c r="Z19" s="6" t="inlineStr"/>
    </row>
    <row r="20">
      <c r="A20" s="12" t="inlineStr">
        <is>
          <t>Rob Francescon</t>
        </is>
      </c>
      <c r="B20" s="12" t="inlineStr">
        <is>
          <t>Century Communities, Inc.</t>
        </is>
      </c>
      <c r="C20" s="12" t="inlineStr">
        <is>
          <t>Chief Executive Officer</t>
        </is>
      </c>
      <c r="D20" s="13" t="inlineStr">
        <is>
          <t>Strong target</t>
        </is>
      </c>
      <c r="E20" s="14" t="n">
        <v>3</v>
      </c>
      <c r="F20" s="12" t="inlineStr">
        <is>
          <t>Buys walls</t>
        </is>
      </c>
      <c r="G20" s="12" t="inlineStr">
        <is>
          <t>Greenwood Village HQ / Waller, Harris</t>
        </is>
      </c>
      <c r="H20" s="12" t="inlineStr">
        <is>
          <t>1,200 homes on 318 acres, Brookshire</t>
        </is>
      </c>
      <c r="I20" s="14" t="inlineStr">
        <is>
          <t>Yes</t>
        </is>
      </c>
      <c r="J20" s="15" t="inlineStr">
        <is>
          <t>1,200 homes on 318 acres, built from only 18 floor plans.</t>
        </is>
      </c>
      <c r="K20" s="14" t="inlineStr">
        <is>
          <t>Partly</t>
        </is>
      </c>
      <c r="L20" s="15" t="inlineStr">
        <is>
          <t>1,200 homes on one site is the right concentration, but Century buys nationally.</t>
        </is>
      </c>
      <c r="M20" s="14" t="inlineStr">
        <is>
          <t>Partly</t>
        </is>
      </c>
      <c r="N20" s="15" t="inlineStr">
        <is>
          <t>Record 112-day cycle and a 5 percent direct-cost cut, but no change of method.</t>
        </is>
      </c>
      <c r="O20" s="14" t="inlineStr">
        <is>
          <t>Yes</t>
        </is>
      </c>
      <c r="P20" s="10" t="inlineStr"/>
      <c r="Q20" s="12">
        <f>HYPERLINK("https://www.linkedin.com/search/results/people/?keywords=Rob%20Francescon%20Century%20Communities%2C%20Inc.","search")</f>
        <v/>
      </c>
      <c r="R20" s="16">
        <f>IF(P20="","ADD LINKEDIN","ok")</f>
        <v/>
      </c>
      <c r="S20" s="12" t="inlineStr">
        <is>
          <t>https://www.centurycommunities.com/</t>
        </is>
      </c>
      <c r="T20" s="15" t="inlineStr">
        <is>
          <t>1,200 homes across only 18 plans on one site, with a record 112-day cycle and a 5 percent direct-cost cut.</t>
        </is>
      </c>
      <c r="U20" s="12" t="inlineStr"/>
      <c r="V20" s="15" t="inlineStr">
        <is>
          <t>Century's own executive management page. He became sole Chief Executive Officer and President on 1 January 2025, having been co-chief executive.</t>
        </is>
      </c>
      <c r="W20" s="12" t="inlineStr">
        <is>
          <t>https://investors.centurycommunities.com/governance/executive-management/default.aspx</t>
        </is>
      </c>
      <c r="X20" s="12" t="inlineStr">
        <is>
          <t>https://www.linkedin.com/company/century-communities</t>
        </is>
      </c>
      <c r="Y20" s="12" t="inlineStr">
        <is>
          <t>https://investors.centurycommunities.com/governance/executive-management/default.aspx</t>
        </is>
      </c>
      <c r="Z20" s="12" t="inlineStr"/>
    </row>
    <row r="21">
      <c r="A21" s="6" t="inlineStr">
        <is>
          <t>Tanya Rizzo</t>
        </is>
      </c>
      <c r="B21" s="6" t="inlineStr">
        <is>
          <t>Century Communities, Inc.</t>
        </is>
      </c>
      <c r="C21" s="6" t="inlineStr">
        <is>
          <t>Houston Division President</t>
        </is>
      </c>
      <c r="D21" s="7" t="inlineStr">
        <is>
          <t>Strong target</t>
        </is>
      </c>
      <c r="E21" s="8" t="n">
        <v>3</v>
      </c>
      <c r="F21" s="6" t="inlineStr">
        <is>
          <t>Buys walls</t>
        </is>
      </c>
      <c r="G21" s="6" t="inlineStr">
        <is>
          <t>Greenwood Village HQ / Waller, Harris</t>
        </is>
      </c>
      <c r="H21" s="6" t="inlineStr">
        <is>
          <t>1,200 homes on 318 acres, Brookshire</t>
        </is>
      </c>
      <c r="I21" s="8" t="inlineStr">
        <is>
          <t>Yes</t>
        </is>
      </c>
      <c r="J21" s="9" t="inlineStr">
        <is>
          <t>1,200 homes on 318 acres, built from only 18 floor plans.</t>
        </is>
      </c>
      <c r="K21" s="8" t="inlineStr">
        <is>
          <t>Partly</t>
        </is>
      </c>
      <c r="L21" s="9" t="inlineStr">
        <is>
          <t>1,200 homes on one site is the right concentration, but Century buys nationally.</t>
        </is>
      </c>
      <c r="M21" s="8" t="inlineStr">
        <is>
          <t>Partly</t>
        </is>
      </c>
      <c r="N21" s="9" t="inlineStr">
        <is>
          <t>Record 112-day cycle and a 5 percent direct-cost cut, but no change of method.</t>
        </is>
      </c>
      <c r="O21" s="8" t="inlineStr">
        <is>
          <t>Yes</t>
        </is>
      </c>
      <c r="P21" s="6" t="inlineStr">
        <is>
          <t>https://www.linkedin.com/in/tanya-rizzo-75738016/</t>
        </is>
      </c>
      <c r="Q21" s="6" t="inlineStr"/>
      <c r="R21" s="11">
        <f>IF(P21="","ADD LINKEDIN","ok")</f>
        <v/>
      </c>
      <c r="S21" s="6" t="inlineStr">
        <is>
          <t>https://www.centurycommunities.com/</t>
        </is>
      </c>
      <c r="T21" s="9" t="inlineStr">
        <is>
          <t>1,200 homes across only 18 plans on one site, with a record 112-day cycle and a 5 percent direct-cost cut.</t>
        </is>
      </c>
      <c r="U21" s="6" t="inlineStr"/>
      <c r="V21" s="9" t="inlineStr">
        <is>
          <t>Profile opened. Activity shows her recruiting for Century Communities, Inc. (NYSE:CCS) in Houston. Title from September 2026 trade press.</t>
        </is>
      </c>
      <c r="W21" s="6" t="inlineStr"/>
      <c r="X21" s="6" t="inlineStr">
        <is>
          <t>https://www.linkedin.com/company/century-communities</t>
        </is>
      </c>
      <c r="Y21" s="6" t="inlineStr">
        <is>
          <t>https://investors.centurycommunities.com/governance/executive-management/default.aspx</t>
        </is>
      </c>
      <c r="Z21" s="6" t="inlineStr"/>
    </row>
    <row r="22">
      <c r="A22" s="12" t="inlineStr">
        <is>
          <t>John Winniford</t>
        </is>
      </c>
      <c r="B22" s="12" t="inlineStr">
        <is>
          <t>First America Homes</t>
        </is>
      </c>
      <c r="C22" s="12" t="inlineStr">
        <is>
          <t>President and Chief Executive Officer</t>
        </is>
      </c>
      <c r="D22" s="13" t="inlineStr">
        <is>
          <t>Strong target</t>
        </is>
      </c>
      <c r="E22" s="14" t="n">
        <v>3</v>
      </c>
      <c r="F22" s="12" t="inlineStr">
        <is>
          <t>Buys walls</t>
        </is>
      </c>
      <c r="G22" s="12" t="inlineStr">
        <is>
          <t>The Woodlands HQ / Liberty, Fort Bend</t>
        </is>
      </c>
      <c r="H22" s="12" t="inlineStr">
        <is>
          <t>1,300+ homes across 14 new communities</t>
        </is>
      </c>
      <c r="I22" s="14" t="inlineStr">
        <is>
          <t>Yes</t>
        </is>
      </c>
      <c r="J22" s="15" t="inlineStr">
        <is>
          <t>1,300 homes across 14 new communities, 359 at Valley Ranch.</t>
        </is>
      </c>
      <c r="K22" s="14" t="inlineStr">
        <is>
          <t>Partly</t>
        </is>
      </c>
      <c r="L22" s="15" t="inlineStr">
        <is>
          <t>About 750 closings last year across two markets. A machine would be a line inside the business rather than the business.</t>
        </is>
      </c>
      <c r="M22" s="14" t="inlineStr">
        <is>
          <t>Partly</t>
        </is>
      </c>
      <c r="N22" s="15" t="inlineStr">
        <is>
          <t>Markets its own wall assembly, though it is refined stick framing, not a new method.</t>
        </is>
      </c>
      <c r="O22" s="14" t="inlineStr">
        <is>
          <t>Partly</t>
        </is>
      </c>
      <c r="P22" s="10" t="inlineStr"/>
      <c r="Q22" s="12">
        <f>HYPERLINK("https://www.linkedin.com/search/results/people/?keywords=John%20Winniford%20First%20America%20Homes","search")</f>
        <v/>
      </c>
      <c r="R22" s="16">
        <f>IF(P22="","ADD LINKEDIN","ok")</f>
        <v/>
      </c>
      <c r="S22" s="12" t="inlineStr">
        <is>
          <t>https://www.firstamericahomes.com/</t>
        </is>
      </c>
      <c r="T22" s="15" t="inlineStr">
        <is>
          <t>1,300 homes a year and it markets its wall assembly. The parent owns the land, so no third party sits in the method decision.</t>
        </is>
      </c>
      <c r="U22" s="12" t="inlineStr"/>
      <c r="V22" s="15" t="inlineStr">
        <is>
          <t>Signorelli's own bio page. President, Homebuilding, running First America across Greater Houston and San Antonio with Dallas next. Thirty years in homebuilding, and President and Chief Executive of Brightland Homes, formerly Gehan, for nearly a decade, where he delivered more than 22,000 homes from 2016. Texas A&amp;M finance degree. He has no usable LinkedIn profile: the only account under the name has one connection and reads owner in Austin.</t>
        </is>
      </c>
      <c r="W22" s="12" t="inlineStr">
        <is>
          <t>https://www.signorellicompany.com/our-leadership/34/john-winniford</t>
        </is>
      </c>
      <c r="X22" s="12" t="inlineStr">
        <is>
          <t>https://www.linkedin.com/company/first-america-homes</t>
        </is>
      </c>
      <c r="Y22" s="12" t="inlineStr">
        <is>
          <t>https://www.firstamericahomes.com/about/</t>
        </is>
      </c>
      <c r="Z22" s="12" t="inlineStr">
        <is>
          <t>2026-08-10 CEOWORLD magazine. Danny Signorelli Leads First America Homes Expansion Across Houston and Texas  https://ceoworld.biz/2026/08/10/danny-signorelli-leads-first-america-homes-expansion-across-houston-and-texas/</t>
        </is>
      </c>
    </row>
    <row r="23">
      <c r="A23" s="6" t="inlineStr">
        <is>
          <t>Danny Signorelli</t>
        </is>
      </c>
      <c r="B23" s="6" t="inlineStr">
        <is>
          <t>First America Homes</t>
        </is>
      </c>
      <c r="C23" s="6" t="inlineStr">
        <is>
          <t>Founder and Chief Executive Officer, The Signorelli Company</t>
        </is>
      </c>
      <c r="D23" s="7" t="inlineStr">
        <is>
          <t>Strong target</t>
        </is>
      </c>
      <c r="E23" s="8" t="n">
        <v>3</v>
      </c>
      <c r="F23" s="6" t="inlineStr">
        <is>
          <t>Buys walls</t>
        </is>
      </c>
      <c r="G23" s="6" t="inlineStr">
        <is>
          <t>The Woodlands HQ / Liberty, Fort Bend</t>
        </is>
      </c>
      <c r="H23" s="6" t="inlineStr">
        <is>
          <t>1,300+ homes across 14 new communities</t>
        </is>
      </c>
      <c r="I23" s="8" t="inlineStr">
        <is>
          <t>Yes</t>
        </is>
      </c>
      <c r="J23" s="9" t="inlineStr">
        <is>
          <t>1,300 homes across 14 new communities, 359 at Valley Ranch.</t>
        </is>
      </c>
      <c r="K23" s="8" t="inlineStr">
        <is>
          <t>Partly</t>
        </is>
      </c>
      <c r="L23" s="9" t="inlineStr">
        <is>
          <t>About 750 closings last year across two markets. A machine would be a line inside the business rather than the business.</t>
        </is>
      </c>
      <c r="M23" s="8" t="inlineStr">
        <is>
          <t>Partly</t>
        </is>
      </c>
      <c r="N23" s="9" t="inlineStr">
        <is>
          <t>Markets its own wall assembly, though it is refined stick framing, not a new method.</t>
        </is>
      </c>
      <c r="O23" s="8" t="inlineStr">
        <is>
          <t>Partly</t>
        </is>
      </c>
      <c r="P23" s="6" t="inlineStr">
        <is>
          <t>https://www.linkedin.com/in/danny-signorelli-6284461b/</t>
        </is>
      </c>
      <c r="Q23" s="6" t="inlineStr"/>
      <c r="R23" s="11">
        <f>IF(P23="","ADD LINKEDIN","ok")</f>
        <v/>
      </c>
      <c r="S23" s="6" t="inlineStr">
        <is>
          <t>https://www.firstamericahomes.com/</t>
        </is>
      </c>
      <c r="T23" s="9" t="inlineStr">
        <is>
          <t>1,300 homes a year and it markets its wall assembly. The parent owns the land, so no third party sits in the method decision.</t>
        </is>
      </c>
      <c r="U23" s="6" t="inlineStr"/>
      <c r="V23" s="9" t="inlineStr">
        <is>
          <t>CEO, President, The Signorelli Company. Greater Houston.</t>
        </is>
      </c>
      <c r="W23" s="6" t="inlineStr"/>
      <c r="X23" s="6" t="inlineStr">
        <is>
          <t>https://www.linkedin.com/company/first-america-homes</t>
        </is>
      </c>
      <c r="Y23" s="6" t="inlineStr">
        <is>
          <t>https://www.firstamericahomes.com/about/</t>
        </is>
      </c>
      <c r="Z23" s="6" t="inlineStr">
        <is>
          <t>2026-08-10 CEOWORLD magazine. Danny Signorelli Leads First America Homes Expansion Across Houston and Texas  https://ceoworld.biz/2026/08/10/danny-signorelli-leads-first-america-homes-expansion-across-houston-and-texas/</t>
        </is>
      </c>
    </row>
    <row r="24">
      <c r="A24" s="12" t="inlineStr">
        <is>
          <t>Troy Robinson</t>
        </is>
      </c>
      <c r="B24" s="12" t="inlineStr">
        <is>
          <t>First America Homes</t>
        </is>
      </c>
      <c r="C24" s="12" t="inlineStr">
        <is>
          <t>Vice President of Construction, First America Homes</t>
        </is>
      </c>
      <c r="D24" s="13" t="inlineStr">
        <is>
          <t>Strong target</t>
        </is>
      </c>
      <c r="E24" s="14" t="n">
        <v>3</v>
      </c>
      <c r="F24" s="12" t="inlineStr">
        <is>
          <t>Buys walls</t>
        </is>
      </c>
      <c r="G24" s="12" t="inlineStr">
        <is>
          <t>The Woodlands HQ / Liberty, Fort Bend</t>
        </is>
      </c>
      <c r="H24" s="12" t="inlineStr">
        <is>
          <t>1,300+ homes across 14 new communities</t>
        </is>
      </c>
      <c r="I24" s="14" t="inlineStr">
        <is>
          <t>Yes</t>
        </is>
      </c>
      <c r="J24" s="15" t="inlineStr">
        <is>
          <t>1,300 homes across 14 new communities, 359 at Valley Ranch.</t>
        </is>
      </c>
      <c r="K24" s="14" t="inlineStr">
        <is>
          <t>Partly</t>
        </is>
      </c>
      <c r="L24" s="15" t="inlineStr">
        <is>
          <t>About 750 closings last year across two markets. A machine would be a line inside the business rather than the business.</t>
        </is>
      </c>
      <c r="M24" s="14" t="inlineStr">
        <is>
          <t>Partly</t>
        </is>
      </c>
      <c r="N24" s="15" t="inlineStr">
        <is>
          <t>Markets its own wall assembly, though it is refined stick framing, not a new method.</t>
        </is>
      </c>
      <c r="O24" s="14" t="inlineStr">
        <is>
          <t>Partly</t>
        </is>
      </c>
      <c r="P24" s="6" t="inlineStr">
        <is>
          <t>https://www.linkedin.com/in/troyjrobinson/</t>
        </is>
      </c>
      <c r="Q24" s="12" t="inlineStr"/>
      <c r="R24" s="16">
        <f>IF(P24="","ADD LINKEDIN","ok")</f>
        <v/>
      </c>
      <c r="S24" s="12" t="inlineStr">
        <is>
          <t>https://www.firstamericahomes.com/</t>
        </is>
      </c>
      <c r="T24" s="15" t="inlineStr">
        <is>
          <t>1,300 homes a year and it markets its wall assembly. The parent owns the land, so no third party sits in the method decision.</t>
        </is>
      </c>
      <c r="U24" s="12" t="inlineStr">
        <is>
          <t>YES</t>
        </is>
      </c>
      <c r="V24" s="15" t="inlineStr">
        <is>
          <t>VP of Construction for First America Homes. Willis, Texas.</t>
        </is>
      </c>
      <c r="W24" s="12" t="inlineStr"/>
      <c r="X24" s="12" t="inlineStr">
        <is>
          <t>https://www.linkedin.com/company/first-america-homes</t>
        </is>
      </c>
      <c r="Y24" s="12" t="inlineStr">
        <is>
          <t>https://www.firstamericahomes.com/about/</t>
        </is>
      </c>
      <c r="Z24" s="12" t="inlineStr">
        <is>
          <t>2026-08-10 CEOWORLD magazine. Danny Signorelli Leads First America Homes Expansion Across Houston and Texas  https://ceoworld.biz/2026/08/10/danny-signorelli-leads-first-america-homes-expansion-across-houston-and-texas/</t>
        </is>
      </c>
    </row>
    <row r="25">
      <c r="A25" s="6" t="inlineStr">
        <is>
          <t>Mike Faul</t>
        </is>
      </c>
      <c r="B25" s="6" t="inlineStr">
        <is>
          <t>First America Homes</t>
        </is>
      </c>
      <c r="C25" s="6" t="inlineStr">
        <is>
          <t>Vice President of Purchasing, First America Homes</t>
        </is>
      </c>
      <c r="D25" s="7" t="inlineStr">
        <is>
          <t>Strong target</t>
        </is>
      </c>
      <c r="E25" s="8" t="n">
        <v>3</v>
      </c>
      <c r="F25" s="6" t="inlineStr">
        <is>
          <t>Buys walls</t>
        </is>
      </c>
      <c r="G25" s="6" t="inlineStr">
        <is>
          <t>The Woodlands HQ / Liberty, Fort Bend</t>
        </is>
      </c>
      <c r="H25" s="6" t="inlineStr">
        <is>
          <t>1,300+ homes across 14 new communities</t>
        </is>
      </c>
      <c r="I25" s="8" t="inlineStr">
        <is>
          <t>Yes</t>
        </is>
      </c>
      <c r="J25" s="9" t="inlineStr">
        <is>
          <t>1,300 homes across 14 new communities, 359 at Valley Ranch.</t>
        </is>
      </c>
      <c r="K25" s="8" t="inlineStr">
        <is>
          <t>Partly</t>
        </is>
      </c>
      <c r="L25" s="9" t="inlineStr">
        <is>
          <t>About 750 closings last year across two markets. A machine would be a line inside the business rather than the business.</t>
        </is>
      </c>
      <c r="M25" s="8" t="inlineStr">
        <is>
          <t>Partly</t>
        </is>
      </c>
      <c r="N25" s="9" t="inlineStr">
        <is>
          <t>Markets its own wall assembly, though it is refined stick framing, not a new method.</t>
        </is>
      </c>
      <c r="O25" s="8" t="inlineStr">
        <is>
          <t>Partly</t>
        </is>
      </c>
      <c r="P25" s="6" t="inlineStr">
        <is>
          <t>https://www.linkedin.com/in/mike-faul-a06b2a203/</t>
        </is>
      </c>
      <c r="Q25" s="6" t="inlineStr"/>
      <c r="R25" s="11">
        <f>IF(P25="","ADD LINKEDIN","ok")</f>
        <v/>
      </c>
      <c r="S25" s="6" t="inlineStr">
        <is>
          <t>https://www.firstamericahomes.com/</t>
        </is>
      </c>
      <c r="T25" s="9" t="inlineStr">
        <is>
          <t>1,300 homes a year and it markets its wall assembly. The parent owns the land, so no third party sits in the method decision.</t>
        </is>
      </c>
      <c r="U25" s="6" t="inlineStr">
        <is>
          <t>YES</t>
        </is>
      </c>
      <c r="V25" s="9" t="inlineStr">
        <is>
          <t>Profile opened. Company line reads First America Homes. Magnolia, Texas. He took the role this year, after a fifteen-year incumbent left in April 2026.</t>
        </is>
      </c>
      <c r="W25" s="6" t="inlineStr"/>
      <c r="X25" s="6" t="inlineStr">
        <is>
          <t>https://www.linkedin.com/company/first-america-homes</t>
        </is>
      </c>
      <c r="Y25" s="6" t="inlineStr">
        <is>
          <t>https://www.firstamericahomes.com/about/</t>
        </is>
      </c>
      <c r="Z25" s="6" t="inlineStr">
        <is>
          <t>2026-08-10 CEOWORLD magazine. Danny Signorelli Leads First America Homes Expansion Across Houston and Texas  https://ceoworld.biz/2026/08/10/danny-signorelli-leads-first-america-homes-expansion-across-houston-and-texas/</t>
        </is>
      </c>
    </row>
    <row r="26">
      <c r="A26" s="12" t="inlineStr">
        <is>
          <t>David Assid</t>
        </is>
      </c>
      <c r="B26" s="12" t="inlineStr">
        <is>
          <t>First America Homes</t>
        </is>
      </c>
      <c r="C26" s="12" t="inlineStr">
        <is>
          <t>Division President, First America Homes</t>
        </is>
      </c>
      <c r="D26" s="13" t="inlineStr">
        <is>
          <t>Strong target</t>
        </is>
      </c>
      <c r="E26" s="14" t="n">
        <v>3</v>
      </c>
      <c r="F26" s="12" t="inlineStr">
        <is>
          <t>Buys walls</t>
        </is>
      </c>
      <c r="G26" s="12" t="inlineStr">
        <is>
          <t>The Woodlands HQ / Liberty, Fort Bend</t>
        </is>
      </c>
      <c r="H26" s="12" t="inlineStr">
        <is>
          <t>1,300+ homes across 14 new communities</t>
        </is>
      </c>
      <c r="I26" s="14" t="inlineStr">
        <is>
          <t>Yes</t>
        </is>
      </c>
      <c r="J26" s="15" t="inlineStr">
        <is>
          <t>1,300 homes across 14 new communities, 359 at Valley Ranch.</t>
        </is>
      </c>
      <c r="K26" s="14" t="inlineStr">
        <is>
          <t>Partly</t>
        </is>
      </c>
      <c r="L26" s="15" t="inlineStr">
        <is>
          <t>About 750 closings last year across two markets. A machine would be a line inside the business rather than the business.</t>
        </is>
      </c>
      <c r="M26" s="14" t="inlineStr">
        <is>
          <t>Partly</t>
        </is>
      </c>
      <c r="N26" s="15" t="inlineStr">
        <is>
          <t>Markets its own wall assembly, though it is refined stick framing, not a new method.</t>
        </is>
      </c>
      <c r="O26" s="14" t="inlineStr">
        <is>
          <t>Partly</t>
        </is>
      </c>
      <c r="P26" s="6" t="inlineStr">
        <is>
          <t>https://www.linkedin.com/in/davidassid/</t>
        </is>
      </c>
      <c r="Q26" s="12" t="inlineStr"/>
      <c r="R26" s="16">
        <f>IF(P26="","ADD LINKEDIN","ok")</f>
        <v/>
      </c>
      <c r="S26" s="12" t="inlineStr">
        <is>
          <t>https://www.firstamericahomes.com/</t>
        </is>
      </c>
      <c r="T26" s="15" t="inlineStr">
        <is>
          <t>1,300 homes a year and it markets its wall assembly. The parent owns the land, so no third party sits in the method decision.</t>
        </is>
      </c>
      <c r="U26" s="12" t="inlineStr"/>
      <c r="V26" s="15" t="inlineStr">
        <is>
          <t>Division President, First America Homes. Houston, Texas.</t>
        </is>
      </c>
      <c r="W26" s="12" t="inlineStr"/>
      <c r="X26" s="12" t="inlineStr">
        <is>
          <t>https://www.linkedin.com/company/first-america-homes</t>
        </is>
      </c>
      <c r="Y26" s="12" t="inlineStr">
        <is>
          <t>https://www.firstamericahomes.com/about/</t>
        </is>
      </c>
      <c r="Z26" s="12" t="inlineStr">
        <is>
          <t>2026-08-10 CEOWORLD magazine. Danny Signorelli Leads First America Homes Expansion Across Houston and Texas  https://ceoworld.biz/2026/08/10/danny-signorelli-leads-first-america-homes-expansion-across-houston-and-texas/</t>
        </is>
      </c>
    </row>
    <row r="27">
      <c r="A27" s="6" t="inlineStr">
        <is>
          <t>Doug French</t>
        </is>
      </c>
      <c r="B27" s="6" t="inlineStr">
        <is>
          <t>Stylecraft Builders</t>
        </is>
      </c>
      <c r="C27" s="6" t="inlineStr">
        <is>
          <t>Owner, President and Chief Executive Officer</t>
        </is>
      </c>
      <c r="D27" s="7" t="inlineStr">
        <is>
          <t>Strong target</t>
        </is>
      </c>
      <c r="E27" s="8" t="n">
        <v>3</v>
      </c>
      <c r="F27" s="6" t="inlineStr">
        <is>
          <t>Buys walls</t>
        </is>
      </c>
      <c r="G27" s="6" t="inlineStr">
        <is>
          <t>College Station, building in Conroe and Huntsville</t>
        </is>
      </c>
      <c r="H27" s="6" t="inlineStr">
        <is>
          <t>973 homes and $310 million in 2025, up 17 percent</t>
        </is>
      </c>
      <c r="I27" s="8" t="inlineStr">
        <is>
          <t>Yes</t>
        </is>
      </c>
      <c r="J27" s="9" t="inlineStr">
        <is>
          <t>Eight or nine floor plans per community, named by square footage, repeated across the corridor.</t>
        </is>
      </c>
      <c r="K27" s="8" t="inlineStr">
        <is>
          <t>Partly</t>
        </is>
      </c>
      <c r="L27" s="9" t="inlineStr">
        <is>
          <t>973 homes in 2025 across Bryan-College Station, Conroe and Huntsville. Two machines would be a production line inside the business rather than the business.</t>
        </is>
      </c>
      <c r="M27" s="8" t="inlineStr">
        <is>
          <t>Partly</t>
        </is>
      </c>
      <c r="N27" s="9" t="inlineStr">
        <is>
          <t>It runs an even-flow production system, releasing a fixed number of starts a week rather than chasing demand. A firm that already thinks in takt time is one that can price a printer.</t>
        </is>
      </c>
      <c r="O27" s="8" t="inlineStr">
        <is>
          <t>Partly</t>
        </is>
      </c>
      <c r="P27" s="6" t="inlineStr">
        <is>
          <t>https://www.linkedin.com/in/doug-french-bb28b074/</t>
        </is>
      </c>
      <c r="Q27" s="6" t="inlineStr"/>
      <c r="R27" s="11">
        <f>IF(P27="","ADD LINKEDIN","ok")</f>
        <v/>
      </c>
      <c r="S27" s="6" t="inlineStr">
        <is>
          <t>https://www.stylecraft.com/</t>
        </is>
      </c>
      <c r="T27" s="9" t="inlineStr">
        <is>
          <t>973 homes in 2025 on a published even-flow model that releases a fixed number of starts a week. Eight or nine plans per community.</t>
        </is>
      </c>
      <c r="U27" s="6" t="inlineStr"/>
      <c r="V27" s="9" t="inlineStr">
        <is>
          <t>Indexed title reads Doug French, Stylecraft Builders Inc. The firm's team page lists him as Owner, President and Chief Executive Officer. Team page lists Doug French, Owner, President and Chief Executive Officer.</t>
        </is>
      </c>
      <c r="W27" s="6" t="inlineStr">
        <is>
          <t>https://www.stylecraft.com/team/</t>
        </is>
      </c>
      <c r="X27" s="6" t="inlineStr"/>
      <c r="Y27" s="6" t="inlineStr"/>
      <c r="Z27" s="6" t="inlineStr">
        <is>
          <t>2026-07-24 Builder Magazine. How Stylecraft Is Building Bigger While Staying Local  https://www.builderonline.com/builder-100/leadership/how-stylecraft-is-building-bigger-while-staying-local/</t>
        </is>
      </c>
    </row>
    <row r="28">
      <c r="A28" s="12" t="inlineStr">
        <is>
          <t>Jordan York</t>
        </is>
      </c>
      <c r="B28" s="12" t="inlineStr">
        <is>
          <t>Stylecraft Builders</t>
        </is>
      </c>
      <c r="C28" s="12" t="inlineStr">
        <is>
          <t>Vice President of Construction</t>
        </is>
      </c>
      <c r="D28" s="13" t="inlineStr">
        <is>
          <t>Strong target</t>
        </is>
      </c>
      <c r="E28" s="14" t="n">
        <v>3</v>
      </c>
      <c r="F28" s="12" t="inlineStr">
        <is>
          <t>Buys walls</t>
        </is>
      </c>
      <c r="G28" s="12" t="inlineStr">
        <is>
          <t>College Station, building in Conroe and Huntsville</t>
        </is>
      </c>
      <c r="H28" s="12" t="inlineStr">
        <is>
          <t>973 homes and $310 million in 2025, up 17 percent</t>
        </is>
      </c>
      <c r="I28" s="14" t="inlineStr">
        <is>
          <t>Yes</t>
        </is>
      </c>
      <c r="J28" s="15" t="inlineStr">
        <is>
          <t>Eight or nine floor plans per community, named by square footage, repeated across the corridor.</t>
        </is>
      </c>
      <c r="K28" s="14" t="inlineStr">
        <is>
          <t>Partly</t>
        </is>
      </c>
      <c r="L28" s="15" t="inlineStr">
        <is>
          <t>973 homes in 2025 across Bryan-College Station, Conroe and Huntsville. Two machines would be a production line inside the business rather than the business.</t>
        </is>
      </c>
      <c r="M28" s="14" t="inlineStr">
        <is>
          <t>Partly</t>
        </is>
      </c>
      <c r="N28" s="15" t="inlineStr">
        <is>
          <t>It runs an even-flow production system, releasing a fixed number of starts a week rather than chasing demand. A firm that already thinks in takt time is one that can price a printer.</t>
        </is>
      </c>
      <c r="O28" s="14" t="inlineStr">
        <is>
          <t>Partly</t>
        </is>
      </c>
      <c r="P28" s="10" t="inlineStr"/>
      <c r="Q28" s="12">
        <f>HYPERLINK("https://www.linkedin.com/search/results/people/?keywords=Jordan%20York%20Stylecraft%20Builders","search")</f>
        <v/>
      </c>
      <c r="R28" s="16">
        <f>IF(P28="","ADD LINKEDIN","ok")</f>
        <v/>
      </c>
      <c r="S28" s="12" t="inlineStr">
        <is>
          <t>https://www.stylecraft.com/</t>
        </is>
      </c>
      <c r="T28" s="15" t="inlineStr">
        <is>
          <t>973 homes in 2025 on a published even-flow model that releases a fixed number of starts a week. Eight or nine plans per community.</t>
        </is>
      </c>
      <c r="U28" s="12" t="inlineStr">
        <is>
          <t>YES</t>
        </is>
      </c>
      <c r="V28" s="15" t="inlineStr">
        <is>
          <t>Team page lists Jordan York, Vice President of Construction. The only LinkedIn profile under the name is a charter pilot.</t>
        </is>
      </c>
      <c r="W28" s="12" t="inlineStr">
        <is>
          <t>https://www.stylecraft.com/team/</t>
        </is>
      </c>
      <c r="X28" s="12" t="inlineStr"/>
      <c r="Y28" s="12" t="inlineStr"/>
      <c r="Z28" s="12" t="inlineStr">
        <is>
          <t>2026-07-24 Builder Magazine. How Stylecraft Is Building Bigger While Staying Local  https://www.builderonline.com/builder-100/leadership/how-stylecraft-is-building-bigger-while-staying-local/</t>
        </is>
      </c>
    </row>
    <row r="29">
      <c r="A29" s="6" t="inlineStr">
        <is>
          <t>Bruce Hendren</t>
        </is>
      </c>
      <c r="B29" s="6" t="inlineStr">
        <is>
          <t>Stylecraft Builders</t>
        </is>
      </c>
      <c r="C29" s="6" t="inlineStr">
        <is>
          <t>Vice President of Pre-Construction</t>
        </is>
      </c>
      <c r="D29" s="7" t="inlineStr">
        <is>
          <t>Strong target</t>
        </is>
      </c>
      <c r="E29" s="8" t="n">
        <v>3</v>
      </c>
      <c r="F29" s="6" t="inlineStr">
        <is>
          <t>Buys walls</t>
        </is>
      </c>
      <c r="G29" s="6" t="inlineStr">
        <is>
          <t>College Station, building in Conroe and Huntsville</t>
        </is>
      </c>
      <c r="H29" s="6" t="inlineStr">
        <is>
          <t>973 homes and $310 million in 2025, up 17 percent</t>
        </is>
      </c>
      <c r="I29" s="8" t="inlineStr">
        <is>
          <t>Yes</t>
        </is>
      </c>
      <c r="J29" s="9" t="inlineStr">
        <is>
          <t>Eight or nine floor plans per community, named by square footage, repeated across the corridor.</t>
        </is>
      </c>
      <c r="K29" s="8" t="inlineStr">
        <is>
          <t>Partly</t>
        </is>
      </c>
      <c r="L29" s="9" t="inlineStr">
        <is>
          <t>973 homes in 2025 across Bryan-College Station, Conroe and Huntsville. Two machines would be a production line inside the business rather than the business.</t>
        </is>
      </c>
      <c r="M29" s="8" t="inlineStr">
        <is>
          <t>Partly</t>
        </is>
      </c>
      <c r="N29" s="9" t="inlineStr">
        <is>
          <t>It runs an even-flow production system, releasing a fixed number of starts a week rather than chasing demand. A firm that already thinks in takt time is one that can price a printer.</t>
        </is>
      </c>
      <c r="O29" s="8" t="inlineStr">
        <is>
          <t>Partly</t>
        </is>
      </c>
      <c r="P29" s="6" t="inlineStr">
        <is>
          <t>https://www.linkedin.com/in/bruce-hendren-6a059068/</t>
        </is>
      </c>
      <c r="Q29" s="6" t="inlineStr"/>
      <c r="R29" s="11">
        <f>IF(P29="","ADD LINKEDIN","ok")</f>
        <v/>
      </c>
      <c r="S29" s="6" t="inlineStr">
        <is>
          <t>https://www.stylecraft.com/</t>
        </is>
      </c>
      <c r="T29" s="9" t="inlineStr">
        <is>
          <t>973 homes in 2025 on a published even-flow model that releases a fixed number of starts a week. Eight or nine plans per community.</t>
        </is>
      </c>
      <c r="U29" s="6" t="inlineStr">
        <is>
          <t>YES</t>
        </is>
      </c>
      <c r="V29" s="9" t="inlineStr">
        <is>
          <t>Indexed title reads Bruce Hendren, Stylecraft. The firm's team page lists him as Vice President of Pre-Construction. Team page lists Bruce Hendren, Vice President of Pre-Construction.</t>
        </is>
      </c>
      <c r="W29" s="6" t="inlineStr">
        <is>
          <t>https://www.stylecraft.com/team/</t>
        </is>
      </c>
      <c r="X29" s="6" t="inlineStr"/>
      <c r="Y29" s="6" t="inlineStr"/>
      <c r="Z29" s="6" t="inlineStr">
        <is>
          <t>2026-07-24 Builder Magazine. How Stylecraft Is Building Bigger While Staying Local  https://www.builderonline.com/builder-100/leadership/how-stylecraft-is-building-bigger-while-staying-local/</t>
        </is>
      </c>
    </row>
    <row r="30">
      <c r="A30" s="12" t="inlineStr">
        <is>
          <t>Emily Runnion</t>
        </is>
      </c>
      <c r="B30" s="12" t="inlineStr">
        <is>
          <t>Stylecraft Builders</t>
        </is>
      </c>
      <c r="C30" s="12" t="inlineStr">
        <is>
          <t>Director of the South Six Construction Group</t>
        </is>
      </c>
      <c r="D30" s="13" t="inlineStr">
        <is>
          <t>Strong target</t>
        </is>
      </c>
      <c r="E30" s="14" t="n">
        <v>3</v>
      </c>
      <c r="F30" s="12" t="inlineStr">
        <is>
          <t>Buys walls</t>
        </is>
      </c>
      <c r="G30" s="12" t="inlineStr">
        <is>
          <t>College Station, building in Conroe and Huntsville</t>
        </is>
      </c>
      <c r="H30" s="12" t="inlineStr">
        <is>
          <t>973 homes and $310 million in 2025, up 17 percent</t>
        </is>
      </c>
      <c r="I30" s="14" t="inlineStr">
        <is>
          <t>Yes</t>
        </is>
      </c>
      <c r="J30" s="15" t="inlineStr">
        <is>
          <t>Eight or nine floor plans per community, named by square footage, repeated across the corridor.</t>
        </is>
      </c>
      <c r="K30" s="14" t="inlineStr">
        <is>
          <t>Partly</t>
        </is>
      </c>
      <c r="L30" s="15" t="inlineStr">
        <is>
          <t>973 homes in 2025 across Bryan-College Station, Conroe and Huntsville. Two machines would be a production line inside the business rather than the business.</t>
        </is>
      </c>
      <c r="M30" s="14" t="inlineStr">
        <is>
          <t>Partly</t>
        </is>
      </c>
      <c r="N30" s="15" t="inlineStr">
        <is>
          <t>It runs an even-flow production system, releasing a fixed number of starts a week rather than chasing demand. A firm that already thinks in takt time is one that can price a printer.</t>
        </is>
      </c>
      <c r="O30" s="14" t="inlineStr">
        <is>
          <t>Partly</t>
        </is>
      </c>
      <c r="P30" s="6" t="inlineStr">
        <is>
          <t>https://www.linkedin.com/in/emilyrunnion/</t>
        </is>
      </c>
      <c r="Q30" s="12" t="inlineStr"/>
      <c r="R30" s="16">
        <f>IF(P30="","ADD LINKEDIN","ok")</f>
        <v/>
      </c>
      <c r="S30" s="12" t="inlineStr">
        <is>
          <t>https://www.stylecraft.com/</t>
        </is>
      </c>
      <c r="T30" s="15" t="inlineStr">
        <is>
          <t>973 homes in 2025 on a published even-flow model that releases a fixed number of starts a week. Eight or nine plans per community.</t>
        </is>
      </c>
      <c r="U30" s="12" t="inlineStr"/>
      <c r="V30" s="15" t="inlineStr">
        <is>
          <t>Indexed title reads Emily Runnion, Stylecraft. The firm's team page lists her as Director of the South Six Construction Group. Team page lists Emily Runnion, Director of South Six Construction Group.</t>
        </is>
      </c>
      <c r="W30" s="12" t="inlineStr">
        <is>
          <t>https://www.stylecraft.com/team/</t>
        </is>
      </c>
      <c r="X30" s="12" t="inlineStr"/>
      <c r="Y30" s="12" t="inlineStr"/>
      <c r="Z30" s="12" t="inlineStr">
        <is>
          <t>2026-07-24 Builder Magazine. How Stylecraft Is Building Bigger While Staying Local  https://www.builderonline.com/builder-100/leadership/how-stylecraft-is-building-bigger-while-staying-local/</t>
        </is>
      </c>
    </row>
    <row r="31">
      <c r="A31" s="6" t="inlineStr">
        <is>
          <t>Steve Ross</t>
        </is>
      </c>
      <c r="B31" s="6" t="inlineStr">
        <is>
          <t>Tiona Homes</t>
        </is>
      </c>
      <c r="C31" s="6" t="inlineStr">
        <is>
          <t>Founder and Chief Executive Officer</t>
        </is>
      </c>
      <c r="D31" s="7" t="inlineStr">
        <is>
          <t>Strong target</t>
        </is>
      </c>
      <c r="E31" s="8" t="n">
        <v>3</v>
      </c>
      <c r="F31" s="6" t="inlineStr">
        <is>
          <t>Buys walls</t>
        </is>
      </c>
      <c r="G31" s="6" t="inlineStr">
        <is>
          <t>Greater Houston, Harris</t>
        </is>
      </c>
      <c r="H31" s="6" t="inlineStr">
        <is>
          <t>Builds only in insulated concrete form</t>
        </is>
      </c>
      <c r="I31" s="8" t="inlineStr">
        <is>
          <t>Partly</t>
        </is>
      </c>
      <c r="J31" s="9" t="inlineStr">
        <is>
          <t>One wall system across Greater Houston. The plans are not published, so repetition is partial.</t>
        </is>
      </c>
      <c r="K31" s="8" t="inlineStr">
        <is>
          <t>Partly</t>
        </is>
      </c>
      <c r="L31" s="9" t="inlineStr">
        <is>
          <t>No volume figure is published. On the bands, a firm with no published figure is a Partly.</t>
        </is>
      </c>
      <c r="M31" s="8" t="inlineStr">
        <is>
          <t>Yes</t>
        </is>
      </c>
      <c r="N31" s="9" t="inlineStr">
        <is>
          <t>It builds only in insulated concrete form, and its parent produces and licenses the block system. The method is the business.</t>
        </is>
      </c>
      <c r="O31" s="8" t="inlineStr">
        <is>
          <t>Partly</t>
        </is>
      </c>
      <c r="P31" s="10" t="inlineStr"/>
      <c r="Q31" s="6">
        <f>HYPERLINK("https://www.linkedin.com/search/results/people/?keywords=Steve%20Ross%20Tiona%20Homes","search")</f>
        <v/>
      </c>
      <c r="R31" s="11">
        <f>IF(P31="","ADD LINKEDIN","ok")</f>
        <v/>
      </c>
      <c r="S31" s="6" t="inlineStr">
        <is>
          <t>https://www.tionahomes.com/</t>
        </is>
      </c>
      <c r="T31" s="9" t="inlineStr">
        <is>
          <t>Every house it builds has a concrete wall. It controls the forming material as well as the build, which is also the reason to check what it would be giving up.</t>
        </is>
      </c>
      <c r="U31" s="6" t="inlineStr">
        <is>
          <t>YES</t>
        </is>
      </c>
      <c r="V31" s="9" t="inlineStr"/>
      <c r="W31" s="6" t="inlineStr"/>
      <c r="X31" s="6" t="inlineStr"/>
      <c r="Y31" s="6" t="inlineStr"/>
      <c r="Z31" s="6" t="inlineStr"/>
    </row>
    <row r="32">
      <c r="A32" s="12" t="inlineStr">
        <is>
          <t>Jacob Ross</t>
        </is>
      </c>
      <c r="B32" s="12" t="inlineStr">
        <is>
          <t>Tiona Homes</t>
        </is>
      </c>
      <c r="C32" s="12" t="inlineStr">
        <is>
          <t>Product Manager</t>
        </is>
      </c>
      <c r="D32" s="13" t="inlineStr">
        <is>
          <t>Strong target</t>
        </is>
      </c>
      <c r="E32" s="14" t="n">
        <v>3</v>
      </c>
      <c r="F32" s="12" t="inlineStr">
        <is>
          <t>Buys walls</t>
        </is>
      </c>
      <c r="G32" s="12" t="inlineStr">
        <is>
          <t>Greater Houston, Harris</t>
        </is>
      </c>
      <c r="H32" s="12" t="inlineStr">
        <is>
          <t>Builds only in insulated concrete form</t>
        </is>
      </c>
      <c r="I32" s="14" t="inlineStr">
        <is>
          <t>Partly</t>
        </is>
      </c>
      <c r="J32" s="15" t="inlineStr">
        <is>
          <t>One wall system across Greater Houston. The plans are not published, so repetition is partial.</t>
        </is>
      </c>
      <c r="K32" s="14" t="inlineStr">
        <is>
          <t>Partly</t>
        </is>
      </c>
      <c r="L32" s="15" t="inlineStr">
        <is>
          <t>No volume figure is published. On the bands, a firm with no published figure is a Partly.</t>
        </is>
      </c>
      <c r="M32" s="14" t="inlineStr">
        <is>
          <t>Yes</t>
        </is>
      </c>
      <c r="N32" s="15" t="inlineStr">
        <is>
          <t>It builds only in insulated concrete form, and its parent produces and licenses the block system. The method is the business.</t>
        </is>
      </c>
      <c r="O32" s="14" t="inlineStr">
        <is>
          <t>Partly</t>
        </is>
      </c>
      <c r="P32" s="10" t="inlineStr"/>
      <c r="Q32" s="12">
        <f>HYPERLINK("https://www.linkedin.com/search/results/people/?keywords=Jacob%20Ross%20Tiona%20Homes","search")</f>
        <v/>
      </c>
      <c r="R32" s="16">
        <f>IF(P32="","ADD LINKEDIN","ok")</f>
        <v/>
      </c>
      <c r="S32" s="12" t="inlineStr">
        <is>
          <t>https://www.tionahomes.com/</t>
        </is>
      </c>
      <c r="T32" s="15" t="inlineStr">
        <is>
          <t>Every house it builds has a concrete wall. It controls the forming material as well as the build, which is also the reason to check what it would be giving up.</t>
        </is>
      </c>
      <c r="U32" s="12" t="inlineStr"/>
      <c r="V32" s="15" t="inlineStr"/>
      <c r="W32" s="12" t="inlineStr"/>
      <c r="X32" s="12" t="inlineStr"/>
      <c r="Y32" s="12" t="inlineStr"/>
      <c r="Z32" s="12" t="inlineStr"/>
    </row>
    <row r="33">
      <c r="A33" s="6" t="inlineStr">
        <is>
          <t>Victor Ramos</t>
        </is>
      </c>
      <c r="B33" s="6" t="inlineStr">
        <is>
          <t>Tiona Homes</t>
        </is>
      </c>
      <c r="C33" s="6" t="inlineStr">
        <is>
          <t>Construction Leader</t>
        </is>
      </c>
      <c r="D33" s="7" t="inlineStr">
        <is>
          <t>Strong target</t>
        </is>
      </c>
      <c r="E33" s="8" t="n">
        <v>3</v>
      </c>
      <c r="F33" s="6" t="inlineStr">
        <is>
          <t>Buys walls</t>
        </is>
      </c>
      <c r="G33" s="6" t="inlineStr">
        <is>
          <t>Greater Houston, Harris</t>
        </is>
      </c>
      <c r="H33" s="6" t="inlineStr">
        <is>
          <t>Builds only in insulated concrete form</t>
        </is>
      </c>
      <c r="I33" s="8" t="inlineStr">
        <is>
          <t>Partly</t>
        </is>
      </c>
      <c r="J33" s="9" t="inlineStr">
        <is>
          <t>One wall system across Greater Houston. The plans are not published, so repetition is partial.</t>
        </is>
      </c>
      <c r="K33" s="8" t="inlineStr">
        <is>
          <t>Partly</t>
        </is>
      </c>
      <c r="L33" s="9" t="inlineStr">
        <is>
          <t>No volume figure is published. On the bands, a firm with no published figure is a Partly.</t>
        </is>
      </c>
      <c r="M33" s="8" t="inlineStr">
        <is>
          <t>Yes</t>
        </is>
      </c>
      <c r="N33" s="9" t="inlineStr">
        <is>
          <t>It builds only in insulated concrete form, and its parent produces and licenses the block system. The method is the business.</t>
        </is>
      </c>
      <c r="O33" s="8" t="inlineStr">
        <is>
          <t>Partly</t>
        </is>
      </c>
      <c r="P33" s="10" t="inlineStr"/>
      <c r="Q33" s="6">
        <f>HYPERLINK("https://www.linkedin.com/search/results/people/?keywords=Victor%20Ramos%20Tiona%20Homes","search")</f>
        <v/>
      </c>
      <c r="R33" s="11">
        <f>IF(P33="","ADD LINKEDIN","ok")</f>
        <v/>
      </c>
      <c r="S33" s="6" t="inlineStr">
        <is>
          <t>https://www.tionahomes.com/</t>
        </is>
      </c>
      <c r="T33" s="9" t="inlineStr">
        <is>
          <t>Every house it builds has a concrete wall. It controls the forming material as well as the build, which is also the reason to check what it would be giving up.</t>
        </is>
      </c>
      <c r="U33" s="6" t="inlineStr"/>
      <c r="V33" s="9" t="inlineStr"/>
      <c r="W33" s="6" t="inlineStr"/>
      <c r="X33" s="6" t="inlineStr"/>
      <c r="Y33" s="6" t="inlineStr"/>
      <c r="Z33" s="6" t="inlineStr"/>
    </row>
    <row r="34">
      <c r="A34" s="12" t="inlineStr">
        <is>
          <t>Rame Hruska</t>
        </is>
      </c>
      <c r="B34" s="12" t="inlineStr">
        <is>
          <t>Aura Dwellings and Hospitality</t>
        </is>
      </c>
      <c r="C34" s="12" t="inlineStr">
        <is>
          <t>Co-founder and Chief Executive Officer, named in trade coverage</t>
        </is>
      </c>
      <c r="D34" s="13" t="inlineStr">
        <is>
          <t>Strong target</t>
        </is>
      </c>
      <c r="E34" s="14" t="n">
        <v>3</v>
      </c>
      <c r="F34" s="12" t="inlineStr">
        <is>
          <t>Buys walls</t>
        </is>
      </c>
      <c r="G34" s="12" t="inlineStr">
        <is>
          <t>Houston, Harris</t>
        </is>
      </c>
      <c r="H34" s="12" t="inlineStr">
        <is>
          <t>Factory-built modular homes and accessory dwellings</t>
        </is>
      </c>
      <c r="I34" s="14" t="inlineStr">
        <is>
          <t>Partly</t>
        </is>
      </c>
      <c r="J34" s="15" t="inlineStr">
        <is>
          <t>A published product line rather than one-off design, though no built volume is published.</t>
        </is>
      </c>
      <c r="K34" s="14" t="inlineStr">
        <is>
          <t>Partly</t>
        </is>
      </c>
      <c r="L34" s="15" t="inlineStr">
        <is>
          <t>No annual volume is published. On the bands, a firm with no published figure is a Partly.</t>
        </is>
      </c>
      <c r="M34" s="14" t="inlineStr">
        <is>
          <t>Yes</t>
        </is>
      </c>
      <c r="N34" s="15" t="inlineStr">
        <is>
          <t>Its whole model is factory-built construction rather than site framing. It has already paid to move wall production off the site.</t>
        </is>
      </c>
      <c r="O34" s="14" t="inlineStr">
        <is>
          <t>No</t>
        </is>
      </c>
      <c r="P34" s="10" t="inlineStr"/>
      <c r="Q34" s="12">
        <f>HYPERLINK("https://www.linkedin.com/search/results/people/?keywords=Rame%20Hruska%20Aura%20Dwellings%20and%20Hospitality","search")</f>
        <v/>
      </c>
      <c r="R34" s="16">
        <f>IF(P34="","ADD LINKEDIN","ok")</f>
        <v/>
      </c>
      <c r="S34" s="12" t="inlineStr">
        <is>
          <t>https://www.auradwellings.com/</t>
        </is>
      </c>
      <c r="T34" s="15" t="inlineStr">
        <is>
          <t>It moved its wall production into a factory and publishes the price list.</t>
        </is>
      </c>
      <c r="U34" s="12" t="inlineStr">
        <is>
          <t>YES</t>
        </is>
      </c>
      <c r="V34" s="15" t="inlineStr"/>
      <c r="W34" s="12" t="inlineStr"/>
      <c r="X34" s="12" t="inlineStr"/>
      <c r="Y34" s="12" t="inlineStr"/>
      <c r="Z34" s="12" t="inlineStr"/>
    </row>
    <row r="35">
      <c r="A35" s="6" t="inlineStr">
        <is>
          <t>Mary Lawler</t>
        </is>
      </c>
      <c r="B35" s="6" t="inlineStr">
        <is>
          <t>Avenue CDC</t>
        </is>
      </c>
      <c r="C35" s="6" t="inlineStr">
        <is>
          <t>Chief Executive Officer</t>
        </is>
      </c>
      <c r="D35" s="7" t="inlineStr">
        <is>
          <t>Strong target</t>
        </is>
      </c>
      <c r="E35" s="8" t="n">
        <v>3</v>
      </c>
      <c r="F35" s="6" t="inlineStr">
        <is>
          <t>Buys walls</t>
        </is>
      </c>
      <c r="G35" s="6" t="inlineStr">
        <is>
          <t>Near Northside, Harris County</t>
        </is>
      </c>
      <c r="H35" s="6" t="inlineStr">
        <is>
          <t>5 named Near Northside developments</t>
        </is>
      </c>
      <c r="I35" s="8" t="inlineStr">
        <is>
          <t>Partly</t>
        </is>
      </c>
      <c r="J35" s="9" t="inlineStr">
        <is>
          <t>Five developments in one neighbourhood since 2002.</t>
        </is>
      </c>
      <c r="K35" s="8" t="inlineStr">
        <is>
          <t>Yes</t>
        </is>
      </c>
      <c r="L35" s="9" t="inlineStr">
        <is>
          <t>Five affordable developments in one neighbourhood, at a scale one machine covers.</t>
        </is>
      </c>
      <c r="M35" s="8" t="inlineStr">
        <is>
          <t>Partly</t>
        </is>
      </c>
      <c r="N35" s="9" t="inlineStr">
        <is>
          <t>Post-Harvey resilience framing, from Rice's Kinder Institute rather than its own marketing.</t>
        </is>
      </c>
      <c r="O35" s="8" t="inlineStr">
        <is>
          <t>No</t>
        </is>
      </c>
      <c r="P35" s="10" t="inlineStr"/>
      <c r="Q35" s="6">
        <f>HYPERLINK("https://www.linkedin.com/search/results/people/?keywords=Mary%20Lawler%20Avenue%20CDC","search")</f>
        <v/>
      </c>
      <c r="R35" s="11">
        <f>IF(P35="","ADD LINKEDIN","ok")</f>
        <v/>
      </c>
      <c r="S35" s="6" t="inlineStr">
        <is>
          <t>https://avenuecdc.org/</t>
        </is>
      </c>
      <c r="T35" s="9" t="inlineStr">
        <is>
          <t>Five affordable developments in one neighbourhood, framed post-Harvey by Rice's Kinder Institute. $3.4M is the only figure.</t>
        </is>
      </c>
      <c r="U35" s="6" t="inlineStr"/>
      <c r="V35" s="9" t="inlineStr">
        <is>
          <t>Chief Executive Officer on Avenue's own board and staff page, marking twenty-five years of leadership.</t>
        </is>
      </c>
      <c r="W35" s="6" t="inlineStr">
        <is>
          <t>https://avenuecdc.org/about-us/board-staff/</t>
        </is>
      </c>
      <c r="X35" s="6" t="inlineStr">
        <is>
          <t>https://www.linkedin.com/company/avenue-community-development-coporation</t>
        </is>
      </c>
      <c r="Y35" s="6" t="inlineStr">
        <is>
          <t>https://avenuecdc.org/about-us/board-staff/</t>
        </is>
      </c>
      <c r="Z35" s="6" t="inlineStr"/>
    </row>
    <row r="36">
      <c r="A36" s="12" t="inlineStr">
        <is>
          <t>Nicole Cassier</t>
        </is>
      </c>
      <c r="B36" s="12" t="inlineStr">
        <is>
          <t>Avenue CDC</t>
        </is>
      </c>
      <c r="C36" s="12" t="inlineStr">
        <is>
          <t>Chief Strategy Officer</t>
        </is>
      </c>
      <c r="D36" s="13" t="inlineStr">
        <is>
          <t>Strong target</t>
        </is>
      </c>
      <c r="E36" s="14" t="n">
        <v>3</v>
      </c>
      <c r="F36" s="12" t="inlineStr">
        <is>
          <t>Buys walls</t>
        </is>
      </c>
      <c r="G36" s="12" t="inlineStr">
        <is>
          <t>Near Northside, Harris County</t>
        </is>
      </c>
      <c r="H36" s="12" t="inlineStr">
        <is>
          <t>5 named Near Northside developments</t>
        </is>
      </c>
      <c r="I36" s="14" t="inlineStr">
        <is>
          <t>Partly</t>
        </is>
      </c>
      <c r="J36" s="15" t="inlineStr">
        <is>
          <t>Five developments in one neighbourhood since 2002.</t>
        </is>
      </c>
      <c r="K36" s="14" t="inlineStr">
        <is>
          <t>Yes</t>
        </is>
      </c>
      <c r="L36" s="15" t="inlineStr">
        <is>
          <t>Five affordable developments in one neighbourhood, at a scale one machine covers.</t>
        </is>
      </c>
      <c r="M36" s="14" t="inlineStr">
        <is>
          <t>Partly</t>
        </is>
      </c>
      <c r="N36" s="15" t="inlineStr">
        <is>
          <t>Post-Harvey resilience framing, from Rice's Kinder Institute rather than its own marketing.</t>
        </is>
      </c>
      <c r="O36" s="14" t="inlineStr">
        <is>
          <t>No</t>
        </is>
      </c>
      <c r="P36" s="6" t="inlineStr">
        <is>
          <t>https://www.linkedin.com/in/nicolecassier/</t>
        </is>
      </c>
      <c r="Q36" s="12" t="inlineStr"/>
      <c r="R36" s="16">
        <f>IF(P36="","ADD LINKEDIN","ok")</f>
        <v/>
      </c>
      <c r="S36" s="12" t="inlineStr">
        <is>
          <t>https://avenuecdc.org/</t>
        </is>
      </c>
      <c r="T36" s="15" t="inlineStr">
        <is>
          <t>Five affordable developments in one neighbourhood, framed post-Harvey by Rice's Kinder Institute. $3.4M is the only figure.</t>
        </is>
      </c>
      <c r="U36" s="12" t="inlineStr"/>
      <c r="V36" s="15" t="inlineStr">
        <is>
          <t>Chief Strategy Officer, Housing &amp; Community Development. Surfaced on an Avenue CDC search. Nicole Cassier's LinkedIn headline gives her title but not her employer.</t>
        </is>
      </c>
      <c r="W36" s="12" t="inlineStr"/>
      <c r="X36" s="12" t="inlineStr">
        <is>
          <t>https://www.linkedin.com/company/avenue-community-development-coporation</t>
        </is>
      </c>
      <c r="Y36" s="12" t="inlineStr">
        <is>
          <t>https://avenuecdc.org/about-us/board-staff/</t>
        </is>
      </c>
      <c r="Z36" s="12" t="inlineStr"/>
    </row>
    <row r="37">
      <c r="A37" s="6" t="inlineStr">
        <is>
          <t>Karen Briggs Gwin</t>
        </is>
      </c>
      <c r="B37" s="6" t="inlineStr">
        <is>
          <t>Avenue CDC</t>
        </is>
      </c>
      <c r="C37" s="6" t="inlineStr">
        <is>
          <t>Chief Financial Officer</t>
        </is>
      </c>
      <c r="D37" s="7" t="inlineStr">
        <is>
          <t>Strong target</t>
        </is>
      </c>
      <c r="E37" s="8" t="n">
        <v>3</v>
      </c>
      <c r="F37" s="6" t="inlineStr">
        <is>
          <t>Buys walls</t>
        </is>
      </c>
      <c r="G37" s="6" t="inlineStr">
        <is>
          <t>Near Northside, Harris County</t>
        </is>
      </c>
      <c r="H37" s="6" t="inlineStr">
        <is>
          <t>5 named Near Northside developments</t>
        </is>
      </c>
      <c r="I37" s="8" t="inlineStr">
        <is>
          <t>Partly</t>
        </is>
      </c>
      <c r="J37" s="9" t="inlineStr">
        <is>
          <t>Five developments in one neighbourhood since 2002.</t>
        </is>
      </c>
      <c r="K37" s="8" t="inlineStr">
        <is>
          <t>Yes</t>
        </is>
      </c>
      <c r="L37" s="9" t="inlineStr">
        <is>
          <t>Five affordable developments in one neighbourhood, at a scale one machine covers.</t>
        </is>
      </c>
      <c r="M37" s="8" t="inlineStr">
        <is>
          <t>Partly</t>
        </is>
      </c>
      <c r="N37" s="9" t="inlineStr">
        <is>
          <t>Post-Harvey resilience framing, from Rice's Kinder Institute rather than its own marketing.</t>
        </is>
      </c>
      <c r="O37" s="8" t="inlineStr">
        <is>
          <t>No</t>
        </is>
      </c>
      <c r="P37" s="6" t="inlineStr">
        <is>
          <t>https://www.linkedin.com/in/karen-briggs-gwin-02106614/</t>
        </is>
      </c>
      <c r="Q37" s="6" t="inlineStr"/>
      <c r="R37" s="11">
        <f>IF(P37="","ADD LINKEDIN","ok")</f>
        <v/>
      </c>
      <c r="S37" s="6" t="inlineStr">
        <is>
          <t>https://avenuecdc.org/</t>
        </is>
      </c>
      <c r="T37" s="9" t="inlineStr">
        <is>
          <t>Five affordable developments in one neighbourhood, framed post-Harvey by Rice's Kinder Institute. $3.4M is the only figure.</t>
        </is>
      </c>
      <c r="U37" s="6" t="inlineStr"/>
      <c r="V37" s="9" t="inlineStr">
        <is>
          <t>Chief Financial Officer, Avenue CDC. Greater Houston.</t>
        </is>
      </c>
      <c r="W37" s="6" t="inlineStr"/>
      <c r="X37" s="6" t="inlineStr">
        <is>
          <t>https://www.linkedin.com/company/avenue-community-development-coporation</t>
        </is>
      </c>
      <c r="Y37" s="6" t="inlineStr">
        <is>
          <t>https://avenuecdc.org/about-us/board-staff/</t>
        </is>
      </c>
      <c r="Z37" s="6" t="inlineStr"/>
    </row>
    <row r="38">
      <c r="A38" s="12" t="inlineStr">
        <is>
          <t>Marilyn Vanderhider</t>
        </is>
      </c>
      <c r="B38" s="12" t="inlineStr">
        <is>
          <t>Avenue CDC</t>
        </is>
      </c>
      <c r="C38" s="12" t="inlineStr">
        <is>
          <t>Director of Single Family Housing, Avenue CDC</t>
        </is>
      </c>
      <c r="D38" s="13" t="inlineStr">
        <is>
          <t>Strong target</t>
        </is>
      </c>
      <c r="E38" s="14" t="n">
        <v>3</v>
      </c>
      <c r="F38" s="12" t="inlineStr">
        <is>
          <t>Buys walls</t>
        </is>
      </c>
      <c r="G38" s="12" t="inlineStr">
        <is>
          <t>Near Northside, Harris County</t>
        </is>
      </c>
      <c r="H38" s="12" t="inlineStr">
        <is>
          <t>5 named Near Northside developments</t>
        </is>
      </c>
      <c r="I38" s="14" t="inlineStr">
        <is>
          <t>Partly</t>
        </is>
      </c>
      <c r="J38" s="15" t="inlineStr">
        <is>
          <t>Five developments in one neighbourhood since 2002.</t>
        </is>
      </c>
      <c r="K38" s="14" t="inlineStr">
        <is>
          <t>Yes</t>
        </is>
      </c>
      <c r="L38" s="15" t="inlineStr">
        <is>
          <t>Five affordable developments in one neighbourhood, at a scale one machine covers.</t>
        </is>
      </c>
      <c r="M38" s="14" t="inlineStr">
        <is>
          <t>Partly</t>
        </is>
      </c>
      <c r="N38" s="15" t="inlineStr">
        <is>
          <t>Post-Harvey resilience framing, from Rice's Kinder Institute rather than its own marketing.</t>
        </is>
      </c>
      <c r="O38" s="14" t="inlineStr">
        <is>
          <t>No</t>
        </is>
      </c>
      <c r="P38" s="6" t="inlineStr">
        <is>
          <t>https://www.linkedin.com/in/marilyn-vanderhider-78a0b49/</t>
        </is>
      </c>
      <c r="Q38" s="12" t="inlineStr"/>
      <c r="R38" s="16">
        <f>IF(P38="","ADD LINKEDIN","ok")</f>
        <v/>
      </c>
      <c r="S38" s="12" t="inlineStr">
        <is>
          <t>https://avenuecdc.org/</t>
        </is>
      </c>
      <c r="T38" s="15" t="inlineStr">
        <is>
          <t>Five affordable developments in one neighbourhood, framed post-Harvey by Rice's Kinder Institute. $3.4M is the only figure.</t>
        </is>
      </c>
      <c r="U38" s="12" t="inlineStr">
        <is>
          <t>YES</t>
        </is>
      </c>
      <c r="V38" s="15" t="inlineStr">
        <is>
          <t>Director, Single Family Housing at Avenue Community Development Corporation. Houston, Texas. At a nonprofit developer this is the role that owns how the houses get built, not the chief executive.</t>
        </is>
      </c>
      <c r="W38" s="12" t="inlineStr"/>
      <c r="X38" s="12" t="inlineStr">
        <is>
          <t>https://www.linkedin.com/company/avenue-community-development-coporation</t>
        </is>
      </c>
      <c r="Y38" s="12" t="inlineStr">
        <is>
          <t>https://avenuecdc.org/about-us/board-staff/</t>
        </is>
      </c>
      <c r="Z38" s="12" t="inlineStr"/>
    </row>
    <row r="39">
      <c r="A39" s="6" t="inlineStr">
        <is>
          <t>Klaus Keller</t>
        </is>
      </c>
      <c r="B39" s="6" t="inlineStr">
        <is>
          <t>Sueba USA Corporation</t>
        </is>
      </c>
      <c r="C39" s="6" t="inlineStr">
        <is>
          <t>President and Chief Executive Officer</t>
        </is>
      </c>
      <c r="D39" s="7" t="inlineStr">
        <is>
          <t>Strong target</t>
        </is>
      </c>
      <c r="E39" s="8" t="n">
        <v>3</v>
      </c>
      <c r="F39" s="6" t="inlineStr">
        <is>
          <t>Buys walls</t>
        </is>
      </c>
      <c r="G39" s="6" t="inlineStr">
        <is>
          <t>Houston HQ / Fort Bend</t>
        </is>
      </c>
      <c r="H39" s="6" t="inlineStr">
        <is>
          <t>346 units, in-house architect and GC</t>
        </is>
      </c>
      <c r="I39" s="8" t="inlineStr">
        <is>
          <t>Partly</t>
        </is>
      </c>
      <c r="J39" s="9" t="inlineStr">
        <is>
          <t>346 units on one site at Fort Bend Town Center.</t>
        </is>
      </c>
      <c r="K39" s="8" t="inlineStr">
        <is>
          <t>Yes</t>
        </is>
      </c>
      <c r="L39" s="9" t="inlineStr">
        <is>
          <t>346 units with its own architect and its own general contractor. No third party is in the decision.</t>
        </is>
      </c>
      <c r="M39" s="8" t="inlineStr">
        <is>
          <t>Partly</t>
        </is>
      </c>
      <c r="N39" s="9" t="inlineStr">
        <is>
          <t>Its own affiliates act as architect and general contractor, so nobody outside can veto a method.</t>
        </is>
      </c>
      <c r="O39" s="8" t="inlineStr">
        <is>
          <t>No</t>
        </is>
      </c>
      <c r="P39" s="6" t="inlineStr">
        <is>
          <t>https://www.linkedin.com/in/klaus-keller-56151334/</t>
        </is>
      </c>
      <c r="Q39" s="6" t="inlineStr"/>
      <c r="R39" s="11">
        <f>IF(P39="","ADD LINKEDIN","ok")</f>
        <v/>
      </c>
      <c r="S39" s="6" t="inlineStr">
        <is>
          <t>https://suebausa.com/</t>
        </is>
      </c>
      <c r="T39" s="9" t="inlineStr">
        <is>
          <t>346 units, with its own architect and general contractor in-house. No third party in a method decision.</t>
        </is>
      </c>
      <c r="U39" s="6" t="inlineStr"/>
      <c r="V39" s="9" t="inlineStr">
        <is>
          <t>President at Sueba USA Corporation. Houston, Texas.</t>
        </is>
      </c>
      <c r="W39" s="6" t="inlineStr"/>
      <c r="X39" s="6" t="inlineStr">
        <is>
          <t>https://www.linkedin.com/company/sueba-usa-corporation</t>
        </is>
      </c>
      <c r="Y39" s="6" t="inlineStr">
        <is>
          <t>https://suebausa.com/about-us/</t>
        </is>
      </c>
      <c r="Z39" s="6" t="inlineStr"/>
    </row>
    <row r="40">
      <c r="A40" s="12" t="inlineStr">
        <is>
          <t>John Chiang</t>
        </is>
      </c>
      <c r="B40" s="12" t="inlineStr">
        <is>
          <t>Sueba USA Corporation</t>
        </is>
      </c>
      <c r="C40" s="12" t="inlineStr">
        <is>
          <t>Executive Vice President and Chief Operating Officer</t>
        </is>
      </c>
      <c r="D40" s="13" t="inlineStr">
        <is>
          <t>Strong target</t>
        </is>
      </c>
      <c r="E40" s="14" t="n">
        <v>3</v>
      </c>
      <c r="F40" s="12" t="inlineStr">
        <is>
          <t>Buys walls</t>
        </is>
      </c>
      <c r="G40" s="12" t="inlineStr">
        <is>
          <t>Houston HQ / Fort Bend</t>
        </is>
      </c>
      <c r="H40" s="12" t="inlineStr">
        <is>
          <t>346 units, in-house architect and GC</t>
        </is>
      </c>
      <c r="I40" s="14" t="inlineStr">
        <is>
          <t>Partly</t>
        </is>
      </c>
      <c r="J40" s="15" t="inlineStr">
        <is>
          <t>346 units on one site at Fort Bend Town Center.</t>
        </is>
      </c>
      <c r="K40" s="14" t="inlineStr">
        <is>
          <t>Yes</t>
        </is>
      </c>
      <c r="L40" s="15" t="inlineStr">
        <is>
          <t>346 units with its own architect and its own general contractor. No third party is in the decision.</t>
        </is>
      </c>
      <c r="M40" s="14" t="inlineStr">
        <is>
          <t>Partly</t>
        </is>
      </c>
      <c r="N40" s="15" t="inlineStr">
        <is>
          <t>Its own affiliates act as architect and general contractor, so nobody outside can veto a method.</t>
        </is>
      </c>
      <c r="O40" s="14" t="inlineStr">
        <is>
          <t>No</t>
        </is>
      </c>
      <c r="P40" s="10" t="inlineStr"/>
      <c r="Q40" s="12">
        <f>HYPERLINK("https://www.linkedin.com/search/results/people/?keywords=John%20Chiang%20Sueba%20USA%20Corporation","search")</f>
        <v/>
      </c>
      <c r="R40" s="16">
        <f>IF(P40="","ADD LINKEDIN","ok")</f>
        <v/>
      </c>
      <c r="S40" s="12" t="inlineStr">
        <is>
          <t>https://suebausa.com/</t>
        </is>
      </c>
      <c r="T40" s="15" t="inlineStr">
        <is>
          <t>346 units, with its own architect and general contractor in-house. No third party in a method decision.</t>
        </is>
      </c>
      <c r="U40" s="12" t="inlineStr"/>
      <c r="V40" s="15" t="inlineStr">
        <is>
          <t>Executive Vice President and Chief Operating Officer.</t>
        </is>
      </c>
      <c r="W40" s="12" t="inlineStr">
        <is>
          <t>https://suebausa.com/about-us/</t>
        </is>
      </c>
      <c r="X40" s="12" t="inlineStr">
        <is>
          <t>https://www.linkedin.com/company/sueba-usa-corporation</t>
        </is>
      </c>
      <c r="Y40" s="12" t="inlineStr">
        <is>
          <t>https://suebausa.com/about-us/</t>
        </is>
      </c>
      <c r="Z40" s="12" t="inlineStr"/>
    </row>
    <row r="41">
      <c r="A41" s="6" t="inlineStr">
        <is>
          <t>Raymond Gabriele</t>
        </is>
      </c>
      <c r="B41" s="6" t="inlineStr">
        <is>
          <t>Sueba USA Corporation</t>
        </is>
      </c>
      <c r="C41" s="6" t="inlineStr">
        <is>
          <t>Vice President, Development</t>
        </is>
      </c>
      <c r="D41" s="7" t="inlineStr">
        <is>
          <t>Strong target</t>
        </is>
      </c>
      <c r="E41" s="8" t="n">
        <v>3</v>
      </c>
      <c r="F41" s="6" t="inlineStr">
        <is>
          <t>Buys walls</t>
        </is>
      </c>
      <c r="G41" s="6" t="inlineStr">
        <is>
          <t>Houston HQ / Fort Bend</t>
        </is>
      </c>
      <c r="H41" s="6" t="inlineStr">
        <is>
          <t>346 units, in-house architect and GC</t>
        </is>
      </c>
      <c r="I41" s="8" t="inlineStr">
        <is>
          <t>Partly</t>
        </is>
      </c>
      <c r="J41" s="9" t="inlineStr">
        <is>
          <t>346 units on one site at Fort Bend Town Center.</t>
        </is>
      </c>
      <c r="K41" s="8" t="inlineStr">
        <is>
          <t>Yes</t>
        </is>
      </c>
      <c r="L41" s="9" t="inlineStr">
        <is>
          <t>346 units with its own architect and its own general contractor. No third party is in the decision.</t>
        </is>
      </c>
      <c r="M41" s="8" t="inlineStr">
        <is>
          <t>Partly</t>
        </is>
      </c>
      <c r="N41" s="9" t="inlineStr">
        <is>
          <t>Its own affiliates act as architect and general contractor, so nobody outside can veto a method.</t>
        </is>
      </c>
      <c r="O41" s="8" t="inlineStr">
        <is>
          <t>No</t>
        </is>
      </c>
      <c r="P41" s="6" t="inlineStr">
        <is>
          <t>https://www.linkedin.com/in/raygabriele/</t>
        </is>
      </c>
      <c r="Q41" s="6" t="inlineStr"/>
      <c r="R41" s="11">
        <f>IF(P41="","ADD LINKEDIN","ok")</f>
        <v/>
      </c>
      <c r="S41" s="6" t="inlineStr">
        <is>
          <t>https://suebausa.com/</t>
        </is>
      </c>
      <c r="T41" s="9" t="inlineStr">
        <is>
          <t>346 units, with its own architect and general contractor in-house. No third party in a method decision.</t>
        </is>
      </c>
      <c r="U41" s="6" t="inlineStr">
        <is>
          <t>YES</t>
        </is>
      </c>
      <c r="V41" s="9" t="inlineStr">
        <is>
          <t>Real Estate Development, Sueba USA Corporation. Houston, Texas. Listed AIA, so he is the licensed architect inside the firm that designs and builds its own work.</t>
        </is>
      </c>
      <c r="W41" s="6" t="inlineStr"/>
      <c r="X41" s="6" t="inlineStr">
        <is>
          <t>https://www.linkedin.com/company/sueba-usa-corporation</t>
        </is>
      </c>
      <c r="Y41" s="6" t="inlineStr">
        <is>
          <t>https://suebausa.com/about-us/</t>
        </is>
      </c>
      <c r="Z41" s="6" t="inlineStr"/>
    </row>
    <row r="42">
      <c r="A42" s="12" t="inlineStr">
        <is>
          <t>Michael Hundl</t>
        </is>
      </c>
      <c r="B42" s="12" t="inlineStr">
        <is>
          <t>Chesmar Homes</t>
        </is>
      </c>
      <c r="C42" s="12" t="inlineStr">
        <is>
          <t>Vice President of Construction, Houston North, Chesmar Homes</t>
        </is>
      </c>
      <c r="D42" s="13" t="inlineStr">
        <is>
          <t>Strong target</t>
        </is>
      </c>
      <c r="E42" s="14" t="n">
        <v>3</v>
      </c>
      <c r="F42" s="12" t="inlineStr">
        <is>
          <t>Buys walls</t>
        </is>
      </c>
      <c r="G42" s="12" t="inlineStr">
        <is>
          <t>Spring, Harris-Montgomery</t>
        </is>
      </c>
      <c r="H42" s="12" t="inlineStr">
        <is>
          <t>No unit count published; owned by Sekisui House U.S.</t>
        </is>
      </c>
      <c r="I42" s="14" t="inlineStr">
        <is>
          <t>Partly</t>
        </is>
      </c>
      <c r="J42" s="15" t="inlineStr">
        <is>
          <t>Builder at Sienna, with four Texas divisions.</t>
        </is>
      </c>
      <c r="K42" s="14" t="inlineStr">
        <is>
          <t>Partly</t>
        </is>
      </c>
      <c r="L42" s="15" t="inlineStr">
        <is>
          <t>Four Texas divisions under a Japanese parent. Volume is above the band and the parent is industrialising on its own terms.</t>
        </is>
      </c>
      <c r="M42" s="14" t="inlineStr">
        <is>
          <t>Partly</t>
        </is>
      </c>
      <c r="N42" s="15" t="inlineStr">
        <is>
          <t>Folded into Sekisui House U.S. in January 2026 under a stated mission to transfer Sekisui construction technology into the legacy brands.</t>
        </is>
      </c>
      <c r="O42" s="14" t="inlineStr">
        <is>
          <t>No</t>
        </is>
      </c>
      <c r="P42" s="6" t="inlineStr">
        <is>
          <t>https://www.linkedin.com/in/michael-hundl-2a279025/</t>
        </is>
      </c>
      <c r="Q42" s="12" t="inlineStr"/>
      <c r="R42" s="16">
        <f>IF(P42="","ADD LINKEDIN","ok")</f>
        <v/>
      </c>
      <c r="S42" s="12" t="inlineStr">
        <is>
          <t>https://www.chesmar.com/</t>
        </is>
      </c>
      <c r="T42" s="15" t="inlineStr">
        <is>
          <t>Now part of Sekisui House U.S., whose stated mission is transferring Japanese construction technology into its US brands. Nothing has reached Texas yet.</t>
        </is>
      </c>
      <c r="U42" s="12" t="inlineStr">
        <is>
          <t>YES</t>
        </is>
      </c>
      <c r="V42" s="15" t="inlineStr">
        <is>
          <t>VP of Construction Houston North, Chesmar Homes. Spring, Texas.</t>
        </is>
      </c>
      <c r="W42" s="12" t="inlineStr"/>
      <c r="X42" s="12" t="inlineStr">
        <is>
          <t>https://www.linkedin.com/company/chesmar-homes</t>
        </is>
      </c>
      <c r="Y42" s="12" t="inlineStr"/>
      <c r="Z42" s="12" t="inlineStr">
        <is>
          <t>Builder Magazine. Chesmar Homes, with the note that Sekisui House U.S. is the 2026 Builder of the Year  https://www.builderonline.com/organization/chesmar-homes/</t>
        </is>
      </c>
    </row>
    <row r="43">
      <c r="A43" s="6" t="inlineStr">
        <is>
          <t>Dan Renaud</t>
        </is>
      </c>
      <c r="B43" s="6" t="inlineStr">
        <is>
          <t>Chesmar Homes</t>
        </is>
      </c>
      <c r="C43" s="6" t="inlineStr">
        <is>
          <t>Vice President of Construction Operations, Chesmar Homes</t>
        </is>
      </c>
      <c r="D43" s="7" t="inlineStr">
        <is>
          <t>Strong target</t>
        </is>
      </c>
      <c r="E43" s="8" t="n">
        <v>3</v>
      </c>
      <c r="F43" s="6" t="inlineStr">
        <is>
          <t>Buys walls</t>
        </is>
      </c>
      <c r="G43" s="6" t="inlineStr">
        <is>
          <t>Spring, Harris-Montgomery</t>
        </is>
      </c>
      <c r="H43" s="6" t="inlineStr">
        <is>
          <t>No unit count published; owned by Sekisui House U.S.</t>
        </is>
      </c>
      <c r="I43" s="8" t="inlineStr">
        <is>
          <t>Partly</t>
        </is>
      </c>
      <c r="J43" s="9" t="inlineStr">
        <is>
          <t>Builder at Sienna, with four Texas divisions.</t>
        </is>
      </c>
      <c r="K43" s="8" t="inlineStr">
        <is>
          <t>Partly</t>
        </is>
      </c>
      <c r="L43" s="9" t="inlineStr">
        <is>
          <t>Four Texas divisions under a Japanese parent. Volume is above the band and the parent is industrialising on its own terms.</t>
        </is>
      </c>
      <c r="M43" s="8" t="inlineStr">
        <is>
          <t>Partly</t>
        </is>
      </c>
      <c r="N43" s="9" t="inlineStr">
        <is>
          <t>Folded into Sekisui House U.S. in January 2026 under a stated mission to transfer Sekisui construction technology into the legacy brands.</t>
        </is>
      </c>
      <c r="O43" s="8" t="inlineStr">
        <is>
          <t>No</t>
        </is>
      </c>
      <c r="P43" s="6" t="inlineStr">
        <is>
          <t>https://www.linkedin.com/in/dan-renaud-8b244719/</t>
        </is>
      </c>
      <c r="Q43" s="6" t="inlineStr"/>
      <c r="R43" s="11">
        <f>IF(P43="","ADD LINKEDIN","ok")</f>
        <v/>
      </c>
      <c r="S43" s="6" t="inlineStr">
        <is>
          <t>https://www.chesmar.com/</t>
        </is>
      </c>
      <c r="T43" s="9" t="inlineStr">
        <is>
          <t>Now part of Sekisui House U.S., whose stated mission is transferring Japanese construction technology into its US brands. Nothing has reached Texas yet.</t>
        </is>
      </c>
      <c r="U43" s="6" t="inlineStr">
        <is>
          <t>YES</t>
        </is>
      </c>
      <c r="V43" s="9" t="inlineStr">
        <is>
          <t>Vice President of Construction Operations at Chesmar Homes. Houston, Texas.</t>
        </is>
      </c>
      <c r="W43" s="6" t="inlineStr"/>
      <c r="X43" s="6" t="inlineStr">
        <is>
          <t>https://www.linkedin.com/company/chesmar-homes</t>
        </is>
      </c>
      <c r="Y43" s="6" t="inlineStr"/>
      <c r="Z43" s="6" t="inlineStr">
        <is>
          <t>Builder Magazine. Chesmar Homes, with the note that Sekisui House U.S. is the 2026 Builder of the Year  https://www.builderonline.com/organization/chesmar-homes/</t>
        </is>
      </c>
    </row>
    <row r="44">
      <c r="A44" s="12" t="inlineStr">
        <is>
          <t>David Ebarb</t>
        </is>
      </c>
      <c r="B44" s="12" t="inlineStr">
        <is>
          <t>Chesmar Homes</t>
        </is>
      </c>
      <c r="C44" s="12" t="inlineStr">
        <is>
          <t>Vice President of Purchasing, Chesmar Homes</t>
        </is>
      </c>
      <c r="D44" s="13" t="inlineStr">
        <is>
          <t>Strong target</t>
        </is>
      </c>
      <c r="E44" s="14" t="n">
        <v>3</v>
      </c>
      <c r="F44" s="12" t="inlineStr">
        <is>
          <t>Buys walls</t>
        </is>
      </c>
      <c r="G44" s="12" t="inlineStr">
        <is>
          <t>Spring, Harris-Montgomery</t>
        </is>
      </c>
      <c r="H44" s="12" t="inlineStr">
        <is>
          <t>No unit count published; owned by Sekisui House U.S.</t>
        </is>
      </c>
      <c r="I44" s="14" t="inlineStr">
        <is>
          <t>Partly</t>
        </is>
      </c>
      <c r="J44" s="15" t="inlineStr">
        <is>
          <t>Builder at Sienna, with four Texas divisions.</t>
        </is>
      </c>
      <c r="K44" s="14" t="inlineStr">
        <is>
          <t>Partly</t>
        </is>
      </c>
      <c r="L44" s="15" t="inlineStr">
        <is>
          <t>Four Texas divisions under a Japanese parent. Volume is above the band and the parent is industrialising on its own terms.</t>
        </is>
      </c>
      <c r="M44" s="14" t="inlineStr">
        <is>
          <t>Partly</t>
        </is>
      </c>
      <c r="N44" s="15" t="inlineStr">
        <is>
          <t>Folded into Sekisui House U.S. in January 2026 under a stated mission to transfer Sekisui construction technology into the legacy brands.</t>
        </is>
      </c>
      <c r="O44" s="14" t="inlineStr">
        <is>
          <t>No</t>
        </is>
      </c>
      <c r="P44" s="6" t="inlineStr">
        <is>
          <t>https://www.linkedin.com/in/david-ebarb-73388541/</t>
        </is>
      </c>
      <c r="Q44" s="12" t="inlineStr"/>
      <c r="R44" s="16">
        <f>IF(P44="","ADD LINKEDIN","ok")</f>
        <v/>
      </c>
      <c r="S44" s="12" t="inlineStr">
        <is>
          <t>https://www.chesmar.com/</t>
        </is>
      </c>
      <c r="T44" s="15" t="inlineStr">
        <is>
          <t>Now part of Sekisui House U.S., whose stated mission is transferring Japanese construction technology into its US brands. Nothing has reached Texas yet.</t>
        </is>
      </c>
      <c r="U44" s="12" t="inlineStr">
        <is>
          <t>YES</t>
        </is>
      </c>
      <c r="V44" s="15" t="inlineStr">
        <is>
          <t>Vice President of Purchasing at Chesmar Home. Houston, Texas.</t>
        </is>
      </c>
      <c r="W44" s="12" t="inlineStr"/>
      <c r="X44" s="12" t="inlineStr">
        <is>
          <t>https://www.linkedin.com/company/chesmar-homes</t>
        </is>
      </c>
      <c r="Y44" s="12" t="inlineStr"/>
      <c r="Z44" s="12" t="inlineStr">
        <is>
          <t>Builder Magazine. Chesmar Homes, with the note that Sekisui House U.S. is the 2026 Builder of the Year  https://www.builderonline.com/organization/chesmar-homes/</t>
        </is>
      </c>
    </row>
    <row r="45">
      <c r="A45" s="6" t="inlineStr">
        <is>
          <t>Kevin Holland</t>
        </is>
      </c>
      <c r="B45" s="6" t="inlineStr">
        <is>
          <t>Cervelle Homes</t>
        </is>
      </c>
      <c r="C45" s="6" t="inlineStr">
        <is>
          <t>Leads the firm with John Payson; no title published</t>
        </is>
      </c>
      <c r="D45" s="7" t="inlineStr">
        <is>
          <t>Worth pursuing, one gap</t>
        </is>
      </c>
      <c r="E45" s="8" t="n">
        <v>2</v>
      </c>
      <c r="F45" s="6" t="inlineStr">
        <is>
          <t>Buys walls</t>
        </is>
      </c>
      <c r="G45" s="6" t="inlineStr">
        <is>
          <t>Friendswood, Galveston-Harris</t>
        </is>
      </c>
      <c r="H45" s="6" t="inlineStr">
        <is>
          <t>150 to 200 homes a year since 1990</t>
        </is>
      </c>
      <c r="I45" s="8" t="inlineStr">
        <is>
          <t>Yes</t>
        </is>
      </c>
      <c r="J45" s="9" t="inlineStr">
        <is>
          <t>Between 150 and 200 homes a year, every year, in the same southeast Houston corridor.</t>
        </is>
      </c>
      <c r="K45" s="8" t="inlineStr">
        <is>
          <t>Yes</t>
        </is>
      </c>
      <c r="L45" s="9" t="inlineStr">
        <is>
          <t>At that volume one machine is a meaningful share of output rather than a pilot.</t>
        </is>
      </c>
      <c r="M45" s="8" t="inlineStr">
        <is>
          <t>No</t>
        </is>
      </c>
      <c r="N45" s="9" t="inlineStr">
        <is>
          <t>No method statement on record. The efficiency claim is about using the same trades since 1990.</t>
        </is>
      </c>
      <c r="O45" s="8" t="inlineStr">
        <is>
          <t>Partly</t>
        </is>
      </c>
      <c r="P45" s="10" t="inlineStr"/>
      <c r="Q45" s="6">
        <f>HYPERLINK("https://www.linkedin.com/search/results/people/?keywords=Kevin%20Holland%20Cervelle%20Homes","search")</f>
        <v/>
      </c>
      <c r="R45" s="11">
        <f>IF(P45="","ADD LINKEDIN","ok")</f>
        <v/>
      </c>
      <c r="S45" s="6" t="inlineStr">
        <is>
          <t>https://www.cervellehomes.com/</t>
        </is>
      </c>
      <c r="T45" s="9" t="inlineStr">
        <is>
          <t>150 to 200 homes a year from two standing plan families in one corridor. Inside the band one machine serves.</t>
        </is>
      </c>
      <c r="U45" s="6" t="inlineStr"/>
      <c r="V45" s="9" t="inlineStr">
        <is>
          <t>Homepage: the founder's standards carry forward under the guidance of Kevin Holland and John Payson. No title is published anywhere.</t>
        </is>
      </c>
      <c r="W45" s="6" t="inlineStr">
        <is>
          <t>https://www.cervellehomes.com/</t>
        </is>
      </c>
      <c r="X45" s="6" t="inlineStr"/>
      <c r="Y45" s="6" t="inlineStr"/>
      <c r="Z45" s="6" t="inlineStr"/>
    </row>
    <row r="46">
      <c r="A46" s="12" t="inlineStr">
        <is>
          <t>John Payson</t>
        </is>
      </c>
      <c r="B46" s="12" t="inlineStr">
        <is>
          <t>Cervelle Homes</t>
        </is>
      </c>
      <c r="C46" s="12" t="inlineStr">
        <is>
          <t>Leads the firm with Kevin Holland; no title published</t>
        </is>
      </c>
      <c r="D46" s="13" t="inlineStr">
        <is>
          <t>Worth pursuing, one gap</t>
        </is>
      </c>
      <c r="E46" s="14" t="n">
        <v>2</v>
      </c>
      <c r="F46" s="12" t="inlineStr">
        <is>
          <t>Buys walls</t>
        </is>
      </c>
      <c r="G46" s="12" t="inlineStr">
        <is>
          <t>Friendswood, Galveston-Harris</t>
        </is>
      </c>
      <c r="H46" s="12" t="inlineStr">
        <is>
          <t>150 to 200 homes a year since 1990</t>
        </is>
      </c>
      <c r="I46" s="14" t="inlineStr">
        <is>
          <t>Yes</t>
        </is>
      </c>
      <c r="J46" s="15" t="inlineStr">
        <is>
          <t>Between 150 and 200 homes a year, every year, in the same southeast Houston corridor.</t>
        </is>
      </c>
      <c r="K46" s="14" t="inlineStr">
        <is>
          <t>Yes</t>
        </is>
      </c>
      <c r="L46" s="15" t="inlineStr">
        <is>
          <t>At that volume one machine is a meaningful share of output rather than a pilot.</t>
        </is>
      </c>
      <c r="M46" s="14" t="inlineStr">
        <is>
          <t>No</t>
        </is>
      </c>
      <c r="N46" s="15" t="inlineStr">
        <is>
          <t>No method statement on record. The efficiency claim is about using the same trades since 1990.</t>
        </is>
      </c>
      <c r="O46" s="14" t="inlineStr">
        <is>
          <t>Partly</t>
        </is>
      </c>
      <c r="P46" s="10" t="inlineStr"/>
      <c r="Q46" s="12">
        <f>HYPERLINK("https://www.linkedin.com/search/results/people/?keywords=John%20Payson%20Cervelle%20Homes","search")</f>
        <v/>
      </c>
      <c r="R46" s="16">
        <f>IF(P46="","ADD LINKEDIN","ok")</f>
        <v/>
      </c>
      <c r="S46" s="12" t="inlineStr">
        <is>
          <t>https://www.cervellehomes.com/</t>
        </is>
      </c>
      <c r="T46" s="15" t="inlineStr">
        <is>
          <t>150 to 200 homes a year from two standing plan families in one corridor. Inside the band one machine serves.</t>
        </is>
      </c>
      <c r="U46" s="12" t="inlineStr"/>
      <c r="V46" s="15" t="inlineStr">
        <is>
          <t>Homepage names him alongside Kevin Holland as carrying the founder's standards forward. No title is published.</t>
        </is>
      </c>
      <c r="W46" s="12" t="inlineStr">
        <is>
          <t>https://www.cervellehomes.com/</t>
        </is>
      </c>
      <c r="X46" s="12" t="inlineStr"/>
      <c r="Y46" s="12" t="inlineStr"/>
      <c r="Z46" s="12" t="inlineStr"/>
    </row>
    <row r="47">
      <c r="A47" s="6" t="inlineStr">
        <is>
          <t>Dru Kahlenberg</t>
        </is>
      </c>
      <c r="B47" s="6" t="inlineStr">
        <is>
          <t>Alta Homes</t>
        </is>
      </c>
      <c r="C47" s="6" t="inlineStr">
        <is>
          <t>Chief Executive Officer</t>
        </is>
      </c>
      <c r="D47" s="7" t="inlineStr">
        <is>
          <t>Worth pursuing, one gap</t>
        </is>
      </c>
      <c r="E47" s="8" t="n">
        <v>2</v>
      </c>
      <c r="F47" s="6" t="inlineStr">
        <is>
          <t>Buys walls</t>
        </is>
      </c>
      <c r="G47" s="6" t="inlineStr">
        <is>
          <t>Willis and Conroe, Montgomery</t>
        </is>
      </c>
      <c r="H47" s="6" t="inlineStr">
        <is>
          <t>45 closings in 2025, 70 planned for 2026</t>
        </is>
      </c>
      <c r="I47" s="8" t="inlineStr">
        <is>
          <t>Yes</t>
        </is>
      </c>
      <c r="J47" s="9" t="inlineStr">
        <is>
          <t>Four communities inside a single county, with three more announced in the same corridor.</t>
        </is>
      </c>
      <c r="K47" s="8" t="inlineStr">
        <is>
          <t>Yes</t>
        </is>
      </c>
      <c r="L47" s="9" t="inlineStr">
        <is>
          <t>45 closings in 2025 and 70 planned for 2026. One machine would cover most of a year's walls.</t>
        </is>
      </c>
      <c r="M47" s="8" t="inlineStr">
        <is>
          <t>No</t>
        </is>
      </c>
      <c r="N47" s="9" t="inlineStr">
        <is>
          <t>No method evidence. Six people, so the decision sits with the two founders.</t>
        </is>
      </c>
      <c r="O47" s="8" t="inlineStr">
        <is>
          <t>No</t>
        </is>
      </c>
      <c r="P47" s="10" t="inlineStr"/>
      <c r="Q47" s="6">
        <f>HYPERLINK("https://www.linkedin.com/search/results/people/?keywords=Dru%20Kahlenberg%20Alta%20Homes","search")</f>
        <v/>
      </c>
      <c r="R47" s="11">
        <f>IF(P47="","ADD LINKEDIN","ok")</f>
        <v/>
      </c>
      <c r="S47" s="6" t="inlineStr">
        <is>
          <t>https://www.myaltahomes.com/</t>
        </is>
      </c>
      <c r="T47" s="9" t="inlineStr">
        <is>
          <t>45 closings in 2025 and 70 planned for 2026, all inside one county. One machine would cover the whole programme.</t>
        </is>
      </c>
      <c r="U47" s="6" t="inlineStr"/>
      <c r="V47" s="9" t="inlineStr">
        <is>
          <t>About page: CEO, who signs off on every piece of land and secures the financing behind every community.</t>
        </is>
      </c>
      <c r="W47" s="6" t="inlineStr">
        <is>
          <t>https://www.myaltahomes.com/about</t>
        </is>
      </c>
      <c r="X47" s="6" t="inlineStr"/>
      <c r="Y47" s="6" t="inlineStr"/>
      <c r="Z47" s="6" t="inlineStr"/>
    </row>
    <row r="48">
      <c r="A48" s="12" t="inlineStr">
        <is>
          <t>Scott Gilbert</t>
        </is>
      </c>
      <c r="B48" s="12" t="inlineStr">
        <is>
          <t>Alta Homes</t>
        </is>
      </c>
      <c r="C48" s="12" t="inlineStr">
        <is>
          <t>President</t>
        </is>
      </c>
      <c r="D48" s="13" t="inlineStr">
        <is>
          <t>Worth pursuing, one gap</t>
        </is>
      </c>
      <c r="E48" s="14" t="n">
        <v>2</v>
      </c>
      <c r="F48" s="12" t="inlineStr">
        <is>
          <t>Buys walls</t>
        </is>
      </c>
      <c r="G48" s="12" t="inlineStr">
        <is>
          <t>Willis and Conroe, Montgomery</t>
        </is>
      </c>
      <c r="H48" s="12" t="inlineStr">
        <is>
          <t>45 closings in 2025, 70 planned for 2026</t>
        </is>
      </c>
      <c r="I48" s="14" t="inlineStr">
        <is>
          <t>Yes</t>
        </is>
      </c>
      <c r="J48" s="15" t="inlineStr">
        <is>
          <t>Four communities inside a single county, with three more announced in the same corridor.</t>
        </is>
      </c>
      <c r="K48" s="14" t="inlineStr">
        <is>
          <t>Yes</t>
        </is>
      </c>
      <c r="L48" s="15" t="inlineStr">
        <is>
          <t>45 closings in 2025 and 70 planned for 2026. One machine would cover most of a year's walls.</t>
        </is>
      </c>
      <c r="M48" s="14" t="inlineStr">
        <is>
          <t>No</t>
        </is>
      </c>
      <c r="N48" s="15" t="inlineStr">
        <is>
          <t>No method evidence. Six people, so the decision sits with the two founders.</t>
        </is>
      </c>
      <c r="O48" s="14" t="inlineStr">
        <is>
          <t>No</t>
        </is>
      </c>
      <c r="P48" s="10" t="inlineStr"/>
      <c r="Q48" s="12">
        <f>HYPERLINK("https://www.linkedin.com/search/results/people/?keywords=Scott%20Gilbert%20Alta%20Homes","search")</f>
        <v/>
      </c>
      <c r="R48" s="16">
        <f>IF(P48="","ADD LINKEDIN","ok")</f>
        <v/>
      </c>
      <c r="S48" s="12" t="inlineStr">
        <is>
          <t>https://www.myaltahomes.com/</t>
        </is>
      </c>
      <c r="T48" s="15" t="inlineStr">
        <is>
          <t>45 closings in 2025 and 70 planned for 2026, all inside one county. One machine would cover the whole programme.</t>
        </is>
      </c>
      <c r="U48" s="12" t="inlineStr"/>
      <c r="V48" s="15" t="inlineStr">
        <is>
          <t>About page: President, focused on teams, vendor partnerships and efficient construction.</t>
        </is>
      </c>
      <c r="W48" s="12" t="inlineStr">
        <is>
          <t>https://www.myaltahomes.com/about</t>
        </is>
      </c>
      <c r="X48" s="12" t="inlineStr"/>
      <c r="Y48" s="12" t="inlineStr"/>
      <c r="Z48" s="12" t="inlineStr"/>
    </row>
    <row r="49">
      <c r="A49" s="6" t="inlineStr">
        <is>
          <t>Ashley Meinecke</t>
        </is>
      </c>
      <c r="B49" s="6" t="inlineStr">
        <is>
          <t>Alta Homes</t>
        </is>
      </c>
      <c r="C49" s="6" t="inlineStr">
        <is>
          <t>Accounts Payable and Purchasing Manager</t>
        </is>
      </c>
      <c r="D49" s="7" t="inlineStr">
        <is>
          <t>Worth pursuing, one gap</t>
        </is>
      </c>
      <c r="E49" s="8" t="n">
        <v>2</v>
      </c>
      <c r="F49" s="6" t="inlineStr">
        <is>
          <t>Buys walls</t>
        </is>
      </c>
      <c r="G49" s="6" t="inlineStr">
        <is>
          <t>Willis and Conroe, Montgomery</t>
        </is>
      </c>
      <c r="H49" s="6" t="inlineStr">
        <is>
          <t>45 closings in 2025, 70 planned for 2026</t>
        </is>
      </c>
      <c r="I49" s="8" t="inlineStr">
        <is>
          <t>Yes</t>
        </is>
      </c>
      <c r="J49" s="9" t="inlineStr">
        <is>
          <t>Four communities inside a single county, with three more announced in the same corridor.</t>
        </is>
      </c>
      <c r="K49" s="8" t="inlineStr">
        <is>
          <t>Yes</t>
        </is>
      </c>
      <c r="L49" s="9" t="inlineStr">
        <is>
          <t>45 closings in 2025 and 70 planned for 2026. One machine would cover most of a year's walls.</t>
        </is>
      </c>
      <c r="M49" s="8" t="inlineStr">
        <is>
          <t>No</t>
        </is>
      </c>
      <c r="N49" s="9" t="inlineStr">
        <is>
          <t>No method evidence. Six people, so the decision sits with the two founders.</t>
        </is>
      </c>
      <c r="O49" s="8" t="inlineStr">
        <is>
          <t>No</t>
        </is>
      </c>
      <c r="P49" s="10" t="inlineStr"/>
      <c r="Q49" s="6">
        <f>HYPERLINK("https://www.linkedin.com/search/results/people/?keywords=Ashley%20Meinecke%20Alta%20Homes","search")</f>
        <v/>
      </c>
      <c r="R49" s="11">
        <f>IF(P49="","ADD LINKEDIN","ok")</f>
        <v/>
      </c>
      <c r="S49" s="6" t="inlineStr">
        <is>
          <t>https://www.myaltahomes.com/</t>
        </is>
      </c>
      <c r="T49" s="9" t="inlineStr">
        <is>
          <t>45 closings in 2025 and 70 planned for 2026, all inside one county. One machine would cover the whole programme.</t>
        </is>
      </c>
      <c r="U49" s="6" t="inlineStr">
        <is>
          <t>YES</t>
        </is>
      </c>
      <c r="V49" s="9" t="inlineStr">
        <is>
          <t>About page: AP and Purchasing Manager.</t>
        </is>
      </c>
      <c r="W49" s="6" t="inlineStr">
        <is>
          <t>https://www.myaltahomes.com/about</t>
        </is>
      </c>
      <c r="X49" s="6" t="inlineStr"/>
      <c r="Y49" s="6" t="inlineStr"/>
      <c r="Z49" s="6" t="inlineStr"/>
    </row>
    <row r="50">
      <c r="A50" s="12" t="inlineStr">
        <is>
          <t>Glenn Briggs</t>
        </is>
      </c>
      <c r="B50" s="12" t="inlineStr">
        <is>
          <t>Kendall Homes</t>
        </is>
      </c>
      <c r="C50" s="12" t="inlineStr">
        <is>
          <t>President</t>
        </is>
      </c>
      <c r="D50" s="13" t="inlineStr">
        <is>
          <t>Worth pursuing, one gap</t>
        </is>
      </c>
      <c r="E50" s="14" t="n">
        <v>2</v>
      </c>
      <c r="F50" s="12" t="inlineStr">
        <is>
          <t>Buys walls</t>
        </is>
      </c>
      <c r="G50" s="12" t="inlineStr">
        <is>
          <t>Katy, with communities in Conroe, Willis and New Caney</t>
        </is>
      </c>
      <c r="H50" s="12" t="inlineStr">
        <is>
          <t>195 closings in 2022, the latest published</t>
        </is>
      </c>
      <c r="I50" s="14" t="inlineStr">
        <is>
          <t>Yes</t>
        </is>
      </c>
      <c r="J50" s="15" t="inlineStr">
        <is>
          <t>Communities clustered in Conroe, Willis and New Caney rather than spread across the metro.</t>
        </is>
      </c>
      <c r="K50" s="14" t="inlineStr">
        <is>
          <t>Yes</t>
        </is>
      </c>
      <c r="L50" s="15" t="inlineStr">
        <is>
          <t>195 closings in 2022 and 189 in 2021, the latest figures published. Inside the band one or two machines serve.</t>
        </is>
      </c>
      <c r="M50" s="14" t="inlineStr">
        <is>
          <t>No</t>
        </is>
      </c>
      <c r="N50" s="15" t="inlineStr">
        <is>
          <t>The firm's published positioning is against speed and cost cutting. A printed wall would be measured on the firm's own terms.</t>
        </is>
      </c>
      <c r="O50" s="14" t="inlineStr">
        <is>
          <t>No</t>
        </is>
      </c>
      <c r="P50" s="6" t="inlineStr">
        <is>
          <t>https://www.linkedin.com/in/glenn-briggs-5231975/</t>
        </is>
      </c>
      <c r="Q50" s="12" t="inlineStr"/>
      <c r="R50" s="16">
        <f>IF(P50="","ADD LINKEDIN","ok")</f>
        <v/>
      </c>
      <c r="S50" s="12" t="inlineStr">
        <is>
          <t>https://kendallhomes.net/</t>
        </is>
      </c>
      <c r="T50" s="15" t="inlineStr">
        <is>
          <t>More than 4,000 homes since 1993, which averages above 100 a year, across a small set of communities in one corridor. A named vice president of construction.</t>
        </is>
      </c>
      <c r="U50" s="12" t="inlineStr"/>
      <c r="V50" s="15" t="inlineStr">
        <is>
          <t>Indexed title reads Glenn Briggs, President at Kendall Homes.</t>
        </is>
      </c>
      <c r="W50" s="12" t="inlineStr"/>
      <c r="X50" s="12" t="inlineStr"/>
      <c r="Y50" s="12" t="inlineStr"/>
      <c r="Z50" s="12" t="inlineStr"/>
    </row>
    <row r="51">
      <c r="A51" s="6" t="inlineStr">
        <is>
          <t>Jason Madden</t>
        </is>
      </c>
      <c r="B51" s="6" t="inlineStr">
        <is>
          <t>Kendall Homes</t>
        </is>
      </c>
      <c r="C51" s="6" t="inlineStr">
        <is>
          <t>Vice President of Construction</t>
        </is>
      </c>
      <c r="D51" s="7" t="inlineStr">
        <is>
          <t>Worth pursuing, one gap</t>
        </is>
      </c>
      <c r="E51" s="8" t="n">
        <v>2</v>
      </c>
      <c r="F51" s="6" t="inlineStr">
        <is>
          <t>Buys walls</t>
        </is>
      </c>
      <c r="G51" s="6" t="inlineStr">
        <is>
          <t>Katy, with communities in Conroe, Willis and New Caney</t>
        </is>
      </c>
      <c r="H51" s="6" t="inlineStr">
        <is>
          <t>195 closings in 2022, the latest published</t>
        </is>
      </c>
      <c r="I51" s="8" t="inlineStr">
        <is>
          <t>Yes</t>
        </is>
      </c>
      <c r="J51" s="9" t="inlineStr">
        <is>
          <t>Communities clustered in Conroe, Willis and New Caney rather than spread across the metro.</t>
        </is>
      </c>
      <c r="K51" s="8" t="inlineStr">
        <is>
          <t>Yes</t>
        </is>
      </c>
      <c r="L51" s="9" t="inlineStr">
        <is>
          <t>195 closings in 2022 and 189 in 2021, the latest figures published. Inside the band one or two machines serve.</t>
        </is>
      </c>
      <c r="M51" s="8" t="inlineStr">
        <is>
          <t>No</t>
        </is>
      </c>
      <c r="N51" s="9" t="inlineStr">
        <is>
          <t>The firm's published positioning is against speed and cost cutting. A printed wall would be measured on the firm's own terms.</t>
        </is>
      </c>
      <c r="O51" s="8" t="inlineStr">
        <is>
          <t>No</t>
        </is>
      </c>
      <c r="P51" s="6" t="inlineStr">
        <is>
          <t>https://www.linkedin.com/in/jason-madden-3610ba70/</t>
        </is>
      </c>
      <c r="Q51" s="6" t="inlineStr"/>
      <c r="R51" s="11">
        <f>IF(P51="","ADD LINKEDIN","ok")</f>
        <v/>
      </c>
      <c r="S51" s="6" t="inlineStr">
        <is>
          <t>https://kendallhomes.net/</t>
        </is>
      </c>
      <c r="T51" s="9" t="inlineStr">
        <is>
          <t>More than 4,000 homes since 1993, which averages above 100 a year, across a small set of communities in one corridor. A named vice president of construction.</t>
        </is>
      </c>
      <c r="U51" s="6" t="inlineStr">
        <is>
          <t>YES</t>
        </is>
      </c>
      <c r="V51" s="9" t="inlineStr">
        <is>
          <t>Indexed title reads Jason Madden, Vice President of Construction at Kendall Homes.</t>
        </is>
      </c>
      <c r="W51" s="6" t="inlineStr"/>
      <c r="X51" s="6" t="inlineStr"/>
      <c r="Y51" s="6" t="inlineStr"/>
      <c r="Z51" s="6" t="inlineStr"/>
    </row>
    <row r="52">
      <c r="A52" s="12" t="inlineStr">
        <is>
          <t>Vinod Ramani</t>
        </is>
      </c>
      <c r="B52" s="12" t="inlineStr">
        <is>
          <t>Urban Living</t>
        </is>
      </c>
      <c r="C52" s="12" t="inlineStr">
        <is>
          <t>Owner</t>
        </is>
      </c>
      <c r="D52" s="13" t="inlineStr">
        <is>
          <t>Worth pursuing, one gap</t>
        </is>
      </c>
      <c r="E52" s="14" t="n">
        <v>2</v>
      </c>
      <c r="F52" s="12" t="inlineStr">
        <is>
          <t>Buys walls</t>
        </is>
      </c>
      <c r="G52" s="12" t="inlineStr">
        <is>
          <t>Inner-loop Houston, Harris County</t>
        </is>
      </c>
      <c r="H52" s="12" t="inlineStr">
        <is>
          <t>Inner-loop attached townhome production</t>
        </is>
      </c>
      <c r="I52" s="14" t="inlineStr">
        <is>
          <t>Yes</t>
        </is>
      </c>
      <c r="J52" s="15" t="inlineStr">
        <is>
          <t>Repeat townhome communities across inner Houston.</t>
        </is>
      </c>
      <c r="K52" s="14" t="inlineStr">
        <is>
          <t>Yes</t>
        </is>
      </c>
      <c r="L52" s="15" t="inlineStr">
        <is>
          <t>Attached townhome production at a volume one machine could carry.</t>
        </is>
      </c>
      <c r="M52" s="14" t="inlineStr">
        <is>
          <t>No</t>
        </is>
      </c>
      <c r="N52" s="15" t="inlineStr">
        <is>
          <t>No method evidence found.</t>
        </is>
      </c>
      <c r="O52" s="14" t="inlineStr">
        <is>
          <t>No</t>
        </is>
      </c>
      <c r="P52" s="6" t="inlineStr">
        <is>
          <t>https://www.linkedin.com/in/vinod-ramani-4a46788/</t>
        </is>
      </c>
      <c r="Q52" s="12" t="inlineStr"/>
      <c r="R52" s="16">
        <f>IF(P52="","ADD LINKEDIN","ok")</f>
        <v/>
      </c>
      <c r="S52" s="12" t="inlineStr">
        <is>
          <t>https://urbanliving.com/</t>
        </is>
      </c>
      <c r="T52" s="15" t="inlineStr">
        <is>
          <t>Attached townhome production, the product type a printed party wall serves. The owner is held on a LinkedIn headline alone; the firm's own site publishes nobody.</t>
        </is>
      </c>
      <c r="U52" s="12" t="inlineStr"/>
      <c r="V52" s="15" t="inlineStr">
        <is>
          <t>Indexed title reads Vinod Ramani, Urban Living.</t>
        </is>
      </c>
      <c r="W52" s="12" t="inlineStr"/>
      <c r="X52" s="12" t="inlineStr"/>
      <c r="Y52" s="12" t="inlineStr"/>
      <c r="Z52" s="12" t="inlineStr"/>
    </row>
    <row r="53">
      <c r="A53" s="6" t="inlineStr">
        <is>
          <t>Jamie Bryant</t>
        </is>
      </c>
      <c r="B53" s="6" t="inlineStr">
        <is>
          <t>Houston Housing Authority</t>
        </is>
      </c>
      <c r="C53" s="6" t="inlineStr">
        <is>
          <t>President and Chief Executive Officer, named February 2025</t>
        </is>
      </c>
      <c r="D53" s="7" t="inlineStr">
        <is>
          <t>Worth pursuing, one gap</t>
        </is>
      </c>
      <c r="E53" s="8" t="n">
        <v>2</v>
      </c>
      <c r="F53" s="6" t="inlineStr">
        <is>
          <t>Buys walls</t>
        </is>
      </c>
      <c r="G53" s="6" t="inlineStr">
        <is>
          <t>Third Ward / citywide, Harris County</t>
        </is>
      </c>
      <c r="H53" s="6" t="inlineStr">
        <is>
          <t>$600M+ programme, 5 phases, 2025-2032</t>
        </is>
      </c>
      <c r="I53" s="8" t="inlineStr">
        <is>
          <t>Yes</t>
        </is>
      </c>
      <c r="J53" s="9" t="inlineStr">
        <is>
          <t>Cuney Homes runs five phases from 2025 to 2032.</t>
        </is>
      </c>
      <c r="K53" s="8" t="inlineStr">
        <is>
          <t>Partly</t>
        </is>
      </c>
      <c r="L53" s="9" t="inlineStr">
        <is>
          <t>A $600 million programme in five phases, but the product is multifamily and the procurement is public.</t>
        </is>
      </c>
      <c r="M53" s="8" t="inlineStr">
        <is>
          <t>No</t>
        </is>
      </c>
      <c r="N53" s="9" t="inlineStr">
        <is>
          <t>No method statement on record. Federal procurement does reward cost and schedule.</t>
        </is>
      </c>
      <c r="O53" s="8" t="inlineStr">
        <is>
          <t>Yes</t>
        </is>
      </c>
      <c r="P53" s="10" t="inlineStr"/>
      <c r="Q53" s="6">
        <f>HYPERLINK("https://www.linkedin.com/search/results/people/?keywords=Jamie%20Bryant%20Houston%20Housing%20Authority","search")</f>
        <v/>
      </c>
      <c r="R53" s="11">
        <f>IF(P53="","ADD LINKEDIN","ok")</f>
        <v/>
      </c>
      <c r="S53" s="6" t="inlineStr">
        <is>
          <t>https://www.housingauthorityhouston.org/</t>
        </is>
      </c>
      <c r="T53" s="9" t="inlineStr">
        <is>
          <t>$600M across five phases to 2032. Federal money and open procurement, but no method track record.</t>
        </is>
      </c>
      <c r="U53" s="6" t="inlineStr"/>
      <c r="V53" s="9" t="inlineStr">
        <is>
          <t>Named President and Chief Executive Officer on the authority's own executive leadership page.</t>
        </is>
      </c>
      <c r="W53" s="6" t="inlineStr">
        <is>
          <t>https://housingforhouston.com/leadership/executive-leadership/</t>
        </is>
      </c>
      <c r="X53" s="6" t="inlineStr">
        <is>
          <t>https://www.linkedin.com/company/houston-housing-authority</t>
        </is>
      </c>
      <c r="Y53" s="6" t="inlineStr">
        <is>
          <t>https://housingforhouston.com/leadership/executive-leadership/</t>
        </is>
      </c>
      <c r="Z53" s="6" t="inlineStr"/>
    </row>
    <row r="54">
      <c r="A54" s="12" t="inlineStr">
        <is>
          <t>Neal Rackleff</t>
        </is>
      </c>
      <c r="B54" s="12" t="inlineStr">
        <is>
          <t>Houston Housing Authority</t>
        </is>
      </c>
      <c r="C54" s="12" t="inlineStr">
        <is>
          <t>Executive Vice President and Chief Operating Officer, Houston Housing Authority</t>
        </is>
      </c>
      <c r="D54" s="13" t="inlineStr">
        <is>
          <t>Worth pursuing, one gap</t>
        </is>
      </c>
      <c r="E54" s="14" t="n">
        <v>2</v>
      </c>
      <c r="F54" s="12" t="inlineStr">
        <is>
          <t>Buys walls</t>
        </is>
      </c>
      <c r="G54" s="12" t="inlineStr">
        <is>
          <t>Third Ward / citywide, Harris County</t>
        </is>
      </c>
      <c r="H54" s="12" t="inlineStr">
        <is>
          <t>$600M+ programme, 5 phases, 2025-2032</t>
        </is>
      </c>
      <c r="I54" s="14" t="inlineStr">
        <is>
          <t>Yes</t>
        </is>
      </c>
      <c r="J54" s="15" t="inlineStr">
        <is>
          <t>Cuney Homes runs five phases from 2025 to 2032.</t>
        </is>
      </c>
      <c r="K54" s="14" t="inlineStr">
        <is>
          <t>Partly</t>
        </is>
      </c>
      <c r="L54" s="15" t="inlineStr">
        <is>
          <t>A $600 million programme in five phases, but the product is multifamily and the procurement is public.</t>
        </is>
      </c>
      <c r="M54" s="14" t="inlineStr">
        <is>
          <t>No</t>
        </is>
      </c>
      <c r="N54" s="15" t="inlineStr">
        <is>
          <t>No method statement on record. Federal procurement does reward cost and schedule.</t>
        </is>
      </c>
      <c r="O54" s="14" t="inlineStr">
        <is>
          <t>Yes</t>
        </is>
      </c>
      <c r="P54" s="6" t="inlineStr">
        <is>
          <t>https://www.linkedin.com/in/nealrackleff/</t>
        </is>
      </c>
      <c r="Q54" s="12" t="inlineStr"/>
      <c r="R54" s="16">
        <f>IF(P54="","ADD LINKEDIN","ok")</f>
        <v/>
      </c>
      <c r="S54" s="12" t="inlineStr">
        <is>
          <t>https://www.housingauthorityhouston.org/</t>
        </is>
      </c>
      <c r="T54" s="15" t="inlineStr">
        <is>
          <t>$600M across five phases to 2032. Federal money and open procurement, but no method track record.</t>
        </is>
      </c>
      <c r="U54" s="12" t="inlineStr">
        <is>
          <t>YES</t>
        </is>
      </c>
      <c r="V54" s="15" t="inlineStr">
        <is>
          <t>Executive VP and COO Houston Housing Authority. Houston, Texas. The operating officer over a $600 million five-phase programme, and the office that answers for delivery rather than policy.</t>
        </is>
      </c>
      <c r="W54" s="12" t="inlineStr"/>
      <c r="X54" s="12" t="inlineStr">
        <is>
          <t>https://www.linkedin.com/company/houston-housing-authority</t>
        </is>
      </c>
      <c r="Y54" s="12" t="inlineStr">
        <is>
          <t>https://housingforhouston.com/leadership/executive-leadership/</t>
        </is>
      </c>
      <c r="Z54" s="12" t="inlineStr"/>
    </row>
    <row r="55">
      <c r="A55" s="6" t="inlineStr">
        <is>
          <t>Phillippe Lord</t>
        </is>
      </c>
      <c r="B55" s="6" t="inlineStr">
        <is>
          <t>Meritage Homes Corporation</t>
        </is>
      </c>
      <c r="C55" s="6" t="inlineStr">
        <is>
          <t>Chief Executive Officer</t>
        </is>
      </c>
      <c r="D55" s="7" t="inlineStr">
        <is>
          <t>Worth pursuing, one gap</t>
        </is>
      </c>
      <c r="E55" s="8" t="n">
        <v>2</v>
      </c>
      <c r="F55" s="6" t="inlineStr">
        <is>
          <t>Buys walls</t>
        </is>
      </c>
      <c r="G55" s="6" t="inlineStr">
        <is>
          <t>Scottsdale HQ / Liberty, Harris</t>
        </is>
      </c>
      <c r="H55" s="6" t="inlineStr">
        <is>
          <t>Sub-110 day cycle, 4 straight quarters</t>
        </is>
      </c>
      <c r="I55" s="8" t="inlineStr">
        <is>
          <t>Yes</t>
        </is>
      </c>
      <c r="J55" s="9" t="inlineStr">
        <is>
          <t>1,000 homes at Trinity Landing on 45 to 60 foot lots.</t>
        </is>
      </c>
      <c r="K55" s="8" t="inlineStr">
        <is>
          <t>No</t>
        </is>
      </c>
      <c r="L55" s="9" t="inlineStr">
        <is>
          <t>A national builder closing thousands a year through a corporate purchasing desk.</t>
        </is>
      </c>
      <c r="M55" s="8" t="inlineStr">
        <is>
          <t>Partly</t>
        </is>
      </c>
      <c r="N55" s="9" t="inlineStr">
        <is>
          <t>AI across the business and sub-110-day cycles. Nothing on wall systems.</t>
        </is>
      </c>
      <c r="O55" s="8" t="inlineStr">
        <is>
          <t>Yes</t>
        </is>
      </c>
      <c r="P55" s="6" t="inlineStr">
        <is>
          <t>https://www.linkedin.com/in/phillippe-lord-72924012/</t>
        </is>
      </c>
      <c r="Q55" s="6" t="inlineStr"/>
      <c r="R55" s="11">
        <f>IF(P55="","ADD LINKEDIN","ok")</f>
        <v/>
      </c>
      <c r="S55" s="6" t="inlineStr">
        <is>
          <t>https://www.meritagehomes.com/</t>
        </is>
      </c>
      <c r="T55" s="9" t="inlineStr">
        <is>
          <t>1,000 homes at Trinity Landing and a sub-110-day cycle held four quarters.</t>
        </is>
      </c>
      <c r="U55" s="6" t="inlineStr"/>
      <c r="V55" s="9" t="inlineStr">
        <is>
          <t>CEO, EVP at Meritage Homes.</t>
        </is>
      </c>
      <c r="W55" s="6" t="inlineStr"/>
      <c r="X55" s="6" t="inlineStr">
        <is>
          <t>https://www.linkedin.com/company/meritage-homes</t>
        </is>
      </c>
      <c r="Y55" s="6" t="inlineStr">
        <is>
          <t>https://investors.meritagehomes.com/company-information/management-team</t>
        </is>
      </c>
      <c r="Z55" s="6" t="inlineStr"/>
    </row>
    <row r="56">
      <c r="A56" s="12" t="inlineStr">
        <is>
          <t>Hilla Sferruzza</t>
        </is>
      </c>
      <c r="B56" s="12" t="inlineStr">
        <is>
          <t>Meritage Homes Corporation</t>
        </is>
      </c>
      <c r="C56" s="12" t="inlineStr">
        <is>
          <t>Executive Vice President and Chief Financial Officer</t>
        </is>
      </c>
      <c r="D56" s="13" t="inlineStr">
        <is>
          <t>Worth pursuing, one gap</t>
        </is>
      </c>
      <c r="E56" s="14" t="n">
        <v>2</v>
      </c>
      <c r="F56" s="12" t="inlineStr">
        <is>
          <t>Buys walls</t>
        </is>
      </c>
      <c r="G56" s="12" t="inlineStr">
        <is>
          <t>Scottsdale HQ / Liberty, Harris</t>
        </is>
      </c>
      <c r="H56" s="12" t="inlineStr">
        <is>
          <t>Sub-110 day cycle, 4 straight quarters</t>
        </is>
      </c>
      <c r="I56" s="14" t="inlineStr">
        <is>
          <t>Yes</t>
        </is>
      </c>
      <c r="J56" s="15" t="inlineStr">
        <is>
          <t>1,000 homes at Trinity Landing on 45 to 60 foot lots.</t>
        </is>
      </c>
      <c r="K56" s="14" t="inlineStr">
        <is>
          <t>No</t>
        </is>
      </c>
      <c r="L56" s="15" t="inlineStr">
        <is>
          <t>A national builder closing thousands a year through a corporate purchasing desk.</t>
        </is>
      </c>
      <c r="M56" s="14" t="inlineStr">
        <is>
          <t>Partly</t>
        </is>
      </c>
      <c r="N56" s="15" t="inlineStr">
        <is>
          <t>AI across the business and sub-110-day cycles. Nothing on wall systems.</t>
        </is>
      </c>
      <c r="O56" s="14" t="inlineStr">
        <is>
          <t>Yes</t>
        </is>
      </c>
      <c r="P56" s="10" t="inlineStr"/>
      <c r="Q56" s="12">
        <f>HYPERLINK("https://www.linkedin.com/search/results/people/?keywords=Hilla%20Sferruzza%20Meritage%20Homes%20Corporation","search")</f>
        <v/>
      </c>
      <c r="R56" s="16">
        <f>IF(P56="","ADD LINKEDIN","ok")</f>
        <v/>
      </c>
      <c r="S56" s="12" t="inlineStr">
        <is>
          <t>https://www.meritagehomes.com/</t>
        </is>
      </c>
      <c r="T56" s="15" t="inlineStr">
        <is>
          <t>1,000 homes at Trinity Landing and a sub-110-day cycle held four quarters.</t>
        </is>
      </c>
      <c r="U56" s="12" t="inlineStr"/>
      <c r="V56" s="15" t="inlineStr">
        <is>
          <t>Executive Vice President and Chief Financial Officer on Meritage's own management page.</t>
        </is>
      </c>
      <c r="W56" s="12" t="inlineStr">
        <is>
          <t>https://investors.meritagehomes.com/company-information/management-team</t>
        </is>
      </c>
      <c r="X56" s="12" t="inlineStr">
        <is>
          <t>https://www.linkedin.com/company/meritage-homes</t>
        </is>
      </c>
      <c r="Y56" s="12" t="inlineStr">
        <is>
          <t>https://investors.meritagehomes.com/company-information/management-team</t>
        </is>
      </c>
      <c r="Z56" s="12" t="inlineStr"/>
    </row>
    <row r="57">
      <c r="A57" s="6" t="inlineStr">
        <is>
          <t>Steven J. Hilton</t>
        </is>
      </c>
      <c r="B57" s="6" t="inlineStr">
        <is>
          <t>Meritage Homes Corporation</t>
        </is>
      </c>
      <c r="C57" s="6" t="inlineStr">
        <is>
          <t>Executive Chairman of the Board</t>
        </is>
      </c>
      <c r="D57" s="7" t="inlineStr">
        <is>
          <t>Worth pursuing, one gap</t>
        </is>
      </c>
      <c r="E57" s="8" t="n">
        <v>2</v>
      </c>
      <c r="F57" s="6" t="inlineStr">
        <is>
          <t>Buys walls</t>
        </is>
      </c>
      <c r="G57" s="6" t="inlineStr">
        <is>
          <t>Scottsdale HQ / Liberty, Harris</t>
        </is>
      </c>
      <c r="H57" s="6" t="inlineStr">
        <is>
          <t>Sub-110 day cycle, 4 straight quarters</t>
        </is>
      </c>
      <c r="I57" s="8" t="inlineStr">
        <is>
          <t>Yes</t>
        </is>
      </c>
      <c r="J57" s="9" t="inlineStr">
        <is>
          <t>1,000 homes at Trinity Landing on 45 to 60 foot lots.</t>
        </is>
      </c>
      <c r="K57" s="8" t="inlineStr">
        <is>
          <t>No</t>
        </is>
      </c>
      <c r="L57" s="9" t="inlineStr">
        <is>
          <t>A national builder closing thousands a year through a corporate purchasing desk.</t>
        </is>
      </c>
      <c r="M57" s="8" t="inlineStr">
        <is>
          <t>Partly</t>
        </is>
      </c>
      <c r="N57" s="9" t="inlineStr">
        <is>
          <t>AI across the business and sub-110-day cycles. Nothing on wall systems.</t>
        </is>
      </c>
      <c r="O57" s="8" t="inlineStr">
        <is>
          <t>Yes</t>
        </is>
      </c>
      <c r="P57" s="10" t="inlineStr"/>
      <c r="Q57" s="6">
        <f>HYPERLINK("https://www.linkedin.com/search/results/people/?keywords=Steven%20J.%20Hilton%20Meritage%20Homes%20Corporation","search")</f>
        <v/>
      </c>
      <c r="R57" s="11">
        <f>IF(P57="","ADD LINKEDIN","ok")</f>
        <v/>
      </c>
      <c r="S57" s="6" t="inlineStr">
        <is>
          <t>https://www.meritagehomes.com/</t>
        </is>
      </c>
      <c r="T57" s="9" t="inlineStr">
        <is>
          <t>1,000 homes at Trinity Landing and a sub-110-day cycle held four quarters.</t>
        </is>
      </c>
      <c r="U57" s="6" t="inlineStr"/>
      <c r="V57" s="9" t="inlineStr">
        <is>
          <t>Executive Chairman of the Board on Meritage's own management page.</t>
        </is>
      </c>
      <c r="W57" s="6" t="inlineStr">
        <is>
          <t>https://investors.meritagehomes.com/company-information/management-team</t>
        </is>
      </c>
      <c r="X57" s="6" t="inlineStr">
        <is>
          <t>https://www.linkedin.com/company/meritage-homes</t>
        </is>
      </c>
      <c r="Y57" s="6" t="inlineStr">
        <is>
          <t>https://investors.meritagehomes.com/company-information/management-team</t>
        </is>
      </c>
      <c r="Z57" s="6" t="inlineStr"/>
    </row>
    <row r="58">
      <c r="A58" s="12" t="inlineStr">
        <is>
          <t>Jayar Griffith</t>
        </is>
      </c>
      <c r="B58" s="12" t="inlineStr">
        <is>
          <t>Meritage Homes Corporation</t>
        </is>
      </c>
      <c r="C58" s="12" t="inlineStr">
        <is>
          <t>Vice President of Operations, Meritage Homes Houston</t>
        </is>
      </c>
      <c r="D58" s="13" t="inlineStr">
        <is>
          <t>Worth pursuing, one gap</t>
        </is>
      </c>
      <c r="E58" s="14" t="n">
        <v>2</v>
      </c>
      <c r="F58" s="12" t="inlineStr">
        <is>
          <t>Buys walls</t>
        </is>
      </c>
      <c r="G58" s="12" t="inlineStr">
        <is>
          <t>Scottsdale HQ / Liberty, Harris</t>
        </is>
      </c>
      <c r="H58" s="12" t="inlineStr">
        <is>
          <t>Sub-110 day cycle, 4 straight quarters</t>
        </is>
      </c>
      <c r="I58" s="14" t="inlineStr">
        <is>
          <t>Yes</t>
        </is>
      </c>
      <c r="J58" s="15" t="inlineStr">
        <is>
          <t>1,000 homes at Trinity Landing on 45 to 60 foot lots.</t>
        </is>
      </c>
      <c r="K58" s="14" t="inlineStr">
        <is>
          <t>No</t>
        </is>
      </c>
      <c r="L58" s="15" t="inlineStr">
        <is>
          <t>A national builder closing thousands a year through a corporate purchasing desk.</t>
        </is>
      </c>
      <c r="M58" s="14" t="inlineStr">
        <is>
          <t>Partly</t>
        </is>
      </c>
      <c r="N58" s="15" t="inlineStr">
        <is>
          <t>AI across the business and sub-110-day cycles. Nothing on wall systems.</t>
        </is>
      </c>
      <c r="O58" s="14" t="inlineStr">
        <is>
          <t>Yes</t>
        </is>
      </c>
      <c r="P58" s="6" t="inlineStr">
        <is>
          <t>https://www.linkedin.com/in/jayar-griffith-30a43439/</t>
        </is>
      </c>
      <c r="Q58" s="12" t="inlineStr"/>
      <c r="R58" s="16">
        <f>IF(P58="","ADD LINKEDIN","ok")</f>
        <v/>
      </c>
      <c r="S58" s="12" t="inlineStr">
        <is>
          <t>https://www.meritagehomes.com/</t>
        </is>
      </c>
      <c r="T58" s="15" t="inlineStr">
        <is>
          <t>1,000 homes at Trinity Landing and a sub-110-day cycle held four quarters.</t>
        </is>
      </c>
      <c r="U58" s="12" t="inlineStr">
        <is>
          <t>YES</t>
        </is>
      </c>
      <c r="V58" s="15" t="inlineStr">
        <is>
          <t>Vice President of Operations at Meritage Homes (Houston). Houston, Texas. Operations at a production builder owns build cycle and trade scope.</t>
        </is>
      </c>
      <c r="W58" s="12" t="inlineStr"/>
      <c r="X58" s="12" t="inlineStr">
        <is>
          <t>https://www.linkedin.com/company/meritage-homes</t>
        </is>
      </c>
      <c r="Y58" s="12" t="inlineStr">
        <is>
          <t>https://investors.meritagehomes.com/company-information/management-team</t>
        </is>
      </c>
      <c r="Z58" s="12" t="inlineStr"/>
    </row>
    <row r="59">
      <c r="A59" s="6" t="inlineStr">
        <is>
          <t>Jeremy Flach</t>
        </is>
      </c>
      <c r="B59" s="6" t="inlineStr">
        <is>
          <t>Meritage Homes Corporation</t>
        </is>
      </c>
      <c r="C59" s="6" t="inlineStr">
        <is>
          <t>Division President, Meritage Homes Houston</t>
        </is>
      </c>
      <c r="D59" s="7" t="inlineStr">
        <is>
          <t>Worth pursuing, one gap</t>
        </is>
      </c>
      <c r="E59" s="8" t="n">
        <v>2</v>
      </c>
      <c r="F59" s="6" t="inlineStr">
        <is>
          <t>Buys walls</t>
        </is>
      </c>
      <c r="G59" s="6" t="inlineStr">
        <is>
          <t>Scottsdale HQ / Liberty, Harris</t>
        </is>
      </c>
      <c r="H59" s="6" t="inlineStr">
        <is>
          <t>Sub-110 day cycle, 4 straight quarters</t>
        </is>
      </c>
      <c r="I59" s="8" t="inlineStr">
        <is>
          <t>Yes</t>
        </is>
      </c>
      <c r="J59" s="9" t="inlineStr">
        <is>
          <t>1,000 homes at Trinity Landing on 45 to 60 foot lots.</t>
        </is>
      </c>
      <c r="K59" s="8" t="inlineStr">
        <is>
          <t>No</t>
        </is>
      </c>
      <c r="L59" s="9" t="inlineStr">
        <is>
          <t>A national builder closing thousands a year through a corporate purchasing desk.</t>
        </is>
      </c>
      <c r="M59" s="8" t="inlineStr">
        <is>
          <t>Partly</t>
        </is>
      </c>
      <c r="N59" s="9" t="inlineStr">
        <is>
          <t>AI across the business and sub-110-day cycles. Nothing on wall systems.</t>
        </is>
      </c>
      <c r="O59" s="8" t="inlineStr">
        <is>
          <t>Yes</t>
        </is>
      </c>
      <c r="P59" s="6" t="inlineStr">
        <is>
          <t>https://www.linkedin.com/in/jeremy-flach-b3616614/</t>
        </is>
      </c>
      <c r="Q59" s="6" t="inlineStr"/>
      <c r="R59" s="11">
        <f>IF(P59="","ADD LINKEDIN","ok")</f>
        <v/>
      </c>
      <c r="S59" s="6" t="inlineStr">
        <is>
          <t>https://www.meritagehomes.com/</t>
        </is>
      </c>
      <c r="T59" s="9" t="inlineStr">
        <is>
          <t>1,000 homes at Trinity Landing and a sub-110-day cycle held four quarters.</t>
        </is>
      </c>
      <c r="U59" s="6" t="inlineStr"/>
      <c r="V59" s="9" t="inlineStr">
        <is>
          <t>Division President at Meritage Homes. Houston, Texas.</t>
        </is>
      </c>
      <c r="W59" s="6" t="inlineStr"/>
      <c r="X59" s="6" t="inlineStr">
        <is>
          <t>https://www.linkedin.com/company/meritage-homes</t>
        </is>
      </c>
      <c r="Y59" s="6" t="inlineStr">
        <is>
          <t>https://investors.meritagehomes.com/company-information/management-team</t>
        </is>
      </c>
      <c r="Z59" s="6" t="inlineStr"/>
    </row>
    <row r="60">
      <c r="A60" s="12" t="inlineStr">
        <is>
          <t>Kyle Davison</t>
        </is>
      </c>
      <c r="B60" s="12" t="inlineStr">
        <is>
          <t>Meritage Homes Corporation</t>
        </is>
      </c>
      <c r="C60" s="12" t="inlineStr">
        <is>
          <t>Central Region President, Meritage Homes</t>
        </is>
      </c>
      <c r="D60" s="13" t="inlineStr">
        <is>
          <t>Worth pursuing, one gap</t>
        </is>
      </c>
      <c r="E60" s="14" t="n">
        <v>2</v>
      </c>
      <c r="F60" s="12" t="inlineStr">
        <is>
          <t>Buys walls</t>
        </is>
      </c>
      <c r="G60" s="12" t="inlineStr">
        <is>
          <t>Scottsdale HQ / Liberty, Harris</t>
        </is>
      </c>
      <c r="H60" s="12" t="inlineStr">
        <is>
          <t>Sub-110 day cycle, 4 straight quarters</t>
        </is>
      </c>
      <c r="I60" s="14" t="inlineStr">
        <is>
          <t>Yes</t>
        </is>
      </c>
      <c r="J60" s="15" t="inlineStr">
        <is>
          <t>1,000 homes at Trinity Landing on 45 to 60 foot lots.</t>
        </is>
      </c>
      <c r="K60" s="14" t="inlineStr">
        <is>
          <t>No</t>
        </is>
      </c>
      <c r="L60" s="15" t="inlineStr">
        <is>
          <t>A national builder closing thousands a year through a corporate purchasing desk.</t>
        </is>
      </c>
      <c r="M60" s="14" t="inlineStr">
        <is>
          <t>Partly</t>
        </is>
      </c>
      <c r="N60" s="15" t="inlineStr">
        <is>
          <t>AI across the business and sub-110-day cycles. Nothing on wall systems.</t>
        </is>
      </c>
      <c r="O60" s="14" t="inlineStr">
        <is>
          <t>Yes</t>
        </is>
      </c>
      <c r="P60" s="6" t="inlineStr">
        <is>
          <t>https://www.linkedin.com/in/kyle-davison-377a322b/</t>
        </is>
      </c>
      <c r="Q60" s="12" t="inlineStr"/>
      <c r="R60" s="16">
        <f>IF(P60="","ADD LINKEDIN","ok")</f>
        <v/>
      </c>
      <c r="S60" s="12" t="inlineStr">
        <is>
          <t>https://www.meritagehomes.com/</t>
        </is>
      </c>
      <c r="T60" s="15" t="inlineStr">
        <is>
          <t>1,000 homes at Trinity Landing and a sub-110-day cycle held four quarters.</t>
        </is>
      </c>
      <c r="U60" s="12" t="inlineStr"/>
      <c r="V60" s="15" t="inlineStr">
        <is>
          <t>Central Region President at Meritage Homes (NYSE). Sugar Land, Texas.</t>
        </is>
      </c>
      <c r="W60" s="12" t="inlineStr"/>
      <c r="X60" s="12" t="inlineStr">
        <is>
          <t>https://www.linkedin.com/company/meritage-homes</t>
        </is>
      </c>
      <c r="Y60" s="12" t="inlineStr">
        <is>
          <t>https://investors.meritagehomes.com/company-information/management-team</t>
        </is>
      </c>
      <c r="Z60" s="12" t="inlineStr"/>
    </row>
    <row r="61">
      <c r="A61" s="6" t="inlineStr">
        <is>
          <t>Stephen Ray</t>
        </is>
      </c>
      <c r="B61" s="6" t="inlineStr">
        <is>
          <t>Smith Douglas Homes</t>
        </is>
      </c>
      <c r="C61" s="6" t="inlineStr">
        <is>
          <t>Leads the Houston division; Founder and President of Devon Street Homes before the 2023 sale</t>
        </is>
      </c>
      <c r="D61" s="7" t="inlineStr">
        <is>
          <t>Worth pursuing, one gap</t>
        </is>
      </c>
      <c r="E61" s="8" t="n">
        <v>2</v>
      </c>
      <c r="F61" s="6" t="inlineStr">
        <is>
          <t>Buys walls</t>
        </is>
      </c>
      <c r="G61" s="6" t="inlineStr">
        <is>
          <t>Houston, formerly Devon Street Homes</t>
        </is>
      </c>
      <c r="H61" s="6" t="inlineStr">
        <is>
          <t>324 closings in 2022 as Devon Street</t>
        </is>
      </c>
      <c r="I61" s="8" t="inlineStr">
        <is>
          <t>Yes</t>
        </is>
      </c>
      <c r="J61" s="9" t="inlineStr">
        <is>
          <t>324 homes across fifteen communities, on a standardised first-time-buyer product.</t>
        </is>
      </c>
      <c r="K61" s="8" t="inlineStr">
        <is>
          <t>Partly</t>
        </is>
      </c>
      <c r="L61" s="9" t="inlineStr">
        <is>
          <t>The volume band fits, but the parent listed in January 2024 and purchasing may have centralised.</t>
        </is>
      </c>
      <c r="M61" s="8" t="inlineStr">
        <is>
          <t>No</t>
        </is>
      </c>
      <c r="N61" s="9" t="inlineStr">
        <is>
          <t>The model is standardisation for entry-level buyers. That is not evidence of paying for a method that was new at the time.</t>
        </is>
      </c>
      <c r="O61" s="8" t="inlineStr">
        <is>
          <t>Yes</t>
        </is>
      </c>
      <c r="P61" s="10" t="inlineStr"/>
      <c r="Q61" s="6">
        <f>HYPERLINK("https://www.linkedin.com/search/results/people/?keywords=Stephen%20Ray%20Smith%20Douglas%20Homes","search")</f>
        <v/>
      </c>
      <c r="R61" s="11">
        <f>IF(P61="","ADD LINKEDIN","ok")</f>
        <v/>
      </c>
      <c r="S61" s="6" t="inlineStr">
        <is>
          <t>https://www.smithdouglas.com/</t>
        </is>
      </c>
      <c r="T61" s="9" t="inlineStr">
        <is>
          <t>324 closings across fifteen communities in the year before it was acquired, on standardised entry-level product. Now part of a listed builder; the Houston purchasing structure is not published.</t>
        </is>
      </c>
      <c r="U61" s="6" t="inlineStr"/>
      <c r="V61" s="9" t="inlineStr">
        <is>
          <t>Smith Douglas's own announcement: Stephen Ray, Founder and President of Devon Street, will continue to lead the Houston division. No post-acquisition title is published.</t>
        </is>
      </c>
      <c r="W61" s="6" t="inlineStr">
        <is>
          <t>https://www.smithdouglas.com/blog/smith-douglas-homes-acquires-devon-street-homes-enters-houston-tx-market</t>
        </is>
      </c>
      <c r="X61" s="6" t="inlineStr"/>
      <c r="Y61" s="6" t="inlineStr"/>
      <c r="Z61" s="6" t="inlineStr"/>
    </row>
    <row r="62">
      <c r="A62" s="12" t="inlineStr">
        <is>
          <t>Dan Miller</t>
        </is>
      </c>
      <c r="B62" s="12" t="inlineStr">
        <is>
          <t>Camillo Companies (SimplyHome / Legend Homes)</t>
        </is>
      </c>
      <c r="C62" s="12" t="inlineStr">
        <is>
          <t>Chief Executive Officer</t>
        </is>
      </c>
      <c r="D62" s="13" t="inlineStr">
        <is>
          <t>Worth pursuing, one gap</t>
        </is>
      </c>
      <c r="E62" s="14" t="n">
        <v>2</v>
      </c>
      <c r="F62" s="12" t="inlineStr">
        <is>
          <t>Buys walls</t>
        </is>
      </c>
      <c r="G62" s="12" t="inlineStr">
        <is>
          <t>Houston HQ, Harris County</t>
        </is>
      </c>
      <c r="H62" s="12" t="inlineStr">
        <is>
          <t>10,800+ rental homes, 115+ communities</t>
        </is>
      </c>
      <c r="I62" s="14" t="inlineStr">
        <is>
          <t>Yes</t>
        </is>
      </c>
      <c r="J62" s="15" t="inlineStr">
        <is>
          <t>10,800 rental homes across 115 communities.</t>
        </is>
      </c>
      <c r="K62" s="14" t="inlineStr">
        <is>
          <t>Partly</t>
        </is>
      </c>
      <c r="L62" s="15" t="inlineStr">
        <is>
          <t>10,800 rental homes held across 115 communities. The volume is far above one machine, though the build-and-hold model is the right one.</t>
        </is>
      </c>
      <c r="M62" s="14" t="inlineStr">
        <is>
          <t>No</t>
        </is>
      </c>
      <c r="N62" s="15" t="inlineStr">
        <is>
          <t>No construction-method statement found anywhere.</t>
        </is>
      </c>
      <c r="O62" s="14" t="inlineStr">
        <is>
          <t>Partly</t>
        </is>
      </c>
      <c r="P62" s="10" t="inlineStr"/>
      <c r="Q62" s="12">
        <f>HYPERLINK("https://www.linkedin.com/search/results/people/?keywords=Dan%20Miller%20Camillo%20Companies","search")</f>
        <v/>
      </c>
      <c r="R62" s="16">
        <f>IF(P62="","ADD LINKEDIN","ok")</f>
        <v/>
      </c>
      <c r="S62" s="12" t="inlineStr">
        <is>
          <t>https://www.camillocompanies.com/</t>
        </is>
      </c>
      <c r="T62" s="15" t="inlineStr">
        <is>
          <t>10,800 rental homes across 115 communities, built and held.</t>
        </is>
      </c>
      <c r="U62" s="12" t="inlineStr"/>
      <c r="V62" s="15" t="inlineStr">
        <is>
          <t>Chief Executive Officer on Camillo's own about page.</t>
        </is>
      </c>
      <c r="W62" s="12" t="inlineStr">
        <is>
          <t>https://www.camillocompanies.com/about-us</t>
        </is>
      </c>
      <c r="X62" s="12" t="inlineStr">
        <is>
          <t>https://www.linkedin.com/company/camillo-companies</t>
        </is>
      </c>
      <c r="Y62" s="12" t="inlineStr">
        <is>
          <t>https://www.camillocompanies.com/about-us</t>
        </is>
      </c>
      <c r="Z62" s="12" t="inlineStr"/>
    </row>
    <row r="63">
      <c r="A63" s="6" t="inlineStr">
        <is>
          <t>Lee Darnold</t>
        </is>
      </c>
      <c r="B63" s="6" t="inlineStr">
        <is>
          <t>Camillo Companies (SimplyHome / Legend Homes)</t>
        </is>
      </c>
      <c r="C63" s="6" t="inlineStr">
        <is>
          <t>President, Legend Homes by Camillo</t>
        </is>
      </c>
      <c r="D63" s="7" t="inlineStr">
        <is>
          <t>Worth pursuing, one gap</t>
        </is>
      </c>
      <c r="E63" s="8" t="n">
        <v>2</v>
      </c>
      <c r="F63" s="6" t="inlineStr">
        <is>
          <t>Buys walls</t>
        </is>
      </c>
      <c r="G63" s="6" t="inlineStr">
        <is>
          <t>Houston HQ, Harris County</t>
        </is>
      </c>
      <c r="H63" s="6" t="inlineStr">
        <is>
          <t>10,800+ rental homes, 115+ communities</t>
        </is>
      </c>
      <c r="I63" s="8" t="inlineStr">
        <is>
          <t>Yes</t>
        </is>
      </c>
      <c r="J63" s="9" t="inlineStr">
        <is>
          <t>10,800 rental homes across 115 communities.</t>
        </is>
      </c>
      <c r="K63" s="8" t="inlineStr">
        <is>
          <t>Partly</t>
        </is>
      </c>
      <c r="L63" s="9" t="inlineStr">
        <is>
          <t>10,800 rental homes held across 115 communities. The volume is far above one machine, though the build-and-hold model is the right one.</t>
        </is>
      </c>
      <c r="M63" s="8" t="inlineStr">
        <is>
          <t>No</t>
        </is>
      </c>
      <c r="N63" s="9" t="inlineStr">
        <is>
          <t>No construction-method statement found anywhere.</t>
        </is>
      </c>
      <c r="O63" s="8" t="inlineStr">
        <is>
          <t>Partly</t>
        </is>
      </c>
      <c r="P63" s="10" t="inlineStr"/>
      <c r="Q63" s="6">
        <f>HYPERLINK("https://www.linkedin.com/search/results/people/?keywords=Lee%20Darnold%20Camillo%20Companies","search")</f>
        <v/>
      </c>
      <c r="R63" s="11">
        <f>IF(P63="","ADD LINKEDIN","ok")</f>
        <v/>
      </c>
      <c r="S63" s="6" t="inlineStr">
        <is>
          <t>https://www.camillocompanies.com/</t>
        </is>
      </c>
      <c r="T63" s="9" t="inlineStr">
        <is>
          <t>10,800 rental homes across 115 communities, built and held.</t>
        </is>
      </c>
      <c r="U63" s="6" t="inlineStr"/>
      <c r="V63" s="9" t="inlineStr">
        <is>
          <t>President, Legend Homes by Camillo, on the firm's own about page.</t>
        </is>
      </c>
      <c r="W63" s="6" t="inlineStr">
        <is>
          <t>https://www.camillocompanies.com/about-us</t>
        </is>
      </c>
      <c r="X63" s="6" t="inlineStr">
        <is>
          <t>https://www.linkedin.com/company/camillo-companies</t>
        </is>
      </c>
      <c r="Y63" s="6" t="inlineStr">
        <is>
          <t>https://www.camillocompanies.com/about-us</t>
        </is>
      </c>
      <c r="Z63" s="6" t="inlineStr"/>
    </row>
    <row r="64">
      <c r="A64" s="12" t="inlineStr">
        <is>
          <t>Sean Mulroony</t>
        </is>
      </c>
      <c r="B64" s="12" t="inlineStr">
        <is>
          <t>Camillo Companies (SimplyHome / Legend Homes)</t>
        </is>
      </c>
      <c r="C64" s="12" t="inlineStr">
        <is>
          <t>President, Academy Development by Camillo</t>
        </is>
      </c>
      <c r="D64" s="13" t="inlineStr">
        <is>
          <t>Worth pursuing, one gap</t>
        </is>
      </c>
      <c r="E64" s="14" t="n">
        <v>2</v>
      </c>
      <c r="F64" s="12" t="inlineStr">
        <is>
          <t>Buys walls</t>
        </is>
      </c>
      <c r="G64" s="12" t="inlineStr">
        <is>
          <t>Houston HQ, Harris County</t>
        </is>
      </c>
      <c r="H64" s="12" t="inlineStr">
        <is>
          <t>10,800+ rental homes, 115+ communities</t>
        </is>
      </c>
      <c r="I64" s="14" t="inlineStr">
        <is>
          <t>Yes</t>
        </is>
      </c>
      <c r="J64" s="15" t="inlineStr">
        <is>
          <t>10,800 rental homes across 115 communities.</t>
        </is>
      </c>
      <c r="K64" s="14" t="inlineStr">
        <is>
          <t>Partly</t>
        </is>
      </c>
      <c r="L64" s="15" t="inlineStr">
        <is>
          <t>10,800 rental homes held across 115 communities. The volume is far above one machine, though the build-and-hold model is the right one.</t>
        </is>
      </c>
      <c r="M64" s="14" t="inlineStr">
        <is>
          <t>No</t>
        </is>
      </c>
      <c r="N64" s="15" t="inlineStr">
        <is>
          <t>No construction-method statement found anywhere.</t>
        </is>
      </c>
      <c r="O64" s="14" t="inlineStr">
        <is>
          <t>Partly</t>
        </is>
      </c>
      <c r="P64" s="10" t="inlineStr"/>
      <c r="Q64" s="12">
        <f>HYPERLINK("https://www.linkedin.com/search/results/people/?keywords=Sean%20Mulroony%20Camillo%20Companies","search")</f>
        <v/>
      </c>
      <c r="R64" s="16">
        <f>IF(P64="","ADD LINKEDIN","ok")</f>
        <v/>
      </c>
      <c r="S64" s="12" t="inlineStr">
        <is>
          <t>https://www.camillocompanies.com/</t>
        </is>
      </c>
      <c r="T64" s="15" t="inlineStr">
        <is>
          <t>10,800 rental homes across 115 communities, built and held.</t>
        </is>
      </c>
      <c r="U64" s="12" t="inlineStr"/>
      <c r="V64" s="15" t="inlineStr">
        <is>
          <t>President, Academy Development by Camillo, on the firm's own about page.</t>
        </is>
      </c>
      <c r="W64" s="12" t="inlineStr">
        <is>
          <t>https://www.camillocompanies.com/about-us</t>
        </is>
      </c>
      <c r="X64" s="12" t="inlineStr">
        <is>
          <t>https://www.linkedin.com/company/camillo-companies</t>
        </is>
      </c>
      <c r="Y64" s="12" t="inlineStr">
        <is>
          <t>https://www.camillocompanies.com/about-us</t>
        </is>
      </c>
      <c r="Z64" s="12" t="inlineStr"/>
    </row>
    <row r="65">
      <c r="A65" s="6" t="inlineStr">
        <is>
          <t>Jomar Ereso</t>
        </is>
      </c>
      <c r="B65" s="6" t="inlineStr">
        <is>
          <t>Camillo Companies (SimplyHome / Legend Homes)</t>
        </is>
      </c>
      <c r="C65" s="6" t="inlineStr">
        <is>
          <t>Chief Financial Officer</t>
        </is>
      </c>
      <c r="D65" s="7" t="inlineStr">
        <is>
          <t>Worth pursuing, one gap</t>
        </is>
      </c>
      <c r="E65" s="8" t="n">
        <v>2</v>
      </c>
      <c r="F65" s="6" t="inlineStr">
        <is>
          <t>Buys walls</t>
        </is>
      </c>
      <c r="G65" s="6" t="inlineStr">
        <is>
          <t>Houston HQ, Harris County</t>
        </is>
      </c>
      <c r="H65" s="6" t="inlineStr">
        <is>
          <t>10,800+ rental homes, 115+ communities</t>
        </is>
      </c>
      <c r="I65" s="8" t="inlineStr">
        <is>
          <t>Yes</t>
        </is>
      </c>
      <c r="J65" s="9" t="inlineStr">
        <is>
          <t>10,800 rental homes across 115 communities.</t>
        </is>
      </c>
      <c r="K65" s="8" t="inlineStr">
        <is>
          <t>Partly</t>
        </is>
      </c>
      <c r="L65" s="9" t="inlineStr">
        <is>
          <t>10,800 rental homes held across 115 communities. The volume is far above one machine, though the build-and-hold model is the right one.</t>
        </is>
      </c>
      <c r="M65" s="8" t="inlineStr">
        <is>
          <t>No</t>
        </is>
      </c>
      <c r="N65" s="9" t="inlineStr">
        <is>
          <t>No construction-method statement found anywhere.</t>
        </is>
      </c>
      <c r="O65" s="8" t="inlineStr">
        <is>
          <t>Partly</t>
        </is>
      </c>
      <c r="P65" s="10" t="inlineStr"/>
      <c r="Q65" s="6">
        <f>HYPERLINK("https://www.linkedin.com/search/results/people/?keywords=Jomar%20Ereso%20Camillo%20Companies","search")</f>
        <v/>
      </c>
      <c r="R65" s="11">
        <f>IF(P65="","ADD LINKEDIN","ok")</f>
        <v/>
      </c>
      <c r="S65" s="6" t="inlineStr">
        <is>
          <t>https://www.camillocompanies.com/</t>
        </is>
      </c>
      <c r="T65" s="9" t="inlineStr">
        <is>
          <t>10,800 rental homes across 115 communities, built and held.</t>
        </is>
      </c>
      <c r="U65" s="6" t="inlineStr"/>
      <c r="V65" s="9" t="inlineStr">
        <is>
          <t>Chief Financial Officer on the firm's own about page.</t>
        </is>
      </c>
      <c r="W65" s="6" t="inlineStr">
        <is>
          <t>https://www.camillocompanies.com/about-us</t>
        </is>
      </c>
      <c r="X65" s="6" t="inlineStr">
        <is>
          <t>https://www.linkedin.com/company/camillo-companies</t>
        </is>
      </c>
      <c r="Y65" s="6" t="inlineStr">
        <is>
          <t>https://www.camillocompanies.com/about-us</t>
        </is>
      </c>
      <c r="Z65" s="6" t="inlineStr"/>
    </row>
    <row r="66">
      <c r="A66" s="12" t="inlineStr">
        <is>
          <t>Lance Wright</t>
        </is>
      </c>
      <c r="B66" s="12" t="inlineStr">
        <is>
          <t>CastleRock Communities</t>
        </is>
      </c>
      <c r="C66" s="12" t="inlineStr">
        <is>
          <t>Chief Executive Officer and Founding Partner</t>
        </is>
      </c>
      <c r="D66" s="13" t="inlineStr">
        <is>
          <t>Worth pursuing, one gap</t>
        </is>
      </c>
      <c r="E66" s="14" t="n">
        <v>2</v>
      </c>
      <c r="F66" s="12" t="inlineStr">
        <is>
          <t>Buys walls</t>
        </is>
      </c>
      <c r="G66" s="12" t="inlineStr">
        <is>
          <t>Houston HQ / Fort Bend</t>
        </is>
      </c>
      <c r="H66" s="12" t="inlineStr">
        <is>
          <t>20,000+ homes, 300+ communities</t>
        </is>
      </c>
      <c r="I66" s="14" t="inlineStr">
        <is>
          <t>Yes</t>
        </is>
      </c>
      <c r="J66" s="15" t="inlineStr">
        <is>
          <t>20,000 homes since 2004, 1,600 closed in a single year.</t>
        </is>
      </c>
      <c r="K66" s="14" t="inlineStr">
        <is>
          <t>Partly</t>
        </is>
      </c>
      <c r="L66" s="15" t="inlineStr">
        <is>
          <t>20,000 homes since 2004 is roughly a thousand a year, above the band but not beyond a two-machine pilot.</t>
        </is>
      </c>
      <c r="M66" s="14" t="inlineStr">
        <is>
          <t>No</t>
        </is>
      </c>
      <c r="N66" s="15" t="inlineStr">
        <is>
          <t>Search ended early. Daiwa House owns a stake and is an industrialised builder, untested.</t>
        </is>
      </c>
      <c r="O66" s="14" t="inlineStr">
        <is>
          <t>Partly</t>
        </is>
      </c>
      <c r="P66" s="10" t="inlineStr"/>
      <c r="Q66" s="12">
        <f>HYPERLINK("https://www.linkedin.com/search/results/people/?keywords=Lance%20Wright%20CastleRock%20Communities","search")</f>
        <v/>
      </c>
      <c r="R66" s="16">
        <f>IF(P66="","ADD LINKEDIN","ok")</f>
        <v/>
      </c>
      <c r="S66" s="12" t="inlineStr">
        <is>
          <t>https://www.c-rock.com/</t>
        </is>
      </c>
      <c r="T66" s="15" t="inlineStr">
        <is>
          <t>20,000 homes since 2004. Daiwa House owns a stake.</t>
        </is>
      </c>
      <c r="U66" s="12" t="inlineStr"/>
      <c r="V66" s="15" t="inlineStr">
        <is>
          <t>CastleRock's own about page: a founding partner, serving as chief executive.</t>
        </is>
      </c>
      <c r="W66" s="12" t="inlineStr">
        <is>
          <t>https://www.c-rock.com/about</t>
        </is>
      </c>
      <c r="X66" s="12" t="inlineStr">
        <is>
          <t>https://www.linkedin.com/company/castlerock-communities</t>
        </is>
      </c>
      <c r="Y66" s="12" t="inlineStr">
        <is>
          <t>https://www.c-rock.com/about</t>
        </is>
      </c>
      <c r="Z66" s="12" t="inlineStr"/>
    </row>
    <row r="67">
      <c r="A67" s="6" t="inlineStr">
        <is>
          <t>Kirk Breitenwischer</t>
        </is>
      </c>
      <c r="B67" s="6" t="inlineStr">
        <is>
          <t>CastleRock Communities</t>
        </is>
      </c>
      <c r="C67" s="6" t="inlineStr">
        <is>
          <t>Senior Executive Vice President</t>
        </is>
      </c>
      <c r="D67" s="7" t="inlineStr">
        <is>
          <t>Worth pursuing, one gap</t>
        </is>
      </c>
      <c r="E67" s="8" t="n">
        <v>2</v>
      </c>
      <c r="F67" s="6" t="inlineStr">
        <is>
          <t>Buys walls</t>
        </is>
      </c>
      <c r="G67" s="6" t="inlineStr">
        <is>
          <t>Houston HQ / Fort Bend</t>
        </is>
      </c>
      <c r="H67" s="6" t="inlineStr">
        <is>
          <t>20,000+ homes, 300+ communities</t>
        </is>
      </c>
      <c r="I67" s="8" t="inlineStr">
        <is>
          <t>Yes</t>
        </is>
      </c>
      <c r="J67" s="9" t="inlineStr">
        <is>
          <t>20,000 homes since 2004, 1,600 closed in a single year.</t>
        </is>
      </c>
      <c r="K67" s="8" t="inlineStr">
        <is>
          <t>Partly</t>
        </is>
      </c>
      <c r="L67" s="9" t="inlineStr">
        <is>
          <t>20,000 homes since 2004 is roughly a thousand a year, above the band but not beyond a two-machine pilot.</t>
        </is>
      </c>
      <c r="M67" s="8" t="inlineStr">
        <is>
          <t>No</t>
        </is>
      </c>
      <c r="N67" s="9" t="inlineStr">
        <is>
          <t>Search ended early. Daiwa House owns a stake and is an industrialised builder, untested.</t>
        </is>
      </c>
      <c r="O67" s="8" t="inlineStr">
        <is>
          <t>Partly</t>
        </is>
      </c>
      <c r="P67" s="6" t="inlineStr">
        <is>
          <t>https://www.linkedin.com/in/kirk-breitenwischer-32778312/</t>
        </is>
      </c>
      <c r="Q67" s="6" t="inlineStr"/>
      <c r="R67" s="11">
        <f>IF(P67="","ADD LINKEDIN","ok")</f>
        <v/>
      </c>
      <c r="S67" s="6" t="inlineStr">
        <is>
          <t>https://www.c-rock.com/</t>
        </is>
      </c>
      <c r="T67" s="9" t="inlineStr">
        <is>
          <t>20,000 homes since 2004. Daiwa House owns a stake.</t>
        </is>
      </c>
      <c r="U67" s="6" t="inlineStr"/>
      <c r="V67" s="9" t="inlineStr">
        <is>
          <t>VP at Castlerock Communities. Houston, Texas. The headline gives no function.</t>
        </is>
      </c>
      <c r="W67" s="6" t="inlineStr"/>
      <c r="X67" s="6" t="inlineStr">
        <is>
          <t>https://www.linkedin.com/company/castlerock-communities</t>
        </is>
      </c>
      <c r="Y67" s="6" t="inlineStr">
        <is>
          <t>https://www.c-rock.com/about</t>
        </is>
      </c>
      <c r="Z67" s="6" t="inlineStr"/>
    </row>
    <row r="68">
      <c r="A68" s="12" t="inlineStr">
        <is>
          <t>Bruce Torkelson</t>
        </is>
      </c>
      <c r="B68" s="12" t="inlineStr">
        <is>
          <t>CastleRock Communities</t>
        </is>
      </c>
      <c r="C68" s="12" t="inlineStr">
        <is>
          <t>Chief Financial Officer, CastleRock Communities</t>
        </is>
      </c>
      <c r="D68" s="13" t="inlineStr">
        <is>
          <t>Worth pursuing, one gap</t>
        </is>
      </c>
      <c r="E68" s="14" t="n">
        <v>2</v>
      </c>
      <c r="F68" s="12" t="inlineStr">
        <is>
          <t>Buys walls</t>
        </is>
      </c>
      <c r="G68" s="12" t="inlineStr">
        <is>
          <t>Houston HQ / Fort Bend</t>
        </is>
      </c>
      <c r="H68" s="12" t="inlineStr">
        <is>
          <t>20,000+ homes, 300+ communities</t>
        </is>
      </c>
      <c r="I68" s="14" t="inlineStr">
        <is>
          <t>Yes</t>
        </is>
      </c>
      <c r="J68" s="15" t="inlineStr">
        <is>
          <t>20,000 homes since 2004, 1,600 closed in a single year.</t>
        </is>
      </c>
      <c r="K68" s="14" t="inlineStr">
        <is>
          <t>Partly</t>
        </is>
      </c>
      <c r="L68" s="15" t="inlineStr">
        <is>
          <t>20,000 homes since 2004 is roughly a thousand a year, above the band but not beyond a two-machine pilot.</t>
        </is>
      </c>
      <c r="M68" s="14" t="inlineStr">
        <is>
          <t>No</t>
        </is>
      </c>
      <c r="N68" s="15" t="inlineStr">
        <is>
          <t>Search ended early. Daiwa House owns a stake and is an industrialised builder, untested.</t>
        </is>
      </c>
      <c r="O68" s="14" t="inlineStr">
        <is>
          <t>Partly</t>
        </is>
      </c>
      <c r="P68" s="6" t="inlineStr">
        <is>
          <t>https://www.linkedin.com/in/brucetorkelson/</t>
        </is>
      </c>
      <c r="Q68" s="12" t="inlineStr"/>
      <c r="R68" s="16">
        <f>IF(P68="","ADD LINKEDIN","ok")</f>
        <v/>
      </c>
      <c r="S68" s="12" t="inlineStr">
        <is>
          <t>https://www.c-rock.com/</t>
        </is>
      </c>
      <c r="T68" s="15" t="inlineStr">
        <is>
          <t>20,000 homes since 2004. Daiwa House owns a stake.</t>
        </is>
      </c>
      <c r="U68" s="12" t="inlineStr"/>
      <c r="V68" s="15" t="inlineStr">
        <is>
          <t>CFO at CastleRock Communities. Houston, Texas.</t>
        </is>
      </c>
      <c r="W68" s="12" t="inlineStr"/>
      <c r="X68" s="12" t="inlineStr">
        <is>
          <t>https://www.linkedin.com/company/castlerock-communities</t>
        </is>
      </c>
      <c r="Y68" s="12" t="inlineStr">
        <is>
          <t>https://www.c-rock.com/about</t>
        </is>
      </c>
      <c r="Z68" s="12" t="inlineStr"/>
    </row>
    <row r="69">
      <c r="A69" s="6" t="inlineStr">
        <is>
          <t>Todd Wood</t>
        </is>
      </c>
      <c r="B69" s="6" t="inlineStr">
        <is>
          <t>Christopher Todd Communities</t>
        </is>
      </c>
      <c r="C69" s="6" t="inlineStr">
        <is>
          <t>Chief Executive Officer and Founder</t>
        </is>
      </c>
      <c r="D69" s="7" t="inlineStr">
        <is>
          <t>Worth pursuing, one gap</t>
        </is>
      </c>
      <c r="E69" s="8" t="n">
        <v>2</v>
      </c>
      <c r="F69" s="6" t="inlineStr">
        <is>
          <t>Buys walls</t>
        </is>
      </c>
      <c r="G69" s="6" t="inlineStr">
        <is>
          <t>Mesa HQ / Montgomery, Harris</t>
        </is>
      </c>
      <c r="H69" s="6" t="inlineStr">
        <is>
          <t>314 homes Conroe, 240 homes Cypress</t>
        </is>
      </c>
      <c r="I69" s="8" t="inlineStr">
        <is>
          <t>Partly</t>
        </is>
      </c>
      <c r="J69" s="9" t="inlineStr">
        <is>
          <t>314 homes in Conroe and 240 in Cypress.</t>
        </is>
      </c>
      <c r="K69" s="8" t="inlineStr">
        <is>
          <t>Yes</t>
        </is>
      </c>
      <c r="L69" s="9" t="inlineStr">
        <is>
          <t>156 units inside a single masterplan, built to hold. One machine covers a community at a time.</t>
        </is>
      </c>
      <c r="M69" s="8" t="inlineStr">
        <is>
          <t>No</t>
        </is>
      </c>
      <c r="N69" s="9" t="inlineStr">
        <is>
          <t>Its stated technology package is smart-home fittings, not structure.</t>
        </is>
      </c>
      <c r="O69" s="8" t="inlineStr">
        <is>
          <t>Partly</t>
        </is>
      </c>
      <c r="P69" s="10" t="inlineStr"/>
      <c r="Q69" s="6">
        <f>HYPERLINK("https://www.linkedin.com/search/results/people/?keywords=Todd%20Wood%20Christopher%20Todd%20Communities","search")</f>
        <v/>
      </c>
      <c r="R69" s="11">
        <f>IF(P69="","ADD LINKEDIN","ok")</f>
        <v/>
      </c>
      <c r="S69" s="6" t="inlineStr">
        <is>
          <t>https://www.christophertodd.com/</t>
        </is>
      </c>
      <c r="T69" s="9" t="inlineStr">
        <is>
          <t>314 homes in Conroe and a stated shift to self-development. Its declared technology is smart-home fittings.</t>
        </is>
      </c>
      <c r="U69" s="6" t="inlineStr"/>
      <c r="V69" s="9" t="inlineStr">
        <is>
          <t>Founded Christopher Todd Communities in 2016, after selling an organic bakery.</t>
        </is>
      </c>
      <c r="W69" s="6" t="inlineStr">
        <is>
          <t>https://www.christophertodd.com/our-story/</t>
        </is>
      </c>
      <c r="X69" s="6" t="inlineStr">
        <is>
          <t>https://www.linkedin.com/company/christopher-todd-communities</t>
        </is>
      </c>
      <c r="Y69" s="6" t="inlineStr">
        <is>
          <t>https://www.christophertodd.com/our-story/</t>
        </is>
      </c>
      <c r="Z69" s="6" t="inlineStr"/>
    </row>
    <row r="70">
      <c r="A70" s="12" t="inlineStr">
        <is>
          <t>Brent Long</t>
        </is>
      </c>
      <c r="B70" s="12" t="inlineStr">
        <is>
          <t>Christopher Todd Communities</t>
        </is>
      </c>
      <c r="C70" s="12" t="inlineStr">
        <is>
          <t>President, Christopher Todd Capital</t>
        </is>
      </c>
      <c r="D70" s="13" t="inlineStr">
        <is>
          <t>Worth pursuing, one gap</t>
        </is>
      </c>
      <c r="E70" s="14" t="n">
        <v>2</v>
      </c>
      <c r="F70" s="12" t="inlineStr">
        <is>
          <t>Buys walls</t>
        </is>
      </c>
      <c r="G70" s="12" t="inlineStr">
        <is>
          <t>Mesa HQ / Montgomery, Harris</t>
        </is>
      </c>
      <c r="H70" s="12" t="inlineStr">
        <is>
          <t>314 homes Conroe, 240 homes Cypress</t>
        </is>
      </c>
      <c r="I70" s="14" t="inlineStr">
        <is>
          <t>Partly</t>
        </is>
      </c>
      <c r="J70" s="15" t="inlineStr">
        <is>
          <t>314 homes in Conroe and 240 in Cypress.</t>
        </is>
      </c>
      <c r="K70" s="14" t="inlineStr">
        <is>
          <t>Yes</t>
        </is>
      </c>
      <c r="L70" s="15" t="inlineStr">
        <is>
          <t>156 units inside a single masterplan, built to hold. One machine covers a community at a time.</t>
        </is>
      </c>
      <c r="M70" s="14" t="inlineStr">
        <is>
          <t>No</t>
        </is>
      </c>
      <c r="N70" s="15" t="inlineStr">
        <is>
          <t>Its stated technology package is smart-home fittings, not structure.</t>
        </is>
      </c>
      <c r="O70" s="14" t="inlineStr">
        <is>
          <t>Partly</t>
        </is>
      </c>
      <c r="P70" s="10" t="inlineStr"/>
      <c r="Q70" s="12">
        <f>HYPERLINK("https://www.linkedin.com/search/results/people/?keywords=Brent%20Long%20Christopher%20Todd%20Communities","search")</f>
        <v/>
      </c>
      <c r="R70" s="16">
        <f>IF(P70="","ADD LINKEDIN","ok")</f>
        <v/>
      </c>
      <c r="S70" s="12" t="inlineStr">
        <is>
          <t>https://www.christophertodd.com/</t>
        </is>
      </c>
      <c r="T70" s="15" t="inlineStr">
        <is>
          <t>314 homes in Conroe and a stated shift to self-development. Its declared technology is smart-home fittings.</t>
        </is>
      </c>
      <c r="U70" s="12" t="inlineStr"/>
      <c r="V70" s="15" t="inlineStr">
        <is>
          <t>Joined as Director of Investment and Land with twenty-five years in multifamily.</t>
        </is>
      </c>
      <c r="W70" s="12" t="inlineStr">
        <is>
          <t>https://www.christophertodd.com/press-releases/brent-long-joins-christopher-todd-as-director-of-investment-and-land/</t>
        </is>
      </c>
      <c r="X70" s="12" t="inlineStr">
        <is>
          <t>https://www.linkedin.com/company/christopher-todd-communities</t>
        </is>
      </c>
      <c r="Y70" s="12" t="inlineStr">
        <is>
          <t>https://www.christophertodd.com/our-story/</t>
        </is>
      </c>
      <c r="Z70" s="12" t="inlineStr"/>
    </row>
    <row r="71">
      <c r="A71" s="6" t="inlineStr">
        <is>
          <t>Franck Boursier</t>
        </is>
      </c>
      <c r="B71" s="6" t="inlineStr">
        <is>
          <t>Everlasting Homes Building Group</t>
        </is>
      </c>
      <c r="C71" s="6" t="inlineStr">
        <is>
          <t>Chief Executive Officer and co-founder, named in the firm's own media coverage</t>
        </is>
      </c>
      <c r="D71" s="7" t="inlineStr">
        <is>
          <t>Worth pursuing, one gap</t>
        </is>
      </c>
      <c r="E71" s="8" t="n">
        <v>2</v>
      </c>
      <c r="F71" s="6" t="inlineStr">
        <is>
          <t>Buys walls</t>
        </is>
      </c>
      <c r="G71" s="6" t="inlineStr">
        <is>
          <t>Houston, Harris</t>
        </is>
      </c>
      <c r="H71" s="6" t="inlineStr">
        <is>
          <t>Six Houston homes on structural concrete insulated panels</t>
        </is>
      </c>
      <c r="I71" s="8" t="inlineStr">
        <is>
          <t>No</t>
        </is>
      </c>
      <c r="J71" s="9" t="inlineStr">
        <is>
          <t>Custom luxury houses, each designed for its site. Nothing repeats.</t>
        </is>
      </c>
      <c r="K71" s="8" t="inlineStr">
        <is>
          <t>Partly</t>
        </is>
      </c>
      <c r="L71" s="9" t="inlineStr">
        <is>
          <t>No annual volume is published. On the bands, a firm with no published figure is a Partly.</t>
        </is>
      </c>
      <c r="M71" s="8" t="inlineStr">
        <is>
          <t>Yes</t>
        </is>
      </c>
      <c r="N71" s="9" t="inlineStr">
        <is>
          <t>Its entire product is a concrete wall system that was new to this market when it adopted it. It has paid for the method, promoted it on television, and had a house recognised for it.</t>
        </is>
      </c>
      <c r="O71" s="8" t="inlineStr">
        <is>
          <t>Partly</t>
        </is>
      </c>
      <c r="P71" s="10" t="inlineStr"/>
      <c r="Q71" s="6">
        <f>HYPERLINK("https://www.linkedin.com/search/results/people/?keywords=Franck%20Boursier%20Everlasting%20Homes%20Building%20Group","search")</f>
        <v/>
      </c>
      <c r="R71" s="11">
        <f>IF(P71="","ADD LINKEDIN","ok")</f>
        <v/>
      </c>
      <c r="S71" s="6" t="inlineStr">
        <is>
          <t>https://www.everlastinghomesgroup.com/</t>
        </is>
      </c>
      <c r="T71" s="9" t="inlineStr">
        <is>
          <t>It already builds every wall out of concrete instead of wood, and has six Houston houses to show for it. The work is custom, so no two plans repeat.</t>
        </is>
      </c>
      <c r="U71" s="6" t="inlineStr">
        <is>
          <t>YES</t>
        </is>
      </c>
      <c r="V71" s="9" t="inlineStr"/>
      <c r="W71" s="6" t="inlineStr"/>
      <c r="X71" s="6" t="inlineStr"/>
      <c r="Y71" s="6" t="inlineStr"/>
      <c r="Z71" s="6" t="inlineStr"/>
    </row>
    <row r="72">
      <c r="A72" s="12" t="inlineStr">
        <is>
          <t>George Mock</t>
        </is>
      </c>
      <c r="B72" s="12" t="inlineStr">
        <is>
          <t>Everlasting Homes Building Group</t>
        </is>
      </c>
      <c r="C72" s="12" t="inlineStr">
        <is>
          <t>General Manager, named in trade coverage of the Braesvalley house</t>
        </is>
      </c>
      <c r="D72" s="13" t="inlineStr">
        <is>
          <t>Worth pursuing, one gap</t>
        </is>
      </c>
      <c r="E72" s="14" t="n">
        <v>2</v>
      </c>
      <c r="F72" s="12" t="inlineStr">
        <is>
          <t>Buys walls</t>
        </is>
      </c>
      <c r="G72" s="12" t="inlineStr">
        <is>
          <t>Houston, Harris</t>
        </is>
      </c>
      <c r="H72" s="12" t="inlineStr">
        <is>
          <t>Six Houston homes on structural concrete insulated panels</t>
        </is>
      </c>
      <c r="I72" s="14" t="inlineStr">
        <is>
          <t>No</t>
        </is>
      </c>
      <c r="J72" s="15" t="inlineStr">
        <is>
          <t>Custom luxury houses, each designed for its site. Nothing repeats.</t>
        </is>
      </c>
      <c r="K72" s="14" t="inlineStr">
        <is>
          <t>Partly</t>
        </is>
      </c>
      <c r="L72" s="15" t="inlineStr">
        <is>
          <t>No annual volume is published. On the bands, a firm with no published figure is a Partly.</t>
        </is>
      </c>
      <c r="M72" s="14" t="inlineStr">
        <is>
          <t>Yes</t>
        </is>
      </c>
      <c r="N72" s="15" t="inlineStr">
        <is>
          <t>Its entire product is a concrete wall system that was new to this market when it adopted it. It has paid for the method, promoted it on television, and had a house recognised for it.</t>
        </is>
      </c>
      <c r="O72" s="14" t="inlineStr">
        <is>
          <t>Partly</t>
        </is>
      </c>
      <c r="P72" s="10" t="inlineStr"/>
      <c r="Q72" s="12">
        <f>HYPERLINK("https://www.linkedin.com/search/results/people/?keywords=George%20Mock%20Everlasting%20Homes%20Building%20Group","search")</f>
        <v/>
      </c>
      <c r="R72" s="16">
        <f>IF(P72="","ADD LINKEDIN","ok")</f>
        <v/>
      </c>
      <c r="S72" s="12" t="inlineStr">
        <is>
          <t>https://www.everlastinghomesgroup.com/</t>
        </is>
      </c>
      <c r="T72" s="15" t="inlineStr">
        <is>
          <t>It already builds every wall out of concrete instead of wood, and has six Houston houses to show for it. The work is custom, so no two plans repeat.</t>
        </is>
      </c>
      <c r="U72" s="12" t="inlineStr">
        <is>
          <t>YES</t>
        </is>
      </c>
      <c r="V72" s="15" t="inlineStr"/>
      <c r="W72" s="12" t="inlineStr"/>
      <c r="X72" s="12" t="inlineStr"/>
      <c r="Y72" s="12" t="inlineStr"/>
      <c r="Z72" s="12" t="inlineStr"/>
    </row>
    <row r="73">
      <c r="A73" s="6" t="inlineStr">
        <is>
          <t>no contact identified</t>
        </is>
      </c>
      <c r="B73" s="6" t="inlineStr">
        <is>
          <t>Live Lone Star</t>
        </is>
      </c>
      <c r="C73" s="6" t="inlineStr"/>
      <c r="D73" s="7" t="inlineStr">
        <is>
          <t>Worth pursuing, one gap</t>
        </is>
      </c>
      <c r="E73" s="8" t="n">
        <v>2</v>
      </c>
      <c r="F73" s="6" t="inlineStr">
        <is>
          <t>Buys walls</t>
        </is>
      </c>
      <c r="G73" s="6" t="inlineStr">
        <is>
          <t>Houston, working Harris and Brazoria</t>
        </is>
      </c>
      <c r="H73" s="6" t="inlineStr">
        <is>
          <t>Seven communities and about 3,000 lots in development</t>
        </is>
      </c>
      <c r="I73" s="8" t="inlineStr">
        <is>
          <t>Yes</t>
        </is>
      </c>
      <c r="J73" s="9" t="inlineStr">
        <is>
          <t>Seven communities and about 3,000 lots taking the same factory product.</t>
        </is>
      </c>
      <c r="K73" s="8" t="inlineStr">
        <is>
          <t>No</t>
        </is>
      </c>
      <c r="L73" s="9" t="inlineStr">
        <is>
          <t>The homes are bought finished from manufacturers and set on a lot. A site printer does not serve that, whatever the volume.</t>
        </is>
      </c>
      <c r="M73" s="8" t="inlineStr">
        <is>
          <t>Partly</t>
        </is>
      </c>
      <c r="N73" s="9" t="inlineStr">
        <is>
          <t>It built a business on factory-produced housing rather than site-built housing, though it buys the homes rather than making them.</t>
        </is>
      </c>
      <c r="O73" s="8" t="inlineStr">
        <is>
          <t>Partly</t>
        </is>
      </c>
      <c r="P73" s="10" t="inlineStr"/>
      <c r="Q73" s="6" t="inlineStr"/>
      <c r="R73" s="11">
        <f>IF(P73="","ADD LINKEDIN","ok")</f>
        <v/>
      </c>
      <c r="S73" s="6" t="inlineStr">
        <is>
          <t>https://livelonestar.com/</t>
        </is>
      </c>
      <c r="T73" s="9" t="inlineStr">
        <is>
          <t>Its entire model is factory-built housing on land it controls. The product is delivered to the lot rather than built on it, which is the problem.</t>
        </is>
      </c>
      <c r="U73" s="6" t="inlineStr"/>
      <c r="V73" s="9" t="inlineStr"/>
      <c r="W73" s="6" t="inlineStr"/>
      <c r="X73" s="6" t="inlineStr"/>
      <c r="Y73" s="6" t="inlineStr"/>
      <c r="Z73" s="6" t="inlineStr"/>
    </row>
    <row r="74">
      <c r="A74" s="12" t="inlineStr">
        <is>
          <t>Ker Thomson</t>
        </is>
      </c>
      <c r="B74" s="12" t="inlineStr">
        <is>
          <t>Nautilus Custom Homes</t>
        </is>
      </c>
      <c r="C74" s="12" t="inlineStr">
        <is>
          <t>Founder and Designer, named on the firm's own about page</t>
        </is>
      </c>
      <c r="D74" s="13" t="inlineStr">
        <is>
          <t>Worth pursuing, one gap</t>
        </is>
      </c>
      <c r="E74" s="14" t="n">
        <v>2</v>
      </c>
      <c r="F74" s="12" t="inlineStr">
        <is>
          <t>Buys walls</t>
        </is>
      </c>
      <c r="G74" s="12" t="inlineStr">
        <is>
          <t>Houston, Harris</t>
        </is>
      </c>
      <c r="H74" s="12" t="inlineStr">
        <is>
          <t>Built extensively in insulated concrete form and structural insulated panels</t>
        </is>
      </c>
      <c r="I74" s="14" t="inlineStr">
        <is>
          <t>No</t>
        </is>
      </c>
      <c r="J74" s="15" t="inlineStr">
        <is>
          <t>Custom houses designed one at a time.</t>
        </is>
      </c>
      <c r="K74" s="14" t="inlineStr">
        <is>
          <t>Partly</t>
        </is>
      </c>
      <c r="L74" s="15" t="inlineStr">
        <is>
          <t>No annual volume is published. On the bands, a firm with no published figure is a Partly.</t>
        </is>
      </c>
      <c r="M74" s="14" t="inlineStr">
        <is>
          <t>Yes</t>
        </is>
      </c>
      <c r="N74" s="15" t="inlineStr">
        <is>
          <t>The predecessor firm examined around 300 products and at least seven wall systems before selecting insulated concrete form, and the resulting Houston house was certified three ways and won Best Large Residential at the 2014 national awards.</t>
        </is>
      </c>
      <c r="O74" s="14" t="inlineStr">
        <is>
          <t>Partly</t>
        </is>
      </c>
      <c r="P74" s="10" t="inlineStr"/>
      <c r="Q74" s="12">
        <f>HYPERLINK("https://www.linkedin.com/search/results/people/?keywords=Ker%20Thomson%20Nautilus%20Custom%20Homes","search")</f>
        <v/>
      </c>
      <c r="R74" s="16">
        <f>IF(P74="","ADD LINKEDIN","ok")</f>
        <v/>
      </c>
      <c r="S74" s="12" t="inlineStr">
        <is>
          <t>https://www.nautiluscustomhomes.com/</t>
        </is>
      </c>
      <c r="T74" s="15" t="inlineStr">
        <is>
          <t>Its predecessor firm compared seven wall systems before choosing one, and won a national award for the house that came out of it. The award evidence is a decade old.</t>
        </is>
      </c>
      <c r="U74" s="12" t="inlineStr">
        <is>
          <t>YES</t>
        </is>
      </c>
      <c r="V74" s="15" t="inlineStr"/>
      <c r="W74" s="12" t="inlineStr"/>
      <c r="X74" s="12" t="inlineStr"/>
      <c r="Y74" s="12" t="inlineStr"/>
      <c r="Z74" s="12" t="inlineStr"/>
    </row>
    <row r="75">
      <c r="A75" s="6" t="inlineStr">
        <is>
          <t>Jim Kuchenbrod</t>
        </is>
      </c>
      <c r="B75" s="6" t="inlineStr">
        <is>
          <t>Nautilus Custom Homes</t>
        </is>
      </c>
      <c r="C75" s="6" t="inlineStr">
        <is>
          <t>Construction lead, named on the firm's own about page</t>
        </is>
      </c>
      <c r="D75" s="7" t="inlineStr">
        <is>
          <t>Worth pursuing, one gap</t>
        </is>
      </c>
      <c r="E75" s="8" t="n">
        <v>2</v>
      </c>
      <c r="F75" s="6" t="inlineStr">
        <is>
          <t>Buys walls</t>
        </is>
      </c>
      <c r="G75" s="6" t="inlineStr">
        <is>
          <t>Houston, Harris</t>
        </is>
      </c>
      <c r="H75" s="6" t="inlineStr">
        <is>
          <t>Built extensively in insulated concrete form and structural insulated panels</t>
        </is>
      </c>
      <c r="I75" s="8" t="inlineStr">
        <is>
          <t>No</t>
        </is>
      </c>
      <c r="J75" s="9" t="inlineStr">
        <is>
          <t>Custom houses designed one at a time.</t>
        </is>
      </c>
      <c r="K75" s="8" t="inlineStr">
        <is>
          <t>Partly</t>
        </is>
      </c>
      <c r="L75" s="9" t="inlineStr">
        <is>
          <t>No annual volume is published. On the bands, a firm with no published figure is a Partly.</t>
        </is>
      </c>
      <c r="M75" s="8" t="inlineStr">
        <is>
          <t>Yes</t>
        </is>
      </c>
      <c r="N75" s="9" t="inlineStr">
        <is>
          <t>The predecessor firm examined around 300 products and at least seven wall systems before selecting insulated concrete form, and the resulting Houston house was certified three ways and won Best Large Residential at the 2014 national awards.</t>
        </is>
      </c>
      <c r="O75" s="8" t="inlineStr">
        <is>
          <t>Partly</t>
        </is>
      </c>
      <c r="P75" s="10" t="inlineStr"/>
      <c r="Q75" s="6">
        <f>HYPERLINK("https://www.linkedin.com/search/results/people/?keywords=Jim%20Kuchenbrod%20Nautilus%20Custom%20Homes","search")</f>
        <v/>
      </c>
      <c r="R75" s="11">
        <f>IF(P75="","ADD LINKEDIN","ok")</f>
        <v/>
      </c>
      <c r="S75" s="6" t="inlineStr">
        <is>
          <t>https://www.nautiluscustomhomes.com/</t>
        </is>
      </c>
      <c r="T75" s="9" t="inlineStr">
        <is>
          <t>Its predecessor firm compared seven wall systems before choosing one, and won a national award for the house that came out of it. The award evidence is a decade old.</t>
        </is>
      </c>
      <c r="U75" s="6" t="inlineStr"/>
      <c r="V75" s="9" t="inlineStr"/>
      <c r="W75" s="6" t="inlineStr"/>
      <c r="X75" s="6" t="inlineStr"/>
      <c r="Y75" s="6" t="inlineStr"/>
      <c r="Z75" s="6" t="inlineStr"/>
    </row>
    <row r="76">
      <c r="A76" s="12" t="inlineStr">
        <is>
          <t>no contact identified</t>
        </is>
      </c>
      <c r="B76" s="12" t="inlineStr">
        <is>
          <t>Seaside Construction</t>
        </is>
      </c>
      <c r="C76" s="12" t="inlineStr"/>
      <c r="D76" s="13" t="inlineStr">
        <is>
          <t>Worth pursuing, one gap</t>
        </is>
      </c>
      <c r="E76" s="14" t="n">
        <v>2</v>
      </c>
      <c r="F76" s="12" t="inlineStr">
        <is>
          <t>Buys walls</t>
        </is>
      </c>
      <c r="G76" s="12" t="inlineStr">
        <is>
          <t>Galveston, Galveston County</t>
        </is>
      </c>
      <c r="H76" s="12" t="inlineStr">
        <is>
          <t>Adopted insulated concrete form in 2019 for coastal work</t>
        </is>
      </c>
      <c r="I76" s="14" t="inlineStr">
        <is>
          <t>No</t>
        </is>
      </c>
      <c r="J76" s="15" t="inlineStr">
        <is>
          <t>Custom beach houses, each one different.</t>
        </is>
      </c>
      <c r="K76" s="14" t="inlineStr">
        <is>
          <t>Partly</t>
        </is>
      </c>
      <c r="L76" s="15" t="inlineStr">
        <is>
          <t>No annual volume is published. On the bands, a firm with no published figure is a Partly.</t>
        </is>
      </c>
      <c r="M76" s="14" t="inlineStr">
        <is>
          <t>Yes</t>
        </is>
      </c>
      <c r="N76" s="15" t="inlineStr">
        <is>
          <t>It adopted insulated concrete form in 2019 and states the coastal reasons for the change on its own site.</t>
        </is>
      </c>
      <c r="O76" s="14" t="inlineStr">
        <is>
          <t>Partly</t>
        </is>
      </c>
      <c r="P76" s="10" t="inlineStr"/>
      <c r="Q76" s="12" t="inlineStr"/>
      <c r="R76" s="16">
        <f>IF(P76="","ADD LINKEDIN","ok")</f>
        <v/>
      </c>
      <c r="S76" s="12" t="inlineStr">
        <is>
          <t>https://seaside-construction.com/</t>
        </is>
      </c>
      <c r="T76" s="15" t="inlineStr">
        <is>
          <t>It changed its wall method seven years ago, on purpose, because of the coast. Custom work, so no plan repeats.</t>
        </is>
      </c>
      <c r="U76" s="12" t="inlineStr"/>
      <c r="V76" s="15" t="inlineStr"/>
      <c r="W76" s="12" t="inlineStr"/>
      <c r="X76" s="12" t="inlineStr"/>
      <c r="Y76" s="12" t="inlineStr"/>
      <c r="Z76" s="12" t="inlineStr"/>
    </row>
    <row r="77">
      <c r="A77" s="6" t="inlineStr">
        <is>
          <t>Jason Golan</t>
        </is>
      </c>
      <c r="B77" s="6" t="inlineStr">
        <is>
          <t>Westin Homes</t>
        </is>
      </c>
      <c r="C77" s="6" t="inlineStr">
        <is>
          <t>President</t>
        </is>
      </c>
      <c r="D77" s="7" t="inlineStr">
        <is>
          <t>Worth pursuing, one gap</t>
        </is>
      </c>
      <c r="E77" s="8" t="n">
        <v>2</v>
      </c>
      <c r="F77" s="6" t="inlineStr">
        <is>
          <t>Buys walls</t>
        </is>
      </c>
      <c r="G77" s="6" t="inlineStr">
        <is>
          <t>Sugar Land</t>
        </is>
      </c>
      <c r="H77" s="6" t="inlineStr">
        <is>
          <t>1,062 closings and $621 million in 2025</t>
        </is>
      </c>
      <c r="I77" s="8" t="inlineStr">
        <is>
          <t>Yes</t>
        </is>
      </c>
      <c r="J77" s="9" t="inlineStr">
        <is>
          <t>Lago Mar, Del Bello Lakes, Meridiana, Sienna, Legacy and Marvida. The same plans in six masterplans.</t>
        </is>
      </c>
      <c r="K77" s="8" t="inlineStr">
        <is>
          <t>Partly</t>
        </is>
      </c>
      <c r="L77" s="9" t="inlineStr">
        <is>
          <t>1,062 closings in 2025 and 1,016 in 2024 across Houston and Austin. Two machines would be a line inside the business.</t>
        </is>
      </c>
      <c r="M77" s="8" t="inlineStr">
        <is>
          <t>No</t>
        </is>
      </c>
      <c r="N77" s="9" t="inlineStr">
        <is>
          <t>No method evidence. The published language is about plans refined over time, not construction.</t>
        </is>
      </c>
      <c r="O77" s="8" t="inlineStr">
        <is>
          <t>Partly</t>
        </is>
      </c>
      <c r="P77" s="6" t="inlineStr">
        <is>
          <t>https://www.linkedin.com/in/jason-golan-0874a241/</t>
        </is>
      </c>
      <c r="Q77" s="6" t="inlineStr"/>
      <c r="R77" s="11">
        <f>IF(P77="","ADD LINKEDIN","ok")</f>
        <v/>
      </c>
      <c r="S77" s="6" t="inlineStr">
        <is>
          <t>https://www.westin-homes.com/</t>
        </is>
      </c>
      <c r="T77" s="9" t="inlineStr">
        <is>
          <t>1,062 closings in 2025 across the south suburban masterplans, with a named vice president of construction.</t>
        </is>
      </c>
      <c r="U77" s="6" t="inlineStr"/>
      <c r="V77" s="9" t="inlineStr">
        <is>
          <t>Indexed title reads Jason Golan, President at Westin Homes. The firm's own twentieth-anniversary release calls him Founder and Owner.</t>
        </is>
      </c>
      <c r="W77" s="6" t="inlineStr"/>
      <c r="X77" s="6" t="inlineStr"/>
      <c r="Y77" s="6" t="inlineStr"/>
      <c r="Z77" s="6" t="inlineStr"/>
    </row>
    <row r="78">
      <c r="A78" s="12" t="inlineStr">
        <is>
          <t>Diane Danilov</t>
        </is>
      </c>
      <c r="B78" s="12" t="inlineStr">
        <is>
          <t>Westin Homes</t>
        </is>
      </c>
      <c r="C78" s="12" t="inlineStr">
        <is>
          <t>Vice President of Land and Business Development</t>
        </is>
      </c>
      <c r="D78" s="13" t="inlineStr">
        <is>
          <t>Worth pursuing, one gap</t>
        </is>
      </c>
      <c r="E78" s="14" t="n">
        <v>2</v>
      </c>
      <c r="F78" s="12" t="inlineStr">
        <is>
          <t>Buys walls</t>
        </is>
      </c>
      <c r="G78" s="12" t="inlineStr">
        <is>
          <t>Sugar Land</t>
        </is>
      </c>
      <c r="H78" s="12" t="inlineStr">
        <is>
          <t>1,062 closings and $621 million in 2025</t>
        </is>
      </c>
      <c r="I78" s="14" t="inlineStr">
        <is>
          <t>Yes</t>
        </is>
      </c>
      <c r="J78" s="15" t="inlineStr">
        <is>
          <t>Lago Mar, Del Bello Lakes, Meridiana, Sienna, Legacy and Marvida. The same plans in six masterplans.</t>
        </is>
      </c>
      <c r="K78" s="14" t="inlineStr">
        <is>
          <t>Partly</t>
        </is>
      </c>
      <c r="L78" s="15" t="inlineStr">
        <is>
          <t>1,062 closings in 2025 and 1,016 in 2024 across Houston and Austin. Two machines would be a line inside the business.</t>
        </is>
      </c>
      <c r="M78" s="14" t="inlineStr">
        <is>
          <t>No</t>
        </is>
      </c>
      <c r="N78" s="15" t="inlineStr">
        <is>
          <t>No method evidence. The published language is about plans refined over time, not construction.</t>
        </is>
      </c>
      <c r="O78" s="14" t="inlineStr">
        <is>
          <t>Partly</t>
        </is>
      </c>
      <c r="P78" s="6" t="inlineStr">
        <is>
          <t>https://www.linkedin.com/in/diane-danilov-2431a212/</t>
        </is>
      </c>
      <c r="Q78" s="12" t="inlineStr"/>
      <c r="R78" s="16">
        <f>IF(P78="","ADD LINKEDIN","ok")</f>
        <v/>
      </c>
      <c r="S78" s="12" t="inlineStr">
        <is>
          <t>https://www.westin-homes.com/</t>
        </is>
      </c>
      <c r="T78" s="15" t="inlineStr">
        <is>
          <t>1,062 closings in 2025 across the south suburban masterplans, with a named vice president of construction.</t>
        </is>
      </c>
      <c r="U78" s="12" t="inlineStr">
        <is>
          <t>YES</t>
        </is>
      </c>
      <c r="V78" s="15" t="inlineStr">
        <is>
          <t>Headline reads VP of Land &amp; Business Development at Westin Homes. Houston, Texas.</t>
        </is>
      </c>
      <c r="W78" s="12" t="inlineStr"/>
      <c r="X78" s="12" t="inlineStr"/>
      <c r="Y78" s="12" t="inlineStr"/>
      <c r="Z78" s="12" t="inlineStr"/>
    </row>
    <row r="79">
      <c r="A79" s="6" t="inlineStr">
        <is>
          <t>Ken Williams</t>
        </is>
      </c>
      <c r="B79" s="6" t="inlineStr">
        <is>
          <t>Colina Homes</t>
        </is>
      </c>
      <c r="C79" s="6" t="inlineStr">
        <is>
          <t>Founder</t>
        </is>
      </c>
      <c r="D79" s="7" t="inlineStr">
        <is>
          <t>Worth pursuing, one gap</t>
        </is>
      </c>
      <c r="E79" s="8" t="n">
        <v>2</v>
      </c>
      <c r="F79" s="6" t="inlineStr">
        <is>
          <t>Buys walls</t>
        </is>
      </c>
      <c r="G79" s="6" t="inlineStr">
        <is>
          <t>Houston, 20 communities</t>
        </is>
      </c>
      <c r="H79" s="6" t="inlineStr">
        <is>
          <t>540 closings in 2025, 552 in 2024</t>
        </is>
      </c>
      <c r="I79" s="8" t="inlineStr">
        <is>
          <t>Yes</t>
        </is>
      </c>
      <c r="J79" s="9" t="inlineStr">
        <is>
          <t>More than twenty communities, all inside Greater Houston, taking a standard plan set.</t>
        </is>
      </c>
      <c r="K79" s="8" t="inlineStr">
        <is>
          <t>Partly</t>
        </is>
      </c>
      <c r="L79" s="9" t="inlineStr">
        <is>
          <t>540 closings in 2025 and 552 in 2024 across about twenty communities. Two machines would carry a fifth of output at most.</t>
        </is>
      </c>
      <c r="M79" s="8" t="inlineStr">
        <is>
          <t>No</t>
        </is>
      </c>
      <c r="N79" s="9" t="inlineStr">
        <is>
          <t>No method evidence. The published positioning is price and floor plan, not construction.</t>
        </is>
      </c>
      <c r="O79" s="8" t="inlineStr">
        <is>
          <t>No</t>
        </is>
      </c>
      <c r="P79" s="10" t="inlineStr"/>
      <c r="Q79" s="6">
        <f>HYPERLINK("https://www.linkedin.com/search/results/people/?keywords=Ken%20Williams%20Colina%20Homes","search")</f>
        <v/>
      </c>
      <c r="R79" s="11">
        <f>IF(P79="","ADD LINKEDIN","ok")</f>
        <v/>
      </c>
      <c r="S79" s="6" t="inlineStr">
        <is>
          <t>https://www.colinahomes.com/</t>
        </is>
      </c>
      <c r="T79" s="9" t="inlineStr">
        <is>
          <t>540 closings in 2025 and 552 in 2024 on a no-haggle affordable model. A named director of construction.</t>
        </is>
      </c>
      <c r="U79" s="6" t="inlineStr"/>
      <c r="V79" s="9" t="inlineStr">
        <is>
          <t>About page: Founder. Since 2007 he has helped over 4,500 families.</t>
        </is>
      </c>
      <c r="W79" s="6" t="inlineStr">
        <is>
          <t>https://www.colinahomes.com/about</t>
        </is>
      </c>
      <c r="X79" s="6" t="inlineStr"/>
      <c r="Y79" s="6" t="inlineStr"/>
      <c r="Z79" s="6" t="inlineStr"/>
    </row>
    <row r="80">
      <c r="A80" s="12" t="inlineStr">
        <is>
          <t>Robert Davis</t>
        </is>
      </c>
      <c r="B80" s="12" t="inlineStr">
        <is>
          <t>Colina Homes</t>
        </is>
      </c>
      <c r="C80" s="12" t="inlineStr">
        <is>
          <t>Director of Construction</t>
        </is>
      </c>
      <c r="D80" s="13" t="inlineStr">
        <is>
          <t>Worth pursuing, one gap</t>
        </is>
      </c>
      <c r="E80" s="14" t="n">
        <v>2</v>
      </c>
      <c r="F80" s="12" t="inlineStr">
        <is>
          <t>Buys walls</t>
        </is>
      </c>
      <c r="G80" s="12" t="inlineStr">
        <is>
          <t>Houston, 20 communities</t>
        </is>
      </c>
      <c r="H80" s="12" t="inlineStr">
        <is>
          <t>540 closings in 2025, 552 in 2024</t>
        </is>
      </c>
      <c r="I80" s="14" t="inlineStr">
        <is>
          <t>Yes</t>
        </is>
      </c>
      <c r="J80" s="15" t="inlineStr">
        <is>
          <t>More than twenty communities, all inside Greater Houston, taking a standard plan set.</t>
        </is>
      </c>
      <c r="K80" s="14" t="inlineStr">
        <is>
          <t>Partly</t>
        </is>
      </c>
      <c r="L80" s="15" t="inlineStr">
        <is>
          <t>540 closings in 2025 and 552 in 2024 across about twenty communities. Two machines would carry a fifth of output at most.</t>
        </is>
      </c>
      <c r="M80" s="14" t="inlineStr">
        <is>
          <t>No</t>
        </is>
      </c>
      <c r="N80" s="15" t="inlineStr">
        <is>
          <t>No method evidence. The published positioning is price and floor plan, not construction.</t>
        </is>
      </c>
      <c r="O80" s="14" t="inlineStr">
        <is>
          <t>No</t>
        </is>
      </c>
      <c r="P80" s="6" t="inlineStr">
        <is>
          <t>https://www.linkedin.com/in/robert-davis-684517136/</t>
        </is>
      </c>
      <c r="Q80" s="12" t="inlineStr"/>
      <c r="R80" s="16">
        <f>IF(P80="","ADD LINKEDIN","ok")</f>
        <v/>
      </c>
      <c r="S80" s="12" t="inlineStr">
        <is>
          <t>https://www.colinahomes.com/</t>
        </is>
      </c>
      <c r="T80" s="15" t="inlineStr">
        <is>
          <t>540 closings in 2025 and 552 in 2024 on a no-haggle affordable model. A named director of construction.</t>
        </is>
      </c>
      <c r="U80" s="12" t="inlineStr">
        <is>
          <t>YES</t>
        </is>
      </c>
      <c r="V80" s="15" t="inlineStr">
        <is>
          <t>Indexed title reads Robert Davis, Director of Construction, Colina Homes.</t>
        </is>
      </c>
      <c r="W80" s="12" t="inlineStr"/>
      <c r="X80" s="12" t="inlineStr"/>
      <c r="Y80" s="12" t="inlineStr"/>
      <c r="Z80" s="12" t="inlineStr"/>
    </row>
    <row r="81">
      <c r="A81" s="6" t="inlineStr">
        <is>
          <t>Greg Grahmann</t>
        </is>
      </c>
      <c r="B81" s="6" t="inlineStr">
        <is>
          <t>Imagination Homes</t>
        </is>
      </c>
      <c r="C81" s="6" t="inlineStr">
        <is>
          <t>Director, Imagination Homes; Division President, David Weekley Homes</t>
        </is>
      </c>
      <c r="D81" s="7" t="inlineStr">
        <is>
          <t>Worth pursuing, one gap</t>
        </is>
      </c>
      <c r="E81" s="8" t="n">
        <v>2</v>
      </c>
      <c r="F81" s="6" t="inlineStr">
        <is>
          <t>Buys walls</t>
        </is>
      </c>
      <c r="G81" s="6" t="inlineStr">
        <is>
          <t>Meridiana, Rosharon</t>
        </is>
      </c>
      <c r="H81" s="6" t="inlineStr">
        <is>
          <t>Entry-level, launched 2025</t>
        </is>
      </c>
      <c r="I81" s="8" t="inlineStr">
        <is>
          <t>Yes</t>
        </is>
      </c>
      <c r="J81" s="9" t="inlineStr">
        <is>
          <t>A deliberately narrow curated plan set aimed at first-time buyers and right-sizers.</t>
        </is>
      </c>
      <c r="K81" s="8" t="inlineStr">
        <is>
          <t>Partly</t>
        </is>
      </c>
      <c r="L81" s="9" t="inlineStr">
        <is>
          <t>A David Weekley Homes line, so purchasing sits with a national builder. One machine would cover the brand's output; the decision would not be the brand's alone.</t>
        </is>
      </c>
      <c r="M81" s="8" t="inlineStr">
        <is>
          <t>No</t>
        </is>
      </c>
      <c r="N81" s="9" t="inlineStr">
        <is>
          <t>The strategy is explicitly about attainability, so a wall cost saving lands on the stated strategy.</t>
        </is>
      </c>
      <c r="O81" s="8" t="inlineStr">
        <is>
          <t>No</t>
        </is>
      </c>
      <c r="P81" s="10" t="inlineStr"/>
      <c r="Q81" s="6">
        <f>HYPERLINK("https://www.linkedin.com/search/results/people/?keywords=Greg%20Grahmann%20Imagination%20Homes","search")</f>
        <v/>
      </c>
      <c r="R81" s="11">
        <f>IF(P81="","ADD LINKEDIN","ok")</f>
        <v/>
      </c>
      <c r="S81" s="6" t="inlineStr">
        <is>
          <t>https://imaginationhomes.com/</t>
        </is>
      </c>
      <c r="T81" s="9" t="inlineStr">
        <is>
          <t>A 2025 David Weekley Homes line built around attainable entry-level product with a curated plan set, selling at Meridiana.</t>
        </is>
      </c>
      <c r="U81" s="6" t="inlineStr"/>
      <c r="V81" s="9" t="inlineStr">
        <is>
          <t>Builder names him director at Imagination Homes. He joined David Weekley Homes in 2013 and is separately listed as a division president there.</t>
        </is>
      </c>
      <c r="W81" s="6" t="inlineStr">
        <is>
          <t>https://www.builderonline.com/builder-100/strategy/imagination-homes-targets-attainable-entry-level-housing-in-texas/</t>
        </is>
      </c>
      <c r="X81" s="6" t="inlineStr"/>
      <c r="Y81" s="6" t="inlineStr"/>
      <c r="Z81" s="6" t="inlineStr"/>
    </row>
    <row r="82">
      <c r="A82" s="12" t="inlineStr">
        <is>
          <t>Greg Hawes</t>
        </is>
      </c>
      <c r="B82" s="12" t="inlineStr">
        <is>
          <t>Jamestown Estate Homes</t>
        </is>
      </c>
      <c r="C82" s="12" t="inlineStr">
        <is>
          <t>Founder; Manager on the firm's own page, President on LinkedIn</t>
        </is>
      </c>
      <c r="D82" s="13" t="inlineStr">
        <is>
          <t>Worth pursuing, one gap</t>
        </is>
      </c>
      <c r="E82" s="14" t="n">
        <v>2</v>
      </c>
      <c r="F82" s="12" t="inlineStr">
        <is>
          <t>Buys walls</t>
        </is>
      </c>
      <c r="G82" s="12" t="inlineStr">
        <is>
          <t>Houston, 16 communities</t>
        </is>
      </c>
      <c r="H82" s="12" t="inlineStr">
        <is>
          <t>About 75 homes a year on the firm's own count</t>
        </is>
      </c>
      <c r="I82" s="14" t="inlineStr">
        <is>
          <t>Partly</t>
        </is>
      </c>
      <c r="J82" s="15" t="inlineStr">
        <is>
          <t>Eighty-two plans for about seventy-five houses a year. The catalogue is wider than the output.</t>
        </is>
      </c>
      <c r="K82" s="14" t="inlineStr">
        <is>
          <t>Yes</t>
        </is>
      </c>
      <c r="L82" s="15" t="inlineStr">
        <is>
          <t>About seventy-five homes a year, stated by the firm. One machine would carry most of it.</t>
        </is>
      </c>
      <c r="M82" s="14" t="inlineStr">
        <is>
          <t>No</t>
        </is>
      </c>
      <c r="N82" s="15" t="inlineStr">
        <is>
          <t>No method evidence. The published build time is eight to ten months, which is the number a printed wall argument would have to move.</t>
        </is>
      </c>
      <c r="O82" s="14" t="inlineStr">
        <is>
          <t>No</t>
        </is>
      </c>
      <c r="P82" s="6" t="inlineStr">
        <is>
          <t>https://www.linkedin.com/in/greg-hawes-86423023/</t>
        </is>
      </c>
      <c r="Q82" s="12" t="inlineStr"/>
      <c r="R82" s="16">
        <f>IF(P82="","ADD LINKEDIN","ok")</f>
        <v/>
      </c>
      <c r="S82" s="12" t="inlineStr">
        <is>
          <t>https://jamestownestatehomes.com/</t>
        </is>
      </c>
      <c r="T82" s="15" t="inlineStr">
        <is>
          <t>About seventy-five homes a year against eighty-two floor plans, which is close to one plan per house. Volume fits a machine; the catalogue does not.</t>
        </is>
      </c>
      <c r="U82" s="12" t="inlineStr"/>
      <c r="V82" s="15" t="inlineStr">
        <is>
          <t>Indexed title reads Greg Hawes, President, Jamestown Estate Homes LP. The firm's own team page calls him Manager and has him founding the firm in 2008 with his daughters. Team page: Manager. In his own words, he sold his interest in a prior firm and started Jamestown Estate Homes LP in 2008 with his daughters.</t>
        </is>
      </c>
      <c r="W82" s="12" t="inlineStr">
        <is>
          <t>https://jamestownestatehomes.com/team/greg-hawes/</t>
        </is>
      </c>
      <c r="X82" s="12" t="inlineStr"/>
      <c r="Y82" s="12" t="inlineStr"/>
      <c r="Z82" s="12" t="inlineStr"/>
    </row>
    <row r="83">
      <c r="A83" s="6" t="inlineStr">
        <is>
          <t>Katy Hawes</t>
        </is>
      </c>
      <c r="B83" s="6" t="inlineStr">
        <is>
          <t>Jamestown Estate Homes</t>
        </is>
      </c>
      <c r="C83" s="6" t="inlineStr">
        <is>
          <t>Co-President</t>
        </is>
      </c>
      <c r="D83" s="7" t="inlineStr">
        <is>
          <t>Worth pursuing, one gap</t>
        </is>
      </c>
      <c r="E83" s="8" t="n">
        <v>2</v>
      </c>
      <c r="F83" s="6" t="inlineStr">
        <is>
          <t>Buys walls</t>
        </is>
      </c>
      <c r="G83" s="6" t="inlineStr">
        <is>
          <t>Houston, 16 communities</t>
        </is>
      </c>
      <c r="H83" s="6" t="inlineStr">
        <is>
          <t>About 75 homes a year on the firm's own count</t>
        </is>
      </c>
      <c r="I83" s="8" t="inlineStr">
        <is>
          <t>Partly</t>
        </is>
      </c>
      <c r="J83" s="9" t="inlineStr">
        <is>
          <t>Eighty-two plans for about seventy-five houses a year. The catalogue is wider than the output.</t>
        </is>
      </c>
      <c r="K83" s="8" t="inlineStr">
        <is>
          <t>Yes</t>
        </is>
      </c>
      <c r="L83" s="9" t="inlineStr">
        <is>
          <t>About seventy-five homes a year, stated by the firm. One machine would carry most of it.</t>
        </is>
      </c>
      <c r="M83" s="8" t="inlineStr">
        <is>
          <t>No</t>
        </is>
      </c>
      <c r="N83" s="9" t="inlineStr">
        <is>
          <t>No method evidence. The published build time is eight to ten months, which is the number a printed wall argument would have to move.</t>
        </is>
      </c>
      <c r="O83" s="8" t="inlineStr">
        <is>
          <t>No</t>
        </is>
      </c>
      <c r="P83" s="10" t="inlineStr"/>
      <c r="Q83" s="6">
        <f>HYPERLINK("https://www.linkedin.com/search/results/people/?keywords=Katy%20Hawes%20Jamestown%20Estate%20Homes","search")</f>
        <v/>
      </c>
      <c r="R83" s="11">
        <f>IF(P83="","ADD LINKEDIN","ok")</f>
        <v/>
      </c>
      <c r="S83" s="6" t="inlineStr">
        <is>
          <t>https://jamestownestatehomes.com/</t>
        </is>
      </c>
      <c r="T83" s="9" t="inlineStr">
        <is>
          <t>About seventy-five homes a year against eighty-two floor plans, which is close to one plan per house. Volume fits a machine; the catalogue does not.</t>
        </is>
      </c>
      <c r="U83" s="6" t="inlineStr"/>
      <c r="V83" s="9" t="inlineStr">
        <is>
          <t>Team page: Co-President.</t>
        </is>
      </c>
      <c r="W83" s="6" t="inlineStr">
        <is>
          <t>https://jamestownestatehomes.com/team/katy-hawes/</t>
        </is>
      </c>
      <c r="X83" s="6" t="inlineStr"/>
      <c r="Y83" s="6" t="inlineStr"/>
      <c r="Z83" s="6" t="inlineStr"/>
    </row>
    <row r="84">
      <c r="A84" s="12" t="inlineStr">
        <is>
          <t>Matt Norris</t>
        </is>
      </c>
      <c r="B84" s="12" t="inlineStr">
        <is>
          <t>Jamestown Estate Homes</t>
        </is>
      </c>
      <c r="C84" s="12" t="inlineStr">
        <is>
          <t>Co-President</t>
        </is>
      </c>
      <c r="D84" s="13" t="inlineStr">
        <is>
          <t>Worth pursuing, one gap</t>
        </is>
      </c>
      <c r="E84" s="14" t="n">
        <v>2</v>
      </c>
      <c r="F84" s="12" t="inlineStr">
        <is>
          <t>Buys walls</t>
        </is>
      </c>
      <c r="G84" s="12" t="inlineStr">
        <is>
          <t>Houston, 16 communities</t>
        </is>
      </c>
      <c r="H84" s="12" t="inlineStr">
        <is>
          <t>About 75 homes a year on the firm's own count</t>
        </is>
      </c>
      <c r="I84" s="14" t="inlineStr">
        <is>
          <t>Partly</t>
        </is>
      </c>
      <c r="J84" s="15" t="inlineStr">
        <is>
          <t>Eighty-two plans for about seventy-five houses a year. The catalogue is wider than the output.</t>
        </is>
      </c>
      <c r="K84" s="14" t="inlineStr">
        <is>
          <t>Yes</t>
        </is>
      </c>
      <c r="L84" s="15" t="inlineStr">
        <is>
          <t>About seventy-five homes a year, stated by the firm. One machine would carry most of it.</t>
        </is>
      </c>
      <c r="M84" s="14" t="inlineStr">
        <is>
          <t>No</t>
        </is>
      </c>
      <c r="N84" s="15" t="inlineStr">
        <is>
          <t>No method evidence. The published build time is eight to ten months, which is the number a printed wall argument would have to move.</t>
        </is>
      </c>
      <c r="O84" s="14" t="inlineStr">
        <is>
          <t>No</t>
        </is>
      </c>
      <c r="P84" s="10" t="inlineStr"/>
      <c r="Q84" s="12">
        <f>HYPERLINK("https://www.linkedin.com/search/results/people/?keywords=Matt%20Norris%20Jamestown%20Estate%20Homes","search")</f>
        <v/>
      </c>
      <c r="R84" s="16">
        <f>IF(P84="","ADD LINKEDIN","ok")</f>
        <v/>
      </c>
      <c r="S84" s="12" t="inlineStr">
        <is>
          <t>https://jamestownestatehomes.com/</t>
        </is>
      </c>
      <c r="T84" s="15" t="inlineStr">
        <is>
          <t>About seventy-five homes a year against eighty-two floor plans, which is close to one plan per house. Volume fits a machine; the catalogue does not.</t>
        </is>
      </c>
      <c r="U84" s="12" t="inlineStr"/>
      <c r="V84" s="15" t="inlineStr">
        <is>
          <t>Team page: Co-President.</t>
        </is>
      </c>
      <c r="W84" s="12" t="inlineStr">
        <is>
          <t>https://jamestownestatehomes.com/team/matt-norris/</t>
        </is>
      </c>
      <c r="X84" s="12" t="inlineStr"/>
      <c r="Y84" s="12" t="inlineStr"/>
      <c r="Z84" s="12" t="inlineStr"/>
    </row>
    <row r="85">
      <c r="A85" s="6" t="inlineStr">
        <is>
          <t>Mike Dishberger</t>
        </is>
      </c>
      <c r="B85" s="6" t="inlineStr">
        <is>
          <t>Sandcastle Homes</t>
        </is>
      </c>
      <c r="C85" s="6" t="inlineStr">
        <is>
          <t>Chief Executive Officer and Co-Owner; oversees construction and purchasing</t>
        </is>
      </c>
      <c r="D85" s="7" t="inlineStr">
        <is>
          <t>Worth pursuing, one gap</t>
        </is>
      </c>
      <c r="E85" s="8" t="n">
        <v>2</v>
      </c>
      <c r="F85" s="6" t="inlineStr">
        <is>
          <t>Buys walls</t>
        </is>
      </c>
      <c r="G85" s="6" t="inlineStr">
        <is>
          <t>Inner Loop Houston</t>
        </is>
      </c>
      <c r="H85" s="6" t="inlineStr">
        <is>
          <t>40 to 60 homes a year on the firm's own count</t>
        </is>
      </c>
      <c r="I85" s="8" t="inlineStr">
        <is>
          <t>Partly</t>
        </is>
      </c>
      <c r="J85" s="9" t="inlineStr">
        <is>
          <t>Infill lots scattered across six inner-loop neighbourhoods rather than one site.</t>
        </is>
      </c>
      <c r="K85" s="8" t="inlineStr">
        <is>
          <t>Yes</t>
        </is>
      </c>
      <c r="L85" s="9" t="inlineStr">
        <is>
          <t>About fifty closings a year. One machine covers most of that, if it can be moved economically.</t>
        </is>
      </c>
      <c r="M85" s="8" t="inlineStr">
        <is>
          <t>No</t>
        </is>
      </c>
      <c r="N85" s="9" t="inlineStr">
        <is>
          <t>It runs land through final inspection in house, so no third party sits in a method decision.</t>
        </is>
      </c>
      <c r="O85" s="8" t="inlineStr">
        <is>
          <t>No</t>
        </is>
      </c>
      <c r="P85" s="6" t="inlineStr">
        <is>
          <t>https://www.linkedin.com/in/mike-dishberger-01b66b9/</t>
        </is>
      </c>
      <c r="Q85" s="6" t="inlineStr"/>
      <c r="R85" s="11">
        <f>IF(P85="","ADD LINKEDIN","ok")</f>
        <v/>
      </c>
      <c r="S85" s="6" t="inlineStr">
        <is>
          <t>https://www.sandcastlehouston.com/</t>
        </is>
      </c>
      <c r="T85" s="9" t="inlineStr">
        <is>
          <t>About fifty homes a year, stated by the firm, on small infill sites rather than in one community. The volume fits a machine; the sites are scattered.</t>
        </is>
      </c>
      <c r="U85" s="6" t="inlineStr">
        <is>
          <t>YES</t>
        </is>
      </c>
      <c r="V85" s="9" t="inlineStr">
        <is>
          <t>Indexed title reads Mike Dishberger, CEO at Sandcastle Homes Inc. The firm's team page: Chief Executive Officer and Co-Owner, overseeing construction, purchasing and accounting. Team page: Chief Executive Officer and Co-Owner, overseeing construction, purchasing and accounting. Texas Association of Builders Builder of the Year, 2016.</t>
        </is>
      </c>
      <c r="W85" s="6" t="inlineStr">
        <is>
          <t>https://www.sandcastlehouston.com/about-sandcastle/meet-our-team/</t>
        </is>
      </c>
      <c r="X85" s="6" t="inlineStr"/>
      <c r="Y85" s="6" t="inlineStr"/>
      <c r="Z85" s="6" t="inlineStr"/>
    </row>
    <row r="86">
      <c r="A86" s="12" t="inlineStr">
        <is>
          <t>Mike Salomon</t>
        </is>
      </c>
      <c r="B86" s="12" t="inlineStr">
        <is>
          <t>Sandcastle Homes</t>
        </is>
      </c>
      <c r="C86" s="12" t="inlineStr">
        <is>
          <t>President and Co-Owner</t>
        </is>
      </c>
      <c r="D86" s="13" t="inlineStr">
        <is>
          <t>Worth pursuing, one gap</t>
        </is>
      </c>
      <c r="E86" s="14" t="n">
        <v>2</v>
      </c>
      <c r="F86" s="12" t="inlineStr">
        <is>
          <t>Buys walls</t>
        </is>
      </c>
      <c r="G86" s="12" t="inlineStr">
        <is>
          <t>Inner Loop Houston</t>
        </is>
      </c>
      <c r="H86" s="12" t="inlineStr">
        <is>
          <t>40 to 60 homes a year on the firm's own count</t>
        </is>
      </c>
      <c r="I86" s="14" t="inlineStr">
        <is>
          <t>Partly</t>
        </is>
      </c>
      <c r="J86" s="15" t="inlineStr">
        <is>
          <t>Infill lots scattered across six inner-loop neighbourhoods rather than one site.</t>
        </is>
      </c>
      <c r="K86" s="14" t="inlineStr">
        <is>
          <t>Yes</t>
        </is>
      </c>
      <c r="L86" s="15" t="inlineStr">
        <is>
          <t>About fifty closings a year. One machine covers most of that, if it can be moved economically.</t>
        </is>
      </c>
      <c r="M86" s="14" t="inlineStr">
        <is>
          <t>No</t>
        </is>
      </c>
      <c r="N86" s="15" t="inlineStr">
        <is>
          <t>It runs land through final inspection in house, so no third party sits in a method decision.</t>
        </is>
      </c>
      <c r="O86" s="14" t="inlineStr">
        <is>
          <t>No</t>
        </is>
      </c>
      <c r="P86" s="6" t="inlineStr">
        <is>
          <t>https://www.linkedin.com/in/mike-salomon-389b902a/</t>
        </is>
      </c>
      <c r="Q86" s="12" t="inlineStr"/>
      <c r="R86" s="16">
        <f>IF(P86="","ADD LINKEDIN","ok")</f>
        <v/>
      </c>
      <c r="S86" s="12" t="inlineStr">
        <is>
          <t>https://www.sandcastlehouston.com/</t>
        </is>
      </c>
      <c r="T86" s="15" t="inlineStr">
        <is>
          <t>About fifty homes a year, stated by the firm, on small infill sites rather than in one community. The volume fits a machine; the sites are scattered.</t>
        </is>
      </c>
      <c r="U86" s="12" t="inlineStr"/>
      <c r="V86" s="15" t="inlineStr">
        <is>
          <t>Indexed title reads Mike Salomon, Owner, Sandcastle Homes, Inc. The firm's team page: President and Co-Owner, over land, sales and business development. Team page: President and Co-Owner, managing land acquisition, sales and business development.</t>
        </is>
      </c>
      <c r="W86" s="12" t="inlineStr">
        <is>
          <t>https://www.sandcastlehouston.com/about-sandcastle/meet-our-team/</t>
        </is>
      </c>
      <c r="X86" s="12" t="inlineStr"/>
      <c r="Y86" s="12" t="inlineStr"/>
      <c r="Z86" s="12" t="inlineStr"/>
    </row>
    <row r="87">
      <c r="A87" s="6" t="inlineStr">
        <is>
          <t>Christian Sommer</t>
        </is>
      </c>
      <c r="B87" s="6" t="inlineStr">
        <is>
          <t>Tricoast Homes</t>
        </is>
      </c>
      <c r="C87" s="6" t="inlineStr">
        <is>
          <t>President and Chief Executive Officer</t>
        </is>
      </c>
      <c r="D87" s="7" t="inlineStr">
        <is>
          <t>Worth pursuing, one gap</t>
        </is>
      </c>
      <c r="E87" s="8" t="n">
        <v>2</v>
      </c>
      <c r="F87" s="6" t="inlineStr">
        <is>
          <t>Buys walls</t>
        </is>
      </c>
      <c r="G87" s="6" t="inlineStr">
        <is>
          <t>Houston, multi-county</t>
        </is>
      </c>
      <c r="H87" s="6" t="inlineStr">
        <is>
          <t>Seven floor plans across ten communities</t>
        </is>
      </c>
      <c r="I87" s="8" t="inlineStr">
        <is>
          <t>Yes</t>
        </is>
      </c>
      <c r="J87" s="9" t="inlineStr">
        <is>
          <t>Seven floor plans carried across ten communities. Plan repetition is the operating model.</t>
        </is>
      </c>
      <c r="K87" s="8" t="inlineStr">
        <is>
          <t>Partly</t>
        </is>
      </c>
      <c r="L87" s="9" t="inlineStr">
        <is>
          <t>No closings figure is published. A 2020 startup may not yet be at machine scale.</t>
        </is>
      </c>
      <c r="M87" s="8" t="inlineStr">
        <is>
          <t>No</t>
        </is>
      </c>
      <c r="N87" s="9" t="inlineStr">
        <is>
          <t>Every home gets internal and third-party energy verification, which is a process discipline rather than a method change.</t>
        </is>
      </c>
      <c r="O87" s="8" t="inlineStr">
        <is>
          <t>No</t>
        </is>
      </c>
      <c r="P87" s="10" t="inlineStr"/>
      <c r="Q87" s="6">
        <f>HYPERLINK("https://www.linkedin.com/search/results/people/?keywords=Christian%20Sommer%20Tricoast%20Homes","search")</f>
        <v/>
      </c>
      <c r="R87" s="11">
        <f>IF(P87="","ADD LINKEDIN","ok")</f>
        <v/>
      </c>
      <c r="S87" s="6" t="inlineStr">
        <is>
          <t>https://www.tricoasthomes.com/</t>
        </is>
      </c>
      <c r="T87" s="9" t="inlineStr">
        <is>
          <t>Seven plans, ten communities, founded 2020.</t>
        </is>
      </c>
      <c r="U87" s="6" t="inlineStr"/>
      <c r="V87" s="9" t="inlineStr"/>
      <c r="W87" s="6" t="inlineStr"/>
      <c r="X87" s="6" t="inlineStr"/>
      <c r="Y87" s="6" t="inlineStr"/>
      <c r="Z87" s="6" t="inlineStr"/>
    </row>
    <row r="88">
      <c r="A88" s="12" t="inlineStr">
        <is>
          <t>Keith Blum</t>
        </is>
      </c>
      <c r="B88" s="12" t="inlineStr">
        <is>
          <t>Tricoast Homes</t>
        </is>
      </c>
      <c r="C88" s="12" t="inlineStr">
        <is>
          <t>Executive Vice President and Chief Operating Officer</t>
        </is>
      </c>
      <c r="D88" s="13" t="inlineStr">
        <is>
          <t>Worth pursuing, one gap</t>
        </is>
      </c>
      <c r="E88" s="14" t="n">
        <v>2</v>
      </c>
      <c r="F88" s="12" t="inlineStr">
        <is>
          <t>Buys walls</t>
        </is>
      </c>
      <c r="G88" s="12" t="inlineStr">
        <is>
          <t>Houston, multi-county</t>
        </is>
      </c>
      <c r="H88" s="12" t="inlineStr">
        <is>
          <t>Seven floor plans across ten communities</t>
        </is>
      </c>
      <c r="I88" s="14" t="inlineStr">
        <is>
          <t>Yes</t>
        </is>
      </c>
      <c r="J88" s="15" t="inlineStr">
        <is>
          <t>Seven floor plans carried across ten communities. Plan repetition is the operating model.</t>
        </is>
      </c>
      <c r="K88" s="14" t="inlineStr">
        <is>
          <t>Partly</t>
        </is>
      </c>
      <c r="L88" s="15" t="inlineStr">
        <is>
          <t>No closings figure is published. A 2020 startup may not yet be at machine scale.</t>
        </is>
      </c>
      <c r="M88" s="14" t="inlineStr">
        <is>
          <t>No</t>
        </is>
      </c>
      <c r="N88" s="15" t="inlineStr">
        <is>
          <t>Every home gets internal and third-party energy verification, which is a process discipline rather than a method change.</t>
        </is>
      </c>
      <c r="O88" s="14" t="inlineStr">
        <is>
          <t>No</t>
        </is>
      </c>
      <c r="P88" s="10" t="inlineStr"/>
      <c r="Q88" s="12">
        <f>HYPERLINK("https://www.linkedin.com/search/results/people/?keywords=Keith%20Blum%20Tricoast%20Homes","search")</f>
        <v/>
      </c>
      <c r="R88" s="16">
        <f>IF(P88="","ADD LINKEDIN","ok")</f>
        <v/>
      </c>
      <c r="S88" s="12" t="inlineStr">
        <is>
          <t>https://www.tricoasthomes.com/</t>
        </is>
      </c>
      <c r="T88" s="15" t="inlineStr">
        <is>
          <t>Seven plans, ten communities, founded 2020.</t>
        </is>
      </c>
      <c r="U88" s="12" t="inlineStr"/>
      <c r="V88" s="15" t="inlineStr"/>
      <c r="W88" s="12" t="inlineStr"/>
      <c r="X88" s="12" t="inlineStr"/>
      <c r="Y88" s="12" t="inlineStr"/>
      <c r="Z88" s="12" t="inlineStr"/>
    </row>
    <row r="89">
      <c r="A89" s="6" t="inlineStr">
        <is>
          <t>Christina Wright</t>
        </is>
      </c>
      <c r="B89" s="6" t="inlineStr">
        <is>
          <t>Tricoast Homes</t>
        </is>
      </c>
      <c r="C89" s="6" t="inlineStr">
        <is>
          <t>Director of Purchasing</t>
        </is>
      </c>
      <c r="D89" s="7" t="inlineStr">
        <is>
          <t>Worth pursuing, one gap</t>
        </is>
      </c>
      <c r="E89" s="8" t="n">
        <v>2</v>
      </c>
      <c r="F89" s="6" t="inlineStr">
        <is>
          <t>Buys walls</t>
        </is>
      </c>
      <c r="G89" s="6" t="inlineStr">
        <is>
          <t>Houston, multi-county</t>
        </is>
      </c>
      <c r="H89" s="6" t="inlineStr">
        <is>
          <t>Seven floor plans across ten communities</t>
        </is>
      </c>
      <c r="I89" s="8" t="inlineStr">
        <is>
          <t>Yes</t>
        </is>
      </c>
      <c r="J89" s="9" t="inlineStr">
        <is>
          <t>Seven floor plans carried across ten communities. Plan repetition is the operating model.</t>
        </is>
      </c>
      <c r="K89" s="8" t="inlineStr">
        <is>
          <t>Partly</t>
        </is>
      </c>
      <c r="L89" s="9" t="inlineStr">
        <is>
          <t>No closings figure is published. A 2020 startup may not yet be at machine scale.</t>
        </is>
      </c>
      <c r="M89" s="8" t="inlineStr">
        <is>
          <t>No</t>
        </is>
      </c>
      <c r="N89" s="9" t="inlineStr">
        <is>
          <t>Every home gets internal and third-party energy verification, which is a process discipline rather than a method change.</t>
        </is>
      </c>
      <c r="O89" s="8" t="inlineStr">
        <is>
          <t>No</t>
        </is>
      </c>
      <c r="P89" s="6" t="inlineStr">
        <is>
          <t>https://www.linkedin.com/in/christina-wright-4786b223/</t>
        </is>
      </c>
      <c r="Q89" s="6" t="inlineStr"/>
      <c r="R89" s="11">
        <f>IF(P89="","ADD LINKEDIN","ok")</f>
        <v/>
      </c>
      <c r="S89" s="6" t="inlineStr">
        <is>
          <t>https://www.tricoasthomes.com/</t>
        </is>
      </c>
      <c r="T89" s="9" t="inlineStr">
        <is>
          <t>Seven plans, ten communities, founded 2020.</t>
        </is>
      </c>
      <c r="U89" s="6" t="inlineStr">
        <is>
          <t>YES</t>
        </is>
      </c>
      <c r="V89" s="9" t="inlineStr">
        <is>
          <t>Indexed title reads Christina Wright, Director of Purchasing at Tricoast Homes.</t>
        </is>
      </c>
      <c r="W89" s="6" t="inlineStr"/>
      <c r="X89" s="6" t="inlineStr"/>
      <c r="Y89" s="6" t="inlineStr"/>
      <c r="Z89" s="6" t="inlineStr"/>
    </row>
    <row r="90">
      <c r="A90" s="12" t="inlineStr">
        <is>
          <t>Leon J. Backes</t>
        </is>
      </c>
      <c r="B90" s="12" t="inlineStr">
        <is>
          <t>Provident Realty Advisors</t>
        </is>
      </c>
      <c r="C90" s="12" t="inlineStr">
        <is>
          <t>Founder and Chief Executive Officer</t>
        </is>
      </c>
      <c r="D90" s="13" t="inlineStr">
        <is>
          <t>Worth pursuing, one gap</t>
        </is>
      </c>
      <c r="E90" s="14" t="n">
        <v>2</v>
      </c>
      <c r="F90" s="12" t="inlineStr">
        <is>
          <t>Funds it</t>
        </is>
      </c>
      <c r="G90" s="12" t="inlineStr">
        <is>
          <t>Dallas HQ / Baytown, Harris-Chambers</t>
        </is>
      </c>
      <c r="H90" s="12" t="inlineStr">
        <is>
          <t>$7.5B invested since 1991</t>
        </is>
      </c>
      <c r="I90" s="14" t="inlineStr">
        <is>
          <t>Partly</t>
        </is>
      </c>
      <c r="J90" s="15" t="inlineStr">
        <is>
          <t>parcHAUS funds seven single-family rental communities across Texas.</t>
        </is>
      </c>
      <c r="K90" s="14" t="inlineStr">
        <is>
          <t>Partly</t>
        </is>
      </c>
      <c r="L90" s="15" t="inlineStr">
        <is>
          <t>Seven rental communities funded under one Houston director. The firm is run from Dallas.</t>
        </is>
      </c>
      <c r="M90" s="14" t="inlineStr">
        <is>
          <t>No</t>
        </is>
      </c>
      <c r="N90" s="15" t="inlineStr">
        <is>
          <t>No method evidence found.</t>
        </is>
      </c>
      <c r="O90" s="14" t="inlineStr">
        <is>
          <t>Yes</t>
        </is>
      </c>
      <c r="P90" s="10" t="inlineStr"/>
      <c r="Q90" s="12">
        <f>HYPERLINK("https://www.linkedin.com/search/results/people/?keywords=Leon%20J.%20Backes%20Provident%20Realty%20Advisors","search")</f>
        <v/>
      </c>
      <c r="R90" s="16">
        <f>IF(P90="","ADD LINKEDIN","ok")</f>
        <v/>
      </c>
      <c r="S90" s="12" t="inlineStr">
        <is>
          <t>https://provident.net/</t>
        </is>
      </c>
      <c r="T90" s="15" t="inlineStr">
        <is>
          <t>$7.5B invested and parcHAUS funds seven rental communities under a named Houston director. No Houston site named.</t>
        </is>
      </c>
      <c r="U90" s="12" t="inlineStr"/>
      <c r="V90" s="15" t="inlineStr">
        <is>
          <t>Founder and Chief Executive Officer, named on the firm's team page.</t>
        </is>
      </c>
      <c r="W90" s="12" t="inlineStr">
        <is>
          <t>https://provident.net/our-team/</t>
        </is>
      </c>
      <c r="X90" s="12" t="inlineStr">
        <is>
          <t>https://www.linkedin.com/company/provident-realty-advisors</t>
        </is>
      </c>
      <c r="Y90" s="12" t="inlineStr">
        <is>
          <t>https://provident.net/our-team/</t>
        </is>
      </c>
      <c r="Z90" s="12" t="inlineStr"/>
    </row>
    <row r="91">
      <c r="A91" s="6" t="inlineStr">
        <is>
          <t>Christen Vestal</t>
        </is>
      </c>
      <c r="B91" s="6" t="inlineStr">
        <is>
          <t>Provident Realty Advisors</t>
        </is>
      </c>
      <c r="C91" s="6" t="inlineStr">
        <is>
          <t>Director of Development and Acquisitions, Houston</t>
        </is>
      </c>
      <c r="D91" s="7" t="inlineStr">
        <is>
          <t>Worth pursuing, one gap</t>
        </is>
      </c>
      <c r="E91" s="8" t="n">
        <v>2</v>
      </c>
      <c r="F91" s="6" t="inlineStr">
        <is>
          <t>Funds it</t>
        </is>
      </c>
      <c r="G91" s="6" t="inlineStr">
        <is>
          <t>Dallas HQ / Baytown, Harris-Chambers</t>
        </is>
      </c>
      <c r="H91" s="6" t="inlineStr">
        <is>
          <t>$7.5B invested since 1991</t>
        </is>
      </c>
      <c r="I91" s="8" t="inlineStr">
        <is>
          <t>Partly</t>
        </is>
      </c>
      <c r="J91" s="9" t="inlineStr">
        <is>
          <t>parcHAUS funds seven single-family rental communities across Texas.</t>
        </is>
      </c>
      <c r="K91" s="8" t="inlineStr">
        <is>
          <t>Partly</t>
        </is>
      </c>
      <c r="L91" s="9" t="inlineStr">
        <is>
          <t>Seven rental communities funded under one Houston director. The firm is run from Dallas.</t>
        </is>
      </c>
      <c r="M91" s="8" t="inlineStr">
        <is>
          <t>No</t>
        </is>
      </c>
      <c r="N91" s="9" t="inlineStr">
        <is>
          <t>No method evidence found.</t>
        </is>
      </c>
      <c r="O91" s="8" t="inlineStr">
        <is>
          <t>Yes</t>
        </is>
      </c>
      <c r="P91" s="10" t="inlineStr"/>
      <c r="Q91" s="6">
        <f>HYPERLINK("https://www.linkedin.com/search/results/people/?keywords=Christen%20Vestal%20Provident%20Realty%20Advisors","search")</f>
        <v/>
      </c>
      <c r="R91" s="11">
        <f>IF(P91="","ADD LINKEDIN","ok")</f>
        <v/>
      </c>
      <c r="S91" s="6" t="inlineStr">
        <is>
          <t>https://provident.net/</t>
        </is>
      </c>
      <c r="T91" s="9" t="inlineStr">
        <is>
          <t>$7.5B invested and parcHAUS funds seven rental communities under a named Houston director. No Houston site named.</t>
        </is>
      </c>
      <c r="U91" s="6" t="inlineStr"/>
      <c r="V91" s="9" t="inlineStr">
        <is>
          <t>Hired to lead Provident's new Houston office as its first female development partner. She does not appear on the firm's current team page, so treat the role as needing confirmation.</t>
        </is>
      </c>
      <c r="W91" s="6" t="inlineStr">
        <is>
          <t>https://www.bisnow.com/houston/news/industrial/provident-realty-advisors-hires-christen-vestal-to-lead-forthcoming-houston-office-116393</t>
        </is>
      </c>
      <c r="X91" s="6" t="inlineStr">
        <is>
          <t>https://www.linkedin.com/company/provident-realty-advisors</t>
        </is>
      </c>
      <c r="Y91" s="6" t="inlineStr">
        <is>
          <t>https://provident.net/our-team/</t>
        </is>
      </c>
      <c r="Z91" s="6" t="inlineStr"/>
    </row>
    <row r="92">
      <c r="A92" s="12" t="inlineStr">
        <is>
          <t>Jennifer Keller, P.E.</t>
        </is>
      </c>
      <c r="B92" s="12" t="inlineStr">
        <is>
          <t>Risewell Homes</t>
        </is>
      </c>
      <c r="C92" s="12" t="inlineStr">
        <is>
          <t>Division President, Houston</t>
        </is>
      </c>
      <c r="D92" s="13" t="inlineStr">
        <is>
          <t>Worth pursuing, one gap</t>
        </is>
      </c>
      <c r="E92" s="14" t="n">
        <v>2</v>
      </c>
      <c r="F92" s="12" t="inlineStr">
        <is>
          <t>Buys walls</t>
        </is>
      </c>
      <c r="G92" s="12" t="inlineStr">
        <is>
          <t>Sunterra, Katy</t>
        </is>
      </c>
      <c r="H92" s="12" t="inlineStr">
        <is>
          <t>Formerly The New Home Company</t>
        </is>
      </c>
      <c r="I92" s="14" t="inlineStr">
        <is>
          <t>Partly</t>
        </is>
      </c>
      <c r="J92" s="15" t="inlineStr">
        <is>
          <t>One Houston community confirmed, Sunterra. Too early to read the plan strategy.</t>
        </is>
      </c>
      <c r="K92" s="14" t="inlineStr">
        <is>
          <t>Partly</t>
        </is>
      </c>
      <c r="L92" s="15" t="inlineStr">
        <is>
          <t>Eleven divisions nationally means purchasing scale above the band a single machine serves.</t>
        </is>
      </c>
      <c r="M92" s="14" t="inlineStr">
        <is>
          <t>No</t>
        </is>
      </c>
      <c r="N92" s="15" t="inlineStr">
        <is>
          <t>The division president is a professional engineer, which is rare and matters for a method conversation.</t>
        </is>
      </c>
      <c r="O92" s="14" t="inlineStr">
        <is>
          <t>Yes</t>
        </is>
      </c>
      <c r="P92" s="6" t="inlineStr">
        <is>
          <t>https://www.linkedin.com/in/jenniferkeller/</t>
        </is>
      </c>
      <c r="Q92" s="12" t="inlineStr"/>
      <c r="R92" s="16">
        <f>IF(P92="","ADD LINKEDIN","ok")</f>
        <v/>
      </c>
      <c r="S92" s="12" t="inlineStr">
        <is>
          <t>https://risewellhomes.com/</t>
        </is>
      </c>
      <c r="T92" s="15" t="inlineStr">
        <is>
          <t>A national platform with a Houston division president who is a licensed engineer, building in Sunterra.</t>
        </is>
      </c>
      <c r="U92" s="12" t="inlineStr"/>
      <c r="V92" s="15" t="inlineStr">
        <is>
          <t>Indexed title reads Jennifer Keller, P.E., Division President, Risewell Homes. The firm's team page lists her as Houston Division President. Executive team page lists her under Division Presidents as Houston Division President.</t>
        </is>
      </c>
      <c r="W92" s="12" t="inlineStr">
        <is>
          <t>https://www.risewellhomes.com/team</t>
        </is>
      </c>
      <c r="X92" s="12" t="inlineStr"/>
      <c r="Y92" s="12" t="inlineStr"/>
      <c r="Z92" s="12" t="inlineStr"/>
    </row>
    <row r="93">
      <c r="A93" s="6" t="inlineStr">
        <is>
          <t>Matthew R. Zaist</t>
        </is>
      </c>
      <c r="B93" s="6" t="inlineStr">
        <is>
          <t>Risewell Homes</t>
        </is>
      </c>
      <c r="C93" s="6" t="inlineStr">
        <is>
          <t>President and Chief Executive Officer</t>
        </is>
      </c>
      <c r="D93" s="7" t="inlineStr">
        <is>
          <t>Worth pursuing, one gap</t>
        </is>
      </c>
      <c r="E93" s="8" t="n">
        <v>2</v>
      </c>
      <c r="F93" s="6" t="inlineStr">
        <is>
          <t>Buys walls</t>
        </is>
      </c>
      <c r="G93" s="6" t="inlineStr">
        <is>
          <t>Sunterra, Katy</t>
        </is>
      </c>
      <c r="H93" s="6" t="inlineStr">
        <is>
          <t>Formerly The New Home Company</t>
        </is>
      </c>
      <c r="I93" s="8" t="inlineStr">
        <is>
          <t>Partly</t>
        </is>
      </c>
      <c r="J93" s="9" t="inlineStr">
        <is>
          <t>One Houston community confirmed, Sunterra. Too early to read the plan strategy.</t>
        </is>
      </c>
      <c r="K93" s="8" t="inlineStr">
        <is>
          <t>Partly</t>
        </is>
      </c>
      <c r="L93" s="9" t="inlineStr">
        <is>
          <t>Eleven divisions nationally means purchasing scale above the band a single machine serves.</t>
        </is>
      </c>
      <c r="M93" s="8" t="inlineStr">
        <is>
          <t>No</t>
        </is>
      </c>
      <c r="N93" s="9" t="inlineStr">
        <is>
          <t>The division president is a professional engineer, which is rare and matters for a method conversation.</t>
        </is>
      </c>
      <c r="O93" s="8" t="inlineStr">
        <is>
          <t>Yes</t>
        </is>
      </c>
      <c r="P93" s="6" t="inlineStr">
        <is>
          <t>https://www.linkedin.com/in/matthew-zaist-01949696/</t>
        </is>
      </c>
      <c r="Q93" s="6" t="inlineStr"/>
      <c r="R93" s="11">
        <f>IF(P93="","ADD LINKEDIN","ok")</f>
        <v/>
      </c>
      <c r="S93" s="6" t="inlineStr">
        <is>
          <t>https://risewellhomes.com/</t>
        </is>
      </c>
      <c r="T93" s="9" t="inlineStr">
        <is>
          <t>A national platform with a Houston division president who is a licensed engineer, building in Sunterra.</t>
        </is>
      </c>
      <c r="U93" s="6" t="inlineStr"/>
      <c r="V93" s="9" t="inlineStr">
        <is>
          <t>Indexed title reads Matthew Zaist, President and CEO at Risewell Homes. Confirmed on the firm's team page. Executive team page: President and Chief Executive Officer.</t>
        </is>
      </c>
      <c r="W93" s="6" t="inlineStr">
        <is>
          <t>https://www.risewellhomes.com/team</t>
        </is>
      </c>
      <c r="X93" s="6" t="inlineStr"/>
      <c r="Y93" s="6" t="inlineStr"/>
      <c r="Z93" s="6" t="inlineStr"/>
    </row>
    <row r="94">
      <c r="A94" s="12" t="inlineStr">
        <is>
          <t>James Kotzur</t>
        </is>
      </c>
      <c r="B94" s="12" t="inlineStr">
        <is>
          <t>Coventry Homes</t>
        </is>
      </c>
      <c r="C94" s="12" t="inlineStr">
        <is>
          <t>Division President, Coventry Homes (Dream Finders Homes)</t>
        </is>
      </c>
      <c r="D94" s="13" t="inlineStr">
        <is>
          <t>Worth pursuing, one gap</t>
        </is>
      </c>
      <c r="E94" s="14" t="n">
        <v>2</v>
      </c>
      <c r="F94" s="12" t="inlineStr">
        <is>
          <t>Buys walls</t>
        </is>
      </c>
      <c r="G94" s="12" t="inlineStr">
        <is>
          <t>Houston HQ, Harris County</t>
        </is>
      </c>
      <c r="H94" s="12" t="inlineStr">
        <is>
          <t>~100 communities, 55,000+ homes closed</t>
        </is>
      </c>
      <c r="I94" s="14" t="inlineStr">
        <is>
          <t>Partly</t>
        </is>
      </c>
      <c r="J94" s="15" t="inlineStr">
        <is>
          <t>Close to 100 communities, 55,000 homes company-wide.</t>
        </is>
      </c>
      <c r="K94" s="14" t="inlineStr">
        <is>
          <t>Partly</t>
        </is>
      </c>
      <c r="L94" s="15" t="inlineStr">
        <is>
          <t>Two Houston divisions inside Dream Finders, so the volume fits and the purchasing may not be local.</t>
        </is>
      </c>
      <c r="M94" s="14" t="inlineStr">
        <is>
          <t>No</t>
        </is>
      </c>
      <c r="N94" s="15" t="inlineStr">
        <is>
          <t>No method evidence on record.</t>
        </is>
      </c>
      <c r="O94" s="14" t="inlineStr">
        <is>
          <t>Partly</t>
        </is>
      </c>
      <c r="P94" s="6" t="inlineStr">
        <is>
          <t>https://www.linkedin.com/in/james-kotzur-748107224/</t>
        </is>
      </c>
      <c r="Q94" s="12" t="inlineStr"/>
      <c r="R94" s="16">
        <f>IF(P94="","ADD LINKEDIN","ok")</f>
        <v/>
      </c>
      <c r="S94" s="12" t="inlineStr">
        <is>
          <t>https://www.coventryhomes.com/</t>
        </is>
      </c>
      <c r="T94" s="15" t="inlineStr">
        <is>
          <t>Close to 100 communities inside Dream Finders, which bought parent MHI in 2021.</t>
        </is>
      </c>
      <c r="U94" s="12" t="inlineStr"/>
      <c r="V94" s="15" t="inlineStr">
        <is>
          <t>Division President at DFH - Coventry Homes. Houston, Texas. First named executive found for this firm, and the DFH prefix identifies the parent.</t>
        </is>
      </c>
      <c r="W94" s="12" t="inlineStr"/>
      <c r="X94" s="12" t="inlineStr">
        <is>
          <t>https://www.linkedin.com/company/coventryhomes</t>
        </is>
      </c>
      <c r="Y94" s="12" t="inlineStr"/>
      <c r="Z94" s="12" t="inlineStr"/>
    </row>
    <row r="95">
      <c r="A95" s="6" t="inlineStr">
        <is>
          <t>Brian Grigsby</t>
        </is>
      </c>
      <c r="B95" s="6" t="inlineStr">
        <is>
          <t>Coventry Homes</t>
        </is>
      </c>
      <c r="C95" s="6" t="inlineStr">
        <is>
          <t>Division President, Houston South, Coventry Homes (Dream Finders Homes)</t>
        </is>
      </c>
      <c r="D95" s="7" t="inlineStr">
        <is>
          <t>Worth pursuing, one gap</t>
        </is>
      </c>
      <c r="E95" s="8" t="n">
        <v>2</v>
      </c>
      <c r="F95" s="6" t="inlineStr">
        <is>
          <t>Buys walls</t>
        </is>
      </c>
      <c r="G95" s="6" t="inlineStr">
        <is>
          <t>Houston HQ, Harris County</t>
        </is>
      </c>
      <c r="H95" s="6" t="inlineStr">
        <is>
          <t>~100 communities, 55,000+ homes closed</t>
        </is>
      </c>
      <c r="I95" s="8" t="inlineStr">
        <is>
          <t>Partly</t>
        </is>
      </c>
      <c r="J95" s="9" t="inlineStr">
        <is>
          <t>Close to 100 communities, 55,000 homes company-wide.</t>
        </is>
      </c>
      <c r="K95" s="8" t="inlineStr">
        <is>
          <t>Partly</t>
        </is>
      </c>
      <c r="L95" s="9" t="inlineStr">
        <is>
          <t>Two Houston divisions inside Dream Finders, so the volume fits and the purchasing may not be local.</t>
        </is>
      </c>
      <c r="M95" s="8" t="inlineStr">
        <is>
          <t>No</t>
        </is>
      </c>
      <c r="N95" s="9" t="inlineStr">
        <is>
          <t>No method evidence on record.</t>
        </is>
      </c>
      <c r="O95" s="8" t="inlineStr">
        <is>
          <t>Partly</t>
        </is>
      </c>
      <c r="P95" s="6" t="inlineStr">
        <is>
          <t>https://www.linkedin.com/in/brian-grigsby-859a97285/</t>
        </is>
      </c>
      <c r="Q95" s="6" t="inlineStr"/>
      <c r="R95" s="11">
        <f>IF(P95="","ADD LINKEDIN","ok")</f>
        <v/>
      </c>
      <c r="S95" s="6" t="inlineStr">
        <is>
          <t>https://www.coventryhomes.com/</t>
        </is>
      </c>
      <c r="T95" s="9" t="inlineStr">
        <is>
          <t>Close to 100 communities inside Dream Finders, which bought parent MHI in 2021.</t>
        </is>
      </c>
      <c r="U95" s="6" t="inlineStr"/>
      <c r="V95" s="9" t="inlineStr">
        <is>
          <t>Division President - Houston South @ Dream Finders Homes - Coventry Homes.</t>
        </is>
      </c>
      <c r="W95" s="6" t="inlineStr"/>
      <c r="X95" s="6" t="inlineStr">
        <is>
          <t>https://www.linkedin.com/company/coventryhomes</t>
        </is>
      </c>
      <c r="Y95" s="6" t="inlineStr"/>
      <c r="Z95" s="6" t="inlineStr"/>
    </row>
    <row r="96">
      <c r="A96" s="12" t="inlineStr">
        <is>
          <t>Jeff Dye</t>
        </is>
      </c>
      <c r="B96" s="12" t="inlineStr">
        <is>
          <t>Newmark Homes</t>
        </is>
      </c>
      <c r="C96" s="12" t="inlineStr">
        <is>
          <t>President</t>
        </is>
      </c>
      <c r="D96" s="13" t="inlineStr">
        <is>
          <t>Worth pursuing, one gap</t>
        </is>
      </c>
      <c r="E96" s="14" t="n">
        <v>2</v>
      </c>
      <c r="F96" s="12" t="inlineStr">
        <is>
          <t>Buys walls</t>
        </is>
      </c>
      <c r="G96" s="12" t="inlineStr">
        <is>
          <t>Katy</t>
        </is>
      </c>
      <c r="H96" s="12" t="inlineStr">
        <is>
          <t>483 closings and $306 million in 2025</t>
        </is>
      </c>
      <c r="I96" s="14" t="inlineStr">
        <is>
          <t>Partly</t>
        </is>
      </c>
      <c r="J96" s="15" t="inlineStr">
        <is>
          <t>More than 150 named plans across more than twenty communities. The plan set is the problem here.</t>
        </is>
      </c>
      <c r="K96" s="14" t="inlineStr">
        <is>
          <t>Partly</t>
        </is>
      </c>
      <c r="L96" s="15" t="inlineStr">
        <is>
          <t>483 closings in 2025 and 511 in 2024. The volume supports machines; the dispersion does not.</t>
        </is>
      </c>
      <c r="M96" s="14" t="inlineStr">
        <is>
          <t>No</t>
        </is>
      </c>
      <c r="N96" s="15" t="inlineStr">
        <is>
          <t>It runs a proprietary energy programme under its own name, and a separate custom division for one-off work, so the production line is deliberately kept separate.</t>
        </is>
      </c>
      <c r="O96" s="14" t="inlineStr">
        <is>
          <t>Partly</t>
        </is>
      </c>
      <c r="P96" s="10" t="inlineStr"/>
      <c r="Q96" s="12">
        <f>HYPERLINK("https://www.linkedin.com/search/results/people/?keywords=Jeff%20Dye%20Newmark%20Homes","search")</f>
        <v/>
      </c>
      <c r="R96" s="16">
        <f>IF(P96="","ADD LINKEDIN","ok")</f>
        <v/>
      </c>
      <c r="S96" s="12" t="inlineStr">
        <is>
          <t>https://newmarkhomes.com/</t>
        </is>
      </c>
      <c r="T96" s="15" t="inlineStr">
        <is>
          <t>483 closings in 2025 across more than twenty communities and more than 150 plans.</t>
        </is>
      </c>
      <c r="U96" s="12" t="inlineStr"/>
      <c r="V96" s="15" t="inlineStr">
        <is>
          <t>Houston Agent, February 2020: Jeff Dye assumed the position of president after 21 years with the firm.</t>
        </is>
      </c>
      <c r="W96" s="12" t="inlineStr">
        <is>
          <t>https://houstonagentmagazine.com/2020/02/06/making-moves-newmark-homes-appoints-top-leaders-edward-jones-becomes-latest-tenant-bridgeland/</t>
        </is>
      </c>
      <c r="X96" s="12" t="inlineStr"/>
      <c r="Y96" s="12" t="inlineStr"/>
      <c r="Z96" s="12" t="inlineStr"/>
    </row>
    <row r="97">
      <c r="A97" s="6" t="inlineStr">
        <is>
          <t>Frank Sitterle, Jr.</t>
        </is>
      </c>
      <c r="B97" s="6" t="inlineStr">
        <is>
          <t>Sitterle Homes</t>
        </is>
      </c>
      <c r="C97" s="6" t="inlineStr">
        <is>
          <t>President and co-owner</t>
        </is>
      </c>
      <c r="D97" s="7" t="inlineStr">
        <is>
          <t>Worth pursuing, one gap</t>
        </is>
      </c>
      <c r="E97" s="8" t="n">
        <v>2</v>
      </c>
      <c r="F97" s="6" t="inlineStr">
        <is>
          <t>Buys walls</t>
        </is>
      </c>
      <c r="G97" s="6" t="inlineStr">
        <is>
          <t>San Antonio, building in Houston</t>
        </is>
      </c>
      <c r="H97" s="6" t="inlineStr">
        <is>
          <t>372 closings company-wide in 2022, no Houston figure</t>
        </is>
      </c>
      <c r="I97" s="8" t="inlineStr">
        <is>
          <t>Partly</t>
        </is>
      </c>
      <c r="J97" s="9" t="inlineStr">
        <is>
          <t>Four Houston communities out of a four-market footprint. The plan catalogue is shared across all four.</t>
        </is>
      </c>
      <c r="K97" s="8" t="inlineStr">
        <is>
          <t>Partly</t>
        </is>
      </c>
      <c r="L97" s="9" t="inlineStr">
        <is>
          <t>No volume figure. Houston is secondary to San Antonio, so the local share is small.</t>
        </is>
      </c>
      <c r="M97" s="8" t="inlineStr">
        <is>
          <t>No</t>
        </is>
      </c>
      <c r="N97" s="9" t="inlineStr">
        <is>
          <t>No method evidence.</t>
        </is>
      </c>
      <c r="O97" s="8" t="inlineStr">
        <is>
          <t>Partly</t>
        </is>
      </c>
      <c r="P97" s="6" t="inlineStr">
        <is>
          <t>https://www.linkedin.com/in/frank-sitterle-071b8246/</t>
        </is>
      </c>
      <c r="Q97" s="6" t="inlineStr"/>
      <c r="R97" s="11">
        <f>IF(P97="","ADD LINKEDIN","ok")</f>
        <v/>
      </c>
      <c r="S97" s="6" t="inlineStr">
        <is>
          <t>https://www.sitterlehomes.com/</t>
        </is>
      </c>
      <c r="T97" s="9" t="inlineStr">
        <is>
          <t>Four Houston communities from a San Antonio base, with a named director of purchasing. Houston is the secondary market.</t>
        </is>
      </c>
      <c r="U97" s="6" t="inlineStr"/>
      <c r="V97" s="9" t="inlineStr">
        <is>
          <t>Indexed title reads Frank Sitterle, President, Sitterle Homes. The firm's about page has him acquiring the company in 2005 with Jeff Buell.</t>
        </is>
      </c>
      <c r="W97" s="6" t="inlineStr"/>
      <c r="X97" s="6" t="inlineStr"/>
      <c r="Y97" s="6" t="inlineStr"/>
      <c r="Z97" s="6" t="inlineStr"/>
    </row>
    <row r="98">
      <c r="A98" s="12" t="inlineStr">
        <is>
          <t>India Kinslow</t>
        </is>
      </c>
      <c r="B98" s="12" t="inlineStr">
        <is>
          <t>Sitterle Homes</t>
        </is>
      </c>
      <c r="C98" s="12" t="inlineStr">
        <is>
          <t>Director of Purchasing</t>
        </is>
      </c>
      <c r="D98" s="13" t="inlineStr">
        <is>
          <t>Worth pursuing, one gap</t>
        </is>
      </c>
      <c r="E98" s="14" t="n">
        <v>2</v>
      </c>
      <c r="F98" s="12" t="inlineStr">
        <is>
          <t>Buys walls</t>
        </is>
      </c>
      <c r="G98" s="12" t="inlineStr">
        <is>
          <t>San Antonio, building in Houston</t>
        </is>
      </c>
      <c r="H98" s="12" t="inlineStr">
        <is>
          <t>372 closings company-wide in 2022, no Houston figure</t>
        </is>
      </c>
      <c r="I98" s="14" t="inlineStr">
        <is>
          <t>Partly</t>
        </is>
      </c>
      <c r="J98" s="15" t="inlineStr">
        <is>
          <t>Four Houston communities out of a four-market footprint. The plan catalogue is shared across all four.</t>
        </is>
      </c>
      <c r="K98" s="14" t="inlineStr">
        <is>
          <t>Partly</t>
        </is>
      </c>
      <c r="L98" s="15" t="inlineStr">
        <is>
          <t>No volume figure. Houston is secondary to San Antonio, so the local share is small.</t>
        </is>
      </c>
      <c r="M98" s="14" t="inlineStr">
        <is>
          <t>No</t>
        </is>
      </c>
      <c r="N98" s="15" t="inlineStr">
        <is>
          <t>No method evidence.</t>
        </is>
      </c>
      <c r="O98" s="14" t="inlineStr">
        <is>
          <t>Partly</t>
        </is>
      </c>
      <c r="P98" s="6" t="inlineStr">
        <is>
          <t>https://www.linkedin.com/in/india-kinslow-824b2614b/</t>
        </is>
      </c>
      <c r="Q98" s="12" t="inlineStr"/>
      <c r="R98" s="16">
        <f>IF(P98="","ADD LINKEDIN","ok")</f>
        <v/>
      </c>
      <c r="S98" s="12" t="inlineStr">
        <is>
          <t>https://www.sitterlehomes.com/</t>
        </is>
      </c>
      <c r="T98" s="15" t="inlineStr">
        <is>
          <t>Four Houston communities from a San Antonio base, with a named director of purchasing. Houston is the secondary market.</t>
        </is>
      </c>
      <c r="U98" s="12" t="inlineStr"/>
      <c r="V98" s="15" t="inlineStr">
        <is>
          <t>Headline reads Director Of Purchasing at Sitterle Homes. San Antonio, which is where the firm's purchasing sits. No page outside a data aggregator names India Kinslow with a title at Sitterle, so no link is held for her.</t>
        </is>
      </c>
      <c r="W98" s="12" t="inlineStr"/>
      <c r="X98" s="12" t="inlineStr"/>
      <c r="Y98" s="12" t="inlineStr"/>
      <c r="Z98" s="12" t="inlineStr"/>
    </row>
    <row r="99">
      <c r="A99" s="6" t="inlineStr">
        <is>
          <t>Chris Hightower</t>
        </is>
      </c>
      <c r="B99" s="6" t="inlineStr">
        <is>
          <t>Sitterle Homes</t>
        </is>
      </c>
      <c r="C99" s="6" t="inlineStr">
        <is>
          <t>Division President, Houston</t>
        </is>
      </c>
      <c r="D99" s="7" t="inlineStr">
        <is>
          <t>Worth pursuing, one gap</t>
        </is>
      </c>
      <c r="E99" s="8" t="n">
        <v>2</v>
      </c>
      <c r="F99" s="6" t="inlineStr">
        <is>
          <t>Buys walls</t>
        </is>
      </c>
      <c r="G99" s="6" t="inlineStr">
        <is>
          <t>San Antonio, building in Houston</t>
        </is>
      </c>
      <c r="H99" s="6" t="inlineStr">
        <is>
          <t>372 closings company-wide in 2022, no Houston figure</t>
        </is>
      </c>
      <c r="I99" s="8" t="inlineStr">
        <is>
          <t>Partly</t>
        </is>
      </c>
      <c r="J99" s="9" t="inlineStr">
        <is>
          <t>Four Houston communities out of a four-market footprint. The plan catalogue is shared across all four.</t>
        </is>
      </c>
      <c r="K99" s="8" t="inlineStr">
        <is>
          <t>Partly</t>
        </is>
      </c>
      <c r="L99" s="9" t="inlineStr">
        <is>
          <t>No volume figure. Houston is secondary to San Antonio, so the local share is small.</t>
        </is>
      </c>
      <c r="M99" s="8" t="inlineStr">
        <is>
          <t>No</t>
        </is>
      </c>
      <c r="N99" s="9" t="inlineStr">
        <is>
          <t>No method evidence.</t>
        </is>
      </c>
      <c r="O99" s="8" t="inlineStr">
        <is>
          <t>Partly</t>
        </is>
      </c>
      <c r="P99" s="6" t="inlineStr">
        <is>
          <t>https://www.linkedin.com/in/chris-hightower-029b45112/</t>
        </is>
      </c>
      <c r="Q99" s="6" t="inlineStr"/>
      <c r="R99" s="11">
        <f>IF(P99="","ADD LINKEDIN","ok")</f>
        <v/>
      </c>
      <c r="S99" s="6" t="inlineStr">
        <is>
          <t>https://www.sitterlehomes.com/</t>
        </is>
      </c>
      <c r="T99" s="9" t="inlineStr">
        <is>
          <t>Four Houston communities from a San Antonio base, with a named director of purchasing. Houston is the secondary market.</t>
        </is>
      </c>
      <c r="U99" s="6" t="inlineStr"/>
      <c r="V99" s="9" t="inlineStr">
        <is>
          <t>Indexed title reads Chris Hightower, Division President at Sitterle Homes. The GHBA member directory lists him as Division President, Houston.</t>
        </is>
      </c>
      <c r="W99" s="6" t="inlineStr"/>
      <c r="X99" s="6" t="inlineStr"/>
      <c r="Y99" s="6" t="inlineStr"/>
      <c r="Z99" s="6" t="inlineStr"/>
    </row>
    <row r="100">
      <c r="A100" s="12" t="inlineStr">
        <is>
          <t>Tim Drone</t>
        </is>
      </c>
      <c r="B100" s="12" t="inlineStr">
        <is>
          <t>J. Patrick Homes</t>
        </is>
      </c>
      <c r="C100" s="12" t="inlineStr">
        <is>
          <t>President</t>
        </is>
      </c>
      <c r="D100" s="13" t="inlineStr">
        <is>
          <t>Worth pursuing, one gap</t>
        </is>
      </c>
      <c r="E100" s="14" t="n">
        <v>2</v>
      </c>
      <c r="F100" s="12" t="inlineStr">
        <is>
          <t>Buys walls</t>
        </is>
      </c>
      <c r="G100" s="12" t="inlineStr">
        <is>
          <t>Houston, 12 submarkets</t>
        </is>
      </c>
      <c r="H100" s="12" t="inlineStr">
        <is>
          <t>Volume Builder of the Year, 12 submarkets</t>
        </is>
      </c>
      <c r="I100" s="14" t="inlineStr">
        <is>
          <t>Partly</t>
        </is>
      </c>
      <c r="J100" s="15" t="inlineStr">
        <is>
          <t>Twelve submarkets is wide for a builder this size, which spreads the plan set thin.</t>
        </is>
      </c>
      <c r="K100" s="14" t="inlineStr">
        <is>
          <t>Partly</t>
        </is>
      </c>
      <c r="L100" s="15" t="inlineStr">
        <is>
          <t>No closings figure is published anywhere, so the machine question cannot be sized.</t>
        </is>
      </c>
      <c r="M100" s="14" t="inlineStr">
        <is>
          <t>No</t>
        </is>
      </c>
      <c r="N100" s="15" t="inlineStr">
        <is>
          <t>Energy Star and Environments for Living certification, with whole-home dehumidifiers standard. A firm that pays for third-party verification has paid for something unproven before.</t>
        </is>
      </c>
      <c r="O100" s="14" t="inlineStr">
        <is>
          <t>No</t>
        </is>
      </c>
      <c r="P100" s="10" t="inlineStr"/>
      <c r="Q100" s="12">
        <f>HYPERLINK("https://www.linkedin.com/search/results/people/?keywords=Tim%20Drone%20J.%20Patrick%20Homes","search")</f>
        <v/>
      </c>
      <c r="R100" s="16">
        <f>IF(P100="","ADD LINKEDIN","ok")</f>
        <v/>
      </c>
      <c r="S100" s="12" t="inlineStr">
        <is>
          <t>https://www.jpatrickhomes.com/</t>
        </is>
      </c>
      <c r="T100" s="15" t="inlineStr">
        <is>
          <t>A semi-custom builder that won a volume award and publishes no volume. Named purchasing and construction managers.</t>
        </is>
      </c>
      <c r="U100" s="12" t="inlineStr"/>
      <c r="V100" s="15" t="inlineStr">
        <is>
          <t>Quoted as President Tim Drone in February 2026 coverage of the firm's small-lot product.</t>
        </is>
      </c>
      <c r="W100" s="12" t="inlineStr">
        <is>
          <t>https://houstonagentmagazine.com/2026/02/10/j-patrick-homes-small-lots-grange/</t>
        </is>
      </c>
      <c r="X100" s="12" t="inlineStr"/>
      <c r="Y100" s="12" t="inlineStr"/>
      <c r="Z100" s="12" t="inlineStr"/>
    </row>
    <row r="101">
      <c r="A101" s="6" t="inlineStr">
        <is>
          <t>Bo Banowsky</t>
        </is>
      </c>
      <c r="B101" s="6" t="inlineStr">
        <is>
          <t>J. Patrick Homes</t>
        </is>
      </c>
      <c r="C101" s="6" t="inlineStr">
        <is>
          <t>Purchasing Manager</t>
        </is>
      </c>
      <c r="D101" s="7" t="inlineStr">
        <is>
          <t>Worth pursuing, one gap</t>
        </is>
      </c>
      <c r="E101" s="8" t="n">
        <v>2</v>
      </c>
      <c r="F101" s="6" t="inlineStr">
        <is>
          <t>Buys walls</t>
        </is>
      </c>
      <c r="G101" s="6" t="inlineStr">
        <is>
          <t>Houston, 12 submarkets</t>
        </is>
      </c>
      <c r="H101" s="6" t="inlineStr">
        <is>
          <t>Volume Builder of the Year, 12 submarkets</t>
        </is>
      </c>
      <c r="I101" s="8" t="inlineStr">
        <is>
          <t>Partly</t>
        </is>
      </c>
      <c r="J101" s="9" t="inlineStr">
        <is>
          <t>Twelve submarkets is wide for a builder this size, which spreads the plan set thin.</t>
        </is>
      </c>
      <c r="K101" s="8" t="inlineStr">
        <is>
          <t>Partly</t>
        </is>
      </c>
      <c r="L101" s="9" t="inlineStr">
        <is>
          <t>No closings figure is published anywhere, so the machine question cannot be sized.</t>
        </is>
      </c>
      <c r="M101" s="8" t="inlineStr">
        <is>
          <t>No</t>
        </is>
      </c>
      <c r="N101" s="9" t="inlineStr">
        <is>
          <t>Energy Star and Environments for Living certification, with whole-home dehumidifiers standard. A firm that pays for third-party verification has paid for something unproven before.</t>
        </is>
      </c>
      <c r="O101" s="8" t="inlineStr">
        <is>
          <t>No</t>
        </is>
      </c>
      <c r="P101" s="6" t="inlineStr">
        <is>
          <t>https://www.linkedin.com/in/bo-banowsky-3b11278/</t>
        </is>
      </c>
      <c r="Q101" s="6" t="inlineStr"/>
      <c r="R101" s="11">
        <f>IF(P101="","ADD LINKEDIN","ok")</f>
        <v/>
      </c>
      <c r="S101" s="6" t="inlineStr">
        <is>
          <t>https://www.jpatrickhomes.com/</t>
        </is>
      </c>
      <c r="T101" s="9" t="inlineStr">
        <is>
          <t>A semi-custom builder that won a volume award and publishes no volume. Named purchasing and construction managers.</t>
        </is>
      </c>
      <c r="U101" s="6" t="inlineStr">
        <is>
          <t>YES</t>
        </is>
      </c>
      <c r="V101" s="9" t="inlineStr">
        <is>
          <t>Indexed title reads Bo Banowsky, Purchasing Manager, J. Patrick Homes.</t>
        </is>
      </c>
      <c r="W101" s="6" t="inlineStr"/>
      <c r="X101" s="6" t="inlineStr"/>
      <c r="Y101" s="6" t="inlineStr"/>
      <c r="Z101" s="6" t="inlineStr"/>
    </row>
    <row r="102">
      <c r="A102" s="12" t="inlineStr">
        <is>
          <t>Neil Joshi</t>
        </is>
      </c>
      <c r="B102" s="12" t="inlineStr">
        <is>
          <t>RSK Real Estate Partners</t>
        </is>
      </c>
      <c r="C102" s="12" t="inlineStr">
        <is>
          <t>Managing Member, RSK Real Estate Partners</t>
        </is>
      </c>
      <c r="D102" s="13" t="inlineStr">
        <is>
          <t>Worth pursuing, one gap</t>
        </is>
      </c>
      <c r="E102" s="14" t="n">
        <v>2</v>
      </c>
      <c r="F102" s="12" t="inlineStr">
        <is>
          <t>Buys walls</t>
        </is>
      </c>
      <c r="G102" s="12" t="inlineStr">
        <is>
          <t>Chicago HQ / Katy, Harris</t>
        </is>
      </c>
      <c r="H102" s="12" t="inlineStr">
        <is>
          <t>366 build-to-rent units across two Katy projects</t>
        </is>
      </c>
      <c r="I102" s="14" t="inlineStr">
        <is>
          <t>Partly</t>
        </is>
      </c>
      <c r="J102" s="15" t="inlineStr">
        <is>
          <t>156 and 210 units on two Katy sites about a mile apart.</t>
        </is>
      </c>
      <c r="K102" s="14" t="inlineStr">
        <is>
          <t>Partly</t>
        </is>
      </c>
      <c r="L102" s="15" t="inlineStr">
        <is>
          <t>A small developer with its own vice president of construction, and no published unit count to size it.</t>
        </is>
      </c>
      <c r="M102" s="14" t="inlineStr">
        <is>
          <t>No</t>
        </is>
      </c>
      <c r="N102" s="15" t="inlineStr">
        <is>
          <t>No method evidence found.</t>
        </is>
      </c>
      <c r="O102" s="14" t="inlineStr">
        <is>
          <t>No</t>
        </is>
      </c>
      <c r="P102" s="10" t="inlineStr"/>
      <c r="Q102" s="12">
        <f>HYPERLINK("https://www.linkedin.com/search/results/people/?keywords=Neil%20Joshi%20RSK%20Real%20Estate%20Partners","search")</f>
        <v/>
      </c>
      <c r="R102" s="16">
        <f>IF(P102="","ADD LINKEDIN","ok")</f>
        <v/>
      </c>
      <c r="S102" s="12" t="inlineStr">
        <is>
          <t>https://rskrealestatepartners.com/</t>
        </is>
      </c>
      <c r="T102" s="15" t="inlineStr">
        <is>
          <t>Two Katy duplex projects a mile apart, 366 units.</t>
        </is>
      </c>
      <c r="U102" s="12" t="inlineStr"/>
      <c r="V102" s="15" t="inlineStr">
        <is>
          <t>Managing Member.</t>
        </is>
      </c>
      <c r="W102" s="12" t="inlineStr">
        <is>
          <t>https://rskrealestatepartners.com/our-team/</t>
        </is>
      </c>
      <c r="X102" s="12" t="inlineStr">
        <is>
          <t>https://www.linkedin.com/company/rsk-real-estate-partners</t>
        </is>
      </c>
      <c r="Y102" s="12" t="inlineStr">
        <is>
          <t>https://rskrealestatepartners.com/our-team/</t>
        </is>
      </c>
      <c r="Z102" s="12" t="inlineStr"/>
    </row>
    <row r="103">
      <c r="A103" s="6" t="inlineStr">
        <is>
          <t>Gregg Erickson</t>
        </is>
      </c>
      <c r="B103" s="6" t="inlineStr">
        <is>
          <t>RSK Real Estate Partners</t>
        </is>
      </c>
      <c r="C103" s="6" t="inlineStr">
        <is>
          <t>Vice President of Construction, RSK Real Estate Partners</t>
        </is>
      </c>
      <c r="D103" s="7" t="inlineStr">
        <is>
          <t>Worth pursuing, one gap</t>
        </is>
      </c>
      <c r="E103" s="8" t="n">
        <v>2</v>
      </c>
      <c r="F103" s="6" t="inlineStr">
        <is>
          <t>Buys walls</t>
        </is>
      </c>
      <c r="G103" s="6" t="inlineStr">
        <is>
          <t>Chicago HQ / Katy, Harris</t>
        </is>
      </c>
      <c r="H103" s="6" t="inlineStr">
        <is>
          <t>366 build-to-rent units across two Katy projects</t>
        </is>
      </c>
      <c r="I103" s="8" t="inlineStr">
        <is>
          <t>Partly</t>
        </is>
      </c>
      <c r="J103" s="9" t="inlineStr">
        <is>
          <t>156 and 210 units on two Katy sites about a mile apart.</t>
        </is>
      </c>
      <c r="K103" s="8" t="inlineStr">
        <is>
          <t>Partly</t>
        </is>
      </c>
      <c r="L103" s="9" t="inlineStr">
        <is>
          <t>A small developer with its own vice president of construction, and no published unit count to size it.</t>
        </is>
      </c>
      <c r="M103" s="8" t="inlineStr">
        <is>
          <t>No</t>
        </is>
      </c>
      <c r="N103" s="9" t="inlineStr">
        <is>
          <t>No method evidence found.</t>
        </is>
      </c>
      <c r="O103" s="8" t="inlineStr">
        <is>
          <t>No</t>
        </is>
      </c>
      <c r="P103" s="10" t="inlineStr"/>
      <c r="Q103" s="6">
        <f>HYPERLINK("https://www.linkedin.com/search/results/people/?keywords=Gregg%20Erickson%20RSK%20Real%20Estate%20Partners","search")</f>
        <v/>
      </c>
      <c r="R103" s="11">
        <f>IF(P103="","ADD LINKEDIN","ok")</f>
        <v/>
      </c>
      <c r="S103" s="6" t="inlineStr">
        <is>
          <t>https://rskrealestatepartners.com/</t>
        </is>
      </c>
      <c r="T103" s="9" t="inlineStr">
        <is>
          <t>Two Katy duplex projects a mile apart, 366 units.</t>
        </is>
      </c>
      <c r="U103" s="6" t="inlineStr">
        <is>
          <t>YES</t>
        </is>
      </c>
      <c r="V103" s="9" t="inlineStr">
        <is>
          <t>Vice President of Construction. RSK is a small firm that names its construction lead on its own team page, which larger builders do not.</t>
        </is>
      </c>
      <c r="W103" s="6" t="inlineStr">
        <is>
          <t>https://rskrealestatepartners.com/our-team/</t>
        </is>
      </c>
      <c r="X103" s="6" t="inlineStr">
        <is>
          <t>https://www.linkedin.com/company/rsk-real-estate-partners</t>
        </is>
      </c>
      <c r="Y103" s="6" t="inlineStr">
        <is>
          <t>https://rskrealestatepartners.com/our-team/</t>
        </is>
      </c>
      <c r="Z103" s="6" t="inlineStr"/>
    </row>
    <row r="104">
      <c r="A104" s="12" t="inlineStr">
        <is>
          <t>Hannah Ripkey</t>
        </is>
      </c>
      <c r="B104" s="12" t="inlineStr">
        <is>
          <t>RSK Real Estate Partners</t>
        </is>
      </c>
      <c r="C104" s="12" t="inlineStr">
        <is>
          <t>Vice President of Development, RSK Real Estate Partners</t>
        </is>
      </c>
      <c r="D104" s="13" t="inlineStr">
        <is>
          <t>Worth pursuing, one gap</t>
        </is>
      </c>
      <c r="E104" s="14" t="n">
        <v>2</v>
      </c>
      <c r="F104" s="12" t="inlineStr">
        <is>
          <t>Buys walls</t>
        </is>
      </c>
      <c r="G104" s="12" t="inlineStr">
        <is>
          <t>Chicago HQ / Katy, Harris</t>
        </is>
      </c>
      <c r="H104" s="12" t="inlineStr">
        <is>
          <t>366 build-to-rent units across two Katy projects</t>
        </is>
      </c>
      <c r="I104" s="14" t="inlineStr">
        <is>
          <t>Partly</t>
        </is>
      </c>
      <c r="J104" s="15" t="inlineStr">
        <is>
          <t>156 and 210 units on two Katy sites about a mile apart.</t>
        </is>
      </c>
      <c r="K104" s="14" t="inlineStr">
        <is>
          <t>Partly</t>
        </is>
      </c>
      <c r="L104" s="15" t="inlineStr">
        <is>
          <t>A small developer with its own vice president of construction, and no published unit count to size it.</t>
        </is>
      </c>
      <c r="M104" s="14" t="inlineStr">
        <is>
          <t>No</t>
        </is>
      </c>
      <c r="N104" s="15" t="inlineStr">
        <is>
          <t>No method evidence found.</t>
        </is>
      </c>
      <c r="O104" s="14" t="inlineStr">
        <is>
          <t>No</t>
        </is>
      </c>
      <c r="P104" s="10" t="inlineStr"/>
      <c r="Q104" s="12">
        <f>HYPERLINK("https://www.linkedin.com/search/results/people/?keywords=Hannah%20Ripkey%20RSK%20Real%20Estate%20Partners","search")</f>
        <v/>
      </c>
      <c r="R104" s="16">
        <f>IF(P104="","ADD LINKEDIN","ok")</f>
        <v/>
      </c>
      <c r="S104" s="12" t="inlineStr">
        <is>
          <t>https://rskrealestatepartners.com/</t>
        </is>
      </c>
      <c r="T104" s="15" t="inlineStr">
        <is>
          <t>Two Katy duplex projects a mile apart, 366 units.</t>
        </is>
      </c>
      <c r="U104" s="12" t="inlineStr"/>
      <c r="V104" s="15" t="inlineStr">
        <is>
          <t>Vice President of Development.</t>
        </is>
      </c>
      <c r="W104" s="12" t="inlineStr">
        <is>
          <t>https://rskrealestatepartners.com/our-team/</t>
        </is>
      </c>
      <c r="X104" s="12" t="inlineStr">
        <is>
          <t>https://www.linkedin.com/company/rsk-real-estate-partners</t>
        </is>
      </c>
      <c r="Y104" s="12" t="inlineStr">
        <is>
          <t>https://rskrealestatepartners.com/our-team/</t>
        </is>
      </c>
      <c r="Z104" s="12" t="inlineStr"/>
    </row>
    <row r="105">
      <c r="A105" s="6" t="inlineStr">
        <is>
          <t>Stephen Najvar</t>
        </is>
      </c>
      <c r="B105" s="6" t="inlineStr">
        <is>
          <t>Ravenna Homes</t>
        </is>
      </c>
      <c r="C105" s="6" t="inlineStr">
        <is>
          <t>President</t>
        </is>
      </c>
      <c r="D105" s="7" t="inlineStr">
        <is>
          <t>Worth pursuing, one gap</t>
        </is>
      </c>
      <c r="E105" s="8" t="n">
        <v>2</v>
      </c>
      <c r="F105" s="6" t="inlineStr">
        <is>
          <t>Buys walls</t>
        </is>
      </c>
      <c r="G105" s="6" t="inlineStr">
        <is>
          <t>Cypress</t>
        </is>
      </c>
      <c r="H105" s="6" t="inlineStr">
        <is>
          <t>Seven communities, from the $500,000s</t>
        </is>
      </c>
      <c r="I105" s="8" t="inlineStr">
        <is>
          <t>Partly</t>
        </is>
      </c>
      <c r="J105" s="9" t="inlineStr">
        <is>
          <t>Seven communities, all in the north and northwest corridor, which keeps the plan set together.</t>
        </is>
      </c>
      <c r="K105" s="8" t="inlineStr">
        <is>
          <t>Partly</t>
        </is>
      </c>
      <c r="L105" s="9" t="inlineStr">
        <is>
          <t>No closings figure is published. Price point above $500,000 implies volume below the machine band.</t>
        </is>
      </c>
      <c r="M105" s="8" t="inlineStr">
        <is>
          <t>No</t>
        </is>
      </c>
      <c r="N105" s="9" t="inlineStr">
        <is>
          <t>No method evidence beyond energy efficiency and smart home options.</t>
        </is>
      </c>
      <c r="O105" s="8" t="inlineStr">
        <is>
          <t>No</t>
        </is>
      </c>
      <c r="P105" s="6" t="inlineStr">
        <is>
          <t>https://www.linkedin.com/in/stephennajvar/</t>
        </is>
      </c>
      <c r="Q105" s="6" t="inlineStr"/>
      <c r="R105" s="11">
        <f>IF(P105="","ADD LINKEDIN","ok")</f>
        <v/>
      </c>
      <c r="S105" s="6" t="inlineStr">
        <is>
          <t>https://ravennahomes.com/</t>
        </is>
      </c>
      <c r="T105" s="9" t="inlineStr">
        <is>
          <t>Seven communities in the north and northwest growth corridor, from the $500,000s, with a named president and no published volume.</t>
        </is>
      </c>
      <c r="U105" s="6" t="inlineStr"/>
      <c r="V105" s="9" t="inlineStr">
        <is>
          <t>Indexed title reads Stephen Najvar, President at Ravenna Homes. A 2013 company release names him co-founder alongside his brother Kenneth Najvar, both formerly Perry Homes division presidents.</t>
        </is>
      </c>
      <c r="W105" s="6" t="inlineStr"/>
      <c r="X105" s="6" t="inlineStr"/>
      <c r="Y105" s="6" t="inlineStr"/>
      <c r="Z105" s="6" t="inlineStr"/>
    </row>
    <row r="106">
      <c r="A106" s="12" t="inlineStr">
        <is>
          <t>Matt Zetlmeisl</t>
        </is>
      </c>
      <c r="B106" s="12" t="inlineStr">
        <is>
          <t>ICF Constructors</t>
        </is>
      </c>
      <c r="C106" s="12" t="inlineStr">
        <is>
          <t>Owner, named on the firm's own homepage as having owned and operated it since 2002</t>
        </is>
      </c>
      <c r="D106" s="13" t="inlineStr">
        <is>
          <t>Builds the wall, not the house</t>
        </is>
      </c>
      <c r="E106" s="14" t="n">
        <v>3</v>
      </c>
      <c r="F106" s="12" t="inlineStr">
        <is>
          <t>Builds the wall</t>
        </is>
      </c>
      <c r="G106" s="12" t="inlineStr">
        <is>
          <t>Katy, Harris and Fort Bend, and the Texas coast</t>
        </is>
      </c>
      <c r="H106" s="12" t="inlineStr">
        <is>
          <t>Crews trained on 12 form systems, ICF since 2002</t>
        </is>
      </c>
      <c r="I106" s="14" t="inlineStr">
        <is>
          <t>Yes</t>
        </is>
      </c>
      <c r="J106" s="15" t="inlineStr">
        <is>
          <t>The same wall system, installed again and again across Houston and the coast since 2002.</t>
        </is>
      </c>
      <c r="K106" s="14" t="inlineStr">
        <is>
          <t>Partly</t>
        </is>
      </c>
      <c r="L106" s="15" t="inlineStr">
        <is>
          <t>No crew count or homes-a-year figure is published. On the bands, a firm with no published figure is a Partly, and that is the first thing to establish on the call.</t>
        </is>
      </c>
      <c r="M106" s="14" t="inlineStr">
        <is>
          <t>Yes</t>
        </is>
      </c>
      <c r="N106" s="15" t="inlineStr">
        <is>
          <t>Its entire business is a wall method that was new when it adopted it. The crews are trained on twelve form systems and run a twenty-step checklist before every placement.</t>
        </is>
      </c>
      <c r="O106" s="14" t="inlineStr">
        <is>
          <t>No</t>
        </is>
      </c>
      <c r="P106" s="10" t="inlineStr"/>
      <c r="Q106" s="12">
        <f>HYPERLINK("https://www.linkedin.com/search/results/people/?keywords=Matt%20Zetlmeisl%20ICF%20Constructors","search")</f>
        <v/>
      </c>
      <c r="R106" s="16">
        <f>IF(P106="","ADD LINKEDIN","ok")</f>
        <v/>
      </c>
      <c r="S106" s="12" t="inlineStr">
        <is>
          <t>https://icfconstructors.com/</t>
        </is>
      </c>
      <c r="T106" s="15" t="inlineStr">
        <is>
          <t>Twenty-four years building concrete walls instead of wood ones, with its own crews. The only contractor screened whose whole business is a non-conventional wall.</t>
        </is>
      </c>
      <c r="U106" s="12" t="inlineStr">
        <is>
          <t>YES</t>
        </is>
      </c>
      <c r="V106" s="15" t="inlineStr">
        <is>
          <t>Matt Zetlmeisl has no LinkedIn profile. The firm's own site is the only source that names him.</t>
        </is>
      </c>
      <c r="W106" s="12" t="inlineStr"/>
      <c r="X106" s="12" t="inlineStr"/>
      <c r="Y106" s="12" t="inlineStr"/>
      <c r="Z106" s="12" t="inlineStr"/>
    </row>
    <row r="107">
      <c r="A107" s="6" t="inlineStr">
        <is>
          <t>Eleazar Botello</t>
        </is>
      </c>
      <c r="B107" s="6" t="inlineStr">
        <is>
          <t>Botello Builders</t>
        </is>
      </c>
      <c r="C107" s="6" t="inlineStr">
        <is>
          <t>Founder, named on the firm's own site</t>
        </is>
      </c>
      <c r="D107" s="7" t="inlineStr">
        <is>
          <t>Builds the wall, not the house</t>
        </is>
      </c>
      <c r="E107" s="8" t="n">
        <v>2</v>
      </c>
      <c r="F107" s="6" t="inlineStr">
        <is>
          <t>Builds the wall</t>
        </is>
      </c>
      <c r="G107" s="6" t="inlineStr">
        <is>
          <t>Houston, working Harris, Fort Bend, Brazoria and Montgomery</t>
        </is>
      </c>
      <c r="H107" s="6" t="inlineStr">
        <is>
          <t>150-plus employees, founded 2007 by three brothers</t>
        </is>
      </c>
      <c r="I107" s="8" t="inlineStr">
        <is>
          <t>Yes</t>
        </is>
      </c>
      <c r="J107" s="9" t="inlineStr">
        <is>
          <t>Tilt-up and foundation work repeating across four counties from one Houston yard.</t>
        </is>
      </c>
      <c r="K107" s="8" t="inlineStr">
        <is>
          <t>Yes</t>
        </is>
      </c>
      <c r="L107" s="9" t="inlineStr">
        <is>
          <t>150 office and field staff on the firm's own count. That is the only published size in this section, and at that size one or two printers cover a real share of a year's wall.</t>
        </is>
      </c>
      <c r="M107" s="8" t="inlineStr">
        <is>
          <t>No</t>
        </is>
      </c>
      <c r="N107" s="9" t="inlineStr">
        <is>
          <t>No method statement on record. Its published work is conventional tilt-up and foundations.</t>
        </is>
      </c>
      <c r="O107" s="8" t="inlineStr">
        <is>
          <t>Partly</t>
        </is>
      </c>
      <c r="P107" s="6" t="inlineStr">
        <is>
          <t>https://www.linkedin.com/in/eleazarbotello/</t>
        </is>
      </c>
      <c r="Q107" s="6" t="inlineStr"/>
      <c r="R107" s="11">
        <f>IF(P107="","ADD LINKEDIN","ok")</f>
        <v/>
      </c>
      <c r="S107" s="6" t="inlineStr">
        <is>
          <t>https://www.botellobuilders.com/</t>
        </is>
      </c>
      <c r="T107" s="9" t="inlineStr">
        <is>
          <t>A 150-person self-performing concrete sub, still owned by the three brothers who started it. One or two printers would cover a real share of the wall it puts up.</t>
        </is>
      </c>
      <c r="U107" s="6" t="inlineStr">
        <is>
          <t>YES</t>
        </is>
      </c>
      <c r="V107" s="9" t="inlineStr">
        <is>
          <t>Headline reads President at Botello Builders Corporation. Houston, Texas. The firm's own site calls him a founder and gives no title.</t>
        </is>
      </c>
      <c r="W107" s="6" t="inlineStr"/>
      <c r="X107" s="6" t="inlineStr"/>
      <c r="Y107" s="6" t="inlineStr"/>
      <c r="Z107" s="6" t="inlineStr"/>
    </row>
    <row r="108">
      <c r="A108" s="12" t="inlineStr">
        <is>
          <t>Eden Botello</t>
        </is>
      </c>
      <c r="B108" s="12" t="inlineStr">
        <is>
          <t>Botello Builders</t>
        </is>
      </c>
      <c r="C108" s="12" t="inlineStr">
        <is>
          <t>Founder, named on the firm's own site</t>
        </is>
      </c>
      <c r="D108" s="13" t="inlineStr">
        <is>
          <t>Builds the wall, not the house</t>
        </is>
      </c>
      <c r="E108" s="14" t="n">
        <v>2</v>
      </c>
      <c r="F108" s="12" t="inlineStr">
        <is>
          <t>Builds the wall</t>
        </is>
      </c>
      <c r="G108" s="12" t="inlineStr">
        <is>
          <t>Houston, working Harris, Fort Bend, Brazoria and Montgomery</t>
        </is>
      </c>
      <c r="H108" s="12" t="inlineStr">
        <is>
          <t>150-plus employees, founded 2007 by three brothers</t>
        </is>
      </c>
      <c r="I108" s="14" t="inlineStr">
        <is>
          <t>Yes</t>
        </is>
      </c>
      <c r="J108" s="15" t="inlineStr">
        <is>
          <t>Tilt-up and foundation work repeating across four counties from one Houston yard.</t>
        </is>
      </c>
      <c r="K108" s="14" t="inlineStr">
        <is>
          <t>Yes</t>
        </is>
      </c>
      <c r="L108" s="15" t="inlineStr">
        <is>
          <t>150 office and field staff on the firm's own count. That is the only published size in this section, and at that size one or two printers cover a real share of a year's wall.</t>
        </is>
      </c>
      <c r="M108" s="14" t="inlineStr">
        <is>
          <t>No</t>
        </is>
      </c>
      <c r="N108" s="15" t="inlineStr">
        <is>
          <t>No method statement on record. Its published work is conventional tilt-up and foundations.</t>
        </is>
      </c>
      <c r="O108" s="14" t="inlineStr">
        <is>
          <t>Partly</t>
        </is>
      </c>
      <c r="P108" s="6" t="inlineStr">
        <is>
          <t>https://www.linkedin.com/in/eden-botello-28a5691b5/</t>
        </is>
      </c>
      <c r="Q108" s="12" t="inlineStr"/>
      <c r="R108" s="16">
        <f>IF(P108="","ADD LINKEDIN","ok")</f>
        <v/>
      </c>
      <c r="S108" s="12" t="inlineStr">
        <is>
          <t>https://www.botellobuilders.com/</t>
        </is>
      </c>
      <c r="T108" s="15" t="inlineStr">
        <is>
          <t>A 150-person self-performing concrete sub, still owned by the three brothers who started it. One or two printers would cover a real share of the wall it puts up.</t>
        </is>
      </c>
      <c r="U108" s="12" t="inlineStr">
        <is>
          <t>YES</t>
        </is>
      </c>
      <c r="V108" s="15" t="inlineStr">
        <is>
          <t>Headline reads Operations Manager at Botello Builders Corporation. Houston, Texas.</t>
        </is>
      </c>
      <c r="W108" s="12" t="inlineStr"/>
      <c r="X108" s="12" t="inlineStr"/>
      <c r="Y108" s="12" t="inlineStr"/>
      <c r="Z108" s="12" t="inlineStr"/>
    </row>
    <row r="109">
      <c r="A109" s="6" t="inlineStr">
        <is>
          <t>Jose Botello</t>
        </is>
      </c>
      <c r="B109" s="6" t="inlineStr">
        <is>
          <t>Botello Builders</t>
        </is>
      </c>
      <c r="C109" s="6" t="inlineStr">
        <is>
          <t>Founder, named on the firm's own site</t>
        </is>
      </c>
      <c r="D109" s="7" t="inlineStr">
        <is>
          <t>Builds the wall, not the house</t>
        </is>
      </c>
      <c r="E109" s="8" t="n">
        <v>2</v>
      </c>
      <c r="F109" s="6" t="inlineStr">
        <is>
          <t>Builds the wall</t>
        </is>
      </c>
      <c r="G109" s="6" t="inlineStr">
        <is>
          <t>Houston, working Harris, Fort Bend, Brazoria and Montgomery</t>
        </is>
      </c>
      <c r="H109" s="6" t="inlineStr">
        <is>
          <t>150-plus employees, founded 2007 by three brothers</t>
        </is>
      </c>
      <c r="I109" s="8" t="inlineStr">
        <is>
          <t>Yes</t>
        </is>
      </c>
      <c r="J109" s="9" t="inlineStr">
        <is>
          <t>Tilt-up and foundation work repeating across four counties from one Houston yard.</t>
        </is>
      </c>
      <c r="K109" s="8" t="inlineStr">
        <is>
          <t>Yes</t>
        </is>
      </c>
      <c r="L109" s="9" t="inlineStr">
        <is>
          <t>150 office and field staff on the firm's own count. That is the only published size in this section, and at that size one or two printers cover a real share of a year's wall.</t>
        </is>
      </c>
      <c r="M109" s="8" t="inlineStr">
        <is>
          <t>No</t>
        </is>
      </c>
      <c r="N109" s="9" t="inlineStr">
        <is>
          <t>No method statement on record. Its published work is conventional tilt-up and foundations.</t>
        </is>
      </c>
      <c r="O109" s="8" t="inlineStr">
        <is>
          <t>Partly</t>
        </is>
      </c>
      <c r="P109" s="10" t="inlineStr"/>
      <c r="Q109" s="6">
        <f>HYPERLINK("https://www.linkedin.com/search/results/people/?keywords=Jose%20Botello%20Botello%20Builders","search")</f>
        <v/>
      </c>
      <c r="R109" s="11">
        <f>IF(P109="","ADD LINKEDIN","ok")</f>
        <v/>
      </c>
      <c r="S109" s="6" t="inlineStr">
        <is>
          <t>https://www.botellobuilders.com/</t>
        </is>
      </c>
      <c r="T109" s="9" t="inlineStr">
        <is>
          <t>A 150-person self-performing concrete sub, still owned by the three brothers who started it. One or two printers would cover a real share of the wall it puts up.</t>
        </is>
      </c>
      <c r="U109" s="6" t="inlineStr">
        <is>
          <t>YES</t>
        </is>
      </c>
      <c r="V109" s="9" t="inlineStr"/>
      <c r="W109" s="6" t="inlineStr"/>
      <c r="X109" s="6" t="inlineStr"/>
      <c r="Y109" s="6" t="inlineStr"/>
      <c r="Z109" s="6" t="inlineStr"/>
    </row>
    <row r="110">
      <c r="A110" s="12" t="inlineStr">
        <is>
          <t>Mark Scully</t>
        </is>
      </c>
      <c r="B110" s="12" t="inlineStr">
        <is>
          <t>Encore Concrete Construction</t>
        </is>
      </c>
      <c r="C110" s="12" t="inlineStr">
        <is>
          <t>President</t>
        </is>
      </c>
      <c r="D110" s="13" t="inlineStr">
        <is>
          <t>Builds the wall, not the house</t>
        </is>
      </c>
      <c r="E110" s="14" t="n">
        <v>2</v>
      </c>
      <c r="F110" s="12" t="inlineStr">
        <is>
          <t>Builds the wall</t>
        </is>
      </c>
      <c r="G110" s="12" t="inlineStr">
        <is>
          <t>Spring, Harris and Montgomery</t>
        </is>
      </c>
      <c r="H110" s="12" t="inlineStr">
        <is>
          <t>Employee-owned, and lists elevated multifamily as a project type</t>
        </is>
      </c>
      <c r="I110" s="14" t="inlineStr">
        <is>
          <t>Yes</t>
        </is>
      </c>
      <c r="J110" s="15" t="inlineStr">
        <is>
          <t>Tilt-up warehouses, retail centres and schools repeating inside the Houston market.</t>
        </is>
      </c>
      <c r="K110" s="14" t="inlineStr">
        <is>
          <t>Yes</t>
        </is>
      </c>
      <c r="L110" s="15" t="inlineStr">
        <is>
          <t>No crew count or annual volume is published. The one published job runs to 32 panels across four floors. On the bands, a firm with no annual figure is a Partly.</t>
        </is>
      </c>
      <c r="M110" s="14" t="inlineStr">
        <is>
          <t>No</t>
        </is>
      </c>
      <c r="N110" s="15" t="inlineStr">
        <is>
          <t>No method statement on record. The 2025 tilt-up award is for execution, not for a new method.</t>
        </is>
      </c>
      <c r="O110" s="14" t="inlineStr">
        <is>
          <t>Partly</t>
        </is>
      </c>
      <c r="P110" s="6" t="inlineStr">
        <is>
          <t>https://www.linkedin.com/in/mark-scully-596648201/</t>
        </is>
      </c>
      <c r="Q110" s="12" t="inlineStr"/>
      <c r="R110" s="16">
        <f>IF(P110="","ADD LINKEDIN","ok")</f>
        <v/>
      </c>
      <c r="S110" s="12" t="inlineStr">
        <is>
          <t>https://www.encoreconcrete.com/</t>
        </is>
      </c>
      <c r="T110" s="15" t="inlineStr">
        <is>
          <t>Employee-owned, so the capital decision is made inside the company. Elevated multifamily is one of the seven project types it publishes.</t>
        </is>
      </c>
      <c r="U110" s="12" t="inlineStr">
        <is>
          <t>YES</t>
        </is>
      </c>
      <c r="V110" s="15" t="inlineStr">
        <is>
          <t>Headline reads President at Encore Concrete Construction. Spring, Texas.</t>
        </is>
      </c>
      <c r="W110" s="12" t="inlineStr"/>
      <c r="X110" s="12" t="inlineStr"/>
      <c r="Y110" s="12" t="inlineStr"/>
      <c r="Z110" s="12" t="inlineStr"/>
    </row>
    <row r="111">
      <c r="A111" s="6" t="inlineStr">
        <is>
          <t>Tim Manherz</t>
        </is>
      </c>
      <c r="B111" s="6" t="inlineStr">
        <is>
          <t>Encore Concrete Construction</t>
        </is>
      </c>
      <c r="C111" s="6" t="inlineStr">
        <is>
          <t>Vice President</t>
        </is>
      </c>
      <c r="D111" s="7" t="inlineStr">
        <is>
          <t>Builds the wall, not the house</t>
        </is>
      </c>
      <c r="E111" s="8" t="n">
        <v>2</v>
      </c>
      <c r="F111" s="6" t="inlineStr">
        <is>
          <t>Builds the wall</t>
        </is>
      </c>
      <c r="G111" s="6" t="inlineStr">
        <is>
          <t>Spring, Harris and Montgomery</t>
        </is>
      </c>
      <c r="H111" s="6" t="inlineStr">
        <is>
          <t>Employee-owned, and lists elevated multifamily as a project type</t>
        </is>
      </c>
      <c r="I111" s="8" t="inlineStr">
        <is>
          <t>Yes</t>
        </is>
      </c>
      <c r="J111" s="9" t="inlineStr">
        <is>
          <t>Tilt-up warehouses, retail centres and schools repeating inside the Houston market.</t>
        </is>
      </c>
      <c r="K111" s="8" t="inlineStr">
        <is>
          <t>Yes</t>
        </is>
      </c>
      <c r="L111" s="9" t="inlineStr">
        <is>
          <t>No crew count or annual volume is published. The one published job runs to 32 panels across four floors. On the bands, a firm with no annual figure is a Partly.</t>
        </is>
      </c>
      <c r="M111" s="8" t="inlineStr">
        <is>
          <t>No</t>
        </is>
      </c>
      <c r="N111" s="9" t="inlineStr">
        <is>
          <t>No method statement on record. The 2025 tilt-up award is for execution, not for a new method.</t>
        </is>
      </c>
      <c r="O111" s="8" t="inlineStr">
        <is>
          <t>Partly</t>
        </is>
      </c>
      <c r="P111" s="6" t="inlineStr">
        <is>
          <t>https://www.linkedin.com/in/tim-manherz-9a2b62148/</t>
        </is>
      </c>
      <c r="Q111" s="6" t="inlineStr"/>
      <c r="R111" s="11">
        <f>IF(P111="","ADD LINKEDIN","ok")</f>
        <v/>
      </c>
      <c r="S111" s="6" t="inlineStr">
        <is>
          <t>https://www.encoreconcrete.com/</t>
        </is>
      </c>
      <c r="T111" s="9" t="inlineStr">
        <is>
          <t>Employee-owned, so the capital decision is made inside the company. Elevated multifamily is one of the seven project types it publishes.</t>
        </is>
      </c>
      <c r="U111" s="6" t="inlineStr">
        <is>
          <t>YES</t>
        </is>
      </c>
      <c r="V111" s="9" t="inlineStr">
        <is>
          <t>Headline reads Vice President at Encore Concrete Construction. Greater Houston.</t>
        </is>
      </c>
      <c r="W111" s="6" t="inlineStr"/>
      <c r="X111" s="6" t="inlineStr"/>
      <c r="Y111" s="6" t="inlineStr"/>
      <c r="Z111" s="6" t="inlineStr"/>
    </row>
    <row r="112">
      <c r="A112" s="12" t="inlineStr">
        <is>
          <t>Scott Anderson</t>
        </is>
      </c>
      <c r="B112" s="12" t="inlineStr">
        <is>
          <t>Keystone Concrete Placement</t>
        </is>
      </c>
      <c r="C112" s="12" t="inlineStr">
        <is>
          <t>Vice President, Keystone Structural Concrete</t>
        </is>
      </c>
      <c r="D112" s="13" t="inlineStr">
        <is>
          <t>Builds the wall, not the house</t>
        </is>
      </c>
      <c r="E112" s="14" t="n">
        <v>3</v>
      </c>
      <c r="F112" s="12" t="inlineStr">
        <is>
          <t>Builds the wall</t>
        </is>
      </c>
      <c r="G112" s="12" t="inlineStr">
        <is>
          <t>Houston, with Austin, San Antonio and College Station</t>
        </is>
      </c>
      <c r="H112" s="12" t="inlineStr">
        <is>
          <t>1,500 craftsmen, 975,000 cubic yards a year</t>
        </is>
      </c>
      <c r="I112" s="14" t="inlineStr">
        <is>
          <t>Yes</t>
        </is>
      </c>
      <c r="J112" s="15" t="inlineStr">
        <is>
          <t>Three standing placement divisions in one metro, so the same work recurs rather than arriving one project at a time.</t>
        </is>
      </c>
      <c r="K112" s="14" t="inlineStr">
        <is>
          <t>Partly</t>
        </is>
      </c>
      <c r="L112" s="15" t="inlineStr">
        <is>
          <t>1,500 craftsmen and 975,000 cubic yards a year on the firm's own count. One or two printers would be a line inside the business rather than the business.</t>
        </is>
      </c>
      <c r="M112" s="14" t="inlineStr">
        <is>
          <t>Partly</t>
        </is>
      </c>
      <c r="N112" s="15" t="inlineStr">
        <is>
          <t>It owns a fleet of placing booms and multiple complete hydraulic self-jacking formwork systems on its own account. Buying capital equipment to change how concrete gets placed is the habit this count is looking for, though formwork is not a new method.</t>
        </is>
      </c>
      <c r="O112" s="14" t="inlineStr">
        <is>
          <t>Yes</t>
        </is>
      </c>
      <c r="P112" s="6" t="inlineStr">
        <is>
          <t>https://www.linkedin.com/in/scott-anderson-266878141/</t>
        </is>
      </c>
      <c r="Q112" s="12" t="inlineStr"/>
      <c r="R112" s="16">
        <f>IF(P112="","ADD LINKEDIN","ok")</f>
        <v/>
      </c>
      <c r="S112" s="12" t="inlineStr">
        <is>
          <t>https://www.keystoneconcrete.com/</t>
        </is>
      </c>
      <c r="T112" s="15" t="inlineStr">
        <is>
          <t>The only concrete contractor screened that publishes a standing residential division. It already buys its own formwork systems and placing booms.</t>
        </is>
      </c>
      <c r="U112" s="12" t="inlineStr">
        <is>
          <t>YES</t>
        </is>
      </c>
      <c r="V112" s="15" t="inlineStr">
        <is>
          <t>Headline reads Vice President at Keystone Structural Concrete. Houston, Texas.</t>
        </is>
      </c>
      <c r="W112" s="12" t="inlineStr"/>
      <c r="X112" s="12" t="inlineStr"/>
      <c r="Y112" s="12" t="inlineStr"/>
      <c r="Z112" s="12" t="inlineStr"/>
    </row>
    <row r="113">
      <c r="A113" s="6" t="inlineStr">
        <is>
          <t>Rodney Horn</t>
        </is>
      </c>
      <c r="B113" s="6" t="inlineStr">
        <is>
          <t>Keystone Concrete Placement</t>
        </is>
      </c>
      <c r="C113" s="6" t="inlineStr">
        <is>
          <t>Vice President, Keystone Concrete and Key-Scape</t>
        </is>
      </c>
      <c r="D113" s="7" t="inlineStr">
        <is>
          <t>Builds the wall, not the house</t>
        </is>
      </c>
      <c r="E113" s="8" t="n">
        <v>3</v>
      </c>
      <c r="F113" s="6" t="inlineStr">
        <is>
          <t>Builds the wall</t>
        </is>
      </c>
      <c r="G113" s="6" t="inlineStr">
        <is>
          <t>Houston, with Austin, San Antonio and College Station</t>
        </is>
      </c>
      <c r="H113" s="6" t="inlineStr">
        <is>
          <t>1,500 craftsmen, 975,000 cubic yards a year</t>
        </is>
      </c>
      <c r="I113" s="8" t="inlineStr">
        <is>
          <t>Yes</t>
        </is>
      </c>
      <c r="J113" s="9" t="inlineStr">
        <is>
          <t>Three standing placement divisions in one metro, so the same work recurs rather than arriving one project at a time.</t>
        </is>
      </c>
      <c r="K113" s="8" t="inlineStr">
        <is>
          <t>Partly</t>
        </is>
      </c>
      <c r="L113" s="9" t="inlineStr">
        <is>
          <t>1,500 craftsmen and 975,000 cubic yards a year on the firm's own count. One or two printers would be a line inside the business rather than the business.</t>
        </is>
      </c>
      <c r="M113" s="8" t="inlineStr">
        <is>
          <t>Partly</t>
        </is>
      </c>
      <c r="N113" s="9" t="inlineStr">
        <is>
          <t>It owns a fleet of placing booms and multiple complete hydraulic self-jacking formwork systems on its own account. Buying capital equipment to change how concrete gets placed is the habit this count is looking for, though formwork is not a new method.</t>
        </is>
      </c>
      <c r="O113" s="8" t="inlineStr">
        <is>
          <t>Yes</t>
        </is>
      </c>
      <c r="P113" s="6" t="inlineStr">
        <is>
          <t>https://www.linkedin.com/in/rodney-horn-963a8048/</t>
        </is>
      </c>
      <c r="Q113" s="6" t="inlineStr"/>
      <c r="R113" s="11">
        <f>IF(P113="","ADD LINKEDIN","ok")</f>
        <v/>
      </c>
      <c r="S113" s="6" t="inlineStr">
        <is>
          <t>https://www.keystoneconcrete.com/</t>
        </is>
      </c>
      <c r="T113" s="9" t="inlineStr">
        <is>
          <t>The only concrete contractor screened that publishes a standing residential division. It already buys its own formwork systems and placing booms.</t>
        </is>
      </c>
      <c r="U113" s="6" t="inlineStr">
        <is>
          <t>YES</t>
        </is>
      </c>
      <c r="V113" s="9" t="inlineStr">
        <is>
          <t>Headline reads Vice President at Keystone Concrete, LLC/Key-Scape Landscaping. Houston, Texas. Keyscape is the landscaping arm named on the firm's own site.</t>
        </is>
      </c>
      <c r="W113" s="6" t="inlineStr"/>
      <c r="X113" s="6" t="inlineStr"/>
      <c r="Y113" s="6" t="inlineStr"/>
      <c r="Z113" s="6" t="inlineStr"/>
    </row>
    <row r="114">
      <c r="A114" s="12" t="inlineStr">
        <is>
          <t>Phil Nevlud</t>
        </is>
      </c>
      <c r="B114" s="12" t="inlineStr">
        <is>
          <t>MAREK</t>
        </is>
      </c>
      <c r="C114" s="12" t="inlineStr">
        <is>
          <t>Division President</t>
        </is>
      </c>
      <c r="D114" s="13" t="inlineStr">
        <is>
          <t>Builds the wall, not the house</t>
        </is>
      </c>
      <c r="E114" s="14" t="n">
        <v>3</v>
      </c>
      <c r="F114" s="12" t="inlineStr">
        <is>
          <t>Builds the wall</t>
        </is>
      </c>
      <c r="G114" s="12" t="inlineStr">
        <is>
          <t>Houston, Harris, with Austin, Dallas and Fort Worth</t>
        </is>
      </c>
      <c r="H114" s="12" t="inlineStr">
        <is>
          <t>Runs its own prefabrication plant, founded 1938</t>
        </is>
      </c>
      <c r="I114" s="14" t="inlineStr">
        <is>
          <t>Yes</t>
        </is>
      </c>
      <c r="J114" s="15" t="inlineStr">
        <is>
          <t>Interior wall and ceiling packages repeating across multifamily and single family work in one metro.</t>
        </is>
      </c>
      <c r="K114" s="14" t="inlineStr">
        <is>
          <t>Partly</t>
        </is>
      </c>
      <c r="L114" s="15" t="inlineStr">
        <is>
          <t>No employee count or annual unit figure is published. On the bands, a firm with no published figure is a Partly.</t>
        </is>
      </c>
      <c r="M114" s="14" t="inlineStr">
        <is>
          <t>Partly</t>
        </is>
      </c>
      <c r="N114" s="15"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14" s="14" t="inlineStr">
        <is>
          <t>Yes</t>
        </is>
      </c>
      <c r="P114" s="6" t="inlineStr">
        <is>
          <t>https://www.linkedin.com/in/phil-nevlud-843a391a/</t>
        </is>
      </c>
      <c r="Q114" s="12" t="inlineStr"/>
      <c r="R114" s="16">
        <f>IF(P114="","ADD LINKEDIN","ok")</f>
        <v/>
      </c>
      <c r="S114" s="12" t="inlineStr">
        <is>
          <t>https://www.marekbros.com/houston/</t>
        </is>
      </c>
      <c r="T114" s="15" t="inlineStr">
        <is>
          <t>It already owns a prefabrication plant and runs separate multifamily and single family divisions, with a named leader on each. The walls it builds are interior, not structural.</t>
        </is>
      </c>
      <c r="U114" s="12" t="inlineStr">
        <is>
          <t>YES</t>
        </is>
      </c>
      <c r="V114" s="15" t="inlineStr">
        <is>
          <t>Headline reads Division President - Houston and does not name the firm. A search for his name with MAREK returns him and nobody else, and MAREK's own site names him Division President.</t>
        </is>
      </c>
      <c r="W114" s="12" t="inlineStr"/>
      <c r="X114" s="12" t="inlineStr"/>
      <c r="Y114" s="12" t="inlineStr"/>
      <c r="Z114" s="12" t="inlineStr"/>
    </row>
    <row r="115">
      <c r="A115" s="6" t="inlineStr">
        <is>
          <t>Ronald Marek</t>
        </is>
      </c>
      <c r="B115" s="6" t="inlineStr">
        <is>
          <t>MAREK</t>
        </is>
      </c>
      <c r="C115" s="6" t="inlineStr">
        <is>
          <t>Multifamily Director</t>
        </is>
      </c>
      <c r="D115" s="7" t="inlineStr">
        <is>
          <t>Builds the wall, not the house</t>
        </is>
      </c>
      <c r="E115" s="8" t="n">
        <v>3</v>
      </c>
      <c r="F115" s="6" t="inlineStr">
        <is>
          <t>Builds the wall</t>
        </is>
      </c>
      <c r="G115" s="6" t="inlineStr">
        <is>
          <t>Houston, Harris, with Austin, Dallas and Fort Worth</t>
        </is>
      </c>
      <c r="H115" s="6" t="inlineStr">
        <is>
          <t>Runs its own prefabrication plant, founded 1938</t>
        </is>
      </c>
      <c r="I115" s="8" t="inlineStr">
        <is>
          <t>Yes</t>
        </is>
      </c>
      <c r="J115" s="9" t="inlineStr">
        <is>
          <t>Interior wall and ceiling packages repeating across multifamily and single family work in one metro.</t>
        </is>
      </c>
      <c r="K115" s="8" t="inlineStr">
        <is>
          <t>Partly</t>
        </is>
      </c>
      <c r="L115" s="9" t="inlineStr">
        <is>
          <t>No employee count or annual unit figure is published. On the bands, a firm with no published figure is a Partly.</t>
        </is>
      </c>
      <c r="M115" s="8" t="inlineStr">
        <is>
          <t>Partly</t>
        </is>
      </c>
      <c r="N115" s="9"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15" s="8" t="inlineStr">
        <is>
          <t>Yes</t>
        </is>
      </c>
      <c r="P115" s="10" t="inlineStr"/>
      <c r="Q115" s="6">
        <f>HYPERLINK("https://www.linkedin.com/search/results/people/?keywords=Ronald%20Marek%20MAREK","search")</f>
        <v/>
      </c>
      <c r="R115" s="11">
        <f>IF(P115="","ADD LINKEDIN","ok")</f>
        <v/>
      </c>
      <c r="S115" s="6" t="inlineStr">
        <is>
          <t>https://www.marekbros.com/houston/</t>
        </is>
      </c>
      <c r="T115" s="9" t="inlineStr">
        <is>
          <t>It already owns a prefabrication plant and runs separate multifamily and single family divisions, with a named leader on each. The walls it builds are interior, not structural.</t>
        </is>
      </c>
      <c r="U115" s="6" t="inlineStr">
        <is>
          <t>YES</t>
        </is>
      </c>
      <c r="V115" s="9" t="inlineStr"/>
      <c r="W115" s="6" t="inlineStr"/>
      <c r="X115" s="6" t="inlineStr"/>
      <c r="Y115" s="6" t="inlineStr"/>
      <c r="Z115" s="6" t="inlineStr"/>
    </row>
    <row r="116">
      <c r="A116" s="12" t="inlineStr">
        <is>
          <t>Chris Trojanowsky</t>
        </is>
      </c>
      <c r="B116" s="12" t="inlineStr">
        <is>
          <t>MAREK</t>
        </is>
      </c>
      <c r="C116" s="12" t="inlineStr">
        <is>
          <t>Single Family Division Manager</t>
        </is>
      </c>
      <c r="D116" s="13" t="inlineStr">
        <is>
          <t>Builds the wall, not the house</t>
        </is>
      </c>
      <c r="E116" s="14" t="n">
        <v>3</v>
      </c>
      <c r="F116" s="12" t="inlineStr">
        <is>
          <t>Builds the wall</t>
        </is>
      </c>
      <c r="G116" s="12" t="inlineStr">
        <is>
          <t>Houston, Harris, with Austin, Dallas and Fort Worth</t>
        </is>
      </c>
      <c r="H116" s="12" t="inlineStr">
        <is>
          <t>Runs its own prefabrication plant, founded 1938</t>
        </is>
      </c>
      <c r="I116" s="14" t="inlineStr">
        <is>
          <t>Yes</t>
        </is>
      </c>
      <c r="J116" s="15" t="inlineStr">
        <is>
          <t>Interior wall and ceiling packages repeating across multifamily and single family work in one metro.</t>
        </is>
      </c>
      <c r="K116" s="14" t="inlineStr">
        <is>
          <t>Partly</t>
        </is>
      </c>
      <c r="L116" s="15" t="inlineStr">
        <is>
          <t>No employee count or annual unit figure is published. On the bands, a firm with no published figure is a Partly.</t>
        </is>
      </c>
      <c r="M116" s="14" t="inlineStr">
        <is>
          <t>Partly</t>
        </is>
      </c>
      <c r="N116" s="15"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16" s="14" t="inlineStr">
        <is>
          <t>Yes</t>
        </is>
      </c>
      <c r="P116" s="10" t="inlineStr"/>
      <c r="Q116" s="12">
        <f>HYPERLINK("https://www.linkedin.com/search/results/people/?keywords=Chris%20Trojanowsky%20MAREK","search")</f>
        <v/>
      </c>
      <c r="R116" s="16">
        <f>IF(P116="","ADD LINKEDIN","ok")</f>
        <v/>
      </c>
      <c r="S116" s="12" t="inlineStr">
        <is>
          <t>https://www.marekbros.com/houston/</t>
        </is>
      </c>
      <c r="T116" s="15" t="inlineStr">
        <is>
          <t>It already owns a prefabrication plant and runs separate multifamily and single family divisions, with a named leader on each. The walls it builds are interior, not structural.</t>
        </is>
      </c>
      <c r="U116" s="12" t="inlineStr">
        <is>
          <t>YES</t>
        </is>
      </c>
      <c r="V116" s="15" t="inlineStr"/>
      <c r="W116" s="12" t="inlineStr"/>
      <c r="X116" s="12" t="inlineStr"/>
      <c r="Y116" s="12" t="inlineStr"/>
      <c r="Z116" s="12" t="inlineStr"/>
    </row>
    <row r="117">
      <c r="A117" s="6" t="inlineStr">
        <is>
          <t>Jorge Rodriguez</t>
        </is>
      </c>
      <c r="B117" s="6" t="inlineStr">
        <is>
          <t>MAREK</t>
        </is>
      </c>
      <c r="C117" s="6" t="inlineStr">
        <is>
          <t>Managing Director, Field Operations</t>
        </is>
      </c>
      <c r="D117" s="7" t="inlineStr">
        <is>
          <t>Builds the wall, not the house</t>
        </is>
      </c>
      <c r="E117" s="8" t="n">
        <v>3</v>
      </c>
      <c r="F117" s="6" t="inlineStr">
        <is>
          <t>Builds the wall</t>
        </is>
      </c>
      <c r="G117" s="6" t="inlineStr">
        <is>
          <t>Houston, Harris, with Austin, Dallas and Fort Worth</t>
        </is>
      </c>
      <c r="H117" s="6" t="inlineStr">
        <is>
          <t>Runs its own prefabrication plant, founded 1938</t>
        </is>
      </c>
      <c r="I117" s="8" t="inlineStr">
        <is>
          <t>Yes</t>
        </is>
      </c>
      <c r="J117" s="9" t="inlineStr">
        <is>
          <t>Interior wall and ceiling packages repeating across multifamily and single family work in one metro.</t>
        </is>
      </c>
      <c r="K117" s="8" t="inlineStr">
        <is>
          <t>Partly</t>
        </is>
      </c>
      <c r="L117" s="9" t="inlineStr">
        <is>
          <t>No employee count or annual unit figure is published. On the bands, a firm with no published figure is a Partly.</t>
        </is>
      </c>
      <c r="M117" s="8" t="inlineStr">
        <is>
          <t>Partly</t>
        </is>
      </c>
      <c r="N117" s="9"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17" s="8" t="inlineStr">
        <is>
          <t>Yes</t>
        </is>
      </c>
      <c r="P117" s="10" t="inlineStr"/>
      <c r="Q117" s="6">
        <f>HYPERLINK("https://www.linkedin.com/search/results/people/?keywords=Jorge%20Rodriguez%20MAREK","search")</f>
        <v/>
      </c>
      <c r="R117" s="11">
        <f>IF(P117="","ADD LINKEDIN","ok")</f>
        <v/>
      </c>
      <c r="S117" s="6" t="inlineStr">
        <is>
          <t>https://www.marekbros.com/houston/</t>
        </is>
      </c>
      <c r="T117" s="9" t="inlineStr">
        <is>
          <t>It already owns a prefabrication plant and runs separate multifamily and single family divisions, with a named leader on each. The walls it builds are interior, not structural.</t>
        </is>
      </c>
      <c r="U117" s="6" t="inlineStr"/>
      <c r="V117" s="9" t="inlineStr"/>
      <c r="W117" s="6" t="inlineStr"/>
      <c r="X117" s="6" t="inlineStr"/>
      <c r="Y117" s="6" t="inlineStr"/>
      <c r="Z117" s="6" t="inlineStr"/>
    </row>
    <row r="118">
      <c r="A118" s="12" t="inlineStr">
        <is>
          <t>Trent Tellepsen</t>
        </is>
      </c>
      <c r="B118" s="12" t="inlineStr">
        <is>
          <t>Building Concrete Solutions</t>
        </is>
      </c>
      <c r="C118" s="12" t="inlineStr">
        <is>
          <t>President</t>
        </is>
      </c>
      <c r="D118" s="13" t="inlineStr">
        <is>
          <t>Builds the wall, not the house</t>
        </is>
      </c>
      <c r="E118" s="14" t="n">
        <v>3</v>
      </c>
      <c r="F118" s="12" t="inlineStr">
        <is>
          <t>Builds the wall</t>
        </is>
      </c>
      <c r="G118" s="12" t="inlineStr">
        <is>
          <t>Houston, Harris</t>
        </is>
      </c>
      <c r="H118" s="12" t="inlineStr">
        <is>
          <t>Runs Revit, Tekla, AutoCAD and Navisworks in house</t>
        </is>
      </c>
      <c r="I118" s="14" t="inlineStr">
        <is>
          <t>Partly</t>
        </is>
      </c>
      <c r="J118" s="15" t="inlineStr">
        <is>
          <t>Concrete packages recurring across Houston projects under both delivery models.</t>
        </is>
      </c>
      <c r="K118" s="14" t="inlineStr">
        <is>
          <t>Yes</t>
        </is>
      </c>
      <c r="L118" s="15" t="inlineStr">
        <is>
          <t>No crew count, revenue or project size is published. Nothing on the site sizes the work, so on the bands this is a Partly.</t>
        </is>
      </c>
      <c r="M118" s="14" t="inlineStr">
        <is>
          <t>Partly</t>
        </is>
      </c>
      <c r="N118" s="15" t="inlineStr">
        <is>
          <t>It bought and staffed a modelling stack, Revit, Tekla, AutoCAD and Navisworks, to plan its pours. A printed wall arrives as a model first, so the habit transfers, though modelling is not itself a building method.</t>
        </is>
      </c>
      <c r="O118" s="14" t="inlineStr">
        <is>
          <t>Partly</t>
        </is>
      </c>
      <c r="P118" s="6" t="inlineStr">
        <is>
          <t>https://www.linkedin.com/in/trent-tellepsen-b8608024/</t>
        </is>
      </c>
      <c r="Q118" s="12" t="inlineStr"/>
      <c r="R118" s="16">
        <f>IF(P118="","ADD LINKEDIN","ok")</f>
        <v/>
      </c>
      <c r="S118" s="12" t="inlineStr">
        <is>
          <t>https://www.bcshouston.com/</t>
        </is>
      </c>
      <c r="T118" s="15" t="inlineStr">
        <is>
          <t>A concrete subcontractor that models its own work in three dimensions before pouring it. A printed wall arrives as a model too.</t>
        </is>
      </c>
      <c r="U118" s="12" t="inlineStr">
        <is>
          <t>YES</t>
        </is>
      </c>
      <c r="V118" s="15" t="inlineStr">
        <is>
          <t>Headline reads President at Building Concrete Solutions. Houston, Texas.</t>
        </is>
      </c>
      <c r="W118" s="12" t="inlineStr"/>
      <c r="X118" s="12" t="inlineStr"/>
      <c r="Y118" s="12" t="inlineStr"/>
      <c r="Z118" s="12" t="inlineStr"/>
    </row>
    <row r="119">
      <c r="A119" s="6" t="inlineStr">
        <is>
          <t>Daniel Lara</t>
        </is>
      </c>
      <c r="B119" s="6" t="inlineStr">
        <is>
          <t>Building Concrete Solutions</t>
        </is>
      </c>
      <c r="C119" s="6" t="inlineStr">
        <is>
          <t>Vice President</t>
        </is>
      </c>
      <c r="D119" s="7" t="inlineStr">
        <is>
          <t>Builds the wall, not the house</t>
        </is>
      </c>
      <c r="E119" s="8" t="n">
        <v>3</v>
      </c>
      <c r="F119" s="6" t="inlineStr">
        <is>
          <t>Builds the wall</t>
        </is>
      </c>
      <c r="G119" s="6" t="inlineStr">
        <is>
          <t>Houston, Harris</t>
        </is>
      </c>
      <c r="H119" s="6" t="inlineStr">
        <is>
          <t>Runs Revit, Tekla, AutoCAD and Navisworks in house</t>
        </is>
      </c>
      <c r="I119" s="8" t="inlineStr">
        <is>
          <t>Partly</t>
        </is>
      </c>
      <c r="J119" s="9" t="inlineStr">
        <is>
          <t>Concrete packages recurring across Houston projects under both delivery models.</t>
        </is>
      </c>
      <c r="K119" s="8" t="inlineStr">
        <is>
          <t>Yes</t>
        </is>
      </c>
      <c r="L119" s="9" t="inlineStr">
        <is>
          <t>No crew count, revenue or project size is published. Nothing on the site sizes the work, so on the bands this is a Partly.</t>
        </is>
      </c>
      <c r="M119" s="8" t="inlineStr">
        <is>
          <t>Partly</t>
        </is>
      </c>
      <c r="N119" s="9" t="inlineStr">
        <is>
          <t>It bought and staffed a modelling stack, Revit, Tekla, AutoCAD and Navisworks, to plan its pours. A printed wall arrives as a model first, so the habit transfers, though modelling is not itself a building method.</t>
        </is>
      </c>
      <c r="O119" s="8" t="inlineStr">
        <is>
          <t>Partly</t>
        </is>
      </c>
      <c r="P119" s="6" t="inlineStr">
        <is>
          <t>https://www.linkedin.com/in/daniel-lara-24329570/</t>
        </is>
      </c>
      <c r="Q119" s="6" t="inlineStr"/>
      <c r="R119" s="11">
        <f>IF(P119="","ADD LINKEDIN","ok")</f>
        <v/>
      </c>
      <c r="S119" s="6" t="inlineStr">
        <is>
          <t>https://www.bcshouston.com/</t>
        </is>
      </c>
      <c r="T119" s="9" t="inlineStr">
        <is>
          <t>A concrete subcontractor that models its own work in three dimensions before pouring it. A printed wall arrives as a model too.</t>
        </is>
      </c>
      <c r="U119" s="6" t="inlineStr">
        <is>
          <t>YES</t>
        </is>
      </c>
      <c r="V119" s="9" t="inlineStr">
        <is>
          <t>Headline reads Vice President at Building Concrete Solutions. Houston, Texas.</t>
        </is>
      </c>
      <c r="W119" s="6" t="inlineStr"/>
      <c r="X119" s="6" t="inlineStr"/>
      <c r="Y119" s="6" t="inlineStr"/>
      <c r="Z119" s="6" t="inlineStr"/>
    </row>
    <row r="120">
      <c r="A120" s="12" t="inlineStr">
        <is>
          <t>Jorge Hernandez</t>
        </is>
      </c>
      <c r="B120" s="12" t="inlineStr">
        <is>
          <t>Building Concrete Solutions</t>
        </is>
      </c>
      <c r="C120" s="12" t="inlineStr">
        <is>
          <t>Manager of Operations</t>
        </is>
      </c>
      <c r="D120" s="13" t="inlineStr">
        <is>
          <t>Builds the wall, not the house</t>
        </is>
      </c>
      <c r="E120" s="14" t="n">
        <v>3</v>
      </c>
      <c r="F120" s="12" t="inlineStr">
        <is>
          <t>Builds the wall</t>
        </is>
      </c>
      <c r="G120" s="12" t="inlineStr">
        <is>
          <t>Houston, Harris</t>
        </is>
      </c>
      <c r="H120" s="12" t="inlineStr">
        <is>
          <t>Runs Revit, Tekla, AutoCAD and Navisworks in house</t>
        </is>
      </c>
      <c r="I120" s="14" t="inlineStr">
        <is>
          <t>Partly</t>
        </is>
      </c>
      <c r="J120" s="15" t="inlineStr">
        <is>
          <t>Concrete packages recurring across Houston projects under both delivery models.</t>
        </is>
      </c>
      <c r="K120" s="14" t="inlineStr">
        <is>
          <t>Yes</t>
        </is>
      </c>
      <c r="L120" s="15" t="inlineStr">
        <is>
          <t>No crew count, revenue or project size is published. Nothing on the site sizes the work, so on the bands this is a Partly.</t>
        </is>
      </c>
      <c r="M120" s="14" t="inlineStr">
        <is>
          <t>Partly</t>
        </is>
      </c>
      <c r="N120" s="15" t="inlineStr">
        <is>
          <t>It bought and staffed a modelling stack, Revit, Tekla, AutoCAD and Navisworks, to plan its pours. A printed wall arrives as a model first, so the habit transfers, though modelling is not itself a building method.</t>
        </is>
      </c>
      <c r="O120" s="14" t="inlineStr">
        <is>
          <t>Partly</t>
        </is>
      </c>
      <c r="P120" s="6" t="inlineStr">
        <is>
          <t>https://www.linkedin.com/in/jorge-hern%C3%A1ndez-614616204/</t>
        </is>
      </c>
      <c r="Q120" s="12" t="inlineStr"/>
      <c r="R120" s="16">
        <f>IF(P120="","ADD LINKEDIN","ok")</f>
        <v/>
      </c>
      <c r="S120" s="12" t="inlineStr">
        <is>
          <t>https://www.bcshouston.com/</t>
        </is>
      </c>
      <c r="T120" s="15" t="inlineStr">
        <is>
          <t>A concrete subcontractor that models its own work in three dimensions before pouring it. A printed wall arrives as a model too.</t>
        </is>
      </c>
      <c r="U120" s="12" t="inlineStr"/>
      <c r="V120" s="15" t="inlineStr">
        <is>
          <t>Headline reads Manager of Operations at Building Concrete Solutions. Houston, Texas.</t>
        </is>
      </c>
      <c r="W120" s="12" t="inlineStr"/>
      <c r="X120" s="12" t="inlineStr"/>
      <c r="Y120" s="12" t="inlineStr"/>
      <c r="Z120" s="12" t="inlineStr"/>
    </row>
    <row r="121">
      <c r="A121" s="6" t="inlineStr">
        <is>
          <t>Hugo Domloj</t>
        </is>
      </c>
      <c r="B121" s="6" t="inlineStr">
        <is>
          <t>CIVE</t>
        </is>
      </c>
      <c r="C121" s="6" t="inlineStr">
        <is>
          <t>Founder and Chief Executive Officer</t>
        </is>
      </c>
      <c r="D121" s="7" t="inlineStr">
        <is>
          <t>Builds the wall, not the house</t>
        </is>
      </c>
      <c r="E121" s="8" t="n">
        <v>3</v>
      </c>
      <c r="F121" s="6" t="inlineStr">
        <is>
          <t>Buys walls</t>
        </is>
      </c>
      <c r="G121" s="6" t="inlineStr">
        <is>
          <t>Houston, Harris</t>
        </is>
      </c>
      <c r="H121" s="6" t="inlineStr">
        <is>
          <t>Engineer and design-build partner on the printed house in Spring Branch</t>
        </is>
      </c>
      <c r="I121" s="8" t="inlineStr">
        <is>
          <t>Partly</t>
        </is>
      </c>
      <c r="J121" s="9" t="inlineStr">
        <is>
          <t>Design-build projects, each one different.</t>
        </is>
      </c>
      <c r="K121" s="8" t="inlineStr">
        <is>
          <t>Partly</t>
        </is>
      </c>
      <c r="L121" s="9" t="inlineStr">
        <is>
          <t>No headcount, revenue or annual project figure is published. On the bands, a firm with no published figure is a Partly.</t>
        </is>
      </c>
      <c r="M121" s="8" t="inlineStr">
        <is>
          <t>Yes</t>
        </is>
      </c>
      <c r="N121" s="9" t="inlineStr">
        <is>
          <t>It engineered and delivered a printed house in Houston in collaboration with a printing contractor, and publishes the project on its own site.</t>
        </is>
      </c>
      <c r="O121" s="8" t="inlineStr">
        <is>
          <t>Partly</t>
        </is>
      </c>
      <c r="P121" s="6" t="inlineStr">
        <is>
          <t>https://www.linkedin.com/in/hachem-domloj/</t>
        </is>
      </c>
      <c r="Q121" s="6" t="inlineStr"/>
      <c r="R121" s="11">
        <f>IF(P121="","ADD LINKEDIN","ok")</f>
        <v/>
      </c>
      <c r="S121" s="6" t="inlineStr">
        <is>
          <t>https://cive.com/</t>
        </is>
      </c>
      <c r="T121" s="9" t="inlineStr">
        <is>
          <t>A Houston design-build firm that has already engineered and delivered a printed building. The technical staff to run a machine is already inside it.</t>
        </is>
      </c>
      <c r="U121" s="6" t="inlineStr">
        <is>
          <t>YES</t>
        </is>
      </c>
      <c r="V121" s="9" t="inlineStr">
        <is>
          <t>Headline reads Founder &amp; CEO at CIVE, Inc. Houston, Texas.</t>
        </is>
      </c>
      <c r="W121" s="6" t="inlineStr"/>
      <c r="X121" s="6" t="inlineStr"/>
      <c r="Y121" s="6" t="inlineStr"/>
      <c r="Z121" s="6" t="inlineStr">
        <is>
          <t>2025-03 Construction In Focus. CIVE, Construction and Design at their Finest  https://constructioninfocus.com/2025/03/cive-construction-and-design-at-their-finest/</t>
        </is>
      </c>
    </row>
    <row r="122">
      <c r="A122" s="12" t="inlineStr">
        <is>
          <t>Hikmat Zerbe</t>
        </is>
      </c>
      <c r="B122" s="12" t="inlineStr">
        <is>
          <t>CIVE</t>
        </is>
      </c>
      <c r="C122" s="12" t="inlineStr">
        <is>
          <t>Head of Structural Engineering</t>
        </is>
      </c>
      <c r="D122" s="13" t="inlineStr">
        <is>
          <t>Builds the wall, not the house</t>
        </is>
      </c>
      <c r="E122" s="14" t="n">
        <v>3</v>
      </c>
      <c r="F122" s="12" t="inlineStr">
        <is>
          <t>Buys walls</t>
        </is>
      </c>
      <c r="G122" s="12" t="inlineStr">
        <is>
          <t>Houston, Harris</t>
        </is>
      </c>
      <c r="H122" s="12" t="inlineStr">
        <is>
          <t>Engineer and design-build partner on the printed house in Spring Branch</t>
        </is>
      </c>
      <c r="I122" s="14" t="inlineStr">
        <is>
          <t>Partly</t>
        </is>
      </c>
      <c r="J122" s="15" t="inlineStr">
        <is>
          <t>Design-build projects, each one different.</t>
        </is>
      </c>
      <c r="K122" s="14" t="inlineStr">
        <is>
          <t>Partly</t>
        </is>
      </c>
      <c r="L122" s="15" t="inlineStr">
        <is>
          <t>No headcount, revenue or annual project figure is published. On the bands, a firm with no published figure is a Partly.</t>
        </is>
      </c>
      <c r="M122" s="14" t="inlineStr">
        <is>
          <t>Yes</t>
        </is>
      </c>
      <c r="N122" s="15" t="inlineStr">
        <is>
          <t>It engineered and delivered a printed house in Houston in collaboration with a printing contractor, and publishes the project on its own site.</t>
        </is>
      </c>
      <c r="O122" s="14" t="inlineStr">
        <is>
          <t>Partly</t>
        </is>
      </c>
      <c r="P122" s="6" t="inlineStr">
        <is>
          <t>https://www.linkedin.com/in/hikmat-zerbe-b3139669/</t>
        </is>
      </c>
      <c r="Q122" s="12" t="inlineStr"/>
      <c r="R122" s="16">
        <f>IF(P122="","ADD LINKEDIN","ok")</f>
        <v/>
      </c>
      <c r="S122" s="12" t="inlineStr">
        <is>
          <t>https://cive.com/</t>
        </is>
      </c>
      <c r="T122" s="15" t="inlineStr">
        <is>
          <t>A Houston design-build firm that has already engineered and delivered a printed building. The technical staff to run a machine is already inside it.</t>
        </is>
      </c>
      <c r="U122" s="12" t="inlineStr">
        <is>
          <t>YES</t>
        </is>
      </c>
      <c r="V122" s="15" t="inlineStr">
        <is>
          <t>Headline reads Head of Structural Engineering at CIVE. Houston, Texas. He is the person broadcast coverage quoted on the printed house in Spring Branch.</t>
        </is>
      </c>
      <c r="W122" s="12" t="inlineStr"/>
      <c r="X122" s="12" t="inlineStr"/>
      <c r="Y122" s="12" t="inlineStr"/>
      <c r="Z122" s="12" t="inlineStr">
        <is>
          <t>2025-03 Construction In Focus. CIVE, Construction and Design at their Finest  https://constructioninfocus.com/2025/03/cive-construction-and-design-at-their-finest/</t>
        </is>
      </c>
    </row>
    <row r="123">
      <c r="A123" s="6" t="inlineStr">
        <is>
          <t>Clemente Barrera</t>
        </is>
      </c>
      <c r="B123" s="6" t="inlineStr">
        <is>
          <t>CIVE</t>
        </is>
      </c>
      <c r="C123" s="6" t="inlineStr">
        <is>
          <t>Vice President of Construction</t>
        </is>
      </c>
      <c r="D123" s="7" t="inlineStr">
        <is>
          <t>Builds the wall, not the house</t>
        </is>
      </c>
      <c r="E123" s="8" t="n">
        <v>3</v>
      </c>
      <c r="F123" s="6" t="inlineStr">
        <is>
          <t>Buys walls</t>
        </is>
      </c>
      <c r="G123" s="6" t="inlineStr">
        <is>
          <t>Houston, Harris</t>
        </is>
      </c>
      <c r="H123" s="6" t="inlineStr">
        <is>
          <t>Engineer and design-build partner on the printed house in Spring Branch</t>
        </is>
      </c>
      <c r="I123" s="8" t="inlineStr">
        <is>
          <t>Partly</t>
        </is>
      </c>
      <c r="J123" s="9" t="inlineStr">
        <is>
          <t>Design-build projects, each one different.</t>
        </is>
      </c>
      <c r="K123" s="8" t="inlineStr">
        <is>
          <t>Partly</t>
        </is>
      </c>
      <c r="L123" s="9" t="inlineStr">
        <is>
          <t>No headcount, revenue or annual project figure is published. On the bands, a firm with no published figure is a Partly.</t>
        </is>
      </c>
      <c r="M123" s="8" t="inlineStr">
        <is>
          <t>Yes</t>
        </is>
      </c>
      <c r="N123" s="9" t="inlineStr">
        <is>
          <t>It engineered and delivered a printed house in Houston in collaboration with a printing contractor, and publishes the project on its own site.</t>
        </is>
      </c>
      <c r="O123" s="8" t="inlineStr">
        <is>
          <t>Partly</t>
        </is>
      </c>
      <c r="P123" s="10" t="inlineStr"/>
      <c r="Q123" s="6">
        <f>HYPERLINK("https://www.linkedin.com/search/results/people/?keywords=Clemente%20Barrera%20CIVE","search")</f>
        <v/>
      </c>
      <c r="R123" s="11">
        <f>IF(P123="","ADD LINKEDIN","ok")</f>
        <v/>
      </c>
      <c r="S123" s="6" t="inlineStr">
        <is>
          <t>https://cive.com/</t>
        </is>
      </c>
      <c r="T123" s="9" t="inlineStr">
        <is>
          <t>A Houston design-build firm that has already engineered and delivered a printed building. The technical staff to run a machine is already inside it.</t>
        </is>
      </c>
      <c r="U123" s="6" t="inlineStr"/>
      <c r="V123" s="9" t="inlineStr">
        <is>
          <t>Headline reads Vice President of Construction at CIVE. Houston, Texas. No profile URL was captured in the pass.</t>
        </is>
      </c>
      <c r="W123" s="6" t="inlineStr"/>
      <c r="X123" s="6" t="inlineStr"/>
      <c r="Y123" s="6" t="inlineStr"/>
      <c r="Z123" s="6" t="inlineStr">
        <is>
          <t>2025-03 Construction In Focus. CIVE, Construction and Design at their Finest  https://constructioninfocus.com/2025/03/cive-construction-and-design-at-their-finest/</t>
        </is>
      </c>
    </row>
    <row r="124">
      <c r="A124" s="12" t="inlineStr">
        <is>
          <t>Todd Riedel</t>
        </is>
      </c>
      <c r="B124" s="12" t="inlineStr">
        <is>
          <t>M.L. Deer Construction</t>
        </is>
      </c>
      <c r="C124" s="12" t="inlineStr">
        <is>
          <t>Chief Operating Officer</t>
        </is>
      </c>
      <c r="D124" s="13" t="inlineStr">
        <is>
          <t>Builds the wall, not the house</t>
        </is>
      </c>
      <c r="E124" s="14" t="n">
        <v>3</v>
      </c>
      <c r="F124" s="12" t="inlineStr">
        <is>
          <t>Builds the wall</t>
        </is>
      </c>
      <c r="G124" s="12" t="inlineStr">
        <is>
          <t>Houston, Harris, and the Texas Gulf Coast</t>
        </is>
      </c>
      <c r="H124" s="12" t="inlineStr">
        <is>
          <t>Carries insulated concrete form buildings as a standard offering</t>
        </is>
      </c>
      <c r="I124" s="14" t="inlineStr">
        <is>
          <t>Partly</t>
        </is>
      </c>
      <c r="J124" s="15" t="inlineStr">
        <is>
          <t>Commercial buildings across the Gulf Coast. The structures differ project to project.</t>
        </is>
      </c>
      <c r="K124" s="14" t="inlineStr">
        <is>
          <t>Yes</t>
        </is>
      </c>
      <c r="L124" s="15" t="inlineStr">
        <is>
          <t>No revenue, crew count or project count is published. On the bands, a firm with no published figure is a Partly.</t>
        </is>
      </c>
      <c r="M124" s="14" t="inlineStr">
        <is>
          <t>Partly</t>
        </is>
      </c>
      <c r="N124" s="15" t="inlineStr">
        <is>
          <t>It carries insulated concrete form construction in its standard menu alongside tilt-wall and masonry, so it has sold and built a concrete wall system rather than only a wood one. No named project is published to date it.</t>
        </is>
      </c>
      <c r="O124" s="14" t="inlineStr">
        <is>
          <t>Partly</t>
        </is>
      </c>
      <c r="P124" s="6" t="inlineStr">
        <is>
          <t>https://www.linkedin.com/in/todd-riedel-2b37185/</t>
        </is>
      </c>
      <c r="Q124" s="12" t="inlineStr"/>
      <c r="R124" s="16">
        <f>IF(P124="","ADD LINKEDIN","ok")</f>
        <v/>
      </c>
      <c r="S124" s="12" t="inlineStr">
        <is>
          <t>https://www.mldeer.com/</t>
        </is>
      </c>
      <c r="T124" s="15" t="inlineStr">
        <is>
          <t>It already sells a concrete wall system to commercial clients, and it installs gantry cranes. A printer is a gantry that places concrete.</t>
        </is>
      </c>
      <c r="U124" s="12" t="inlineStr">
        <is>
          <t>YES</t>
        </is>
      </c>
      <c r="V124" s="15" t="inlineStr">
        <is>
          <t>Headline reads COO at ML Deer Construction. Houston, Texas.</t>
        </is>
      </c>
      <c r="W124" s="12" t="inlineStr"/>
      <c r="X124" s="12" t="inlineStr"/>
      <c r="Y124" s="12" t="inlineStr"/>
      <c r="Z124" s="12" t="inlineStr"/>
    </row>
    <row r="125">
      <c r="A125" s="6" t="inlineStr">
        <is>
          <t>Jeff Raymer</t>
        </is>
      </c>
      <c r="B125" s="6" t="inlineStr">
        <is>
          <t>M.L. Deer Construction</t>
        </is>
      </c>
      <c r="C125" s="6" t="inlineStr">
        <is>
          <t>Executive Vice President</t>
        </is>
      </c>
      <c r="D125" s="7" t="inlineStr">
        <is>
          <t>Builds the wall, not the house</t>
        </is>
      </c>
      <c r="E125" s="8" t="n">
        <v>3</v>
      </c>
      <c r="F125" s="6" t="inlineStr">
        <is>
          <t>Builds the wall</t>
        </is>
      </c>
      <c r="G125" s="6" t="inlineStr">
        <is>
          <t>Houston, Harris, and the Texas Gulf Coast</t>
        </is>
      </c>
      <c r="H125" s="6" t="inlineStr">
        <is>
          <t>Carries insulated concrete form buildings as a standard offering</t>
        </is>
      </c>
      <c r="I125" s="8" t="inlineStr">
        <is>
          <t>Partly</t>
        </is>
      </c>
      <c r="J125" s="9" t="inlineStr">
        <is>
          <t>Commercial buildings across the Gulf Coast. The structures differ project to project.</t>
        </is>
      </c>
      <c r="K125" s="8" t="inlineStr">
        <is>
          <t>Yes</t>
        </is>
      </c>
      <c r="L125" s="9" t="inlineStr">
        <is>
          <t>No revenue, crew count or project count is published. On the bands, a firm with no published figure is a Partly.</t>
        </is>
      </c>
      <c r="M125" s="8" t="inlineStr">
        <is>
          <t>Partly</t>
        </is>
      </c>
      <c r="N125" s="9" t="inlineStr">
        <is>
          <t>It carries insulated concrete form construction in its standard menu alongside tilt-wall and masonry, so it has sold and built a concrete wall system rather than only a wood one. No named project is published to date it.</t>
        </is>
      </c>
      <c r="O125" s="8" t="inlineStr">
        <is>
          <t>Partly</t>
        </is>
      </c>
      <c r="P125" s="6" t="inlineStr">
        <is>
          <t>https://www.linkedin.com/in/jeff-raymer-b29060a/</t>
        </is>
      </c>
      <c r="Q125" s="6" t="inlineStr"/>
      <c r="R125" s="11">
        <f>IF(P125="","ADD LINKEDIN","ok")</f>
        <v/>
      </c>
      <c r="S125" s="6" t="inlineStr">
        <is>
          <t>https://www.mldeer.com/</t>
        </is>
      </c>
      <c r="T125" s="9" t="inlineStr">
        <is>
          <t>It already sells a concrete wall system to commercial clients, and it installs gantry cranes. A printer is a gantry that places concrete.</t>
        </is>
      </c>
      <c r="U125" s="6" t="inlineStr">
        <is>
          <t>YES</t>
        </is>
      </c>
      <c r="V125" s="9" t="inlineStr">
        <is>
          <t>Headline reads Executive Vice President at ML Deer Construction. Houston, Texas.</t>
        </is>
      </c>
      <c r="W125" s="6" t="inlineStr"/>
      <c r="X125" s="6" t="inlineStr"/>
      <c r="Y125" s="6" t="inlineStr"/>
      <c r="Z125" s="6" t="inlineStr"/>
    </row>
    <row r="126">
      <c r="A126" s="12" t="inlineStr">
        <is>
          <t>Ryan Taylor</t>
        </is>
      </c>
      <c r="B126" s="12" t="inlineStr">
        <is>
          <t>T&amp;T Construction</t>
        </is>
      </c>
      <c r="C126" s="12" t="inlineStr">
        <is>
          <t>Third generation, took leadership in 2001, named on the firm's own about page</t>
        </is>
      </c>
      <c r="D126" s="13" t="inlineStr">
        <is>
          <t>Builds the wall, not the house</t>
        </is>
      </c>
      <c r="E126" s="14" t="n">
        <v>3</v>
      </c>
      <c r="F126" s="12" t="inlineStr">
        <is>
          <t>Builds the wall</t>
        </is>
      </c>
      <c r="G126" s="12" t="inlineStr">
        <is>
          <t>Pasadena, Harris</t>
        </is>
      </c>
      <c r="H126" s="12" t="inlineStr">
        <is>
          <t>65 employees, 1,000-plus Houston projects since 1969</t>
        </is>
      </c>
      <c r="I126" s="14" t="inlineStr">
        <is>
          <t>Partly</t>
        </is>
      </c>
      <c r="J126" s="15" t="inlineStr">
        <is>
          <t>Industrial and commercial concrete recurring across the east side of the metro.</t>
        </is>
      </c>
      <c r="K126" s="14" t="inlineStr">
        <is>
          <t>Yes</t>
        </is>
      </c>
      <c r="L126" s="15" t="inlineStr">
        <is>
          <t>65 employees on average and more than 1,000 Greater Houston projects since 1969, on the firm's own count. No annual wall figure is published, so this sits at a Partly.</t>
        </is>
      </c>
      <c r="M126" s="14" t="inlineStr">
        <is>
          <t>Partly</t>
        </is>
      </c>
      <c r="N126" s="15" t="inlineStr">
        <is>
          <t>It bought volumetric mixers and stood up its own delivery arm rather than buying ready-mix from a plant. That is paying for a different way to get concrete to a site, though it is not a wall method.</t>
        </is>
      </c>
      <c r="O126" s="14" t="inlineStr">
        <is>
          <t>Partly</t>
        </is>
      </c>
      <c r="P126" s="10" t="inlineStr"/>
      <c r="Q126" s="12">
        <f>HYPERLINK("https://www.linkedin.com/search/results/people/?keywords=Ryan%20Taylor%20T%26T%20Construction","search")</f>
        <v/>
      </c>
      <c r="R126" s="16">
        <f>IF(P126="","ADD LINKEDIN","ok")</f>
        <v/>
      </c>
      <c r="S126" s="12" t="inlineStr">
        <is>
          <t>https://tandtconstruction.com/</t>
        </is>
      </c>
      <c r="T126" s="15" t="inlineStr">
        <is>
          <t>It owns the mix as well as the placing. A printer is fed concrete continuously, and this firm delivers its own.</t>
        </is>
      </c>
      <c r="U126" s="12" t="inlineStr"/>
      <c r="V126" s="15" t="inlineStr"/>
      <c r="W126" s="12" t="inlineStr"/>
      <c r="X126" s="12" t="inlineStr"/>
      <c r="Y126" s="12" t="inlineStr"/>
      <c r="Z126" s="12" t="inlineStr"/>
    </row>
    <row r="127">
      <c r="A127" s="6" t="inlineStr">
        <is>
          <t>Jeff Taylor</t>
        </is>
      </c>
      <c r="B127" s="6" t="inlineStr">
        <is>
          <t>T&amp;T Construction</t>
        </is>
      </c>
      <c r="C127" s="6" t="inlineStr">
        <is>
          <t>Second-generation co-owner, named on the firm's own about page</t>
        </is>
      </c>
      <c r="D127" s="7" t="inlineStr">
        <is>
          <t>Builds the wall, not the house</t>
        </is>
      </c>
      <c r="E127" s="8" t="n">
        <v>3</v>
      </c>
      <c r="F127" s="6" t="inlineStr">
        <is>
          <t>Builds the wall</t>
        </is>
      </c>
      <c r="G127" s="6" t="inlineStr">
        <is>
          <t>Pasadena, Harris</t>
        </is>
      </c>
      <c r="H127" s="6" t="inlineStr">
        <is>
          <t>65 employees, 1,000-plus Houston projects since 1969</t>
        </is>
      </c>
      <c r="I127" s="8" t="inlineStr">
        <is>
          <t>Partly</t>
        </is>
      </c>
      <c r="J127" s="9" t="inlineStr">
        <is>
          <t>Industrial and commercial concrete recurring across the east side of the metro.</t>
        </is>
      </c>
      <c r="K127" s="8" t="inlineStr">
        <is>
          <t>Yes</t>
        </is>
      </c>
      <c r="L127" s="9" t="inlineStr">
        <is>
          <t>65 employees on average and more than 1,000 Greater Houston projects since 1969, on the firm's own count. No annual wall figure is published, so this sits at a Partly.</t>
        </is>
      </c>
      <c r="M127" s="8" t="inlineStr">
        <is>
          <t>Partly</t>
        </is>
      </c>
      <c r="N127" s="9" t="inlineStr">
        <is>
          <t>It bought volumetric mixers and stood up its own delivery arm rather than buying ready-mix from a plant. That is paying for a different way to get concrete to a site, though it is not a wall method.</t>
        </is>
      </c>
      <c r="O127" s="8" t="inlineStr">
        <is>
          <t>Partly</t>
        </is>
      </c>
      <c r="P127" s="10" t="inlineStr"/>
      <c r="Q127" s="6">
        <f>HYPERLINK("https://www.linkedin.com/search/results/people/?keywords=Jeff%20Taylor%20T%26T%20Construction","search")</f>
        <v/>
      </c>
      <c r="R127" s="11">
        <f>IF(P127="","ADD LINKEDIN","ok")</f>
        <v/>
      </c>
      <c r="S127" s="6" t="inlineStr">
        <is>
          <t>https://tandtconstruction.com/</t>
        </is>
      </c>
      <c r="T127" s="9" t="inlineStr">
        <is>
          <t>It owns the mix as well as the placing. A printer is fed concrete continuously, and this firm delivers its own.</t>
        </is>
      </c>
      <c r="U127" s="6" t="inlineStr"/>
      <c r="V127" s="9" t="inlineStr"/>
      <c r="W127" s="6" t="inlineStr"/>
      <c r="X127" s="6" t="inlineStr"/>
      <c r="Y127" s="6" t="inlineStr"/>
      <c r="Z127" s="6" t="inlineStr"/>
    </row>
    <row r="128">
      <c r="A128" s="12" t="inlineStr">
        <is>
          <t>Dianna Taylor</t>
        </is>
      </c>
      <c r="B128" s="12" t="inlineStr">
        <is>
          <t>T&amp;T Construction</t>
        </is>
      </c>
      <c r="C128" s="12" t="inlineStr">
        <is>
          <t>Second-generation co-owner, named on the firm's own about page</t>
        </is>
      </c>
      <c r="D128" s="13" t="inlineStr">
        <is>
          <t>Builds the wall, not the house</t>
        </is>
      </c>
      <c r="E128" s="14" t="n">
        <v>3</v>
      </c>
      <c r="F128" s="12" t="inlineStr">
        <is>
          <t>Builds the wall</t>
        </is>
      </c>
      <c r="G128" s="12" t="inlineStr">
        <is>
          <t>Pasadena, Harris</t>
        </is>
      </c>
      <c r="H128" s="12" t="inlineStr">
        <is>
          <t>65 employees, 1,000-plus Houston projects since 1969</t>
        </is>
      </c>
      <c r="I128" s="14" t="inlineStr">
        <is>
          <t>Partly</t>
        </is>
      </c>
      <c r="J128" s="15" t="inlineStr">
        <is>
          <t>Industrial and commercial concrete recurring across the east side of the metro.</t>
        </is>
      </c>
      <c r="K128" s="14" t="inlineStr">
        <is>
          <t>Yes</t>
        </is>
      </c>
      <c r="L128" s="15" t="inlineStr">
        <is>
          <t>65 employees on average and more than 1,000 Greater Houston projects since 1969, on the firm's own count. No annual wall figure is published, so this sits at a Partly.</t>
        </is>
      </c>
      <c r="M128" s="14" t="inlineStr">
        <is>
          <t>Partly</t>
        </is>
      </c>
      <c r="N128" s="15" t="inlineStr">
        <is>
          <t>It bought volumetric mixers and stood up its own delivery arm rather than buying ready-mix from a plant. That is paying for a different way to get concrete to a site, though it is not a wall method.</t>
        </is>
      </c>
      <c r="O128" s="14" t="inlineStr">
        <is>
          <t>Partly</t>
        </is>
      </c>
      <c r="P128" s="10" t="inlineStr"/>
      <c r="Q128" s="12">
        <f>HYPERLINK("https://www.linkedin.com/search/results/people/?keywords=Dianna%20Taylor%20T%26T%20Construction","search")</f>
        <v/>
      </c>
      <c r="R128" s="16">
        <f>IF(P128="","ADD LINKEDIN","ok")</f>
        <v/>
      </c>
      <c r="S128" s="12" t="inlineStr">
        <is>
          <t>https://tandtconstruction.com/</t>
        </is>
      </c>
      <c r="T128" s="15" t="inlineStr">
        <is>
          <t>It owns the mix as well as the placing. A printer is fed concrete continuously, and this firm delivers its own.</t>
        </is>
      </c>
      <c r="U128" s="12" t="inlineStr"/>
      <c r="V128" s="15" t="inlineStr"/>
      <c r="W128" s="12" t="inlineStr"/>
      <c r="X128" s="12" t="inlineStr"/>
      <c r="Y128" s="12" t="inlineStr"/>
      <c r="Z128" s="12" t="inlineStr"/>
    </row>
    <row r="129">
      <c r="A129" s="6" t="inlineStr">
        <is>
          <t>Chris Richardson</t>
        </is>
      </c>
      <c r="B129" s="6" t="inlineStr">
        <is>
          <t>Blazer Building</t>
        </is>
      </c>
      <c r="C129" s="6" t="inlineStr">
        <is>
          <t>Listed under Senior Leadership on the firm's own team page</t>
        </is>
      </c>
      <c r="D129" s="7" t="inlineStr">
        <is>
          <t>Builds the wall, not the house</t>
        </is>
      </c>
      <c r="E129" s="8" t="n">
        <v>2</v>
      </c>
      <c r="F129" s="6" t="inlineStr">
        <is>
          <t>Builds the wall</t>
        </is>
      </c>
      <c r="G129" s="6" t="inlineStr">
        <is>
          <t>Houston, Harris, with Texas growth markets</t>
        </is>
      </c>
      <c r="H129" s="6" t="inlineStr">
        <is>
          <t>Over 44,000 apartment homes in 45-plus years</t>
        </is>
      </c>
      <c r="I129" s="8" t="inlineStr">
        <is>
          <t>Yes</t>
        </is>
      </c>
      <c r="J129" s="9" t="inlineStr">
        <is>
          <t>Garden-style and mid-rise apartment buildings repeating across Texas markets from a Houston office.</t>
        </is>
      </c>
      <c r="K129" s="8" t="inlineStr">
        <is>
          <t>Partly</t>
        </is>
      </c>
      <c r="L129" s="9" t="inlineStr">
        <is>
          <t>Over 44,000 apartment homes in 45 years, so the wall volume is there. It states that it works through trade partners rather than self-performing, so the machine would sit with a subcontractor rather than with Blazer.</t>
        </is>
      </c>
      <c r="M129" s="8" t="inlineStr">
        <is>
          <t>No</t>
        </is>
      </c>
      <c r="N129" s="9" t="inlineStr">
        <is>
          <t>No method statement on record. The only construction-method language on the site is the list of building types it builds.</t>
        </is>
      </c>
      <c r="O129" s="8" t="inlineStr">
        <is>
          <t>Yes</t>
        </is>
      </c>
      <c r="P129" s="10" t="inlineStr"/>
      <c r="Q129" s="6">
        <f>HYPERLINK("https://www.linkedin.com/search/results/people/?keywords=Chris%20Richardson%20Blazer%20Building","search")</f>
        <v/>
      </c>
      <c r="R129" s="11">
        <f>IF(P129="","ADD LINKEDIN","ok")</f>
        <v/>
      </c>
      <c r="S129" s="6" t="inlineStr">
        <is>
          <t>https://www.blazerbuilding.com/</t>
        </is>
      </c>
      <c r="T129" s="9" t="inlineStr">
        <is>
          <t>Over 44,000 apartment homes and 200-plus projects. Garden-style apartments repeat the same wall more than any other product here.</t>
        </is>
      </c>
      <c r="U129" s="6" t="inlineStr"/>
      <c r="V129" s="9" t="inlineStr"/>
      <c r="W129" s="6" t="inlineStr"/>
      <c r="X129" s="6" t="inlineStr"/>
      <c r="Y129" s="6" t="inlineStr"/>
      <c r="Z129" s="6" t="inlineStr"/>
    </row>
    <row r="130">
      <c r="A130" s="12" t="inlineStr">
        <is>
          <t>Chad Hillman</t>
        </is>
      </c>
      <c r="B130" s="12" t="inlineStr">
        <is>
          <t>Blazer Building</t>
        </is>
      </c>
      <c r="C130" s="12" t="inlineStr">
        <is>
          <t>Listed under Senior Leadership on the firm's own team page</t>
        </is>
      </c>
      <c r="D130" s="13" t="inlineStr">
        <is>
          <t>Builds the wall, not the house</t>
        </is>
      </c>
      <c r="E130" s="14" t="n">
        <v>2</v>
      </c>
      <c r="F130" s="12" t="inlineStr">
        <is>
          <t>Builds the wall</t>
        </is>
      </c>
      <c r="G130" s="12" t="inlineStr">
        <is>
          <t>Houston, Harris, with Texas growth markets</t>
        </is>
      </c>
      <c r="H130" s="12" t="inlineStr">
        <is>
          <t>Over 44,000 apartment homes in 45-plus years</t>
        </is>
      </c>
      <c r="I130" s="14" t="inlineStr">
        <is>
          <t>Yes</t>
        </is>
      </c>
      <c r="J130" s="15" t="inlineStr">
        <is>
          <t>Garden-style and mid-rise apartment buildings repeating across Texas markets from a Houston office.</t>
        </is>
      </c>
      <c r="K130" s="14" t="inlineStr">
        <is>
          <t>Partly</t>
        </is>
      </c>
      <c r="L130" s="15" t="inlineStr">
        <is>
          <t>Over 44,000 apartment homes in 45 years, so the wall volume is there. It states that it works through trade partners rather than self-performing, so the machine would sit with a subcontractor rather than with Blazer.</t>
        </is>
      </c>
      <c r="M130" s="14" t="inlineStr">
        <is>
          <t>No</t>
        </is>
      </c>
      <c r="N130" s="15" t="inlineStr">
        <is>
          <t>No method statement on record. The only construction-method language on the site is the list of building types it builds.</t>
        </is>
      </c>
      <c r="O130" s="14" t="inlineStr">
        <is>
          <t>Yes</t>
        </is>
      </c>
      <c r="P130" s="10" t="inlineStr"/>
      <c r="Q130" s="12">
        <f>HYPERLINK("https://www.linkedin.com/search/results/people/?keywords=Chad%20Hillman%20Blazer%20Building","search")</f>
        <v/>
      </c>
      <c r="R130" s="16">
        <f>IF(P130="","ADD LINKEDIN","ok")</f>
        <v/>
      </c>
      <c r="S130" s="12" t="inlineStr">
        <is>
          <t>https://www.blazerbuilding.com/</t>
        </is>
      </c>
      <c r="T130" s="15" t="inlineStr">
        <is>
          <t>Over 44,000 apartment homes and 200-plus projects. Garden-style apartments repeat the same wall more than any other product here.</t>
        </is>
      </c>
      <c r="U130" s="12" t="inlineStr"/>
      <c r="V130" s="15" t="inlineStr"/>
      <c r="W130" s="12" t="inlineStr"/>
      <c r="X130" s="12" t="inlineStr"/>
      <c r="Y130" s="12" t="inlineStr"/>
      <c r="Z130" s="12" t="inlineStr"/>
    </row>
    <row r="131">
      <c r="A131" s="6" t="inlineStr">
        <is>
          <t>Matt Fuqua</t>
        </is>
      </c>
      <c r="B131" s="6" t="inlineStr">
        <is>
          <t>Blazer Building</t>
        </is>
      </c>
      <c r="C131" s="6" t="inlineStr">
        <is>
          <t>Listed under Senior Leadership on the firm's own team page</t>
        </is>
      </c>
      <c r="D131" s="7" t="inlineStr">
        <is>
          <t>Builds the wall, not the house</t>
        </is>
      </c>
      <c r="E131" s="8" t="n">
        <v>2</v>
      </c>
      <c r="F131" s="6" t="inlineStr">
        <is>
          <t>Builds the wall</t>
        </is>
      </c>
      <c r="G131" s="6" t="inlineStr">
        <is>
          <t>Houston, Harris, with Texas growth markets</t>
        </is>
      </c>
      <c r="H131" s="6" t="inlineStr">
        <is>
          <t>Over 44,000 apartment homes in 45-plus years</t>
        </is>
      </c>
      <c r="I131" s="8" t="inlineStr">
        <is>
          <t>Yes</t>
        </is>
      </c>
      <c r="J131" s="9" t="inlineStr">
        <is>
          <t>Garden-style and mid-rise apartment buildings repeating across Texas markets from a Houston office.</t>
        </is>
      </c>
      <c r="K131" s="8" t="inlineStr">
        <is>
          <t>Partly</t>
        </is>
      </c>
      <c r="L131" s="9" t="inlineStr">
        <is>
          <t>Over 44,000 apartment homes in 45 years, so the wall volume is there. It states that it works through trade partners rather than self-performing, so the machine would sit with a subcontractor rather than with Blazer.</t>
        </is>
      </c>
      <c r="M131" s="8" t="inlineStr">
        <is>
          <t>No</t>
        </is>
      </c>
      <c r="N131" s="9" t="inlineStr">
        <is>
          <t>No method statement on record. The only construction-method language on the site is the list of building types it builds.</t>
        </is>
      </c>
      <c r="O131" s="8" t="inlineStr">
        <is>
          <t>Yes</t>
        </is>
      </c>
      <c r="P131" s="10" t="inlineStr"/>
      <c r="Q131" s="6">
        <f>HYPERLINK("https://www.linkedin.com/search/results/people/?keywords=Matt%20Fuqua%20Blazer%20Building","search")</f>
        <v/>
      </c>
      <c r="R131" s="11">
        <f>IF(P131="","ADD LINKEDIN","ok")</f>
        <v/>
      </c>
      <c r="S131" s="6" t="inlineStr">
        <is>
          <t>https://www.blazerbuilding.com/</t>
        </is>
      </c>
      <c r="T131" s="9" t="inlineStr">
        <is>
          <t>Over 44,000 apartment homes and 200-plus projects. Garden-style apartments repeat the same wall more than any other product here.</t>
        </is>
      </c>
      <c r="U131" s="6" t="inlineStr"/>
      <c r="V131" s="9" t="inlineStr"/>
      <c r="W131" s="6" t="inlineStr"/>
      <c r="X131" s="6" t="inlineStr"/>
      <c r="Y131" s="6" t="inlineStr"/>
      <c r="Z131" s="6" t="inlineStr"/>
    </row>
    <row r="132">
      <c r="A132" s="12" t="inlineStr">
        <is>
          <t>Brian Henderson</t>
        </is>
      </c>
      <c r="B132" s="12" t="inlineStr">
        <is>
          <t>Blazer Building</t>
        </is>
      </c>
      <c r="C132" s="12" t="inlineStr">
        <is>
          <t>Listed under Senior Leadership and Construction Supervision on the firm's own team page</t>
        </is>
      </c>
      <c r="D132" s="13" t="inlineStr">
        <is>
          <t>Builds the wall, not the house</t>
        </is>
      </c>
      <c r="E132" s="14" t="n">
        <v>2</v>
      </c>
      <c r="F132" s="12" t="inlineStr">
        <is>
          <t>Builds the wall</t>
        </is>
      </c>
      <c r="G132" s="12" t="inlineStr">
        <is>
          <t>Houston, Harris, with Texas growth markets</t>
        </is>
      </c>
      <c r="H132" s="12" t="inlineStr">
        <is>
          <t>Over 44,000 apartment homes in 45-plus years</t>
        </is>
      </c>
      <c r="I132" s="14" t="inlineStr">
        <is>
          <t>Yes</t>
        </is>
      </c>
      <c r="J132" s="15" t="inlineStr">
        <is>
          <t>Garden-style and mid-rise apartment buildings repeating across Texas markets from a Houston office.</t>
        </is>
      </c>
      <c r="K132" s="14" t="inlineStr">
        <is>
          <t>Partly</t>
        </is>
      </c>
      <c r="L132" s="15" t="inlineStr">
        <is>
          <t>Over 44,000 apartment homes in 45 years, so the wall volume is there. It states that it works through trade partners rather than self-performing, so the machine would sit with a subcontractor rather than with Blazer.</t>
        </is>
      </c>
      <c r="M132" s="14" t="inlineStr">
        <is>
          <t>No</t>
        </is>
      </c>
      <c r="N132" s="15" t="inlineStr">
        <is>
          <t>No method statement on record. The only construction-method language on the site is the list of building types it builds.</t>
        </is>
      </c>
      <c r="O132" s="14" t="inlineStr">
        <is>
          <t>Yes</t>
        </is>
      </c>
      <c r="P132" s="10" t="inlineStr"/>
      <c r="Q132" s="12">
        <f>HYPERLINK("https://www.linkedin.com/search/results/people/?keywords=Brian%20Henderson%20Blazer%20Building","search")</f>
        <v/>
      </c>
      <c r="R132" s="16">
        <f>IF(P132="","ADD LINKEDIN","ok")</f>
        <v/>
      </c>
      <c r="S132" s="12" t="inlineStr">
        <is>
          <t>https://www.blazerbuilding.com/</t>
        </is>
      </c>
      <c r="T132" s="15" t="inlineStr">
        <is>
          <t>Over 44,000 apartment homes and 200-plus projects. Garden-style apartments repeat the same wall more than any other product here.</t>
        </is>
      </c>
      <c r="U132" s="12" t="inlineStr"/>
      <c r="V132" s="15" t="inlineStr"/>
      <c r="W132" s="12" t="inlineStr"/>
      <c r="X132" s="12" t="inlineStr"/>
      <c r="Y132" s="12" t="inlineStr"/>
      <c r="Z132" s="12" t="inlineStr"/>
    </row>
    <row r="133">
      <c r="A133" s="6" t="inlineStr">
        <is>
          <t>Trey Green</t>
        </is>
      </c>
      <c r="B133" s="6" t="inlineStr">
        <is>
          <t>Greco Structures</t>
        </is>
      </c>
      <c r="C133" s="6" t="inlineStr">
        <is>
          <t>Senior Vice President, Self Perform Group, Satterfield and Pontikes, named on the parent's own team page as overseeing Greco Structures, Rollcon, Rocket Pumping and Westway</t>
        </is>
      </c>
      <c r="D133" s="7" t="inlineStr">
        <is>
          <t>Builds the wall, not the house</t>
        </is>
      </c>
      <c r="E133" s="8" t="n">
        <v>2</v>
      </c>
      <c r="F133" s="6" t="inlineStr">
        <is>
          <t>Builds the wall</t>
        </is>
      </c>
      <c r="G133" s="6" t="inlineStr">
        <is>
          <t>Houston, working Harris and Fort Bend</t>
        </is>
      </c>
      <c r="H133" s="6" t="inlineStr">
        <is>
          <t>49 panels, tallest 52 feet 7 inches, on one job</t>
        </is>
      </c>
      <c r="I133" s="8" t="inlineStr">
        <is>
          <t>Yes</t>
        </is>
      </c>
      <c r="J133" s="9" t="inlineStr">
        <is>
          <t>Panel and deck work recurring across Houston projects for a standing set of general contractors.</t>
        </is>
      </c>
      <c r="K133" s="8" t="inlineStr">
        <is>
          <t>Partly</t>
        </is>
      </c>
      <c r="L133" s="9" t="inlineStr">
        <is>
          <t>No crew count or annual volume is published, and the purchase would clear through the parent's self-perform group rather than through Greco. On the bands, both of those are a Partly.</t>
        </is>
      </c>
      <c r="M133" s="8" t="inlineStr">
        <is>
          <t>No</t>
        </is>
      </c>
      <c r="N133" s="9" t="inlineStr">
        <is>
          <t>No method statement on record.</t>
        </is>
      </c>
      <c r="O133" s="8" t="inlineStr">
        <is>
          <t>Yes</t>
        </is>
      </c>
      <c r="P133" s="10" t="inlineStr"/>
      <c r="Q133" s="6">
        <f>HYPERLINK("https://www.linkedin.com/search/results/people/?keywords=Trey%20Green%20Greco%20Structures","search")</f>
        <v/>
      </c>
      <c r="R133" s="11">
        <f>IF(P133="","ADD LINKEDIN","ok")</f>
        <v/>
      </c>
      <c r="S133" s="6" t="inlineStr">
        <is>
          <t>https://grecostructures.com/</t>
        </is>
      </c>
      <c r="T133" s="9" t="inlineStr">
        <is>
          <t>Panels at 52 feet and elevated post-tensioned decks. The work repeats inside one metro and is bought by general contractors rather than by owners.</t>
        </is>
      </c>
      <c r="U133" s="6" t="inlineStr">
        <is>
          <t>YES</t>
        </is>
      </c>
      <c r="V133" s="9" t="inlineStr">
        <is>
          <t>Trey Green is named on Satterfield and Pontikes' own team page and returns no LinkedIn result against the parent's name.</t>
        </is>
      </c>
      <c r="W133" s="6" t="inlineStr"/>
      <c r="X133" s="6" t="inlineStr"/>
      <c r="Y133" s="6" t="inlineStr"/>
      <c r="Z133" s="6" t="inlineStr"/>
    </row>
    <row r="134">
      <c r="A134" s="12" t="inlineStr">
        <is>
          <t>George A. Pontikes Jr.</t>
        </is>
      </c>
      <c r="B134" s="12" t="inlineStr">
        <is>
          <t>Greco Structures</t>
        </is>
      </c>
      <c r="C134" s="12" t="inlineStr">
        <is>
          <t>Chief Executive Officer and Chairman, Satterfield and Pontikes</t>
        </is>
      </c>
      <c r="D134" s="13" t="inlineStr">
        <is>
          <t>Builds the wall, not the house</t>
        </is>
      </c>
      <c r="E134" s="14" t="n">
        <v>2</v>
      </c>
      <c r="F134" s="12" t="inlineStr">
        <is>
          <t>Builds the wall</t>
        </is>
      </c>
      <c r="G134" s="12" t="inlineStr">
        <is>
          <t>Houston, working Harris and Fort Bend</t>
        </is>
      </c>
      <c r="H134" s="12" t="inlineStr">
        <is>
          <t>49 panels, tallest 52 feet 7 inches, on one job</t>
        </is>
      </c>
      <c r="I134" s="14" t="inlineStr">
        <is>
          <t>Yes</t>
        </is>
      </c>
      <c r="J134" s="15" t="inlineStr">
        <is>
          <t>Panel and deck work recurring across Houston projects for a standing set of general contractors.</t>
        </is>
      </c>
      <c r="K134" s="14" t="inlineStr">
        <is>
          <t>Partly</t>
        </is>
      </c>
      <c r="L134" s="15" t="inlineStr">
        <is>
          <t>No crew count or annual volume is published, and the purchase would clear through the parent's self-perform group rather than through Greco. On the bands, both of those are a Partly.</t>
        </is>
      </c>
      <c r="M134" s="14" t="inlineStr">
        <is>
          <t>No</t>
        </is>
      </c>
      <c r="N134" s="15" t="inlineStr">
        <is>
          <t>No method statement on record.</t>
        </is>
      </c>
      <c r="O134" s="14" t="inlineStr">
        <is>
          <t>Yes</t>
        </is>
      </c>
      <c r="P134" s="10" t="inlineStr"/>
      <c r="Q134" s="12">
        <f>HYPERLINK("https://www.linkedin.com/search/results/people/?keywords=George%20A.%20Pontikes%20Jr.%20Greco%20Structures","search")</f>
        <v/>
      </c>
      <c r="R134" s="16">
        <f>IF(P134="","ADD LINKEDIN","ok")</f>
        <v/>
      </c>
      <c r="S134" s="12" t="inlineStr">
        <is>
          <t>https://grecostructures.com/</t>
        </is>
      </c>
      <c r="T134" s="15" t="inlineStr">
        <is>
          <t>Panels at 52 feet and elevated post-tensioned decks. The work repeats inside one metro and is bought by general contractors rather than by owners.</t>
        </is>
      </c>
      <c r="U134" s="12" t="inlineStr"/>
      <c r="V134" s="15" t="inlineStr"/>
      <c r="W134" s="12" t="inlineStr"/>
      <c r="X134" s="12" t="inlineStr"/>
      <c r="Y134" s="12" t="inlineStr"/>
      <c r="Z134" s="12" t="inlineStr"/>
    </row>
    <row r="135">
      <c r="A135" s="6" t="inlineStr">
        <is>
          <t>Thomas Valentine</t>
        </is>
      </c>
      <c r="B135" s="6" t="inlineStr">
        <is>
          <t>Greco Structures</t>
        </is>
      </c>
      <c r="C135" s="6" t="inlineStr">
        <is>
          <t>Operations Manager</t>
        </is>
      </c>
      <c r="D135" s="7" t="inlineStr">
        <is>
          <t>Builds the wall, not the house</t>
        </is>
      </c>
      <c r="E135" s="8" t="n">
        <v>2</v>
      </c>
      <c r="F135" s="6" t="inlineStr">
        <is>
          <t>Builds the wall</t>
        </is>
      </c>
      <c r="G135" s="6" t="inlineStr">
        <is>
          <t>Houston, working Harris and Fort Bend</t>
        </is>
      </c>
      <c r="H135" s="6" t="inlineStr">
        <is>
          <t>49 panels, tallest 52 feet 7 inches, on one job</t>
        </is>
      </c>
      <c r="I135" s="8" t="inlineStr">
        <is>
          <t>Yes</t>
        </is>
      </c>
      <c r="J135" s="9" t="inlineStr">
        <is>
          <t>Panel and deck work recurring across Houston projects for a standing set of general contractors.</t>
        </is>
      </c>
      <c r="K135" s="8" t="inlineStr">
        <is>
          <t>Partly</t>
        </is>
      </c>
      <c r="L135" s="9" t="inlineStr">
        <is>
          <t>No crew count or annual volume is published, and the purchase would clear through the parent's self-perform group rather than through Greco. On the bands, both of those are a Partly.</t>
        </is>
      </c>
      <c r="M135" s="8" t="inlineStr">
        <is>
          <t>No</t>
        </is>
      </c>
      <c r="N135" s="9" t="inlineStr">
        <is>
          <t>No method statement on record.</t>
        </is>
      </c>
      <c r="O135" s="8" t="inlineStr">
        <is>
          <t>Yes</t>
        </is>
      </c>
      <c r="P135" s="6" t="inlineStr">
        <is>
          <t>https://www.linkedin.com/in/thomas-valentine-6b1a7b117/</t>
        </is>
      </c>
      <c r="Q135" s="6" t="inlineStr"/>
      <c r="R135" s="11">
        <f>IF(P135="","ADD LINKEDIN","ok")</f>
        <v/>
      </c>
      <c r="S135" s="6" t="inlineStr">
        <is>
          <t>https://grecostructures.com/</t>
        </is>
      </c>
      <c r="T135" s="9" t="inlineStr">
        <is>
          <t>Panels at 52 feet and elevated post-tensioned decks. The work repeats inside one metro and is bought by general contractors rather than by owners.</t>
        </is>
      </c>
      <c r="U135" s="6" t="inlineStr"/>
      <c r="V135" s="9" t="inlineStr">
        <is>
          <t>Headline reads Operations Manager at Greco Structures. Spring, Texas.</t>
        </is>
      </c>
      <c r="W135" s="6" t="inlineStr"/>
      <c r="X135" s="6" t="inlineStr"/>
      <c r="Y135" s="6" t="inlineStr"/>
      <c r="Z135" s="6" t="inlineStr"/>
    </row>
    <row r="136">
      <c r="A136" s="12" t="inlineStr">
        <is>
          <t>Jordan Lopez</t>
        </is>
      </c>
      <c r="B136" s="12" t="inlineStr">
        <is>
          <t>Greco Structures</t>
        </is>
      </c>
      <c r="C136" s="12" t="inlineStr">
        <is>
          <t>Business Development, Greco Structures and Rollcon</t>
        </is>
      </c>
      <c r="D136" s="13" t="inlineStr">
        <is>
          <t>Builds the wall, not the house</t>
        </is>
      </c>
      <c r="E136" s="14" t="n">
        <v>2</v>
      </c>
      <c r="F136" s="12" t="inlineStr">
        <is>
          <t>Builds the wall</t>
        </is>
      </c>
      <c r="G136" s="12" t="inlineStr">
        <is>
          <t>Houston, working Harris and Fort Bend</t>
        </is>
      </c>
      <c r="H136" s="12" t="inlineStr">
        <is>
          <t>49 panels, tallest 52 feet 7 inches, on one job</t>
        </is>
      </c>
      <c r="I136" s="14" t="inlineStr">
        <is>
          <t>Yes</t>
        </is>
      </c>
      <c r="J136" s="15" t="inlineStr">
        <is>
          <t>Panel and deck work recurring across Houston projects for a standing set of general contractors.</t>
        </is>
      </c>
      <c r="K136" s="14" t="inlineStr">
        <is>
          <t>Partly</t>
        </is>
      </c>
      <c r="L136" s="15" t="inlineStr">
        <is>
          <t>No crew count or annual volume is published, and the purchase would clear through the parent's self-perform group rather than through Greco. On the bands, both of those are a Partly.</t>
        </is>
      </c>
      <c r="M136" s="14" t="inlineStr">
        <is>
          <t>No</t>
        </is>
      </c>
      <c r="N136" s="15" t="inlineStr">
        <is>
          <t>No method statement on record.</t>
        </is>
      </c>
      <c r="O136" s="14" t="inlineStr">
        <is>
          <t>Yes</t>
        </is>
      </c>
      <c r="P136" s="6" t="inlineStr">
        <is>
          <t>https://www.linkedin.com/in/jordan-lopez-528225229/</t>
        </is>
      </c>
      <c r="Q136" s="12" t="inlineStr"/>
      <c r="R136" s="16">
        <f>IF(P136="","ADD LINKEDIN","ok")</f>
        <v/>
      </c>
      <c r="S136" s="12" t="inlineStr">
        <is>
          <t>https://grecostructures.com/</t>
        </is>
      </c>
      <c r="T136" s="15" t="inlineStr">
        <is>
          <t>Panels at 52 feet and elevated post-tensioned decks. The work repeats inside one metro and is bought by general contractors rather than by owners.</t>
        </is>
      </c>
      <c r="U136" s="12" t="inlineStr"/>
      <c r="V136" s="15" t="inlineStr">
        <is>
          <t>Headline reads Business Development Specialist for Greco Structures &amp; Rollcon. Houston, Texas.</t>
        </is>
      </c>
      <c r="W136" s="12" t="inlineStr"/>
      <c r="X136" s="12" t="inlineStr"/>
      <c r="Y136" s="12" t="inlineStr"/>
      <c r="Z136" s="12" t="inlineStr"/>
    </row>
    <row r="137">
      <c r="A137" s="6" t="inlineStr">
        <is>
          <t>David E. Harvey Sr.</t>
        </is>
      </c>
      <c r="B137" s="6" t="inlineStr">
        <is>
          <t>Harvey Cleary</t>
        </is>
      </c>
      <c r="C137" s="6" t="inlineStr">
        <is>
          <t>Founder, named on the firm's own about page</t>
        </is>
      </c>
      <c r="D137" s="7" t="inlineStr">
        <is>
          <t>Builds the wall, not the house</t>
        </is>
      </c>
      <c r="E137" s="8" t="n">
        <v>2</v>
      </c>
      <c r="F137" s="6" t="inlineStr">
        <is>
          <t>Builds the wall</t>
        </is>
      </c>
      <c r="G137" s="6" t="inlineStr">
        <is>
          <t>Houston, with Austin, San Antonio, Denver and Washington</t>
        </is>
      </c>
      <c r="H137" s="6" t="inlineStr">
        <is>
          <t>$2 billion in volume, 700-plus employees, founded 1957</t>
        </is>
      </c>
      <c r="I137" s="8" t="inlineStr">
        <is>
          <t>Yes</t>
        </is>
      </c>
      <c r="J137" s="9" t="inlineStr">
        <is>
          <t>A standing residential market inside the firm, with multifamily buildings delivered repeatedly alongside the commercial work.</t>
        </is>
      </c>
      <c r="K137" s="8" t="inlineStr">
        <is>
          <t>Partly</t>
        </is>
      </c>
      <c r="L137" s="9" t="inlineStr">
        <is>
          <t>$2 billion in construction volume and more than 700 employees on the firm's own count. One or two printers would be a line inside a business that size rather than the business.</t>
        </is>
      </c>
      <c r="M137" s="8" t="inlineStr">
        <is>
          <t>No</t>
        </is>
      </c>
      <c r="N137" s="9" t="inlineStr">
        <is>
          <t>No method statement on record. Owning the equipment and the crews is not the same as having paid for a method that was new at the time.</t>
        </is>
      </c>
      <c r="O137" s="8" t="inlineStr">
        <is>
          <t>Yes</t>
        </is>
      </c>
      <c r="P137" s="10" t="inlineStr"/>
      <c r="Q137" s="6">
        <f>HYPERLINK("https://www.linkedin.com/search/results/people/?keywords=David%20E.%20Harvey%20Sr.%20Harvey%20Cleary","search")</f>
        <v/>
      </c>
      <c r="R137" s="11">
        <f>IF(P137="","ADD LINKEDIN","ok")</f>
        <v/>
      </c>
      <c r="S137" s="6" t="inlineStr">
        <is>
          <t>https://www.harveycleary.com/</t>
        </is>
      </c>
      <c r="T137" s="9" t="inlineStr">
        <is>
          <t>It owns formwork, rebar, place and finish, tiltwall erection, architectural precast and tower crane erection, and it builds apartments. No other firm screened discloses that much owned trade.</t>
        </is>
      </c>
      <c r="U137" s="6" t="inlineStr"/>
      <c r="V137" s="9" t="inlineStr"/>
      <c r="W137" s="6" t="inlineStr"/>
      <c r="X137" s="6" t="inlineStr"/>
      <c r="Y137" s="6" t="inlineStr"/>
      <c r="Z137" s="6" t="inlineStr">
        <is>
          <t>2026 Engineering News-Record. ENR 2026 Top 400 Contractors, where the firm is ranked 72  https://www.enr.com/toplists/2026-Top-400-Contractors-1</t>
        </is>
      </c>
    </row>
    <row r="138">
      <c r="A138" s="12" t="inlineStr">
        <is>
          <t>David Harvey Jr.</t>
        </is>
      </c>
      <c r="B138" s="12" t="inlineStr">
        <is>
          <t>Harvey Cleary</t>
        </is>
      </c>
      <c r="C138" s="12" t="inlineStr">
        <is>
          <t>Took ownership in 1987, named on the firm's own about page</t>
        </is>
      </c>
      <c r="D138" s="13" t="inlineStr">
        <is>
          <t>Builds the wall, not the house</t>
        </is>
      </c>
      <c r="E138" s="14" t="n">
        <v>2</v>
      </c>
      <c r="F138" s="12" t="inlineStr">
        <is>
          <t>Builds the wall</t>
        </is>
      </c>
      <c r="G138" s="12" t="inlineStr">
        <is>
          <t>Houston, with Austin, San Antonio, Denver and Washington</t>
        </is>
      </c>
      <c r="H138" s="12" t="inlineStr">
        <is>
          <t>$2 billion in volume, 700-plus employees, founded 1957</t>
        </is>
      </c>
      <c r="I138" s="14" t="inlineStr">
        <is>
          <t>Yes</t>
        </is>
      </c>
      <c r="J138" s="15" t="inlineStr">
        <is>
          <t>A standing residential market inside the firm, with multifamily buildings delivered repeatedly alongside the commercial work.</t>
        </is>
      </c>
      <c r="K138" s="14" t="inlineStr">
        <is>
          <t>Partly</t>
        </is>
      </c>
      <c r="L138" s="15" t="inlineStr">
        <is>
          <t>$2 billion in construction volume and more than 700 employees on the firm's own count. One or two printers would be a line inside a business that size rather than the business.</t>
        </is>
      </c>
      <c r="M138" s="14" t="inlineStr">
        <is>
          <t>No</t>
        </is>
      </c>
      <c r="N138" s="15" t="inlineStr">
        <is>
          <t>No method statement on record. Owning the equipment and the crews is not the same as having paid for a method that was new at the time.</t>
        </is>
      </c>
      <c r="O138" s="14" t="inlineStr">
        <is>
          <t>Yes</t>
        </is>
      </c>
      <c r="P138" s="10" t="inlineStr"/>
      <c r="Q138" s="12">
        <f>HYPERLINK("https://www.linkedin.com/search/results/people/?keywords=David%20Harvey%20Jr.%20Harvey%20Cleary","search")</f>
        <v/>
      </c>
      <c r="R138" s="16">
        <f>IF(P138="","ADD LINKEDIN","ok")</f>
        <v/>
      </c>
      <c r="S138" s="12" t="inlineStr">
        <is>
          <t>https://www.harveycleary.com/</t>
        </is>
      </c>
      <c r="T138" s="15" t="inlineStr">
        <is>
          <t>It owns formwork, rebar, place and finish, tiltwall erection, architectural precast and tower crane erection, and it builds apartments. No other firm screened discloses that much owned trade.</t>
        </is>
      </c>
      <c r="U138" s="12" t="inlineStr"/>
      <c r="V138" s="15" t="inlineStr"/>
      <c r="W138" s="12" t="inlineStr"/>
      <c r="X138" s="12" t="inlineStr"/>
      <c r="Y138" s="12" t="inlineStr"/>
      <c r="Z138" s="12" t="inlineStr">
        <is>
          <t>2026 Engineering News-Record. ENR 2026 Top 400 Contractors, where the firm is ranked 72  https://www.enr.com/toplists/2026-Top-400-Contractors-1</t>
        </is>
      </c>
    </row>
    <row r="139">
      <c r="A139" s="6" t="inlineStr">
        <is>
          <t>Joseph Cleary</t>
        </is>
      </c>
      <c r="B139" s="6" t="inlineStr">
        <is>
          <t>Harvey Cleary</t>
        </is>
      </c>
      <c r="C139" s="6" t="inlineStr">
        <is>
          <t>Took ownership in 1987, named on the firm's own about page</t>
        </is>
      </c>
      <c r="D139" s="7" t="inlineStr">
        <is>
          <t>Builds the wall, not the house</t>
        </is>
      </c>
      <c r="E139" s="8" t="n">
        <v>2</v>
      </c>
      <c r="F139" s="6" t="inlineStr">
        <is>
          <t>Builds the wall</t>
        </is>
      </c>
      <c r="G139" s="6" t="inlineStr">
        <is>
          <t>Houston, with Austin, San Antonio, Denver and Washington</t>
        </is>
      </c>
      <c r="H139" s="6" t="inlineStr">
        <is>
          <t>$2 billion in volume, 700-plus employees, founded 1957</t>
        </is>
      </c>
      <c r="I139" s="8" t="inlineStr">
        <is>
          <t>Yes</t>
        </is>
      </c>
      <c r="J139" s="9" t="inlineStr">
        <is>
          <t>A standing residential market inside the firm, with multifamily buildings delivered repeatedly alongside the commercial work.</t>
        </is>
      </c>
      <c r="K139" s="8" t="inlineStr">
        <is>
          <t>Partly</t>
        </is>
      </c>
      <c r="L139" s="9" t="inlineStr">
        <is>
          <t>$2 billion in construction volume and more than 700 employees on the firm's own count. One or two printers would be a line inside a business that size rather than the business.</t>
        </is>
      </c>
      <c r="M139" s="8" t="inlineStr">
        <is>
          <t>No</t>
        </is>
      </c>
      <c r="N139" s="9" t="inlineStr">
        <is>
          <t>No method statement on record. Owning the equipment and the crews is not the same as having paid for a method that was new at the time.</t>
        </is>
      </c>
      <c r="O139" s="8" t="inlineStr">
        <is>
          <t>Yes</t>
        </is>
      </c>
      <c r="P139" s="10" t="inlineStr"/>
      <c r="Q139" s="6">
        <f>HYPERLINK("https://www.linkedin.com/search/results/people/?keywords=Joseph%20Cleary%20Harvey%20Cleary","search")</f>
        <v/>
      </c>
      <c r="R139" s="11">
        <f>IF(P139="","ADD LINKEDIN","ok")</f>
        <v/>
      </c>
      <c r="S139" s="6" t="inlineStr">
        <is>
          <t>https://www.harveycleary.com/</t>
        </is>
      </c>
      <c r="T139" s="9" t="inlineStr">
        <is>
          <t>It owns formwork, rebar, place and finish, tiltwall erection, architectural precast and tower crane erection, and it builds apartments. No other firm screened discloses that much owned trade.</t>
        </is>
      </c>
      <c r="U139" s="6" t="inlineStr"/>
      <c r="V139" s="9" t="inlineStr"/>
      <c r="W139" s="6" t="inlineStr"/>
      <c r="X139" s="6" t="inlineStr"/>
      <c r="Y139" s="6" t="inlineStr"/>
      <c r="Z139" s="6" t="inlineStr">
        <is>
          <t>2026 Engineering News-Record. ENR 2026 Top 400 Contractors, where the firm is ranked 72  https://www.enr.com/toplists/2026-Top-400-Contractors-1</t>
        </is>
      </c>
    </row>
    <row r="140">
      <c r="A140" s="12" t="inlineStr">
        <is>
          <t>Scott Clarke</t>
        </is>
      </c>
      <c r="B140" s="12" t="inlineStr">
        <is>
          <t>Harvey Cleary</t>
        </is>
      </c>
      <c r="C140" s="12" t="inlineStr">
        <is>
          <t>Chief Operating Officer</t>
        </is>
      </c>
      <c r="D140" s="13" t="inlineStr">
        <is>
          <t>Builds the wall, not the house</t>
        </is>
      </c>
      <c r="E140" s="14" t="n">
        <v>2</v>
      </c>
      <c r="F140" s="12" t="inlineStr">
        <is>
          <t>Builds the wall</t>
        </is>
      </c>
      <c r="G140" s="12" t="inlineStr">
        <is>
          <t>Houston, with Austin, San Antonio, Denver and Washington</t>
        </is>
      </c>
      <c r="H140" s="12" t="inlineStr">
        <is>
          <t>$2 billion in volume, 700-plus employees, founded 1957</t>
        </is>
      </c>
      <c r="I140" s="14" t="inlineStr">
        <is>
          <t>Yes</t>
        </is>
      </c>
      <c r="J140" s="15" t="inlineStr">
        <is>
          <t>A standing residential market inside the firm, with multifamily buildings delivered repeatedly alongside the commercial work.</t>
        </is>
      </c>
      <c r="K140" s="14" t="inlineStr">
        <is>
          <t>Partly</t>
        </is>
      </c>
      <c r="L140" s="15" t="inlineStr">
        <is>
          <t>$2 billion in construction volume and more than 700 employees on the firm's own count. One or two printers would be a line inside a business that size rather than the business.</t>
        </is>
      </c>
      <c r="M140" s="14" t="inlineStr">
        <is>
          <t>No</t>
        </is>
      </c>
      <c r="N140" s="15" t="inlineStr">
        <is>
          <t>No method statement on record. Owning the equipment and the crews is not the same as having paid for a method that was new at the time.</t>
        </is>
      </c>
      <c r="O140" s="14" t="inlineStr">
        <is>
          <t>Yes</t>
        </is>
      </c>
      <c r="P140" s="6" t="inlineStr">
        <is>
          <t>https://www.linkedin.com/in/scott-clarke-a2a1a521/</t>
        </is>
      </c>
      <c r="Q140" s="12" t="inlineStr"/>
      <c r="R140" s="16">
        <f>IF(P140="","ADD LINKEDIN","ok")</f>
        <v/>
      </c>
      <c r="S140" s="12" t="inlineStr">
        <is>
          <t>https://www.harveycleary.com/</t>
        </is>
      </c>
      <c r="T140" s="15" t="inlineStr">
        <is>
          <t>It owns formwork, rebar, place and finish, tiltwall erection, architectural precast and tower crane erection, and it builds apartments. No other firm screened discloses that much owned trade.</t>
        </is>
      </c>
      <c r="U140" s="12" t="inlineStr">
        <is>
          <t>YES</t>
        </is>
      </c>
      <c r="V140" s="15" t="inlineStr">
        <is>
          <t>Headline reads Chief Operating Officer at Harvey | Harvey-Cleary Builders. Houston, Texas.</t>
        </is>
      </c>
      <c r="W140" s="12" t="inlineStr"/>
      <c r="X140" s="12" t="inlineStr"/>
      <c r="Y140" s="12" t="inlineStr"/>
      <c r="Z140" s="12" t="inlineStr">
        <is>
          <t>2026 Engineering News-Record. ENR 2026 Top 400 Contractors, where the firm is ranked 72  https://www.enr.com/toplists/2026-Top-400-Contractors-1</t>
        </is>
      </c>
    </row>
    <row r="141">
      <c r="A141" s="6" t="inlineStr">
        <is>
          <t>Jarrod Portelance</t>
        </is>
      </c>
      <c r="B141" s="6" t="inlineStr">
        <is>
          <t>Harvey Cleary</t>
        </is>
      </c>
      <c r="C141" s="6" t="inlineStr">
        <is>
          <t>Project Director</t>
        </is>
      </c>
      <c r="D141" s="7" t="inlineStr">
        <is>
          <t>Builds the wall, not the house</t>
        </is>
      </c>
      <c r="E141" s="8" t="n">
        <v>2</v>
      </c>
      <c r="F141" s="6" t="inlineStr">
        <is>
          <t>Builds the wall</t>
        </is>
      </c>
      <c r="G141" s="6" t="inlineStr">
        <is>
          <t>Houston, with Austin, San Antonio, Denver and Washington</t>
        </is>
      </c>
      <c r="H141" s="6" t="inlineStr">
        <is>
          <t>$2 billion in volume, 700-plus employees, founded 1957</t>
        </is>
      </c>
      <c r="I141" s="8" t="inlineStr">
        <is>
          <t>Yes</t>
        </is>
      </c>
      <c r="J141" s="9" t="inlineStr">
        <is>
          <t>A standing residential market inside the firm, with multifamily buildings delivered repeatedly alongside the commercial work.</t>
        </is>
      </c>
      <c r="K141" s="8" t="inlineStr">
        <is>
          <t>Partly</t>
        </is>
      </c>
      <c r="L141" s="9" t="inlineStr">
        <is>
          <t>$2 billion in construction volume and more than 700 employees on the firm's own count. One or two printers would be a line inside a business that size rather than the business.</t>
        </is>
      </c>
      <c r="M141" s="8" t="inlineStr">
        <is>
          <t>No</t>
        </is>
      </c>
      <c r="N141" s="9" t="inlineStr">
        <is>
          <t>No method statement on record. Owning the equipment and the crews is not the same as having paid for a method that was new at the time.</t>
        </is>
      </c>
      <c r="O141" s="8" t="inlineStr">
        <is>
          <t>Yes</t>
        </is>
      </c>
      <c r="P141" s="6" t="inlineStr">
        <is>
          <t>https://www.linkedin.com/in/jarrodportelance/</t>
        </is>
      </c>
      <c r="Q141" s="6" t="inlineStr"/>
      <c r="R141" s="11">
        <f>IF(P141="","ADD LINKEDIN","ok")</f>
        <v/>
      </c>
      <c r="S141" s="6" t="inlineStr">
        <is>
          <t>https://www.harveycleary.com/</t>
        </is>
      </c>
      <c r="T141" s="9" t="inlineStr">
        <is>
          <t>It owns formwork, rebar, place and finish, tiltwall erection, architectural precast and tower crane erection, and it builds apartments. No other firm screened discloses that much owned trade.</t>
        </is>
      </c>
      <c r="U141" s="6" t="inlineStr"/>
      <c r="V141" s="9" t="inlineStr">
        <is>
          <t>Headline reads Project Director at Harvey | Harvey-Cleary Builders. Houston, Texas.</t>
        </is>
      </c>
      <c r="W141" s="6" t="inlineStr"/>
      <c r="X141" s="6" t="inlineStr"/>
      <c r="Y141" s="6" t="inlineStr"/>
      <c r="Z141" s="6" t="inlineStr">
        <is>
          <t>2026 Engineering News-Record. ENR 2026 Top 400 Contractors, where the firm is ranked 72  https://www.enr.com/toplists/2026-Top-400-Contractors-1</t>
        </is>
      </c>
    </row>
    <row r="142">
      <c r="A142" s="12" t="inlineStr">
        <is>
          <t>Travis Boone</t>
        </is>
      </c>
      <c r="B142" s="12" t="inlineStr">
        <is>
          <t>ORION</t>
        </is>
      </c>
      <c r="C142" s="12" t="inlineStr">
        <is>
          <t>Chief Executive Officer, Orion Group Holdings, quoted in the firm's own release of 29 January 2024</t>
        </is>
      </c>
      <c r="D142" s="13" t="inlineStr">
        <is>
          <t>Builds the wall, not the house</t>
        </is>
      </c>
      <c r="E142" s="14" t="n">
        <v>2</v>
      </c>
      <c r="F142" s="12" t="inlineStr">
        <is>
          <t>Builds the wall</t>
        </is>
      </c>
      <c r="G142" s="12" t="inlineStr">
        <is>
          <t>Houston, Harris</t>
        </is>
      </c>
      <c r="H142" s="12" t="inlineStr">
        <is>
          <t>257 panels and 175,820 square feet of wall on one job</t>
        </is>
      </c>
      <c r="I142" s="14" t="inlineStr">
        <is>
          <t>Yes</t>
        </is>
      </c>
      <c r="J142" s="15" t="inlineStr">
        <is>
          <t>Panel production at the top of the metro's range, recurring across institutional and commercial work.</t>
        </is>
      </c>
      <c r="K142" s="14" t="inlineStr">
        <is>
          <t>Partly</t>
        </is>
      </c>
      <c r="L142" s="15" t="inlineStr">
        <is>
          <t>The concrete business is large enough that a printer is a line item, and the capital decision sits with a listed parent rather than in Houston.</t>
        </is>
      </c>
      <c r="M142" s="14" t="inlineStr">
        <is>
          <t>No</t>
        </is>
      </c>
      <c r="N142" s="15" t="inlineStr">
        <is>
          <t>No method statement on record.</t>
        </is>
      </c>
      <c r="O142" s="14" t="inlineStr">
        <is>
          <t>Yes</t>
        </is>
      </c>
      <c r="P142" s="10" t="inlineStr"/>
      <c r="Q142" s="12">
        <f>HYPERLINK("https://www.linkedin.com/search/results/people/?keywords=Travis%20Boone%20ORION","search")</f>
        <v/>
      </c>
      <c r="R142" s="16">
        <f>IF(P142="","ADD LINKEDIN","ok")</f>
        <v/>
      </c>
      <c r="S142" s="12" t="inlineStr">
        <is>
          <t>https://www.oriongroupholdingsinc.com/</t>
        </is>
      </c>
      <c r="T142" s="15" t="inlineStr">
        <is>
          <t>The largest single panel production found in the metro, at 257 panels on one school. Purchasing now runs through a listed parent.</t>
        </is>
      </c>
      <c r="U142" s="12" t="inlineStr">
        <is>
          <t>YES</t>
        </is>
      </c>
      <c r="V142" s="15" t="inlineStr">
        <is>
          <t>Travis Boone runs the listed parent, not the Houston concrete business.</t>
        </is>
      </c>
      <c r="W142" s="12" t="inlineStr"/>
      <c r="X142" s="12" t="inlineStr"/>
      <c r="Y142" s="12" t="inlineStr"/>
      <c r="Z142" s="12" t="inlineStr"/>
    </row>
    <row r="143">
      <c r="A143" s="6" t="inlineStr">
        <is>
          <t>Victor Andrade</t>
        </is>
      </c>
      <c r="B143" s="6" t="inlineStr">
        <is>
          <t>Andrade Construction Companies</t>
        </is>
      </c>
      <c r="C143" s="6" t="inlineStr">
        <is>
          <t>Founder, named on the firm's own about page as having started the firm in 2003</t>
        </is>
      </c>
      <c r="D143" s="7" t="inlineStr">
        <is>
          <t>Builds the wall, not the house</t>
        </is>
      </c>
      <c r="E143" s="8" t="n">
        <v>2</v>
      </c>
      <c r="F143" s="6" t="inlineStr">
        <is>
          <t>Builds the wall</t>
        </is>
      </c>
      <c r="G143" s="6" t="inlineStr">
        <is>
          <t>Houston, working Harris and Brazoria</t>
        </is>
      </c>
      <c r="H143" s="6" t="inlineStr">
        <is>
          <t>Owns earthwork, utilities and concrete</t>
        </is>
      </c>
      <c r="I143" s="8" t="inlineStr">
        <is>
          <t>Partly</t>
        </is>
      </c>
      <c r="J143" s="9" t="inlineStr">
        <is>
          <t>Site and concrete packages recurring across Houston jobs, though the buildings themselves differ.</t>
        </is>
      </c>
      <c r="K143" s="8" t="inlineStr">
        <is>
          <t>Yes</t>
        </is>
      </c>
      <c r="L143" s="9" t="inlineStr">
        <is>
          <t>No crew count, revenue or annual volume is published. On the bands, a firm with no published figure is a Partly.</t>
        </is>
      </c>
      <c r="M143" s="8" t="inlineStr">
        <is>
          <t>No</t>
        </is>
      </c>
      <c r="N143" s="9" t="inlineStr">
        <is>
          <t>No method statement on record.</t>
        </is>
      </c>
      <c r="O143" s="8" t="inlineStr">
        <is>
          <t>Partly</t>
        </is>
      </c>
      <c r="P143" s="10" t="inlineStr"/>
      <c r="Q143" s="6">
        <f>HYPERLINK("https://www.linkedin.com/search/results/people/?keywords=Victor%20Andrade%20Andrade%20Construction%20Companies","search")</f>
        <v/>
      </c>
      <c r="R143" s="11">
        <f>IF(P143="","ADD LINKEDIN","ok")</f>
        <v/>
      </c>
      <c r="S143" s="6" t="inlineStr">
        <is>
          <t>https://andradeconstructioncompanies.com/</t>
        </is>
      </c>
      <c r="T143" s="9" t="inlineStr">
        <is>
          <t>It owns the earthwork, the utilities and the concrete on the same site, so a printer would stand on a slab its own crews poured.</t>
        </is>
      </c>
      <c r="U143" s="6" t="inlineStr"/>
      <c r="V143" s="9" t="inlineStr"/>
      <c r="W143" s="6" t="inlineStr"/>
      <c r="X143" s="6" t="inlineStr"/>
      <c r="Y143" s="6" t="inlineStr"/>
      <c r="Z143" s="6" t="inlineStr"/>
    </row>
    <row r="144">
      <c r="A144" s="12" t="inlineStr">
        <is>
          <t>Eric Rice</t>
        </is>
      </c>
      <c r="B144" s="12" t="inlineStr">
        <is>
          <t>Andrade Construction Companies</t>
        </is>
      </c>
      <c r="C144" s="12" t="inlineStr">
        <is>
          <t>Business Development Manager</t>
        </is>
      </c>
      <c r="D144" s="13" t="inlineStr">
        <is>
          <t>Builds the wall, not the house</t>
        </is>
      </c>
      <c r="E144" s="14" t="n">
        <v>2</v>
      </c>
      <c r="F144" s="12" t="inlineStr">
        <is>
          <t>Builds the wall</t>
        </is>
      </c>
      <c r="G144" s="12" t="inlineStr">
        <is>
          <t>Houston, working Harris and Brazoria</t>
        </is>
      </c>
      <c r="H144" s="12" t="inlineStr">
        <is>
          <t>Owns earthwork, utilities and concrete</t>
        </is>
      </c>
      <c r="I144" s="14" t="inlineStr">
        <is>
          <t>Partly</t>
        </is>
      </c>
      <c r="J144" s="15" t="inlineStr">
        <is>
          <t>Site and concrete packages recurring across Houston jobs, though the buildings themselves differ.</t>
        </is>
      </c>
      <c r="K144" s="14" t="inlineStr">
        <is>
          <t>Yes</t>
        </is>
      </c>
      <c r="L144" s="15" t="inlineStr">
        <is>
          <t>No crew count, revenue or annual volume is published. On the bands, a firm with no published figure is a Partly.</t>
        </is>
      </c>
      <c r="M144" s="14" t="inlineStr">
        <is>
          <t>No</t>
        </is>
      </c>
      <c r="N144" s="15" t="inlineStr">
        <is>
          <t>No method statement on record.</t>
        </is>
      </c>
      <c r="O144" s="14" t="inlineStr">
        <is>
          <t>Partly</t>
        </is>
      </c>
      <c r="P144" s="6" t="inlineStr">
        <is>
          <t>https://www.linkedin.com/in/eric-rice-177124352/</t>
        </is>
      </c>
      <c r="Q144" s="12" t="inlineStr"/>
      <c r="R144" s="16">
        <f>IF(P144="","ADD LINKEDIN","ok")</f>
        <v/>
      </c>
      <c r="S144" s="12" t="inlineStr">
        <is>
          <t>https://andradeconstructioncompanies.com/</t>
        </is>
      </c>
      <c r="T144" s="15" t="inlineStr">
        <is>
          <t>It owns the earthwork, the utilities and the concrete on the same site, so a printer would stand on a slab its own crews poured.</t>
        </is>
      </c>
      <c r="U144" s="12" t="inlineStr"/>
      <c r="V144" s="15" t="inlineStr">
        <is>
          <t>Headline reads Business Development Manager at Andrade Construction Companies. Houston, Texas.</t>
        </is>
      </c>
      <c r="W144" s="12" t="inlineStr"/>
      <c r="X144" s="12" t="inlineStr"/>
      <c r="Y144" s="12" t="inlineStr"/>
      <c r="Z144" s="12" t="inlineStr"/>
    </row>
    <row r="145">
      <c r="A145" s="6" t="inlineStr">
        <is>
          <t>Luis Andrade</t>
        </is>
      </c>
      <c r="B145" s="6" t="inlineStr">
        <is>
          <t>Andrade Construction Companies</t>
        </is>
      </c>
      <c r="C145" s="6" t="inlineStr">
        <is>
          <t>Chief Operating Officer, Andrade Concrete and Construction</t>
        </is>
      </c>
      <c r="D145" s="7" t="inlineStr">
        <is>
          <t>Builds the wall, not the house</t>
        </is>
      </c>
      <c r="E145" s="8" t="n">
        <v>2</v>
      </c>
      <c r="F145" s="6" t="inlineStr">
        <is>
          <t>Builds the wall</t>
        </is>
      </c>
      <c r="G145" s="6" t="inlineStr">
        <is>
          <t>Houston, working Harris and Brazoria</t>
        </is>
      </c>
      <c r="H145" s="6" t="inlineStr">
        <is>
          <t>Owns earthwork, utilities and concrete</t>
        </is>
      </c>
      <c r="I145" s="8" t="inlineStr">
        <is>
          <t>Partly</t>
        </is>
      </c>
      <c r="J145" s="9" t="inlineStr">
        <is>
          <t>Site and concrete packages recurring across Houston jobs, though the buildings themselves differ.</t>
        </is>
      </c>
      <c r="K145" s="8" t="inlineStr">
        <is>
          <t>Yes</t>
        </is>
      </c>
      <c r="L145" s="9" t="inlineStr">
        <is>
          <t>No crew count, revenue or annual volume is published. On the bands, a firm with no published figure is a Partly.</t>
        </is>
      </c>
      <c r="M145" s="8" t="inlineStr">
        <is>
          <t>No</t>
        </is>
      </c>
      <c r="N145" s="9" t="inlineStr">
        <is>
          <t>No method statement on record.</t>
        </is>
      </c>
      <c r="O145" s="8" t="inlineStr">
        <is>
          <t>Partly</t>
        </is>
      </c>
      <c r="P145" s="6" t="inlineStr">
        <is>
          <t>https://www.linkedin.com/in/luis-andrade-128317159/</t>
        </is>
      </c>
      <c r="Q145" s="6" t="inlineStr"/>
      <c r="R145" s="11">
        <f>IF(P145="","ADD LINKEDIN","ok")</f>
        <v/>
      </c>
      <c r="S145" s="6" t="inlineStr">
        <is>
          <t>https://andradeconstructioncompanies.com/</t>
        </is>
      </c>
      <c r="T145" s="9" t="inlineStr">
        <is>
          <t>It owns the earthwork, the utilities and the concrete on the same site, so a printer would stand on a slab its own crews poured.</t>
        </is>
      </c>
      <c r="U145" s="6" t="inlineStr"/>
      <c r="V145" s="9" t="inlineStr">
        <is>
          <t>Headline reads COO at Andrade Concrete &amp; Construction Inc., which is a different registered name from Andrade Construction Companies. Confirm the two are the same business.</t>
        </is>
      </c>
      <c r="W145" s="6" t="inlineStr"/>
      <c r="X145" s="6" t="inlineStr"/>
      <c r="Y145" s="6" t="inlineStr"/>
      <c r="Z145" s="6" t="inlineStr"/>
    </row>
    <row r="146">
      <c r="A146" s="12" t="inlineStr">
        <is>
          <t>J. Cameron Guinn</t>
        </is>
      </c>
      <c r="B146" s="12" t="inlineStr">
        <is>
          <t>HTX Concrete</t>
        </is>
      </c>
      <c r="C146" s="12" t="inlineStr">
        <is>
          <t>Vice President, Business Development</t>
        </is>
      </c>
      <c r="D146" s="13" t="inlineStr">
        <is>
          <t>Builds the wall, not the house</t>
        </is>
      </c>
      <c r="E146" s="14" t="n">
        <v>2</v>
      </c>
      <c r="F146" s="12" t="inlineStr">
        <is>
          <t>Builds the wall</t>
        </is>
      </c>
      <c r="G146" s="12" t="inlineStr">
        <is>
          <t>Houston, working Harris, Fort Bend and Brazoria</t>
        </is>
      </c>
      <c r="H146" s="12" t="inlineStr">
        <is>
          <t>Names a garden-style multifamily project on its own site</t>
        </is>
      </c>
      <c r="I146" s="14" t="inlineStr">
        <is>
          <t>Partly</t>
        </is>
      </c>
      <c r="J146" s="15" t="inlineStr">
        <is>
          <t>Commercial shells and paving across the metro. The published square footages are weighted to paving rather than to wall.</t>
        </is>
      </c>
      <c r="K146" s="14" t="inlineStr">
        <is>
          <t>Yes</t>
        </is>
      </c>
      <c r="L146" s="15" t="inlineStr">
        <is>
          <t>No annual volume is published. The one published wall figure is 12,000 square feet of tilt wall against 155,000 gross square feet of paving on the same job.</t>
        </is>
      </c>
      <c r="M146" s="14" t="inlineStr">
        <is>
          <t>No</t>
        </is>
      </c>
      <c r="N146" s="15" t="inlineStr">
        <is>
          <t>No method statement on record.</t>
        </is>
      </c>
      <c r="O146" s="14" t="inlineStr">
        <is>
          <t>Partly</t>
        </is>
      </c>
      <c r="P146" s="6" t="inlineStr">
        <is>
          <t>https://www.linkedin.com/in/j-cameron-guinn-2047686/</t>
        </is>
      </c>
      <c r="Q146" s="12" t="inlineStr"/>
      <c r="R146" s="16">
        <f>IF(P146="","ADD LINKEDIN","ok")</f>
        <v/>
      </c>
      <c r="S146" s="12" t="inlineStr">
        <is>
          <t>https://htxconcrete.com/</t>
        </is>
      </c>
      <c r="T146" s="15" t="inlineStr">
        <is>
          <t>One of two contractors screened that names an actual multifamily project on its own site. The published work is paving-heavy.</t>
        </is>
      </c>
      <c r="U146" s="12" t="inlineStr"/>
      <c r="V146" s="15" t="inlineStr">
        <is>
          <t>Headline reads Vice President Business Development at HTX Concrete. Houston, Texas.</t>
        </is>
      </c>
      <c r="W146" s="12" t="inlineStr"/>
      <c r="X146" s="12" t="inlineStr"/>
      <c r="Y146" s="12" t="inlineStr"/>
      <c r="Z146" s="12" t="inlineStr"/>
    </row>
    <row r="147">
      <c r="A147" s="6" t="inlineStr">
        <is>
          <t>Tony Le</t>
        </is>
      </c>
      <c r="B147" s="6" t="inlineStr">
        <is>
          <t>HTX Concrete</t>
        </is>
      </c>
      <c r="C147" s="6" t="inlineStr">
        <is>
          <t>Chief Estimator</t>
        </is>
      </c>
      <c r="D147" s="7" t="inlineStr">
        <is>
          <t>Builds the wall, not the house</t>
        </is>
      </c>
      <c r="E147" s="8" t="n">
        <v>2</v>
      </c>
      <c r="F147" s="6" t="inlineStr">
        <is>
          <t>Builds the wall</t>
        </is>
      </c>
      <c r="G147" s="6" t="inlineStr">
        <is>
          <t>Houston, working Harris, Fort Bend and Brazoria</t>
        </is>
      </c>
      <c r="H147" s="6" t="inlineStr">
        <is>
          <t>Names a garden-style multifamily project on its own site</t>
        </is>
      </c>
      <c r="I147" s="8" t="inlineStr">
        <is>
          <t>Partly</t>
        </is>
      </c>
      <c r="J147" s="9" t="inlineStr">
        <is>
          <t>Commercial shells and paving across the metro. The published square footages are weighted to paving rather than to wall.</t>
        </is>
      </c>
      <c r="K147" s="8" t="inlineStr">
        <is>
          <t>Yes</t>
        </is>
      </c>
      <c r="L147" s="9" t="inlineStr">
        <is>
          <t>No annual volume is published. The one published wall figure is 12,000 square feet of tilt wall against 155,000 gross square feet of paving on the same job.</t>
        </is>
      </c>
      <c r="M147" s="8" t="inlineStr">
        <is>
          <t>No</t>
        </is>
      </c>
      <c r="N147" s="9" t="inlineStr">
        <is>
          <t>No method statement on record.</t>
        </is>
      </c>
      <c r="O147" s="8" t="inlineStr">
        <is>
          <t>Partly</t>
        </is>
      </c>
      <c r="P147" s="6" t="inlineStr">
        <is>
          <t>https://www.linkedin.com/in/tony-le-81ba0032/</t>
        </is>
      </c>
      <c r="Q147" s="6" t="inlineStr"/>
      <c r="R147" s="11">
        <f>IF(P147="","ADD LINKEDIN","ok")</f>
        <v/>
      </c>
      <c r="S147" s="6" t="inlineStr">
        <is>
          <t>https://htxconcrete.com/</t>
        </is>
      </c>
      <c r="T147" s="9" t="inlineStr">
        <is>
          <t>One of two contractors screened that names an actual multifamily project on its own site. The published work is paving-heavy.</t>
        </is>
      </c>
      <c r="U147" s="6" t="inlineStr"/>
      <c r="V147" s="9" t="inlineStr">
        <is>
          <t>Headline reads Chief Estimator at HTX Concrete. Houston, Texas.</t>
        </is>
      </c>
      <c r="W147" s="6" t="inlineStr"/>
      <c r="X147" s="6" t="inlineStr"/>
      <c r="Y147" s="6" t="inlineStr"/>
      <c r="Z147" s="6" t="inlineStr"/>
    </row>
    <row r="148">
      <c r="A148" s="12" t="inlineStr">
        <is>
          <t>Steve Salverino</t>
        </is>
      </c>
      <c r="B148" s="12" t="inlineStr">
        <is>
          <t>Rino Construction</t>
        </is>
      </c>
      <c r="C148" s="12" t="inlineStr">
        <is>
          <t>Chief Executive Officer, named on the firm's own leadership page</t>
        </is>
      </c>
      <c r="D148" s="13" t="inlineStr">
        <is>
          <t>Builds the wall, not the house</t>
        </is>
      </c>
      <c r="E148" s="14" t="n">
        <v>2</v>
      </c>
      <c r="F148" s="12" t="inlineStr">
        <is>
          <t>Builds the wall</t>
        </is>
      </c>
      <c r="G148" s="12" t="inlineStr">
        <is>
          <t>Katy, Harris and Fort Bend, with Austin</t>
        </is>
      </c>
      <c r="H148" s="12" t="inlineStr">
        <is>
          <t>Operating since 1991, tilt-up its stated specialty</t>
        </is>
      </c>
      <c r="I148" s="14" t="inlineStr">
        <is>
          <t>Yes</t>
        </is>
      </c>
      <c r="J148" s="15" t="inlineStr">
        <is>
          <t>Tilt-up buildings recurring across two Texas metros since 1991, at 48 million square feet on its own count.</t>
        </is>
      </c>
      <c r="K148" s="14" t="inlineStr">
        <is>
          <t>Partly</t>
        </is>
      </c>
      <c r="L148" s="15" t="inlineStr">
        <is>
          <t>48 million square feet since 1991 on the firm's own homepage. A second page still carries an older 38 million. No annual figure is published, so this sits at a Partly.</t>
        </is>
      </c>
      <c r="M148" s="14" t="inlineStr">
        <is>
          <t>No</t>
        </is>
      </c>
      <c r="N148" s="15" t="inlineStr">
        <is>
          <t>No method statement on record.</t>
        </is>
      </c>
      <c r="O148" s="14" t="inlineStr">
        <is>
          <t>Partly</t>
        </is>
      </c>
      <c r="P148" s="10" t="inlineStr"/>
      <c r="Q148" s="12">
        <f>HYPERLINK("https://www.linkedin.com/search/results/people/?keywords=Steve%20Salverino%20Rino%20Construction","search")</f>
        <v/>
      </c>
      <c r="R148" s="16">
        <f>IF(P148="","ADD LINKEDIN","ok")</f>
        <v/>
      </c>
      <c r="S148" s="12" t="inlineStr">
        <is>
          <t>https://rino-con.com/</t>
        </is>
      </c>
      <c r="T148" s="15" t="inlineStr">
        <is>
          <t>Thirty-five years of tilt-up as the stated specialty. Its own site puts the self-performed concrete in the past tense.</t>
        </is>
      </c>
      <c r="U148" s="12" t="inlineStr"/>
      <c r="V148" s="15" t="inlineStr"/>
      <c r="W148" s="12" t="inlineStr"/>
      <c r="X148" s="12" t="inlineStr"/>
      <c r="Y148" s="12" t="inlineStr"/>
      <c r="Z148" s="12" t="inlineStr"/>
    </row>
    <row r="149">
      <c r="A149" s="6" t="inlineStr">
        <is>
          <t>Jacob Aswad</t>
        </is>
      </c>
      <c r="B149" s="6" t="inlineStr">
        <is>
          <t>Rino Construction</t>
        </is>
      </c>
      <c r="C149" s="6" t="inlineStr">
        <is>
          <t>President, named on the firm's own leadership page</t>
        </is>
      </c>
      <c r="D149" s="7" t="inlineStr">
        <is>
          <t>Builds the wall, not the house</t>
        </is>
      </c>
      <c r="E149" s="8" t="n">
        <v>2</v>
      </c>
      <c r="F149" s="6" t="inlineStr">
        <is>
          <t>Builds the wall</t>
        </is>
      </c>
      <c r="G149" s="6" t="inlineStr">
        <is>
          <t>Katy, Harris and Fort Bend, with Austin</t>
        </is>
      </c>
      <c r="H149" s="6" t="inlineStr">
        <is>
          <t>Operating since 1991, tilt-up its stated specialty</t>
        </is>
      </c>
      <c r="I149" s="8" t="inlineStr">
        <is>
          <t>Yes</t>
        </is>
      </c>
      <c r="J149" s="9" t="inlineStr">
        <is>
          <t>Tilt-up buildings recurring across two Texas metros since 1991, at 48 million square feet on its own count.</t>
        </is>
      </c>
      <c r="K149" s="8" t="inlineStr">
        <is>
          <t>Partly</t>
        </is>
      </c>
      <c r="L149" s="9" t="inlineStr">
        <is>
          <t>48 million square feet since 1991 on the firm's own homepage. A second page still carries an older 38 million. No annual figure is published, so this sits at a Partly.</t>
        </is>
      </c>
      <c r="M149" s="8" t="inlineStr">
        <is>
          <t>No</t>
        </is>
      </c>
      <c r="N149" s="9" t="inlineStr">
        <is>
          <t>No method statement on record.</t>
        </is>
      </c>
      <c r="O149" s="8" t="inlineStr">
        <is>
          <t>Partly</t>
        </is>
      </c>
      <c r="P149" s="10" t="inlineStr"/>
      <c r="Q149" s="6">
        <f>HYPERLINK("https://www.linkedin.com/search/results/people/?keywords=Jacob%20Aswad%20Rino%20Construction","search")</f>
        <v/>
      </c>
      <c r="R149" s="11">
        <f>IF(P149="","ADD LINKEDIN","ok")</f>
        <v/>
      </c>
      <c r="S149" s="6" t="inlineStr">
        <is>
          <t>https://rino-con.com/</t>
        </is>
      </c>
      <c r="T149" s="9" t="inlineStr">
        <is>
          <t>Thirty-five years of tilt-up as the stated specialty. Its own site puts the self-performed concrete in the past tense.</t>
        </is>
      </c>
      <c r="U149" s="6" t="inlineStr"/>
      <c r="V149" s="9" t="inlineStr"/>
      <c r="W149" s="6" t="inlineStr"/>
      <c r="X149" s="6" t="inlineStr"/>
      <c r="Y149" s="6" t="inlineStr"/>
      <c r="Z149" s="6" t="inlineStr"/>
    </row>
    <row r="150">
      <c r="A150" s="12" t="inlineStr">
        <is>
          <t>Justin Henderson</t>
        </is>
      </c>
      <c r="B150" s="12" t="inlineStr">
        <is>
          <t>Rino Construction</t>
        </is>
      </c>
      <c r="C150" s="12" t="inlineStr">
        <is>
          <t>Vice President, named on the firm's own leadership page</t>
        </is>
      </c>
      <c r="D150" s="13" t="inlineStr">
        <is>
          <t>Builds the wall, not the house</t>
        </is>
      </c>
      <c r="E150" s="14" t="n">
        <v>2</v>
      </c>
      <c r="F150" s="12" t="inlineStr">
        <is>
          <t>Builds the wall</t>
        </is>
      </c>
      <c r="G150" s="12" t="inlineStr">
        <is>
          <t>Katy, Harris and Fort Bend, with Austin</t>
        </is>
      </c>
      <c r="H150" s="12" t="inlineStr">
        <is>
          <t>Operating since 1991, tilt-up its stated specialty</t>
        </is>
      </c>
      <c r="I150" s="14" t="inlineStr">
        <is>
          <t>Yes</t>
        </is>
      </c>
      <c r="J150" s="15" t="inlineStr">
        <is>
          <t>Tilt-up buildings recurring across two Texas metros since 1991, at 48 million square feet on its own count.</t>
        </is>
      </c>
      <c r="K150" s="14" t="inlineStr">
        <is>
          <t>Partly</t>
        </is>
      </c>
      <c r="L150" s="15" t="inlineStr">
        <is>
          <t>48 million square feet since 1991 on the firm's own homepage. A second page still carries an older 38 million. No annual figure is published, so this sits at a Partly.</t>
        </is>
      </c>
      <c r="M150" s="14" t="inlineStr">
        <is>
          <t>No</t>
        </is>
      </c>
      <c r="N150" s="15" t="inlineStr">
        <is>
          <t>No method statement on record.</t>
        </is>
      </c>
      <c r="O150" s="14" t="inlineStr">
        <is>
          <t>Partly</t>
        </is>
      </c>
      <c r="P150" s="10" t="inlineStr"/>
      <c r="Q150" s="12">
        <f>HYPERLINK("https://www.linkedin.com/search/results/people/?keywords=Justin%20Henderson%20Rino%20Construction","search")</f>
        <v/>
      </c>
      <c r="R150" s="16">
        <f>IF(P150="","ADD LINKEDIN","ok")</f>
        <v/>
      </c>
      <c r="S150" s="12" t="inlineStr">
        <is>
          <t>https://rino-con.com/</t>
        </is>
      </c>
      <c r="T150" s="15" t="inlineStr">
        <is>
          <t>Thirty-five years of tilt-up as the stated specialty. Its own site puts the self-performed concrete in the past tense.</t>
        </is>
      </c>
      <c r="U150" s="12" t="inlineStr"/>
      <c r="V150" s="15" t="inlineStr"/>
      <c r="W150" s="12" t="inlineStr"/>
      <c r="X150" s="12" t="inlineStr"/>
      <c r="Y150" s="12" t="inlineStr"/>
      <c r="Z150" s="12" t="inlineStr"/>
    </row>
    <row r="151">
      <c r="A151" s="6" t="inlineStr">
        <is>
          <t>Jeff Rager</t>
        </is>
      </c>
      <c r="B151" s="6" t="inlineStr">
        <is>
          <t>Rino Construction</t>
        </is>
      </c>
      <c r="C151" s="6" t="inlineStr">
        <is>
          <t>Senior Project Manager</t>
        </is>
      </c>
      <c r="D151" s="7" t="inlineStr">
        <is>
          <t>Builds the wall, not the house</t>
        </is>
      </c>
      <c r="E151" s="8" t="n">
        <v>2</v>
      </c>
      <c r="F151" s="6" t="inlineStr">
        <is>
          <t>Builds the wall</t>
        </is>
      </c>
      <c r="G151" s="6" t="inlineStr">
        <is>
          <t>Katy, Harris and Fort Bend, with Austin</t>
        </is>
      </c>
      <c r="H151" s="6" t="inlineStr">
        <is>
          <t>Operating since 1991, tilt-up its stated specialty</t>
        </is>
      </c>
      <c r="I151" s="8" t="inlineStr">
        <is>
          <t>Yes</t>
        </is>
      </c>
      <c r="J151" s="9" t="inlineStr">
        <is>
          <t>Tilt-up buildings recurring across two Texas metros since 1991, at 48 million square feet on its own count.</t>
        </is>
      </c>
      <c r="K151" s="8" t="inlineStr">
        <is>
          <t>Partly</t>
        </is>
      </c>
      <c r="L151" s="9" t="inlineStr">
        <is>
          <t>48 million square feet since 1991 on the firm's own homepage. A second page still carries an older 38 million. No annual figure is published, so this sits at a Partly.</t>
        </is>
      </c>
      <c r="M151" s="8" t="inlineStr">
        <is>
          <t>No</t>
        </is>
      </c>
      <c r="N151" s="9" t="inlineStr">
        <is>
          <t>No method statement on record.</t>
        </is>
      </c>
      <c r="O151" s="8" t="inlineStr">
        <is>
          <t>Partly</t>
        </is>
      </c>
      <c r="P151" s="6" t="inlineStr">
        <is>
          <t>https://www.linkedin.com/in/jeff-rager-b0ab6a380/</t>
        </is>
      </c>
      <c r="Q151" s="6" t="inlineStr"/>
      <c r="R151" s="11">
        <f>IF(P151="","ADD LINKEDIN","ok")</f>
        <v/>
      </c>
      <c r="S151" s="6" t="inlineStr">
        <is>
          <t>https://rino-con.com/</t>
        </is>
      </c>
      <c r="T151" s="9" t="inlineStr">
        <is>
          <t>Thirty-five years of tilt-up as the stated specialty. Its own site puts the self-performed concrete in the past tense.</t>
        </is>
      </c>
      <c r="U151" s="6" t="inlineStr"/>
      <c r="V151" s="9" t="inlineStr">
        <is>
          <t>Headline reads Senior Project Manager, Rino (Rosenberger) Construction. Spring, Texas, and it carries both names, which confirms the rename.</t>
        </is>
      </c>
      <c r="W151" s="6" t="inlineStr"/>
      <c r="X151" s="6" t="inlineStr"/>
      <c r="Y151" s="6" t="inlineStr"/>
      <c r="Z151" s="6" t="inlineStr"/>
    </row>
    <row r="152">
      <c r="A152" s="12" t="inlineStr">
        <is>
          <t>James Abbate</t>
        </is>
      </c>
      <c r="B152" s="12" t="inlineStr">
        <is>
          <t>Rino Construction</t>
        </is>
      </c>
      <c r="C152" s="12" t="inlineStr">
        <is>
          <t>Controller</t>
        </is>
      </c>
      <c r="D152" s="13" t="inlineStr">
        <is>
          <t>Builds the wall, not the house</t>
        </is>
      </c>
      <c r="E152" s="14" t="n">
        <v>2</v>
      </c>
      <c r="F152" s="12" t="inlineStr">
        <is>
          <t>Builds the wall</t>
        </is>
      </c>
      <c r="G152" s="12" t="inlineStr">
        <is>
          <t>Katy, Harris and Fort Bend, with Austin</t>
        </is>
      </c>
      <c r="H152" s="12" t="inlineStr">
        <is>
          <t>Operating since 1991, tilt-up its stated specialty</t>
        </is>
      </c>
      <c r="I152" s="14" t="inlineStr">
        <is>
          <t>Yes</t>
        </is>
      </c>
      <c r="J152" s="15" t="inlineStr">
        <is>
          <t>Tilt-up buildings recurring across two Texas metros since 1991, at 48 million square feet on its own count.</t>
        </is>
      </c>
      <c r="K152" s="14" t="inlineStr">
        <is>
          <t>Partly</t>
        </is>
      </c>
      <c r="L152" s="15" t="inlineStr">
        <is>
          <t>48 million square feet since 1991 on the firm's own homepage. A second page still carries an older 38 million. No annual figure is published, so this sits at a Partly.</t>
        </is>
      </c>
      <c r="M152" s="14" t="inlineStr">
        <is>
          <t>No</t>
        </is>
      </c>
      <c r="N152" s="15" t="inlineStr">
        <is>
          <t>No method statement on record.</t>
        </is>
      </c>
      <c r="O152" s="14" t="inlineStr">
        <is>
          <t>Partly</t>
        </is>
      </c>
      <c r="P152" s="6" t="inlineStr">
        <is>
          <t>https://www.linkedin.com/in/james-abbate/</t>
        </is>
      </c>
      <c r="Q152" s="12" t="inlineStr"/>
      <c r="R152" s="16">
        <f>IF(P152="","ADD LINKEDIN","ok")</f>
        <v/>
      </c>
      <c r="S152" s="12" t="inlineStr">
        <is>
          <t>https://rino-con.com/</t>
        </is>
      </c>
      <c r="T152" s="15" t="inlineStr">
        <is>
          <t>Thirty-five years of tilt-up as the stated specialty. Its own site puts the self-performed concrete in the past tense.</t>
        </is>
      </c>
      <c r="U152" s="12" t="inlineStr"/>
      <c r="V152" s="15" t="inlineStr">
        <is>
          <t>Headline reads Controller at Rosenberger Construction. Katy, Texas.</t>
        </is>
      </c>
      <c r="W152" s="12" t="inlineStr"/>
      <c r="X152" s="12" t="inlineStr"/>
      <c r="Y152" s="12" t="inlineStr"/>
      <c r="Z152" s="12" t="inlineStr"/>
    </row>
    <row r="153">
      <c r="A153" s="6" t="inlineStr">
        <is>
          <t>Trent Mitchell</t>
        </is>
      </c>
      <c r="B153" s="6" t="inlineStr">
        <is>
          <t>Silver Spur Concrete Contractors</t>
        </is>
      </c>
      <c r="C153" s="6" t="inlineStr">
        <is>
          <t>Owner, named on the firm's own about page, after eighteen years selling ready-mix to the largest general contractors in Houston</t>
        </is>
      </c>
      <c r="D153" s="7" t="inlineStr">
        <is>
          <t>Builds the wall, not the house</t>
        </is>
      </c>
      <c r="E153" s="8" t="n">
        <v>2</v>
      </c>
      <c r="F153" s="6" t="inlineStr">
        <is>
          <t>Builds the wall</t>
        </is>
      </c>
      <c r="G153" s="6" t="inlineStr">
        <is>
          <t>Tomball and north Houston, Harris and Montgomery</t>
        </is>
      </c>
      <c r="H153" s="6" t="inlineStr">
        <is>
          <t>Publishes a custom residential concrete line</t>
        </is>
      </c>
      <c r="I153" s="8" t="inlineStr">
        <is>
          <t>Partly</t>
        </is>
      </c>
      <c r="J153" s="9" t="inlineStr">
        <is>
          <t>Commercial concrete and metal buildings recurring across the north side of the metro.</t>
        </is>
      </c>
      <c r="K153" s="8" t="inlineStr">
        <is>
          <t>Yes</t>
        </is>
      </c>
      <c r="L153" s="9" t="inlineStr">
        <is>
          <t>No crew count, revenue or project size is published anywhere on the site. On the bands, a firm with no published figure is a Partly.</t>
        </is>
      </c>
      <c r="M153" s="8" t="inlineStr">
        <is>
          <t>No</t>
        </is>
      </c>
      <c r="N153" s="9" t="inlineStr">
        <is>
          <t>No method statement on record.</t>
        </is>
      </c>
      <c r="O153" s="8" t="inlineStr">
        <is>
          <t>Partly</t>
        </is>
      </c>
      <c r="P153" s="10" t="inlineStr"/>
      <c r="Q153" s="6">
        <f>HYPERLINK("https://www.linkedin.com/search/results/people/?keywords=Trent%20Mitchell%20Silver%20Spur%20Concrete%20Contractors","search")</f>
        <v/>
      </c>
      <c r="R153" s="11">
        <f>IF(P153="","ADD LINKEDIN","ok")</f>
        <v/>
      </c>
      <c r="S153" s="6" t="inlineStr">
        <is>
          <t>https://silverspurconcrete.com/</t>
        </is>
      </c>
      <c r="T153" s="9" t="inlineStr">
        <is>
          <t>The only contractor screened that pairs tilt-wall with a published residential concrete line, including engineered slabs.</t>
        </is>
      </c>
      <c r="U153" s="6" t="inlineStr">
        <is>
          <t>YES</t>
        </is>
      </c>
      <c r="V153" s="9" t="inlineStr"/>
      <c r="W153" s="6" t="inlineStr"/>
      <c r="X153" s="6" t="inlineStr"/>
      <c r="Y153" s="6" t="inlineStr"/>
      <c r="Z153" s="6" t="inlineStr"/>
    </row>
    <row r="154">
      <c r="A154" s="12" t="inlineStr">
        <is>
          <t>David Buzzelli</t>
        </is>
      </c>
      <c r="B154" s="12" t="inlineStr">
        <is>
          <t>Texas A&amp;M Concrete</t>
        </is>
      </c>
      <c r="C154" s="12" t="inlineStr">
        <is>
          <t>Vice President</t>
        </is>
      </c>
      <c r="D154" s="13" t="inlineStr">
        <is>
          <t>Builds the wall, not the house</t>
        </is>
      </c>
      <c r="E154" s="14" t="n">
        <v>2</v>
      </c>
      <c r="F154" s="12" t="inlineStr">
        <is>
          <t>Builds the wall</t>
        </is>
      </c>
      <c r="G154" s="12" t="inlineStr">
        <is>
          <t>Houston, Harris</t>
        </is>
      </c>
      <c r="H154" s="12" t="inlineStr">
        <is>
          <t>79 panels and 52,116 square feet of tilt-up wall on one job</t>
        </is>
      </c>
      <c r="I154" s="14" t="inlineStr">
        <is>
          <t>Yes</t>
        </is>
      </c>
      <c r="J154" s="15" t="inlineStr">
        <is>
          <t>Tilt-up panel production repeats inside one metro even when the buildings differ.</t>
        </is>
      </c>
      <c r="K154" s="14" t="inlineStr">
        <is>
          <t>Partly</t>
        </is>
      </c>
      <c r="L154" s="15" t="inlineStr">
        <is>
          <t>The firm's own site gives a job range of $500,000 to $15 million. A printer would be one line in a book that size.</t>
        </is>
      </c>
      <c r="M154" s="14" t="inlineStr">
        <is>
          <t>No</t>
        </is>
      </c>
      <c r="N154" s="15" t="inlineStr">
        <is>
          <t>No method statement on record. Its published involvement is in concrete standards committees, not in new methods.</t>
        </is>
      </c>
      <c r="O154" s="14" t="inlineStr">
        <is>
          <t>Partly</t>
        </is>
      </c>
      <c r="P154" s="6" t="inlineStr">
        <is>
          <t>https://www.linkedin.com/in/david-buzzelli-faci-77109b29/</t>
        </is>
      </c>
      <c r="Q154" s="12" t="inlineStr"/>
      <c r="R154" s="16">
        <f>IF(P154="","ADD LINKEDIN","ok")</f>
        <v/>
      </c>
      <c r="S154" s="12" t="inlineStr">
        <is>
          <t>https://www.texasamconcrete.com/</t>
        </is>
      </c>
      <c r="T154" s="15" t="inlineStr">
        <is>
          <t>Two award-listed tilt-up jobs in Houston, one at 79 panels and 52,116 square feet of wall. Panels repeat; the buildings behind them do not.</t>
        </is>
      </c>
      <c r="U154" s="12" t="inlineStr">
        <is>
          <t>YES</t>
        </is>
      </c>
      <c r="V154" s="15" t="inlineStr">
        <is>
          <t>Headline reads Vice President of Texas A&amp;M Concrete, LLC. Houston, Texas. He is also named as a founder in the firm's own dated news post.</t>
        </is>
      </c>
      <c r="W154" s="12" t="inlineStr"/>
      <c r="X154" s="12" t="inlineStr"/>
      <c r="Y154" s="12" t="inlineStr"/>
      <c r="Z154" s="12" t="inlineStr"/>
    </row>
    <row r="155">
      <c r="A155" s="6" t="inlineStr">
        <is>
          <t>no contact identified</t>
        </is>
      </c>
      <c r="B155" s="6" t="inlineStr">
        <is>
          <t>Baker Construction</t>
        </is>
      </c>
      <c r="C155" s="6" t="inlineStr"/>
      <c r="D155" s="7" t="inlineStr">
        <is>
          <t>Builds the wall, not the house</t>
        </is>
      </c>
      <c r="E155" s="8" t="n">
        <v>1</v>
      </c>
      <c r="F155" s="6" t="inlineStr">
        <is>
          <t>Builds the wall</t>
        </is>
      </c>
      <c r="G155" s="6" t="inlineStr">
        <is>
          <t>Houston industrial office, Harris, inside a national firm</t>
        </is>
      </c>
      <c r="H155" s="6" t="inlineStr">
        <is>
          <t>61 panels at 70 feet, the heaviest about 87 tons</t>
        </is>
      </c>
      <c r="I155" s="8" t="inlineStr">
        <is>
          <t>Yes</t>
        </is>
      </c>
      <c r="J155" s="9" t="inlineStr">
        <is>
          <t>Panel and structural concrete work recurring across the Houston market.</t>
        </is>
      </c>
      <c r="K155" s="8" t="inlineStr">
        <is>
          <t>No</t>
        </is>
      </c>
      <c r="L155" s="9" t="inlineStr">
        <is>
          <t>More than 12,500 people across the United States on the firm's own count, and first on a national ranking of concrete specialty contractors. A machine purchase at that size runs through a national desk, which the bands score as a No.</t>
        </is>
      </c>
      <c r="M155" s="8" t="inlineStr">
        <is>
          <t>No</t>
        </is>
      </c>
      <c r="N155" s="9" t="inlineStr">
        <is>
          <t>No method statement on record. Working at the top of the panel size range is difficulty, not a new method.</t>
        </is>
      </c>
      <c r="O155" s="8" t="inlineStr">
        <is>
          <t>Yes</t>
        </is>
      </c>
      <c r="P155" s="10" t="inlineStr"/>
      <c r="Q155" s="6" t="inlineStr"/>
      <c r="R155" s="11">
        <f>IF(P155="","ADD LINKEDIN","ok")</f>
        <v/>
      </c>
      <c r="S155" s="6" t="inlineStr">
        <is>
          <t>https://bakerconstruction.com/</t>
        </is>
      </c>
      <c r="T155" s="9" t="inlineStr">
        <is>
          <t>Named on a 61-panel job at 70 feet, with the heaviest panel at about 87 tons. That is the top of what the trade attempts here. The firm is national.</t>
        </is>
      </c>
      <c r="U155" s="6" t="inlineStr"/>
      <c r="V155" s="9" t="inlineStr"/>
      <c r="W155" s="6" t="inlineStr"/>
      <c r="X155" s="6" t="inlineStr"/>
      <c r="Y155" s="6" t="inlineStr"/>
      <c r="Z155" s="6" t="inlineStr"/>
    </row>
    <row r="156">
      <c r="A156" s="12" t="inlineStr">
        <is>
          <t>Chris Vogler</t>
        </is>
      </c>
      <c r="B156" s="12" t="inlineStr">
        <is>
          <t>Leola Construction</t>
        </is>
      </c>
      <c r="C156" s="12" t="inlineStr">
        <is>
          <t>Business Development Manager</t>
        </is>
      </c>
      <c r="D156" s="13" t="inlineStr">
        <is>
          <t>Builds the wall, not the house</t>
        </is>
      </c>
      <c r="E156" s="14" t="n">
        <v>1</v>
      </c>
      <c r="F156" s="12" t="inlineStr">
        <is>
          <t>Builds the wall</t>
        </is>
      </c>
      <c r="G156" s="12" t="inlineStr">
        <is>
          <t>Houston division, working Harris, Fort Bend, Montgomery and Waller</t>
        </is>
      </c>
      <c r="H156" s="12" t="inlineStr">
        <is>
          <t>9,900 homes a year company-wide, across 300 communities</t>
        </is>
      </c>
      <c r="I156" s="14" t="inlineStr">
        <is>
          <t>Yes</t>
        </is>
      </c>
      <c r="J156" s="15" t="inlineStr">
        <is>
          <t>Single family and townhome communities across the north and west of the metro, taking the same wall package community after community.</t>
        </is>
      </c>
      <c r="K156" s="14" t="inlineStr">
        <is>
          <t>No</t>
        </is>
      </c>
      <c r="L156" s="15" t="inlineStr">
        <is>
          <t>9,900 homes a year on the firm's own count, company-wide across Florida and Texas, far above what one or two printers cover. It also counts more than 900 subcontractors and no direct field crew, so there is nobody inside the firm to put on a machine.</t>
        </is>
      </c>
      <c r="M156" s="14" t="inlineStr">
        <is>
          <t>No</t>
        </is>
      </c>
      <c r="N156" s="15" t="inlineStr">
        <is>
          <t>No method statement on record.</t>
        </is>
      </c>
      <c r="O156" s="14" t="inlineStr">
        <is>
          <t>Partly</t>
        </is>
      </c>
      <c r="P156" s="6" t="inlineStr">
        <is>
          <t>https://www.linkedin.com/in/chris-vogler-56239a52/</t>
        </is>
      </c>
      <c r="Q156" s="12" t="inlineStr"/>
      <c r="R156" s="16">
        <f>IF(P156="","ADD LINKEDIN","ok")</f>
        <v/>
      </c>
      <c r="S156" s="12" t="inlineStr">
        <is>
          <t>https://leolaconstruction.com/houston/</t>
        </is>
      </c>
      <c r="T156" s="15" t="inlineStr">
        <is>
          <t>It sells the entire wall package to production builders, which is the procurement a printed wall would displace. It owns almost no direct field labour.</t>
        </is>
      </c>
      <c r="U156" s="12" t="inlineStr"/>
      <c r="V156" s="15" t="inlineStr">
        <is>
          <t>Headline reads Business Development Manager at Leola Construction. Spring, Texas. He is the only Leola person in Greater Houston that a search returns.</t>
        </is>
      </c>
      <c r="W156" s="12" t="inlineStr"/>
      <c r="X156" s="12" t="inlineStr"/>
      <c r="Y156" s="12" t="inlineStr"/>
      <c r="Z156" s="12" t="inlineStr"/>
    </row>
    <row r="157">
      <c r="A157" s="6" t="inlineStr">
        <is>
          <t>Michael G. Scheurich</t>
        </is>
      </c>
      <c r="B157" s="6" t="inlineStr">
        <is>
          <t>Arch-Con Corporation</t>
        </is>
      </c>
      <c r="C157" s="6" t="inlineStr">
        <is>
          <t>Founder and Chief Executive Officer</t>
        </is>
      </c>
      <c r="D157" s="7" t="inlineStr">
        <is>
          <t>Builds the wall, not the house</t>
        </is>
      </c>
      <c r="E157" s="8" t="n">
        <v>3</v>
      </c>
      <c r="F157" s="6" t="inlineStr">
        <is>
          <t>Builds the wall</t>
        </is>
      </c>
      <c r="G157" s="6" t="inlineStr">
        <is>
          <t>Houston, Harris</t>
        </is>
      </c>
      <c r="H157" s="6" t="inlineStr">
        <is>
          <t>Reversed the standard tilt-wall sequence to save a month</t>
        </is>
      </c>
      <c r="I157" s="8" t="inlineStr">
        <is>
          <t>Partly</t>
        </is>
      </c>
      <c r="J157" s="9" t="inlineStr">
        <is>
          <t>Eight divisions across commercial, retail, healthcare and multifamily. The buildings differ project to project.</t>
        </is>
      </c>
      <c r="K157" s="8" t="inlineStr">
        <is>
          <t>Partly</t>
        </is>
      </c>
      <c r="L157" s="9" t="inlineStr">
        <is>
          <t>No annual volume is published. The one published job runs to 770,640 square feet, and the panels on it were poured by somebody else.</t>
        </is>
      </c>
      <c r="M157" s="8" t="inlineStr">
        <is>
          <t>Partly</t>
        </is>
      </c>
      <c r="N157" s="9" t="inlineStr">
        <is>
          <t>It reordered the standard tilt-wall sequence on a 770,640 square foot job, setting a 275-ton lattice boom crane on the perimeter to avoid the slab, and published the result. That is method appetite rather than the purchase of a new method.</t>
        </is>
      </c>
      <c r="O157" s="8" t="inlineStr">
        <is>
          <t>Yes</t>
        </is>
      </c>
      <c r="P157" s="6" t="inlineStr">
        <is>
          <t>https://www.linkedin.com/in/michael-scheurich-07811331/</t>
        </is>
      </c>
      <c r="Q157" s="6" t="inlineStr"/>
      <c r="R157" s="11">
        <f>IF(P157="","ADD LINKEDIN","ok")</f>
        <v/>
      </c>
      <c r="S157" s="6" t="inlineStr">
        <is>
          <t>https://www.arch-con.com/</t>
        </is>
      </c>
      <c r="T157" s="9" t="inlineStr">
        <is>
          <t>It published how it reordered a standard method to win a month of schedule. It buys its concrete rather than pouring it.</t>
        </is>
      </c>
      <c r="U157" s="6" t="inlineStr">
        <is>
          <t>YES</t>
        </is>
      </c>
      <c r="V157" s="9" t="inlineStr">
        <is>
          <t>Headline reads Chief Executive Officer at Arch-Con Corporation. Houston, Texas.</t>
        </is>
      </c>
      <c r="W157" s="6" t="inlineStr"/>
      <c r="X157" s="6" t="inlineStr"/>
      <c r="Y157" s="6" t="inlineStr"/>
      <c r="Z157" s="6" t="inlineStr">
        <is>
          <t>2026-07-21 Construction Owners. Arch-Con Tops Out 330-Unit Artis Montrose Apartment Project  https://www.constructionowners.com/news/arch-con-reaches-topping-out-milestone-on-330-unit-artis-montrose-apartment-project</t>
        </is>
      </c>
    </row>
    <row r="158">
      <c r="A158" s="12" t="inlineStr">
        <is>
          <t>Jason M. Cooper</t>
        </is>
      </c>
      <c r="B158" s="12" t="inlineStr">
        <is>
          <t>Arch-Con Corporation</t>
        </is>
      </c>
      <c r="C158" s="12" t="inlineStr">
        <is>
          <t>President</t>
        </is>
      </c>
      <c r="D158" s="13" t="inlineStr">
        <is>
          <t>Builds the wall, not the house</t>
        </is>
      </c>
      <c r="E158" s="14" t="n">
        <v>3</v>
      </c>
      <c r="F158" s="12" t="inlineStr">
        <is>
          <t>Builds the wall</t>
        </is>
      </c>
      <c r="G158" s="12" t="inlineStr">
        <is>
          <t>Houston, Harris</t>
        </is>
      </c>
      <c r="H158" s="12" t="inlineStr">
        <is>
          <t>Reversed the standard tilt-wall sequence to save a month</t>
        </is>
      </c>
      <c r="I158" s="14" t="inlineStr">
        <is>
          <t>Partly</t>
        </is>
      </c>
      <c r="J158" s="15" t="inlineStr">
        <is>
          <t>Eight divisions across commercial, retail, healthcare and multifamily. The buildings differ project to project.</t>
        </is>
      </c>
      <c r="K158" s="14" t="inlineStr">
        <is>
          <t>Partly</t>
        </is>
      </c>
      <c r="L158" s="15" t="inlineStr">
        <is>
          <t>No annual volume is published. The one published job runs to 770,640 square feet, and the panels on it were poured by somebody else.</t>
        </is>
      </c>
      <c r="M158" s="14" t="inlineStr">
        <is>
          <t>Partly</t>
        </is>
      </c>
      <c r="N158" s="15" t="inlineStr">
        <is>
          <t>It reordered the standard tilt-wall sequence on a 770,640 square foot job, setting a 275-ton lattice boom crane on the perimeter to avoid the slab, and published the result. That is method appetite rather than the purchase of a new method.</t>
        </is>
      </c>
      <c r="O158" s="14" t="inlineStr">
        <is>
          <t>Yes</t>
        </is>
      </c>
      <c r="P158" s="10" t="inlineStr"/>
      <c r="Q158" s="12">
        <f>HYPERLINK("https://www.linkedin.com/search/results/people/?keywords=Jason%20M.%20Cooper%20Arch-Con%20Corporation","search")</f>
        <v/>
      </c>
      <c r="R158" s="16">
        <f>IF(P158="","ADD LINKEDIN","ok")</f>
        <v/>
      </c>
      <c r="S158" s="12" t="inlineStr">
        <is>
          <t>https://www.arch-con.com/</t>
        </is>
      </c>
      <c r="T158" s="15" t="inlineStr">
        <is>
          <t>It published how it reordered a standard method to win a month of schedule. It buys its concrete rather than pouring it.</t>
        </is>
      </c>
      <c r="U158" s="12" t="inlineStr">
        <is>
          <t>YES</t>
        </is>
      </c>
      <c r="V158" s="15" t="inlineStr"/>
      <c r="W158" s="12" t="inlineStr"/>
      <c r="X158" s="12" t="inlineStr"/>
      <c r="Y158" s="12" t="inlineStr"/>
      <c r="Z158" s="12" t="inlineStr">
        <is>
          <t>2026-07-21 Construction Owners. Arch-Con Tops Out 330-Unit Artis Montrose Apartment Project  https://www.constructionowners.com/news/arch-con-reaches-topping-out-milestone-on-330-unit-artis-montrose-apartment-project</t>
        </is>
      </c>
    </row>
    <row r="159">
      <c r="A159" s="6" t="inlineStr">
        <is>
          <t>Daniel J. O'Hare</t>
        </is>
      </c>
      <c r="B159" s="6" t="inlineStr">
        <is>
          <t>Arch-Con Corporation</t>
        </is>
      </c>
      <c r="C159" s="6" t="inlineStr">
        <is>
          <t>Chief Financial Officer</t>
        </is>
      </c>
      <c r="D159" s="7" t="inlineStr">
        <is>
          <t>Builds the wall, not the house</t>
        </is>
      </c>
      <c r="E159" s="8" t="n">
        <v>3</v>
      </c>
      <c r="F159" s="6" t="inlineStr">
        <is>
          <t>Builds the wall</t>
        </is>
      </c>
      <c r="G159" s="6" t="inlineStr">
        <is>
          <t>Houston, Harris</t>
        </is>
      </c>
      <c r="H159" s="6" t="inlineStr">
        <is>
          <t>Reversed the standard tilt-wall sequence to save a month</t>
        </is>
      </c>
      <c r="I159" s="8" t="inlineStr">
        <is>
          <t>Partly</t>
        </is>
      </c>
      <c r="J159" s="9" t="inlineStr">
        <is>
          <t>Eight divisions across commercial, retail, healthcare and multifamily. The buildings differ project to project.</t>
        </is>
      </c>
      <c r="K159" s="8" t="inlineStr">
        <is>
          <t>Partly</t>
        </is>
      </c>
      <c r="L159" s="9" t="inlineStr">
        <is>
          <t>No annual volume is published. The one published job runs to 770,640 square feet, and the panels on it were poured by somebody else.</t>
        </is>
      </c>
      <c r="M159" s="8" t="inlineStr">
        <is>
          <t>Partly</t>
        </is>
      </c>
      <c r="N159" s="9" t="inlineStr">
        <is>
          <t>It reordered the standard tilt-wall sequence on a 770,640 square foot job, setting a 275-ton lattice boom crane on the perimeter to avoid the slab, and published the result. That is method appetite rather than the purchase of a new method.</t>
        </is>
      </c>
      <c r="O159" s="8" t="inlineStr">
        <is>
          <t>Yes</t>
        </is>
      </c>
      <c r="P159" s="10" t="inlineStr"/>
      <c r="Q159" s="6">
        <f>HYPERLINK("https://www.linkedin.com/search/results/people/?keywords=Daniel%20J.%20O%27Hare%20Arch-Con%20Corporation","search")</f>
        <v/>
      </c>
      <c r="R159" s="11">
        <f>IF(P159="","ADD LINKEDIN","ok")</f>
        <v/>
      </c>
      <c r="S159" s="6" t="inlineStr">
        <is>
          <t>https://www.arch-con.com/</t>
        </is>
      </c>
      <c r="T159" s="9" t="inlineStr">
        <is>
          <t>It published how it reordered a standard method to win a month of schedule. It buys its concrete rather than pouring it.</t>
        </is>
      </c>
      <c r="U159" s="6" t="inlineStr"/>
      <c r="V159" s="9" t="inlineStr"/>
      <c r="W159" s="6" t="inlineStr"/>
      <c r="X159" s="6" t="inlineStr"/>
      <c r="Y159" s="6" t="inlineStr"/>
      <c r="Z159" s="6" t="inlineStr">
        <is>
          <t>2026-07-21 Construction Owners. Arch-Con Tops Out 330-Unit Artis Montrose Apartment Project  https://www.constructionowners.com/news/arch-con-reaches-topping-out-milestone-on-330-unit-artis-montrose-apartment-project</t>
        </is>
      </c>
    </row>
    <row r="160">
      <c r="A160" s="12" t="inlineStr">
        <is>
          <t>Christopher Scheurich</t>
        </is>
      </c>
      <c r="B160" s="12" t="inlineStr">
        <is>
          <t>Arch-Con Corporation</t>
        </is>
      </c>
      <c r="C160" s="12" t="inlineStr">
        <is>
          <t>General Counsel</t>
        </is>
      </c>
      <c r="D160" s="13" t="inlineStr">
        <is>
          <t>Builds the wall, not the house</t>
        </is>
      </c>
      <c r="E160" s="14" t="n">
        <v>3</v>
      </c>
      <c r="F160" s="12" t="inlineStr">
        <is>
          <t>Builds the wall</t>
        </is>
      </c>
      <c r="G160" s="12" t="inlineStr">
        <is>
          <t>Houston, Harris</t>
        </is>
      </c>
      <c r="H160" s="12" t="inlineStr">
        <is>
          <t>Reversed the standard tilt-wall sequence to save a month</t>
        </is>
      </c>
      <c r="I160" s="14" t="inlineStr">
        <is>
          <t>Partly</t>
        </is>
      </c>
      <c r="J160" s="15" t="inlineStr">
        <is>
          <t>Eight divisions across commercial, retail, healthcare and multifamily. The buildings differ project to project.</t>
        </is>
      </c>
      <c r="K160" s="14" t="inlineStr">
        <is>
          <t>Partly</t>
        </is>
      </c>
      <c r="L160" s="15" t="inlineStr">
        <is>
          <t>No annual volume is published. The one published job runs to 770,640 square feet, and the panels on it were poured by somebody else.</t>
        </is>
      </c>
      <c r="M160" s="14" t="inlineStr">
        <is>
          <t>Partly</t>
        </is>
      </c>
      <c r="N160" s="15" t="inlineStr">
        <is>
          <t>It reordered the standard tilt-wall sequence on a 770,640 square foot job, setting a 275-ton lattice boom crane on the perimeter to avoid the slab, and published the result. That is method appetite rather than the purchase of a new method.</t>
        </is>
      </c>
      <c r="O160" s="14" t="inlineStr">
        <is>
          <t>Yes</t>
        </is>
      </c>
      <c r="P160" s="10" t="inlineStr"/>
      <c r="Q160" s="12">
        <f>HYPERLINK("https://www.linkedin.com/search/results/people/?keywords=Christopher%20Scheurich%20Arch-Con%20Corporation","search")</f>
        <v/>
      </c>
      <c r="R160" s="16">
        <f>IF(P160="","ADD LINKEDIN","ok")</f>
        <v/>
      </c>
      <c r="S160" s="12" t="inlineStr">
        <is>
          <t>https://www.arch-con.com/</t>
        </is>
      </c>
      <c r="T160" s="15" t="inlineStr">
        <is>
          <t>It published how it reordered a standard method to win a month of schedule. It buys its concrete rather than pouring it.</t>
        </is>
      </c>
      <c r="U160" s="12" t="inlineStr"/>
      <c r="V160" s="15" t="inlineStr">
        <is>
          <t>Headline reads General Counsel at Arch-Con Corporation. Houston, Texas.</t>
        </is>
      </c>
      <c r="W160" s="12" t="inlineStr"/>
      <c r="X160" s="12" t="inlineStr"/>
      <c r="Y160" s="12" t="inlineStr"/>
      <c r="Z160" s="12" t="inlineStr">
        <is>
          <t>2026-07-21 Construction Owners. Arch-Con Tops Out 330-Unit Artis Montrose Apartment Project  https://www.constructionowners.com/news/arch-con-reaches-topping-out-milestone-on-330-unit-artis-montrose-apartment-project</t>
        </is>
      </c>
    </row>
    <row r="161">
      <c r="A161" s="6" t="inlineStr">
        <is>
          <t>Brad Burton</t>
        </is>
      </c>
      <c r="B161" s="6" t="inlineStr">
        <is>
          <t>Burton Construction</t>
        </is>
      </c>
      <c r="C161" s="6" t="inlineStr">
        <is>
          <t>Founder, named on the firm's own about page</t>
        </is>
      </c>
      <c r="D161" s="7" t="inlineStr">
        <is>
          <t>Builds the wall, not the house</t>
        </is>
      </c>
      <c r="E161" s="8" t="n">
        <v>2</v>
      </c>
      <c r="F161" s="6" t="inlineStr">
        <is>
          <t>Builds the wall</t>
        </is>
      </c>
      <c r="G161" s="6" t="inlineStr">
        <is>
          <t>Houston, with Austin, San Antonio and Phoenix</t>
        </is>
      </c>
      <c r="H161" s="6" t="inlineStr">
        <is>
          <t>Founded 2004, with multifamily in its published portfolio</t>
        </is>
      </c>
      <c r="I161" s="8" t="inlineStr">
        <is>
          <t>Partly</t>
        </is>
      </c>
      <c r="J161" s="9" t="inlineStr">
        <is>
          <t>Commercial and multifamily work across four metros. The buildings differ project to project.</t>
        </is>
      </c>
      <c r="K161" s="8" t="inlineStr">
        <is>
          <t>Partly</t>
        </is>
      </c>
      <c r="L161" s="9" t="inlineStr">
        <is>
          <t>No revenue, crew count or project size is published. On the bands, a firm with no published figure is a Partly.</t>
        </is>
      </c>
      <c r="M161" s="8" t="inlineStr">
        <is>
          <t>No</t>
        </is>
      </c>
      <c r="N161" s="9" t="inlineStr">
        <is>
          <t>No method statement on record. The tilt-up award is for execution.</t>
        </is>
      </c>
      <c r="O161" s="8" t="inlineStr">
        <is>
          <t>Partly</t>
        </is>
      </c>
      <c r="P161" s="10" t="inlineStr"/>
      <c r="Q161" s="6">
        <f>HYPERLINK("https://www.linkedin.com/search/results/people/?keywords=Brad%20Burton%20Burton%20Construction","search")</f>
        <v/>
      </c>
      <c r="R161" s="11">
        <f>IF(P161="","ADD LINKEDIN","ok")</f>
        <v/>
      </c>
      <c r="S161" s="6" t="inlineStr">
        <is>
          <t>https://burtonconstruction.com/</t>
        </is>
      </c>
      <c r="T161" s="9" t="inlineStr">
        <is>
          <t>Twenty-two years old, a tilt-up award in 2024 and multifamily in the published portfolio. The founder is on the firm's own page; the chief executive is not.</t>
        </is>
      </c>
      <c r="U161" s="6" t="inlineStr">
        <is>
          <t>YES</t>
        </is>
      </c>
      <c r="V161" s="9" t="inlineStr"/>
      <c r="W161" s="6" t="inlineStr"/>
      <c r="X161" s="6" t="inlineStr"/>
      <c r="Y161" s="6" t="inlineStr"/>
      <c r="Z161" s="6" t="inlineStr"/>
    </row>
    <row r="162">
      <c r="A162" s="12" t="inlineStr">
        <is>
          <t>Shawn McAlpin</t>
        </is>
      </c>
      <c r="B162" s="12" t="inlineStr">
        <is>
          <t>Burton Construction</t>
        </is>
      </c>
      <c r="C162" s="12" t="inlineStr">
        <is>
          <t>Chief Executive Officer</t>
        </is>
      </c>
      <c r="D162" s="13" t="inlineStr">
        <is>
          <t>Builds the wall, not the house</t>
        </is>
      </c>
      <c r="E162" s="14" t="n">
        <v>2</v>
      </c>
      <c r="F162" s="12" t="inlineStr">
        <is>
          <t>Builds the wall</t>
        </is>
      </c>
      <c r="G162" s="12" t="inlineStr">
        <is>
          <t>Houston, with Austin, San Antonio and Phoenix</t>
        </is>
      </c>
      <c r="H162" s="12" t="inlineStr">
        <is>
          <t>Founded 2004, with multifamily in its published portfolio</t>
        </is>
      </c>
      <c r="I162" s="14" t="inlineStr">
        <is>
          <t>Partly</t>
        </is>
      </c>
      <c r="J162" s="15" t="inlineStr">
        <is>
          <t>Commercial and multifamily work across four metros. The buildings differ project to project.</t>
        </is>
      </c>
      <c r="K162" s="14" t="inlineStr">
        <is>
          <t>Partly</t>
        </is>
      </c>
      <c r="L162" s="15" t="inlineStr">
        <is>
          <t>No revenue, crew count or project size is published. On the bands, a firm with no published figure is a Partly.</t>
        </is>
      </c>
      <c r="M162" s="14" t="inlineStr">
        <is>
          <t>No</t>
        </is>
      </c>
      <c r="N162" s="15" t="inlineStr">
        <is>
          <t>No method statement on record. The tilt-up award is for execution.</t>
        </is>
      </c>
      <c r="O162" s="14" t="inlineStr">
        <is>
          <t>Partly</t>
        </is>
      </c>
      <c r="P162" s="6" t="inlineStr">
        <is>
          <t>https://www.linkedin.com/in/shawn-mcalpin-b1260312/</t>
        </is>
      </c>
      <c r="Q162" s="12" t="inlineStr"/>
      <c r="R162" s="16">
        <f>IF(P162="","ADD LINKEDIN","ok")</f>
        <v/>
      </c>
      <c r="S162" s="12" t="inlineStr">
        <is>
          <t>https://burtonconstruction.com/</t>
        </is>
      </c>
      <c r="T162" s="15" t="inlineStr">
        <is>
          <t>Twenty-two years old, a tilt-up award in 2024 and multifamily in the published portfolio. The founder is on the firm's own page; the chief executive is not.</t>
        </is>
      </c>
      <c r="U162" s="12" t="inlineStr">
        <is>
          <t>YES</t>
        </is>
      </c>
      <c r="V162" s="15" t="inlineStr">
        <is>
          <t>Headline reads CEO at Burton Construction. Katy, Texas. The firm's own about page names only its founder, so this is the current chief executive and the founder is not.</t>
        </is>
      </c>
      <c r="W162" s="12" t="inlineStr"/>
      <c r="X162" s="12" t="inlineStr"/>
      <c r="Y162" s="12" t="inlineStr"/>
      <c r="Z162" s="12" t="inlineStr"/>
    </row>
    <row r="163">
      <c r="A163" s="6" t="inlineStr">
        <is>
          <t>Joshua Cantu</t>
        </is>
      </c>
      <c r="B163" s="6" t="inlineStr">
        <is>
          <t>Burton Construction</t>
        </is>
      </c>
      <c r="C163" s="6" t="inlineStr">
        <is>
          <t>Director</t>
        </is>
      </c>
      <c r="D163" s="7" t="inlineStr">
        <is>
          <t>Builds the wall, not the house</t>
        </is>
      </c>
      <c r="E163" s="8" t="n">
        <v>2</v>
      </c>
      <c r="F163" s="6" t="inlineStr">
        <is>
          <t>Builds the wall</t>
        </is>
      </c>
      <c r="G163" s="6" t="inlineStr">
        <is>
          <t>Houston, with Austin, San Antonio and Phoenix</t>
        </is>
      </c>
      <c r="H163" s="6" t="inlineStr">
        <is>
          <t>Founded 2004, with multifamily in its published portfolio</t>
        </is>
      </c>
      <c r="I163" s="8" t="inlineStr">
        <is>
          <t>Partly</t>
        </is>
      </c>
      <c r="J163" s="9" t="inlineStr">
        <is>
          <t>Commercial and multifamily work across four metros. The buildings differ project to project.</t>
        </is>
      </c>
      <c r="K163" s="8" t="inlineStr">
        <is>
          <t>Partly</t>
        </is>
      </c>
      <c r="L163" s="9" t="inlineStr">
        <is>
          <t>No revenue, crew count or project size is published. On the bands, a firm with no published figure is a Partly.</t>
        </is>
      </c>
      <c r="M163" s="8" t="inlineStr">
        <is>
          <t>No</t>
        </is>
      </c>
      <c r="N163" s="9" t="inlineStr">
        <is>
          <t>No method statement on record. The tilt-up award is for execution.</t>
        </is>
      </c>
      <c r="O163" s="8" t="inlineStr">
        <is>
          <t>Partly</t>
        </is>
      </c>
      <c r="P163" s="10" t="inlineStr"/>
      <c r="Q163" s="6">
        <f>HYPERLINK("https://www.linkedin.com/search/results/people/?keywords=Joshua%20Cantu%20Burton%20Construction","search")</f>
        <v/>
      </c>
      <c r="R163" s="11">
        <f>IF(P163="","ADD LINKEDIN","ok")</f>
        <v/>
      </c>
      <c r="S163" s="6" t="inlineStr">
        <is>
          <t>https://burtonconstruction.com/</t>
        </is>
      </c>
      <c r="T163" s="9" t="inlineStr">
        <is>
          <t>Twenty-two years old, a tilt-up award in 2024 and multifamily in the published portfolio. The founder is on the firm's own page; the chief executive is not.</t>
        </is>
      </c>
      <c r="U163" s="6" t="inlineStr"/>
      <c r="V163" s="9" t="inlineStr">
        <is>
          <t>Headline reads Director at Burton Construction. Houston, Texas.</t>
        </is>
      </c>
      <c r="W163" s="6" t="inlineStr"/>
      <c r="X163" s="6" t="inlineStr"/>
      <c r="Y163" s="6" t="inlineStr"/>
      <c r="Z163" s="6" t="inlineStr"/>
    </row>
    <row r="164">
      <c r="A164" s="12" t="inlineStr">
        <is>
          <t>Scott Arnoldy</t>
        </is>
      </c>
      <c r="B164" s="12" t="inlineStr">
        <is>
          <t>Triten Real Estate Partners</t>
        </is>
      </c>
      <c r="C164" s="12" t="inlineStr">
        <is>
          <t>Chief Executive Officer, Founder</t>
        </is>
      </c>
      <c r="D164" s="13" t="inlineStr">
        <is>
          <t>Creative project, hybrid job</t>
        </is>
      </c>
      <c r="E164" s="14" t="n">
        <v>2</v>
      </c>
      <c r="F164" s="12" t="inlineStr">
        <is>
          <t>Buys walls</t>
        </is>
      </c>
      <c r="G164" s="12" t="inlineStr">
        <is>
          <t>East End / Fort Bend, Harris County</t>
        </is>
      </c>
      <c r="H164" s="12" t="inlineStr">
        <is>
          <t>340 units, mass timber frame</t>
        </is>
      </c>
      <c r="I164" s="14" t="inlineStr">
        <is>
          <t>Yes</t>
        </is>
      </c>
      <c r="J164" s="15" t="inlineStr">
        <is>
          <t>340 units at The Mill, 294 more at Aliana opening 2027.</t>
        </is>
      </c>
      <c r="K164" s="14" t="inlineStr">
        <is>
          <t>No</t>
        </is>
      </c>
      <c r="L164" s="15" t="inlineStr">
        <is>
          <t>Industrial and outdoor storage. There is no repeated house here.</t>
        </is>
      </c>
      <c r="M164" s="14" t="inlineStr">
        <is>
          <t>Yes</t>
        </is>
      </c>
      <c r="N164" s="15" t="inlineStr">
        <is>
          <t>Financed a cross-laminated timber frame and calls it a rare alternative to steel and concrete.</t>
        </is>
      </c>
      <c r="O164" s="14" t="inlineStr">
        <is>
          <t>Partly</t>
        </is>
      </c>
      <c r="P164" s="6" t="inlineStr">
        <is>
          <t>https://www.linkedin.com/in/scottarnoldy/</t>
        </is>
      </c>
      <c r="Q164" s="12" t="inlineStr"/>
      <c r="R164" s="16">
        <f>IF(P164="","ADD LINKEDIN","ok")</f>
        <v/>
      </c>
      <c r="S164" s="12" t="inlineStr">
        <is>
          <t>https://www.tritenre.com/</t>
        </is>
      </c>
      <c r="T164" s="15" t="inlineStr">
        <is>
          <t>Financed a cross-laminated timber frame at The Mill. 294 units at Aliana land in Titan's first delivery window.</t>
        </is>
      </c>
      <c r="U164" s="12" t="inlineStr"/>
      <c r="V164" s="15" t="inlineStr">
        <is>
          <t>Founder and CEO, Triten Real Estate Partners. Houston, Texas.</t>
        </is>
      </c>
      <c r="W164" s="12" t="inlineStr"/>
      <c r="X164" s="12" t="inlineStr">
        <is>
          <t>https://www.linkedin.com/company/triten-real-estate-partners</t>
        </is>
      </c>
      <c r="Y164" s="12" t="inlineStr">
        <is>
          <t>https://www.tritenre.com/team</t>
        </is>
      </c>
      <c r="Z164" s="12" t="inlineStr"/>
    </row>
    <row r="165">
      <c r="A165" s="6" t="inlineStr">
        <is>
          <t>Larry Sloan</t>
        </is>
      </c>
      <c r="B165" s="6" t="inlineStr">
        <is>
          <t>Triten Real Estate Partners</t>
        </is>
      </c>
      <c r="C165" s="6" t="inlineStr">
        <is>
          <t>Partner, Chief Development Officer</t>
        </is>
      </c>
      <c r="D165" s="7" t="inlineStr">
        <is>
          <t>Creative project, hybrid job</t>
        </is>
      </c>
      <c r="E165" s="8" t="n">
        <v>2</v>
      </c>
      <c r="F165" s="6" t="inlineStr">
        <is>
          <t>Buys walls</t>
        </is>
      </c>
      <c r="G165" s="6" t="inlineStr">
        <is>
          <t>East End / Fort Bend, Harris County</t>
        </is>
      </c>
      <c r="H165" s="6" t="inlineStr">
        <is>
          <t>340 units, mass timber frame</t>
        </is>
      </c>
      <c r="I165" s="8" t="inlineStr">
        <is>
          <t>Yes</t>
        </is>
      </c>
      <c r="J165" s="9" t="inlineStr">
        <is>
          <t>340 units at The Mill, 294 more at Aliana opening 2027.</t>
        </is>
      </c>
      <c r="K165" s="8" t="inlineStr">
        <is>
          <t>No</t>
        </is>
      </c>
      <c r="L165" s="9" t="inlineStr">
        <is>
          <t>Industrial and outdoor storage. There is no repeated house here.</t>
        </is>
      </c>
      <c r="M165" s="8" t="inlineStr">
        <is>
          <t>Yes</t>
        </is>
      </c>
      <c r="N165" s="9" t="inlineStr">
        <is>
          <t>Financed a cross-laminated timber frame and calls it a rare alternative to steel and concrete.</t>
        </is>
      </c>
      <c r="O165" s="8" t="inlineStr">
        <is>
          <t>Partly</t>
        </is>
      </c>
      <c r="P165" s="6" t="inlineStr">
        <is>
          <t>https://www.linkedin.com/in/larry-sloan-894204b/</t>
        </is>
      </c>
      <c r="Q165" s="6" t="inlineStr"/>
      <c r="R165" s="11">
        <f>IF(P165="","ADD LINKEDIN","ok")</f>
        <v/>
      </c>
      <c r="S165" s="6" t="inlineStr">
        <is>
          <t>https://www.tritenre.com/</t>
        </is>
      </c>
      <c r="T165" s="9" t="inlineStr">
        <is>
          <t>Financed a cross-laminated timber frame at The Mill. 294 units at Aliana land in Titan's first delivery window.</t>
        </is>
      </c>
      <c r="U165" s="6" t="inlineStr"/>
      <c r="V165" s="9" t="inlineStr">
        <is>
          <t>Chief Development Officer (CDO) at Triten Real Estate Partners. Houston, Texas. The same person who left Midway as EVP of investment and development in November 2023.</t>
        </is>
      </c>
      <c r="W165" s="6" t="inlineStr"/>
      <c r="X165" s="6" t="inlineStr">
        <is>
          <t>https://www.linkedin.com/company/triten-real-estate-partners</t>
        </is>
      </c>
      <c r="Y165" s="6" t="inlineStr">
        <is>
          <t>https://www.tritenre.com/team</t>
        </is>
      </c>
      <c r="Z165" s="6" t="inlineStr"/>
    </row>
    <row r="166">
      <c r="A166" s="12" t="inlineStr">
        <is>
          <t>Brent Ozenbaugh</t>
        </is>
      </c>
      <c r="B166" s="12" t="inlineStr">
        <is>
          <t>Triten Real Estate Partners</t>
        </is>
      </c>
      <c r="C166" s="12" t="inlineStr">
        <is>
          <t>Partner, Chief Operating Officer</t>
        </is>
      </c>
      <c r="D166" s="13" t="inlineStr">
        <is>
          <t>Creative project, hybrid job</t>
        </is>
      </c>
      <c r="E166" s="14" t="n">
        <v>2</v>
      </c>
      <c r="F166" s="12" t="inlineStr">
        <is>
          <t>Buys walls</t>
        </is>
      </c>
      <c r="G166" s="12" t="inlineStr">
        <is>
          <t>East End / Fort Bend, Harris County</t>
        </is>
      </c>
      <c r="H166" s="12" t="inlineStr">
        <is>
          <t>340 units, mass timber frame</t>
        </is>
      </c>
      <c r="I166" s="14" t="inlineStr">
        <is>
          <t>Yes</t>
        </is>
      </c>
      <c r="J166" s="15" t="inlineStr">
        <is>
          <t>340 units at The Mill, 294 more at Aliana opening 2027.</t>
        </is>
      </c>
      <c r="K166" s="14" t="inlineStr">
        <is>
          <t>No</t>
        </is>
      </c>
      <c r="L166" s="15" t="inlineStr">
        <is>
          <t>Industrial and outdoor storage. There is no repeated house here.</t>
        </is>
      </c>
      <c r="M166" s="14" t="inlineStr">
        <is>
          <t>Yes</t>
        </is>
      </c>
      <c r="N166" s="15" t="inlineStr">
        <is>
          <t>Financed a cross-laminated timber frame and calls it a rare alternative to steel and concrete.</t>
        </is>
      </c>
      <c r="O166" s="14" t="inlineStr">
        <is>
          <t>Partly</t>
        </is>
      </c>
      <c r="P166" s="6" t="inlineStr">
        <is>
          <t>https://www.linkedin.com/in/brent-ozenbaugh-b99872/</t>
        </is>
      </c>
      <c r="Q166" s="12" t="inlineStr"/>
      <c r="R166" s="16">
        <f>IF(P166="","ADD LINKEDIN","ok")</f>
        <v/>
      </c>
      <c r="S166" s="12" t="inlineStr">
        <is>
          <t>https://www.tritenre.com/</t>
        </is>
      </c>
      <c r="T166" s="15" t="inlineStr">
        <is>
          <t>Financed a cross-laminated timber frame at The Mill. 294 units at Aliana land in Titan's first delivery window.</t>
        </is>
      </c>
      <c r="U166" s="12" t="inlineStr"/>
      <c r="V166" s="15" t="inlineStr">
        <is>
          <t>COO at Triten Real Estate Partners. Greater Houston.</t>
        </is>
      </c>
      <c r="W166" s="12" t="inlineStr"/>
      <c r="X166" s="12" t="inlineStr">
        <is>
          <t>https://www.linkedin.com/company/triten-real-estate-partners</t>
        </is>
      </c>
      <c r="Y166" s="12" t="inlineStr">
        <is>
          <t>https://www.tritenre.com/team</t>
        </is>
      </c>
      <c r="Z166" s="12" t="inlineStr"/>
    </row>
    <row r="167">
      <c r="A167" s="6" t="inlineStr">
        <is>
          <t>Carter Bechtol</t>
        </is>
      </c>
      <c r="B167" s="6" t="inlineStr">
        <is>
          <t>Triten Real Estate Partners</t>
        </is>
      </c>
      <c r="C167" s="6" t="inlineStr">
        <is>
          <t>Partner, Head of Triten Residential</t>
        </is>
      </c>
      <c r="D167" s="7" t="inlineStr">
        <is>
          <t>Creative project, hybrid job</t>
        </is>
      </c>
      <c r="E167" s="8" t="n">
        <v>2</v>
      </c>
      <c r="F167" s="6" t="inlineStr">
        <is>
          <t>Buys walls</t>
        </is>
      </c>
      <c r="G167" s="6" t="inlineStr">
        <is>
          <t>East End / Fort Bend, Harris County</t>
        </is>
      </c>
      <c r="H167" s="6" t="inlineStr">
        <is>
          <t>340 units, mass timber frame</t>
        </is>
      </c>
      <c r="I167" s="8" t="inlineStr">
        <is>
          <t>Yes</t>
        </is>
      </c>
      <c r="J167" s="9" t="inlineStr">
        <is>
          <t>340 units at The Mill, 294 more at Aliana opening 2027.</t>
        </is>
      </c>
      <c r="K167" s="8" t="inlineStr">
        <is>
          <t>No</t>
        </is>
      </c>
      <c r="L167" s="9" t="inlineStr">
        <is>
          <t>Industrial and outdoor storage. There is no repeated house here.</t>
        </is>
      </c>
      <c r="M167" s="8" t="inlineStr">
        <is>
          <t>Yes</t>
        </is>
      </c>
      <c r="N167" s="9" t="inlineStr">
        <is>
          <t>Financed a cross-laminated timber frame and calls it a rare alternative to steel and concrete.</t>
        </is>
      </c>
      <c r="O167" s="8" t="inlineStr">
        <is>
          <t>Partly</t>
        </is>
      </c>
      <c r="P167" s="10" t="inlineStr"/>
      <c r="Q167" s="6">
        <f>HYPERLINK("https://www.linkedin.com/search/results/people/?keywords=Carter%20Bechtol%20Triten%20Real%20Estate%20Partners","search")</f>
        <v/>
      </c>
      <c r="R167" s="11">
        <f>IF(P167="","ADD LINKEDIN","ok")</f>
        <v/>
      </c>
      <c r="S167" s="6" t="inlineStr">
        <is>
          <t>https://www.tritenre.com/</t>
        </is>
      </c>
      <c r="T167" s="9" t="inlineStr">
        <is>
          <t>Financed a cross-laminated timber frame at The Mill. 294 units at Aliana land in Titan's first delivery window.</t>
        </is>
      </c>
      <c r="U167" s="6" t="inlineStr"/>
      <c r="V167" s="9" t="inlineStr">
        <is>
          <t>Triten's own bio page. Partner, Head of Triten Residential. The residential platform is the part of Triten that would buy a repeated wall.</t>
        </is>
      </c>
      <c r="W167" s="6" t="inlineStr">
        <is>
          <t>https://www.tritenre.com/team/carter-becthol</t>
        </is>
      </c>
      <c r="X167" s="6" t="inlineStr">
        <is>
          <t>https://www.linkedin.com/company/triten-real-estate-partners</t>
        </is>
      </c>
      <c r="Y167" s="6" t="inlineStr">
        <is>
          <t>https://www.tritenre.com/team</t>
        </is>
      </c>
      <c r="Z167" s="6" t="inlineStr"/>
    </row>
    <row r="168">
      <c r="A168" s="12" t="inlineStr">
        <is>
          <t>Steve Radom</t>
        </is>
      </c>
      <c r="B168" s="12" t="inlineStr">
        <is>
          <t>Radom Capital</t>
        </is>
      </c>
      <c r="C168" s="12" t="inlineStr">
        <is>
          <t>Managing Principal</t>
        </is>
      </c>
      <c r="D168" s="13" t="inlineStr">
        <is>
          <t>Creative project, hybrid job</t>
        </is>
      </c>
      <c r="E168" s="14" t="n">
        <v>2</v>
      </c>
      <c r="F168" s="12" t="inlineStr">
        <is>
          <t>Buys walls</t>
        </is>
      </c>
      <c r="G168" s="12" t="inlineStr">
        <is>
          <t>Heights / Montrose, Harris County</t>
        </is>
      </c>
      <c r="H168" s="12" t="inlineStr">
        <is>
          <t>$104.75M Montrose Collective financing</t>
        </is>
      </c>
      <c r="I168" s="14" t="inlineStr">
        <is>
          <t>Partly</t>
        </is>
      </c>
      <c r="J168" s="15" t="inlineStr">
        <is>
          <t>Fifteen projects in one district, 218 units at Clock Tower.</t>
        </is>
      </c>
      <c r="K168" s="14" t="inlineStr">
        <is>
          <t>No</t>
        </is>
      </c>
      <c r="L168" s="15" t="inlineStr">
        <is>
          <t>Adaptive reuse and retail. Every project is its own building.</t>
        </is>
      </c>
      <c r="M168" s="14" t="inlineStr">
        <is>
          <t>Yes</t>
        </is>
      </c>
      <c r="N168" s="15" t="inlineStr">
        <is>
          <t>Commissioned Michael Hsu for Montrose Collective, four-street frontage, $104.75M financed.</t>
        </is>
      </c>
      <c r="O168" s="14" t="inlineStr">
        <is>
          <t>Yes</t>
        </is>
      </c>
      <c r="P168" s="6" t="inlineStr">
        <is>
          <t>https://www.linkedin.com/in/steveradom/</t>
        </is>
      </c>
      <c r="Q168" s="12" t="inlineStr"/>
      <c r="R168" s="16">
        <f>IF(P168="","ADD LINKEDIN","ok")</f>
        <v/>
      </c>
      <c r="S168" s="12" t="inlineStr">
        <is>
          <t>https://www.radomcapital.com/</t>
        </is>
      </c>
      <c r="T168" s="15" t="inlineStr">
        <is>
          <t>Michael Hsu at Montrose Collective, $104.75M financed. Fifteen projects in one district, so volume is concentrated rather than deep.</t>
        </is>
      </c>
      <c r="U168" s="12" t="inlineStr"/>
      <c r="V168" s="15" t="inlineStr">
        <is>
          <t>Managing Principal at Radom Capital.</t>
        </is>
      </c>
      <c r="W168" s="12" t="inlineStr"/>
      <c r="X168" s="12" t="inlineStr">
        <is>
          <t>https://www.linkedin.com/company/radom-capital-llc</t>
        </is>
      </c>
      <c r="Y168" s="12" t="inlineStr">
        <is>
          <t>https://www.radomcapital.com/team</t>
        </is>
      </c>
      <c r="Z168" s="12" t="inlineStr"/>
    </row>
    <row r="169">
      <c r="A169" s="6" t="inlineStr">
        <is>
          <t>Barton Kelly</t>
        </is>
      </c>
      <c r="B169" s="6" t="inlineStr">
        <is>
          <t>Radom Capital</t>
        </is>
      </c>
      <c r="C169" s="6" t="inlineStr">
        <is>
          <t>Principal</t>
        </is>
      </c>
      <c r="D169" s="7" t="inlineStr">
        <is>
          <t>Creative project, hybrid job</t>
        </is>
      </c>
      <c r="E169" s="8" t="n">
        <v>2</v>
      </c>
      <c r="F169" s="6" t="inlineStr">
        <is>
          <t>Buys walls</t>
        </is>
      </c>
      <c r="G169" s="6" t="inlineStr">
        <is>
          <t>Heights / Montrose, Harris County</t>
        </is>
      </c>
      <c r="H169" s="6" t="inlineStr">
        <is>
          <t>$104.75M Montrose Collective financing</t>
        </is>
      </c>
      <c r="I169" s="8" t="inlineStr">
        <is>
          <t>Partly</t>
        </is>
      </c>
      <c r="J169" s="9" t="inlineStr">
        <is>
          <t>Fifteen projects in one district, 218 units at Clock Tower.</t>
        </is>
      </c>
      <c r="K169" s="8" t="inlineStr">
        <is>
          <t>No</t>
        </is>
      </c>
      <c r="L169" s="9" t="inlineStr">
        <is>
          <t>Adaptive reuse and retail. Every project is its own building.</t>
        </is>
      </c>
      <c r="M169" s="8" t="inlineStr">
        <is>
          <t>Yes</t>
        </is>
      </c>
      <c r="N169" s="9" t="inlineStr">
        <is>
          <t>Commissioned Michael Hsu for Montrose Collective, four-street frontage, $104.75M financed.</t>
        </is>
      </c>
      <c r="O169" s="8" t="inlineStr">
        <is>
          <t>Yes</t>
        </is>
      </c>
      <c r="P169" s="6" t="inlineStr">
        <is>
          <t>https://www.linkedin.com/in/bartonk/</t>
        </is>
      </c>
      <c r="Q169" s="6" t="inlineStr"/>
      <c r="R169" s="11">
        <f>IF(P169="","ADD LINKEDIN","ok")</f>
        <v/>
      </c>
      <c r="S169" s="6" t="inlineStr">
        <is>
          <t>https://www.radomcapital.com/</t>
        </is>
      </c>
      <c r="T169" s="9" t="inlineStr">
        <is>
          <t>Michael Hsu at Montrose Collective, $104.75M financed. Fifteen projects in one district, so volume is concentrated rather than deep.</t>
        </is>
      </c>
      <c r="U169" s="6" t="inlineStr"/>
      <c r="V169" s="9" t="inlineStr">
        <is>
          <t>Vice President at Radom Capital LLC, Houston. Barton Kelly's LinkedIn headline reads Vice President at Radom Capital; the firm's own team page lists him as Principal. The titles conflict.</t>
        </is>
      </c>
      <c r="W169" s="6" t="inlineStr"/>
      <c r="X169" s="6" t="inlineStr">
        <is>
          <t>https://www.linkedin.com/company/radom-capital-llc</t>
        </is>
      </c>
      <c r="Y169" s="6" t="inlineStr">
        <is>
          <t>https://www.radomcapital.com/team</t>
        </is>
      </c>
      <c r="Z169" s="6" t="inlineStr"/>
    </row>
    <row r="170">
      <c r="A170" s="12" t="inlineStr">
        <is>
          <t>Evan Peterson</t>
        </is>
      </c>
      <c r="B170" s="12" t="inlineStr">
        <is>
          <t>Radom Capital</t>
        </is>
      </c>
      <c r="C170" s="12" t="inlineStr">
        <is>
          <t>Principal</t>
        </is>
      </c>
      <c r="D170" s="13" t="inlineStr">
        <is>
          <t>Creative project, hybrid job</t>
        </is>
      </c>
      <c r="E170" s="14" t="n">
        <v>2</v>
      </c>
      <c r="F170" s="12" t="inlineStr">
        <is>
          <t>Buys walls</t>
        </is>
      </c>
      <c r="G170" s="12" t="inlineStr">
        <is>
          <t>Heights / Montrose, Harris County</t>
        </is>
      </c>
      <c r="H170" s="12" t="inlineStr">
        <is>
          <t>$104.75M Montrose Collective financing</t>
        </is>
      </c>
      <c r="I170" s="14" t="inlineStr">
        <is>
          <t>Partly</t>
        </is>
      </c>
      <c r="J170" s="15" t="inlineStr">
        <is>
          <t>Fifteen projects in one district, 218 units at Clock Tower.</t>
        </is>
      </c>
      <c r="K170" s="14" t="inlineStr">
        <is>
          <t>No</t>
        </is>
      </c>
      <c r="L170" s="15" t="inlineStr">
        <is>
          <t>Adaptive reuse and retail. Every project is its own building.</t>
        </is>
      </c>
      <c r="M170" s="14" t="inlineStr">
        <is>
          <t>Yes</t>
        </is>
      </c>
      <c r="N170" s="15" t="inlineStr">
        <is>
          <t>Commissioned Michael Hsu for Montrose Collective, four-street frontage, $104.75M financed.</t>
        </is>
      </c>
      <c r="O170" s="14" t="inlineStr">
        <is>
          <t>Yes</t>
        </is>
      </c>
      <c r="P170" s="6" t="inlineStr">
        <is>
          <t>https://www.linkedin.com/in/evan-peterson-19656548/</t>
        </is>
      </c>
      <c r="Q170" s="12" t="inlineStr"/>
      <c r="R170" s="16">
        <f>IF(P170="","ADD LINKEDIN","ok")</f>
        <v/>
      </c>
      <c r="S170" s="12" t="inlineStr">
        <is>
          <t>https://www.radomcapital.com/</t>
        </is>
      </c>
      <c r="T170" s="15" t="inlineStr">
        <is>
          <t>Michael Hsu at Montrose Collective, $104.75M financed. Fifteen projects in one district, so volume is concentrated rather than deep.</t>
        </is>
      </c>
      <c r="U170" s="12" t="inlineStr"/>
      <c r="V170" s="15" t="inlineStr">
        <is>
          <t>Principal at Radom Capital LLC. Houston, Texas.</t>
        </is>
      </c>
      <c r="W170" s="12" t="inlineStr"/>
      <c r="X170" s="12" t="inlineStr">
        <is>
          <t>https://www.linkedin.com/company/radom-capital-llc</t>
        </is>
      </c>
      <c r="Y170" s="12" t="inlineStr">
        <is>
          <t>https://www.radomcapital.com/team</t>
        </is>
      </c>
      <c r="Z170" s="12" t="inlineStr"/>
    </row>
    <row r="171">
      <c r="A171" s="6" t="inlineStr">
        <is>
          <t>Jon Deal</t>
        </is>
      </c>
      <c r="B171" s="6" t="inlineStr">
        <is>
          <t>The Deal Company (Sawyer Yards)</t>
        </is>
      </c>
      <c r="C171" s="6" t="inlineStr">
        <is>
          <t>Founder and Chief Executive Officer</t>
        </is>
      </c>
      <c r="D171" s="7" t="inlineStr">
        <is>
          <t>Creative project, hybrid job</t>
        </is>
      </c>
      <c r="E171" s="8" t="n">
        <v>2</v>
      </c>
      <c r="F171" s="6" t="inlineStr">
        <is>
          <t>Buys walls</t>
        </is>
      </c>
      <c r="G171" s="6" t="inlineStr">
        <is>
          <t>Washington Corridor, Harris County</t>
        </is>
      </c>
      <c r="H171" s="6" t="inlineStr">
        <is>
          <t>55 acres, 27 buildings, 2M+ sf</t>
        </is>
      </c>
      <c r="I171" s="8" t="inlineStr">
        <is>
          <t>Partly</t>
        </is>
      </c>
      <c r="J171" s="9" t="inlineStr">
        <is>
          <t>27 buildings across 55 acres since 2005.</t>
        </is>
      </c>
      <c r="K171" s="8" t="inlineStr">
        <is>
          <t>No</t>
        </is>
      </c>
      <c r="L171" s="9" t="inlineStr">
        <is>
          <t>Converting industrial buildings leaves almost no new wall to print.</t>
        </is>
      </c>
      <c r="M171" s="8" t="inlineStr">
        <is>
          <t>Yes</t>
        </is>
      </c>
      <c r="N171" s="9" t="inlineStr">
        <is>
          <t>Twenty years of building inside awkward industrial structures.</t>
        </is>
      </c>
      <c r="O171" s="8" t="inlineStr">
        <is>
          <t>No</t>
        </is>
      </c>
      <c r="P171" s="10" t="inlineStr"/>
      <c r="Q171" s="6">
        <f>HYPERLINK("https://www.linkedin.com/search/results/people/?keywords=Jon%20Deal%20The%20Deal%20Company","search")</f>
        <v/>
      </c>
      <c r="R171" s="11">
        <f>IF(P171="","ADD LINKEDIN","ok")</f>
        <v/>
      </c>
      <c r="S171" s="6" t="inlineStr">
        <is>
          <t>https://www.dealco.net/</t>
        </is>
      </c>
      <c r="T171" s="9" t="inlineStr">
        <is>
          <t>Twenty years converting industrial buildings, 27 of them. Adaptive reuse leaves little new wall to print.</t>
        </is>
      </c>
      <c r="U171" s="6" t="inlineStr"/>
      <c r="V171" s="9" t="inlineStr">
        <is>
          <t>Founder and Chief Executive Officer, and co-developer of Sawyer Yards.</t>
        </is>
      </c>
      <c r="W171" s="6" t="inlineStr">
        <is>
          <t>https://www.dealco.net/about/</t>
        </is>
      </c>
      <c r="X171" s="6" t="inlineStr"/>
      <c r="Y171" s="6" t="inlineStr">
        <is>
          <t>https://www.dealco.net/about/</t>
        </is>
      </c>
      <c r="Z171" s="6" t="inlineStr"/>
    </row>
    <row r="172">
      <c r="A172" s="12" t="inlineStr">
        <is>
          <t>Dougal A. Cameron</t>
        </is>
      </c>
      <c r="B172" s="12" t="inlineStr">
        <is>
          <t>Cameron Management</t>
        </is>
      </c>
      <c r="C172" s="12" t="inlineStr">
        <is>
          <t>President and Owner</t>
        </is>
      </c>
      <c r="D172" s="13" t="inlineStr">
        <is>
          <t>Creative project, hybrid job</t>
        </is>
      </c>
      <c r="E172" s="14" t="n">
        <v>1</v>
      </c>
      <c r="F172" s="12" t="inlineStr">
        <is>
          <t>Buys walls</t>
        </is>
      </c>
      <c r="G172" s="12" t="inlineStr">
        <is>
          <t>Downtown Houston, Harris County</t>
        </is>
      </c>
      <c r="H172" s="12" t="inlineStr">
        <is>
          <t>$50M conversion, up to 100 units</t>
        </is>
      </c>
      <c r="I172" s="14" t="inlineStr">
        <is>
          <t>No</t>
        </is>
      </c>
      <c r="J172" s="15" t="inlineStr">
        <is>
          <t>Two towers, one conversion each. Nothing repeats.</t>
        </is>
      </c>
      <c r="K172" s="14" t="inlineStr">
        <is>
          <t>No</t>
        </is>
      </c>
      <c r="L172" s="15" t="inlineStr">
        <is>
          <t>Converting two 1927 and 1941 office towers to residential. No new exterior wall.</t>
        </is>
      </c>
      <c r="M172" s="14" t="inlineStr">
        <is>
          <t>Yes</t>
        </is>
      </c>
      <c r="N172" s="15" t="inlineStr">
        <is>
          <t>It is taking on a $50 million conversion of two landmark towers from 1927 and 1941, which is a harder build than anything a printer would be asked to do.</t>
        </is>
      </c>
      <c r="O172" s="14" t="inlineStr">
        <is>
          <t>Partly</t>
        </is>
      </c>
      <c r="P172" s="10" t="inlineStr"/>
      <c r="Q172" s="12">
        <f>HYPERLINK("https://www.linkedin.com/search/results/people/?keywords=Dougal%20A.%20Cameron%20Cameron%20Management","search")</f>
        <v/>
      </c>
      <c r="R172" s="16">
        <f>IF(P172="","ADD LINKEDIN","ok")</f>
        <v/>
      </c>
      <c r="S172" s="12" t="inlineStr">
        <is>
          <t>https://cameronmanagement.com/</t>
        </is>
      </c>
      <c r="T172" s="15" t="inlineStr">
        <is>
          <t>Interior conversion of a 1927 tower. Willing to take on a hard build, but almost no new exterior wall.</t>
        </is>
      </c>
      <c r="U172" s="12" t="inlineStr"/>
      <c r="V172" s="15" t="inlineStr">
        <is>
          <t>President. Founded the firm in 1995 after asset and project management at Hines.</t>
        </is>
      </c>
      <c r="W172" s="12" t="inlineStr">
        <is>
          <t>https://cameronmanagement.com/team_member/dougal-a-cameron</t>
        </is>
      </c>
      <c r="X172" s="12" t="inlineStr">
        <is>
          <t>https://www.linkedin.com/company/cameron-management</t>
        </is>
      </c>
      <c r="Y172" s="12" t="inlineStr">
        <is>
          <t>https://cameronmanagement.com/about</t>
        </is>
      </c>
      <c r="Z172" s="12" t="inlineStr"/>
    </row>
    <row r="173">
      <c r="A173" s="6" t="inlineStr">
        <is>
          <t>William T. Dom</t>
        </is>
      </c>
      <c r="B173" s="6" t="inlineStr">
        <is>
          <t>Cameron Management</t>
        </is>
      </c>
      <c r="C173" s="6" t="inlineStr">
        <is>
          <t>Chief Operating Officer</t>
        </is>
      </c>
      <c r="D173" s="7" t="inlineStr">
        <is>
          <t>Creative project, hybrid job</t>
        </is>
      </c>
      <c r="E173" s="8" t="n">
        <v>1</v>
      </c>
      <c r="F173" s="6" t="inlineStr">
        <is>
          <t>Buys walls</t>
        </is>
      </c>
      <c r="G173" s="6" t="inlineStr">
        <is>
          <t>Downtown Houston, Harris County</t>
        </is>
      </c>
      <c r="H173" s="6" t="inlineStr">
        <is>
          <t>$50M conversion, up to 100 units</t>
        </is>
      </c>
      <c r="I173" s="8" t="inlineStr">
        <is>
          <t>No</t>
        </is>
      </c>
      <c r="J173" s="9" t="inlineStr">
        <is>
          <t>Two towers, one conversion each. Nothing repeats.</t>
        </is>
      </c>
      <c r="K173" s="8" t="inlineStr">
        <is>
          <t>No</t>
        </is>
      </c>
      <c r="L173" s="9" t="inlineStr">
        <is>
          <t>Converting two 1927 and 1941 office towers to residential. No new exterior wall.</t>
        </is>
      </c>
      <c r="M173" s="8" t="inlineStr">
        <is>
          <t>Yes</t>
        </is>
      </c>
      <c r="N173" s="9" t="inlineStr">
        <is>
          <t>It is taking on a $50 million conversion of two landmark towers from 1927 and 1941, which is a harder build than anything a printer would be asked to do.</t>
        </is>
      </c>
      <c r="O173" s="8" t="inlineStr">
        <is>
          <t>Partly</t>
        </is>
      </c>
      <c r="P173" s="10" t="inlineStr"/>
      <c r="Q173" s="6">
        <f>HYPERLINK("https://www.linkedin.com/search/results/people/?keywords=William%20T.%20Dom%20Cameron%20Management","search")</f>
        <v/>
      </c>
      <c r="R173" s="11">
        <f>IF(P173="","ADD LINKEDIN","ok")</f>
        <v/>
      </c>
      <c r="S173" s="6" t="inlineStr">
        <is>
          <t>https://cameronmanagement.com/</t>
        </is>
      </c>
      <c r="T173" s="9" t="inlineStr">
        <is>
          <t>Interior conversion of a 1927 tower. Willing to take on a hard build, but almost no new exterior wall.</t>
        </is>
      </c>
      <c r="U173" s="6" t="inlineStr"/>
      <c r="V173" s="9" t="inlineStr">
        <is>
          <t>Chief Operating Officer and partner since 2000, formerly an asset manager at Hines.</t>
        </is>
      </c>
      <c r="W173" s="6" t="inlineStr">
        <is>
          <t>https://cameronmanagement.com/team_member/william-t-ted-dom</t>
        </is>
      </c>
      <c r="X173" s="6" t="inlineStr">
        <is>
          <t>https://www.linkedin.com/company/cameron-management</t>
        </is>
      </c>
      <c r="Y173" s="6" t="inlineStr">
        <is>
          <t>https://cameronmanagement.com/about</t>
        </is>
      </c>
      <c r="Z173" s="6" t="inlineStr"/>
    </row>
    <row r="174">
      <c r="A174" s="12" t="inlineStr">
        <is>
          <t>Jim Lemming</t>
        </is>
      </c>
      <c r="B174" s="12" t="inlineStr">
        <is>
          <t>Partners in Building</t>
        </is>
      </c>
      <c r="C174" s="12" t="inlineStr">
        <is>
          <t>Chairman, formerly President and Chief Executive Officer until June 2026</t>
        </is>
      </c>
      <c r="D174" s="13" t="inlineStr">
        <is>
          <t>Creative project, hybrid job</t>
        </is>
      </c>
      <c r="E174" s="14" t="n">
        <v>1</v>
      </c>
      <c r="F174" s="12" t="inlineStr">
        <is>
          <t>Buys walls</t>
        </is>
      </c>
      <c r="G174" s="12" t="inlineStr">
        <is>
          <t>Houston, build on your lot</t>
        </is>
      </c>
      <c r="H174" s="12" t="inlineStr">
        <is>
          <t>More than 300 homes a year in Texas and Tennessee</t>
        </is>
      </c>
      <c r="I174" s="14" t="inlineStr">
        <is>
          <t>No</t>
        </is>
      </c>
      <c r="J174" s="15" t="inlineStr">
        <is>
          <t>Build on your lot, one-of-a-kind by its own description. There is no plan set to repeat.</t>
        </is>
      </c>
      <c r="K174" s="14" t="inlineStr">
        <is>
          <t>Yes</t>
        </is>
      </c>
      <c r="L174" s="15" t="inlineStr">
        <is>
          <t>More than 300 homes a year on the firm's own count, across Texas and Tennessee.</t>
        </is>
      </c>
      <c r="M174" s="14" t="inlineStr">
        <is>
          <t>No</t>
        </is>
      </c>
      <c r="N174" s="15" t="inlineStr">
        <is>
          <t>No method evidence.</t>
        </is>
      </c>
      <c r="O174" s="14" t="inlineStr">
        <is>
          <t>Partly</t>
        </is>
      </c>
      <c r="P174" s="10" t="inlineStr"/>
      <c r="Q174" s="12">
        <f>HYPERLINK("https://www.linkedin.com/search/results/people/?keywords=Jim%20Lemming%20Partners%20in%20Building","search")</f>
        <v/>
      </c>
      <c r="R174" s="16">
        <f>IF(P174="","ADD LINKEDIN","ok")</f>
        <v/>
      </c>
      <c r="S174" s="12" t="inlineStr">
        <is>
          <t>https://partnersinbuilding.com/</t>
        </is>
      </c>
      <c r="T174" s="15" t="inlineStr">
        <is>
          <t>More than 300 homes a year and a vice president of purchasing. Every house is one-of-a-kind. The presidency passed from Jim to Chris Lemming in June 2026.</t>
        </is>
      </c>
      <c r="U174" s="12" t="inlineStr"/>
      <c r="V174" s="15" t="inlineStr">
        <is>
          <t>HousingWire, 15 June 2026: President and CEO Jim Lemming will transition to chairman, and his son Chris Lemming will assume the presidency.</t>
        </is>
      </c>
      <c r="W174" s="12" t="inlineStr">
        <is>
          <t>https://www.housingwire.com/articles/partners-building-succession-plan/</t>
        </is>
      </c>
      <c r="X174" s="12" t="inlineStr"/>
      <c r="Y174" s="12" t="inlineStr"/>
      <c r="Z174" s="12" t="inlineStr"/>
    </row>
    <row r="175">
      <c r="A175" s="6" t="inlineStr">
        <is>
          <t>Dewey Hennessee</t>
        </is>
      </c>
      <c r="B175" s="6" t="inlineStr">
        <is>
          <t>Partners in Building</t>
        </is>
      </c>
      <c r="C175" s="6" t="inlineStr">
        <is>
          <t>Vice President of Purchasing</t>
        </is>
      </c>
      <c r="D175" s="7" t="inlineStr">
        <is>
          <t>Creative project, hybrid job</t>
        </is>
      </c>
      <c r="E175" s="8" t="n">
        <v>1</v>
      </c>
      <c r="F175" s="6" t="inlineStr">
        <is>
          <t>Buys walls</t>
        </is>
      </c>
      <c r="G175" s="6" t="inlineStr">
        <is>
          <t>Houston, build on your lot</t>
        </is>
      </c>
      <c r="H175" s="6" t="inlineStr">
        <is>
          <t>More than 300 homes a year in Texas and Tennessee</t>
        </is>
      </c>
      <c r="I175" s="8" t="inlineStr">
        <is>
          <t>No</t>
        </is>
      </c>
      <c r="J175" s="9" t="inlineStr">
        <is>
          <t>Build on your lot, one-of-a-kind by its own description. There is no plan set to repeat.</t>
        </is>
      </c>
      <c r="K175" s="8" t="inlineStr">
        <is>
          <t>Yes</t>
        </is>
      </c>
      <c r="L175" s="9" t="inlineStr">
        <is>
          <t>More than 300 homes a year on the firm's own count, across Texas and Tennessee.</t>
        </is>
      </c>
      <c r="M175" s="8" t="inlineStr">
        <is>
          <t>No</t>
        </is>
      </c>
      <c r="N175" s="9" t="inlineStr">
        <is>
          <t>No method evidence.</t>
        </is>
      </c>
      <c r="O175" s="8" t="inlineStr">
        <is>
          <t>Partly</t>
        </is>
      </c>
      <c r="P175" s="6" t="inlineStr">
        <is>
          <t>https://www.linkedin.com/in/dewey-hennessee-gmb-caps-cgp-95418531</t>
        </is>
      </c>
      <c r="Q175" s="6" t="inlineStr"/>
      <c r="R175" s="11">
        <f>IF(P175="","ADD LINKEDIN","ok")</f>
        <v/>
      </c>
      <c r="S175" s="6" t="inlineStr">
        <is>
          <t>https://partnersinbuilding.com/</t>
        </is>
      </c>
      <c r="T175" s="9" t="inlineStr">
        <is>
          <t>More than 300 homes a year and a vice president of purchasing. Every house is one-of-a-kind. The presidency passed from Jim to Chris Lemming in June 2026.</t>
        </is>
      </c>
      <c r="U175" s="6" t="inlineStr">
        <is>
          <t>YES</t>
        </is>
      </c>
      <c r="V175" s="9" t="inlineStr">
        <is>
          <t>Indexed title reads Dewey Hennessee GMB CAPS CGP, Partners in Building. The title on file comes from the first pass and is not repeated in the index entry.</t>
        </is>
      </c>
      <c r="W175" s="6" t="inlineStr"/>
      <c r="X175" s="6" t="inlineStr"/>
      <c r="Y175" s="6" t="inlineStr"/>
      <c r="Z175" s="6" t="inlineStr"/>
    </row>
    <row r="176">
      <c r="A176" s="12" t="inlineStr">
        <is>
          <t>Chris Lemming</t>
        </is>
      </c>
      <c r="B176" s="12" t="inlineStr">
        <is>
          <t>Partners in Building</t>
        </is>
      </c>
      <c r="C176" s="12" t="inlineStr">
        <is>
          <t>President, since June 2026</t>
        </is>
      </c>
      <c r="D176" s="13" t="inlineStr">
        <is>
          <t>Creative project, hybrid job</t>
        </is>
      </c>
      <c r="E176" s="14" t="n">
        <v>1</v>
      </c>
      <c r="F176" s="12" t="inlineStr">
        <is>
          <t>Buys walls</t>
        </is>
      </c>
      <c r="G176" s="12" t="inlineStr">
        <is>
          <t>Houston, build on your lot</t>
        </is>
      </c>
      <c r="H176" s="12" t="inlineStr">
        <is>
          <t>More than 300 homes a year in Texas and Tennessee</t>
        </is>
      </c>
      <c r="I176" s="14" t="inlineStr">
        <is>
          <t>No</t>
        </is>
      </c>
      <c r="J176" s="15" t="inlineStr">
        <is>
          <t>Build on your lot, one-of-a-kind by its own description. There is no plan set to repeat.</t>
        </is>
      </c>
      <c r="K176" s="14" t="inlineStr">
        <is>
          <t>Yes</t>
        </is>
      </c>
      <c r="L176" s="15" t="inlineStr">
        <is>
          <t>More than 300 homes a year on the firm's own count, across Texas and Tennessee.</t>
        </is>
      </c>
      <c r="M176" s="14" t="inlineStr">
        <is>
          <t>No</t>
        </is>
      </c>
      <c r="N176" s="15" t="inlineStr">
        <is>
          <t>No method evidence.</t>
        </is>
      </c>
      <c r="O176" s="14" t="inlineStr">
        <is>
          <t>Partly</t>
        </is>
      </c>
      <c r="P176" s="10" t="inlineStr"/>
      <c r="Q176" s="12">
        <f>HYPERLINK("https://www.linkedin.com/search/results/people/?keywords=Chris%20Lemming%20Partners%20in%20Building","search")</f>
        <v/>
      </c>
      <c r="R176" s="16">
        <f>IF(P176="","ADD LINKEDIN","ok")</f>
        <v/>
      </c>
      <c r="S176" s="12" t="inlineStr">
        <is>
          <t>https://partnersinbuilding.com/</t>
        </is>
      </c>
      <c r="T176" s="15" t="inlineStr">
        <is>
          <t>More than 300 homes a year and a vice president of purchasing. Every house is one-of-a-kind. The presidency passed from Jim to Chris Lemming in June 2026.</t>
        </is>
      </c>
      <c r="U176" s="12" t="inlineStr"/>
      <c r="V176" s="15" t="inlineStr">
        <is>
          <t>HousingWire, 15 June 2026: Chris Lemming assumes the presidency after an eighteen-month succession.</t>
        </is>
      </c>
      <c r="W176" s="12" t="inlineStr">
        <is>
          <t>https://www.housingwire.com/articles/partners-building-succession-plan/</t>
        </is>
      </c>
      <c r="X176" s="12" t="inlineStr"/>
      <c r="Y176" s="12" t="inlineStr"/>
      <c r="Z176" s="12" t="inlineStr"/>
    </row>
    <row r="177">
      <c r="A177" s="6" t="inlineStr">
        <is>
          <t>Dan Braun</t>
        </is>
      </c>
      <c r="B177" s="6" t="inlineStr">
        <is>
          <t>Braun Enterprises</t>
        </is>
      </c>
      <c r="C177" s="6" t="inlineStr">
        <is>
          <t>President</t>
        </is>
      </c>
      <c r="D177" s="7" t="inlineStr">
        <is>
          <t>Creative project, hybrid job</t>
        </is>
      </c>
      <c r="E177" s="8" t="n">
        <v>2</v>
      </c>
      <c r="F177" s="6" t="inlineStr">
        <is>
          <t>Buys walls</t>
        </is>
      </c>
      <c r="G177" s="6" t="inlineStr">
        <is>
          <t>Houston, San Antonio and Austin</t>
        </is>
      </c>
      <c r="H177" s="6" t="inlineStr">
        <is>
          <t>Ground-up retail in the Heights and small flex industrial</t>
        </is>
      </c>
      <c r="I177" s="8" t="inlineStr">
        <is>
          <t>Partly</t>
        </is>
      </c>
      <c r="J177" s="9" t="inlineStr">
        <is>
          <t>Small retail buildings repeated across three cities, which is more repetition than anyone else in this category.</t>
        </is>
      </c>
      <c r="K177" s="8" t="inlineStr">
        <is>
          <t>Partly</t>
        </is>
      </c>
      <c r="L177" s="9" t="inlineStr">
        <is>
          <t>Retail shells at 20,000 to 25,000 square feet. A printed wall competes with tilt-wall here, not with stick framing.</t>
        </is>
      </c>
      <c r="M177" s="8" t="inlineStr">
        <is>
          <t>No</t>
        </is>
      </c>
      <c r="N177" s="9" t="inlineStr">
        <is>
          <t>No method evidence on record.</t>
        </is>
      </c>
      <c r="O177" s="8" t="inlineStr">
        <is>
          <t>No</t>
        </is>
      </c>
      <c r="P177" s="6" t="inlineStr">
        <is>
          <t>https://www.linkedin.com/in/dan-braun-36451a15/</t>
        </is>
      </c>
      <c r="Q177" s="6" t="inlineStr"/>
      <c r="R177" s="11">
        <f>IF(P177="","ADD LINKEDIN","ok")</f>
        <v/>
      </c>
      <c r="S177" s="6" t="inlineStr">
        <is>
          <t>https://braunenterprises.com/</t>
        </is>
      </c>
      <c r="T177" s="9" t="inlineStr">
        <is>
          <t>Builds new rather than converting: small-format ground-up retail in the Heights.</t>
        </is>
      </c>
      <c r="U177" s="6" t="inlineStr"/>
      <c r="V177" s="9" t="inlineStr">
        <is>
          <t>Indexed title reads Dan Braun, President at Braun Enterprises. The firm's team page returns a 404, so this is the only link.</t>
        </is>
      </c>
      <c r="W177" s="6" t="inlineStr"/>
      <c r="X177" s="6" t="inlineStr"/>
      <c r="Y177" s="6" t="inlineStr"/>
      <c r="Z177" s="6" t="inlineStr"/>
    </row>
    <row r="178">
      <c r="A178" s="12" t="inlineStr">
        <is>
          <t>Bradley Freels</t>
        </is>
      </c>
      <c r="B178" s="12" t="inlineStr">
        <is>
          <t>Midway</t>
        </is>
      </c>
      <c r="C178" s="12" t="inlineStr">
        <is>
          <t>Chairman and Chief Executive Officer</t>
        </is>
      </c>
      <c r="D178" s="13" t="inlineStr">
        <is>
          <t>Creative project, hybrid job</t>
        </is>
      </c>
      <c r="E178" s="14" t="n">
        <v>2</v>
      </c>
      <c r="F178" s="12" t="inlineStr">
        <is>
          <t>Buys walls</t>
        </is>
      </c>
      <c r="G178" s="12" t="inlineStr">
        <is>
          <t>Houston HQ / East End, Harris County</t>
        </is>
      </c>
      <c r="H178" s="12" t="inlineStr">
        <is>
          <t>East River: 150 acres, 60 city blocks</t>
        </is>
      </c>
      <c r="I178" s="14" t="inlineStr">
        <is>
          <t>Partly</t>
        </is>
      </c>
      <c r="J178" s="15" t="inlineStr">
        <is>
          <t>East River is 60 city blocks on one site, phased over decades.</t>
        </is>
      </c>
      <c r="K178" s="14" t="inlineStr">
        <is>
          <t>No</t>
        </is>
      </c>
      <c r="L178" s="15" t="inlineStr">
        <is>
          <t>Sixty blocks of mixed-use. The buildings are one-offs, whatever the acreage.</t>
        </is>
      </c>
      <c r="M178" s="14" t="inlineStr">
        <is>
          <t>Partly</t>
        </is>
      </c>
      <c r="N178" s="15" t="inlineStr">
        <is>
          <t>District-scale design ambition, but no specific method precedent was found.</t>
        </is>
      </c>
      <c r="O178" s="14" t="inlineStr">
        <is>
          <t>No</t>
        </is>
      </c>
      <c r="P178" s="10" t="inlineStr"/>
      <c r="Q178" s="12">
        <f>HYPERLINK("https://www.linkedin.com/search/results/people/?keywords=Bradley%20Freels%20Midway","search")</f>
        <v/>
      </c>
      <c r="R178" s="16">
        <f>IF(P178="","ADD LINKEDIN","ok")</f>
        <v/>
      </c>
      <c r="S178" s="12" t="inlineStr">
        <is>
          <t>https://www.midway.team/</t>
        </is>
      </c>
      <c r="T178" s="15" t="inlineStr">
        <is>
          <t>East River is 60 blocks on one site, and Midway kept sole development control after selling out of the Parkway joint venture in December 2024.</t>
        </is>
      </c>
      <c r="U178" s="12" t="inlineStr"/>
      <c r="V178" s="15" t="inlineStr">
        <is>
          <t>Chairman and Chief Executive Officer on Midway's own people page. He has no findable LinkedIn profile, so this is the citation.</t>
        </is>
      </c>
      <c r="W178" s="12" t="inlineStr">
        <is>
          <t>https://www.midway.team/our-people</t>
        </is>
      </c>
      <c r="X178" s="12" t="inlineStr">
        <is>
          <t>https://www.linkedin.com/company/midway</t>
        </is>
      </c>
      <c r="Y178" s="12" t="inlineStr">
        <is>
          <t>https://www.midway.team/our-people</t>
        </is>
      </c>
      <c r="Z178" s="12" t="inlineStr"/>
    </row>
    <row r="179">
      <c r="A179" s="6" t="inlineStr">
        <is>
          <t>David Hightower</t>
        </is>
      </c>
      <c r="B179" s="6" t="inlineStr">
        <is>
          <t>Midway</t>
        </is>
      </c>
      <c r="C179" s="6" t="inlineStr">
        <is>
          <t>Executive Vice President</t>
        </is>
      </c>
      <c r="D179" s="7" t="inlineStr">
        <is>
          <t>Creative project, hybrid job</t>
        </is>
      </c>
      <c r="E179" s="8" t="n">
        <v>2</v>
      </c>
      <c r="F179" s="6" t="inlineStr">
        <is>
          <t>Buys walls</t>
        </is>
      </c>
      <c r="G179" s="6" t="inlineStr">
        <is>
          <t>Houston HQ / East End, Harris County</t>
        </is>
      </c>
      <c r="H179" s="6" t="inlineStr">
        <is>
          <t>East River: 150 acres, 60 city blocks</t>
        </is>
      </c>
      <c r="I179" s="8" t="inlineStr">
        <is>
          <t>Partly</t>
        </is>
      </c>
      <c r="J179" s="9" t="inlineStr">
        <is>
          <t>East River is 60 city blocks on one site, phased over decades.</t>
        </is>
      </c>
      <c r="K179" s="8" t="inlineStr">
        <is>
          <t>No</t>
        </is>
      </c>
      <c r="L179" s="9" t="inlineStr">
        <is>
          <t>Sixty blocks of mixed-use. The buildings are one-offs, whatever the acreage.</t>
        </is>
      </c>
      <c r="M179" s="8" t="inlineStr">
        <is>
          <t>Partly</t>
        </is>
      </c>
      <c r="N179" s="9" t="inlineStr">
        <is>
          <t>District-scale design ambition, but no specific method precedent was found.</t>
        </is>
      </c>
      <c r="O179" s="8" t="inlineStr">
        <is>
          <t>No</t>
        </is>
      </c>
      <c r="P179" s="6" t="inlineStr">
        <is>
          <t>https://www.linkedin.com/in/dahightower/</t>
        </is>
      </c>
      <c r="Q179" s="6" t="inlineStr"/>
      <c r="R179" s="11">
        <f>IF(P179="","ADD LINKEDIN","ok")</f>
        <v/>
      </c>
      <c r="S179" s="6" t="inlineStr">
        <is>
          <t>https://www.midway.team/</t>
        </is>
      </c>
      <c r="T179" s="9" t="inlineStr">
        <is>
          <t>East River is 60 blocks on one site, and Midway kept sole development control after selling out of the Parkway joint venture in December 2024.</t>
        </is>
      </c>
      <c r="U179" s="6" t="inlineStr"/>
      <c r="V179" s="9" t="inlineStr">
        <is>
          <t>Executive Vice President, Development at Midway Companies. Houston, Texas.</t>
        </is>
      </c>
      <c r="W179" s="6" t="inlineStr"/>
      <c r="X179" s="6" t="inlineStr">
        <is>
          <t>https://www.linkedin.com/company/midway</t>
        </is>
      </c>
      <c r="Y179" s="6" t="inlineStr">
        <is>
          <t>https://www.midway.team/our-people</t>
        </is>
      </c>
      <c r="Z179" s="6" t="inlineStr"/>
    </row>
    <row r="180">
      <c r="A180" s="12" t="inlineStr">
        <is>
          <t>Clark Thompson</t>
        </is>
      </c>
      <c r="B180" s="12" t="inlineStr">
        <is>
          <t>Midway</t>
        </is>
      </c>
      <c r="C180" s="12" t="inlineStr">
        <is>
          <t>Executive Vice President and General Counsel</t>
        </is>
      </c>
      <c r="D180" s="13" t="inlineStr">
        <is>
          <t>Creative project, hybrid job</t>
        </is>
      </c>
      <c r="E180" s="14" t="n">
        <v>2</v>
      </c>
      <c r="F180" s="12" t="inlineStr">
        <is>
          <t>Buys walls</t>
        </is>
      </c>
      <c r="G180" s="12" t="inlineStr">
        <is>
          <t>Houston HQ / East End, Harris County</t>
        </is>
      </c>
      <c r="H180" s="12" t="inlineStr">
        <is>
          <t>East River: 150 acres, 60 city blocks</t>
        </is>
      </c>
      <c r="I180" s="14" t="inlineStr">
        <is>
          <t>Partly</t>
        </is>
      </c>
      <c r="J180" s="15" t="inlineStr">
        <is>
          <t>East River is 60 city blocks on one site, phased over decades.</t>
        </is>
      </c>
      <c r="K180" s="14" t="inlineStr">
        <is>
          <t>No</t>
        </is>
      </c>
      <c r="L180" s="15" t="inlineStr">
        <is>
          <t>Sixty blocks of mixed-use. The buildings are one-offs, whatever the acreage.</t>
        </is>
      </c>
      <c r="M180" s="14" t="inlineStr">
        <is>
          <t>Partly</t>
        </is>
      </c>
      <c r="N180" s="15" t="inlineStr">
        <is>
          <t>District-scale design ambition, but no specific method precedent was found.</t>
        </is>
      </c>
      <c r="O180" s="14" t="inlineStr">
        <is>
          <t>No</t>
        </is>
      </c>
      <c r="P180" s="10" t="inlineStr"/>
      <c r="Q180" s="12">
        <f>HYPERLINK("https://www.linkedin.com/search/results/people/?keywords=Clark%20Thompson%20Midway","search")</f>
        <v/>
      </c>
      <c r="R180" s="16">
        <f>IF(P180="","ADD LINKEDIN","ok")</f>
        <v/>
      </c>
      <c r="S180" s="12" t="inlineStr">
        <is>
          <t>https://www.midway.team/</t>
        </is>
      </c>
      <c r="T180" s="15" t="inlineStr">
        <is>
          <t>East River is 60 blocks on one site, and Midway kept sole development control after selling out of the Parkway joint venture in December 2024.</t>
        </is>
      </c>
      <c r="U180" s="12" t="inlineStr"/>
      <c r="V180" s="15" t="inlineStr">
        <is>
          <t>Executive Vice President and General Counsel.</t>
        </is>
      </c>
      <c r="W180" s="12" t="inlineStr">
        <is>
          <t>https://www.midway.team/our-people</t>
        </is>
      </c>
      <c r="X180" s="12" t="inlineStr">
        <is>
          <t>https://www.linkedin.com/company/midway</t>
        </is>
      </c>
      <c r="Y180" s="12" t="inlineStr">
        <is>
          <t>https://www.midway.team/our-people</t>
        </is>
      </c>
      <c r="Z180" s="12" t="inlineStr"/>
    </row>
    <row r="181">
      <c r="A181" s="6" t="inlineStr">
        <is>
          <t>Rob Sigler</t>
        </is>
      </c>
      <c r="B181" s="6" t="inlineStr">
        <is>
          <t>Midway</t>
        </is>
      </c>
      <c r="C181" s="6" t="inlineStr">
        <is>
          <t>Executive Vice President, Construction, Investment and Development, Midway</t>
        </is>
      </c>
      <c r="D181" s="7" t="inlineStr">
        <is>
          <t>Creative project, hybrid job</t>
        </is>
      </c>
      <c r="E181" s="8" t="n">
        <v>2</v>
      </c>
      <c r="F181" s="6" t="inlineStr">
        <is>
          <t>Buys walls</t>
        </is>
      </c>
      <c r="G181" s="6" t="inlineStr">
        <is>
          <t>Houston HQ / East End, Harris County</t>
        </is>
      </c>
      <c r="H181" s="6" t="inlineStr">
        <is>
          <t>East River: 150 acres, 60 city blocks</t>
        </is>
      </c>
      <c r="I181" s="8" t="inlineStr">
        <is>
          <t>Partly</t>
        </is>
      </c>
      <c r="J181" s="9" t="inlineStr">
        <is>
          <t>East River is 60 city blocks on one site, phased over decades.</t>
        </is>
      </c>
      <c r="K181" s="8" t="inlineStr">
        <is>
          <t>No</t>
        </is>
      </c>
      <c r="L181" s="9" t="inlineStr">
        <is>
          <t>Sixty blocks of mixed-use. The buildings are one-offs, whatever the acreage.</t>
        </is>
      </c>
      <c r="M181" s="8" t="inlineStr">
        <is>
          <t>Partly</t>
        </is>
      </c>
      <c r="N181" s="9" t="inlineStr">
        <is>
          <t>District-scale design ambition, but no specific method precedent was found.</t>
        </is>
      </c>
      <c r="O181" s="8" t="inlineStr">
        <is>
          <t>No</t>
        </is>
      </c>
      <c r="P181" s="6" t="inlineStr">
        <is>
          <t>https://www.linkedin.com/in/robsigler/</t>
        </is>
      </c>
      <c r="Q181" s="6" t="inlineStr"/>
      <c r="R181" s="11">
        <f>IF(P181="","ADD LINKEDIN","ok")</f>
        <v/>
      </c>
      <c r="S181" s="6" t="inlineStr">
        <is>
          <t>https://www.midway.team/</t>
        </is>
      </c>
      <c r="T181" s="9" t="inlineStr">
        <is>
          <t>East River is 60 blocks on one site, and Midway kept sole development control after selling out of the Parkway joint venture in December 2024.</t>
        </is>
      </c>
      <c r="U181" s="6" t="inlineStr">
        <is>
          <t>YES</t>
        </is>
      </c>
      <c r="V181" s="9" t="inlineStr">
        <is>
          <t>Profile opened. Company line reads Midway. Headline is Executive Vice President Construction, Investment &amp; Development, and his feed carries Midway and East River posts. He also shared Kirksey's mass-timber progress at San Jacinto College, CLT floor panels going in, which is a personal record of interest in an alternative structural system.</t>
        </is>
      </c>
      <c r="W181" s="6" t="inlineStr"/>
      <c r="X181" s="6" t="inlineStr">
        <is>
          <t>https://www.linkedin.com/company/midway</t>
        </is>
      </c>
      <c r="Y181" s="6" t="inlineStr">
        <is>
          <t>https://www.midway.team/our-people</t>
        </is>
      </c>
      <c r="Z181" s="6" t="inlineStr"/>
    </row>
    <row r="182">
      <c r="A182" s="12" t="inlineStr">
        <is>
          <t>Anna Deans</t>
        </is>
      </c>
      <c r="B182" s="12" t="inlineStr">
        <is>
          <t>Midway</t>
        </is>
      </c>
      <c r="C182" s="12" t="inlineStr">
        <is>
          <t>Executive Vice President, Midway</t>
        </is>
      </c>
      <c r="D182" s="13" t="inlineStr">
        <is>
          <t>Creative project, hybrid job</t>
        </is>
      </c>
      <c r="E182" s="14" t="n">
        <v>2</v>
      </c>
      <c r="F182" s="12" t="inlineStr">
        <is>
          <t>Buys walls</t>
        </is>
      </c>
      <c r="G182" s="12" t="inlineStr">
        <is>
          <t>Houston HQ / East End, Harris County</t>
        </is>
      </c>
      <c r="H182" s="12" t="inlineStr">
        <is>
          <t>East River: 150 acres, 60 city blocks</t>
        </is>
      </c>
      <c r="I182" s="14" t="inlineStr">
        <is>
          <t>Partly</t>
        </is>
      </c>
      <c r="J182" s="15" t="inlineStr">
        <is>
          <t>East River is 60 city blocks on one site, phased over decades.</t>
        </is>
      </c>
      <c r="K182" s="14" t="inlineStr">
        <is>
          <t>No</t>
        </is>
      </c>
      <c r="L182" s="15" t="inlineStr">
        <is>
          <t>Sixty blocks of mixed-use. The buildings are one-offs, whatever the acreage.</t>
        </is>
      </c>
      <c r="M182" s="14" t="inlineStr">
        <is>
          <t>Partly</t>
        </is>
      </c>
      <c r="N182" s="15" t="inlineStr">
        <is>
          <t>District-scale design ambition, but no specific method precedent was found.</t>
        </is>
      </c>
      <c r="O182" s="14" t="inlineStr">
        <is>
          <t>No</t>
        </is>
      </c>
      <c r="P182" s="6" t="inlineStr">
        <is>
          <t>https://www.linkedin.com/in/anna-deans-bbbab03/</t>
        </is>
      </c>
      <c r="Q182" s="12" t="inlineStr"/>
      <c r="R182" s="16">
        <f>IF(P182="","ADD LINKEDIN","ok")</f>
        <v/>
      </c>
      <c r="S182" s="12" t="inlineStr">
        <is>
          <t>https://www.midway.team/</t>
        </is>
      </c>
      <c r="T182" s="15" t="inlineStr">
        <is>
          <t>East River is 60 blocks on one site, and Midway kept sole development control after selling out of the Parkway joint venture in December 2024.</t>
        </is>
      </c>
      <c r="U182" s="12" t="inlineStr"/>
      <c r="V182" s="15" t="inlineStr">
        <is>
          <t>Executive Vice President, Midway. Houston, Texas.</t>
        </is>
      </c>
      <c r="W182" s="12" t="inlineStr"/>
      <c r="X182" s="12" t="inlineStr">
        <is>
          <t>https://www.linkedin.com/company/midway</t>
        </is>
      </c>
      <c r="Y182" s="12" t="inlineStr">
        <is>
          <t>https://www.midway.team/our-people</t>
        </is>
      </c>
      <c r="Z182" s="12" t="inlineStr"/>
    </row>
    <row r="183">
      <c r="A183" s="6" t="inlineStr">
        <is>
          <t>Paul Coonrod</t>
        </is>
      </c>
      <c r="B183" s="6" t="inlineStr">
        <is>
          <t>Pagewood</t>
        </is>
      </c>
      <c r="C183" s="6" t="inlineStr">
        <is>
          <t>Founder and Managing Principal</t>
        </is>
      </c>
      <c r="D183" s="7" t="inlineStr">
        <is>
          <t>Creative project, hybrid job</t>
        </is>
      </c>
      <c r="E183" s="8" t="n">
        <v>1</v>
      </c>
      <c r="F183" s="6" t="inlineStr">
        <is>
          <t>Buys walls</t>
        </is>
      </c>
      <c r="G183" s="6" t="inlineStr">
        <is>
          <t>Houston</t>
        </is>
      </c>
      <c r="H183" s="6" t="inlineStr">
        <is>
          <t>East Blocks, 513,000 sf across ten EaDo blocks</t>
        </is>
      </c>
      <c r="I183" s="8" t="inlineStr">
        <is>
          <t>Partly</t>
        </is>
      </c>
      <c r="J183" s="9" t="inlineStr">
        <is>
          <t>Ten blocks under one plan is concentration, but every building is its own problem.</t>
        </is>
      </c>
      <c r="K183" s="8" t="inlineStr">
        <is>
          <t>No</t>
        </is>
      </c>
      <c r="L183" s="9" t="inlineStr">
        <is>
          <t>The phase-one programme is retail, office and parking rather than repeated units.</t>
        </is>
      </c>
      <c r="M183" s="8" t="inlineStr">
        <is>
          <t>No</t>
        </is>
      </c>
      <c r="N183" s="9" t="inlineStr">
        <is>
          <t>It chose to keep eighty-year-old warehouses that would have been cheaper to demolish. The partner said so on the record.</t>
        </is>
      </c>
      <c r="O183" s="8" t="inlineStr">
        <is>
          <t>Partly</t>
        </is>
      </c>
      <c r="P183" s="10" t="inlineStr"/>
      <c r="Q183" s="6">
        <f>HYPERLINK("https://www.linkedin.com/search/results/people/?keywords=Paul%20Coonrod%20Pagewood","search")</f>
        <v/>
      </c>
      <c r="R183" s="11">
        <f>IF(P183="","ADD LINKEDIN","ok")</f>
        <v/>
      </c>
      <c r="S183" s="6" t="inlineStr">
        <is>
          <t>https://www.pagewood.com/</t>
        </is>
      </c>
      <c r="T183" s="9" t="inlineStr">
        <is>
          <t>Ten contiguous EaDo blocks, 513,000 square feet in phase one, Gensler on design and SWA on landscape. It builds ground-up industrial elsewhere, so it is not conversion-only.</t>
        </is>
      </c>
      <c r="U183" s="6" t="inlineStr"/>
      <c r="V183" s="9" t="inlineStr">
        <is>
          <t>Team page: Founder and Managing Principal.</t>
        </is>
      </c>
      <c r="W183" s="6" t="inlineStr">
        <is>
          <t>https://www.pagewood.com/team</t>
        </is>
      </c>
      <c r="X183" s="6" t="inlineStr"/>
      <c r="Y183" s="6" t="inlineStr"/>
      <c r="Z183" s="6" t="inlineStr"/>
    </row>
    <row r="184">
      <c r="A184" s="12" t="inlineStr">
        <is>
          <t>Mat Volz</t>
        </is>
      </c>
      <c r="B184" s="12" t="inlineStr">
        <is>
          <t>Pagewood</t>
        </is>
      </c>
      <c r="C184" s="12" t="inlineStr">
        <is>
          <t>Managing Principal</t>
        </is>
      </c>
      <c r="D184" s="13" t="inlineStr">
        <is>
          <t>Creative project, hybrid job</t>
        </is>
      </c>
      <c r="E184" s="14" t="n">
        <v>1</v>
      </c>
      <c r="F184" s="12" t="inlineStr">
        <is>
          <t>Buys walls</t>
        </is>
      </c>
      <c r="G184" s="12" t="inlineStr">
        <is>
          <t>Houston</t>
        </is>
      </c>
      <c r="H184" s="12" t="inlineStr">
        <is>
          <t>East Blocks, 513,000 sf across ten EaDo blocks</t>
        </is>
      </c>
      <c r="I184" s="14" t="inlineStr">
        <is>
          <t>Partly</t>
        </is>
      </c>
      <c r="J184" s="15" t="inlineStr">
        <is>
          <t>Ten blocks under one plan is concentration, but every building is its own problem.</t>
        </is>
      </c>
      <c r="K184" s="14" t="inlineStr">
        <is>
          <t>No</t>
        </is>
      </c>
      <c r="L184" s="15" t="inlineStr">
        <is>
          <t>The phase-one programme is retail, office and parking rather than repeated units.</t>
        </is>
      </c>
      <c r="M184" s="14" t="inlineStr">
        <is>
          <t>No</t>
        </is>
      </c>
      <c r="N184" s="15" t="inlineStr">
        <is>
          <t>It chose to keep eighty-year-old warehouses that would have been cheaper to demolish. The partner said so on the record.</t>
        </is>
      </c>
      <c r="O184" s="14" t="inlineStr">
        <is>
          <t>Partly</t>
        </is>
      </c>
      <c r="P184" s="6" t="inlineStr">
        <is>
          <t>https://www.linkedin.com/in/mathew-volz-14684850/</t>
        </is>
      </c>
      <c r="Q184" s="12" t="inlineStr"/>
      <c r="R184" s="16">
        <f>IF(P184="","ADD LINKEDIN","ok")</f>
        <v/>
      </c>
      <c r="S184" s="12" t="inlineStr">
        <is>
          <t>https://www.pagewood.com/</t>
        </is>
      </c>
      <c r="T184" s="15" t="inlineStr">
        <is>
          <t>Ten contiguous EaDo blocks, 513,000 square feet in phase one, Gensler on design and SWA on landscape. It builds ground-up industrial elsewhere, so it is not conversion-only.</t>
        </is>
      </c>
      <c r="U184" s="12" t="inlineStr"/>
      <c r="V184" s="15" t="inlineStr">
        <is>
          <t>Indexed title reads Mathew Volz, Managing Principal at Pagewood. The firm's team page spells the name Mat. Team page: Managing Principal.</t>
        </is>
      </c>
      <c r="W184" s="12" t="inlineStr">
        <is>
          <t>https://www.pagewood.com/team</t>
        </is>
      </c>
      <c r="X184" s="12" t="inlineStr"/>
      <c r="Y184" s="12" t="inlineStr"/>
      <c r="Z184" s="12" t="inlineStr"/>
    </row>
    <row r="185">
      <c r="A185" s="6" t="inlineStr">
        <is>
          <t>Preston Luster</t>
        </is>
      </c>
      <c r="B185" s="6" t="inlineStr">
        <is>
          <t>Pagewood</t>
        </is>
      </c>
      <c r="C185" s="6" t="inlineStr">
        <is>
          <t>Senior Construction Manager</t>
        </is>
      </c>
      <c r="D185" s="7" t="inlineStr">
        <is>
          <t>Creative project, hybrid job</t>
        </is>
      </c>
      <c r="E185" s="8" t="n">
        <v>1</v>
      </c>
      <c r="F185" s="6" t="inlineStr">
        <is>
          <t>Buys walls</t>
        </is>
      </c>
      <c r="G185" s="6" t="inlineStr">
        <is>
          <t>Houston</t>
        </is>
      </c>
      <c r="H185" s="6" t="inlineStr">
        <is>
          <t>East Blocks, 513,000 sf across ten EaDo blocks</t>
        </is>
      </c>
      <c r="I185" s="8" t="inlineStr">
        <is>
          <t>Partly</t>
        </is>
      </c>
      <c r="J185" s="9" t="inlineStr">
        <is>
          <t>Ten blocks under one plan is concentration, but every building is its own problem.</t>
        </is>
      </c>
      <c r="K185" s="8" t="inlineStr">
        <is>
          <t>No</t>
        </is>
      </c>
      <c r="L185" s="9" t="inlineStr">
        <is>
          <t>The phase-one programme is retail, office and parking rather than repeated units.</t>
        </is>
      </c>
      <c r="M185" s="8" t="inlineStr">
        <is>
          <t>No</t>
        </is>
      </c>
      <c r="N185" s="9" t="inlineStr">
        <is>
          <t>It chose to keep eighty-year-old warehouses that would have been cheaper to demolish. The partner said so on the record.</t>
        </is>
      </c>
      <c r="O185" s="8" t="inlineStr">
        <is>
          <t>Partly</t>
        </is>
      </c>
      <c r="P185" s="10" t="inlineStr"/>
      <c r="Q185" s="6">
        <f>HYPERLINK("https://www.linkedin.com/search/results/people/?keywords=Preston%20Luster%20Pagewood","search")</f>
        <v/>
      </c>
      <c r="R185" s="11">
        <f>IF(P185="","ADD LINKEDIN","ok")</f>
        <v/>
      </c>
      <c r="S185" s="6" t="inlineStr">
        <is>
          <t>https://www.pagewood.com/</t>
        </is>
      </c>
      <c r="T185" s="9" t="inlineStr">
        <is>
          <t>Ten contiguous EaDo blocks, 513,000 square feet in phase one, Gensler on design and SWA on landscape. It builds ground-up industrial elsewhere, so it is not conversion-only.</t>
        </is>
      </c>
      <c r="U185" s="6" t="inlineStr"/>
      <c r="V185" s="9" t="inlineStr">
        <is>
          <t>Team page: Senior Construction Manager.</t>
        </is>
      </c>
      <c r="W185" s="6" t="inlineStr">
        <is>
          <t>https://www.pagewood.com/team</t>
        </is>
      </c>
      <c r="X185" s="6" t="inlineStr"/>
      <c r="Y185" s="6" t="inlineStr"/>
      <c r="Z185" s="6" t="inlineStr"/>
    </row>
    <row r="186">
      <c r="A186" s="12" t="inlineStr">
        <is>
          <t>David Kelley</t>
        </is>
      </c>
      <c r="B186" s="12" t="inlineStr">
        <is>
          <t>Concept Neighborhood</t>
        </is>
      </c>
      <c r="C186" s="12" t="inlineStr">
        <is>
          <t>Managing Partner, Projects and Finance</t>
        </is>
      </c>
      <c r="D186" s="13" t="inlineStr">
        <is>
          <t>Creative project, hybrid job</t>
        </is>
      </c>
      <c r="E186" s="14" t="n">
        <v>1</v>
      </c>
      <c r="F186" s="12" t="inlineStr">
        <is>
          <t>Buys walls</t>
        </is>
      </c>
      <c r="G186" s="12" t="inlineStr">
        <is>
          <t>East End, Harris</t>
        </is>
      </c>
      <c r="H186" s="12" t="inlineStr">
        <is>
          <t>17 acres at The Plant, Second Ward</t>
        </is>
      </c>
      <c r="I186" s="14" t="inlineStr">
        <is>
          <t>No</t>
        </is>
      </c>
      <c r="J186" s="15" t="inlineStr">
        <is>
          <t>Four blocks of eighty-year-old industrial buildings, each one different. There is no plan to repeat.</t>
        </is>
      </c>
      <c r="K186" s="14" t="inlineStr">
        <is>
          <t>No</t>
        </is>
      </c>
      <c r="L186" s="15" t="inlineStr">
        <is>
          <t>Conversion work leaves little new wall. A printed element would have to be an addition rather than the building.</t>
        </is>
      </c>
      <c r="M186" s="14" t="inlineStr">
        <is>
          <t>Partly</t>
        </is>
      </c>
      <c r="N186" s="15" t="inlineStr">
        <is>
          <t>They restored an 1890s building to open Axelrad and took a National Register industrial basilica on at The Factory. This is a team that chooses the harder build on purpose.</t>
        </is>
      </c>
      <c r="O186" s="14" t="inlineStr">
        <is>
          <t>No</t>
        </is>
      </c>
      <c r="P186" s="6" t="inlineStr">
        <is>
          <t>https://www.linkedin.com/in/david-kelley-275240105/</t>
        </is>
      </c>
      <c r="Q186" s="12" t="inlineStr"/>
      <c r="R186" s="16">
        <f>IF(P186="","ADD LINKEDIN","ok")</f>
        <v/>
      </c>
      <c r="S186" s="12" t="inlineStr">
        <is>
          <t>https://www.conceptneighborhood.com/</t>
        </is>
      </c>
      <c r="T186" s="15" t="inlineStr">
        <is>
          <t>The only firm screened whose founders operate hospitality themselves rather than leasing to operators. Seventeen acres of industrial conversion in the East End.</t>
        </is>
      </c>
      <c r="U186" s="12" t="inlineStr"/>
      <c r="V186" s="15" t="inlineStr">
        <is>
          <t>Linked from conceptneighborhood.com/team, which lists him as Managing Partner, Projects and Finance. Team page: Managing Partner, Projects and Finance.</t>
        </is>
      </c>
      <c r="W186" s="12" t="inlineStr">
        <is>
          <t>https://www.conceptneighborhood.com/team</t>
        </is>
      </c>
      <c r="X186" s="12" t="inlineStr"/>
      <c r="Y186" s="12" t="inlineStr"/>
      <c r="Z186" s="12" t="inlineStr"/>
    </row>
    <row r="187">
      <c r="A187" s="6" t="inlineStr">
        <is>
          <t>Jeffrey Kaplan</t>
        </is>
      </c>
      <c r="B187" s="6" t="inlineStr">
        <is>
          <t>Concept Neighborhood</t>
        </is>
      </c>
      <c r="C187" s="6" t="inlineStr">
        <is>
          <t>Managing Partner, Brokerage and Placemaking, co-founder of Axelrad</t>
        </is>
      </c>
      <c r="D187" s="7" t="inlineStr">
        <is>
          <t>Creative project, hybrid job</t>
        </is>
      </c>
      <c r="E187" s="8" t="n">
        <v>1</v>
      </c>
      <c r="F187" s="6" t="inlineStr">
        <is>
          <t>Buys walls</t>
        </is>
      </c>
      <c r="G187" s="6" t="inlineStr">
        <is>
          <t>East End, Harris</t>
        </is>
      </c>
      <c r="H187" s="6" t="inlineStr">
        <is>
          <t>17 acres at The Plant, Second Ward</t>
        </is>
      </c>
      <c r="I187" s="8" t="inlineStr">
        <is>
          <t>No</t>
        </is>
      </c>
      <c r="J187" s="9" t="inlineStr">
        <is>
          <t>Four blocks of eighty-year-old industrial buildings, each one different. There is no plan to repeat.</t>
        </is>
      </c>
      <c r="K187" s="8" t="inlineStr">
        <is>
          <t>No</t>
        </is>
      </c>
      <c r="L187" s="9" t="inlineStr">
        <is>
          <t>Conversion work leaves little new wall. A printed element would have to be an addition rather than the building.</t>
        </is>
      </c>
      <c r="M187" s="8" t="inlineStr">
        <is>
          <t>Partly</t>
        </is>
      </c>
      <c r="N187" s="9" t="inlineStr">
        <is>
          <t>They restored an 1890s building to open Axelrad and took a National Register industrial basilica on at The Factory. This is a team that chooses the harder build on purpose.</t>
        </is>
      </c>
      <c r="O187" s="8" t="inlineStr">
        <is>
          <t>No</t>
        </is>
      </c>
      <c r="P187" s="6" t="inlineStr">
        <is>
          <t>https://www.linkedin.com/in/jeffrey-kaplan-71190150/</t>
        </is>
      </c>
      <c r="Q187" s="6" t="inlineStr"/>
      <c r="R187" s="11">
        <f>IF(P187="","ADD LINKEDIN","ok")</f>
        <v/>
      </c>
      <c r="S187" s="6" t="inlineStr">
        <is>
          <t>https://www.conceptneighborhood.com/</t>
        </is>
      </c>
      <c r="T187" s="9" t="inlineStr">
        <is>
          <t>The only firm screened whose founders operate hospitality themselves rather than leasing to operators. Seventeen acres of industrial conversion in the East End.</t>
        </is>
      </c>
      <c r="U187" s="6" t="inlineStr"/>
      <c r="V187" s="9" t="inlineStr">
        <is>
          <t>Linked from conceptneighborhood.com/team, which lists him as Managing Partner, Brokerage and Placemaking. Team page: Managing Partner, Brokerage and Placemaking.</t>
        </is>
      </c>
      <c r="W187" s="6" t="inlineStr">
        <is>
          <t>https://www.conceptneighborhood.com/team</t>
        </is>
      </c>
      <c r="X187" s="6" t="inlineStr"/>
      <c r="Y187" s="6" t="inlineStr"/>
      <c r="Z187" s="6" t="inlineStr"/>
    </row>
    <row r="188">
      <c r="A188" s="12" t="inlineStr">
        <is>
          <t>Monte Large</t>
        </is>
      </c>
      <c r="B188" s="12" t="inlineStr">
        <is>
          <t>Concept Neighborhood</t>
        </is>
      </c>
      <c r="C188" s="12" t="inlineStr">
        <is>
          <t>Partner, Design and Placemaking</t>
        </is>
      </c>
      <c r="D188" s="13" t="inlineStr">
        <is>
          <t>Creative project, hybrid job</t>
        </is>
      </c>
      <c r="E188" s="14" t="n">
        <v>1</v>
      </c>
      <c r="F188" s="12" t="inlineStr">
        <is>
          <t>Buys walls</t>
        </is>
      </c>
      <c r="G188" s="12" t="inlineStr">
        <is>
          <t>East End, Harris</t>
        </is>
      </c>
      <c r="H188" s="12" t="inlineStr">
        <is>
          <t>17 acres at The Plant, Second Ward</t>
        </is>
      </c>
      <c r="I188" s="14" t="inlineStr">
        <is>
          <t>No</t>
        </is>
      </c>
      <c r="J188" s="15" t="inlineStr">
        <is>
          <t>Four blocks of eighty-year-old industrial buildings, each one different. There is no plan to repeat.</t>
        </is>
      </c>
      <c r="K188" s="14" t="inlineStr">
        <is>
          <t>No</t>
        </is>
      </c>
      <c r="L188" s="15" t="inlineStr">
        <is>
          <t>Conversion work leaves little new wall. A printed element would have to be an addition rather than the building.</t>
        </is>
      </c>
      <c r="M188" s="14" t="inlineStr">
        <is>
          <t>Partly</t>
        </is>
      </c>
      <c r="N188" s="15" t="inlineStr">
        <is>
          <t>They restored an 1890s building to open Axelrad and took a National Register industrial basilica on at The Factory. This is a team that chooses the harder build on purpose.</t>
        </is>
      </c>
      <c r="O188" s="14" t="inlineStr">
        <is>
          <t>No</t>
        </is>
      </c>
      <c r="P188" s="6" t="inlineStr">
        <is>
          <t>https://www.linkedin.com/in/montelarge/</t>
        </is>
      </c>
      <c r="Q188" s="12" t="inlineStr"/>
      <c r="R188" s="16">
        <f>IF(P188="","ADD LINKEDIN","ok")</f>
        <v/>
      </c>
      <c r="S188" s="12" t="inlineStr">
        <is>
          <t>https://www.conceptneighborhood.com/</t>
        </is>
      </c>
      <c r="T188" s="15" t="inlineStr">
        <is>
          <t>The only firm screened whose founders operate hospitality themselves rather than leasing to operators. Seventeen acres of industrial conversion in the East End.</t>
        </is>
      </c>
      <c r="U188" s="12" t="inlineStr"/>
      <c r="V188" s="15" t="inlineStr">
        <is>
          <t>Linked from conceptneighborhood.com/team, which lists him as Partner, Design and Placemaking. Team page: Partner, Design and Placemaking.</t>
        </is>
      </c>
      <c r="W188" s="12" t="inlineStr">
        <is>
          <t>https://www.conceptneighborhood.com/team</t>
        </is>
      </c>
      <c r="X188" s="12" t="inlineStr"/>
      <c r="Y188" s="12" t="inlineStr"/>
      <c r="Z188" s="12" t="inlineStr"/>
    </row>
    <row r="189">
      <c r="A189" s="6" t="inlineStr">
        <is>
          <t>Jeremy Roberts</t>
        </is>
      </c>
      <c r="B189" s="6" t="inlineStr">
        <is>
          <t>Concept Neighborhood</t>
        </is>
      </c>
      <c r="C189" s="6" t="inlineStr">
        <is>
          <t>Managing Partner, Projects and Legal</t>
        </is>
      </c>
      <c r="D189" s="7" t="inlineStr">
        <is>
          <t>Creative project, hybrid job</t>
        </is>
      </c>
      <c r="E189" s="8" t="n">
        <v>1</v>
      </c>
      <c r="F189" s="6" t="inlineStr">
        <is>
          <t>Buys walls</t>
        </is>
      </c>
      <c r="G189" s="6" t="inlineStr">
        <is>
          <t>East End, Harris</t>
        </is>
      </c>
      <c r="H189" s="6" t="inlineStr">
        <is>
          <t>17 acres at The Plant, Second Ward</t>
        </is>
      </c>
      <c r="I189" s="8" t="inlineStr">
        <is>
          <t>No</t>
        </is>
      </c>
      <c r="J189" s="9" t="inlineStr">
        <is>
          <t>Four blocks of eighty-year-old industrial buildings, each one different. There is no plan to repeat.</t>
        </is>
      </c>
      <c r="K189" s="8" t="inlineStr">
        <is>
          <t>No</t>
        </is>
      </c>
      <c r="L189" s="9" t="inlineStr">
        <is>
          <t>Conversion work leaves little new wall. A printed element would have to be an addition rather than the building.</t>
        </is>
      </c>
      <c r="M189" s="8" t="inlineStr">
        <is>
          <t>Partly</t>
        </is>
      </c>
      <c r="N189" s="9" t="inlineStr">
        <is>
          <t>They restored an 1890s building to open Axelrad and took a National Register industrial basilica on at The Factory. This is a team that chooses the harder build on purpose.</t>
        </is>
      </c>
      <c r="O189" s="8" t="inlineStr">
        <is>
          <t>No</t>
        </is>
      </c>
      <c r="P189" s="6" t="inlineStr">
        <is>
          <t>https://www.linkedin.com/in/jeremyaaronroberts/</t>
        </is>
      </c>
      <c r="Q189" s="6" t="inlineStr"/>
      <c r="R189" s="11">
        <f>IF(P189="","ADD LINKEDIN","ok")</f>
        <v/>
      </c>
      <c r="S189" s="6" t="inlineStr">
        <is>
          <t>https://www.conceptneighborhood.com/</t>
        </is>
      </c>
      <c r="T189" s="9" t="inlineStr">
        <is>
          <t>The only firm screened whose founders operate hospitality themselves rather than leasing to operators. Seventeen acres of industrial conversion in the East End.</t>
        </is>
      </c>
      <c r="U189" s="6" t="inlineStr"/>
      <c r="V189" s="9" t="inlineStr">
        <is>
          <t>Linked from conceptneighborhood.com/team, which lists him as Managing Partner, Projects and Legal. Team page: Managing Partner, Projects and Legal.</t>
        </is>
      </c>
      <c r="W189" s="6" t="inlineStr">
        <is>
          <t>https://www.conceptneighborhood.com/team</t>
        </is>
      </c>
      <c r="X189" s="6" t="inlineStr"/>
      <c r="Y189" s="6" t="inlineStr"/>
      <c r="Z189" s="6" t="inlineStr"/>
    </row>
    <row r="190">
      <c r="A190" s="12" t="inlineStr">
        <is>
          <t>Randolph Wile</t>
        </is>
      </c>
      <c r="B190" s="12" t="inlineStr">
        <is>
          <t>Wile Interests</t>
        </is>
      </c>
      <c r="C190" s="12" t="inlineStr">
        <is>
          <t>Founder and President</t>
        </is>
      </c>
      <c r="D190" s="13" t="inlineStr">
        <is>
          <t>Creative project, hybrid job</t>
        </is>
      </c>
      <c r="E190" s="14" t="n">
        <v>1</v>
      </c>
      <c r="F190" s="12" t="inlineStr">
        <is>
          <t>Buys walls</t>
        </is>
      </c>
      <c r="G190" s="12" t="inlineStr">
        <is>
          <t>Houston and Katy</t>
        </is>
      </c>
      <c r="H190" s="12" t="inlineStr">
        <is>
          <t>Ground-up in Katy, adaptive reuse in EaDo</t>
        </is>
      </c>
      <c r="I190" s="14" t="inlineStr">
        <is>
          <t>Partly</t>
        </is>
      </c>
      <c r="J190" s="15" t="inlineStr">
        <is>
          <t>Two quite different programmes in two submarkets. No repeated unit.</t>
        </is>
      </c>
      <c r="K190" s="14" t="inlineStr">
        <is>
          <t>No</t>
        </is>
      </c>
      <c r="L190" s="15" t="inlineStr">
        <is>
          <t>Medical office and retail shells rather than houses.</t>
        </is>
      </c>
      <c r="M190" s="14" t="inlineStr">
        <is>
          <t>No</t>
        </is>
      </c>
      <c r="N190" s="15" t="inlineStr">
        <is>
          <t>Its president is the one quoted explaining why the firm kept the old warehouses instead of clearing the site.</t>
        </is>
      </c>
      <c r="O190" s="14" t="inlineStr">
        <is>
          <t>No</t>
        </is>
      </c>
      <c r="P190" s="6" t="inlineStr">
        <is>
          <t>https://www.linkedin.com/in/randolph-wile/</t>
        </is>
      </c>
      <c r="Q190" s="12" t="inlineStr"/>
      <c r="R190" s="16">
        <f>IF(P190="","ADD LINKEDIN","ok")</f>
        <v/>
      </c>
      <c r="S190" s="12" t="inlineStr">
        <is>
          <t>https://www.pagewood.com/</t>
        </is>
      </c>
      <c r="T190" s="15" t="inlineStr">
        <is>
          <t>Ground-up medical and retail in Katy, conversion in EaDo.</t>
        </is>
      </c>
      <c r="U190" s="12" t="inlineStr"/>
      <c r="V190" s="15" t="inlineStr">
        <is>
          <t>Indexed title reads Randolph Wile, Wile Interests, Inc. The Real Deal, November 2023, quotes Wile Interests president Randolph Wile.</t>
        </is>
      </c>
      <c r="W190" s="12" t="inlineStr">
        <is>
          <t>https://therealdeal.com/texas/houston/2023/11/13/pagewood-wile-to-convert-eado-houston-warehouses/</t>
        </is>
      </c>
      <c r="X190" s="12" t="inlineStr"/>
      <c r="Y190" s="12" t="inlineStr"/>
      <c r="Z190" s="12" t="inlineStr"/>
    </row>
    <row r="191">
      <c r="A191" s="6" t="inlineStr">
        <is>
          <t>Eric Lipar</t>
        </is>
      </c>
      <c r="B191" s="6" t="inlineStr">
        <is>
          <t>LGI Homes, Inc.</t>
        </is>
      </c>
      <c r="C191" s="6" t="inlineStr">
        <is>
          <t>Chief Executive Officer and Chairman of the Board</t>
        </is>
      </c>
      <c r="D191" s="7" t="inlineStr">
        <is>
          <t>National scale, pilot not purchase</t>
        </is>
      </c>
      <c r="E191" s="8" t="n">
        <v>1</v>
      </c>
      <c r="F191" s="6" t="inlineStr">
        <is>
          <t>Buys walls</t>
        </is>
      </c>
      <c r="G191" s="6" t="inlineStr">
        <is>
          <t>The Woodlands HQ, Montgomery County</t>
        </is>
      </c>
      <c r="H191" s="6" t="inlineStr">
        <is>
          <t>185+ communities, Houston-area HQ</t>
        </is>
      </c>
      <c r="I191" s="8" t="inlineStr">
        <is>
          <t>Yes</t>
        </is>
      </c>
      <c r="J191" s="9" t="inlineStr">
        <is>
          <t>More than 185 communities, entry-level product, head office in the metro.</t>
        </is>
      </c>
      <c r="K191" s="8" t="inlineStr">
        <is>
          <t>No</t>
        </is>
      </c>
      <c r="L191" s="9" t="inlineStr">
        <is>
          <t>Thousands of closings a year across a dozen states, bought from one office.</t>
        </is>
      </c>
      <c r="M191" s="8" t="inlineStr">
        <is>
          <t>No</t>
        </is>
      </c>
      <c r="N191" s="9" t="inlineStr">
        <is>
          <t>Its Q2 2026 earnings call mentions method, labour and cycle time zero times.</t>
        </is>
      </c>
      <c r="O191" s="8" t="inlineStr">
        <is>
          <t>Yes</t>
        </is>
      </c>
      <c r="P191" s="10" t="inlineStr"/>
      <c r="Q191" s="6">
        <f>HYPERLINK("https://www.linkedin.com/search/results/people/?keywords=Eric%20Lipar%20LGI%20Homes%2C%20Inc.","search")</f>
        <v/>
      </c>
      <c r="R191" s="11">
        <f>IF(P191="","ADD LINKEDIN","ok")</f>
        <v/>
      </c>
      <c r="S191" s="6" t="inlineStr">
        <is>
          <t>https://www.lgihomes.com/</t>
        </is>
      </c>
      <c r="T191" s="9" t="inlineStr">
        <is>
          <t>The most standardised product here, headquartered in the metro. Its Q2 2026 call mentions method, labour and cycle time zero times.</t>
        </is>
      </c>
      <c r="U191" s="6" t="inlineStr"/>
      <c r="V191" s="9" t="inlineStr">
        <is>
          <t>Chief Executive Officer and Chairman on LGI's own management page.</t>
        </is>
      </c>
      <c r="W191" s="6" t="inlineStr">
        <is>
          <t>https://investor.lgihomes.com/corporate-governance/management</t>
        </is>
      </c>
      <c r="X191" s="6" t="inlineStr">
        <is>
          <t>https://www.linkedin.com/company/lgi-homes</t>
        </is>
      </c>
      <c r="Y191" s="6" t="inlineStr">
        <is>
          <t>https://investor.lgihomes.com/corporate-governance/management</t>
        </is>
      </c>
      <c r="Z191" s="6" t="inlineStr"/>
    </row>
    <row r="192">
      <c r="A192" s="12" t="inlineStr">
        <is>
          <t>Mike Snider</t>
        </is>
      </c>
      <c r="B192" s="12" t="inlineStr">
        <is>
          <t>LGI Homes, Inc.</t>
        </is>
      </c>
      <c r="C192" s="12" t="inlineStr">
        <is>
          <t>President and Chief Operating Officer</t>
        </is>
      </c>
      <c r="D192" s="13" t="inlineStr">
        <is>
          <t>National scale, pilot not purchase</t>
        </is>
      </c>
      <c r="E192" s="14" t="n">
        <v>1</v>
      </c>
      <c r="F192" s="12" t="inlineStr">
        <is>
          <t>Buys walls</t>
        </is>
      </c>
      <c r="G192" s="12" t="inlineStr">
        <is>
          <t>The Woodlands HQ, Montgomery County</t>
        </is>
      </c>
      <c r="H192" s="12" t="inlineStr">
        <is>
          <t>185+ communities, Houston-area HQ</t>
        </is>
      </c>
      <c r="I192" s="14" t="inlineStr">
        <is>
          <t>Yes</t>
        </is>
      </c>
      <c r="J192" s="15" t="inlineStr">
        <is>
          <t>More than 185 communities, entry-level product, head office in the metro.</t>
        </is>
      </c>
      <c r="K192" s="14" t="inlineStr">
        <is>
          <t>No</t>
        </is>
      </c>
      <c r="L192" s="15" t="inlineStr">
        <is>
          <t>Thousands of closings a year across a dozen states, bought from one office.</t>
        </is>
      </c>
      <c r="M192" s="14" t="inlineStr">
        <is>
          <t>No</t>
        </is>
      </c>
      <c r="N192" s="15" t="inlineStr">
        <is>
          <t>Its Q2 2026 earnings call mentions method, labour and cycle time zero times.</t>
        </is>
      </c>
      <c r="O192" s="14" t="inlineStr">
        <is>
          <t>Yes</t>
        </is>
      </c>
      <c r="P192" s="10" t="inlineStr"/>
      <c r="Q192" s="12">
        <f>HYPERLINK("https://www.linkedin.com/search/results/people/?keywords=Mike%20Snider%20LGI%20Homes%2C%20Inc.","search")</f>
        <v/>
      </c>
      <c r="R192" s="16">
        <f>IF(P192="","ADD LINKEDIN","ok")</f>
        <v/>
      </c>
      <c r="S192" s="12" t="inlineStr">
        <is>
          <t>https://www.lgihomes.com/</t>
        </is>
      </c>
      <c r="T192" s="15" t="inlineStr">
        <is>
          <t>The most standardised product here, headquartered in the metro. Its Q2 2026 call mentions method, labour and cycle time zero times.</t>
        </is>
      </c>
      <c r="U192" s="12" t="inlineStr"/>
      <c r="V192" s="15" t="inlineStr">
        <is>
          <t>President and Chief Operating Officer on LGI's own management page.</t>
        </is>
      </c>
      <c r="W192" s="12" t="inlineStr">
        <is>
          <t>https://investor.lgihomes.com/corporate-governance/management</t>
        </is>
      </c>
      <c r="X192" s="12" t="inlineStr">
        <is>
          <t>https://www.linkedin.com/company/lgi-homes</t>
        </is>
      </c>
      <c r="Y192" s="12" t="inlineStr">
        <is>
          <t>https://investor.lgihomes.com/corporate-governance/management</t>
        </is>
      </c>
      <c r="Z192" s="12" t="inlineStr"/>
    </row>
    <row r="193">
      <c r="A193" s="6" t="inlineStr">
        <is>
          <t>Charles Merdian</t>
        </is>
      </c>
      <c r="B193" s="6" t="inlineStr">
        <is>
          <t>LGI Homes, Inc.</t>
        </is>
      </c>
      <c r="C193" s="6" t="inlineStr">
        <is>
          <t>Chief Financial Officer and Treasurer</t>
        </is>
      </c>
      <c r="D193" s="7" t="inlineStr">
        <is>
          <t>National scale, pilot not purchase</t>
        </is>
      </c>
      <c r="E193" s="8" t="n">
        <v>1</v>
      </c>
      <c r="F193" s="6" t="inlineStr">
        <is>
          <t>Buys walls</t>
        </is>
      </c>
      <c r="G193" s="6" t="inlineStr">
        <is>
          <t>The Woodlands HQ, Montgomery County</t>
        </is>
      </c>
      <c r="H193" s="6" t="inlineStr">
        <is>
          <t>185+ communities, Houston-area HQ</t>
        </is>
      </c>
      <c r="I193" s="8" t="inlineStr">
        <is>
          <t>Yes</t>
        </is>
      </c>
      <c r="J193" s="9" t="inlineStr">
        <is>
          <t>More than 185 communities, entry-level product, head office in the metro.</t>
        </is>
      </c>
      <c r="K193" s="8" t="inlineStr">
        <is>
          <t>No</t>
        </is>
      </c>
      <c r="L193" s="9" t="inlineStr">
        <is>
          <t>Thousands of closings a year across a dozen states, bought from one office.</t>
        </is>
      </c>
      <c r="M193" s="8" t="inlineStr">
        <is>
          <t>No</t>
        </is>
      </c>
      <c r="N193" s="9" t="inlineStr">
        <is>
          <t>Its Q2 2026 earnings call mentions method, labour and cycle time zero times.</t>
        </is>
      </c>
      <c r="O193" s="8" t="inlineStr">
        <is>
          <t>Yes</t>
        </is>
      </c>
      <c r="P193" s="10" t="inlineStr"/>
      <c r="Q193" s="6">
        <f>HYPERLINK("https://www.linkedin.com/search/results/people/?keywords=Charles%20Merdian%20LGI%20Homes%2C%20Inc.","search")</f>
        <v/>
      </c>
      <c r="R193" s="11">
        <f>IF(P193="","ADD LINKEDIN","ok")</f>
        <v/>
      </c>
      <c r="S193" s="6" t="inlineStr">
        <is>
          <t>https://www.lgihomes.com/</t>
        </is>
      </c>
      <c r="T193" s="9" t="inlineStr">
        <is>
          <t>The most standardised product here, headquartered in the metro. Its Q2 2026 call mentions method, labour and cycle time zero times.</t>
        </is>
      </c>
      <c r="U193" s="6" t="inlineStr"/>
      <c r="V193" s="9" t="inlineStr">
        <is>
          <t>Chief Financial Officer and Treasurer on LGI's own management page.</t>
        </is>
      </c>
      <c r="W193" s="6" t="inlineStr">
        <is>
          <t>https://investor.lgihomes.com/corporate-governance/management</t>
        </is>
      </c>
      <c r="X193" s="6" t="inlineStr">
        <is>
          <t>https://www.linkedin.com/company/lgi-homes</t>
        </is>
      </c>
      <c r="Y193" s="6" t="inlineStr">
        <is>
          <t>https://investor.lgihomes.com/corporate-governance/management</t>
        </is>
      </c>
      <c r="Z193" s="6" t="inlineStr"/>
    </row>
    <row r="194">
      <c r="A194" s="12" t="inlineStr">
        <is>
          <t>Chuck Collier</t>
        </is>
      </c>
      <c r="B194" s="12" t="inlineStr">
        <is>
          <t>LGI Homes, Inc.</t>
        </is>
      </c>
      <c r="C194" s="12" t="inlineStr">
        <is>
          <t>Vice President of Construction, Houston, LGI Homes</t>
        </is>
      </c>
      <c r="D194" s="13" t="inlineStr">
        <is>
          <t>National scale, pilot not purchase</t>
        </is>
      </c>
      <c r="E194" s="14" t="n">
        <v>1</v>
      </c>
      <c r="F194" s="12" t="inlineStr">
        <is>
          <t>Buys walls</t>
        </is>
      </c>
      <c r="G194" s="12" t="inlineStr">
        <is>
          <t>The Woodlands HQ, Montgomery County</t>
        </is>
      </c>
      <c r="H194" s="12" t="inlineStr">
        <is>
          <t>185+ communities, Houston-area HQ</t>
        </is>
      </c>
      <c r="I194" s="14" t="inlineStr">
        <is>
          <t>Yes</t>
        </is>
      </c>
      <c r="J194" s="15" t="inlineStr">
        <is>
          <t>More than 185 communities, entry-level product, head office in the metro.</t>
        </is>
      </c>
      <c r="K194" s="14" t="inlineStr">
        <is>
          <t>No</t>
        </is>
      </c>
      <c r="L194" s="15" t="inlineStr">
        <is>
          <t>Thousands of closings a year across a dozen states, bought from one office.</t>
        </is>
      </c>
      <c r="M194" s="14" t="inlineStr">
        <is>
          <t>No</t>
        </is>
      </c>
      <c r="N194" s="15" t="inlineStr">
        <is>
          <t>Its Q2 2026 earnings call mentions method, labour and cycle time zero times.</t>
        </is>
      </c>
      <c r="O194" s="14" t="inlineStr">
        <is>
          <t>Yes</t>
        </is>
      </c>
      <c r="P194" s="6" t="inlineStr">
        <is>
          <t>https://www.linkedin.com/in/chuck-collier-48286829/</t>
        </is>
      </c>
      <c r="Q194" s="12" t="inlineStr"/>
      <c r="R194" s="16">
        <f>IF(P194="","ADD LINKEDIN","ok")</f>
        <v/>
      </c>
      <c r="S194" s="12" t="inlineStr">
        <is>
          <t>https://www.lgihomes.com/</t>
        </is>
      </c>
      <c r="T194" s="15" t="inlineStr">
        <is>
          <t>The most standardised product here, headquartered in the metro. Its Q2 2026 call mentions method, labour and cycle time zero times.</t>
        </is>
      </c>
      <c r="U194" s="12" t="inlineStr">
        <is>
          <t>YES</t>
        </is>
      </c>
      <c r="V194" s="15" t="inlineStr">
        <is>
          <t>VP of Construction, Houston, LGI Homes, stated in his own headline. Location shows only United States.</t>
        </is>
      </c>
      <c r="W194" s="12" t="inlineStr"/>
      <c r="X194" s="12" t="inlineStr">
        <is>
          <t>https://www.linkedin.com/company/lgi-homes</t>
        </is>
      </c>
      <c r="Y194" s="12" t="inlineStr">
        <is>
          <t>https://investor.lgihomes.com/corporate-governance/management</t>
        </is>
      </c>
      <c r="Z194" s="12" t="inlineStr"/>
    </row>
    <row r="195">
      <c r="A195" s="6" t="inlineStr">
        <is>
          <t>Kyle Hanna</t>
        </is>
      </c>
      <c r="B195" s="6" t="inlineStr">
        <is>
          <t>LGI Homes, Inc.</t>
        </is>
      </c>
      <c r="C195" s="6" t="inlineStr">
        <is>
          <t>Vice President of Purchasing, LGI Homes</t>
        </is>
      </c>
      <c r="D195" s="7" t="inlineStr">
        <is>
          <t>National scale, pilot not purchase</t>
        </is>
      </c>
      <c r="E195" s="8" t="n">
        <v>1</v>
      </c>
      <c r="F195" s="6" t="inlineStr">
        <is>
          <t>Buys walls</t>
        </is>
      </c>
      <c r="G195" s="6" t="inlineStr">
        <is>
          <t>The Woodlands HQ, Montgomery County</t>
        </is>
      </c>
      <c r="H195" s="6" t="inlineStr">
        <is>
          <t>185+ communities, Houston-area HQ</t>
        </is>
      </c>
      <c r="I195" s="8" t="inlineStr">
        <is>
          <t>Yes</t>
        </is>
      </c>
      <c r="J195" s="9" t="inlineStr">
        <is>
          <t>More than 185 communities, entry-level product, head office in the metro.</t>
        </is>
      </c>
      <c r="K195" s="8" t="inlineStr">
        <is>
          <t>No</t>
        </is>
      </c>
      <c r="L195" s="9" t="inlineStr">
        <is>
          <t>Thousands of closings a year across a dozen states, bought from one office.</t>
        </is>
      </c>
      <c r="M195" s="8" t="inlineStr">
        <is>
          <t>No</t>
        </is>
      </c>
      <c r="N195" s="9" t="inlineStr">
        <is>
          <t>Its Q2 2026 earnings call mentions method, labour and cycle time zero times.</t>
        </is>
      </c>
      <c r="O195" s="8" t="inlineStr">
        <is>
          <t>Yes</t>
        </is>
      </c>
      <c r="P195" s="6" t="inlineStr">
        <is>
          <t>https://www.linkedin.com/in/kylemhanna/</t>
        </is>
      </c>
      <c r="Q195" s="6" t="inlineStr"/>
      <c r="R195" s="11">
        <f>IF(P195="","ADD LINKEDIN","ok")</f>
        <v/>
      </c>
      <c r="S195" s="6" t="inlineStr">
        <is>
          <t>https://www.lgihomes.com/</t>
        </is>
      </c>
      <c r="T195" s="9" t="inlineStr">
        <is>
          <t>The most standardised product here, headquartered in the metro. Its Q2 2026 call mentions method, labour and cycle time zero times.</t>
        </is>
      </c>
      <c r="U195" s="6" t="inlineStr">
        <is>
          <t>YES</t>
        </is>
      </c>
      <c r="V195" s="9" t="inlineStr">
        <is>
          <t>Vice President of Purchasing at LGI Homes. Conroe, Texas, which is the head office. The construction vice presidents sit in the markets, Austin, San Antonio, Nashville, Denver, Seattle; purchasing is the one that sits in Greater Houston.</t>
        </is>
      </c>
      <c r="W195" s="6" t="inlineStr"/>
      <c r="X195" s="6" t="inlineStr">
        <is>
          <t>https://www.linkedin.com/company/lgi-homes</t>
        </is>
      </c>
      <c r="Y195" s="6" t="inlineStr">
        <is>
          <t>https://investor.lgihomes.com/corporate-governance/management</t>
        </is>
      </c>
      <c r="Z195" s="6" t="inlineStr"/>
    </row>
    <row r="196">
      <c r="A196" s="12" t="inlineStr">
        <is>
          <t>Bob Schottenstein</t>
        </is>
      </c>
      <c r="B196" s="12" t="inlineStr">
        <is>
          <t>M/I Homes, Inc.</t>
        </is>
      </c>
      <c r="C196" s="12" t="inlineStr">
        <is>
          <t>Chief Executive Officer</t>
        </is>
      </c>
      <c r="D196" s="13" t="inlineStr">
        <is>
          <t>National scale, pilot not purchase</t>
        </is>
      </c>
      <c r="E196" s="14" t="n">
        <v>1</v>
      </c>
      <c r="F196" s="12" t="inlineStr">
        <is>
          <t>Buys walls</t>
        </is>
      </c>
      <c r="G196" s="12" t="inlineStr">
        <is>
          <t>Columbus HQ / Liberty, Harris</t>
        </is>
      </c>
      <c r="H196" s="12" t="inlineStr">
        <is>
          <t>3 Houston land deals in 6 months</t>
        </is>
      </c>
      <c r="I196" s="14" t="inlineStr">
        <is>
          <t>Yes</t>
        </is>
      </c>
      <c r="J196" s="15" t="inlineStr">
        <is>
          <t>1,000 homes at Trinity Landing, three Houston land deals in six months.</t>
        </is>
      </c>
      <c r="K196" s="14" t="inlineStr">
        <is>
          <t>No</t>
        </is>
      </c>
      <c r="L196" s="15" t="inlineStr">
        <is>
          <t>A national builder, bought centrally, however good the Houston division is.</t>
        </is>
      </c>
      <c r="M196" s="14" t="inlineStr">
        <is>
          <t>No</t>
        </is>
      </c>
      <c r="N196" s="15" t="inlineStr">
        <is>
          <t>The CEO cites shorter cycle time but not what enabled it.</t>
        </is>
      </c>
      <c r="O196" s="14" t="inlineStr">
        <is>
          <t>Yes</t>
        </is>
      </c>
      <c r="P196" s="10" t="inlineStr"/>
      <c r="Q196" s="12">
        <f>HYPERLINK("https://www.linkedin.com/search/results/people/?keywords=Bob%20Schottenstein%20M/I%20Homes%2C%20Inc.","search")</f>
        <v/>
      </c>
      <c r="R196" s="16">
        <f>IF(P196="","ADD LINKEDIN","ok")</f>
        <v/>
      </c>
      <c r="S196" s="12" t="inlineStr">
        <is>
          <t>https://www.mihomes.com/</t>
        </is>
      </c>
      <c r="T196" s="15" t="inlineStr">
        <is>
          <t>1,000 homes at Trinity Landing and three Houston land deals in six months under a named division president.</t>
        </is>
      </c>
      <c r="U196" s="12" t="inlineStr"/>
      <c r="V196" s="15" t="inlineStr">
        <is>
          <t>Chairman, and Chief Executive Officer since January 2004, on M/I's own officers page.</t>
        </is>
      </c>
      <c r="W196" s="12" t="inlineStr">
        <is>
          <t>https://investors.mihomes.com/investor-relations/officers-directors/default.aspx</t>
        </is>
      </c>
      <c r="X196" s="12" t="inlineStr">
        <is>
          <t>https://www.linkedin.com/company/mihomes/</t>
        </is>
      </c>
      <c r="Y196" s="12" t="inlineStr">
        <is>
          <t>https://investors.mihomes.com/investor-relations/officers-directors/default.aspx</t>
        </is>
      </c>
      <c r="Z196" s="12" t="inlineStr"/>
    </row>
    <row r="197">
      <c r="A197" s="6" t="inlineStr">
        <is>
          <t>Jay McManus</t>
        </is>
      </c>
      <c r="B197" s="6" t="inlineStr">
        <is>
          <t>M/I Homes, Inc.</t>
        </is>
      </c>
      <c r="C197" s="6" t="inlineStr">
        <is>
          <t>Houston Division President</t>
        </is>
      </c>
      <c r="D197" s="7" t="inlineStr">
        <is>
          <t>National scale, pilot not purchase</t>
        </is>
      </c>
      <c r="E197" s="8" t="n">
        <v>1</v>
      </c>
      <c r="F197" s="6" t="inlineStr">
        <is>
          <t>Buys walls</t>
        </is>
      </c>
      <c r="G197" s="6" t="inlineStr">
        <is>
          <t>Columbus HQ / Liberty, Harris</t>
        </is>
      </c>
      <c r="H197" s="6" t="inlineStr">
        <is>
          <t>3 Houston land deals in 6 months</t>
        </is>
      </c>
      <c r="I197" s="8" t="inlineStr">
        <is>
          <t>Yes</t>
        </is>
      </c>
      <c r="J197" s="9" t="inlineStr">
        <is>
          <t>1,000 homes at Trinity Landing, three Houston land deals in six months.</t>
        </is>
      </c>
      <c r="K197" s="8" t="inlineStr">
        <is>
          <t>No</t>
        </is>
      </c>
      <c r="L197" s="9" t="inlineStr">
        <is>
          <t>A national builder, bought centrally, however good the Houston division is.</t>
        </is>
      </c>
      <c r="M197" s="8" t="inlineStr">
        <is>
          <t>No</t>
        </is>
      </c>
      <c r="N197" s="9" t="inlineStr">
        <is>
          <t>The CEO cites shorter cycle time but not what enabled it.</t>
        </is>
      </c>
      <c r="O197" s="8" t="inlineStr">
        <is>
          <t>Yes</t>
        </is>
      </c>
      <c r="P197" s="10" t="inlineStr"/>
      <c r="Q197" s="6">
        <f>HYPERLINK("https://www.linkedin.com/search/results/people/?keywords=Jay%20McManus%20M/I%20Homes%2C%20Inc.","search")</f>
        <v/>
      </c>
      <c r="R197" s="11">
        <f>IF(P197="","ADD LINKEDIN","ok")</f>
        <v/>
      </c>
      <c r="S197" s="6" t="inlineStr">
        <is>
          <t>https://www.mihomes.com/</t>
        </is>
      </c>
      <c r="T197" s="9" t="inlineStr">
        <is>
          <t>1,000 homes at Trinity Landing and three Houston land deals in six months under a named division president.</t>
        </is>
      </c>
      <c r="U197" s="6" t="inlineStr"/>
      <c r="V197" s="9" t="inlineStr">
        <is>
          <t>Named Houston division president for M/I Homes in trade coverage of the division's expansion. M/I's own site names corporate officers only.</t>
        </is>
      </c>
      <c r="W197" s="6" t="inlineStr">
        <is>
          <t>https://houstonagentmagazine.com/2021/08/23/m-i-homes-to-double-presence-in-houston-area/</t>
        </is>
      </c>
      <c r="X197" s="6" t="inlineStr">
        <is>
          <t>https://www.linkedin.com/company/mihomes/</t>
        </is>
      </c>
      <c r="Y197" s="6" t="inlineStr">
        <is>
          <t>https://investors.mihomes.com/investor-relations/officers-directors/default.aspx</t>
        </is>
      </c>
      <c r="Z197" s="6" t="inlineStr"/>
    </row>
    <row r="198">
      <c r="A198" s="12" t="inlineStr">
        <is>
          <t>Patrick Mayhan</t>
        </is>
      </c>
      <c r="B198" s="12" t="inlineStr">
        <is>
          <t>M/I Homes, Inc.</t>
        </is>
      </c>
      <c r="C198" s="12" t="inlineStr">
        <is>
          <t>Vice President of Purchasing, M/I Homes</t>
        </is>
      </c>
      <c r="D198" s="13" t="inlineStr">
        <is>
          <t>National scale, pilot not purchase</t>
        </is>
      </c>
      <c r="E198" s="14" t="n">
        <v>1</v>
      </c>
      <c r="F198" s="12" t="inlineStr">
        <is>
          <t>Buys walls</t>
        </is>
      </c>
      <c r="G198" s="12" t="inlineStr">
        <is>
          <t>Columbus HQ / Liberty, Harris</t>
        </is>
      </c>
      <c r="H198" s="12" t="inlineStr">
        <is>
          <t>3 Houston land deals in 6 months</t>
        </is>
      </c>
      <c r="I198" s="14" t="inlineStr">
        <is>
          <t>Yes</t>
        </is>
      </c>
      <c r="J198" s="15" t="inlineStr">
        <is>
          <t>1,000 homes at Trinity Landing, three Houston land deals in six months.</t>
        </is>
      </c>
      <c r="K198" s="14" t="inlineStr">
        <is>
          <t>No</t>
        </is>
      </c>
      <c r="L198" s="15" t="inlineStr">
        <is>
          <t>A national builder, bought centrally, however good the Houston division is.</t>
        </is>
      </c>
      <c r="M198" s="14" t="inlineStr">
        <is>
          <t>No</t>
        </is>
      </c>
      <c r="N198" s="15" t="inlineStr">
        <is>
          <t>The CEO cites shorter cycle time but not what enabled it.</t>
        </is>
      </c>
      <c r="O198" s="14" t="inlineStr">
        <is>
          <t>Yes</t>
        </is>
      </c>
      <c r="P198" s="6" t="inlineStr">
        <is>
          <t>https://www.linkedin.com/in/patrick-mayhan-5591478/</t>
        </is>
      </c>
      <c r="Q198" s="12" t="inlineStr"/>
      <c r="R198" s="16">
        <f>IF(P198="","ADD LINKEDIN","ok")</f>
        <v/>
      </c>
      <c r="S198" s="12" t="inlineStr">
        <is>
          <t>https://www.mihomes.com/</t>
        </is>
      </c>
      <c r="T198" s="15" t="inlineStr">
        <is>
          <t>1,000 homes at Trinity Landing and three Houston land deals in six months under a named division president.</t>
        </is>
      </c>
      <c r="U198" s="12" t="inlineStr">
        <is>
          <t>YES</t>
        </is>
      </c>
      <c r="V198" s="15" t="inlineStr">
        <is>
          <t>Vice President of Purchasing at M/I Homes, Inc. Houston, Texas. M/I lists two purchasing vice presidents in Houston; his title carries the corporate entity and Randy Barras's carries the Houston division.</t>
        </is>
      </c>
      <c r="W198" s="12" t="inlineStr"/>
      <c r="X198" s="12" t="inlineStr">
        <is>
          <t>https://www.linkedin.com/company/mihomes/</t>
        </is>
      </c>
      <c r="Y198" s="12" t="inlineStr">
        <is>
          <t>https://investors.mihomes.com/investor-relations/officers-directors/default.aspx</t>
        </is>
      </c>
      <c r="Z198" s="12" t="inlineStr"/>
    </row>
    <row r="199">
      <c r="A199" s="6" t="inlineStr">
        <is>
          <t>Randy Barras</t>
        </is>
      </c>
      <c r="B199" s="6" t="inlineStr">
        <is>
          <t>M/I Homes, Inc.</t>
        </is>
      </c>
      <c r="C199" s="6" t="inlineStr">
        <is>
          <t>Vice President of Purchasing, M/I Homes Houston</t>
        </is>
      </c>
      <c r="D199" s="7" t="inlineStr">
        <is>
          <t>National scale, pilot not purchase</t>
        </is>
      </c>
      <c r="E199" s="8" t="n">
        <v>1</v>
      </c>
      <c r="F199" s="6" t="inlineStr">
        <is>
          <t>Buys walls</t>
        </is>
      </c>
      <c r="G199" s="6" t="inlineStr">
        <is>
          <t>Columbus HQ / Liberty, Harris</t>
        </is>
      </c>
      <c r="H199" s="6" t="inlineStr">
        <is>
          <t>3 Houston land deals in 6 months</t>
        </is>
      </c>
      <c r="I199" s="8" t="inlineStr">
        <is>
          <t>Yes</t>
        </is>
      </c>
      <c r="J199" s="9" t="inlineStr">
        <is>
          <t>1,000 homes at Trinity Landing, three Houston land deals in six months.</t>
        </is>
      </c>
      <c r="K199" s="8" t="inlineStr">
        <is>
          <t>No</t>
        </is>
      </c>
      <c r="L199" s="9" t="inlineStr">
        <is>
          <t>A national builder, bought centrally, however good the Houston division is.</t>
        </is>
      </c>
      <c r="M199" s="8" t="inlineStr">
        <is>
          <t>No</t>
        </is>
      </c>
      <c r="N199" s="9" t="inlineStr">
        <is>
          <t>The CEO cites shorter cycle time but not what enabled it.</t>
        </is>
      </c>
      <c r="O199" s="8" t="inlineStr">
        <is>
          <t>Yes</t>
        </is>
      </c>
      <c r="P199" s="6" t="inlineStr">
        <is>
          <t>https://www.linkedin.com/in/rbarras/</t>
        </is>
      </c>
      <c r="Q199" s="6" t="inlineStr"/>
      <c r="R199" s="11">
        <f>IF(P199="","ADD LINKEDIN","ok")</f>
        <v/>
      </c>
      <c r="S199" s="6" t="inlineStr">
        <is>
          <t>https://www.mihomes.com/</t>
        </is>
      </c>
      <c r="T199" s="9" t="inlineStr">
        <is>
          <t>1,000 homes at Trinity Landing and three Houston land deals in six months under a named division president.</t>
        </is>
      </c>
      <c r="U199" s="6" t="inlineStr">
        <is>
          <t>YES</t>
        </is>
      </c>
      <c r="V199" s="9" t="inlineStr">
        <is>
          <t>Vice President of Purchasing, M/I Homes - Houston. Houston, Texas.</t>
        </is>
      </c>
      <c r="W199" s="6" t="inlineStr"/>
      <c r="X199" s="6" t="inlineStr">
        <is>
          <t>https://www.linkedin.com/company/mihomes/</t>
        </is>
      </c>
      <c r="Y199" s="6" t="inlineStr">
        <is>
          <t>https://investors.mihomes.com/investor-relations/officers-directors/default.aspx</t>
        </is>
      </c>
      <c r="Z199" s="6" t="inlineStr"/>
    </row>
    <row r="200">
      <c r="A200" s="12" t="inlineStr">
        <is>
          <t>Darin Rowe</t>
        </is>
      </c>
      <c r="B200" s="12" t="inlineStr">
        <is>
          <t>Taylor Morrison Home Corporation</t>
        </is>
      </c>
      <c r="C200" s="12" t="inlineStr">
        <is>
          <t>National President, Build-to-Rent</t>
        </is>
      </c>
      <c r="D200" s="13" t="inlineStr">
        <is>
          <t>National scale, pilot not purchase</t>
        </is>
      </c>
      <c r="E200" s="14" t="n">
        <v>1</v>
      </c>
      <c r="F200" s="12" t="inlineStr">
        <is>
          <t>Buys walls</t>
        </is>
      </c>
      <c r="G200" s="12" t="inlineStr">
        <is>
          <t>Scottsdale HQ / Harris County</t>
        </is>
      </c>
      <c r="H200" s="12" t="inlineStr">
        <is>
          <t>240-home Houston BTR community</t>
        </is>
      </c>
      <c r="I200" s="14" t="inlineStr">
        <is>
          <t>Yes</t>
        </is>
      </c>
      <c r="J200" s="15" t="inlineStr">
        <is>
          <t>A 240-home Houston build-to-rent community and a dedicated brand.</t>
        </is>
      </c>
      <c r="K200" s="14" t="inlineStr">
        <is>
          <t>No</t>
        </is>
      </c>
      <c r="L200" s="15" t="inlineStr">
        <is>
          <t>A national builder with a national build-to-rent brand.</t>
        </is>
      </c>
      <c r="M200" s="14" t="inlineStr">
        <is>
          <t>No</t>
        </is>
      </c>
      <c r="N200" s="15" t="inlineStr">
        <is>
          <t>Its Yardly retrospective cites input costs with no method detail.</t>
        </is>
      </c>
      <c r="O200" s="14" t="inlineStr">
        <is>
          <t>Yes</t>
        </is>
      </c>
      <c r="P200" s="10" t="inlineStr"/>
      <c r="Q200" s="12">
        <f>HYPERLINK("https://www.linkedin.com/search/results/people/?keywords=Darin%20Rowe%20Taylor%20Morrison%20Home%20Corporation","search")</f>
        <v/>
      </c>
      <c r="R200" s="16">
        <f>IF(P200="","ADD LINKEDIN","ok")</f>
        <v/>
      </c>
      <c r="S200" s="12" t="inlineStr">
        <is>
          <t>https://www.taylormorrison.com/</t>
        </is>
      </c>
      <c r="T200" s="15" t="inlineStr">
        <is>
          <t>A 240-home Houston build-to-rent community and a dedicated brand. The division president role dates to 2018 and is unconfirmed.</t>
        </is>
      </c>
      <c r="U200" s="12" t="inlineStr"/>
      <c r="V200" s="15" t="inlineStr">
        <is>
          <t>Build-to-Rent President, quoted on the launch of the Yardly brand. National, not Houston.</t>
        </is>
      </c>
      <c r="W200" s="12" t="inlineStr">
        <is>
          <t>https://newsroom.taylormorrison.com/2022-11-14-Taylor-Morrison-Unveils-New-Build-To-Rent-Brand,-Yardly</t>
        </is>
      </c>
      <c r="X200" s="12" t="inlineStr">
        <is>
          <t>https://www.linkedin.com/company/taylor-morrison</t>
        </is>
      </c>
      <c r="Y200" s="12" t="inlineStr">
        <is>
          <t>https://newsroom.taylormorrison.com/Leadership</t>
        </is>
      </c>
      <c r="Z200" s="12" t="inlineStr"/>
    </row>
    <row r="201">
      <c r="A201" s="6" t="inlineStr">
        <is>
          <t>Amy Rino</t>
        </is>
      </c>
      <c r="B201" s="6" t="inlineStr">
        <is>
          <t>Taylor Morrison Home Corporation</t>
        </is>
      </c>
      <c r="C201" s="6" t="inlineStr">
        <is>
          <t>Chief Customer Officer, Taylor Morrison, Scottsdale (2026); ex-Houston Division President</t>
        </is>
      </c>
      <c r="D201" s="7" t="inlineStr">
        <is>
          <t>National scale, pilot not purchase</t>
        </is>
      </c>
      <c r="E201" s="8" t="n">
        <v>1</v>
      </c>
      <c r="F201" s="6" t="inlineStr">
        <is>
          <t>Buys walls</t>
        </is>
      </c>
      <c r="G201" s="6" t="inlineStr">
        <is>
          <t>Scottsdale HQ / Harris County</t>
        </is>
      </c>
      <c r="H201" s="6" t="inlineStr">
        <is>
          <t>240-home Houston BTR community</t>
        </is>
      </c>
      <c r="I201" s="8" t="inlineStr">
        <is>
          <t>Yes</t>
        </is>
      </c>
      <c r="J201" s="9" t="inlineStr">
        <is>
          <t>A 240-home Houston build-to-rent community and a dedicated brand.</t>
        </is>
      </c>
      <c r="K201" s="8" t="inlineStr">
        <is>
          <t>No</t>
        </is>
      </c>
      <c r="L201" s="9" t="inlineStr">
        <is>
          <t>A national builder with a national build-to-rent brand.</t>
        </is>
      </c>
      <c r="M201" s="8" t="inlineStr">
        <is>
          <t>No</t>
        </is>
      </c>
      <c r="N201" s="9" t="inlineStr">
        <is>
          <t>Its Yardly retrospective cites input costs with no method detail.</t>
        </is>
      </c>
      <c r="O201" s="8" t="inlineStr">
        <is>
          <t>Yes</t>
        </is>
      </c>
      <c r="P201" s="6" t="inlineStr">
        <is>
          <t>https://www.linkedin.com/in/amy-rino-5152b111/</t>
        </is>
      </c>
      <c r="Q201" s="6" t="inlineStr"/>
      <c r="R201" s="11">
        <f>IF(P201="","ADD LINKEDIN","ok")</f>
        <v/>
      </c>
      <c r="S201" s="6" t="inlineStr">
        <is>
          <t>https://www.taylormorrison.com/</t>
        </is>
      </c>
      <c r="T201" s="9" t="inlineStr">
        <is>
          <t>A 240-home Houston build-to-rent community and a dedicated brand. The division president role dates to 2018 and is unconfirmed.</t>
        </is>
      </c>
      <c r="U201" s="6" t="inlineStr"/>
      <c r="V201" s="9" t="inlineStr">
        <is>
          <t>Amy Rino is now Chief Customer Officer at Taylor Morrison in Scottsdale, not Houston division president. No current Houston division leader is identified.</t>
        </is>
      </c>
      <c r="W201" s="6" t="inlineStr"/>
      <c r="X201" s="6" t="inlineStr">
        <is>
          <t>https://www.linkedin.com/company/taylor-morrison</t>
        </is>
      </c>
      <c r="Y201" s="6" t="inlineStr">
        <is>
          <t>https://newsroom.taylormorrison.com/Leadership</t>
        </is>
      </c>
      <c r="Z201" s="6" t="inlineStr"/>
    </row>
    <row r="202">
      <c r="A202" s="12" t="inlineStr">
        <is>
          <t>Ken Balogh</t>
        </is>
      </c>
      <c r="B202" s="12" t="inlineStr">
        <is>
          <t>Ashton Woods Homes</t>
        </is>
      </c>
      <c r="C202" s="12" t="inlineStr">
        <is>
          <t>President and Chief Executive Officer</t>
        </is>
      </c>
      <c r="D202" s="13" t="inlineStr">
        <is>
          <t>National scale, pilot not purchase</t>
        </is>
      </c>
      <c r="E202" s="14" t="n">
        <v>1</v>
      </c>
      <c r="F202" s="12" t="inlineStr">
        <is>
          <t>Buys walls</t>
        </is>
      </c>
      <c r="G202" s="12" t="inlineStr">
        <is>
          <t>Alpharetta HQ / Harris, Fort Bend</t>
        </is>
      </c>
      <c r="H202" s="12" t="inlineStr">
        <is>
          <t>14+ named Houston communities</t>
        </is>
      </c>
      <c r="I202" s="14" t="inlineStr">
        <is>
          <t>Yes</t>
        </is>
      </c>
      <c r="J202" s="15" t="inlineStr">
        <is>
          <t>Fourteen named Houston communities.</t>
        </is>
      </c>
      <c r="K202" s="14" t="inlineStr">
        <is>
          <t>No</t>
        </is>
      </c>
      <c r="L202" s="15" t="inlineStr">
        <is>
          <t>A national builder with a corporate purchasing function.</t>
        </is>
      </c>
      <c r="M202" s="14" t="inlineStr">
        <is>
          <t>No</t>
        </is>
      </c>
      <c r="N202" s="15" t="inlineStr">
        <is>
          <t>No firm-specific method evidence found.</t>
        </is>
      </c>
      <c r="O202" s="14" t="inlineStr">
        <is>
          <t>Partly</t>
        </is>
      </c>
      <c r="P202" s="10" t="inlineStr"/>
      <c r="Q202" s="12">
        <f>HYPERLINK("https://www.linkedin.com/search/results/people/?keywords=Ken%20Balogh%20Ashton%20Woods%20Homes","search")</f>
        <v/>
      </c>
      <c r="R202" s="16">
        <f>IF(P202="","ADD LINKEDIN","ok")</f>
        <v/>
      </c>
      <c r="S202" s="12" t="inlineStr">
        <is>
          <t>https://www.ashtonwoods.com/</t>
        </is>
      </c>
      <c r="T202" s="15" t="inlineStr">
        <is>
          <t>14 named Houston communities and a Texas regional president.</t>
        </is>
      </c>
      <c r="U202" s="12" t="inlineStr"/>
      <c r="V202" s="15" t="inlineStr">
        <is>
          <t>President and Chief Executive Officer.</t>
        </is>
      </c>
      <c r="W202" s="12" t="inlineStr">
        <is>
          <t>https://www.ashtonwoods.com/corporate-info</t>
        </is>
      </c>
      <c r="X202" s="12" t="inlineStr">
        <is>
          <t>https://www.linkedin.com/company/ashton-woods-homes</t>
        </is>
      </c>
      <c r="Y202" s="12" t="inlineStr">
        <is>
          <t>https://www.ashtonwoods.com/corporate-info</t>
        </is>
      </c>
      <c r="Z202" s="12" t="inlineStr"/>
    </row>
    <row r="203">
      <c r="A203" s="6" t="inlineStr">
        <is>
          <t>Lindsay Motley</t>
        </is>
      </c>
      <c r="B203" s="6" t="inlineStr">
        <is>
          <t>Ashton Woods Homes</t>
        </is>
      </c>
      <c r="C203" s="6" t="inlineStr">
        <is>
          <t>Regional President, Texas</t>
        </is>
      </c>
      <c r="D203" s="7" t="inlineStr">
        <is>
          <t>National scale, pilot not purchase</t>
        </is>
      </c>
      <c r="E203" s="8" t="n">
        <v>1</v>
      </c>
      <c r="F203" s="6" t="inlineStr">
        <is>
          <t>Buys walls</t>
        </is>
      </c>
      <c r="G203" s="6" t="inlineStr">
        <is>
          <t>Alpharetta HQ / Harris, Fort Bend</t>
        </is>
      </c>
      <c r="H203" s="6" t="inlineStr">
        <is>
          <t>14+ named Houston communities</t>
        </is>
      </c>
      <c r="I203" s="8" t="inlineStr">
        <is>
          <t>Yes</t>
        </is>
      </c>
      <c r="J203" s="9" t="inlineStr">
        <is>
          <t>Fourteen named Houston communities.</t>
        </is>
      </c>
      <c r="K203" s="8" t="inlineStr">
        <is>
          <t>No</t>
        </is>
      </c>
      <c r="L203" s="9" t="inlineStr">
        <is>
          <t>A national builder with a corporate purchasing function.</t>
        </is>
      </c>
      <c r="M203" s="8" t="inlineStr">
        <is>
          <t>No</t>
        </is>
      </c>
      <c r="N203" s="9" t="inlineStr">
        <is>
          <t>No firm-specific method evidence found.</t>
        </is>
      </c>
      <c r="O203" s="8" t="inlineStr">
        <is>
          <t>Partly</t>
        </is>
      </c>
      <c r="P203" s="10" t="inlineStr"/>
      <c r="Q203" s="6">
        <f>HYPERLINK("https://www.linkedin.com/search/results/people/?keywords=Lindsay%20Motley%20Ashton%20Woods%20Homes","search")</f>
        <v/>
      </c>
      <c r="R203" s="11">
        <f>IF(P203="","ADD LINKEDIN","ok")</f>
        <v/>
      </c>
      <c r="S203" s="6" t="inlineStr">
        <is>
          <t>https://www.ashtonwoods.com/</t>
        </is>
      </c>
      <c r="T203" s="9" t="inlineStr">
        <is>
          <t>14 named Houston communities and a Texas regional president.</t>
        </is>
      </c>
      <c r="U203" s="6" t="inlineStr"/>
      <c r="V203" s="9" t="inlineStr">
        <is>
          <t>Regional President. The firm's own announcement names her Austin division president.</t>
        </is>
      </c>
      <c r="W203" s="6" t="inlineStr">
        <is>
          <t>https://www.ashtonwoods.com/corporate-info</t>
        </is>
      </c>
      <c r="X203" s="6" t="inlineStr">
        <is>
          <t>https://www.linkedin.com/company/ashton-woods-homes</t>
        </is>
      </c>
      <c r="Y203" s="6" t="inlineStr">
        <is>
          <t>https://www.ashtonwoods.com/corporate-info</t>
        </is>
      </c>
      <c r="Z203" s="6" t="inlineStr"/>
    </row>
    <row r="204">
      <c r="A204" s="12" t="inlineStr">
        <is>
          <t>Ryan Lewis</t>
        </is>
      </c>
      <c r="B204" s="12" t="inlineStr">
        <is>
          <t>Ashton Woods Homes</t>
        </is>
      </c>
      <c r="C204" s="12" t="inlineStr">
        <is>
          <t>Chief Operating Officer</t>
        </is>
      </c>
      <c r="D204" s="13" t="inlineStr">
        <is>
          <t>National scale, pilot not purchase</t>
        </is>
      </c>
      <c r="E204" s="14" t="n">
        <v>1</v>
      </c>
      <c r="F204" s="12" t="inlineStr">
        <is>
          <t>Buys walls</t>
        </is>
      </c>
      <c r="G204" s="12" t="inlineStr">
        <is>
          <t>Alpharetta HQ / Harris, Fort Bend</t>
        </is>
      </c>
      <c r="H204" s="12" t="inlineStr">
        <is>
          <t>14+ named Houston communities</t>
        </is>
      </c>
      <c r="I204" s="14" t="inlineStr">
        <is>
          <t>Yes</t>
        </is>
      </c>
      <c r="J204" s="15" t="inlineStr">
        <is>
          <t>Fourteen named Houston communities.</t>
        </is>
      </c>
      <c r="K204" s="14" t="inlineStr">
        <is>
          <t>No</t>
        </is>
      </c>
      <c r="L204" s="15" t="inlineStr">
        <is>
          <t>A national builder with a corporate purchasing function.</t>
        </is>
      </c>
      <c r="M204" s="14" t="inlineStr">
        <is>
          <t>No</t>
        </is>
      </c>
      <c r="N204" s="15" t="inlineStr">
        <is>
          <t>No firm-specific method evidence found.</t>
        </is>
      </c>
      <c r="O204" s="14" t="inlineStr">
        <is>
          <t>Partly</t>
        </is>
      </c>
      <c r="P204" s="10" t="inlineStr"/>
      <c r="Q204" s="12">
        <f>HYPERLINK("https://www.linkedin.com/search/results/people/?keywords=Ryan%20Lewis%20Ashton%20Woods%20Homes","search")</f>
        <v/>
      </c>
      <c r="R204" s="16">
        <f>IF(P204="","ADD LINKEDIN","ok")</f>
        <v/>
      </c>
      <c r="S204" s="12" t="inlineStr">
        <is>
          <t>https://www.ashtonwoods.com/</t>
        </is>
      </c>
      <c r="T204" s="15" t="inlineStr">
        <is>
          <t>14 named Houston communities and a Texas regional president.</t>
        </is>
      </c>
      <c r="U204" s="12" t="inlineStr"/>
      <c r="V204" s="15" t="inlineStr">
        <is>
          <t>Chief Operating Officer.</t>
        </is>
      </c>
      <c r="W204" s="12" t="inlineStr">
        <is>
          <t>https://www.ashtonwoods.com/corporate-info</t>
        </is>
      </c>
      <c r="X204" s="12" t="inlineStr">
        <is>
          <t>https://www.linkedin.com/company/ashton-woods-homes</t>
        </is>
      </c>
      <c r="Y204" s="12" t="inlineStr">
        <is>
          <t>https://www.ashtonwoods.com/corporate-info</t>
        </is>
      </c>
      <c r="Z204" s="12" t="inlineStr"/>
    </row>
    <row r="205">
      <c r="A205" s="6" t="inlineStr">
        <is>
          <t>DeKendrick Vidito</t>
        </is>
      </c>
      <c r="B205" s="6" t="inlineStr">
        <is>
          <t>Ashton Woods Homes</t>
        </is>
      </c>
      <c r="C205" s="6" t="inlineStr">
        <is>
          <t>Vice President of Purchasing, Ashton Woods Homes</t>
        </is>
      </c>
      <c r="D205" s="7" t="inlineStr">
        <is>
          <t>National scale, pilot not purchase</t>
        </is>
      </c>
      <c r="E205" s="8" t="n">
        <v>1</v>
      </c>
      <c r="F205" s="6" t="inlineStr">
        <is>
          <t>Buys walls</t>
        </is>
      </c>
      <c r="G205" s="6" t="inlineStr">
        <is>
          <t>Alpharetta HQ / Harris, Fort Bend</t>
        </is>
      </c>
      <c r="H205" s="6" t="inlineStr">
        <is>
          <t>14+ named Houston communities</t>
        </is>
      </c>
      <c r="I205" s="8" t="inlineStr">
        <is>
          <t>Yes</t>
        </is>
      </c>
      <c r="J205" s="9" t="inlineStr">
        <is>
          <t>Fourteen named Houston communities.</t>
        </is>
      </c>
      <c r="K205" s="8" t="inlineStr">
        <is>
          <t>No</t>
        </is>
      </c>
      <c r="L205" s="9" t="inlineStr">
        <is>
          <t>A national builder with a corporate purchasing function.</t>
        </is>
      </c>
      <c r="M205" s="8" t="inlineStr">
        <is>
          <t>No</t>
        </is>
      </c>
      <c r="N205" s="9" t="inlineStr">
        <is>
          <t>No firm-specific method evidence found.</t>
        </is>
      </c>
      <c r="O205" s="8" t="inlineStr">
        <is>
          <t>Partly</t>
        </is>
      </c>
      <c r="P205" s="6" t="inlineStr">
        <is>
          <t>https://www.linkedin.com/in/dekendrick-vidito-58087766/</t>
        </is>
      </c>
      <c r="Q205" s="6" t="inlineStr"/>
      <c r="R205" s="11">
        <f>IF(P205="","ADD LINKEDIN","ok")</f>
        <v/>
      </c>
      <c r="S205" s="6" t="inlineStr">
        <is>
          <t>https://www.ashtonwoods.com/</t>
        </is>
      </c>
      <c r="T205" s="9" t="inlineStr">
        <is>
          <t>14 named Houston communities and a Texas regional president.</t>
        </is>
      </c>
      <c r="U205" s="6" t="inlineStr">
        <is>
          <t>YES</t>
        </is>
      </c>
      <c r="V205" s="9" t="inlineStr">
        <is>
          <t>Vice President of Purchasing at Ashton Woods Homes. Houston, Texas.</t>
        </is>
      </c>
      <c r="W205" s="6" t="inlineStr"/>
      <c r="X205" s="6" t="inlineStr">
        <is>
          <t>https://www.linkedin.com/company/ashton-woods-homes</t>
        </is>
      </c>
      <c r="Y205" s="6" t="inlineStr">
        <is>
          <t>https://www.ashtonwoods.com/corporate-info</t>
        </is>
      </c>
      <c r="Z205" s="6" t="inlineStr"/>
    </row>
    <row r="206">
      <c r="A206" s="12" t="inlineStr">
        <is>
          <t>Jay Brown</t>
        </is>
      </c>
      <c r="B206" s="12" t="inlineStr">
        <is>
          <t>David Weekley Homes</t>
        </is>
      </c>
      <c r="C206" s="12" t="inlineStr">
        <is>
          <t>Chief Executive Officer</t>
        </is>
      </c>
      <c r="D206" s="13" t="inlineStr">
        <is>
          <t>National scale, pilot not purchase</t>
        </is>
      </c>
      <c r="E206" s="14" t="n">
        <v>1</v>
      </c>
      <c r="F206" s="12" t="inlineStr">
        <is>
          <t>Buys walls</t>
        </is>
      </c>
      <c r="G206" s="12" t="inlineStr">
        <is>
          <t>Houston HQ, Harris County</t>
        </is>
      </c>
      <c r="H206" s="12" t="inlineStr">
        <is>
          <t>125,000+ homes, 19 markets, Houston HQ</t>
        </is>
      </c>
      <c r="I206" s="14" t="inlineStr">
        <is>
          <t>Yes</t>
        </is>
      </c>
      <c r="J206" s="15" t="inlineStr">
        <is>
          <t>125,000 homes across 19 markets, Houston head office, 50 years.</t>
        </is>
      </c>
      <c r="K206" s="14" t="inlineStr">
        <is>
          <t>No</t>
        </is>
      </c>
      <c r="L206" s="15" t="inlineStr">
        <is>
          <t>125,000 homes and a national purchasing and supply chain function.</t>
        </is>
      </c>
      <c r="M206" s="14" t="inlineStr">
        <is>
          <t>No</t>
        </is>
      </c>
      <c r="N206" s="15" t="inlineStr">
        <is>
          <t>Its 2026 supplier recognition covers insulation and fire-stopping, not the envelope.</t>
        </is>
      </c>
      <c r="O206" s="14" t="inlineStr">
        <is>
          <t>Partly</t>
        </is>
      </c>
      <c r="P206" s="6" t="inlineStr">
        <is>
          <t>https://www.linkedin.com/in/jay-brown-14305a12/</t>
        </is>
      </c>
      <c r="Q206" s="12" t="inlineStr"/>
      <c r="R206" s="16">
        <f>IF(P206="","ADD LINKEDIN","ok")</f>
        <v/>
      </c>
      <c r="S206" s="12" t="inlineStr">
        <is>
          <t>https://www.davidweekleyhomes.com/</t>
        </is>
      </c>
      <c r="T206" s="15" t="inlineStr">
        <is>
          <t>125,000 homes, Houston HQ, 50 years. Its supplier recognition covers insulation and fire-stopping, not the envelope.</t>
        </is>
      </c>
      <c r="U206" s="12" t="inlineStr"/>
      <c r="V206" s="15" t="inlineStr">
        <is>
          <t>Chief Executive Officer at David Weekley Homes. Houston, Texas.</t>
        </is>
      </c>
      <c r="W206" s="12" t="inlineStr"/>
      <c r="X206" s="12" t="inlineStr">
        <is>
          <t>https://www.linkedin.com/company/david-weekley-homes</t>
        </is>
      </c>
      <c r="Y206" s="12" t="inlineStr">
        <is>
          <t>https://www.davidweekleyhomes.com/about-us/meet-the-team</t>
        </is>
      </c>
      <c r="Z206" s="12" t="inlineStr"/>
    </row>
    <row r="207">
      <c r="A207" s="6" t="inlineStr">
        <is>
          <t>Chris Weekley</t>
        </is>
      </c>
      <c r="B207" s="6" t="inlineStr">
        <is>
          <t>David Weekley Homes</t>
        </is>
      </c>
      <c r="C207" s="6" t="inlineStr">
        <is>
          <t>President and Vice Chairman</t>
        </is>
      </c>
      <c r="D207" s="7" t="inlineStr">
        <is>
          <t>National scale, pilot not purchase</t>
        </is>
      </c>
      <c r="E207" s="8" t="n">
        <v>1</v>
      </c>
      <c r="F207" s="6" t="inlineStr">
        <is>
          <t>Buys walls</t>
        </is>
      </c>
      <c r="G207" s="6" t="inlineStr">
        <is>
          <t>Houston HQ, Harris County</t>
        </is>
      </c>
      <c r="H207" s="6" t="inlineStr">
        <is>
          <t>125,000+ homes, 19 markets, Houston HQ</t>
        </is>
      </c>
      <c r="I207" s="8" t="inlineStr">
        <is>
          <t>Yes</t>
        </is>
      </c>
      <c r="J207" s="9" t="inlineStr">
        <is>
          <t>125,000 homes across 19 markets, Houston head office, 50 years.</t>
        </is>
      </c>
      <c r="K207" s="8" t="inlineStr">
        <is>
          <t>No</t>
        </is>
      </c>
      <c r="L207" s="9" t="inlineStr">
        <is>
          <t>125,000 homes and a national purchasing and supply chain function.</t>
        </is>
      </c>
      <c r="M207" s="8" t="inlineStr">
        <is>
          <t>No</t>
        </is>
      </c>
      <c r="N207" s="9" t="inlineStr">
        <is>
          <t>Its 2026 supplier recognition covers insulation and fire-stopping, not the envelope.</t>
        </is>
      </c>
      <c r="O207" s="8" t="inlineStr">
        <is>
          <t>Partly</t>
        </is>
      </c>
      <c r="P207" s="10" t="inlineStr"/>
      <c r="Q207" s="6">
        <f>HYPERLINK("https://www.linkedin.com/search/results/people/?keywords=Chris%20Weekley%20David%20Weekley%20Homes","search")</f>
        <v/>
      </c>
      <c r="R207" s="11">
        <f>IF(P207="","ADD LINKEDIN","ok")</f>
        <v/>
      </c>
      <c r="S207" s="6" t="inlineStr">
        <is>
          <t>https://www.davidweekleyhomes.com/</t>
        </is>
      </c>
      <c r="T207" s="9" t="inlineStr">
        <is>
          <t>125,000 homes, Houston HQ, 50 years. Its supplier recognition covers insulation and fire-stopping, not the envelope.</t>
        </is>
      </c>
      <c r="U207" s="6" t="inlineStr"/>
      <c r="V207" s="9" t="inlineStr">
        <is>
          <t>President and Vice Chairman. The firm's own page credits him with innovation and developer relationships, which is the brief a printed wall would land in.</t>
        </is>
      </c>
      <c r="W207" s="6" t="inlineStr">
        <is>
          <t>https://www.davidweekleyhomes.com/about-us/meet-the-team</t>
        </is>
      </c>
      <c r="X207" s="6" t="inlineStr">
        <is>
          <t>https://www.linkedin.com/company/david-weekley-homes</t>
        </is>
      </c>
      <c r="Y207" s="6" t="inlineStr">
        <is>
          <t>https://www.davidweekleyhomes.com/about-us/meet-the-team</t>
        </is>
      </c>
      <c r="Z207" s="6" t="inlineStr"/>
    </row>
    <row r="208">
      <c r="A208" s="12" t="inlineStr">
        <is>
          <t>David Weekley</t>
        </is>
      </c>
      <c r="B208" s="12" t="inlineStr">
        <is>
          <t>David Weekley Homes</t>
        </is>
      </c>
      <c r="C208" s="12" t="inlineStr">
        <is>
          <t>Chairman and Founder</t>
        </is>
      </c>
      <c r="D208" s="13" t="inlineStr">
        <is>
          <t>National scale, pilot not purchase</t>
        </is>
      </c>
      <c r="E208" s="14" t="n">
        <v>1</v>
      </c>
      <c r="F208" s="12" t="inlineStr">
        <is>
          <t>Buys walls</t>
        </is>
      </c>
      <c r="G208" s="12" t="inlineStr">
        <is>
          <t>Houston HQ, Harris County</t>
        </is>
      </c>
      <c r="H208" s="12" t="inlineStr">
        <is>
          <t>125,000+ homes, 19 markets, Houston HQ</t>
        </is>
      </c>
      <c r="I208" s="14" t="inlineStr">
        <is>
          <t>Yes</t>
        </is>
      </c>
      <c r="J208" s="15" t="inlineStr">
        <is>
          <t>125,000 homes across 19 markets, Houston head office, 50 years.</t>
        </is>
      </c>
      <c r="K208" s="14" t="inlineStr">
        <is>
          <t>No</t>
        </is>
      </c>
      <c r="L208" s="15" t="inlineStr">
        <is>
          <t>125,000 homes and a national purchasing and supply chain function.</t>
        </is>
      </c>
      <c r="M208" s="14" t="inlineStr">
        <is>
          <t>No</t>
        </is>
      </c>
      <c r="N208" s="15" t="inlineStr">
        <is>
          <t>Its 2026 supplier recognition covers insulation and fire-stopping, not the envelope.</t>
        </is>
      </c>
      <c r="O208" s="14" t="inlineStr">
        <is>
          <t>Partly</t>
        </is>
      </c>
      <c r="P208" s="10" t="inlineStr"/>
      <c r="Q208" s="12">
        <f>HYPERLINK("https://www.linkedin.com/search/results/people/?keywords=David%20Weekley%20David%20Weekley%20Homes","search")</f>
        <v/>
      </c>
      <c r="R208" s="16">
        <f>IF(P208="","ADD LINKEDIN","ok")</f>
        <v/>
      </c>
      <c r="S208" s="12" t="inlineStr">
        <is>
          <t>https://www.davidweekleyhomes.com/</t>
        </is>
      </c>
      <c r="T208" s="15" t="inlineStr">
        <is>
          <t>125,000 homes, Houston HQ, 50 years. Its supplier recognition covers insulation and fire-stopping, not the envelope.</t>
        </is>
      </c>
      <c r="U208" s="12" t="inlineStr"/>
      <c r="V208" s="15" t="inlineStr">
        <is>
          <t>Chairman, who started the company in 1976 at twenty-three.</t>
        </is>
      </c>
      <c r="W208" s="12" t="inlineStr">
        <is>
          <t>https://www.davidweekleyhomes.com/about-us/meet-the-team</t>
        </is>
      </c>
      <c r="X208" s="12" t="inlineStr">
        <is>
          <t>https://www.linkedin.com/company/david-weekley-homes</t>
        </is>
      </c>
      <c r="Y208" s="12" t="inlineStr">
        <is>
          <t>https://www.davidweekleyhomes.com/about-us/meet-the-team</t>
        </is>
      </c>
      <c r="Z208" s="12" t="inlineStr"/>
    </row>
    <row r="209">
      <c r="A209" s="6" t="inlineStr">
        <is>
          <t>John Schiegg</t>
        </is>
      </c>
      <c r="B209" s="6" t="inlineStr">
        <is>
          <t>David Weekley Homes</t>
        </is>
      </c>
      <c r="C209" s="6" t="inlineStr">
        <is>
          <t>Vice President of Purchasing and Supply Chain, David Weekley Homes</t>
        </is>
      </c>
      <c r="D209" s="7" t="inlineStr">
        <is>
          <t>National scale, pilot not purchase</t>
        </is>
      </c>
      <c r="E209" s="8" t="n">
        <v>1</v>
      </c>
      <c r="F209" s="6" t="inlineStr">
        <is>
          <t>Buys walls</t>
        </is>
      </c>
      <c r="G209" s="6" t="inlineStr">
        <is>
          <t>Houston HQ, Harris County</t>
        </is>
      </c>
      <c r="H209" s="6" t="inlineStr">
        <is>
          <t>125,000+ homes, 19 markets, Houston HQ</t>
        </is>
      </c>
      <c r="I209" s="8" t="inlineStr">
        <is>
          <t>Yes</t>
        </is>
      </c>
      <c r="J209" s="9" t="inlineStr">
        <is>
          <t>125,000 homes across 19 markets, Houston head office, 50 years.</t>
        </is>
      </c>
      <c r="K209" s="8" t="inlineStr">
        <is>
          <t>No</t>
        </is>
      </c>
      <c r="L209" s="9" t="inlineStr">
        <is>
          <t>125,000 homes and a national purchasing and supply chain function.</t>
        </is>
      </c>
      <c r="M209" s="8" t="inlineStr">
        <is>
          <t>No</t>
        </is>
      </c>
      <c r="N209" s="9" t="inlineStr">
        <is>
          <t>Its 2026 supplier recognition covers insulation and fire-stopping, not the envelope.</t>
        </is>
      </c>
      <c r="O209" s="8" t="inlineStr">
        <is>
          <t>Partly</t>
        </is>
      </c>
      <c r="P209" s="6" t="inlineStr">
        <is>
          <t>https://www.linkedin.com/in/john-schiegg-7593996/</t>
        </is>
      </c>
      <c r="Q209" s="6" t="inlineStr"/>
      <c r="R209" s="11">
        <f>IF(P209="","ADD LINKEDIN","ok")</f>
        <v/>
      </c>
      <c r="S209" s="6" t="inlineStr">
        <is>
          <t>https://www.davidweekleyhomes.com/</t>
        </is>
      </c>
      <c r="T209" s="9" t="inlineStr">
        <is>
          <t>125,000 homes, Houston HQ, 50 years. Its supplier recognition covers insulation and fire-stopping, not the envelope.</t>
        </is>
      </c>
      <c r="U209" s="6" t="inlineStr">
        <is>
          <t>YES</t>
        </is>
      </c>
      <c r="V209" s="9" t="inlineStr">
        <is>
          <t>Profile opened. Company line reads David Weekley Homes, Houston, Texas. He owns purchasing and supply chain for the largest privately held builder in the country.</t>
        </is>
      </c>
      <c r="W209" s="6" t="inlineStr"/>
      <c r="X209" s="6" t="inlineStr">
        <is>
          <t>https://www.linkedin.com/company/david-weekley-homes</t>
        </is>
      </c>
      <c r="Y209" s="6" t="inlineStr">
        <is>
          <t>https://www.davidweekleyhomes.com/about-us/meet-the-team</t>
        </is>
      </c>
      <c r="Z209" s="6" t="inlineStr"/>
    </row>
    <row r="210">
      <c r="A210" s="12" t="inlineStr">
        <is>
          <t>Ladd Fargo</t>
        </is>
      </c>
      <c r="B210" s="12" t="inlineStr">
        <is>
          <t>David Weekley Homes</t>
        </is>
      </c>
      <c r="C210" s="12" t="inlineStr">
        <is>
          <t>Chief Operating Officer, David Weekley Homes</t>
        </is>
      </c>
      <c r="D210" s="13" t="inlineStr">
        <is>
          <t>National scale, pilot not purchase</t>
        </is>
      </c>
      <c r="E210" s="14" t="n">
        <v>1</v>
      </c>
      <c r="F210" s="12" t="inlineStr">
        <is>
          <t>Buys walls</t>
        </is>
      </c>
      <c r="G210" s="12" t="inlineStr">
        <is>
          <t>Houston HQ, Harris County</t>
        </is>
      </c>
      <c r="H210" s="12" t="inlineStr">
        <is>
          <t>125,000+ homes, 19 markets, Houston HQ</t>
        </is>
      </c>
      <c r="I210" s="14" t="inlineStr">
        <is>
          <t>Yes</t>
        </is>
      </c>
      <c r="J210" s="15" t="inlineStr">
        <is>
          <t>125,000 homes across 19 markets, Houston head office, 50 years.</t>
        </is>
      </c>
      <c r="K210" s="14" t="inlineStr">
        <is>
          <t>No</t>
        </is>
      </c>
      <c r="L210" s="15" t="inlineStr">
        <is>
          <t>125,000 homes and a national purchasing and supply chain function.</t>
        </is>
      </c>
      <c r="M210" s="14" t="inlineStr">
        <is>
          <t>No</t>
        </is>
      </c>
      <c r="N210" s="15" t="inlineStr">
        <is>
          <t>Its 2026 supplier recognition covers insulation and fire-stopping, not the envelope.</t>
        </is>
      </c>
      <c r="O210" s="14" t="inlineStr">
        <is>
          <t>Partly</t>
        </is>
      </c>
      <c r="P210" s="6" t="inlineStr">
        <is>
          <t>https://www.linkedin.com/in/ladd-fargo-241a47259/</t>
        </is>
      </c>
      <c r="Q210" s="12" t="inlineStr"/>
      <c r="R210" s="16">
        <f>IF(P210="","ADD LINKEDIN","ok")</f>
        <v/>
      </c>
      <c r="S210" s="12" t="inlineStr">
        <is>
          <t>https://www.davidweekleyhomes.com/</t>
        </is>
      </c>
      <c r="T210" s="15" t="inlineStr">
        <is>
          <t>125,000 homes, Houston HQ, 50 years. Its supplier recognition covers insulation and fire-stopping, not the envelope.</t>
        </is>
      </c>
      <c r="U210" s="12" t="inlineStr"/>
      <c r="V210" s="15" t="inlineStr">
        <is>
          <t>Chief Operating Officer at David Weekley Homes. Houston, Texas.</t>
        </is>
      </c>
      <c r="W210" s="12" t="inlineStr"/>
      <c r="X210" s="12" t="inlineStr">
        <is>
          <t>https://www.linkedin.com/company/david-weekley-homes</t>
        </is>
      </c>
      <c r="Y210" s="12" t="inlineStr">
        <is>
          <t>https://www.davidweekleyhomes.com/about-us/meet-the-team</t>
        </is>
      </c>
      <c r="Z210" s="12" t="inlineStr"/>
    </row>
    <row r="211">
      <c r="A211" s="6" t="inlineStr">
        <is>
          <t>Chad Durham</t>
        </is>
      </c>
      <c r="B211" s="6" t="inlineStr">
        <is>
          <t>David Weekley Homes</t>
        </is>
      </c>
      <c r="C211" s="6" t="inlineStr">
        <is>
          <t>Vice President of Build-to-Rent, David Weekley Homes</t>
        </is>
      </c>
      <c r="D211" s="7" t="inlineStr">
        <is>
          <t>National scale, pilot not purchase</t>
        </is>
      </c>
      <c r="E211" s="8" t="n">
        <v>1</v>
      </c>
      <c r="F211" s="6" t="inlineStr">
        <is>
          <t>Buys walls</t>
        </is>
      </c>
      <c r="G211" s="6" t="inlineStr">
        <is>
          <t>Houston HQ, Harris County</t>
        </is>
      </c>
      <c r="H211" s="6" t="inlineStr">
        <is>
          <t>125,000+ homes, 19 markets, Houston HQ</t>
        </is>
      </c>
      <c r="I211" s="8" t="inlineStr">
        <is>
          <t>Yes</t>
        </is>
      </c>
      <c r="J211" s="9" t="inlineStr">
        <is>
          <t>125,000 homes across 19 markets, Houston head office, 50 years.</t>
        </is>
      </c>
      <c r="K211" s="8" t="inlineStr">
        <is>
          <t>No</t>
        </is>
      </c>
      <c r="L211" s="9" t="inlineStr">
        <is>
          <t>125,000 homes and a national purchasing and supply chain function.</t>
        </is>
      </c>
      <c r="M211" s="8" t="inlineStr">
        <is>
          <t>No</t>
        </is>
      </c>
      <c r="N211" s="9" t="inlineStr">
        <is>
          <t>Its 2026 supplier recognition covers insulation and fire-stopping, not the envelope.</t>
        </is>
      </c>
      <c r="O211" s="8" t="inlineStr">
        <is>
          <t>Partly</t>
        </is>
      </c>
      <c r="P211" s="6" t="inlineStr">
        <is>
          <t>https://www.linkedin.com/in/chad-durham-1227bb74/</t>
        </is>
      </c>
      <c r="Q211" s="6" t="inlineStr"/>
      <c r="R211" s="11">
        <f>IF(P211="","ADD LINKEDIN","ok")</f>
        <v/>
      </c>
      <c r="S211" s="6" t="inlineStr">
        <is>
          <t>https://www.davidweekleyhomes.com/</t>
        </is>
      </c>
      <c r="T211" s="9" t="inlineStr">
        <is>
          <t>125,000 homes, Houston HQ, 50 years. Its supplier recognition covers insulation and fire-stopping, not the envelope.</t>
        </is>
      </c>
      <c r="U211" s="6" t="inlineStr"/>
      <c r="V211" s="9" t="inlineStr">
        <is>
          <t>Vice President of Build-To-Rent at David Weekley Homes. Austin, Texas, which is ICON's own city. Build-to-rent is the product line where a repeated wall pays back fastest.</t>
        </is>
      </c>
      <c r="W211" s="6" t="inlineStr"/>
      <c r="X211" s="6" t="inlineStr">
        <is>
          <t>https://www.linkedin.com/company/david-weekley-homes</t>
        </is>
      </c>
      <c r="Y211" s="6" t="inlineStr">
        <is>
          <t>https://www.davidweekleyhomes.com/about-us/meet-the-team</t>
        </is>
      </c>
      <c r="Z211" s="6" t="inlineStr"/>
    </row>
    <row r="212">
      <c r="A212" s="12" t="inlineStr">
        <is>
          <t>Kathy Britton</t>
        </is>
      </c>
      <c r="B212" s="12" t="inlineStr">
        <is>
          <t>Perry Homes</t>
        </is>
      </c>
      <c r="C212" s="12" t="inlineStr">
        <is>
          <t>Owner and Executive Chair</t>
        </is>
      </c>
      <c r="D212" s="13" t="inlineStr">
        <is>
          <t>National scale, pilot not purchase</t>
        </is>
      </c>
      <c r="E212" s="14" t="n">
        <v>1</v>
      </c>
      <c r="F212" s="12" t="inlineStr">
        <is>
          <t>Buys walls</t>
        </is>
      </c>
      <c r="G212" s="12" t="inlineStr">
        <is>
          <t>Houston HQ, Harris County</t>
        </is>
      </c>
      <c r="H212" s="12" t="inlineStr">
        <is>
          <t>120+ communities, 65,000+ homes sold</t>
        </is>
      </c>
      <c r="I212" s="14" t="inlineStr">
        <is>
          <t>Yes</t>
        </is>
      </c>
      <c r="J212" s="15" t="inlineStr">
        <is>
          <t>More than 120 communities and 65,000 homes, locally owned.</t>
        </is>
      </c>
      <c r="K212" s="14" t="inlineStr">
        <is>
          <t>No</t>
        </is>
      </c>
      <c r="L212" s="15" t="inlineStr">
        <is>
          <t>120 communities and thousands of closings a year, bought centrally.</t>
        </is>
      </c>
      <c r="M212" s="14" t="inlineStr">
        <is>
          <t>No</t>
        </is>
      </c>
      <c r="N212" s="15" t="inlineStr">
        <is>
          <t>Its own published definition of innovation is smart-home features and floor plans.</t>
        </is>
      </c>
      <c r="O212" s="14" t="inlineStr">
        <is>
          <t>Partly</t>
        </is>
      </c>
      <c r="P212" s="10" t="inlineStr"/>
      <c r="Q212" s="12">
        <f>HYPERLINK("https://www.linkedin.com/search/results/people/?keywords=Kathy%20Britton%20Perry%20Homes","search")</f>
        <v/>
      </c>
      <c r="R212" s="16">
        <f>IF(P212="","ADD LINKEDIN","ok")</f>
        <v/>
      </c>
      <c r="S212" s="12" t="inlineStr">
        <is>
          <t>https://www.perryhomes.com/</t>
        </is>
      </c>
      <c r="T212" s="15" t="inlineStr">
        <is>
          <t>120 communities and local ownership. Its published innovation page covers smart-home features and floor plans.</t>
        </is>
      </c>
      <c r="U212" s="12" t="inlineStr"/>
      <c r="V212" s="15" t="inlineStr">
        <is>
          <t>Perry's own page: Owner and Executive Chair, having succeeded her father Bob Perry as chief executive.</t>
        </is>
      </c>
      <c r="W212" s="12" t="inlineStr">
        <is>
          <t>https://www.perryhomes.com/about-perry-homes</t>
        </is>
      </c>
      <c r="X212" s="12" t="inlineStr">
        <is>
          <t>https://www.linkedin.com/company/perry-homes</t>
        </is>
      </c>
      <c r="Y212" s="12" t="inlineStr">
        <is>
          <t>https://www.perryhomes.com/about-perry-homes</t>
        </is>
      </c>
      <c r="Z212" s="12" t="inlineStr"/>
    </row>
    <row r="213">
      <c r="A213" s="6" t="inlineStr">
        <is>
          <t>Todd Chachere</t>
        </is>
      </c>
      <c r="B213" s="6" t="inlineStr">
        <is>
          <t>Perry Homes</t>
        </is>
      </c>
      <c r="C213" s="6" t="inlineStr">
        <is>
          <t>Chief Executive Officer</t>
        </is>
      </c>
      <c r="D213" s="7" t="inlineStr">
        <is>
          <t>National scale, pilot not purchase</t>
        </is>
      </c>
      <c r="E213" s="8" t="n">
        <v>1</v>
      </c>
      <c r="F213" s="6" t="inlineStr">
        <is>
          <t>Buys walls</t>
        </is>
      </c>
      <c r="G213" s="6" t="inlineStr">
        <is>
          <t>Houston HQ, Harris County</t>
        </is>
      </c>
      <c r="H213" s="6" t="inlineStr">
        <is>
          <t>120+ communities, 65,000+ homes sold</t>
        </is>
      </c>
      <c r="I213" s="8" t="inlineStr">
        <is>
          <t>Yes</t>
        </is>
      </c>
      <c r="J213" s="9" t="inlineStr">
        <is>
          <t>More than 120 communities and 65,000 homes, locally owned.</t>
        </is>
      </c>
      <c r="K213" s="8" t="inlineStr">
        <is>
          <t>No</t>
        </is>
      </c>
      <c r="L213" s="9" t="inlineStr">
        <is>
          <t>120 communities and thousands of closings a year, bought centrally.</t>
        </is>
      </c>
      <c r="M213" s="8" t="inlineStr">
        <is>
          <t>No</t>
        </is>
      </c>
      <c r="N213" s="9" t="inlineStr">
        <is>
          <t>Its own published definition of innovation is smart-home features and floor plans.</t>
        </is>
      </c>
      <c r="O213" s="8" t="inlineStr">
        <is>
          <t>Partly</t>
        </is>
      </c>
      <c r="P213" s="10" t="inlineStr"/>
      <c r="Q213" s="6">
        <f>HYPERLINK("https://www.linkedin.com/search/results/people/?keywords=Todd%20Chachere%20Perry%20Homes","search")</f>
        <v/>
      </c>
      <c r="R213" s="11">
        <f>IF(P213="","ADD LINKEDIN","ok")</f>
        <v/>
      </c>
      <c r="S213" s="6" t="inlineStr">
        <is>
          <t>https://www.perryhomes.com/</t>
        </is>
      </c>
      <c r="T213" s="9" t="inlineStr">
        <is>
          <t>120 communities and local ownership. Its published innovation page covers smart-home features and floor plans.</t>
        </is>
      </c>
      <c r="U213" s="6" t="inlineStr"/>
      <c r="V213" s="9" t="inlineStr">
        <is>
          <t>Chief Executive Officer on Perry's own page.</t>
        </is>
      </c>
      <c r="W213" s="6" t="inlineStr">
        <is>
          <t>https://www.perryhomes.com/about-perry-homes</t>
        </is>
      </c>
      <c r="X213" s="6" t="inlineStr">
        <is>
          <t>https://www.linkedin.com/company/perry-homes</t>
        </is>
      </c>
      <c r="Y213" s="6" t="inlineStr">
        <is>
          <t>https://www.perryhomes.com/about-perry-homes</t>
        </is>
      </c>
      <c r="Z213" s="6" t="inlineStr"/>
    </row>
    <row r="214">
      <c r="A214" s="12" t="inlineStr">
        <is>
          <t>Shane Huhn</t>
        </is>
      </c>
      <c r="B214" s="12" t="inlineStr">
        <is>
          <t>Perry Homes</t>
        </is>
      </c>
      <c r="C214" s="12" t="inlineStr">
        <is>
          <t>Vice President of Construction, Perry Homes</t>
        </is>
      </c>
      <c r="D214" s="13" t="inlineStr">
        <is>
          <t>National scale, pilot not purchase</t>
        </is>
      </c>
      <c r="E214" s="14" t="n">
        <v>1</v>
      </c>
      <c r="F214" s="12" t="inlineStr">
        <is>
          <t>Buys walls</t>
        </is>
      </c>
      <c r="G214" s="12" t="inlineStr">
        <is>
          <t>Houston HQ, Harris County</t>
        </is>
      </c>
      <c r="H214" s="12" t="inlineStr">
        <is>
          <t>120+ communities, 65,000+ homes sold</t>
        </is>
      </c>
      <c r="I214" s="14" t="inlineStr">
        <is>
          <t>Yes</t>
        </is>
      </c>
      <c r="J214" s="15" t="inlineStr">
        <is>
          <t>More than 120 communities and 65,000 homes, locally owned.</t>
        </is>
      </c>
      <c r="K214" s="14" t="inlineStr">
        <is>
          <t>No</t>
        </is>
      </c>
      <c r="L214" s="15" t="inlineStr">
        <is>
          <t>120 communities and thousands of closings a year, bought centrally.</t>
        </is>
      </c>
      <c r="M214" s="14" t="inlineStr">
        <is>
          <t>No</t>
        </is>
      </c>
      <c r="N214" s="15" t="inlineStr">
        <is>
          <t>Its own published definition of innovation is smart-home features and floor plans.</t>
        </is>
      </c>
      <c r="O214" s="14" t="inlineStr">
        <is>
          <t>Partly</t>
        </is>
      </c>
      <c r="P214" s="6" t="inlineStr">
        <is>
          <t>https://www.linkedin.com/in/shane-huhn-645270161/</t>
        </is>
      </c>
      <c r="Q214" s="12" t="inlineStr"/>
      <c r="R214" s="16">
        <f>IF(P214="","ADD LINKEDIN","ok")</f>
        <v/>
      </c>
      <c r="S214" s="12" t="inlineStr">
        <is>
          <t>https://www.perryhomes.com/</t>
        </is>
      </c>
      <c r="T214" s="15" t="inlineStr">
        <is>
          <t>120 communities and local ownership. Its published innovation page covers smart-home features and floor plans.</t>
        </is>
      </c>
      <c r="U214" s="12" t="inlineStr">
        <is>
          <t>YES</t>
        </is>
      </c>
      <c r="V214" s="15" t="inlineStr">
        <is>
          <t>Vice President of Construction at Perry Homes. Location shows only United States; Perry is headquartered in Houston.</t>
        </is>
      </c>
      <c r="W214" s="12" t="inlineStr"/>
      <c r="X214" s="12" t="inlineStr">
        <is>
          <t>https://www.linkedin.com/company/perry-homes</t>
        </is>
      </c>
      <c r="Y214" s="12" t="inlineStr">
        <is>
          <t>https://www.perryhomes.com/about-perry-homes</t>
        </is>
      </c>
      <c r="Z214" s="12" t="inlineStr"/>
    </row>
    <row r="215">
      <c r="A215" s="6" t="inlineStr">
        <is>
          <t>Lauren Chachere</t>
        </is>
      </c>
      <c r="B215" s="6" t="inlineStr">
        <is>
          <t>Perry Homes</t>
        </is>
      </c>
      <c r="C215" s="6" t="inlineStr">
        <is>
          <t>Vice President of Purchasing, Perry Homes</t>
        </is>
      </c>
      <c r="D215" s="7" t="inlineStr">
        <is>
          <t>National scale, pilot not purchase</t>
        </is>
      </c>
      <c r="E215" s="8" t="n">
        <v>1</v>
      </c>
      <c r="F215" s="6" t="inlineStr">
        <is>
          <t>Buys walls</t>
        </is>
      </c>
      <c r="G215" s="6" t="inlineStr">
        <is>
          <t>Houston HQ, Harris County</t>
        </is>
      </c>
      <c r="H215" s="6" t="inlineStr">
        <is>
          <t>120+ communities, 65,000+ homes sold</t>
        </is>
      </c>
      <c r="I215" s="8" t="inlineStr">
        <is>
          <t>Yes</t>
        </is>
      </c>
      <c r="J215" s="9" t="inlineStr">
        <is>
          <t>More than 120 communities and 65,000 homes, locally owned.</t>
        </is>
      </c>
      <c r="K215" s="8" t="inlineStr">
        <is>
          <t>No</t>
        </is>
      </c>
      <c r="L215" s="9" t="inlineStr">
        <is>
          <t>120 communities and thousands of closings a year, bought centrally.</t>
        </is>
      </c>
      <c r="M215" s="8" t="inlineStr">
        <is>
          <t>No</t>
        </is>
      </c>
      <c r="N215" s="9" t="inlineStr">
        <is>
          <t>Its own published definition of innovation is smart-home features and floor plans.</t>
        </is>
      </c>
      <c r="O215" s="8" t="inlineStr">
        <is>
          <t>Partly</t>
        </is>
      </c>
      <c r="P215" s="6" t="inlineStr">
        <is>
          <t>https://www.linkedin.com/in/laurenchachere/</t>
        </is>
      </c>
      <c r="Q215" s="6" t="inlineStr"/>
      <c r="R215" s="11">
        <f>IF(P215="","ADD LINKEDIN","ok")</f>
        <v/>
      </c>
      <c r="S215" s="6" t="inlineStr">
        <is>
          <t>https://www.perryhomes.com/</t>
        </is>
      </c>
      <c r="T215" s="9" t="inlineStr">
        <is>
          <t>120 communities and local ownership. Its published innovation page covers smart-home features and floor plans.</t>
        </is>
      </c>
      <c r="U215" s="6" t="inlineStr">
        <is>
          <t>YES</t>
        </is>
      </c>
      <c r="V215" s="9" t="inlineStr">
        <is>
          <t>Vice President of Purchasing at Perry Homes. Houston, Texas.</t>
        </is>
      </c>
      <c r="W215" s="6" t="inlineStr"/>
      <c r="X215" s="6" t="inlineStr">
        <is>
          <t>https://www.linkedin.com/company/perry-homes</t>
        </is>
      </c>
      <c r="Y215" s="6" t="inlineStr">
        <is>
          <t>https://www.perryhomes.com/about-perry-homes</t>
        </is>
      </c>
      <c r="Z215" s="6" t="inlineStr"/>
    </row>
    <row r="216">
      <c r="A216" s="12" t="inlineStr">
        <is>
          <t>Ronny Salameh</t>
        </is>
      </c>
      <c r="B216" s="12" t="inlineStr">
        <is>
          <t>Brightland Homes</t>
        </is>
      </c>
      <c r="C216" s="12" t="inlineStr">
        <is>
          <t>President and Chief Executive Officer, The DRB Group</t>
        </is>
      </c>
      <c r="D216" s="13" t="inlineStr">
        <is>
          <t>National scale, pilot not purchase</t>
        </is>
      </c>
      <c r="E216" s="14" t="n">
        <v>1</v>
      </c>
      <c r="F216" s="12" t="inlineStr">
        <is>
          <t>Buys walls</t>
        </is>
      </c>
      <c r="G216" s="12" t="inlineStr">
        <is>
          <t>Addison HQ / Montgomery, Harris</t>
        </is>
      </c>
      <c r="H216" s="12" t="inlineStr">
        <is>
          <t>110 communities, 17,000+ homes delivered</t>
        </is>
      </c>
      <c r="I216" s="14" t="inlineStr">
        <is>
          <t>Partly</t>
        </is>
      </c>
      <c r="J216" s="15" t="inlineStr">
        <is>
          <t>110 active communities.</t>
        </is>
      </c>
      <c r="K216" s="14" t="inlineStr">
        <is>
          <t>No</t>
        </is>
      </c>
      <c r="L216" s="15" t="inlineStr">
        <is>
          <t>110 communities inside the DRB platform, bought by a parent that has put capital into wood.</t>
        </is>
      </c>
      <c r="M216" s="14" t="inlineStr">
        <is>
          <t>No</t>
        </is>
      </c>
      <c r="N216" s="15" t="inlineStr">
        <is>
          <t>Owner Sumitomo Forestry is a timber group, which may cut against a concrete wall.</t>
        </is>
      </c>
      <c r="O216" s="14" t="inlineStr">
        <is>
          <t>Partly</t>
        </is>
      </c>
      <c r="P216" s="10" t="inlineStr"/>
      <c r="Q216" s="12">
        <f>HYPERLINK("https://www.linkedin.com/search/results/people/?keywords=Ronny%20Salameh%20Brightland%20Homes","search")</f>
        <v/>
      </c>
      <c r="R216" s="16">
        <f>IF(P216="","ADD LINKEDIN","ok")</f>
        <v/>
      </c>
      <c r="S216" s="12" t="inlineStr">
        <is>
          <t>https://www.brightlandhomes.com/</t>
        </is>
      </c>
      <c r="T216" s="15" t="inlineStr">
        <is>
          <t>110 communities, but parent Sumitomo Forestry bought a sawmill and is integrating wood framing across the platform Brightland sits in.</t>
        </is>
      </c>
      <c r="U216" s="12" t="inlineStr"/>
      <c r="V216" s="15" t="inlineStr">
        <is>
          <t>President and Chief Executive Officer of The DRB Group, which has owned Brightland since April 2025.</t>
        </is>
      </c>
      <c r="W216" s="12" t="inlineStr">
        <is>
          <t>https://www.drbgroup.com/about</t>
        </is>
      </c>
      <c r="X216" s="12" t="inlineStr">
        <is>
          <t>https://www.linkedin.com/company/brightlandhomes</t>
        </is>
      </c>
      <c r="Y216" s="12" t="inlineStr">
        <is>
          <t>https://www.drbgroup.com/about</t>
        </is>
      </c>
      <c r="Z216" s="12" t="inlineStr"/>
    </row>
    <row r="217">
      <c r="A217" s="6" t="inlineStr">
        <is>
          <t>Young Nam</t>
        </is>
      </c>
      <c r="B217" s="6" t="inlineStr">
        <is>
          <t>Brightland Homes</t>
        </is>
      </c>
      <c r="C217" s="6" t="inlineStr">
        <is>
          <t>Senior Vice President of Purchasing, The DRB Group</t>
        </is>
      </c>
      <c r="D217" s="7" t="inlineStr">
        <is>
          <t>National scale, pilot not purchase</t>
        </is>
      </c>
      <c r="E217" s="8" t="n">
        <v>1</v>
      </c>
      <c r="F217" s="6" t="inlineStr">
        <is>
          <t>Buys walls</t>
        </is>
      </c>
      <c r="G217" s="6" t="inlineStr">
        <is>
          <t>Addison HQ / Montgomery, Harris</t>
        </is>
      </c>
      <c r="H217" s="6" t="inlineStr">
        <is>
          <t>110 communities, 17,000+ homes delivered</t>
        </is>
      </c>
      <c r="I217" s="8" t="inlineStr">
        <is>
          <t>Partly</t>
        </is>
      </c>
      <c r="J217" s="9" t="inlineStr">
        <is>
          <t>110 active communities.</t>
        </is>
      </c>
      <c r="K217" s="8" t="inlineStr">
        <is>
          <t>No</t>
        </is>
      </c>
      <c r="L217" s="9" t="inlineStr">
        <is>
          <t>110 communities inside the DRB platform, bought by a parent that has put capital into wood.</t>
        </is>
      </c>
      <c r="M217" s="8" t="inlineStr">
        <is>
          <t>No</t>
        </is>
      </c>
      <c r="N217" s="9" t="inlineStr">
        <is>
          <t>Owner Sumitomo Forestry is a timber group, which may cut against a concrete wall.</t>
        </is>
      </c>
      <c r="O217" s="8" t="inlineStr">
        <is>
          <t>Partly</t>
        </is>
      </c>
      <c r="P217" s="6" t="inlineStr">
        <is>
          <t>https://www.linkedin.com/in/young-nam-78b36229/</t>
        </is>
      </c>
      <c r="Q217" s="6" t="inlineStr"/>
      <c r="R217" s="11">
        <f>IF(P217="","ADD LINKEDIN","ok")</f>
        <v/>
      </c>
      <c r="S217" s="6" t="inlineStr">
        <is>
          <t>https://www.brightlandhomes.com/</t>
        </is>
      </c>
      <c r="T217" s="9" t="inlineStr">
        <is>
          <t>110 communities, but parent Sumitomo Forestry bought a sawmill and is integrating wood framing across the platform Brightland sits in.</t>
        </is>
      </c>
      <c r="U217" s="6" t="inlineStr">
        <is>
          <t>YES</t>
        </is>
      </c>
      <c r="V217" s="9" t="inlineStr">
        <is>
          <t>Senior Vice President of Supply Chain, Bethesda, Maryland. The DRB Group's own leadership page lists a Young Nam as SVP of Purchasing, and DRB is headquartered in the Maryland suburbs. Senior Vice President of Purchasing at The DRB Group. Brightland publishes no leadership of its own, so the person who buys for the platform Brightland sits inside is the contact.</t>
        </is>
      </c>
      <c r="W217" s="6" t="inlineStr">
        <is>
          <t>https://www.drbgroup.com/about</t>
        </is>
      </c>
      <c r="X217" s="6" t="inlineStr">
        <is>
          <t>https://www.linkedin.com/company/brightlandhomes</t>
        </is>
      </c>
      <c r="Y217" s="6" t="inlineStr">
        <is>
          <t>https://www.drbgroup.com/about</t>
        </is>
      </c>
      <c r="Z217" s="6" t="inlineStr"/>
    </row>
    <row r="218">
      <c r="A218" s="12" t="inlineStr">
        <is>
          <t>Danny Signorelli</t>
        </is>
      </c>
      <c r="B218" s="12" t="inlineStr">
        <is>
          <t>The Signorelli Company</t>
        </is>
      </c>
      <c r="C218" s="12" t="inlineStr">
        <is>
          <t>Founder and Chief Executive Officer</t>
        </is>
      </c>
      <c r="D218" s="13" t="inlineStr">
        <is>
          <t>Masterplan owner</t>
        </is>
      </c>
      <c r="E218" s="14" t="n">
        <v>2</v>
      </c>
      <c r="F218" s="12" t="inlineStr">
        <is>
          <t>Sells lots</t>
        </is>
      </c>
      <c r="G218" s="12" t="inlineStr">
        <is>
          <t>The Woodlands HQ / Fort Bend, Liberty</t>
        </is>
      </c>
      <c r="H218" s="12" t="inlineStr">
        <is>
          <t>23,000+ paper lots in pipeline</t>
        </is>
      </c>
      <c r="I218" s="14" t="inlineStr">
        <is>
          <t>Yes</t>
        </is>
      </c>
      <c r="J218" s="15" t="inlineStr"/>
      <c r="K218" s="14" t="inlineStr">
        <is>
          <t>Partly</t>
        </is>
      </c>
      <c r="L218" s="15" t="inlineStr"/>
      <c r="M218" s="14" t="inlineStr">
        <is>
          <t>No</t>
        </is>
      </c>
      <c r="N218" s="15" t="inlineStr"/>
      <c r="O218" s="14" t="inlineStr">
        <is>
          <t>Partly</t>
        </is>
      </c>
      <c r="P218" s="6" t="inlineStr">
        <is>
          <t>https://www.linkedin.com/in/danny-signorelli-6284461b/</t>
        </is>
      </c>
      <c r="Q218" s="12" t="inlineStr"/>
      <c r="R218" s="16">
        <f>IF(P218="","ADD LINKEDIN","ok")</f>
        <v/>
      </c>
      <c r="S218" s="12" t="inlineStr">
        <is>
          <t>https://www.signorellicompany.com/</t>
        </is>
      </c>
      <c r="T218" s="15" t="inlineStr">
        <is>
          <t>Sells lots, but owns First America Homes, which holds all three counts. One president runs both.</t>
        </is>
      </c>
      <c r="U218" s="12" t="inlineStr"/>
      <c r="V218" s="15" t="inlineStr">
        <is>
          <t>CEO, President, The Signorelli Company. Greater Houston.</t>
        </is>
      </c>
      <c r="W218" s="12" t="inlineStr"/>
      <c r="X218" s="12" t="inlineStr">
        <is>
          <t>https://www.linkedin.com/company/signorelli-company</t>
        </is>
      </c>
      <c r="Y218" s="12" t="inlineStr">
        <is>
          <t>https://www.signorellicompany.com/our-leadership</t>
        </is>
      </c>
      <c r="Z218" s="12" t="inlineStr"/>
    </row>
    <row r="219">
      <c r="A219" s="6" t="inlineStr">
        <is>
          <t>Jeff Dewese</t>
        </is>
      </c>
      <c r="B219" s="6" t="inlineStr">
        <is>
          <t>The Signorelli Company</t>
        </is>
      </c>
      <c r="C219" s="6" t="inlineStr">
        <is>
          <t>President, Land Division</t>
        </is>
      </c>
      <c r="D219" s="7" t="inlineStr">
        <is>
          <t>Masterplan owner</t>
        </is>
      </c>
      <c r="E219" s="8" t="n">
        <v>2</v>
      </c>
      <c r="F219" s="6" t="inlineStr">
        <is>
          <t>Sells lots</t>
        </is>
      </c>
      <c r="G219" s="6" t="inlineStr">
        <is>
          <t>The Woodlands HQ / Fort Bend, Liberty</t>
        </is>
      </c>
      <c r="H219" s="6" t="inlineStr">
        <is>
          <t>23,000+ paper lots in pipeline</t>
        </is>
      </c>
      <c r="I219" s="8" t="inlineStr">
        <is>
          <t>Yes</t>
        </is>
      </c>
      <c r="J219" s="9" t="inlineStr"/>
      <c r="K219" s="8" t="inlineStr">
        <is>
          <t>Partly</t>
        </is>
      </c>
      <c r="L219" s="9" t="inlineStr"/>
      <c r="M219" s="8" t="inlineStr">
        <is>
          <t>No</t>
        </is>
      </c>
      <c r="N219" s="9" t="inlineStr"/>
      <c r="O219" s="8" t="inlineStr">
        <is>
          <t>Partly</t>
        </is>
      </c>
      <c r="P219" s="10" t="inlineStr"/>
      <c r="Q219" s="6">
        <f>HYPERLINK("https://www.linkedin.com/search/results/people/?keywords=Jeff%20Dewese%20The%20Signorelli%20Company","search")</f>
        <v/>
      </c>
      <c r="R219" s="11">
        <f>IF(P219="","ADD LINKEDIN","ok")</f>
        <v/>
      </c>
      <c r="S219" s="6" t="inlineStr">
        <is>
          <t>https://www.signorellicompany.com/</t>
        </is>
      </c>
      <c r="T219" s="9" t="inlineStr">
        <is>
          <t>Sells lots, but owns First America Homes, which holds all three counts. One president runs both.</t>
        </is>
      </c>
      <c r="U219" s="6" t="inlineStr"/>
      <c r="V219" s="9" t="inlineStr">
        <is>
          <t>Signorelli's own bio page. President, Land Division, overseeing land acquisition, planning and construction management for Granger Pines, Cielo and Austin Point.</t>
        </is>
      </c>
      <c r="W219" s="6" t="inlineStr">
        <is>
          <t>https://www.signorellicompany.com/our-leadership/15/jeff-dewese</t>
        </is>
      </c>
      <c r="X219" s="6" t="inlineStr">
        <is>
          <t>https://www.linkedin.com/company/signorelli-company</t>
        </is>
      </c>
      <c r="Y219" s="6" t="inlineStr">
        <is>
          <t>https://www.signorellicompany.com/our-leadership</t>
        </is>
      </c>
      <c r="Z219" s="6" t="inlineStr"/>
    </row>
    <row r="220">
      <c r="A220" s="12" t="inlineStr">
        <is>
          <t>Harry Dinham</t>
        </is>
      </c>
      <c r="B220" s="12" t="inlineStr">
        <is>
          <t>The Signorelli Company</t>
        </is>
      </c>
      <c r="C220" s="12" t="inlineStr">
        <is>
          <t>Chief Financial Officer</t>
        </is>
      </c>
      <c r="D220" s="13" t="inlineStr">
        <is>
          <t>Masterplan owner</t>
        </is>
      </c>
      <c r="E220" s="14" t="n">
        <v>2</v>
      </c>
      <c r="F220" s="12" t="inlineStr">
        <is>
          <t>Sells lots</t>
        </is>
      </c>
      <c r="G220" s="12" t="inlineStr">
        <is>
          <t>The Woodlands HQ / Fort Bend, Liberty</t>
        </is>
      </c>
      <c r="H220" s="12" t="inlineStr">
        <is>
          <t>23,000+ paper lots in pipeline</t>
        </is>
      </c>
      <c r="I220" s="14" t="inlineStr">
        <is>
          <t>Yes</t>
        </is>
      </c>
      <c r="J220" s="15" t="inlineStr"/>
      <c r="K220" s="14" t="inlineStr">
        <is>
          <t>Partly</t>
        </is>
      </c>
      <c r="L220" s="15" t="inlineStr"/>
      <c r="M220" s="14" t="inlineStr">
        <is>
          <t>No</t>
        </is>
      </c>
      <c r="N220" s="15" t="inlineStr"/>
      <c r="O220" s="14" t="inlineStr">
        <is>
          <t>Partly</t>
        </is>
      </c>
      <c r="P220" s="10" t="inlineStr"/>
      <c r="Q220" s="12">
        <f>HYPERLINK("https://www.linkedin.com/search/results/people/?keywords=Harry%20Dinham%20The%20Signorelli%20Company","search")</f>
        <v/>
      </c>
      <c r="R220" s="16">
        <f>IF(P220="","ADD LINKEDIN","ok")</f>
        <v/>
      </c>
      <c r="S220" s="12" t="inlineStr">
        <is>
          <t>https://www.signorellicompany.com/</t>
        </is>
      </c>
      <c r="T220" s="15" t="inlineStr">
        <is>
          <t>Sells lots, but owns First America Homes, which holds all three counts. One president runs both.</t>
        </is>
      </c>
      <c r="U220" s="12" t="inlineStr"/>
      <c r="V220" s="15" t="inlineStr">
        <is>
          <t>Signorelli's own bio page. Chief Financial Officer on the executive leadership team.</t>
        </is>
      </c>
      <c r="W220" s="12" t="inlineStr">
        <is>
          <t>https://www.signorellicompany.com/our-leadership/30/harry-dinham</t>
        </is>
      </c>
      <c r="X220" s="12" t="inlineStr">
        <is>
          <t>https://www.linkedin.com/company/signorelli-company</t>
        </is>
      </c>
      <c r="Y220" s="12" t="inlineStr">
        <is>
          <t>https://www.signorellicompany.com/our-leadership</t>
        </is>
      </c>
      <c r="Z220" s="12" t="inlineStr"/>
    </row>
    <row r="221">
      <c r="A221" s="6" t="inlineStr">
        <is>
          <t>John Winniford</t>
        </is>
      </c>
      <c r="B221" s="6" t="inlineStr">
        <is>
          <t>The Signorelli Company</t>
        </is>
      </c>
      <c r="C221" s="6" t="inlineStr">
        <is>
          <t>President, Homebuilding, The Signorelli Company</t>
        </is>
      </c>
      <c r="D221" s="7" t="inlineStr">
        <is>
          <t>Masterplan owner</t>
        </is>
      </c>
      <c r="E221" s="8" t="n">
        <v>2</v>
      </c>
      <c r="F221" s="6" t="inlineStr">
        <is>
          <t>Sells lots</t>
        </is>
      </c>
      <c r="G221" s="6" t="inlineStr">
        <is>
          <t>The Woodlands HQ / Fort Bend, Liberty</t>
        </is>
      </c>
      <c r="H221" s="6" t="inlineStr">
        <is>
          <t>23,000+ paper lots in pipeline</t>
        </is>
      </c>
      <c r="I221" s="8" t="inlineStr">
        <is>
          <t>Yes</t>
        </is>
      </c>
      <c r="J221" s="9" t="inlineStr"/>
      <c r="K221" s="8" t="inlineStr">
        <is>
          <t>Partly</t>
        </is>
      </c>
      <c r="L221" s="9" t="inlineStr"/>
      <c r="M221" s="8" t="inlineStr">
        <is>
          <t>No</t>
        </is>
      </c>
      <c r="N221" s="9" t="inlineStr"/>
      <c r="O221" s="8" t="inlineStr">
        <is>
          <t>Partly</t>
        </is>
      </c>
      <c r="P221" s="10" t="inlineStr"/>
      <c r="Q221" s="6">
        <f>HYPERLINK("https://www.linkedin.com/search/results/people/?keywords=John%20Winniford%20The%20Signorelli%20Company","search")</f>
        <v/>
      </c>
      <c r="R221" s="11">
        <f>IF(P221="","ADD LINKEDIN","ok")</f>
        <v/>
      </c>
      <c r="S221" s="6" t="inlineStr">
        <is>
          <t>https://www.signorellicompany.com/</t>
        </is>
      </c>
      <c r="T221" s="9" t="inlineStr">
        <is>
          <t>Sells lots, but owns First America Homes, which holds all three counts. One president runs both.</t>
        </is>
      </c>
      <c r="U221" s="6" t="inlineStr"/>
      <c r="V221" s="9" t="inlineStr">
        <is>
          <t>President, Homebuilding. The same person who runs First America, which Signorelli owns, so a single approach reaches both the land position and the builder.</t>
        </is>
      </c>
      <c r="W221" s="6" t="inlineStr">
        <is>
          <t>https://www.signorellicompany.com/our-leadership/34/john-winniford</t>
        </is>
      </c>
      <c r="X221" s="6" t="inlineStr">
        <is>
          <t>https://www.linkedin.com/company/signorelli-company</t>
        </is>
      </c>
      <c r="Y221" s="6" t="inlineStr">
        <is>
          <t>https://www.signorellicompany.com/our-leadership</t>
        </is>
      </c>
      <c r="Z221" s="6" t="inlineStr"/>
    </row>
    <row r="222">
      <c r="A222" s="12" t="inlineStr">
        <is>
          <t>David O'Reilly</t>
        </is>
      </c>
      <c r="B222" s="12" t="inlineStr">
        <is>
          <t>Howard Hughes Holdings Inc.</t>
        </is>
      </c>
      <c r="C222" s="12" t="inlineStr">
        <is>
          <t>Chief Executive Officer</t>
        </is>
      </c>
      <c r="D222" s="13" t="inlineStr">
        <is>
          <t>Masterplan owner</t>
        </is>
      </c>
      <c r="E222" s="14" t="n">
        <v>1</v>
      </c>
      <c r="F222" s="12" t="inlineStr">
        <is>
          <t>Sells lots</t>
        </is>
      </c>
      <c r="G222" s="12" t="inlineStr">
        <is>
          <t>The Woodlands HQ / Harris, Montgomery</t>
        </is>
      </c>
      <c r="H222" s="12" t="inlineStr">
        <is>
          <t>$900M Pershing Square investment, 46.9%</t>
        </is>
      </c>
      <c r="I222" s="14" t="inlineStr">
        <is>
          <t>Yes</t>
        </is>
      </c>
      <c r="J222" s="15" t="inlineStr"/>
      <c r="K222" s="14" t="inlineStr">
        <is>
          <t>No</t>
        </is>
      </c>
      <c r="L222" s="15" t="inlineStr"/>
      <c r="M222" s="14" t="inlineStr">
        <is>
          <t>No</t>
        </is>
      </c>
      <c r="N222" s="15" t="inlineStr"/>
      <c r="O222" s="14" t="inlineStr">
        <is>
          <t>Yes</t>
        </is>
      </c>
      <c r="P222" s="10" t="inlineStr"/>
      <c r="Q222" s="12">
        <f>HYPERLINK("https://www.linkedin.com/search/results/people/?keywords=David%20O%27Reilly%20Howard%20Hughes%20Holdings%20Inc.","search")</f>
        <v/>
      </c>
      <c r="R222" s="16">
        <f>IF(P222="","ADD LINKEDIN","ok")</f>
        <v/>
      </c>
      <c r="S222" s="12" t="inlineStr">
        <is>
          <t>https://www.howardhughes.com/</t>
        </is>
      </c>
      <c r="T222" s="15" t="inlineStr">
        <is>
          <t>11,400 acres and $900M from Pershing Square, but it sells lots, so the builder buys the wall rather than Howard Hughes.</t>
        </is>
      </c>
      <c r="U222" s="12" t="inlineStr"/>
      <c r="V222" s="15" t="inlineStr">
        <is>
          <t>Chief Executive Officer on Howard Hughes's own leadership page.</t>
        </is>
      </c>
      <c r="W222" s="12" t="inlineStr">
        <is>
          <t>https://investor.howardhughes.com/governance/leadership</t>
        </is>
      </c>
      <c r="X222" s="12" t="inlineStr">
        <is>
          <t>https://www.linkedin.com/company/the-howard-hughes-corporation</t>
        </is>
      </c>
      <c r="Y222" s="12" t="inlineStr">
        <is>
          <t>https://investor.howardhughes.com/governance/leadership</t>
        </is>
      </c>
      <c r="Z222" s="12" t="inlineStr"/>
    </row>
    <row r="223">
      <c r="A223" s="6" t="inlineStr">
        <is>
          <t>Bill Ackman</t>
        </is>
      </c>
      <c r="B223" s="6" t="inlineStr">
        <is>
          <t>Howard Hughes Holdings Inc.</t>
        </is>
      </c>
      <c r="C223" s="6" t="inlineStr">
        <is>
          <t>Executive Chairman of the Board</t>
        </is>
      </c>
      <c r="D223" s="7" t="inlineStr">
        <is>
          <t>Masterplan owner</t>
        </is>
      </c>
      <c r="E223" s="8" t="n">
        <v>1</v>
      </c>
      <c r="F223" s="6" t="inlineStr">
        <is>
          <t>Sells lots</t>
        </is>
      </c>
      <c r="G223" s="6" t="inlineStr">
        <is>
          <t>The Woodlands HQ / Harris, Montgomery</t>
        </is>
      </c>
      <c r="H223" s="6" t="inlineStr">
        <is>
          <t>$900M Pershing Square investment, 46.9%</t>
        </is>
      </c>
      <c r="I223" s="8" t="inlineStr">
        <is>
          <t>Yes</t>
        </is>
      </c>
      <c r="J223" s="9" t="inlineStr"/>
      <c r="K223" s="8" t="inlineStr">
        <is>
          <t>No</t>
        </is>
      </c>
      <c r="L223" s="9" t="inlineStr"/>
      <c r="M223" s="8" t="inlineStr">
        <is>
          <t>No</t>
        </is>
      </c>
      <c r="N223" s="9" t="inlineStr"/>
      <c r="O223" s="8" t="inlineStr">
        <is>
          <t>Yes</t>
        </is>
      </c>
      <c r="P223" s="10" t="inlineStr"/>
      <c r="Q223" s="6">
        <f>HYPERLINK("https://www.linkedin.com/search/results/people/?keywords=Bill%20Ackman%20Howard%20Hughes%20Holdings%20Inc.","search")</f>
        <v/>
      </c>
      <c r="R223" s="11">
        <f>IF(P223="","ADD LINKEDIN","ok")</f>
        <v/>
      </c>
      <c r="S223" s="6" t="inlineStr">
        <is>
          <t>https://www.howardhughes.com/</t>
        </is>
      </c>
      <c r="T223" s="9" t="inlineStr">
        <is>
          <t>11,400 acres and $900M from Pershing Square, but it sells lots, so the builder buys the wall rather than Howard Hughes.</t>
        </is>
      </c>
      <c r="U223" s="6" t="inlineStr"/>
      <c r="V223" s="9" t="inlineStr">
        <is>
          <t>Executive Chairman on Howard Hughes's own leadership page.</t>
        </is>
      </c>
      <c r="W223" s="6" t="inlineStr">
        <is>
          <t>https://investor.howardhughes.com/governance/leadership</t>
        </is>
      </c>
      <c r="X223" s="6" t="inlineStr">
        <is>
          <t>https://www.linkedin.com/company/the-howard-hughes-corporation</t>
        </is>
      </c>
      <c r="Y223" s="6" t="inlineStr">
        <is>
          <t>https://investor.howardhughes.com/governance/leadership</t>
        </is>
      </c>
      <c r="Z223" s="6" t="inlineStr"/>
    </row>
    <row r="224">
      <c r="A224" s="12" t="inlineStr">
        <is>
          <t>Ryan Israel</t>
        </is>
      </c>
      <c r="B224" s="12" t="inlineStr">
        <is>
          <t>Howard Hughes Holdings Inc.</t>
        </is>
      </c>
      <c r="C224" s="12" t="inlineStr">
        <is>
          <t>Chief Investment Officer</t>
        </is>
      </c>
      <c r="D224" s="13" t="inlineStr">
        <is>
          <t>Masterplan owner</t>
        </is>
      </c>
      <c r="E224" s="14" t="n">
        <v>1</v>
      </c>
      <c r="F224" s="12" t="inlineStr">
        <is>
          <t>Sells lots</t>
        </is>
      </c>
      <c r="G224" s="12" t="inlineStr">
        <is>
          <t>The Woodlands HQ / Harris, Montgomery</t>
        </is>
      </c>
      <c r="H224" s="12" t="inlineStr">
        <is>
          <t>$900M Pershing Square investment, 46.9%</t>
        </is>
      </c>
      <c r="I224" s="14" t="inlineStr">
        <is>
          <t>Yes</t>
        </is>
      </c>
      <c r="J224" s="15" t="inlineStr"/>
      <c r="K224" s="14" t="inlineStr">
        <is>
          <t>No</t>
        </is>
      </c>
      <c r="L224" s="15" t="inlineStr"/>
      <c r="M224" s="14" t="inlineStr">
        <is>
          <t>No</t>
        </is>
      </c>
      <c r="N224" s="15" t="inlineStr"/>
      <c r="O224" s="14" t="inlineStr">
        <is>
          <t>Yes</t>
        </is>
      </c>
      <c r="P224" s="10" t="inlineStr"/>
      <c r="Q224" s="12">
        <f>HYPERLINK("https://www.linkedin.com/search/results/people/?keywords=Ryan%20Israel%20Howard%20Hughes%20Holdings%20Inc.","search")</f>
        <v/>
      </c>
      <c r="R224" s="16">
        <f>IF(P224="","ADD LINKEDIN","ok")</f>
        <v/>
      </c>
      <c r="S224" s="12" t="inlineStr">
        <is>
          <t>https://www.howardhughes.com/</t>
        </is>
      </c>
      <c r="T224" s="15" t="inlineStr">
        <is>
          <t>11,400 acres and $900M from Pershing Square, but it sells lots, so the builder buys the wall rather than Howard Hughes.</t>
        </is>
      </c>
      <c r="U224" s="12" t="inlineStr"/>
      <c r="V224" s="15" t="inlineStr">
        <is>
          <t>Chief Investment Officer on Howard Hughes's own leadership page.</t>
        </is>
      </c>
      <c r="W224" s="12" t="inlineStr">
        <is>
          <t>https://investor.howardhughes.com/governance/leadership</t>
        </is>
      </c>
      <c r="X224" s="12" t="inlineStr">
        <is>
          <t>https://www.linkedin.com/company/the-howard-hughes-corporation</t>
        </is>
      </c>
      <c r="Y224" s="12" t="inlineStr">
        <is>
          <t>https://investor.howardhughes.com/governance/leadership</t>
        </is>
      </c>
      <c r="Z224" s="12" t="inlineStr"/>
    </row>
    <row r="225">
      <c r="A225" s="6" t="inlineStr">
        <is>
          <t>Jim Carman</t>
        </is>
      </c>
      <c r="B225" s="6" t="inlineStr">
        <is>
          <t>Howard Hughes Holdings Inc.</t>
        </is>
      </c>
      <c r="C225" s="6" t="inlineStr">
        <is>
          <t>President, Houston Region</t>
        </is>
      </c>
      <c r="D225" s="7" t="inlineStr">
        <is>
          <t>Masterplan owner</t>
        </is>
      </c>
      <c r="E225" s="8" t="n">
        <v>1</v>
      </c>
      <c r="F225" s="6" t="inlineStr">
        <is>
          <t>Sells lots</t>
        </is>
      </c>
      <c r="G225" s="6" t="inlineStr">
        <is>
          <t>The Woodlands HQ / Harris, Montgomery</t>
        </is>
      </c>
      <c r="H225" s="6" t="inlineStr">
        <is>
          <t>$900M Pershing Square investment, 46.9%</t>
        </is>
      </c>
      <c r="I225" s="8" t="inlineStr">
        <is>
          <t>Yes</t>
        </is>
      </c>
      <c r="J225" s="9" t="inlineStr"/>
      <c r="K225" s="8" t="inlineStr">
        <is>
          <t>No</t>
        </is>
      </c>
      <c r="L225" s="9" t="inlineStr"/>
      <c r="M225" s="8" t="inlineStr">
        <is>
          <t>No</t>
        </is>
      </c>
      <c r="N225" s="9" t="inlineStr"/>
      <c r="O225" s="8" t="inlineStr">
        <is>
          <t>Yes</t>
        </is>
      </c>
      <c r="P225" s="6" t="inlineStr">
        <is>
          <t>https://www.linkedin.com/in/carmanjim/</t>
        </is>
      </c>
      <c r="Q225" s="6" t="inlineStr"/>
      <c r="R225" s="11">
        <f>IF(P225="","ADD LINKEDIN","ok")</f>
        <v/>
      </c>
      <c r="S225" s="6" t="inlineStr">
        <is>
          <t>https://www.howardhughes.com/</t>
        </is>
      </c>
      <c r="T225" s="9" t="inlineStr">
        <is>
          <t>11,400 acres and $900M from Pershing Square, but it sells lots, so the builder buys the wall rather than Howard Hughes.</t>
        </is>
      </c>
      <c r="U225" s="6" t="inlineStr"/>
      <c r="V225" s="9" t="inlineStr">
        <is>
          <t>Profile opened. President, Texas Region at Howard Hughes Communities. Greater Houston. His own feed carries Bridgeland's number nine national ranking at 500 home sales by mid-2026 and the 83-acre Toro District with the Houston Texans headquarters.</t>
        </is>
      </c>
      <c r="W225" s="6" t="inlineStr"/>
      <c r="X225" s="6" t="inlineStr">
        <is>
          <t>https://www.linkedin.com/company/the-howard-hughes-corporation</t>
        </is>
      </c>
      <c r="Y225" s="6" t="inlineStr">
        <is>
          <t>https://investor.howardhughes.com/governance/leadership</t>
        </is>
      </c>
      <c r="Z225" s="6" t="inlineStr"/>
    </row>
    <row r="226">
      <c r="A226" s="12" t="inlineStr">
        <is>
          <t>Alan Brende</t>
        </is>
      </c>
      <c r="B226" s="12" t="inlineStr">
        <is>
          <t>Land Tejas</t>
        </is>
      </c>
      <c r="C226" s="12" t="inlineStr">
        <is>
          <t>Co-President, Land Tejas</t>
        </is>
      </c>
      <c r="D226" s="13" t="inlineStr">
        <is>
          <t>Masterplan owner</t>
        </is>
      </c>
      <c r="E226" s="14" t="n">
        <v>1</v>
      </c>
      <c r="F226" s="12" t="inlineStr">
        <is>
          <t>Sells lots</t>
        </is>
      </c>
      <c r="G226" s="12" t="inlineStr">
        <is>
          <t>Houston / Katy, Harris-Waller</t>
        </is>
      </c>
      <c r="H226" s="12" t="inlineStr">
        <is>
          <t>Sunterra, 2,303 acres in Katy, fifteen builders</t>
        </is>
      </c>
      <c r="I226" s="14" t="inlineStr">
        <is>
          <t>Yes</t>
        </is>
      </c>
      <c r="J226" s="15" t="inlineStr"/>
      <c r="K226" s="14" t="inlineStr">
        <is>
          <t>No</t>
        </is>
      </c>
      <c r="L226" s="15" t="inlineStr"/>
      <c r="M226" s="14" t="inlineStr">
        <is>
          <t>No</t>
        </is>
      </c>
      <c r="N226" s="15" t="inlineStr"/>
      <c r="O226" s="14" t="inlineStr">
        <is>
          <t>Yes</t>
        </is>
      </c>
      <c r="P226" s="10" t="inlineStr"/>
      <c r="Q226" s="12">
        <f>HYPERLINK("https://www.linkedin.com/search/results/people/?keywords=Alan%20Brende%20Land%20Tejas","search")</f>
        <v/>
      </c>
      <c r="R226" s="16">
        <f>IF(P226="","ADD LINKEDIN","ok")</f>
        <v/>
      </c>
      <c r="S226" s="12" t="inlineStr">
        <is>
          <t>https://landtejas.com/</t>
        </is>
      </c>
      <c r="T226" s="15" t="inlineStr">
        <is>
          <t>Sells lots. Sunterra carries 2,303 acres and 15 builders.</t>
        </is>
      </c>
      <c r="U226" s="12" t="inlineStr"/>
      <c r="V226" s="15" t="inlineStr">
        <is>
          <t>Co-President.</t>
        </is>
      </c>
      <c r="W226" s="12" t="inlineStr">
        <is>
          <t>https://landtejas.com/about-us/our-leadership/</t>
        </is>
      </c>
      <c r="X226" s="12" t="inlineStr">
        <is>
          <t>https://www.linkedin.com/company/land-tejas-companies</t>
        </is>
      </c>
      <c r="Y226" s="12" t="inlineStr">
        <is>
          <t>https://landtejas.com/about-us/our-leadership/</t>
        </is>
      </c>
      <c r="Z226" s="12" t="inlineStr"/>
    </row>
    <row r="227">
      <c r="A227" s="6" t="inlineStr">
        <is>
          <t>Melanie Ohl</t>
        </is>
      </c>
      <c r="B227" s="6" t="inlineStr">
        <is>
          <t>Land Tejas</t>
        </is>
      </c>
      <c r="C227" s="6" t="inlineStr">
        <is>
          <t>Co-President, Land Tejas</t>
        </is>
      </c>
      <c r="D227" s="7" t="inlineStr">
        <is>
          <t>Masterplan owner</t>
        </is>
      </c>
      <c r="E227" s="8" t="n">
        <v>1</v>
      </c>
      <c r="F227" s="6" t="inlineStr">
        <is>
          <t>Sells lots</t>
        </is>
      </c>
      <c r="G227" s="6" t="inlineStr">
        <is>
          <t>Houston / Katy, Harris-Waller</t>
        </is>
      </c>
      <c r="H227" s="6" t="inlineStr">
        <is>
          <t>Sunterra, 2,303 acres in Katy, fifteen builders</t>
        </is>
      </c>
      <c r="I227" s="8" t="inlineStr">
        <is>
          <t>Yes</t>
        </is>
      </c>
      <c r="J227" s="9" t="inlineStr"/>
      <c r="K227" s="8" t="inlineStr">
        <is>
          <t>No</t>
        </is>
      </c>
      <c r="L227" s="9" t="inlineStr"/>
      <c r="M227" s="8" t="inlineStr">
        <is>
          <t>No</t>
        </is>
      </c>
      <c r="N227" s="9" t="inlineStr"/>
      <c r="O227" s="8" t="inlineStr">
        <is>
          <t>Yes</t>
        </is>
      </c>
      <c r="P227" s="10" t="inlineStr"/>
      <c r="Q227" s="6">
        <f>HYPERLINK("https://www.linkedin.com/search/results/people/?keywords=Melanie%20Ohl%20Land%20Tejas","search")</f>
        <v/>
      </c>
      <c r="R227" s="11">
        <f>IF(P227="","ADD LINKEDIN","ok")</f>
        <v/>
      </c>
      <c r="S227" s="6" t="inlineStr">
        <is>
          <t>https://landtejas.com/</t>
        </is>
      </c>
      <c r="T227" s="9" t="inlineStr">
        <is>
          <t>Sells lots. Sunterra carries 2,303 acres and 15 builders.</t>
        </is>
      </c>
      <c r="U227" s="6" t="inlineStr"/>
      <c r="V227" s="9" t="inlineStr">
        <is>
          <t>Co-President.</t>
        </is>
      </c>
      <c r="W227" s="6" t="inlineStr">
        <is>
          <t>https://landtejas.com/about-us/our-leadership/</t>
        </is>
      </c>
      <c r="X227" s="6" t="inlineStr">
        <is>
          <t>https://www.linkedin.com/company/land-tejas-companies</t>
        </is>
      </c>
      <c r="Y227" s="6" t="inlineStr">
        <is>
          <t>https://landtejas.com/about-us/our-leadership/</t>
        </is>
      </c>
      <c r="Z227" s="6" t="inlineStr"/>
    </row>
    <row r="228">
      <c r="A228" s="12" t="inlineStr">
        <is>
          <t>Fred Caldwell</t>
        </is>
      </c>
      <c r="B228" s="12" t="inlineStr">
        <is>
          <t>Caldwell Companies</t>
        </is>
      </c>
      <c r="C228" s="12" t="inlineStr">
        <is>
          <t>Chief Executive Officer, Caldwell Companies</t>
        </is>
      </c>
      <c r="D228" s="13" t="inlineStr">
        <is>
          <t>Masterplan owner</t>
        </is>
      </c>
      <c r="E228" s="14" t="n">
        <v>1</v>
      </c>
      <c r="F228" s="12" t="inlineStr">
        <is>
          <t>Sells lots</t>
        </is>
      </c>
      <c r="G228" s="12" t="inlineStr">
        <is>
          <t>Cypress / Montgomery, Harris</t>
        </is>
      </c>
      <c r="H228" s="12" t="inlineStr">
        <is>
          <t>Towne Lake and The Highlands, about 4,000 homes</t>
        </is>
      </c>
      <c r="I228" s="14" t="inlineStr">
        <is>
          <t>Yes</t>
        </is>
      </c>
      <c r="J228" s="15" t="inlineStr"/>
      <c r="K228" s="14" t="inlineStr">
        <is>
          <t>No</t>
        </is>
      </c>
      <c r="L228" s="15" t="inlineStr"/>
      <c r="M228" s="14" t="inlineStr">
        <is>
          <t>No</t>
        </is>
      </c>
      <c r="N228" s="15" t="inlineStr"/>
      <c r="O228" s="14" t="inlineStr">
        <is>
          <t>No</t>
        </is>
      </c>
      <c r="P228" s="10" t="inlineStr"/>
      <c r="Q228" s="12">
        <f>HYPERLINK("https://www.linkedin.com/search/results/people/?keywords=Fred%20Caldwell%20Caldwell%20Companies","search")</f>
        <v/>
      </c>
      <c r="R228" s="16">
        <f>IF(P228="","ADD LINKEDIN","ok")</f>
        <v/>
      </c>
      <c r="S228" s="12" t="inlineStr">
        <is>
          <t>https://caldwellcos.com/</t>
        </is>
      </c>
      <c r="T228" s="15" t="inlineStr">
        <is>
          <t>Sells lots. Towne Lake and The Highlands carry 4,000 homes across 12 builders.</t>
        </is>
      </c>
      <c r="U228" s="12" t="inlineStr"/>
      <c r="V228" s="15" t="inlineStr">
        <is>
          <t>Chief Executive Officer.</t>
        </is>
      </c>
      <c r="W228" s="12" t="inlineStr">
        <is>
          <t>https://caldwellcos.com/our-team</t>
        </is>
      </c>
      <c r="X228" s="12" t="inlineStr">
        <is>
          <t>https://www.linkedin.com/company/caldwell-companies</t>
        </is>
      </c>
      <c r="Y228" s="12" t="inlineStr">
        <is>
          <t>https://caldwellcos.com/our-team</t>
        </is>
      </c>
      <c r="Z228" s="12" t="inlineStr"/>
    </row>
    <row r="229">
      <c r="A229" s="6" t="inlineStr">
        <is>
          <t>Michael J. Smith</t>
        </is>
      </c>
      <c r="B229" s="6" t="inlineStr">
        <is>
          <t>Johnson Development Corp</t>
        </is>
      </c>
      <c r="C229" s="6" t="inlineStr">
        <is>
          <t>President and Chief Executive Officer, Johnson Development</t>
        </is>
      </c>
      <c r="D229" s="7" t="inlineStr">
        <is>
          <t>Masterplan owner</t>
        </is>
      </c>
      <c r="E229" s="8" t="n">
        <v>1</v>
      </c>
      <c r="F229" s="6" t="inlineStr">
        <is>
          <t>Sells lots</t>
        </is>
      </c>
      <c r="G229" s="6" t="inlineStr">
        <is>
          <t>Houston / Fort Bend, Montgomery</t>
        </is>
      </c>
      <c r="H229" s="6" t="inlineStr">
        <is>
          <t>Fourteen concurrent Houston masterplans</t>
        </is>
      </c>
      <c r="I229" s="8" t="inlineStr">
        <is>
          <t>Yes</t>
        </is>
      </c>
      <c r="J229" s="9" t="inlineStr"/>
      <c r="K229" s="8" t="inlineStr">
        <is>
          <t>No</t>
        </is>
      </c>
      <c r="L229" s="9" t="inlineStr"/>
      <c r="M229" s="8" t="inlineStr">
        <is>
          <t>No</t>
        </is>
      </c>
      <c r="N229" s="9" t="inlineStr"/>
      <c r="O229" s="8" t="inlineStr">
        <is>
          <t>No</t>
        </is>
      </c>
      <c r="P229" s="10" t="inlineStr"/>
      <c r="Q229" s="6">
        <f>HYPERLINK("https://www.linkedin.com/search/results/people/?keywords=Michael%20J.%20Smith%20Johnson%20Development%20Corp","search")</f>
        <v/>
      </c>
      <c r="R229" s="11">
        <f>IF(P229="","ADD LINKEDIN","ok")</f>
        <v/>
      </c>
      <c r="S229" s="6" t="inlineStr">
        <is>
          <t>https://www.johnsondevelopment.com/</t>
        </is>
      </c>
      <c r="T229" s="9" t="inlineStr">
        <is>
          <t>Sells lots across 14 Houston masterplans. Buys no walls.</t>
        </is>
      </c>
      <c r="U229" s="6" t="inlineStr"/>
      <c r="V229" s="9" t="inlineStr">
        <is>
          <t>President and Chief Executive Officer.</t>
        </is>
      </c>
      <c r="W229" s="6" t="inlineStr">
        <is>
          <t>https://www.johnsondevelopment.com/our-leaders</t>
        </is>
      </c>
      <c r="X229" s="6" t="inlineStr">
        <is>
          <t>https://www.linkedin.com/company/the-johnson-development-corp</t>
        </is>
      </c>
      <c r="Y229" s="6" t="inlineStr">
        <is>
          <t>https://www.johnsondevelopment.com/our-leaders</t>
        </is>
      </c>
      <c r="Z229" s="6" t="inlineStr"/>
    </row>
    <row r="230">
      <c r="A230" s="12" t="inlineStr">
        <is>
          <t>Alan Bauer</t>
        </is>
      </c>
      <c r="B230" s="12" t="inlineStr">
        <is>
          <t>Newland Communities</t>
        </is>
      </c>
      <c r="C230" s="12" t="inlineStr">
        <is>
          <t>Senior Vice President and Houston Division Manager, Newland (2019)</t>
        </is>
      </c>
      <c r="D230" s="13" t="inlineStr">
        <is>
          <t>Masterplan owner</t>
        </is>
      </c>
      <c r="E230" s="14" t="n">
        <v>1</v>
      </c>
      <c r="F230" s="12" t="inlineStr">
        <is>
          <t>Sells lots</t>
        </is>
      </c>
      <c r="G230" s="12" t="inlineStr">
        <is>
          <t>San Diego HQ / Katy, Harris</t>
        </is>
      </c>
      <c r="H230" s="12" t="inlineStr">
        <is>
          <t>Elyson, 3,600 acres in Katy</t>
        </is>
      </c>
      <c r="I230" s="14" t="inlineStr">
        <is>
          <t>Partly</t>
        </is>
      </c>
      <c r="J230" s="15" t="inlineStr"/>
      <c r="K230" s="14" t="inlineStr">
        <is>
          <t>No</t>
        </is>
      </c>
      <c r="L230" s="15" t="inlineStr"/>
      <c r="M230" s="14" t="inlineStr">
        <is>
          <t>No</t>
        </is>
      </c>
      <c r="N230" s="15" t="inlineStr"/>
      <c r="O230" s="14" t="inlineStr">
        <is>
          <t>No</t>
        </is>
      </c>
      <c r="P230" s="10" t="inlineStr"/>
      <c r="Q230" s="12">
        <f>HYPERLINK("https://www.linkedin.com/search/results/people/?keywords=Alan%20Bauer%20Newland%20Communities","search")</f>
        <v/>
      </c>
      <c r="R230" s="16">
        <f>IF(P230="","ADD LINKEDIN","ok")</f>
        <v/>
      </c>
      <c r="S230" s="12" t="inlineStr">
        <is>
          <t>https://newlandco.com/</t>
        </is>
      </c>
      <c r="T230" s="15" t="inlineStr">
        <is>
          <t>3,600-acre Elyson, but Newland has been absorbed into Brookfield Residential and no longer publishes its own leadership. The one Houston name on record is from 2019.</t>
        </is>
      </c>
      <c r="U230" s="12" t="inlineStr"/>
      <c r="V230" s="15" t="inlineStr">
        <is>
          <t>Senior Vice President and Division Manager for Newland's Houston division, per the West Houston Association board announcement. Dated 2019 and unconfirmed since, because Newland no longer publishes its own leadership.</t>
        </is>
      </c>
      <c r="W230" s="12" t="inlineStr">
        <is>
          <t>https://www.westhouston.org/2019/01/18/welcome-to-the-2019-board-or-directors/</t>
        </is>
      </c>
      <c r="X230" s="12" t="inlineStr">
        <is>
          <t>https://www.linkedin.com/company/newland-communities-llc</t>
        </is>
      </c>
      <c r="Y230" s="12" t="inlineStr"/>
      <c r="Z230" s="12" t="inlineStr"/>
    </row>
    <row r="231">
      <c r="A231" s="6" t="inlineStr">
        <is>
          <t>George Kopecky</t>
        </is>
      </c>
      <c r="B231" s="6" t="inlineStr">
        <is>
          <t>GreenEco Builders</t>
        </is>
      </c>
      <c r="C231" s="6" t="inlineStr">
        <is>
          <t>President</t>
        </is>
      </c>
      <c r="D231" s="7" t="inlineStr">
        <is>
          <t>Already working with ICON</t>
        </is>
      </c>
      <c r="E231" s="8" t="n">
        <v>3</v>
      </c>
      <c r="F231" s="6" t="inlineStr">
        <is>
          <t>Buys walls</t>
        </is>
      </c>
      <c r="G231" s="6" t="inlineStr">
        <is>
          <t>Tavola, New Caney</t>
        </is>
      </c>
      <c r="H231" s="6" t="inlineStr">
        <is>
          <t>Orders windows per home to keep adopting newer products</t>
        </is>
      </c>
      <c r="I231" s="8" t="inlineStr">
        <is>
          <t>Partly</t>
        </is>
      </c>
      <c r="J231" s="9" t="inlineStr">
        <is>
          <t>One confirmed community, Tavola in New Caney. The footprint is small.</t>
        </is>
      </c>
      <c r="K231" s="8" t="inlineStr">
        <is>
          <t>Partly</t>
        </is>
      </c>
      <c r="L231" s="9" t="inlineStr">
        <is>
          <t>Owned by Rausch Coleman Homes since 2020, and Lennar completed its purchase of Rausch Coleman on 10 February 2025. No volume figure is published for the brand; purchasing sits with the parent.</t>
        </is>
      </c>
      <c r="M231" s="8" t="inlineStr">
        <is>
          <t>Partly</t>
        </is>
      </c>
      <c r="N231" s="9" t="inlineStr">
        <is>
          <t>It orders windows per home rather than per community specifically so it can adopt newer energy products as they appear. That is a procurement habit built for method change.</t>
        </is>
      </c>
      <c r="O231" s="8" t="inlineStr">
        <is>
          <t>No</t>
        </is>
      </c>
      <c r="P231" s="6" t="inlineStr">
        <is>
          <t>https://www.linkedin.com/in/george-kopecky-7ba08a26/</t>
        </is>
      </c>
      <c r="Q231" s="6" t="inlineStr"/>
      <c r="R231" s="11">
        <f>IF(P231="","ADD LINKEDIN","ok")</f>
        <v/>
      </c>
      <c r="S231" s="6" t="inlineStr">
        <is>
          <t>https://greenecobuilders.com/</t>
        </is>
      </c>
      <c r="T231" s="9" t="inlineStr">
        <is>
          <t>Orders windows per home rather than per community so it can adopt newer products. Owned by Rausch Coleman Homes, which Lennar bought in February 2025.</t>
        </is>
      </c>
      <c r="U231" s="6" t="inlineStr"/>
      <c r="V231" s="9" t="inlineStr">
        <is>
          <t>Indexed title reads George Kopecky, President at GreenEco Builders. Named as the firm's principal in trade coverage of the 2020 sale to Rausch Coleman.</t>
        </is>
      </c>
      <c r="W231" s="6" t="inlineStr"/>
      <c r="X231" s="6" t="inlineStr"/>
      <c r="Y231" s="6" t="inlineStr"/>
      <c r="Z231" s="6" t="inlineStr"/>
    </row>
    <row r="232">
      <c r="A232" s="12" t="inlineStr">
        <is>
          <t>Michael Reamer</t>
        </is>
      </c>
      <c r="B232" s="12" t="inlineStr">
        <is>
          <t>Friendswood Development Company</t>
        </is>
      </c>
      <c r="C232" s="12" t="inlineStr">
        <is>
          <t>President, Friendswood Development Company</t>
        </is>
      </c>
      <c r="D232" s="13" t="inlineStr">
        <is>
          <t>Already working with ICON</t>
        </is>
      </c>
      <c r="E232" s="14" t="n">
        <v>2</v>
      </c>
      <c r="F232" s="12" t="inlineStr">
        <is>
          <t>Sells lots</t>
        </is>
      </c>
      <c r="G232" s="12" t="inlineStr">
        <is>
          <t>Houston / Montgomery, Galveston</t>
        </is>
      </c>
      <c r="H232" s="12" t="inlineStr">
        <is>
          <t>Sells lots inside its own masterplans; Lennar builds</t>
        </is>
      </c>
      <c r="I232" s="14" t="inlineStr">
        <is>
          <t>Partly</t>
        </is>
      </c>
      <c r="J232" s="15" t="inlineStr">
        <is>
          <t>Sells lots inside its own masterplans. Lennar builds the houses.</t>
        </is>
      </c>
      <c r="K232" s="14" t="inlineStr">
        <is>
          <t>No</t>
        </is>
      </c>
      <c r="L232" s="15" t="inlineStr">
        <is>
          <t>Sells lots, wholly owned by Lennar, so the route is Lennar.</t>
        </is>
      </c>
      <c r="M232" s="14" t="inlineStr">
        <is>
          <t>Partly</t>
        </is>
      </c>
      <c r="N232" s="15" t="inlineStr">
        <is>
          <t>The parent, Lennar, built a hundred printed homes with ICON at Wolf Ranch. Friendswood itself buys no walls.</t>
        </is>
      </c>
      <c r="O232" s="14" t="inlineStr">
        <is>
          <t>Partly</t>
        </is>
      </c>
      <c r="P232" s="10" t="inlineStr"/>
      <c r="Q232" s="12">
        <f>HYPERLINK("https://www.linkedin.com/search/results/people/?keywords=Michael%20Reamer%20Friendswood%20Development%20Company","search")</f>
        <v/>
      </c>
      <c r="R232" s="16">
        <f>IF(P232="","ADD LINKEDIN","ok")</f>
        <v/>
      </c>
      <c r="S232" s="12" t="inlineStr">
        <is>
          <t>https://friendswooddevelopment.com/</t>
        </is>
      </c>
      <c r="T232" s="15" t="inlineStr">
        <is>
          <t>Sells lots, wholly owned by Lennar since 2000. Lennar built a hundred printed homes with ICON at Wolf Ranch.</t>
        </is>
      </c>
      <c r="U232" s="12" t="inlineStr"/>
      <c r="V232" s="15" t="inlineStr">
        <is>
          <t>President.</t>
        </is>
      </c>
      <c r="W232" s="12" t="inlineStr">
        <is>
          <t>https://friendswooddevelopment.com/people</t>
        </is>
      </c>
      <c r="X232" s="12" t="inlineStr">
        <is>
          <t>https://www.linkedin.com/company/friendswood-development-company</t>
        </is>
      </c>
      <c r="Y232" s="12" t="inlineStr">
        <is>
          <t>https://friendswooddevelopment.com/people</t>
        </is>
      </c>
      <c r="Z232" s="12" t="inlineStr"/>
    </row>
    <row r="233">
      <c r="A233" s="6" t="inlineStr">
        <is>
          <t>Steven D. Alvis</t>
        </is>
      </c>
      <c r="B233" s="6" t="inlineStr">
        <is>
          <t>NewQuest Properties</t>
        </is>
      </c>
      <c r="C233" s="6" t="inlineStr">
        <is>
          <t>Co-Founder and Managing Partner</t>
        </is>
      </c>
      <c r="D233" s="7" t="inlineStr">
        <is>
          <t>Off deck, screened out</t>
        </is>
      </c>
      <c r="E233" s="8" t="n">
        <v>1</v>
      </c>
      <c r="F233" s="6" t="inlineStr">
        <is>
          <t>Buys walls</t>
        </is>
      </c>
      <c r="G233" s="6" t="inlineStr">
        <is>
          <t>Houston HQ / Fort Bend, Brazoria</t>
        </is>
      </c>
      <c r="H233" s="6" t="inlineStr">
        <is>
          <t>$3.1B portfolio, 12M sf managed</t>
        </is>
      </c>
      <c r="I233" s="8" t="inlineStr">
        <is>
          <t>Yes</t>
        </is>
      </c>
      <c r="J233" s="9" t="inlineStr"/>
      <c r="K233" s="8" t="inlineStr">
        <is>
          <t>No</t>
        </is>
      </c>
      <c r="L233" s="9" t="inlineStr"/>
      <c r="M233" s="8" t="inlineStr">
        <is>
          <t>No</t>
        </is>
      </c>
      <c r="N233" s="9" t="inlineStr"/>
      <c r="O233" s="8" t="inlineStr">
        <is>
          <t>Yes</t>
        </is>
      </c>
      <c r="P233" s="10" t="inlineStr"/>
      <c r="Q233" s="6">
        <f>HYPERLINK("https://www.linkedin.com/search/results/people/?keywords=Steven%20D.%20Alvis%20NewQuest%20Properties","search")</f>
        <v/>
      </c>
      <c r="R233" s="11">
        <f>IF(P233="","ADD LINKEDIN","ok")</f>
        <v/>
      </c>
      <c r="S233" s="6" t="inlineStr">
        <is>
          <t>https://www.newquest.com/</t>
        </is>
      </c>
      <c r="T233" s="9" t="inlineStr">
        <is>
          <t>$3.1B portfolio and a repeated Town Center format. Retail shells compete against tilt-wall, not stick framing.</t>
        </is>
      </c>
      <c r="U233" s="6" t="inlineStr"/>
      <c r="V233" s="9" t="inlineStr">
        <is>
          <t>Co-Founder and Managing Partner.</t>
        </is>
      </c>
      <c r="W233" s="6" t="inlineStr">
        <is>
          <t>https://www.newquest.com/about-us/leadership/</t>
        </is>
      </c>
      <c r="X233" s="6" t="inlineStr">
        <is>
          <t>https://www.linkedin.com/company/newquest-properties</t>
        </is>
      </c>
      <c r="Y233" s="6" t="inlineStr">
        <is>
          <t>https://www.newquest.com/about-us/leadership/</t>
        </is>
      </c>
      <c r="Z233" s="6" t="inlineStr"/>
    </row>
    <row r="234">
      <c r="A234" s="12" t="inlineStr">
        <is>
          <t>Jay K. Sears</t>
        </is>
      </c>
      <c r="B234" s="12" t="inlineStr">
        <is>
          <t>NewQuest Properties</t>
        </is>
      </c>
      <c r="C234" s="12" t="inlineStr">
        <is>
          <t>Co-Founder and Managing Partner</t>
        </is>
      </c>
      <c r="D234" s="13" t="inlineStr">
        <is>
          <t>Off deck, screened out</t>
        </is>
      </c>
      <c r="E234" s="14" t="n">
        <v>1</v>
      </c>
      <c r="F234" s="12" t="inlineStr">
        <is>
          <t>Buys walls</t>
        </is>
      </c>
      <c r="G234" s="12" t="inlineStr">
        <is>
          <t>Houston HQ / Fort Bend, Brazoria</t>
        </is>
      </c>
      <c r="H234" s="12" t="inlineStr">
        <is>
          <t>$3.1B portfolio, 12M sf managed</t>
        </is>
      </c>
      <c r="I234" s="14" t="inlineStr">
        <is>
          <t>Yes</t>
        </is>
      </c>
      <c r="J234" s="15" t="inlineStr"/>
      <c r="K234" s="14" t="inlineStr">
        <is>
          <t>No</t>
        </is>
      </c>
      <c r="L234" s="15" t="inlineStr"/>
      <c r="M234" s="14" t="inlineStr">
        <is>
          <t>No</t>
        </is>
      </c>
      <c r="N234" s="15" t="inlineStr"/>
      <c r="O234" s="14" t="inlineStr">
        <is>
          <t>Yes</t>
        </is>
      </c>
      <c r="P234" s="10" t="inlineStr"/>
      <c r="Q234" s="12">
        <f>HYPERLINK("https://www.linkedin.com/search/results/people/?keywords=Jay%20K.%20Sears%20NewQuest%20Properties","search")</f>
        <v/>
      </c>
      <c r="R234" s="16">
        <f>IF(P234="","ADD LINKEDIN","ok")</f>
        <v/>
      </c>
      <c r="S234" s="12" t="inlineStr">
        <is>
          <t>https://www.newquest.com/</t>
        </is>
      </c>
      <c r="T234" s="15" t="inlineStr">
        <is>
          <t>$3.1B portfolio and a repeated Town Center format. Retail shells compete against tilt-wall, not stick framing.</t>
        </is>
      </c>
      <c r="U234" s="12" t="inlineStr"/>
      <c r="V234" s="15" t="inlineStr">
        <is>
          <t>Co-Founder and Managing Partner.</t>
        </is>
      </c>
      <c r="W234" s="12" t="inlineStr">
        <is>
          <t>https://www.newquest.com/about-us/leadership/</t>
        </is>
      </c>
      <c r="X234" s="12" t="inlineStr">
        <is>
          <t>https://www.linkedin.com/company/newquest-properties</t>
        </is>
      </c>
      <c r="Y234" s="12" t="inlineStr">
        <is>
          <t>https://www.newquest.com/about-us/leadership/</t>
        </is>
      </c>
      <c r="Z234" s="12" t="inlineStr"/>
    </row>
    <row r="235">
      <c r="A235" s="6" t="inlineStr">
        <is>
          <t>Austin Alvis</t>
        </is>
      </c>
      <c r="B235" s="6" t="inlineStr">
        <is>
          <t>NewQuest Properties</t>
        </is>
      </c>
      <c r="C235" s="6" t="inlineStr">
        <is>
          <t>President and Chief Development Officer</t>
        </is>
      </c>
      <c r="D235" s="7" t="inlineStr">
        <is>
          <t>Off deck, screened out</t>
        </is>
      </c>
      <c r="E235" s="8" t="n">
        <v>1</v>
      </c>
      <c r="F235" s="6" t="inlineStr">
        <is>
          <t>Buys walls</t>
        </is>
      </c>
      <c r="G235" s="6" t="inlineStr">
        <is>
          <t>Houston HQ / Fort Bend, Brazoria</t>
        </is>
      </c>
      <c r="H235" s="6" t="inlineStr">
        <is>
          <t>$3.1B portfolio, 12M sf managed</t>
        </is>
      </c>
      <c r="I235" s="8" t="inlineStr">
        <is>
          <t>Yes</t>
        </is>
      </c>
      <c r="J235" s="9" t="inlineStr"/>
      <c r="K235" s="8" t="inlineStr">
        <is>
          <t>No</t>
        </is>
      </c>
      <c r="L235" s="9" t="inlineStr"/>
      <c r="M235" s="8" t="inlineStr">
        <is>
          <t>No</t>
        </is>
      </c>
      <c r="N235" s="9" t="inlineStr"/>
      <c r="O235" s="8" t="inlineStr">
        <is>
          <t>Yes</t>
        </is>
      </c>
      <c r="P235" s="10" t="inlineStr"/>
      <c r="Q235" s="6">
        <f>HYPERLINK("https://www.linkedin.com/search/results/people/?keywords=Austin%20Alvis%20NewQuest%20Properties","search")</f>
        <v/>
      </c>
      <c r="R235" s="11">
        <f>IF(P235="","ADD LINKEDIN","ok")</f>
        <v/>
      </c>
      <c r="S235" s="6" t="inlineStr">
        <is>
          <t>https://www.newquest.com/</t>
        </is>
      </c>
      <c r="T235" s="9" t="inlineStr">
        <is>
          <t>$3.1B portfolio and a repeated Town Center format. Retail shells compete against tilt-wall, not stick framing.</t>
        </is>
      </c>
      <c r="U235" s="6" t="inlineStr"/>
      <c r="V235" s="9" t="inlineStr">
        <is>
          <t>President and Chief Development Officer.</t>
        </is>
      </c>
      <c r="W235" s="6" t="inlineStr">
        <is>
          <t>https://www.newquest.com/about-us/leadership/</t>
        </is>
      </c>
      <c r="X235" s="6" t="inlineStr">
        <is>
          <t>https://www.linkedin.com/company/newquest-properties</t>
        </is>
      </c>
      <c r="Y235" s="6" t="inlineStr">
        <is>
          <t>https://www.newquest.com/about-us/leadership/</t>
        </is>
      </c>
      <c r="Z235" s="6" t="inlineStr"/>
    </row>
    <row r="236">
      <c r="A236" s="12" t="inlineStr">
        <is>
          <t>Jeff Horton</t>
        </is>
      </c>
      <c r="B236" s="12" t="inlineStr">
        <is>
          <t>NewQuest Properties</t>
        </is>
      </c>
      <c r="C236" s="12" t="inlineStr">
        <is>
          <t>Chief Operating Officer and Head of Capital Markets</t>
        </is>
      </c>
      <c r="D236" s="13" t="inlineStr">
        <is>
          <t>Off deck, screened out</t>
        </is>
      </c>
      <c r="E236" s="14" t="n">
        <v>1</v>
      </c>
      <c r="F236" s="12" t="inlineStr">
        <is>
          <t>Buys walls</t>
        </is>
      </c>
      <c r="G236" s="12" t="inlineStr">
        <is>
          <t>Houston HQ / Fort Bend, Brazoria</t>
        </is>
      </c>
      <c r="H236" s="12" t="inlineStr">
        <is>
          <t>$3.1B portfolio, 12M sf managed</t>
        </is>
      </c>
      <c r="I236" s="14" t="inlineStr">
        <is>
          <t>Yes</t>
        </is>
      </c>
      <c r="J236" s="15" t="inlineStr"/>
      <c r="K236" s="14" t="inlineStr">
        <is>
          <t>No</t>
        </is>
      </c>
      <c r="L236" s="15" t="inlineStr"/>
      <c r="M236" s="14" t="inlineStr">
        <is>
          <t>No</t>
        </is>
      </c>
      <c r="N236" s="15" t="inlineStr"/>
      <c r="O236" s="14" t="inlineStr">
        <is>
          <t>Yes</t>
        </is>
      </c>
      <c r="P236" s="10" t="inlineStr"/>
      <c r="Q236" s="12">
        <f>HYPERLINK("https://www.linkedin.com/search/results/people/?keywords=Jeff%20Horton%20NewQuest%20Properties","search")</f>
        <v/>
      </c>
      <c r="R236" s="16">
        <f>IF(P236="","ADD LINKEDIN","ok")</f>
        <v/>
      </c>
      <c r="S236" s="12" t="inlineStr">
        <is>
          <t>https://www.newquest.com/</t>
        </is>
      </c>
      <c r="T236" s="15" t="inlineStr">
        <is>
          <t>$3.1B portfolio and a repeated Town Center format. Retail shells compete against tilt-wall, not stick framing.</t>
        </is>
      </c>
      <c r="U236" s="12" t="inlineStr"/>
      <c r="V236" s="15" t="inlineStr">
        <is>
          <t>Chief Operating Officer and Head of Capital Markets.</t>
        </is>
      </c>
      <c r="W236" s="12" t="inlineStr">
        <is>
          <t>https://www.newquest.com/about-us/leadership/</t>
        </is>
      </c>
      <c r="X236" s="12" t="inlineStr">
        <is>
          <t>https://www.linkedin.com/company/newquest-properties</t>
        </is>
      </c>
      <c r="Y236" s="12" t="inlineStr">
        <is>
          <t>https://www.newquest.com/about-us/leadership/</t>
        </is>
      </c>
      <c r="Z236" s="12" t="inlineStr"/>
    </row>
    <row r="237">
      <c r="A237" s="6" t="inlineStr">
        <is>
          <t>K. Alan Hassenflu</t>
        </is>
      </c>
      <c r="B237" s="6" t="inlineStr">
        <is>
          <t>Fidelis Realty Partners</t>
        </is>
      </c>
      <c r="C237" s="6" t="inlineStr">
        <is>
          <t>Chairman and Chief Executive Officer</t>
        </is>
      </c>
      <c r="D237" s="7" t="inlineStr">
        <is>
          <t>Off deck, screened out</t>
        </is>
      </c>
      <c r="E237" s="8" t="n">
        <v>1</v>
      </c>
      <c r="F237" s="6" t="inlineStr">
        <is>
          <t>Buys walls</t>
        </is>
      </c>
      <c r="G237" s="6" t="inlineStr">
        <is>
          <t>Houston HQ / Brazoria, Montgomery</t>
        </is>
      </c>
      <c r="H237" s="6" t="inlineStr">
        <is>
          <t>26M sf, ~100 properties, 12 states</t>
        </is>
      </c>
      <c r="I237" s="8" t="inlineStr">
        <is>
          <t>Yes</t>
        </is>
      </c>
      <c r="J237" s="9" t="inlineStr"/>
      <c r="K237" s="8" t="inlineStr">
        <is>
          <t>No</t>
        </is>
      </c>
      <c r="L237" s="9" t="inlineStr"/>
      <c r="M237" s="8" t="inlineStr">
        <is>
          <t>No</t>
        </is>
      </c>
      <c r="N237" s="9" t="inlineStr"/>
      <c r="O237" s="8" t="inlineStr">
        <is>
          <t>Partly</t>
        </is>
      </c>
      <c r="P237" s="10" t="inlineStr"/>
      <c r="Q237" s="6">
        <f>HYPERLINK("https://www.linkedin.com/search/results/people/?keywords=K.%20Alan%20Hassenflu%20Fidelis%20Realty%20Partners","search")</f>
        <v/>
      </c>
      <c r="R237" s="11">
        <f>IF(P237="","ADD LINKEDIN","ok")</f>
        <v/>
      </c>
      <c r="S237" s="6" t="inlineStr">
        <is>
          <t>https://www.frpltd.com/</t>
        </is>
      </c>
      <c r="T237" s="9" t="inlineStr">
        <is>
          <t>Two land positions in target counties within 24 months. Every purchase price is undisclosed.</t>
        </is>
      </c>
      <c r="U237" s="6" t="inlineStr"/>
      <c r="V237" s="9" t="inlineStr">
        <is>
          <t>President and Chief Executive Officer, a founder in 2003, formerly senior managing director at Trammell Crow.</t>
        </is>
      </c>
      <c r="W237" s="6" t="inlineStr">
        <is>
          <t>https://www.frpltd.com/about-fidelis/mission-values</t>
        </is>
      </c>
      <c r="X237" s="6" t="inlineStr">
        <is>
          <t>https://www.linkedin.com/company/fidelis-realty-partners</t>
        </is>
      </c>
      <c r="Y237" s="6" t="inlineStr">
        <is>
          <t>https://www.frpltd.com/about-fidelis/mission-values</t>
        </is>
      </c>
      <c r="Z237" s="6" t="inlineStr"/>
    </row>
    <row r="238">
      <c r="A238" s="12" t="inlineStr">
        <is>
          <t>Glenn Airola</t>
        </is>
      </c>
      <c r="B238" s="12" t="inlineStr">
        <is>
          <t>Fidelis Realty Partners</t>
        </is>
      </c>
      <c r="C238" s="12" t="inlineStr">
        <is>
          <t>Co-President and Chief Operating Officer</t>
        </is>
      </c>
      <c r="D238" s="13" t="inlineStr">
        <is>
          <t>Off deck, screened out</t>
        </is>
      </c>
      <c r="E238" s="14" t="n">
        <v>1</v>
      </c>
      <c r="F238" s="12" t="inlineStr">
        <is>
          <t>Buys walls</t>
        </is>
      </c>
      <c r="G238" s="12" t="inlineStr">
        <is>
          <t>Houston HQ / Brazoria, Montgomery</t>
        </is>
      </c>
      <c r="H238" s="12" t="inlineStr">
        <is>
          <t>26M sf, ~100 properties, 12 states</t>
        </is>
      </c>
      <c r="I238" s="14" t="inlineStr">
        <is>
          <t>Yes</t>
        </is>
      </c>
      <c r="J238" s="15" t="inlineStr"/>
      <c r="K238" s="14" t="inlineStr">
        <is>
          <t>No</t>
        </is>
      </c>
      <c r="L238" s="15" t="inlineStr"/>
      <c r="M238" s="14" t="inlineStr">
        <is>
          <t>No</t>
        </is>
      </c>
      <c r="N238" s="15" t="inlineStr"/>
      <c r="O238" s="14" t="inlineStr">
        <is>
          <t>Partly</t>
        </is>
      </c>
      <c r="P238" s="10" t="inlineStr"/>
      <c r="Q238" s="12">
        <f>HYPERLINK("https://www.linkedin.com/search/results/people/?keywords=Glenn%20Airola%20Fidelis%20Realty%20Partners","search")</f>
        <v/>
      </c>
      <c r="R238" s="16">
        <f>IF(P238="","ADD LINKEDIN","ok")</f>
        <v/>
      </c>
      <c r="S238" s="12" t="inlineStr">
        <is>
          <t>https://www.frpltd.com/</t>
        </is>
      </c>
      <c r="T238" s="15" t="inlineStr">
        <is>
          <t>Two land positions in target counties within 24 months. Every purchase price is undisclosed.</t>
        </is>
      </c>
      <c r="U238" s="12" t="inlineStr"/>
      <c r="V238" s="15" t="inlineStr">
        <is>
          <t>Executive Vice President, General Counsel and Chief Administrative Officer since 2007.</t>
        </is>
      </c>
      <c r="W238" s="12" t="inlineStr">
        <is>
          <t>https://www.frpltd.com/about-fidelis/mission-values</t>
        </is>
      </c>
      <c r="X238" s="12" t="inlineStr">
        <is>
          <t>https://www.linkedin.com/company/fidelis-realty-partners</t>
        </is>
      </c>
      <c r="Y238" s="12" t="inlineStr">
        <is>
          <t>https://www.frpltd.com/about-fidelis/mission-values</t>
        </is>
      </c>
      <c r="Z238" s="12" t="inlineStr"/>
    </row>
    <row r="239">
      <c r="A239" s="6" t="inlineStr">
        <is>
          <t>R. Carson Wilson IV</t>
        </is>
      </c>
      <c r="B239" s="6" t="inlineStr">
        <is>
          <t>Fidelis Realty Partners</t>
        </is>
      </c>
      <c r="C239" s="6" t="inlineStr">
        <is>
          <t>Executive Vice President of Leasing, Construction and Development, Fidelis Realty Partners</t>
        </is>
      </c>
      <c r="D239" s="7" t="inlineStr">
        <is>
          <t>Off deck, screened out</t>
        </is>
      </c>
      <c r="E239" s="8" t="n">
        <v>1</v>
      </c>
      <c r="F239" s="6" t="inlineStr">
        <is>
          <t>Buys walls</t>
        </is>
      </c>
      <c r="G239" s="6" t="inlineStr">
        <is>
          <t>Houston HQ / Brazoria, Montgomery</t>
        </is>
      </c>
      <c r="H239" s="6" t="inlineStr">
        <is>
          <t>26M sf, ~100 properties, 12 states</t>
        </is>
      </c>
      <c r="I239" s="8" t="inlineStr">
        <is>
          <t>Yes</t>
        </is>
      </c>
      <c r="J239" s="9" t="inlineStr"/>
      <c r="K239" s="8" t="inlineStr">
        <is>
          <t>No</t>
        </is>
      </c>
      <c r="L239" s="9" t="inlineStr"/>
      <c r="M239" s="8" t="inlineStr">
        <is>
          <t>No</t>
        </is>
      </c>
      <c r="N239" s="9" t="inlineStr"/>
      <c r="O239" s="8" t="inlineStr">
        <is>
          <t>Partly</t>
        </is>
      </c>
      <c r="P239" s="6" t="inlineStr">
        <is>
          <t>https://www.linkedin.com/in/r-carson-wilson-iv-9b7525292/</t>
        </is>
      </c>
      <c r="Q239" s="6" t="inlineStr"/>
      <c r="R239" s="11">
        <f>IF(P239="","ADD LINKEDIN","ok")</f>
        <v/>
      </c>
      <c r="S239" s="6" t="inlineStr">
        <is>
          <t>https://www.frpltd.com/</t>
        </is>
      </c>
      <c r="T239" s="9" t="inlineStr">
        <is>
          <t>Two land positions in target counties within 24 months. Every purchase price is undisclosed.</t>
        </is>
      </c>
      <c r="U239" s="6" t="inlineStr">
        <is>
          <t>YES</t>
        </is>
      </c>
      <c r="V239" s="9" t="inlineStr">
        <is>
          <t>Executive Vice President - Leasing, Construction and Development at Fidelis Realty Partners. Greater Houston. One title covers all three, so the person who signs the lease also owns the build.</t>
        </is>
      </c>
      <c r="W239" s="6" t="inlineStr"/>
      <c r="X239" s="6" t="inlineStr">
        <is>
          <t>https://www.linkedin.com/company/fidelis-realty-partners</t>
        </is>
      </c>
      <c r="Y239" s="6" t="inlineStr">
        <is>
          <t>https://www.frpltd.com/about-fidelis/mission-values</t>
        </is>
      </c>
      <c r="Z239" s="6" t="inlineStr"/>
    </row>
    <row r="240">
      <c r="A240" s="12" t="inlineStr">
        <is>
          <t>Brandt Bowden</t>
        </is>
      </c>
      <c r="B240" s="12" t="inlineStr">
        <is>
          <t>The Hanover Company</t>
        </is>
      </c>
      <c r="C240" s="12" t="inlineStr">
        <is>
          <t>Chief Executive Officer</t>
        </is>
      </c>
      <c r="D240" s="13" t="inlineStr">
        <is>
          <t>Off deck, screened out</t>
        </is>
      </c>
      <c r="E240" s="14" t="n">
        <v>1</v>
      </c>
      <c r="F240" s="12" t="inlineStr">
        <is>
          <t>Buys walls</t>
        </is>
      </c>
      <c r="G240" s="12" t="inlineStr">
        <is>
          <t>Houston HQ, Harris County</t>
        </is>
      </c>
      <c r="H240" s="12" t="inlineStr">
        <is>
          <t>19 markets, in-house construction arm</t>
        </is>
      </c>
      <c r="I240" s="14" t="inlineStr">
        <is>
          <t>Yes</t>
        </is>
      </c>
      <c r="J240" s="15" t="inlineStr"/>
      <c r="K240" s="14" t="inlineStr">
        <is>
          <t>No</t>
        </is>
      </c>
      <c r="L240" s="15" t="inlineStr"/>
      <c r="M240" s="14" t="inlineStr">
        <is>
          <t>No</t>
        </is>
      </c>
      <c r="N240" s="15" t="inlineStr"/>
      <c r="O240" s="14" t="inlineStr">
        <is>
          <t>Partly</t>
        </is>
      </c>
      <c r="P240" s="10" t="inlineStr"/>
      <c r="Q240" s="12">
        <f>HYPERLINK("https://www.linkedin.com/search/results/people/?keywords=Brandt%20Bowden%20The%20Hanover%20Company","search")</f>
        <v/>
      </c>
      <c r="R240" s="16">
        <f>IF(P240="","ADD LINKEDIN","ok")</f>
        <v/>
      </c>
      <c r="S240" s="12" t="inlineStr">
        <is>
          <t>https://www.hanoverco.com/</t>
        </is>
      </c>
      <c r="T240" s="15" t="inlineStr">
        <is>
          <t>An in-house construction arm and a Houston HQ since 1982, but no Houston project could be sourced.</t>
        </is>
      </c>
      <c r="U240" s="12" t="inlineStr"/>
      <c r="V240" s="15" t="inlineStr">
        <is>
          <t>Chief Executive Officer of Hanover, overseeing capital, development and construction, previously chief investment officer.</t>
        </is>
      </c>
      <c r="W240" s="12" t="inlineStr">
        <is>
          <t>https://knowledge.uli.org/en/people/b/b/brandt-bowden-f34f</t>
        </is>
      </c>
      <c r="X240" s="12" t="inlineStr"/>
      <c r="Y240" s="12" t="inlineStr">
        <is>
          <t>https://www.hanoverco.com/leadership</t>
        </is>
      </c>
      <c r="Z240" s="12" t="inlineStr"/>
    </row>
    <row r="241">
      <c r="A241" s="6" t="inlineStr">
        <is>
          <t>Murry Bowden</t>
        </is>
      </c>
      <c r="B241" s="6" t="inlineStr">
        <is>
          <t>The Hanover Company</t>
        </is>
      </c>
      <c r="C241" s="6" t="inlineStr">
        <is>
          <t>Founder and Executive Chairman</t>
        </is>
      </c>
      <c r="D241" s="7" t="inlineStr">
        <is>
          <t>Off deck, screened out</t>
        </is>
      </c>
      <c r="E241" s="8" t="n">
        <v>1</v>
      </c>
      <c r="F241" s="6" t="inlineStr">
        <is>
          <t>Buys walls</t>
        </is>
      </c>
      <c r="G241" s="6" t="inlineStr">
        <is>
          <t>Houston HQ, Harris County</t>
        </is>
      </c>
      <c r="H241" s="6" t="inlineStr">
        <is>
          <t>19 markets, in-house construction arm</t>
        </is>
      </c>
      <c r="I241" s="8" t="inlineStr">
        <is>
          <t>Yes</t>
        </is>
      </c>
      <c r="J241" s="9" t="inlineStr"/>
      <c r="K241" s="8" t="inlineStr">
        <is>
          <t>No</t>
        </is>
      </c>
      <c r="L241" s="9" t="inlineStr"/>
      <c r="M241" s="8" t="inlineStr">
        <is>
          <t>No</t>
        </is>
      </c>
      <c r="N241" s="9" t="inlineStr"/>
      <c r="O241" s="8" t="inlineStr">
        <is>
          <t>Partly</t>
        </is>
      </c>
      <c r="P241" s="10" t="inlineStr"/>
      <c r="Q241" s="6">
        <f>HYPERLINK("https://www.linkedin.com/search/results/people/?keywords=Murry%20Bowden%20The%20Hanover%20Company","search")</f>
        <v/>
      </c>
      <c r="R241" s="11">
        <f>IF(P241="","ADD LINKEDIN","ok")</f>
        <v/>
      </c>
      <c r="S241" s="6" t="inlineStr">
        <is>
          <t>https://www.hanoverco.com/</t>
        </is>
      </c>
      <c r="T241" s="9" t="inlineStr">
        <is>
          <t>An in-house construction arm and a Houston HQ since 1982, but no Houston project could be sourced.</t>
        </is>
      </c>
      <c r="U241" s="6" t="inlineStr"/>
      <c r="V241" s="9" t="inlineStr">
        <is>
          <t>Founder, Chairman and Chief Executive Officer, responsible for strategy and investment decisions.</t>
        </is>
      </c>
      <c r="W241" s="6" t="inlineStr">
        <is>
          <t>https://www.nmhc.org/meetings/meetings-pages/meeting-materials/j-murry-bowden-biography/</t>
        </is>
      </c>
      <c r="X241" s="6" t="inlineStr"/>
      <c r="Y241" s="6" t="inlineStr">
        <is>
          <t>https://www.hanoverco.com/leadership</t>
        </is>
      </c>
      <c r="Z241" s="6" t="inlineStr"/>
    </row>
    <row r="242">
      <c r="A242" s="12" t="inlineStr">
        <is>
          <t>John Nash</t>
        </is>
      </c>
      <c r="B242" s="12" t="inlineStr">
        <is>
          <t>The Hanover Company</t>
        </is>
      </c>
      <c r="C242" s="12" t="inlineStr">
        <is>
          <t>President</t>
        </is>
      </c>
      <c r="D242" s="13" t="inlineStr">
        <is>
          <t>Off deck, screened out</t>
        </is>
      </c>
      <c r="E242" s="14" t="n">
        <v>1</v>
      </c>
      <c r="F242" s="12" t="inlineStr">
        <is>
          <t>Buys walls</t>
        </is>
      </c>
      <c r="G242" s="12" t="inlineStr">
        <is>
          <t>Houston HQ, Harris County</t>
        </is>
      </c>
      <c r="H242" s="12" t="inlineStr">
        <is>
          <t>19 markets, in-house construction arm</t>
        </is>
      </c>
      <c r="I242" s="14" t="inlineStr">
        <is>
          <t>Yes</t>
        </is>
      </c>
      <c r="J242" s="15" t="inlineStr"/>
      <c r="K242" s="14" t="inlineStr">
        <is>
          <t>No</t>
        </is>
      </c>
      <c r="L242" s="15" t="inlineStr"/>
      <c r="M242" s="14" t="inlineStr">
        <is>
          <t>No</t>
        </is>
      </c>
      <c r="N242" s="15" t="inlineStr"/>
      <c r="O242" s="14" t="inlineStr">
        <is>
          <t>Partly</t>
        </is>
      </c>
      <c r="P242" s="10" t="inlineStr"/>
      <c r="Q242" s="12">
        <f>HYPERLINK("https://www.linkedin.com/search/results/people/?keywords=John%20Nash%20The%20Hanover%20Company","search")</f>
        <v/>
      </c>
      <c r="R242" s="16">
        <f>IF(P242="","ADD LINKEDIN","ok")</f>
        <v/>
      </c>
      <c r="S242" s="12" t="inlineStr">
        <is>
          <t>https://www.hanoverco.com/</t>
        </is>
      </c>
      <c r="T242" s="15" t="inlineStr">
        <is>
          <t>An in-house construction arm and a Houston HQ since 1982, but no Houston project could be sourced.</t>
        </is>
      </c>
      <c r="U242" s="12" t="inlineStr"/>
      <c r="V242" s="15" t="inlineStr">
        <is>
          <t>President. Thirty-three years with Hanover, twenty-three of them as president, per the McCombs alumni network.</t>
        </is>
      </c>
      <c r="W242" s="12" t="inlineStr">
        <is>
          <t>https://www.hanoverco.com/leadership</t>
        </is>
      </c>
      <c r="X242" s="12" t="inlineStr"/>
      <c r="Y242" s="12" t="inlineStr">
        <is>
          <t>https://www.hanoverco.com/leadership</t>
        </is>
      </c>
      <c r="Z242" s="12" t="inlineStr"/>
    </row>
    <row r="243">
      <c r="A243" s="6" t="inlineStr">
        <is>
          <t>John Garibaldi</t>
        </is>
      </c>
      <c r="B243" s="6" t="inlineStr">
        <is>
          <t>The Hanover Company</t>
        </is>
      </c>
      <c r="C243" s="6" t="inlineStr">
        <is>
          <t>President, Multifamily</t>
        </is>
      </c>
      <c r="D243" s="7" t="inlineStr">
        <is>
          <t>Off deck, screened out</t>
        </is>
      </c>
      <c r="E243" s="8" t="n">
        <v>1</v>
      </c>
      <c r="F243" s="6" t="inlineStr">
        <is>
          <t>Buys walls</t>
        </is>
      </c>
      <c r="G243" s="6" t="inlineStr">
        <is>
          <t>Houston HQ, Harris County</t>
        </is>
      </c>
      <c r="H243" s="6" t="inlineStr">
        <is>
          <t>19 markets, in-house construction arm</t>
        </is>
      </c>
      <c r="I243" s="8" t="inlineStr">
        <is>
          <t>Yes</t>
        </is>
      </c>
      <c r="J243" s="9" t="inlineStr"/>
      <c r="K243" s="8" t="inlineStr">
        <is>
          <t>No</t>
        </is>
      </c>
      <c r="L243" s="9" t="inlineStr"/>
      <c r="M243" s="8" t="inlineStr">
        <is>
          <t>No</t>
        </is>
      </c>
      <c r="N243" s="9" t="inlineStr"/>
      <c r="O243" s="8" t="inlineStr">
        <is>
          <t>Partly</t>
        </is>
      </c>
      <c r="P243" s="10" t="inlineStr"/>
      <c r="Q243" s="6">
        <f>HYPERLINK("https://www.linkedin.com/search/results/people/?keywords=John%20Garibaldi%20The%20Hanover%20Company","search")</f>
        <v/>
      </c>
      <c r="R243" s="11">
        <f>IF(P243="","ADD LINKEDIN","ok")</f>
        <v/>
      </c>
      <c r="S243" s="6" t="inlineStr">
        <is>
          <t>https://www.hanoverco.com/</t>
        </is>
      </c>
      <c r="T243" s="9" t="inlineStr">
        <is>
          <t>An in-house construction arm and a Houston HQ since 1982, but no Houston project could be sourced.</t>
        </is>
      </c>
      <c r="U243" s="6" t="inlineStr"/>
      <c r="V243" s="9" t="inlineStr">
        <is>
          <t>President, Multifamily. Twenty-five years with the firm, starting as a development partner in Houston in 1999.</t>
        </is>
      </c>
      <c r="W243" s="6" t="inlineStr">
        <is>
          <t>https://www.hanoverco.com/leadership</t>
        </is>
      </c>
      <c r="X243" s="6" t="inlineStr"/>
      <c r="Y243" s="6" t="inlineStr">
        <is>
          <t>https://www.hanoverco.com/leadership</t>
        </is>
      </c>
      <c r="Z243" s="6" t="inlineStr"/>
    </row>
    <row r="244">
      <c r="A244" s="12" t="inlineStr">
        <is>
          <t>Thomas Knutson</t>
        </is>
      </c>
      <c r="B244" s="12" t="inlineStr">
        <is>
          <t>The Hanover Company</t>
        </is>
      </c>
      <c r="C244" s="12" t="inlineStr">
        <is>
          <t>President of Construction, The Hanover Company</t>
        </is>
      </c>
      <c r="D244" s="13" t="inlineStr">
        <is>
          <t>Off deck, screened out</t>
        </is>
      </c>
      <c r="E244" s="14" t="n">
        <v>1</v>
      </c>
      <c r="F244" s="12" t="inlineStr">
        <is>
          <t>Buys walls</t>
        </is>
      </c>
      <c r="G244" s="12" t="inlineStr">
        <is>
          <t>Houston HQ, Harris County</t>
        </is>
      </c>
      <c r="H244" s="12" t="inlineStr">
        <is>
          <t>19 markets, in-house construction arm</t>
        </is>
      </c>
      <c r="I244" s="14" t="inlineStr">
        <is>
          <t>Yes</t>
        </is>
      </c>
      <c r="J244" s="15" t="inlineStr"/>
      <c r="K244" s="14" t="inlineStr">
        <is>
          <t>No</t>
        </is>
      </c>
      <c r="L244" s="15" t="inlineStr"/>
      <c r="M244" s="14" t="inlineStr">
        <is>
          <t>No</t>
        </is>
      </c>
      <c r="N244" s="15" t="inlineStr"/>
      <c r="O244" s="14" t="inlineStr">
        <is>
          <t>Partly</t>
        </is>
      </c>
      <c r="P244" s="6" t="inlineStr">
        <is>
          <t>https://www.linkedin.com/in/thomas-knutson-a741898/</t>
        </is>
      </c>
      <c r="Q244" s="12" t="inlineStr"/>
      <c r="R244" s="16">
        <f>IF(P244="","ADD LINKEDIN","ok")</f>
        <v/>
      </c>
      <c r="S244" s="12" t="inlineStr">
        <is>
          <t>https://www.hanoverco.com/</t>
        </is>
      </c>
      <c r="T244" s="15" t="inlineStr">
        <is>
          <t>An in-house construction arm and a Houston HQ since 1982, but no Houston project could be sourced.</t>
        </is>
      </c>
      <c r="U244" s="12" t="inlineStr">
        <is>
          <t>YES</t>
        </is>
      </c>
      <c r="V244" s="15" t="inlineStr">
        <is>
          <t>President - Construction at The Hanover Company. Houston, Texas. Hanover builds its own work, so this is the head of the in-house contractor.</t>
        </is>
      </c>
      <c r="W244" s="12" t="inlineStr"/>
      <c r="X244" s="12" t="inlineStr"/>
      <c r="Y244" s="12" t="inlineStr">
        <is>
          <t>https://www.hanoverco.com/leadership</t>
        </is>
      </c>
      <c r="Z244" s="12" t="inlineStr"/>
    </row>
    <row r="245">
      <c r="A245" s="6" t="inlineStr">
        <is>
          <t>Mark Wood</t>
        </is>
      </c>
      <c r="B245" s="6" t="inlineStr">
        <is>
          <t>The Hanover Company</t>
        </is>
      </c>
      <c r="C245" s="6" t="inlineStr">
        <is>
          <t>Vice President of Construction, The Hanover Company</t>
        </is>
      </c>
      <c r="D245" s="7" t="inlineStr">
        <is>
          <t>Off deck, screened out</t>
        </is>
      </c>
      <c r="E245" s="8" t="n">
        <v>1</v>
      </c>
      <c r="F245" s="6" t="inlineStr">
        <is>
          <t>Buys walls</t>
        </is>
      </c>
      <c r="G245" s="6" t="inlineStr">
        <is>
          <t>Houston HQ, Harris County</t>
        </is>
      </c>
      <c r="H245" s="6" t="inlineStr">
        <is>
          <t>19 markets, in-house construction arm</t>
        </is>
      </c>
      <c r="I245" s="8" t="inlineStr">
        <is>
          <t>Yes</t>
        </is>
      </c>
      <c r="J245" s="9" t="inlineStr"/>
      <c r="K245" s="8" t="inlineStr">
        <is>
          <t>No</t>
        </is>
      </c>
      <c r="L245" s="9" t="inlineStr"/>
      <c r="M245" s="8" t="inlineStr">
        <is>
          <t>No</t>
        </is>
      </c>
      <c r="N245" s="9" t="inlineStr"/>
      <c r="O245" s="8" t="inlineStr">
        <is>
          <t>Partly</t>
        </is>
      </c>
      <c r="P245" s="6" t="inlineStr">
        <is>
          <t>https://www.linkedin.com/in/mark-wood-49713011/</t>
        </is>
      </c>
      <c r="Q245" s="6" t="inlineStr"/>
      <c r="R245" s="11">
        <f>IF(P245="","ADD LINKEDIN","ok")</f>
        <v/>
      </c>
      <c r="S245" s="6" t="inlineStr">
        <is>
          <t>https://www.hanoverco.com/</t>
        </is>
      </c>
      <c r="T245" s="9" t="inlineStr">
        <is>
          <t>An in-house construction arm and a Houston HQ since 1982, but no Houston project could be sourced.</t>
        </is>
      </c>
      <c r="U245" s="6" t="inlineStr">
        <is>
          <t>YES</t>
        </is>
      </c>
      <c r="V245" s="9" t="inlineStr">
        <is>
          <t>Vice President - Construction at The Hanover Company. Houston, Texas.</t>
        </is>
      </c>
      <c r="W245" s="6" t="inlineStr"/>
      <c r="X245" s="6" t="inlineStr"/>
      <c r="Y245" s="6" t="inlineStr">
        <is>
          <t>https://www.hanoverco.com/leadership</t>
        </is>
      </c>
      <c r="Z245" s="6" t="inlineStr"/>
    </row>
    <row r="246">
      <c r="A246" s="12" t="inlineStr">
        <is>
          <t>Mike Wright</t>
        </is>
      </c>
      <c r="B246" s="12" t="inlineStr">
        <is>
          <t>The Hanover Company</t>
        </is>
      </c>
      <c r="C246" s="12" t="inlineStr">
        <is>
          <t>Vice President of Preconstruction and Estimating, The Hanover Company</t>
        </is>
      </c>
      <c r="D246" s="13" t="inlineStr">
        <is>
          <t>Off deck, screened out</t>
        </is>
      </c>
      <c r="E246" s="14" t="n">
        <v>1</v>
      </c>
      <c r="F246" s="12" t="inlineStr">
        <is>
          <t>Buys walls</t>
        </is>
      </c>
      <c r="G246" s="12" t="inlineStr">
        <is>
          <t>Houston HQ, Harris County</t>
        </is>
      </c>
      <c r="H246" s="12" t="inlineStr">
        <is>
          <t>19 markets, in-house construction arm</t>
        </is>
      </c>
      <c r="I246" s="14" t="inlineStr">
        <is>
          <t>Yes</t>
        </is>
      </c>
      <c r="J246" s="15" t="inlineStr"/>
      <c r="K246" s="14" t="inlineStr">
        <is>
          <t>No</t>
        </is>
      </c>
      <c r="L246" s="15" t="inlineStr"/>
      <c r="M246" s="14" t="inlineStr">
        <is>
          <t>No</t>
        </is>
      </c>
      <c r="N246" s="15" t="inlineStr"/>
      <c r="O246" s="14" t="inlineStr">
        <is>
          <t>Partly</t>
        </is>
      </c>
      <c r="P246" s="6" t="inlineStr">
        <is>
          <t>https://www.linkedin.com/in/mike-wright-7795a8b/</t>
        </is>
      </c>
      <c r="Q246" s="12" t="inlineStr"/>
      <c r="R246" s="16">
        <f>IF(P246="","ADD LINKEDIN","ok")</f>
        <v/>
      </c>
      <c r="S246" s="12" t="inlineStr">
        <is>
          <t>https://www.hanoverco.com/</t>
        </is>
      </c>
      <c r="T246" s="15" t="inlineStr">
        <is>
          <t>An in-house construction arm and a Houston HQ since 1982, but no Houston project could be sourced.</t>
        </is>
      </c>
      <c r="U246" s="12" t="inlineStr">
        <is>
          <t>YES</t>
        </is>
      </c>
      <c r="V246" s="15" t="inlineStr">
        <is>
          <t>Vice President of Preconstruction &amp; Estimating at The Hanover Company. Katy, Texas. Preconstruction is where an unfamiliar wall system gets priced or dismissed, so this is the first real test of a printed assembly.</t>
        </is>
      </c>
      <c r="W246" s="12" t="inlineStr"/>
      <c r="X246" s="12" t="inlineStr"/>
      <c r="Y246" s="12" t="inlineStr">
        <is>
          <t>https://www.hanoverco.com/leadership</t>
        </is>
      </c>
      <c r="Z246" s="12" t="inlineStr"/>
    </row>
    <row r="247">
      <c r="A247" s="6" t="inlineStr">
        <is>
          <t>Jeff Read</t>
        </is>
      </c>
      <c r="B247" s="6" t="inlineStr">
        <is>
          <t>Read King</t>
        </is>
      </c>
      <c r="C247" s="6" t="inlineStr">
        <is>
          <t>Principal and Co-Founder</t>
        </is>
      </c>
      <c r="D247" s="7" t="inlineStr">
        <is>
          <t>Off deck, screened out</t>
        </is>
      </c>
      <c r="E247" s="8" t="n">
        <v>1</v>
      </c>
      <c r="F247" s="6" t="inlineStr">
        <is>
          <t>Buys walls</t>
        </is>
      </c>
      <c r="G247" s="6" t="inlineStr">
        <is>
          <t>Houston HQ / Fort Bend, Harris</t>
        </is>
      </c>
      <c r="H247" s="6" t="inlineStr">
        <is>
          <t>36 freestanding ER centres, 100+ build-to-suit</t>
        </is>
      </c>
      <c r="I247" s="8" t="inlineStr">
        <is>
          <t>Yes</t>
        </is>
      </c>
      <c r="J247" s="9" t="inlineStr"/>
      <c r="K247" s="8" t="inlineStr">
        <is>
          <t>No</t>
        </is>
      </c>
      <c r="L247" s="9" t="inlineStr"/>
      <c r="M247" s="8" t="inlineStr">
        <is>
          <t>No</t>
        </is>
      </c>
      <c r="N247" s="9" t="inlineStr"/>
      <c r="O247" s="8" t="inlineStr">
        <is>
          <t>No</t>
        </is>
      </c>
      <c r="P247" s="10" t="inlineStr"/>
      <c r="Q247" s="6">
        <f>HYPERLINK("https://www.linkedin.com/search/results/people/?keywords=Jeff%20Read%20Read%20King","search")</f>
        <v/>
      </c>
      <c r="R247" s="11">
        <f>IF(P247="","ADD LINKEDIN","ok")</f>
        <v/>
      </c>
      <c r="S247" s="6" t="inlineStr">
        <is>
          <t>https://read-king.com/</t>
        </is>
      </c>
      <c r="T247" s="9" t="inlineStr">
        <is>
          <t>36 freestanding emergency centres and over 100 build-to-suits, the most repeated small-commercial format screened.</t>
        </is>
      </c>
      <c r="U247" s="6" t="inlineStr"/>
      <c r="V247" s="9" t="inlineStr">
        <is>
          <t>Principal.</t>
        </is>
      </c>
      <c r="W247" s="6" t="inlineStr">
        <is>
          <t>https://www.read-king.com/team</t>
        </is>
      </c>
      <c r="X247" s="6" t="inlineStr">
        <is>
          <t>https://www.linkedin.com/company/read-king-inc-</t>
        </is>
      </c>
      <c r="Y247" s="6" t="inlineStr">
        <is>
          <t>https://www.read-king.com/team</t>
        </is>
      </c>
      <c r="Z247" s="6" t="inlineStr"/>
    </row>
    <row r="248">
      <c r="A248" s="12" t="inlineStr">
        <is>
          <t>Ewing King</t>
        </is>
      </c>
      <c r="B248" s="12" t="inlineStr">
        <is>
          <t>Read King</t>
        </is>
      </c>
      <c r="C248" s="12" t="inlineStr">
        <is>
          <t>Principal</t>
        </is>
      </c>
      <c r="D248" s="13" t="inlineStr">
        <is>
          <t>Off deck, screened out</t>
        </is>
      </c>
      <c r="E248" s="14" t="n">
        <v>1</v>
      </c>
      <c r="F248" s="12" t="inlineStr">
        <is>
          <t>Buys walls</t>
        </is>
      </c>
      <c r="G248" s="12" t="inlineStr">
        <is>
          <t>Houston HQ / Fort Bend, Harris</t>
        </is>
      </c>
      <c r="H248" s="12" t="inlineStr">
        <is>
          <t>36 freestanding ER centres, 100+ build-to-suit</t>
        </is>
      </c>
      <c r="I248" s="14" t="inlineStr">
        <is>
          <t>Yes</t>
        </is>
      </c>
      <c r="J248" s="15" t="inlineStr"/>
      <c r="K248" s="14" t="inlineStr">
        <is>
          <t>No</t>
        </is>
      </c>
      <c r="L248" s="15" t="inlineStr"/>
      <c r="M248" s="14" t="inlineStr">
        <is>
          <t>No</t>
        </is>
      </c>
      <c r="N248" s="15" t="inlineStr"/>
      <c r="O248" s="14" t="inlineStr">
        <is>
          <t>No</t>
        </is>
      </c>
      <c r="P248" s="10" t="inlineStr"/>
      <c r="Q248" s="12">
        <f>HYPERLINK("https://www.linkedin.com/search/results/people/?keywords=Ewing%20King%20Read%20King","search")</f>
        <v/>
      </c>
      <c r="R248" s="16">
        <f>IF(P248="","ADD LINKEDIN","ok")</f>
        <v/>
      </c>
      <c r="S248" s="12" t="inlineStr">
        <is>
          <t>https://read-king.com/</t>
        </is>
      </c>
      <c r="T248" s="15" t="inlineStr">
        <is>
          <t>36 freestanding emergency centres and over 100 build-to-suits, the most repeated small-commercial format screened.</t>
        </is>
      </c>
      <c r="U248" s="12" t="inlineStr"/>
      <c r="V248" s="15" t="inlineStr">
        <is>
          <t>Principal.</t>
        </is>
      </c>
      <c r="W248" s="12" t="inlineStr">
        <is>
          <t>https://www.read-king.com/team</t>
        </is>
      </c>
      <c r="X248" s="12" t="inlineStr">
        <is>
          <t>https://www.linkedin.com/company/read-king-inc-</t>
        </is>
      </c>
      <c r="Y248" s="12" t="inlineStr">
        <is>
          <t>https://www.read-king.com/team</t>
        </is>
      </c>
      <c r="Z248" s="12" t="inlineStr"/>
    </row>
    <row r="249">
      <c r="A249" s="6" t="inlineStr">
        <is>
          <t>Blake Allen</t>
        </is>
      </c>
      <c r="B249" s="6" t="inlineStr">
        <is>
          <t>Read King</t>
        </is>
      </c>
      <c r="C249" s="6" t="inlineStr">
        <is>
          <t>Chief Financial Officer</t>
        </is>
      </c>
      <c r="D249" s="7" t="inlineStr">
        <is>
          <t>Off deck, screened out</t>
        </is>
      </c>
      <c r="E249" s="8" t="n">
        <v>1</v>
      </c>
      <c r="F249" s="6" t="inlineStr">
        <is>
          <t>Buys walls</t>
        </is>
      </c>
      <c r="G249" s="6" t="inlineStr">
        <is>
          <t>Houston HQ / Fort Bend, Harris</t>
        </is>
      </c>
      <c r="H249" s="6" t="inlineStr">
        <is>
          <t>36 freestanding ER centres, 100+ build-to-suit</t>
        </is>
      </c>
      <c r="I249" s="8" t="inlineStr">
        <is>
          <t>Yes</t>
        </is>
      </c>
      <c r="J249" s="9" t="inlineStr"/>
      <c r="K249" s="8" t="inlineStr">
        <is>
          <t>No</t>
        </is>
      </c>
      <c r="L249" s="9" t="inlineStr"/>
      <c r="M249" s="8" t="inlineStr">
        <is>
          <t>No</t>
        </is>
      </c>
      <c r="N249" s="9" t="inlineStr"/>
      <c r="O249" s="8" t="inlineStr">
        <is>
          <t>No</t>
        </is>
      </c>
      <c r="P249" s="10" t="inlineStr"/>
      <c r="Q249" s="6">
        <f>HYPERLINK("https://www.linkedin.com/search/results/people/?keywords=Blake%20Allen%20Read%20King","search")</f>
        <v/>
      </c>
      <c r="R249" s="11">
        <f>IF(P249="","ADD LINKEDIN","ok")</f>
        <v/>
      </c>
      <c r="S249" s="6" t="inlineStr">
        <is>
          <t>https://read-king.com/</t>
        </is>
      </c>
      <c r="T249" s="9" t="inlineStr">
        <is>
          <t>36 freestanding emergency centres and over 100 build-to-suits, the most repeated small-commercial format screened.</t>
        </is>
      </c>
      <c r="U249" s="6" t="inlineStr"/>
      <c r="V249" s="9" t="inlineStr">
        <is>
          <t>Chief Financial Officer.</t>
        </is>
      </c>
      <c r="W249" s="6" t="inlineStr">
        <is>
          <t>https://www.read-king.com/team</t>
        </is>
      </c>
      <c r="X249" s="6" t="inlineStr">
        <is>
          <t>https://www.linkedin.com/company/read-king-inc-</t>
        </is>
      </c>
      <c r="Y249" s="6" t="inlineStr">
        <is>
          <t>https://www.read-king.com/team</t>
        </is>
      </c>
      <c r="Z249" s="6" t="inlineStr"/>
    </row>
    <row r="250">
      <c r="A250" s="12" t="inlineStr">
        <is>
          <t>Telisia Amaning</t>
        </is>
      </c>
      <c r="B250" s="12" t="inlineStr">
        <is>
          <t>Read King</t>
        </is>
      </c>
      <c r="C250" s="12" t="inlineStr">
        <is>
          <t>Chief Operating Officer</t>
        </is>
      </c>
      <c r="D250" s="13" t="inlineStr">
        <is>
          <t>Off deck, screened out</t>
        </is>
      </c>
      <c r="E250" s="14" t="n">
        <v>1</v>
      </c>
      <c r="F250" s="12" t="inlineStr">
        <is>
          <t>Buys walls</t>
        </is>
      </c>
      <c r="G250" s="12" t="inlineStr">
        <is>
          <t>Houston HQ / Fort Bend, Harris</t>
        </is>
      </c>
      <c r="H250" s="12" t="inlineStr">
        <is>
          <t>36 freestanding ER centres, 100+ build-to-suit</t>
        </is>
      </c>
      <c r="I250" s="14" t="inlineStr">
        <is>
          <t>Yes</t>
        </is>
      </c>
      <c r="J250" s="15" t="inlineStr"/>
      <c r="K250" s="14" t="inlineStr">
        <is>
          <t>No</t>
        </is>
      </c>
      <c r="L250" s="15" t="inlineStr"/>
      <c r="M250" s="14" t="inlineStr">
        <is>
          <t>No</t>
        </is>
      </c>
      <c r="N250" s="15" t="inlineStr"/>
      <c r="O250" s="14" t="inlineStr">
        <is>
          <t>No</t>
        </is>
      </c>
      <c r="P250" s="6" t="inlineStr">
        <is>
          <t>https://www.linkedin.com/in/telisiaamaning/</t>
        </is>
      </c>
      <c r="Q250" s="12" t="inlineStr"/>
      <c r="R250" s="16">
        <f>IF(P250="","ADD LINKEDIN","ok")</f>
        <v/>
      </c>
      <c r="S250" s="12" t="inlineStr">
        <is>
          <t>https://read-king.com/</t>
        </is>
      </c>
      <c r="T250" s="15" t="inlineStr">
        <is>
          <t>36 freestanding emergency centres and over 100 build-to-suits, the most repeated small-commercial format screened.</t>
        </is>
      </c>
      <c r="U250" s="12" t="inlineStr"/>
      <c r="V250" s="15" t="inlineStr">
        <is>
          <t>Chief Operating Officer, READ KING. Houston, Texas.</t>
        </is>
      </c>
      <c r="W250" s="12" t="inlineStr"/>
      <c r="X250" s="12" t="inlineStr">
        <is>
          <t>https://www.linkedin.com/company/read-king-inc-</t>
        </is>
      </c>
      <c r="Y250" s="12" t="inlineStr">
        <is>
          <t>https://www.read-king.com/team</t>
        </is>
      </c>
      <c r="Z250" s="12" t="inlineStr"/>
    </row>
    <row r="251">
      <c r="A251" s="6" t="inlineStr">
        <is>
          <t>Alex Jessett</t>
        </is>
      </c>
      <c r="B251" s="6" t="inlineStr">
        <is>
          <t>Camden Property Trust</t>
        </is>
      </c>
      <c r="C251" s="6" t="inlineStr">
        <is>
          <t>Chief Executive Officer</t>
        </is>
      </c>
      <c r="D251" s="7" t="inlineStr">
        <is>
          <t>Off deck, screened out</t>
        </is>
      </c>
      <c r="E251" s="8" t="n">
        <v>1</v>
      </c>
      <c r="F251" s="6" t="inlineStr">
        <is>
          <t>Buys walls</t>
        </is>
      </c>
      <c r="G251" s="6" t="inlineStr">
        <is>
          <t>Houston HQ / Fort Bend, Montgomery</t>
        </is>
      </c>
      <c r="H251" s="6" t="inlineStr">
        <is>
          <t>$155M into 389 BTR homes</t>
        </is>
      </c>
      <c r="I251" s="8" t="inlineStr">
        <is>
          <t>Partly</t>
        </is>
      </c>
      <c r="J251" s="9" t="inlineStr"/>
      <c r="K251" s="8" t="inlineStr">
        <is>
          <t>No</t>
        </is>
      </c>
      <c r="L251" s="9" t="inlineStr"/>
      <c r="M251" s="8" t="inlineStr">
        <is>
          <t>No</t>
        </is>
      </c>
      <c r="N251" s="9" t="inlineStr"/>
      <c r="O251" s="8" t="inlineStr">
        <is>
          <t>Yes</t>
        </is>
      </c>
      <c r="P251" s="10" t="inlineStr"/>
      <c r="Q251" s="6">
        <f>HYPERLINK("https://www.linkedin.com/search/results/people/?keywords=Alex%20Jessett%20Camden%20Property%20Trust","search")</f>
        <v/>
      </c>
      <c r="R251" s="11">
        <f>IF(P251="","ADD LINKEDIN","ok")</f>
        <v/>
      </c>
      <c r="S251" s="6" t="inlineStr">
        <is>
          <t>https://www.camdenliving.com/</t>
        </is>
      </c>
      <c r="T251" s="9" t="inlineStr">
        <is>
          <t>$155M into 389 build-to-rent homes, Houston HQ, holds long term. Figures date to 2022.</t>
        </is>
      </c>
      <c r="U251" s="6" t="inlineStr"/>
      <c r="V251" s="9" t="inlineStr">
        <is>
          <t>Chief Executive Officer, previously President and Chief Financial Officer, at Camden since 1999.</t>
        </is>
      </c>
      <c r="W251" s="6" t="inlineStr">
        <is>
          <t>https://investors.camdenliving.com/investors/governance/board-of-directors/default.aspx</t>
        </is>
      </c>
      <c r="X251" s="6" t="inlineStr">
        <is>
          <t>https://www.linkedin.com/company/camden-property-trust</t>
        </is>
      </c>
      <c r="Y251" s="6" t="inlineStr">
        <is>
          <t>https://investors.camdenliving.com/investors/governance/board-of-directors/default.aspx</t>
        </is>
      </c>
      <c r="Z251" s="6" t="inlineStr"/>
    </row>
    <row r="252">
      <c r="A252" s="12" t="inlineStr">
        <is>
          <t>Richard J. Campo</t>
        </is>
      </c>
      <c r="B252" s="12" t="inlineStr">
        <is>
          <t>Camden Property Trust</t>
        </is>
      </c>
      <c r="C252" s="12" t="inlineStr">
        <is>
          <t>Executive Chairman of the Board of Trust Managers</t>
        </is>
      </c>
      <c r="D252" s="13" t="inlineStr">
        <is>
          <t>Off deck, screened out</t>
        </is>
      </c>
      <c r="E252" s="14" t="n">
        <v>1</v>
      </c>
      <c r="F252" s="12" t="inlineStr">
        <is>
          <t>Buys walls</t>
        </is>
      </c>
      <c r="G252" s="12" t="inlineStr">
        <is>
          <t>Houston HQ / Fort Bend, Montgomery</t>
        </is>
      </c>
      <c r="H252" s="12" t="inlineStr">
        <is>
          <t>$155M into 389 BTR homes</t>
        </is>
      </c>
      <c r="I252" s="14" t="inlineStr">
        <is>
          <t>Partly</t>
        </is>
      </c>
      <c r="J252" s="15" t="inlineStr"/>
      <c r="K252" s="14" t="inlineStr">
        <is>
          <t>No</t>
        </is>
      </c>
      <c r="L252" s="15" t="inlineStr"/>
      <c r="M252" s="14" t="inlineStr">
        <is>
          <t>No</t>
        </is>
      </c>
      <c r="N252" s="15" t="inlineStr"/>
      <c r="O252" s="14" t="inlineStr">
        <is>
          <t>Yes</t>
        </is>
      </c>
      <c r="P252" s="10" t="inlineStr"/>
      <c r="Q252" s="12">
        <f>HYPERLINK("https://www.linkedin.com/search/results/people/?keywords=Richard%20J.%20Campo%20Camden%20Property%20Trust","search")</f>
        <v/>
      </c>
      <c r="R252" s="16">
        <f>IF(P252="","ADD LINKEDIN","ok")</f>
        <v/>
      </c>
      <c r="S252" s="12" t="inlineStr">
        <is>
          <t>https://www.camdenliving.com/</t>
        </is>
      </c>
      <c r="T252" s="15" t="inlineStr">
        <is>
          <t>$155M into 389 build-to-rent homes, Houston HQ, holds long term. Figures date to 2022.</t>
        </is>
      </c>
      <c r="U252" s="12" t="inlineStr"/>
      <c r="V252" s="15" t="inlineStr">
        <is>
          <t>Executive Chairman, chief executive from the 1993 listing until 2026.</t>
        </is>
      </c>
      <c r="W252" s="12" t="inlineStr">
        <is>
          <t>https://investors.camdenliving.com/investors/governance/board-of-directors/default.aspx</t>
        </is>
      </c>
      <c r="X252" s="12" t="inlineStr">
        <is>
          <t>https://www.linkedin.com/company/camden-property-trust</t>
        </is>
      </c>
      <c r="Y252" s="12" t="inlineStr">
        <is>
          <t>https://investors.camdenliving.com/investors/governance/board-of-directors/default.aspx</t>
        </is>
      </c>
      <c r="Z252" s="12" t="inlineStr"/>
    </row>
    <row r="253">
      <c r="A253" s="6" t="inlineStr">
        <is>
          <t>Michael Eilertsen</t>
        </is>
      </c>
      <c r="B253" s="6" t="inlineStr">
        <is>
          <t>Camden Property Trust</t>
        </is>
      </c>
      <c r="C253" s="6" t="inlineStr">
        <is>
          <t>Vice President of Construction, Camden Property Trust</t>
        </is>
      </c>
      <c r="D253" s="7" t="inlineStr">
        <is>
          <t>Off deck, screened out</t>
        </is>
      </c>
      <c r="E253" s="8" t="n">
        <v>1</v>
      </c>
      <c r="F253" s="6" t="inlineStr">
        <is>
          <t>Buys walls</t>
        </is>
      </c>
      <c r="G253" s="6" t="inlineStr">
        <is>
          <t>Houston HQ / Fort Bend, Montgomery</t>
        </is>
      </c>
      <c r="H253" s="6" t="inlineStr">
        <is>
          <t>$155M into 389 BTR homes</t>
        </is>
      </c>
      <c r="I253" s="8" t="inlineStr">
        <is>
          <t>Partly</t>
        </is>
      </c>
      <c r="J253" s="9" t="inlineStr"/>
      <c r="K253" s="8" t="inlineStr">
        <is>
          <t>No</t>
        </is>
      </c>
      <c r="L253" s="9" t="inlineStr"/>
      <c r="M253" s="8" t="inlineStr">
        <is>
          <t>No</t>
        </is>
      </c>
      <c r="N253" s="9" t="inlineStr"/>
      <c r="O253" s="8" t="inlineStr">
        <is>
          <t>Yes</t>
        </is>
      </c>
      <c r="P253" s="6" t="inlineStr">
        <is>
          <t>https://www.linkedin.com/in/michael-eilertsen-68a59911/</t>
        </is>
      </c>
      <c r="Q253" s="6" t="inlineStr"/>
      <c r="R253" s="11">
        <f>IF(P253="","ADD LINKEDIN","ok")</f>
        <v/>
      </c>
      <c r="S253" s="6" t="inlineStr">
        <is>
          <t>https://www.camdenliving.com/</t>
        </is>
      </c>
      <c r="T253" s="9" t="inlineStr">
        <is>
          <t>$155M into 389 build-to-rent homes, Houston HQ, holds long term. Figures date to 2022.</t>
        </is>
      </c>
      <c r="U253" s="6" t="inlineStr">
        <is>
          <t>YES</t>
        </is>
      </c>
      <c r="V253" s="9" t="inlineStr">
        <is>
          <t>Vice President Of Construction at Camden Property Trust. Houston, Texas.</t>
        </is>
      </c>
      <c r="W253" s="6" t="inlineStr"/>
      <c r="X253" s="6" t="inlineStr">
        <is>
          <t>https://www.linkedin.com/company/camden-property-trust</t>
        </is>
      </c>
      <c r="Y253" s="6" t="inlineStr">
        <is>
          <t>https://investors.camdenliving.com/investors/governance/board-of-directors/default.aspx</t>
        </is>
      </c>
      <c r="Z253" s="6" t="inlineStr"/>
    </row>
    <row r="254">
      <c r="A254" s="12" t="inlineStr">
        <is>
          <t>Bob Faith</t>
        </is>
      </c>
      <c r="B254" s="12" t="inlineStr">
        <is>
          <t>Greystar (Summerwell)</t>
        </is>
      </c>
      <c r="C254" s="12" t="inlineStr">
        <is>
          <t>Founder, Chairman and Chief Executive Officer</t>
        </is>
      </c>
      <c r="D254" s="13" t="inlineStr">
        <is>
          <t>Off deck, screened out</t>
        </is>
      </c>
      <c r="E254" s="14" t="n">
        <v>1</v>
      </c>
      <c r="F254" s="12" t="inlineStr">
        <is>
          <t>Buys walls</t>
        </is>
      </c>
      <c r="G254" s="12" t="inlineStr">
        <is>
          <t>Charleston HQ / Katy, Harris-Waller</t>
        </is>
      </c>
      <c r="H254" s="12" t="inlineStr">
        <is>
          <t>Summerwell: 10,000+ homes, 50 properties</t>
        </is>
      </c>
      <c r="I254" s="14" t="inlineStr">
        <is>
          <t>Partly</t>
        </is>
      </c>
      <c r="J254" s="15" t="inlineStr"/>
      <c r="K254" s="14" t="inlineStr">
        <is>
          <t>No</t>
        </is>
      </c>
      <c r="L254" s="15" t="inlineStr"/>
      <c r="M254" s="14" t="inlineStr">
        <is>
          <t>No</t>
        </is>
      </c>
      <c r="N254" s="15" t="inlineStr"/>
      <c r="O254" s="14" t="inlineStr">
        <is>
          <t>Yes</t>
        </is>
      </c>
      <c r="P254" s="10" t="inlineStr"/>
      <c r="Q254" s="12">
        <f>HYPERLINK("https://www.linkedin.com/search/results/people/?keywords=Bob%20Faith%20Greystar","search")</f>
        <v/>
      </c>
      <c r="R254" s="16">
        <f>IF(P254="","ADD LINKEDIN","ok")</f>
        <v/>
      </c>
      <c r="S254" s="12" t="inlineStr">
        <is>
          <t>https://www.greystar.com/</t>
        </is>
      </c>
      <c r="T254" s="15" t="inlineStr">
        <is>
          <t>156 units inside Sunterra, a Houston-based development director, and a 10,000-home national brand. Costs withheld.</t>
        </is>
      </c>
      <c r="U254" s="12" t="inlineStr"/>
      <c r="V254" s="15" t="inlineStr">
        <is>
          <t>Founder, Chairman and Chief Executive Officer on Greystar's own bio page.</t>
        </is>
      </c>
      <c r="W254" s="12" t="inlineStr">
        <is>
          <t>https://www.greystar.com/contact-us/our-people/bob-faith</t>
        </is>
      </c>
      <c r="X254" s="12" t="inlineStr">
        <is>
          <t>https://www.linkedin.com/company/greystar</t>
        </is>
      </c>
      <c r="Y254" s="12" t="inlineStr">
        <is>
          <t>https://www.greystar.com/business/about-greystar/our-leadership</t>
        </is>
      </c>
      <c r="Z254" s="12" t="inlineStr"/>
    </row>
    <row r="255">
      <c r="A255" s="6" t="inlineStr">
        <is>
          <t>Brian Herwald</t>
        </is>
      </c>
      <c r="B255" s="6" t="inlineStr">
        <is>
          <t>Greystar (Summerwell)</t>
        </is>
      </c>
      <c r="C255" s="6" t="inlineStr">
        <is>
          <t>Managing Director of Development, Houston</t>
        </is>
      </c>
      <c r="D255" s="7" t="inlineStr">
        <is>
          <t>Off deck, screened out</t>
        </is>
      </c>
      <c r="E255" s="8" t="n">
        <v>1</v>
      </c>
      <c r="F255" s="6" t="inlineStr">
        <is>
          <t>Buys walls</t>
        </is>
      </c>
      <c r="G255" s="6" t="inlineStr">
        <is>
          <t>Charleston HQ / Katy, Harris-Waller</t>
        </is>
      </c>
      <c r="H255" s="6" t="inlineStr">
        <is>
          <t>Summerwell: 10,000+ homes, 50 properties</t>
        </is>
      </c>
      <c r="I255" s="8" t="inlineStr">
        <is>
          <t>Partly</t>
        </is>
      </c>
      <c r="J255" s="9" t="inlineStr"/>
      <c r="K255" s="8" t="inlineStr">
        <is>
          <t>No</t>
        </is>
      </c>
      <c r="L255" s="9" t="inlineStr"/>
      <c r="M255" s="8" t="inlineStr">
        <is>
          <t>No</t>
        </is>
      </c>
      <c r="N255" s="9" t="inlineStr"/>
      <c r="O255" s="8" t="inlineStr">
        <is>
          <t>Yes</t>
        </is>
      </c>
      <c r="P255" s="10" t="inlineStr"/>
      <c r="Q255" s="6">
        <f>HYPERLINK("https://www.linkedin.com/search/results/people/?keywords=Brian%20Herwald%20Greystar","search")</f>
        <v/>
      </c>
      <c r="R255" s="11">
        <f>IF(P255="","ADD LINKEDIN","ok")</f>
        <v/>
      </c>
      <c r="S255" s="6" t="inlineStr">
        <is>
          <t>https://www.greystar.com/</t>
        </is>
      </c>
      <c r="T255" s="9" t="inlineStr">
        <is>
          <t>156 units inside Sunterra, a Houston-based development director, and a 10,000-home national brand. Costs withheld.</t>
        </is>
      </c>
      <c r="U255" s="6" t="inlineStr"/>
      <c r="V255" s="9" t="inlineStr">
        <is>
          <t>Managing Director of Development, quoted on Greystar's first Houston logistics project.</t>
        </is>
      </c>
      <c r="W255" s="6" t="inlineStr">
        <is>
          <t>https://www.greystar.com/business/about-greystar/newsroom/greystar-completes-first-logistics-project-in-houston</t>
        </is>
      </c>
      <c r="X255" s="6" t="inlineStr">
        <is>
          <t>https://www.linkedin.com/company/greystar</t>
        </is>
      </c>
      <c r="Y255" s="6" t="inlineStr">
        <is>
          <t>https://www.greystar.com/business/about-greystar/our-leadership</t>
        </is>
      </c>
      <c r="Z255" s="6" t="inlineStr"/>
    </row>
    <row r="256">
      <c r="A256" s="12" t="inlineStr">
        <is>
          <t>Brian Dinerstein</t>
        </is>
      </c>
      <c r="B256" s="12" t="inlineStr">
        <is>
          <t>The Dinerstein Companies</t>
        </is>
      </c>
      <c r="C256" s="12" t="inlineStr">
        <is>
          <t>Chief Executive Officer</t>
        </is>
      </c>
      <c r="D256" s="13" t="inlineStr">
        <is>
          <t>Off deck, screened out</t>
        </is>
      </c>
      <c r="E256" s="14" t="n">
        <v>1</v>
      </c>
      <c r="F256" s="12" t="inlineStr">
        <is>
          <t>Buys walls</t>
        </is>
      </c>
      <c r="G256" s="12" t="inlineStr">
        <is>
          <t>Houston HQ / Fort Bend</t>
        </is>
      </c>
      <c r="H256" s="12" t="inlineStr">
        <is>
          <t>186 BTR homes, Harrison Street JV</t>
        </is>
      </c>
      <c r="I256" s="14" t="inlineStr">
        <is>
          <t>Partly</t>
        </is>
      </c>
      <c r="J256" s="15" t="inlineStr"/>
      <c r="K256" s="14" t="inlineStr">
        <is>
          <t>No</t>
        </is>
      </c>
      <c r="L256" s="15" t="inlineStr"/>
      <c r="M256" s="14" t="inlineStr">
        <is>
          <t>No</t>
        </is>
      </c>
      <c r="N256" s="15" t="inlineStr"/>
      <c r="O256" s="14" t="inlineStr">
        <is>
          <t>Yes</t>
        </is>
      </c>
      <c r="P256" s="10" t="inlineStr"/>
      <c r="Q256" s="12">
        <f>HYPERLINK("https://www.linkedin.com/search/results/people/?keywords=Brian%20Dinerstein%20The%20Dinerstein%20Companies","search")</f>
        <v/>
      </c>
      <c r="R256" s="16">
        <f>IF(P256="","ADD LINKEDIN","ok")</f>
        <v/>
      </c>
      <c r="S256" s="12" t="inlineStr">
        <is>
          <t>https://www.dinersteincos.com/</t>
        </is>
      </c>
      <c r="T256" s="15" t="inlineStr">
        <is>
          <t>186 build-to-rent homes with Harrison Street and 70 years in Houston. Launch coverage is amenities only.</t>
        </is>
      </c>
      <c r="U256" s="12" t="inlineStr"/>
      <c r="V256" s="15" t="inlineStr">
        <is>
          <t>The firm's own bio page. Chief Executive Officer of a developer and operator with $4.3 billion under management.</t>
        </is>
      </c>
      <c r="W256" s="12" t="inlineStr">
        <is>
          <t>https://www.dinersteincos.com/team/brian-dinerstein</t>
        </is>
      </c>
      <c r="X256" s="12" t="inlineStr">
        <is>
          <t>https://www.linkedin.com/company/the-dinerstein-companies/</t>
        </is>
      </c>
      <c r="Y256" s="12" t="inlineStr">
        <is>
          <t>https://www.dinersteincos.com/about-us</t>
        </is>
      </c>
      <c r="Z256" s="12" t="inlineStr"/>
    </row>
    <row r="257">
      <c r="A257" s="6" t="inlineStr">
        <is>
          <t>Jack Dinerstein</t>
        </is>
      </c>
      <c r="B257" s="6" t="inlineStr">
        <is>
          <t>The Dinerstein Companies</t>
        </is>
      </c>
      <c r="C257" s="6" t="inlineStr">
        <is>
          <t>Executive Chairman</t>
        </is>
      </c>
      <c r="D257" s="7" t="inlineStr">
        <is>
          <t>Off deck, screened out</t>
        </is>
      </c>
      <c r="E257" s="8" t="n">
        <v>1</v>
      </c>
      <c r="F257" s="6" t="inlineStr">
        <is>
          <t>Buys walls</t>
        </is>
      </c>
      <c r="G257" s="6" t="inlineStr">
        <is>
          <t>Houston HQ / Fort Bend</t>
        </is>
      </c>
      <c r="H257" s="6" t="inlineStr">
        <is>
          <t>186 BTR homes, Harrison Street JV</t>
        </is>
      </c>
      <c r="I257" s="8" t="inlineStr">
        <is>
          <t>Partly</t>
        </is>
      </c>
      <c r="J257" s="9" t="inlineStr"/>
      <c r="K257" s="8" t="inlineStr">
        <is>
          <t>No</t>
        </is>
      </c>
      <c r="L257" s="9" t="inlineStr"/>
      <c r="M257" s="8" t="inlineStr">
        <is>
          <t>No</t>
        </is>
      </c>
      <c r="N257" s="9" t="inlineStr"/>
      <c r="O257" s="8" t="inlineStr">
        <is>
          <t>Yes</t>
        </is>
      </c>
      <c r="P257" s="6" t="inlineStr">
        <is>
          <t>https://www.linkedin.com/in/jack-dinerstein-4215073/</t>
        </is>
      </c>
      <c r="Q257" s="6" t="inlineStr"/>
      <c r="R257" s="11">
        <f>IF(P257="","ADD LINKEDIN","ok")</f>
        <v/>
      </c>
      <c r="S257" s="6" t="inlineStr">
        <is>
          <t>https://www.dinersteincos.com/</t>
        </is>
      </c>
      <c r="T257" s="9" t="inlineStr">
        <is>
          <t>186 build-to-rent homes with Harrison Street and 70 years in Houston. Launch coverage is amenities only.</t>
        </is>
      </c>
      <c r="U257" s="6" t="inlineStr"/>
      <c r="V257" s="9" t="inlineStr">
        <is>
          <t>Owner, Dinerstein Companies. Houston, Texas.</t>
        </is>
      </c>
      <c r="W257" s="6" t="inlineStr"/>
      <c r="X257" s="6" t="inlineStr">
        <is>
          <t>https://www.linkedin.com/company/the-dinerstein-companies/</t>
        </is>
      </c>
      <c r="Y257" s="6" t="inlineStr">
        <is>
          <t>https://www.dinersteincos.com/about-us</t>
        </is>
      </c>
      <c r="Z257" s="6" t="inlineStr"/>
    </row>
    <row r="258">
      <c r="A258" s="12" t="inlineStr">
        <is>
          <t>Brad Dinerstein</t>
        </is>
      </c>
      <c r="B258" s="12" t="inlineStr">
        <is>
          <t>The Dinerstein Companies</t>
        </is>
      </c>
      <c r="C258" s="12" t="inlineStr">
        <is>
          <t>Managing Partner of Development and Design</t>
        </is>
      </c>
      <c r="D258" s="13" t="inlineStr">
        <is>
          <t>Off deck, screened out</t>
        </is>
      </c>
      <c r="E258" s="14" t="n">
        <v>1</v>
      </c>
      <c r="F258" s="12" t="inlineStr">
        <is>
          <t>Buys walls</t>
        </is>
      </c>
      <c r="G258" s="12" t="inlineStr">
        <is>
          <t>Houston HQ / Fort Bend</t>
        </is>
      </c>
      <c r="H258" s="12" t="inlineStr">
        <is>
          <t>186 BTR homes, Harrison Street JV</t>
        </is>
      </c>
      <c r="I258" s="14" t="inlineStr">
        <is>
          <t>Partly</t>
        </is>
      </c>
      <c r="J258" s="15" t="inlineStr"/>
      <c r="K258" s="14" t="inlineStr">
        <is>
          <t>No</t>
        </is>
      </c>
      <c r="L258" s="15" t="inlineStr"/>
      <c r="M258" s="14" t="inlineStr">
        <is>
          <t>No</t>
        </is>
      </c>
      <c r="N258" s="15" t="inlineStr"/>
      <c r="O258" s="14" t="inlineStr">
        <is>
          <t>Yes</t>
        </is>
      </c>
      <c r="P258" s="10" t="inlineStr"/>
      <c r="Q258" s="12">
        <f>HYPERLINK("https://www.linkedin.com/search/results/people/?keywords=Brad%20Dinerstein%20The%20Dinerstein%20Companies","search")</f>
        <v/>
      </c>
      <c r="R258" s="16">
        <f>IF(P258="","ADD LINKEDIN","ok")</f>
        <v/>
      </c>
      <c r="S258" s="12" t="inlineStr">
        <is>
          <t>https://www.dinersteincos.com/</t>
        </is>
      </c>
      <c r="T258" s="15" t="inlineStr">
        <is>
          <t>186 build-to-rent homes with Harrison Street and 70 years in Houston. Launch coverage is amenities only.</t>
        </is>
      </c>
      <c r="U258" s="12" t="inlineStr"/>
      <c r="V258" s="15" t="inlineStr">
        <is>
          <t>Managing Partner of Development and Design.</t>
        </is>
      </c>
      <c r="W258" s="12" t="inlineStr">
        <is>
          <t>https://www.dinersteincos.com/about-us</t>
        </is>
      </c>
      <c r="X258" s="12" t="inlineStr">
        <is>
          <t>https://www.linkedin.com/company/the-dinerstein-companies/</t>
        </is>
      </c>
      <c r="Y258" s="12" t="inlineStr">
        <is>
          <t>https://www.dinersteincos.com/about-us</t>
        </is>
      </c>
      <c r="Z258" s="12" t="inlineStr"/>
    </row>
    <row r="259">
      <c r="A259" s="6" t="inlineStr">
        <is>
          <t>John Caltagirone</t>
        </is>
      </c>
      <c r="B259" s="6" t="inlineStr">
        <is>
          <t>The Dinerstein Companies</t>
        </is>
      </c>
      <c r="C259" s="6" t="inlineStr">
        <is>
          <t>President and Partner</t>
        </is>
      </c>
      <c r="D259" s="7" t="inlineStr">
        <is>
          <t>Off deck, screened out</t>
        </is>
      </c>
      <c r="E259" s="8" t="n">
        <v>1</v>
      </c>
      <c r="F259" s="6" t="inlineStr">
        <is>
          <t>Buys walls</t>
        </is>
      </c>
      <c r="G259" s="6" t="inlineStr">
        <is>
          <t>Houston HQ / Fort Bend</t>
        </is>
      </c>
      <c r="H259" s="6" t="inlineStr">
        <is>
          <t>186 BTR homes, Harrison Street JV</t>
        </is>
      </c>
      <c r="I259" s="8" t="inlineStr">
        <is>
          <t>Partly</t>
        </is>
      </c>
      <c r="J259" s="9" t="inlineStr"/>
      <c r="K259" s="8" t="inlineStr">
        <is>
          <t>No</t>
        </is>
      </c>
      <c r="L259" s="9" t="inlineStr"/>
      <c r="M259" s="8" t="inlineStr">
        <is>
          <t>No</t>
        </is>
      </c>
      <c r="N259" s="9" t="inlineStr"/>
      <c r="O259" s="8" t="inlineStr">
        <is>
          <t>Yes</t>
        </is>
      </c>
      <c r="P259" s="10" t="inlineStr"/>
      <c r="Q259" s="6">
        <f>HYPERLINK("https://www.linkedin.com/search/results/people/?keywords=John%20Caltagirone%20The%20Dinerstein%20Companies","search")</f>
        <v/>
      </c>
      <c r="R259" s="11">
        <f>IF(P259="","ADD LINKEDIN","ok")</f>
        <v/>
      </c>
      <c r="S259" s="6" t="inlineStr">
        <is>
          <t>https://www.dinersteincos.com/</t>
        </is>
      </c>
      <c r="T259" s="9" t="inlineStr">
        <is>
          <t>186 build-to-rent homes with Harrison Street and 70 years in Houston. Launch coverage is amenities only.</t>
        </is>
      </c>
      <c r="U259" s="6" t="inlineStr"/>
      <c r="V259" s="9" t="inlineStr">
        <is>
          <t>President and Partner.</t>
        </is>
      </c>
      <c r="W259" s="6" t="inlineStr">
        <is>
          <t>https://www.dinersteincos.com/about-us</t>
        </is>
      </c>
      <c r="X259" s="6" t="inlineStr">
        <is>
          <t>https://www.linkedin.com/company/the-dinerstein-companies/</t>
        </is>
      </c>
      <c r="Y259" s="6" t="inlineStr">
        <is>
          <t>https://www.dinersteincos.com/about-us</t>
        </is>
      </c>
      <c r="Z259" s="6" t="inlineStr"/>
    </row>
    <row r="260">
      <c r="A260" s="12" t="inlineStr">
        <is>
          <t>Jason Baker</t>
        </is>
      </c>
      <c r="B260" s="12" t="inlineStr">
        <is>
          <t>Baker Katz</t>
        </is>
      </c>
      <c r="C260" s="12" t="inlineStr">
        <is>
          <t>Leads the tenant representation team, Baker Katz</t>
        </is>
      </c>
      <c r="D260" s="13" t="inlineStr">
        <is>
          <t>Off deck, screened out</t>
        </is>
      </c>
      <c r="E260" s="14" t="n">
        <v>1</v>
      </c>
      <c r="F260" s="12" t="inlineStr">
        <is>
          <t>Buys walls</t>
        </is>
      </c>
      <c r="G260" s="12" t="inlineStr">
        <is>
          <t>Houston / Harris, Galveston</t>
        </is>
      </c>
      <c r="H260" s="12" t="inlineStr"/>
      <c r="I260" s="14" t="inlineStr">
        <is>
          <t>Partly</t>
        </is>
      </c>
      <c r="J260" s="15" t="inlineStr"/>
      <c r="K260" s="14" t="inlineStr">
        <is>
          <t>No</t>
        </is>
      </c>
      <c r="L260" s="15" t="inlineStr"/>
      <c r="M260" s="14" t="inlineStr">
        <is>
          <t>No</t>
        </is>
      </c>
      <c r="N260" s="15" t="inlineStr"/>
      <c r="O260" s="14" t="inlineStr">
        <is>
          <t>Partly</t>
        </is>
      </c>
      <c r="P260" s="10" t="inlineStr"/>
      <c r="Q260" s="12">
        <f>HYPERLINK("https://www.linkedin.com/search/results/people/?keywords=Jason%20Baker%20Baker%20Katz","search")</f>
        <v/>
      </c>
      <c r="R260" s="16">
        <f>IF(P260="","ADD LINKEDIN","ok")</f>
        <v/>
      </c>
      <c r="S260" s="12" t="inlineStr">
        <is>
          <t>https://bakerkatz.com/</t>
        </is>
      </c>
      <c r="T260" s="15" t="inlineStr">
        <is>
          <t>More than 80 retail projects, but recent Houston activity is buying existing centres rather than building.</t>
        </is>
      </c>
      <c r="U260" s="12" t="inlineStr"/>
      <c r="V260" s="15" t="inlineStr">
        <is>
          <t>Leads the tenant representation team, with more than twenty-five years in Houston retail. The page carries bios without formal titles.</t>
        </is>
      </c>
      <c r="W260" s="12" t="inlineStr">
        <is>
          <t>https://bakerkatz.com/about-us/</t>
        </is>
      </c>
      <c r="X260" s="12" t="inlineStr">
        <is>
          <t>https://www.linkedin.com/company/baker-katz</t>
        </is>
      </c>
      <c r="Y260" s="12" t="inlineStr">
        <is>
          <t>https://bakerkatz.com/about-us/</t>
        </is>
      </c>
      <c r="Z260" s="12" t="inlineStr"/>
    </row>
    <row r="261">
      <c r="A261" s="6" t="inlineStr">
        <is>
          <t>Kenneth Katz</t>
        </is>
      </c>
      <c r="B261" s="6" t="inlineStr">
        <is>
          <t>Baker Katz</t>
        </is>
      </c>
      <c r="C261" s="6" t="inlineStr">
        <is>
          <t>Leads the investment and development practice, Baker Katz</t>
        </is>
      </c>
      <c r="D261" s="7" t="inlineStr">
        <is>
          <t>Off deck, screened out</t>
        </is>
      </c>
      <c r="E261" s="8" t="n">
        <v>1</v>
      </c>
      <c r="F261" s="6" t="inlineStr">
        <is>
          <t>Buys walls</t>
        </is>
      </c>
      <c r="G261" s="6" t="inlineStr">
        <is>
          <t>Houston / Harris, Galveston</t>
        </is>
      </c>
      <c r="H261" s="6" t="inlineStr"/>
      <c r="I261" s="8" t="inlineStr">
        <is>
          <t>Partly</t>
        </is>
      </c>
      <c r="J261" s="9" t="inlineStr"/>
      <c r="K261" s="8" t="inlineStr">
        <is>
          <t>No</t>
        </is>
      </c>
      <c r="L261" s="9" t="inlineStr"/>
      <c r="M261" s="8" t="inlineStr">
        <is>
          <t>No</t>
        </is>
      </c>
      <c r="N261" s="9" t="inlineStr"/>
      <c r="O261" s="8" t="inlineStr">
        <is>
          <t>Partly</t>
        </is>
      </c>
      <c r="P261" s="10" t="inlineStr"/>
      <c r="Q261" s="6">
        <f>HYPERLINK("https://www.linkedin.com/search/results/people/?keywords=Kenneth%20Katz%20Baker%20Katz","search")</f>
        <v/>
      </c>
      <c r="R261" s="11">
        <f>IF(P261="","ADD LINKEDIN","ok")</f>
        <v/>
      </c>
      <c r="S261" s="6" t="inlineStr">
        <is>
          <t>https://bakerkatz.com/</t>
        </is>
      </c>
      <c r="T261" s="9" t="inlineStr">
        <is>
          <t>More than 80 retail projects, but recent Houston activity is buying existing centres rather than building.</t>
        </is>
      </c>
      <c r="U261" s="6" t="inlineStr"/>
      <c r="V261" s="9" t="inlineStr">
        <is>
          <t>Leads the real estate investment and development practice, covering ground-up development and redevelopment.</t>
        </is>
      </c>
      <c r="W261" s="6" t="inlineStr">
        <is>
          <t>https://bakerkatz.com/about-us/</t>
        </is>
      </c>
      <c r="X261" s="6" t="inlineStr">
        <is>
          <t>https://www.linkedin.com/company/baker-katz</t>
        </is>
      </c>
      <c r="Y261" s="6" t="inlineStr">
        <is>
          <t>https://bakerkatz.com/about-us/</t>
        </is>
      </c>
      <c r="Z261" s="6" t="inlineStr"/>
    </row>
    <row r="262">
      <c r="A262" s="12" t="inlineStr">
        <is>
          <t>Martin Mendoza</t>
        </is>
      </c>
      <c r="B262" s="12" t="inlineStr">
        <is>
          <t>Baker Katz</t>
        </is>
      </c>
      <c r="C262" s="12" t="inlineStr">
        <is>
          <t>Oversees design and construction, Baker Katz</t>
        </is>
      </c>
      <c r="D262" s="13" t="inlineStr">
        <is>
          <t>Off deck, screened out</t>
        </is>
      </c>
      <c r="E262" s="14" t="n">
        <v>1</v>
      </c>
      <c r="F262" s="12" t="inlineStr">
        <is>
          <t>Buys walls</t>
        </is>
      </c>
      <c r="G262" s="12" t="inlineStr">
        <is>
          <t>Houston / Harris, Galveston</t>
        </is>
      </c>
      <c r="H262" s="12" t="inlineStr"/>
      <c r="I262" s="14" t="inlineStr">
        <is>
          <t>Partly</t>
        </is>
      </c>
      <c r="J262" s="15" t="inlineStr"/>
      <c r="K262" s="14" t="inlineStr">
        <is>
          <t>No</t>
        </is>
      </c>
      <c r="L262" s="15" t="inlineStr"/>
      <c r="M262" s="14" t="inlineStr">
        <is>
          <t>No</t>
        </is>
      </c>
      <c r="N262" s="15" t="inlineStr"/>
      <c r="O262" s="14" t="inlineStr">
        <is>
          <t>Partly</t>
        </is>
      </c>
      <c r="P262" s="10" t="inlineStr"/>
      <c r="Q262" s="12">
        <f>HYPERLINK("https://www.linkedin.com/search/results/people/?keywords=Martin%20Mendoza%20Baker%20Katz","search")</f>
        <v/>
      </c>
      <c r="R262" s="16">
        <f>IF(P262="","ADD LINKEDIN","ok")</f>
        <v/>
      </c>
      <c r="S262" s="12" t="inlineStr">
        <is>
          <t>https://bakerkatz.com/</t>
        </is>
      </c>
      <c r="T262" s="15" t="inlineStr">
        <is>
          <t>More than 80 retail projects, but recent Houston activity is buying existing centres rather than building.</t>
        </is>
      </c>
      <c r="U262" s="12" t="inlineStr">
        <is>
          <t>YES</t>
        </is>
      </c>
      <c r="V262" s="15" t="inlineStr">
        <is>
          <t>Joined in August 2024 responsible for overseeing design and construction phases. The page gives no title, so the function rather than the rank is what places him here.</t>
        </is>
      </c>
      <c r="W262" s="12" t="inlineStr">
        <is>
          <t>https://bakerkatz.com/about-us/</t>
        </is>
      </c>
      <c r="X262" s="12" t="inlineStr">
        <is>
          <t>https://www.linkedin.com/company/baker-katz</t>
        </is>
      </c>
      <c r="Y262" s="12" t="inlineStr">
        <is>
          <t>https://bakerkatz.com/about-us/</t>
        </is>
      </c>
      <c r="Z262" s="12" t="inlineStr"/>
    </row>
    <row r="263">
      <c r="A263" s="6" t="inlineStr">
        <is>
          <t>Bob Sellingsloh</t>
        </is>
      </c>
      <c r="B263" s="6" t="inlineStr">
        <is>
          <t>Wulfe &amp; Co.</t>
        </is>
      </c>
      <c r="C263" s="6" t="inlineStr">
        <is>
          <t>President and Principal, Wulfe &amp; Co.</t>
        </is>
      </c>
      <c r="D263" s="7" t="inlineStr">
        <is>
          <t>Off deck, screened out</t>
        </is>
      </c>
      <c r="E263" s="8" t="n">
        <v>1</v>
      </c>
      <c r="F263" s="6" t="inlineStr">
        <is>
          <t>Buys walls</t>
        </is>
      </c>
      <c r="G263" s="6" t="inlineStr">
        <is>
          <t>Post Oak / Harris, Galveston</t>
        </is>
      </c>
      <c r="H263" s="6" t="inlineStr"/>
      <c r="I263" s="8" t="inlineStr">
        <is>
          <t>Partly</t>
        </is>
      </c>
      <c r="J263" s="9" t="inlineStr"/>
      <c r="K263" s="8" t="inlineStr">
        <is>
          <t>No</t>
        </is>
      </c>
      <c r="L263" s="9" t="inlineStr"/>
      <c r="M263" s="8" t="inlineStr">
        <is>
          <t>No</t>
        </is>
      </c>
      <c r="N263" s="9" t="inlineStr"/>
      <c r="O263" s="8" t="inlineStr">
        <is>
          <t>No</t>
        </is>
      </c>
      <c r="P263" s="10" t="inlineStr"/>
      <c r="Q263" s="6">
        <f>HYPERLINK("https://www.linkedin.com/search/results/people/?keywords=Bob%20Sellingsloh%20Wulfe%20%26%20Co.","search")</f>
        <v/>
      </c>
      <c r="R263" s="11">
        <f>IF(P263="","ADD LINKEDIN","ok")</f>
        <v/>
      </c>
      <c r="S263" s="6" t="inlineStr">
        <is>
          <t>https://www.wulfe.com/</t>
        </is>
      </c>
      <c r="T263" s="9" t="inlineStr">
        <is>
          <t>7.2M sf across nine centres. Current activity is leasing and management, not ground-up.</t>
        </is>
      </c>
      <c r="U263" s="6" t="inlineStr"/>
      <c r="V263" s="9" t="inlineStr">
        <is>
          <t>President and Principal, listed first under leadership. Ed Wulfe no longer appears on the leadership page.</t>
        </is>
      </c>
      <c r="W263" s="6" t="inlineStr">
        <is>
          <t>https://www.wulfe.com/people</t>
        </is>
      </c>
      <c r="X263" s="6" t="inlineStr">
        <is>
          <t>https://www.linkedin.com/company/wulfe</t>
        </is>
      </c>
      <c r="Y263" s="6" t="inlineStr">
        <is>
          <t>https://www.wulfe.com/people</t>
        </is>
      </c>
      <c r="Z263" s="6" t="inlineStr"/>
    </row>
    <row r="264">
      <c r="A264" s="12" t="inlineStr">
        <is>
          <t>Tammy Smith</t>
        </is>
      </c>
      <c r="B264" s="12" t="inlineStr">
        <is>
          <t>Wulfe &amp; Co.</t>
        </is>
      </c>
      <c r="C264" s="12" t="inlineStr">
        <is>
          <t>Director of Construction, Wulfe &amp; Co.</t>
        </is>
      </c>
      <c r="D264" s="13" t="inlineStr">
        <is>
          <t>Off deck, screened out</t>
        </is>
      </c>
      <c r="E264" s="14" t="n">
        <v>1</v>
      </c>
      <c r="F264" s="12" t="inlineStr">
        <is>
          <t>Buys walls</t>
        </is>
      </c>
      <c r="G264" s="12" t="inlineStr">
        <is>
          <t>Post Oak / Harris, Galveston</t>
        </is>
      </c>
      <c r="H264" s="12" t="inlineStr"/>
      <c r="I264" s="14" t="inlineStr">
        <is>
          <t>Partly</t>
        </is>
      </c>
      <c r="J264" s="15" t="inlineStr"/>
      <c r="K264" s="14" t="inlineStr">
        <is>
          <t>No</t>
        </is>
      </c>
      <c r="L264" s="15" t="inlineStr"/>
      <c r="M264" s="14" t="inlineStr">
        <is>
          <t>No</t>
        </is>
      </c>
      <c r="N264" s="15" t="inlineStr"/>
      <c r="O264" s="14" t="inlineStr">
        <is>
          <t>No</t>
        </is>
      </c>
      <c r="P264" s="10" t="inlineStr"/>
      <c r="Q264" s="12">
        <f>HYPERLINK("https://www.linkedin.com/search/results/people/?keywords=Tammy%20Smith%20Wulfe%20%26%20Co.","search")</f>
        <v/>
      </c>
      <c r="R264" s="16">
        <f>IF(P264="","ADD LINKEDIN","ok")</f>
        <v/>
      </c>
      <c r="S264" s="12" t="inlineStr">
        <is>
          <t>https://www.wulfe.com/</t>
        </is>
      </c>
      <c r="T264" s="15" t="inlineStr">
        <is>
          <t>7.2M sf across nine centres. Current activity is leasing and management, not ground-up.</t>
        </is>
      </c>
      <c r="U264" s="12" t="inlineStr">
        <is>
          <t>YES</t>
        </is>
      </c>
      <c r="V264" s="15" t="inlineStr">
        <is>
          <t>Director of Construction.</t>
        </is>
      </c>
      <c r="W264" s="12" t="inlineStr">
        <is>
          <t>https://www.wulfe.com/people</t>
        </is>
      </c>
      <c r="X264" s="12" t="inlineStr">
        <is>
          <t>https://www.linkedin.com/company/wulfe</t>
        </is>
      </c>
      <c r="Y264" s="12" t="inlineStr">
        <is>
          <t>https://www.wulfe.com/people</t>
        </is>
      </c>
      <c r="Z264" s="12" t="inlineStr"/>
    </row>
    <row r="266">
      <c r="A266" s="17" t="inlineStr">
        <is>
          <t>NOTE. A filled LinkedIn cell means the profile was opened or the search result read and the headline named the firm; column W records what was read. Where that test failed the cell is left empty rather than guessed, because a fabricated slug passes visual inspection and then fails in front of the person it names. Column Q searches for the empty ones in your own session. Each of the three counts reads Yes, Partly or No, with the reason in the column beside it. Yes and Partly both count as holding a count. A No does not. Holds counts how many of the three are Yes or Partly. Capital is a qualifier, not a count. Source: ICON Greater Houston screen, build 46, 2026-09-11.</t>
        </is>
      </c>
    </row>
  </sheetData>
  <autoFilter ref="A6:Z264"/>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13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38" customWidth="1" min="1" max="1"/>
    <col width="16"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s>
  <sheetData>
    <row r="1">
      <c r="A1" s="18" t="inlineStr">
        <is>
          <t>Single-family units authorised by building permit, Houston-Pasadena-The Woodlands, TX</t>
        </is>
      </c>
    </row>
    <row r="2">
      <c r="A2" s="17" t="inlineStr">
        <is>
          <t>Source: HUD SOCDS, republishing the Census Building Permits Survey. An authorisation is not a start, a completion or a closing. Census counts townhouses and row houses as single family. The jurisdictions sum to the counties and the counties sum to the metro exactly, in every year.</t>
        </is>
      </c>
    </row>
    <row r="4">
      <c r="A4" s="19" t="inlineStr">
        <is>
          <t>County</t>
        </is>
      </c>
      <c r="B4" s="19" t="n">
        <v>2000</v>
      </c>
      <c r="C4" s="19" t="n">
        <v>2001</v>
      </c>
      <c r="D4" s="19" t="n">
        <v>2002</v>
      </c>
      <c r="E4" s="19" t="n">
        <v>2003</v>
      </c>
      <c r="F4" s="19" t="n">
        <v>2004</v>
      </c>
      <c r="G4" s="19" t="n">
        <v>2005</v>
      </c>
      <c r="H4" s="19" t="n">
        <v>2006</v>
      </c>
      <c r="I4" s="19" t="n">
        <v>2007</v>
      </c>
      <c r="J4" s="19" t="n">
        <v>2008</v>
      </c>
      <c r="K4" s="19" t="n">
        <v>2009</v>
      </c>
      <c r="L4" s="19" t="n">
        <v>2010</v>
      </c>
      <c r="M4" s="19" t="n">
        <v>2011</v>
      </c>
      <c r="N4" s="19" t="n">
        <v>2012</v>
      </c>
      <c r="O4" s="19" t="n">
        <v>2013</v>
      </c>
      <c r="P4" s="19" t="n">
        <v>2014</v>
      </c>
      <c r="Q4" s="19" t="n">
        <v>2015</v>
      </c>
      <c r="R4" s="19" t="n">
        <v>2016</v>
      </c>
      <c r="S4" s="19" t="n">
        <v>2017</v>
      </c>
      <c r="T4" s="19" t="n">
        <v>2018</v>
      </c>
      <c r="U4" s="19" t="n">
        <v>2019</v>
      </c>
      <c r="V4" s="19" t="n">
        <v>2020</v>
      </c>
      <c r="W4" s="19" t="n">
        <v>2021</v>
      </c>
      <c r="X4" s="19" t="n">
        <v>2022</v>
      </c>
      <c r="Y4" s="19" t="n">
        <v>2023</v>
      </c>
      <c r="Z4" s="19" t="n">
        <v>2024</v>
      </c>
      <c r="AA4" s="19" t="n">
        <v>2025</v>
      </c>
    </row>
    <row r="5">
      <c r="A5" s="20" t="inlineStr">
        <is>
          <t>Harris</t>
        </is>
      </c>
      <c r="B5" s="20" t="n">
        <v>18244</v>
      </c>
      <c r="C5" s="20" t="n">
        <v>20122</v>
      </c>
      <c r="D5" s="20" t="n">
        <v>23052</v>
      </c>
      <c r="E5" s="20" t="n">
        <v>26450</v>
      </c>
      <c r="F5" s="20" t="n">
        <v>28020</v>
      </c>
      <c r="G5" s="20" t="n">
        <v>32465</v>
      </c>
      <c r="H5" s="20" t="n">
        <v>33023</v>
      </c>
      <c r="I5" s="20" t="n">
        <v>23985</v>
      </c>
      <c r="J5" s="20" t="n">
        <v>14823</v>
      </c>
      <c r="K5" s="20" t="n">
        <v>11591</v>
      </c>
      <c r="L5" s="20" t="n">
        <v>11057</v>
      </c>
      <c r="M5" s="20" t="n">
        <v>11107</v>
      </c>
      <c r="N5" s="20" t="n">
        <v>14550</v>
      </c>
      <c r="O5" s="20" t="n">
        <v>16986</v>
      </c>
      <c r="P5" s="20" t="n">
        <v>18533</v>
      </c>
      <c r="Q5" s="20" t="n">
        <v>16721</v>
      </c>
      <c r="R5" s="20" t="n">
        <v>15511</v>
      </c>
      <c r="S5" s="20" t="n">
        <v>16980</v>
      </c>
      <c r="T5" s="20" t="n">
        <v>17732</v>
      </c>
      <c r="U5" s="20" t="n">
        <v>17903</v>
      </c>
      <c r="V5" s="20" t="n">
        <v>20834</v>
      </c>
      <c r="W5" s="20" t="n">
        <v>21260</v>
      </c>
      <c r="X5" s="20" t="n">
        <v>18156</v>
      </c>
      <c r="Y5" s="20" t="n">
        <v>20324</v>
      </c>
      <c r="Z5" s="20" t="n">
        <v>20087</v>
      </c>
      <c r="AA5" s="20" t="n">
        <v>16940</v>
      </c>
    </row>
    <row r="6">
      <c r="A6" s="20" t="inlineStr">
        <is>
          <t>Montgomery</t>
        </is>
      </c>
      <c r="B6" s="20" t="n">
        <v>4067</v>
      </c>
      <c r="C6" s="20" t="n">
        <v>3997</v>
      </c>
      <c r="D6" s="20" t="n">
        <v>4497</v>
      </c>
      <c r="E6" s="20" t="n">
        <v>5581</v>
      </c>
      <c r="F6" s="20" t="n">
        <v>6023</v>
      </c>
      <c r="G6" s="20" t="n">
        <v>6586</v>
      </c>
      <c r="H6" s="20" t="n">
        <v>7417</v>
      </c>
      <c r="I6" s="20" t="n">
        <v>5074</v>
      </c>
      <c r="J6" s="20" t="n">
        <v>3583</v>
      </c>
      <c r="K6" s="20" t="n">
        <v>2773</v>
      </c>
      <c r="L6" s="20" t="n">
        <v>2723</v>
      </c>
      <c r="M6" s="20" t="n">
        <v>2795</v>
      </c>
      <c r="N6" s="20" t="n">
        <v>3364</v>
      </c>
      <c r="O6" s="20" t="n">
        <v>4976</v>
      </c>
      <c r="P6" s="20" t="n">
        <v>5511</v>
      </c>
      <c r="Q6" s="20" t="n">
        <v>4970</v>
      </c>
      <c r="R6" s="20" t="n">
        <v>4175</v>
      </c>
      <c r="S6" s="20" t="n">
        <v>5290</v>
      </c>
      <c r="T6" s="20" t="n">
        <v>6663</v>
      </c>
      <c r="U6" s="20" t="n">
        <v>6082</v>
      </c>
      <c r="V6" s="20" t="n">
        <v>8901</v>
      </c>
      <c r="W6" s="20" t="n">
        <v>12227</v>
      </c>
      <c r="X6" s="20" t="n">
        <v>11820</v>
      </c>
      <c r="Y6" s="20" t="n">
        <v>11259</v>
      </c>
      <c r="Z6" s="20" t="n">
        <v>11586</v>
      </c>
      <c r="AA6" s="20" t="n">
        <v>11597</v>
      </c>
    </row>
    <row r="7">
      <c r="A7" s="20" t="inlineStr">
        <is>
          <t>Fort Bend</t>
        </is>
      </c>
      <c r="B7" s="20" t="n">
        <v>1063</v>
      </c>
      <c r="C7" s="20" t="n">
        <v>936</v>
      </c>
      <c r="D7" s="20" t="n">
        <v>1130</v>
      </c>
      <c r="E7" s="20" t="n">
        <v>3476</v>
      </c>
      <c r="F7" s="20" t="n">
        <v>3858</v>
      </c>
      <c r="G7" s="20" t="n">
        <v>4097</v>
      </c>
      <c r="H7" s="20" t="n">
        <v>7910</v>
      </c>
      <c r="I7" s="20" t="n">
        <v>7046</v>
      </c>
      <c r="J7" s="20" t="n">
        <v>5689</v>
      </c>
      <c r="K7" s="20" t="n">
        <v>4845</v>
      </c>
      <c r="L7" s="20" t="n">
        <v>4724</v>
      </c>
      <c r="M7" s="20" t="n">
        <v>5110</v>
      </c>
      <c r="N7" s="20" t="n">
        <v>6517</v>
      </c>
      <c r="O7" s="20" t="n">
        <v>7913</v>
      </c>
      <c r="P7" s="20" t="n">
        <v>8465</v>
      </c>
      <c r="Q7" s="20" t="n">
        <v>9096</v>
      </c>
      <c r="R7" s="20" t="n">
        <v>9777</v>
      </c>
      <c r="S7" s="20" t="n">
        <v>7711</v>
      </c>
      <c r="T7" s="20" t="n">
        <v>8949</v>
      </c>
      <c r="U7" s="20" t="n">
        <v>8452</v>
      </c>
      <c r="V7" s="20" t="n">
        <v>11403</v>
      </c>
      <c r="W7" s="20" t="n">
        <v>9938</v>
      </c>
      <c r="X7" s="20" t="n">
        <v>8917</v>
      </c>
      <c r="Y7" s="20" t="n">
        <v>9953</v>
      </c>
      <c r="Z7" s="20" t="n">
        <v>11200</v>
      </c>
      <c r="AA7" s="20" t="n">
        <v>9760</v>
      </c>
    </row>
    <row r="8">
      <c r="A8" s="20" t="inlineStr">
        <is>
          <t>Brazoria</t>
        </is>
      </c>
      <c r="B8" s="20" t="n">
        <v>1903</v>
      </c>
      <c r="C8" s="20" t="n">
        <v>2405</v>
      </c>
      <c r="D8" s="20" t="n">
        <v>2738</v>
      </c>
      <c r="E8" s="20" t="n">
        <v>3025</v>
      </c>
      <c r="F8" s="20" t="n">
        <v>3288</v>
      </c>
      <c r="G8" s="20" t="n">
        <v>3989</v>
      </c>
      <c r="H8" s="20" t="n">
        <v>3287</v>
      </c>
      <c r="I8" s="20" t="n">
        <v>2703</v>
      </c>
      <c r="J8" s="20" t="n">
        <v>1977</v>
      </c>
      <c r="K8" s="20" t="n">
        <v>1496</v>
      </c>
      <c r="L8" s="20" t="n">
        <v>1647</v>
      </c>
      <c r="M8" s="20" t="n">
        <v>1562</v>
      </c>
      <c r="N8" s="20" t="n">
        <v>1922</v>
      </c>
      <c r="O8" s="20" t="n">
        <v>1965</v>
      </c>
      <c r="P8" s="20" t="n">
        <v>2466</v>
      </c>
      <c r="Q8" s="20" t="n">
        <v>2975</v>
      </c>
      <c r="R8" s="20" t="n">
        <v>2909</v>
      </c>
      <c r="S8" s="20" t="n">
        <v>3132</v>
      </c>
      <c r="T8" s="20" t="n">
        <v>3365</v>
      </c>
      <c r="U8" s="20" t="n">
        <v>3207</v>
      </c>
      <c r="V8" s="20" t="n">
        <v>3895</v>
      </c>
      <c r="W8" s="20" t="n">
        <v>4455</v>
      </c>
      <c r="X8" s="20" t="n">
        <v>4174</v>
      </c>
      <c r="Y8" s="20" t="n">
        <v>3750</v>
      </c>
      <c r="Z8" s="20" t="n">
        <v>3363</v>
      </c>
      <c r="AA8" s="20" t="n">
        <v>2789</v>
      </c>
    </row>
    <row r="9">
      <c r="A9" s="20" t="inlineStr">
        <is>
          <t>Galveston</t>
        </is>
      </c>
      <c r="B9" s="20" t="n">
        <v>2235</v>
      </c>
      <c r="C9" s="20" t="n">
        <v>2441</v>
      </c>
      <c r="D9" s="20" t="n">
        <v>2687</v>
      </c>
      <c r="E9" s="20" t="n">
        <v>2733</v>
      </c>
      <c r="F9" s="20" t="n">
        <v>2995</v>
      </c>
      <c r="G9" s="20" t="n">
        <v>3148</v>
      </c>
      <c r="H9" s="20" t="n">
        <v>2732</v>
      </c>
      <c r="I9" s="20" t="n">
        <v>2587</v>
      </c>
      <c r="J9" s="20" t="n">
        <v>1517</v>
      </c>
      <c r="K9" s="20" t="n">
        <v>1140</v>
      </c>
      <c r="L9" s="20" t="n">
        <v>1731</v>
      </c>
      <c r="M9" s="20" t="n">
        <v>1823</v>
      </c>
      <c r="N9" s="20" t="n">
        <v>1784</v>
      </c>
      <c r="O9" s="20" t="n">
        <v>2176</v>
      </c>
      <c r="P9" s="20" t="n">
        <v>2638</v>
      </c>
      <c r="Q9" s="20" t="n">
        <v>2372</v>
      </c>
      <c r="R9" s="20" t="n">
        <v>2209</v>
      </c>
      <c r="S9" s="20" t="n">
        <v>2095</v>
      </c>
      <c r="T9" s="20" t="n">
        <v>2201</v>
      </c>
      <c r="U9" s="20" t="n">
        <v>2197</v>
      </c>
      <c r="V9" s="20" t="n">
        <v>2926</v>
      </c>
      <c r="W9" s="20" t="n">
        <v>2474</v>
      </c>
      <c r="X9" s="20" t="n">
        <v>2065</v>
      </c>
      <c r="Y9" s="20" t="n">
        <v>2667</v>
      </c>
      <c r="Z9" s="20" t="n">
        <v>3148</v>
      </c>
      <c r="AA9" s="20" t="n">
        <v>2521</v>
      </c>
    </row>
    <row r="10">
      <c r="A10" s="20" t="inlineStr">
        <is>
          <t>Liberty</t>
        </is>
      </c>
      <c r="B10" s="20" t="n">
        <v>213</v>
      </c>
      <c r="C10" s="20" t="n">
        <v>212</v>
      </c>
      <c r="D10" s="20" t="n">
        <v>235</v>
      </c>
      <c r="E10" s="20" t="n">
        <v>258</v>
      </c>
      <c r="F10" s="20" t="n">
        <v>263</v>
      </c>
      <c r="G10" s="20" t="n">
        <v>287</v>
      </c>
      <c r="H10" s="20" t="n">
        <v>293</v>
      </c>
      <c r="I10" s="20" t="n">
        <v>251</v>
      </c>
      <c r="J10" s="20" t="n">
        <v>240</v>
      </c>
      <c r="K10" s="20" t="n">
        <v>231</v>
      </c>
      <c r="L10" s="20" t="n">
        <v>193</v>
      </c>
      <c r="M10" s="20" t="n">
        <v>252</v>
      </c>
      <c r="N10" s="20" t="n">
        <v>165</v>
      </c>
      <c r="O10" s="20" t="n">
        <v>175</v>
      </c>
      <c r="P10" s="20" t="n">
        <v>300</v>
      </c>
      <c r="Q10" s="20" t="n">
        <v>306</v>
      </c>
      <c r="R10" s="20" t="n">
        <v>456</v>
      </c>
      <c r="S10" s="20" t="n">
        <v>544</v>
      </c>
      <c r="T10" s="20" t="n">
        <v>722</v>
      </c>
      <c r="U10" s="20" t="n">
        <v>823</v>
      </c>
      <c r="V10" s="20" t="n">
        <v>964</v>
      </c>
      <c r="W10" s="20" t="n">
        <v>1234</v>
      </c>
      <c r="X10" s="20" t="n">
        <v>1558</v>
      </c>
      <c r="Y10" s="20" t="n">
        <v>1295</v>
      </c>
      <c r="Z10" s="20" t="n">
        <v>1319</v>
      </c>
      <c r="AA10" s="20" t="n">
        <v>1010</v>
      </c>
    </row>
    <row r="11">
      <c r="A11" s="20" t="inlineStr">
        <is>
          <t>Chambers</t>
        </is>
      </c>
      <c r="B11" s="20" t="n">
        <v>309</v>
      </c>
      <c r="C11" s="20" t="n">
        <v>326</v>
      </c>
      <c r="D11" s="20" t="n">
        <v>270</v>
      </c>
      <c r="E11" s="20" t="n">
        <v>417</v>
      </c>
      <c r="F11" s="20" t="n">
        <v>571</v>
      </c>
      <c r="G11" s="20" t="n">
        <v>517</v>
      </c>
      <c r="H11" s="20" t="n">
        <v>368</v>
      </c>
      <c r="I11" s="20" t="n">
        <v>457</v>
      </c>
      <c r="J11" s="20" t="n">
        <v>316</v>
      </c>
      <c r="K11" s="20" t="n">
        <v>257</v>
      </c>
      <c r="L11" s="20" t="n">
        <v>226</v>
      </c>
      <c r="M11" s="20" t="n">
        <v>216</v>
      </c>
      <c r="N11" s="20" t="n">
        <v>293</v>
      </c>
      <c r="O11" s="20" t="n">
        <v>318</v>
      </c>
      <c r="P11" s="20" t="n">
        <v>377</v>
      </c>
      <c r="Q11" s="20" t="n">
        <v>317</v>
      </c>
      <c r="R11" s="20" t="n">
        <v>295</v>
      </c>
      <c r="S11" s="20" t="n">
        <v>526</v>
      </c>
      <c r="T11" s="20" t="n">
        <v>593</v>
      </c>
      <c r="U11" s="20" t="n">
        <v>792</v>
      </c>
      <c r="V11" s="20" t="n">
        <v>932</v>
      </c>
      <c r="W11" s="20" t="n">
        <v>1052</v>
      </c>
      <c r="X11" s="20" t="n">
        <v>745</v>
      </c>
      <c r="Y11" s="20" t="n">
        <v>582</v>
      </c>
      <c r="Z11" s="20" t="n">
        <v>642</v>
      </c>
      <c r="AA11" s="20" t="n">
        <v>562</v>
      </c>
    </row>
    <row r="12">
      <c r="A12" s="20" t="inlineStr">
        <is>
          <t>San Jacinto</t>
        </is>
      </c>
      <c r="B12" s="20" t="n">
        <v>11</v>
      </c>
      <c r="C12" s="20" t="n">
        <v>6</v>
      </c>
      <c r="D12" s="20" t="n">
        <v>0</v>
      </c>
      <c r="E12" s="20" t="n">
        <v>13</v>
      </c>
      <c r="F12" s="20" t="n">
        <v>11</v>
      </c>
      <c r="G12" s="20" t="n">
        <v>3</v>
      </c>
      <c r="H12" s="20" t="n">
        <v>3</v>
      </c>
      <c r="I12" s="20" t="n">
        <v>0</v>
      </c>
      <c r="J12" s="20" t="n">
        <v>4</v>
      </c>
      <c r="K12" s="20" t="n">
        <v>0</v>
      </c>
      <c r="L12" s="20" t="n">
        <v>2</v>
      </c>
      <c r="M12" s="20" t="n">
        <v>2</v>
      </c>
      <c r="N12" s="20" t="n">
        <v>7</v>
      </c>
      <c r="O12" s="20" t="n">
        <v>5</v>
      </c>
      <c r="P12" s="20" t="n">
        <v>2</v>
      </c>
      <c r="Q12" s="20" t="n">
        <v>177</v>
      </c>
      <c r="R12" s="20" t="n">
        <v>265</v>
      </c>
      <c r="S12" s="20" t="n">
        <v>368</v>
      </c>
      <c r="T12" s="20" t="n">
        <v>376</v>
      </c>
      <c r="U12" s="20" t="n">
        <v>394</v>
      </c>
      <c r="V12" s="20" t="n">
        <v>457</v>
      </c>
      <c r="W12" s="20" t="n">
        <v>575</v>
      </c>
      <c r="X12" s="20" t="n">
        <v>586</v>
      </c>
      <c r="Y12" s="20" t="n">
        <v>548</v>
      </c>
      <c r="Z12" s="20" t="n">
        <v>578</v>
      </c>
      <c r="AA12" s="20" t="n">
        <v>519</v>
      </c>
    </row>
    <row r="13">
      <c r="A13" s="20" t="inlineStr">
        <is>
          <t>Waller</t>
        </is>
      </c>
      <c r="B13" s="20" t="n">
        <v>21</v>
      </c>
      <c r="C13" s="20" t="n">
        <v>17</v>
      </c>
      <c r="D13" s="20" t="n">
        <v>31</v>
      </c>
      <c r="E13" s="20" t="n">
        <v>55</v>
      </c>
      <c r="F13" s="20" t="n">
        <v>46</v>
      </c>
      <c r="G13" s="20" t="n">
        <v>67</v>
      </c>
      <c r="H13" s="20" t="n">
        <v>90</v>
      </c>
      <c r="I13" s="20" t="n">
        <v>60</v>
      </c>
      <c r="J13" s="20" t="n">
        <v>7</v>
      </c>
      <c r="K13" s="20" t="n">
        <v>6</v>
      </c>
      <c r="L13" s="20" t="n">
        <v>9</v>
      </c>
      <c r="M13" s="20" t="n">
        <v>5</v>
      </c>
      <c r="N13" s="20" t="n">
        <v>8</v>
      </c>
      <c r="O13" s="20" t="n">
        <v>4</v>
      </c>
      <c r="P13" s="20" t="n">
        <v>5</v>
      </c>
      <c r="Q13" s="20" t="n">
        <v>10</v>
      </c>
      <c r="R13" s="20" t="n">
        <v>13</v>
      </c>
      <c r="S13" s="20" t="n">
        <v>36</v>
      </c>
      <c r="T13" s="20" t="n">
        <v>75</v>
      </c>
      <c r="U13" s="20" t="n">
        <v>24</v>
      </c>
      <c r="V13" s="20" t="n">
        <v>31</v>
      </c>
      <c r="W13" s="20" t="n">
        <v>57</v>
      </c>
      <c r="X13" s="20" t="n">
        <v>90</v>
      </c>
      <c r="Y13" s="20" t="n">
        <v>247</v>
      </c>
      <c r="Z13" s="20" t="n">
        <v>368</v>
      </c>
      <c r="AA13" s="20" t="n">
        <v>339</v>
      </c>
    </row>
    <row r="14">
      <c r="A14" s="20" t="inlineStr">
        <is>
          <t>Austin</t>
        </is>
      </c>
      <c r="B14" s="20" t="n">
        <v>114</v>
      </c>
      <c r="C14" s="20" t="n">
        <v>34</v>
      </c>
      <c r="D14" s="20" t="n">
        <v>45</v>
      </c>
      <c r="E14" s="20" t="n">
        <v>45</v>
      </c>
      <c r="F14" s="20" t="n">
        <v>28</v>
      </c>
      <c r="G14" s="20" t="n">
        <v>46</v>
      </c>
      <c r="H14" s="20" t="n">
        <v>39</v>
      </c>
      <c r="I14" s="20" t="n">
        <v>54</v>
      </c>
      <c r="J14" s="20" t="n">
        <v>36</v>
      </c>
      <c r="K14" s="20" t="n">
        <v>30</v>
      </c>
      <c r="L14" s="20" t="n">
        <v>18</v>
      </c>
      <c r="M14" s="20" t="n">
        <v>17</v>
      </c>
      <c r="N14" s="20" t="n">
        <v>21</v>
      </c>
      <c r="O14" s="20" t="n">
        <v>30</v>
      </c>
      <c r="P14" s="20" t="n">
        <v>24</v>
      </c>
      <c r="Q14" s="20" t="n">
        <v>19</v>
      </c>
      <c r="R14" s="20" t="n">
        <v>22</v>
      </c>
      <c r="S14" s="20" t="n">
        <v>34</v>
      </c>
      <c r="T14" s="20" t="n">
        <v>211</v>
      </c>
      <c r="U14" s="20" t="n">
        <v>27</v>
      </c>
      <c r="V14" s="20" t="n">
        <v>289</v>
      </c>
      <c r="W14" s="20" t="n">
        <v>43</v>
      </c>
      <c r="X14" s="20" t="n">
        <v>374</v>
      </c>
      <c r="Y14" s="20" t="n">
        <v>367</v>
      </c>
      <c r="Z14" s="20" t="n">
        <v>412</v>
      </c>
      <c r="AA14" s="20" t="n">
        <v>304</v>
      </c>
    </row>
    <row r="15">
      <c r="A15" s="21" t="inlineStr">
        <is>
          <t>Metro total</t>
        </is>
      </c>
      <c r="B15" s="21" t="n">
        <v>28180</v>
      </c>
      <c r="C15" s="21" t="n">
        <v>30496</v>
      </c>
      <c r="D15" s="21" t="n">
        <v>34685</v>
      </c>
      <c r="E15" s="21" t="n">
        <v>42053</v>
      </c>
      <c r="F15" s="21" t="n">
        <v>45103</v>
      </c>
      <c r="G15" s="21" t="n">
        <v>51205</v>
      </c>
      <c r="H15" s="21" t="n">
        <v>55162</v>
      </c>
      <c r="I15" s="21" t="n">
        <v>42217</v>
      </c>
      <c r="J15" s="21" t="n">
        <v>28192</v>
      </c>
      <c r="K15" s="21" t="n">
        <v>22369</v>
      </c>
      <c r="L15" s="21" t="n">
        <v>22330</v>
      </c>
      <c r="M15" s="21" t="n">
        <v>22889</v>
      </c>
      <c r="N15" s="21" t="n">
        <v>28631</v>
      </c>
      <c r="O15" s="21" t="n">
        <v>34548</v>
      </c>
      <c r="P15" s="21" t="n">
        <v>38321</v>
      </c>
      <c r="Q15" s="21" t="n">
        <v>36963</v>
      </c>
      <c r="R15" s="21" t="n">
        <v>35632</v>
      </c>
      <c r="S15" s="21" t="n">
        <v>36716</v>
      </c>
      <c r="T15" s="21" t="n">
        <v>40887</v>
      </c>
      <c r="U15" s="21" t="n">
        <v>39901</v>
      </c>
      <c r="V15" s="21" t="n">
        <v>50632</v>
      </c>
      <c r="W15" s="21" t="n">
        <v>53315</v>
      </c>
      <c r="X15" s="21" t="n">
        <v>48485</v>
      </c>
      <c r="Y15" s="21" t="n">
        <v>50992</v>
      </c>
      <c r="Z15" s="21" t="n">
        <v>52703</v>
      </c>
      <c r="AA15" s="21" t="n">
        <v>46341</v>
      </c>
    </row>
    <row r="18">
      <c r="A18" s="19" t="inlineStr">
        <is>
          <t>Permit-issuing jurisdiction</t>
        </is>
      </c>
      <c r="B18" s="19" t="inlineStr">
        <is>
          <t>County</t>
        </is>
      </c>
      <c r="C18" s="19" t="n">
        <v>2020</v>
      </c>
      <c r="D18" s="19" t="n">
        <v>2021</v>
      </c>
      <c r="E18" s="19" t="n">
        <v>2022</v>
      </c>
      <c r="F18" s="19" t="n">
        <v>2023</v>
      </c>
      <c r="G18" s="19" t="n">
        <v>2024</v>
      </c>
      <c r="H18" s="19" t="n">
        <v>2025</v>
      </c>
    </row>
    <row r="19">
      <c r="A19" s="20" t="inlineStr">
        <is>
          <t>Harris County Unincorporated Area</t>
        </is>
      </c>
      <c r="B19" s="22" t="inlineStr">
        <is>
          <t>Harris</t>
        </is>
      </c>
      <c r="C19" s="20" t="n">
        <v>13017</v>
      </c>
      <c r="D19" s="20" t="n">
        <v>12023</v>
      </c>
      <c r="E19" s="20" t="n">
        <v>9645</v>
      </c>
      <c r="F19" s="20" t="n">
        <v>12252</v>
      </c>
      <c r="G19" s="20" t="n">
        <v>12151</v>
      </c>
      <c r="H19" s="20" t="n">
        <v>11014</v>
      </c>
    </row>
    <row r="20">
      <c r="A20" s="20" t="inlineStr">
        <is>
          <t>Montgomery County Unincorporated Area</t>
        </is>
      </c>
      <c r="B20" s="22" t="inlineStr">
        <is>
          <t>Montgomery</t>
        </is>
      </c>
      <c r="C20" s="20" t="n">
        <v>6940</v>
      </c>
      <c r="D20" s="20" t="n">
        <v>9027</v>
      </c>
      <c r="E20" s="20" t="n">
        <v>9131</v>
      </c>
      <c r="F20" s="20" t="n">
        <v>8880</v>
      </c>
      <c r="G20" s="20" t="n">
        <v>8895</v>
      </c>
      <c r="H20" s="20" t="n">
        <v>9056</v>
      </c>
    </row>
    <row r="21">
      <c r="A21" s="20" t="inlineStr">
        <is>
          <t>Fort Bend County Unincorporated Area</t>
        </is>
      </c>
      <c r="B21" s="22" t="inlineStr">
        <is>
          <t>Fort Bend</t>
        </is>
      </c>
      <c r="C21" s="20" t="n">
        <v>7892</v>
      </c>
      <c r="D21" s="20" t="n">
        <v>5351</v>
      </c>
      <c r="E21" s="20" t="n">
        <v>4741</v>
      </c>
      <c r="F21" s="20" t="n">
        <v>5014</v>
      </c>
      <c r="G21" s="20" t="n">
        <v>6547</v>
      </c>
      <c r="H21" s="20" t="n">
        <v>5673</v>
      </c>
    </row>
    <row r="22">
      <c r="A22" s="20" t="inlineStr">
        <is>
          <t>Houston</t>
        </is>
      </c>
      <c r="B22" s="22" t="inlineStr">
        <is>
          <t>Harris</t>
        </is>
      </c>
      <c r="C22" s="20" t="n">
        <v>5923</v>
      </c>
      <c r="D22" s="20" t="n">
        <v>7146</v>
      </c>
      <c r="E22" s="20" t="n">
        <v>6800</v>
      </c>
      <c r="F22" s="20" t="n">
        <v>6609</v>
      </c>
      <c r="G22" s="20" t="n">
        <v>6808</v>
      </c>
      <c r="H22" s="20" t="n">
        <v>4774</v>
      </c>
    </row>
    <row r="23">
      <c r="A23" s="20" t="inlineStr">
        <is>
          <t>Fulshear</t>
        </is>
      </c>
      <c r="B23" s="22" t="inlineStr">
        <is>
          <t>Fort Bend</t>
        </is>
      </c>
      <c r="C23" s="20" t="n">
        <v>2345</v>
      </c>
      <c r="D23" s="20" t="n">
        <v>3008</v>
      </c>
      <c r="E23" s="20" t="n">
        <v>3001</v>
      </c>
      <c r="F23" s="20" t="n">
        <v>3854</v>
      </c>
      <c r="G23" s="20" t="n">
        <v>3970</v>
      </c>
      <c r="H23" s="20" t="n">
        <v>3264</v>
      </c>
    </row>
    <row r="24">
      <c r="A24" s="20" t="inlineStr">
        <is>
          <t>Conroe</t>
        </is>
      </c>
      <c r="B24" s="22" t="inlineStr">
        <is>
          <t>Montgomery</t>
        </is>
      </c>
      <c r="C24" s="20" t="n">
        <v>1545</v>
      </c>
      <c r="D24" s="20" t="n">
        <v>2574</v>
      </c>
      <c r="E24" s="20" t="n">
        <v>1865</v>
      </c>
      <c r="F24" s="20" t="n">
        <v>1814</v>
      </c>
      <c r="G24" s="20" t="n">
        <v>2069</v>
      </c>
      <c r="H24" s="20" t="n">
        <v>1839</v>
      </c>
    </row>
    <row r="25">
      <c r="A25" s="20" t="inlineStr">
        <is>
          <t>Liberty County Unincorporated Area</t>
        </is>
      </c>
      <c r="B25" s="22" t="inlineStr">
        <is>
          <t>Liberty</t>
        </is>
      </c>
      <c r="C25" s="20" t="n">
        <v>776</v>
      </c>
      <c r="D25" s="20" t="n">
        <v>972</v>
      </c>
      <c r="E25" s="20" t="n">
        <v>1261</v>
      </c>
      <c r="F25" s="20" t="n">
        <v>992</v>
      </c>
      <c r="G25" s="20" t="n">
        <v>1128</v>
      </c>
      <c r="H25" s="20" t="n">
        <v>882</v>
      </c>
    </row>
    <row r="26">
      <c r="A26" s="20" t="inlineStr">
        <is>
          <t>League City</t>
        </is>
      </c>
      <c r="B26" s="22" t="inlineStr">
        <is>
          <t>Galveston</t>
        </is>
      </c>
      <c r="C26" s="20" t="n">
        <v>847</v>
      </c>
      <c r="D26" s="20" t="n">
        <v>388</v>
      </c>
      <c r="E26" s="20" t="n">
        <v>427</v>
      </c>
      <c r="F26" s="20" t="n">
        <v>842</v>
      </c>
      <c r="G26" s="20" t="n">
        <v>928</v>
      </c>
      <c r="H26" s="20" t="n">
        <v>816</v>
      </c>
    </row>
    <row r="27">
      <c r="A27" s="20" t="inlineStr">
        <is>
          <t>Brazoria County Unincorporated Area</t>
        </is>
      </c>
      <c r="B27" s="22" t="inlineStr">
        <is>
          <t>Brazoria</t>
        </is>
      </c>
      <c r="C27" s="20" t="n">
        <v>1217</v>
      </c>
      <c r="D27" s="20" t="n">
        <v>1361</v>
      </c>
      <c r="E27" s="20" t="n">
        <v>1644</v>
      </c>
      <c r="F27" s="20" t="n">
        <v>1280</v>
      </c>
      <c r="G27" s="20" t="n">
        <v>1167</v>
      </c>
      <c r="H27" s="20" t="n">
        <v>815</v>
      </c>
    </row>
    <row r="28">
      <c r="A28" s="20" t="inlineStr">
        <is>
          <t>Manvel</t>
        </is>
      </c>
      <c r="B28" s="22" t="inlineStr">
        <is>
          <t>Brazoria</t>
        </is>
      </c>
      <c r="C28" s="20" t="n">
        <v>774</v>
      </c>
      <c r="D28" s="20" t="n">
        <v>931</v>
      </c>
      <c r="E28" s="20" t="n">
        <v>891</v>
      </c>
      <c r="F28" s="20" t="n">
        <v>686</v>
      </c>
      <c r="G28" s="20" t="n">
        <v>630</v>
      </c>
      <c r="H28" s="20" t="n">
        <v>745</v>
      </c>
    </row>
    <row r="29">
      <c r="A29" s="20" t="inlineStr">
        <is>
          <t>Iowa Colony Village</t>
        </is>
      </c>
      <c r="B29" s="22" t="inlineStr">
        <is>
          <t>Brazoria</t>
        </is>
      </c>
      <c r="C29" s="20" t="n">
        <v>796</v>
      </c>
      <c r="D29" s="20" t="n">
        <v>759</v>
      </c>
      <c r="E29" s="20" t="n">
        <v>627</v>
      </c>
      <c r="F29" s="20" t="n">
        <v>780</v>
      </c>
      <c r="G29" s="20" t="n">
        <v>883</v>
      </c>
      <c r="H29" s="20" t="n">
        <v>743</v>
      </c>
    </row>
    <row r="30">
      <c r="A30" s="20" t="inlineStr">
        <is>
          <t>Texas City</t>
        </is>
      </c>
      <c r="B30" s="22" t="inlineStr">
        <is>
          <t>Galveston</t>
        </is>
      </c>
      <c r="C30" s="20" t="n">
        <v>778</v>
      </c>
      <c r="D30" s="20" t="n">
        <v>829</v>
      </c>
      <c r="E30" s="20" t="n">
        <v>481</v>
      </c>
      <c r="F30" s="20" t="n">
        <v>596</v>
      </c>
      <c r="G30" s="20" t="n">
        <v>974</v>
      </c>
      <c r="H30" s="20" t="n">
        <v>640</v>
      </c>
    </row>
    <row r="31">
      <c r="A31" s="20" t="inlineStr">
        <is>
          <t>San Jacinto County Unincorporated Area</t>
        </is>
      </c>
      <c r="B31" s="22" t="inlineStr">
        <is>
          <t>San Jacinto</t>
        </is>
      </c>
      <c r="C31" s="20" t="n">
        <v>457</v>
      </c>
      <c r="D31" s="20" t="n">
        <v>573</v>
      </c>
      <c r="E31" s="20" t="n">
        <v>578</v>
      </c>
      <c r="F31" s="20" t="n">
        <v>543</v>
      </c>
      <c r="G31" s="20" t="n">
        <v>569</v>
      </c>
      <c r="H31" s="20" t="n">
        <v>511</v>
      </c>
    </row>
    <row r="32">
      <c r="A32" s="20" t="inlineStr">
        <is>
          <t>Rosenberg</t>
        </is>
      </c>
      <c r="B32" s="22" t="inlineStr">
        <is>
          <t>Fort Bend</t>
        </is>
      </c>
      <c r="C32" s="20" t="n">
        <v>355</v>
      </c>
      <c r="D32" s="20" t="n">
        <v>511</v>
      </c>
      <c r="E32" s="20" t="n">
        <v>346</v>
      </c>
      <c r="F32" s="20" t="n">
        <v>385</v>
      </c>
      <c r="G32" s="20" t="n">
        <v>311</v>
      </c>
      <c r="H32" s="20" t="n">
        <v>419</v>
      </c>
    </row>
    <row r="33">
      <c r="A33" s="20" t="inlineStr">
        <is>
          <t>Chambers County Unincorporated Area</t>
        </is>
      </c>
      <c r="B33" s="22" t="inlineStr">
        <is>
          <t>Chambers</t>
        </is>
      </c>
      <c r="C33" s="20" t="n">
        <v>665</v>
      </c>
      <c r="D33" s="20" t="n">
        <v>793</v>
      </c>
      <c r="E33" s="20" t="n">
        <v>481</v>
      </c>
      <c r="F33" s="20" t="n">
        <v>382</v>
      </c>
      <c r="G33" s="20" t="n">
        <v>414</v>
      </c>
      <c r="H33" s="20" t="n">
        <v>379</v>
      </c>
    </row>
    <row r="34">
      <c r="A34" s="20" t="inlineStr">
        <is>
          <t>Tomball</t>
        </is>
      </c>
      <c r="B34" s="22" t="inlineStr">
        <is>
          <t>Harris</t>
        </is>
      </c>
      <c r="C34" s="20" t="n">
        <v>350</v>
      </c>
      <c r="D34" s="20" t="n">
        <v>448</v>
      </c>
      <c r="E34" s="20" t="n">
        <v>339</v>
      </c>
      <c r="F34" s="20" t="n">
        <v>332</v>
      </c>
      <c r="G34" s="20" t="n">
        <v>345</v>
      </c>
      <c r="H34" s="20" t="n">
        <v>309</v>
      </c>
    </row>
    <row r="35">
      <c r="A35" s="20" t="inlineStr">
        <is>
          <t>Alvin</t>
        </is>
      </c>
      <c r="B35" s="22" t="inlineStr">
        <is>
          <t>Brazoria</t>
        </is>
      </c>
      <c r="C35" s="20" t="n">
        <v>283</v>
      </c>
      <c r="D35" s="20" t="n">
        <v>345</v>
      </c>
      <c r="E35" s="20" t="n">
        <v>183</v>
      </c>
      <c r="F35" s="20" t="n">
        <v>382</v>
      </c>
      <c r="G35" s="20" t="n">
        <v>282</v>
      </c>
      <c r="H35" s="20" t="n">
        <v>285</v>
      </c>
    </row>
    <row r="36">
      <c r="A36" s="20" t="inlineStr">
        <is>
          <t>Waller</t>
        </is>
      </c>
      <c r="B36" s="22" t="inlineStr">
        <is>
          <t>Waller</t>
        </is>
      </c>
      <c r="C36" s="20" t="n">
        <v>4</v>
      </c>
      <c r="D36" s="20" t="n">
        <v>23</v>
      </c>
      <c r="E36" s="20" t="n">
        <v>64</v>
      </c>
      <c r="F36" s="20" t="n">
        <v>170</v>
      </c>
      <c r="G36" s="20" t="n">
        <v>304</v>
      </c>
      <c r="H36" s="20" t="n">
        <v>284</v>
      </c>
    </row>
    <row r="37">
      <c r="A37" s="20" t="inlineStr">
        <is>
          <t>Magnolia Town</t>
        </is>
      </c>
      <c r="B37" s="22" t="inlineStr">
        <is>
          <t>Montgomery</t>
        </is>
      </c>
      <c r="C37" s="20" t="n">
        <v>103</v>
      </c>
      <c r="D37" s="20" t="n">
        <v>272</v>
      </c>
      <c r="E37" s="20" t="n">
        <v>493</v>
      </c>
      <c r="F37" s="20" t="n">
        <v>374</v>
      </c>
      <c r="G37" s="20" t="n">
        <v>304</v>
      </c>
      <c r="H37" s="20" t="n">
        <v>275</v>
      </c>
    </row>
    <row r="38">
      <c r="A38" s="20" t="inlineStr">
        <is>
          <t>Montgomery</t>
        </is>
      </c>
      <c r="B38" s="22" t="inlineStr">
        <is>
          <t>Montgomery</t>
        </is>
      </c>
      <c r="C38" s="20" t="n">
        <v>94</v>
      </c>
      <c r="D38" s="20" t="n">
        <v>76</v>
      </c>
      <c r="E38" s="20" t="n">
        <v>98</v>
      </c>
      <c r="F38" s="20" t="n">
        <v>45</v>
      </c>
      <c r="G38" s="20" t="n">
        <v>117</v>
      </c>
      <c r="H38" s="20" t="n">
        <v>270</v>
      </c>
    </row>
    <row r="39">
      <c r="A39" s="20" t="inlineStr">
        <is>
          <t>Santa Fe</t>
        </is>
      </c>
      <c r="B39" s="22" t="inlineStr">
        <is>
          <t>Galveston</t>
        </is>
      </c>
      <c r="C39" s="20" t="n">
        <v>62</v>
      </c>
      <c r="D39" s="20" t="n">
        <v>70</v>
      </c>
      <c r="E39" s="20" t="n">
        <v>63</v>
      </c>
      <c r="F39" s="20" t="n">
        <v>58</v>
      </c>
      <c r="G39" s="20" t="n">
        <v>364</v>
      </c>
      <c r="H39" s="20" t="n">
        <v>261</v>
      </c>
    </row>
    <row r="40">
      <c r="A40" s="20" t="inlineStr">
        <is>
          <t>Galveston</t>
        </is>
      </c>
      <c r="B40" s="22" t="inlineStr">
        <is>
          <t>Galveston</t>
        </is>
      </c>
      <c r="C40" s="20" t="n">
        <v>237</v>
      </c>
      <c r="D40" s="20" t="n">
        <v>251</v>
      </c>
      <c r="E40" s="20" t="n">
        <v>215</v>
      </c>
      <c r="F40" s="20" t="n">
        <v>289</v>
      </c>
      <c r="G40" s="20" t="n">
        <v>279</v>
      </c>
      <c r="H40" s="20" t="n">
        <v>254</v>
      </c>
    </row>
    <row r="41">
      <c r="A41" s="20" t="inlineStr">
        <is>
          <t>Baytown</t>
        </is>
      </c>
      <c r="B41" s="22" t="inlineStr">
        <is>
          <t>Harris</t>
        </is>
      </c>
      <c r="C41" s="20" t="n">
        <v>283</v>
      </c>
      <c r="D41" s="20" t="n">
        <v>309</v>
      </c>
      <c r="E41" s="20" t="n">
        <v>154</v>
      </c>
      <c r="F41" s="20" t="n">
        <v>140</v>
      </c>
      <c r="G41" s="20" t="n">
        <v>142</v>
      </c>
      <c r="H41" s="20" t="n">
        <v>229</v>
      </c>
    </row>
    <row r="42">
      <c r="A42" s="20" t="inlineStr">
        <is>
          <t>Austin County Unincorporated Area</t>
        </is>
      </c>
      <c r="B42" s="22" t="inlineStr">
        <is>
          <t>Austin</t>
        </is>
      </c>
      <c r="C42" s="20" t="n">
        <v>260</v>
      </c>
      <c r="D42" s="20" t="n">
        <v>21</v>
      </c>
      <c r="E42" s="20" t="n">
        <v>196</v>
      </c>
      <c r="F42" s="20" t="n">
        <v>196</v>
      </c>
      <c r="G42" s="20" t="n">
        <v>210</v>
      </c>
      <c r="H42" s="20" t="n">
        <v>189</v>
      </c>
    </row>
    <row r="43">
      <c r="A43" s="20" t="inlineStr">
        <is>
          <t>Galveston County Unincorporated Area</t>
        </is>
      </c>
      <c r="B43" s="22" t="inlineStr">
        <is>
          <t>Galveston</t>
        </is>
      </c>
      <c r="C43" s="20" t="n">
        <v>318</v>
      </c>
      <c r="D43" s="20" t="n">
        <v>344</v>
      </c>
      <c r="E43" s="20" t="n">
        <v>422</v>
      </c>
      <c r="F43" s="20" t="n">
        <v>271</v>
      </c>
      <c r="G43" s="20" t="n">
        <v>166</v>
      </c>
      <c r="H43" s="20" t="n">
        <v>171</v>
      </c>
    </row>
    <row r="44">
      <c r="A44" s="20" t="inlineStr">
        <is>
          <t>Mont Belvieu</t>
        </is>
      </c>
      <c r="B44" s="22" t="inlineStr">
        <is>
          <t>Chambers</t>
        </is>
      </c>
      <c r="C44" s="20" t="n">
        <v>240</v>
      </c>
      <c r="D44" s="20" t="n">
        <v>230</v>
      </c>
      <c r="E44" s="20" t="n">
        <v>209</v>
      </c>
      <c r="F44" s="20" t="n">
        <v>178</v>
      </c>
      <c r="G44" s="20" t="n">
        <v>188</v>
      </c>
      <c r="H44" s="20" t="n">
        <v>167</v>
      </c>
    </row>
    <row r="45">
      <c r="A45" s="20" t="inlineStr">
        <is>
          <t>La Marque</t>
        </is>
      </c>
      <c r="B45" s="22" t="inlineStr">
        <is>
          <t>Galveston</t>
        </is>
      </c>
      <c r="C45" s="20" t="n">
        <v>241</v>
      </c>
      <c r="D45" s="20" t="n">
        <v>225</v>
      </c>
      <c r="E45" s="20" t="n">
        <v>217</v>
      </c>
      <c r="F45" s="20" t="n">
        <v>268</v>
      </c>
      <c r="G45" s="20" t="n">
        <v>105</v>
      </c>
      <c r="H45" s="20" t="n">
        <v>137</v>
      </c>
    </row>
    <row r="46">
      <c r="A46" s="20" t="inlineStr">
        <is>
          <t>Willis</t>
        </is>
      </c>
      <c r="B46" s="22" t="inlineStr">
        <is>
          <t>Montgomery</t>
        </is>
      </c>
      <c r="C46" s="20" t="n">
        <v>96</v>
      </c>
      <c r="D46" s="20" t="n">
        <v>105</v>
      </c>
      <c r="E46" s="20" t="n">
        <v>17</v>
      </c>
      <c r="F46" s="20" t="n">
        <v>80</v>
      </c>
      <c r="G46" s="20" t="n">
        <v>173</v>
      </c>
      <c r="H46" s="20" t="n">
        <v>129</v>
      </c>
    </row>
    <row r="47">
      <c r="A47" s="20" t="inlineStr">
        <is>
          <t>Dayton</t>
        </is>
      </c>
      <c r="B47" s="22" t="inlineStr">
        <is>
          <t>Liberty</t>
        </is>
      </c>
      <c r="C47" s="20" t="n">
        <v>34</v>
      </c>
      <c r="D47" s="20" t="n">
        <v>58</v>
      </c>
      <c r="E47" s="20" t="n">
        <v>80</v>
      </c>
      <c r="F47" s="20" t="n">
        <v>105</v>
      </c>
      <c r="G47" s="20" t="n">
        <v>135</v>
      </c>
      <c r="H47" s="20" t="n">
        <v>119</v>
      </c>
    </row>
    <row r="48">
      <c r="A48" s="20" t="inlineStr">
        <is>
          <t>Katy</t>
        </is>
      </c>
      <c r="B48" s="22" t="inlineStr">
        <is>
          <t>Harris</t>
        </is>
      </c>
      <c r="C48" s="20" t="n">
        <v>576</v>
      </c>
      <c r="D48" s="20" t="n">
        <v>527</v>
      </c>
      <c r="E48" s="20" t="n">
        <v>430</v>
      </c>
      <c r="F48" s="20" t="n">
        <v>390</v>
      </c>
      <c r="G48" s="20" t="n">
        <v>170</v>
      </c>
      <c r="H48" s="20" t="n">
        <v>116</v>
      </c>
    </row>
    <row r="49">
      <c r="A49" s="20" t="inlineStr">
        <is>
          <t>Missouri City</t>
        </is>
      </c>
      <c r="B49" s="22" t="inlineStr">
        <is>
          <t>Fort Bend</t>
        </is>
      </c>
      <c r="C49" s="20" t="n">
        <v>634</v>
      </c>
      <c r="D49" s="20" t="n">
        <v>693</v>
      </c>
      <c r="E49" s="20" t="n">
        <v>421</v>
      </c>
      <c r="F49" s="20" t="n">
        <v>435</v>
      </c>
      <c r="G49" s="20" t="n">
        <v>118</v>
      </c>
      <c r="H49" s="20" t="n">
        <v>109</v>
      </c>
    </row>
    <row r="50">
      <c r="A50" s="20" t="inlineStr">
        <is>
          <t>Kemah</t>
        </is>
      </c>
      <c r="B50" s="22" t="inlineStr">
        <is>
          <t>Galveston</t>
        </is>
      </c>
      <c r="C50" s="20" t="n">
        <v>2</v>
      </c>
      <c r="D50" s="20" t="n">
        <v>4</v>
      </c>
      <c r="E50" s="20" t="n">
        <v>17</v>
      </c>
      <c r="F50" s="20" t="n">
        <v>145</v>
      </c>
      <c r="G50" s="20" t="n">
        <v>131</v>
      </c>
      <c r="H50" s="20" t="n">
        <v>102</v>
      </c>
    </row>
    <row r="51">
      <c r="A51" s="20" t="inlineStr">
        <is>
          <t>Pearland</t>
        </is>
      </c>
      <c r="B51" s="22" t="inlineStr">
        <is>
          <t>Brazoria</t>
        </is>
      </c>
      <c r="C51" s="20" t="n">
        <v>531</v>
      </c>
      <c r="D51" s="20" t="n">
        <v>715</v>
      </c>
      <c r="E51" s="20" t="n">
        <v>338</v>
      </c>
      <c r="F51" s="20" t="n">
        <v>214</v>
      </c>
      <c r="G51" s="20" t="n">
        <v>60</v>
      </c>
      <c r="H51" s="20" t="n">
        <v>101</v>
      </c>
    </row>
    <row r="52">
      <c r="A52" s="20" t="inlineStr">
        <is>
          <t>Arcola</t>
        </is>
      </c>
      <c r="B52" s="22" t="inlineStr">
        <is>
          <t>Fort Bend</t>
        </is>
      </c>
      <c r="C52" s="20" t="n">
        <v>0</v>
      </c>
      <c r="D52" s="20" t="n">
        <v>0</v>
      </c>
      <c r="E52" s="20" t="n">
        <v>0</v>
      </c>
      <c r="F52" s="20" t="n">
        <v>0</v>
      </c>
      <c r="G52" s="20" t="n">
        <v>0</v>
      </c>
      <c r="H52" s="20" t="n">
        <v>95</v>
      </c>
    </row>
    <row r="53">
      <c r="A53" s="20" t="inlineStr">
        <is>
          <t>Friendswood</t>
        </is>
      </c>
      <c r="B53" s="22" t="inlineStr">
        <is>
          <t>Galveston</t>
        </is>
      </c>
      <c r="C53" s="20" t="n">
        <v>156</v>
      </c>
      <c r="D53" s="20" t="n">
        <v>81</v>
      </c>
      <c r="E53" s="20" t="n">
        <v>102</v>
      </c>
      <c r="F53" s="20" t="n">
        <v>111</v>
      </c>
      <c r="G53" s="20" t="n">
        <v>130</v>
      </c>
      <c r="H53" s="20" t="n">
        <v>92</v>
      </c>
    </row>
    <row r="54">
      <c r="A54" s="20" t="inlineStr">
        <is>
          <t>Pasadena</t>
        </is>
      </c>
      <c r="B54" s="22" t="inlineStr">
        <is>
          <t>Harris</t>
        </is>
      </c>
      <c r="C54" s="20" t="n">
        <v>144</v>
      </c>
      <c r="D54" s="20" t="n">
        <v>119</v>
      </c>
      <c r="E54" s="20" t="n">
        <v>138</v>
      </c>
      <c r="F54" s="20" t="n">
        <v>109</v>
      </c>
      <c r="G54" s="20" t="n">
        <v>47</v>
      </c>
      <c r="H54" s="20" t="n">
        <v>87</v>
      </c>
    </row>
    <row r="55">
      <c r="A55" s="20" t="inlineStr">
        <is>
          <t>La Porte</t>
        </is>
      </c>
      <c r="B55" s="22" t="inlineStr">
        <is>
          <t>Harris</t>
        </is>
      </c>
      <c r="C55" s="20" t="n">
        <v>255</v>
      </c>
      <c r="D55" s="20" t="n">
        <v>320</v>
      </c>
      <c r="E55" s="20" t="n">
        <v>285</v>
      </c>
      <c r="F55" s="20" t="n">
        <v>154</v>
      </c>
      <c r="G55" s="20" t="n">
        <v>109</v>
      </c>
      <c r="H55" s="20" t="n">
        <v>84</v>
      </c>
    </row>
    <row r="56">
      <c r="A56" s="20" t="inlineStr">
        <is>
          <t>Sealy</t>
        </is>
      </c>
      <c r="B56" s="22" t="inlineStr">
        <is>
          <t>Austin</t>
        </is>
      </c>
      <c r="C56" s="20" t="n">
        <v>9</v>
      </c>
      <c r="D56" s="20" t="n">
        <v>12</v>
      </c>
      <c r="E56" s="20" t="n">
        <v>147</v>
      </c>
      <c r="F56" s="20" t="n">
        <v>138</v>
      </c>
      <c r="G56" s="20" t="n">
        <v>146</v>
      </c>
      <c r="H56" s="20" t="n">
        <v>76</v>
      </c>
    </row>
    <row r="57">
      <c r="A57" s="20" t="inlineStr">
        <is>
          <t>Bellaire</t>
        </is>
      </c>
      <c r="B57" s="22" t="inlineStr">
        <is>
          <t>Harris</t>
        </is>
      </c>
      <c r="C57" s="20" t="n">
        <v>61</v>
      </c>
      <c r="D57" s="20" t="n">
        <v>60</v>
      </c>
      <c r="E57" s="20" t="n">
        <v>73</v>
      </c>
      <c r="F57" s="20" t="n">
        <v>51</v>
      </c>
      <c r="G57" s="20" t="n">
        <v>46</v>
      </c>
      <c r="H57" s="20" t="n">
        <v>48</v>
      </c>
    </row>
    <row r="58">
      <c r="A58" s="20" t="inlineStr">
        <is>
          <t>West University Place</t>
        </is>
      </c>
      <c r="B58" s="22" t="inlineStr">
        <is>
          <t>Harris</t>
        </is>
      </c>
      <c r="C58" s="20" t="n">
        <v>45</v>
      </c>
      <c r="D58" s="20" t="n">
        <v>48</v>
      </c>
      <c r="E58" s="20" t="n">
        <v>55</v>
      </c>
      <c r="F58" s="20" t="n">
        <v>37</v>
      </c>
      <c r="G58" s="20" t="n">
        <v>35</v>
      </c>
      <c r="H58" s="20" t="n">
        <v>48</v>
      </c>
    </row>
    <row r="59">
      <c r="A59" s="20" t="inlineStr">
        <is>
          <t>Hempstead</t>
        </is>
      </c>
      <c r="B59" s="22" t="inlineStr">
        <is>
          <t>Waller</t>
        </is>
      </c>
      <c r="C59" s="20" t="n">
        <v>0</v>
      </c>
      <c r="D59" s="20" t="n">
        <v>0</v>
      </c>
      <c r="E59" s="20" t="n">
        <v>0</v>
      </c>
      <c r="F59" s="20" t="n">
        <v>49</v>
      </c>
      <c r="G59" s="20" t="n">
        <v>52</v>
      </c>
      <c r="H59" s="20" t="n">
        <v>45</v>
      </c>
    </row>
    <row r="60">
      <c r="A60" s="20" t="inlineStr">
        <is>
          <t>Sugar Land</t>
        </is>
      </c>
      <c r="B60" s="22" t="inlineStr">
        <is>
          <t>Fort Bend</t>
        </is>
      </c>
      <c r="C60" s="20" t="n">
        <v>148</v>
      </c>
      <c r="D60" s="20" t="n">
        <v>151</v>
      </c>
      <c r="E60" s="20" t="n">
        <v>136</v>
      </c>
      <c r="F60" s="20" t="n">
        <v>36</v>
      </c>
      <c r="G60" s="20" t="n">
        <v>67</v>
      </c>
      <c r="H60" s="20" t="n">
        <v>44</v>
      </c>
    </row>
    <row r="61">
      <c r="A61" s="20" t="inlineStr">
        <is>
          <t>Beasley</t>
        </is>
      </c>
      <c r="B61" s="22" t="inlineStr">
        <is>
          <t>Fort Bend</t>
        </is>
      </c>
      <c r="C61" s="20" t="n">
        <v>1</v>
      </c>
      <c r="D61" s="20" t="n">
        <v>13</v>
      </c>
      <c r="E61" s="20" t="n">
        <v>20</v>
      </c>
      <c r="F61" s="20" t="n">
        <v>41</v>
      </c>
      <c r="G61" s="20" t="n">
        <v>41</v>
      </c>
      <c r="H61" s="20" t="n">
        <v>39</v>
      </c>
    </row>
    <row r="62">
      <c r="A62" s="20" t="inlineStr">
        <is>
          <t>Needville</t>
        </is>
      </c>
      <c r="B62" s="22" t="inlineStr">
        <is>
          <t>Fort Bend</t>
        </is>
      </c>
      <c r="C62" s="20" t="n">
        <v>10</v>
      </c>
      <c r="D62" s="20" t="n">
        <v>16</v>
      </c>
      <c r="E62" s="20" t="n">
        <v>12</v>
      </c>
      <c r="F62" s="20" t="n">
        <v>15</v>
      </c>
      <c r="G62" s="20" t="n">
        <v>11</v>
      </c>
      <c r="H62" s="20" t="n">
        <v>39</v>
      </c>
    </row>
    <row r="63">
      <c r="A63" s="20" t="inlineStr">
        <is>
          <t>Humble</t>
        </is>
      </c>
      <c r="B63" s="22" t="inlineStr">
        <is>
          <t>Harris</t>
        </is>
      </c>
      <c r="C63" s="20" t="n">
        <v>4</v>
      </c>
      <c r="D63" s="20" t="n">
        <v>1</v>
      </c>
      <c r="E63" s="20" t="n">
        <v>0</v>
      </c>
      <c r="F63" s="20" t="n">
        <v>3</v>
      </c>
      <c r="G63" s="20" t="n">
        <v>9</v>
      </c>
      <c r="H63" s="20" t="n">
        <v>38</v>
      </c>
    </row>
    <row r="64">
      <c r="A64" s="20" t="inlineStr">
        <is>
          <t>Dickinson</t>
        </is>
      </c>
      <c r="B64" s="22" t="inlineStr">
        <is>
          <t>Galveston</t>
        </is>
      </c>
      <c r="C64" s="20" t="n">
        <v>176</v>
      </c>
      <c r="D64" s="20" t="n">
        <v>101</v>
      </c>
      <c r="E64" s="20" t="n">
        <v>46</v>
      </c>
      <c r="F64" s="20" t="n">
        <v>52</v>
      </c>
      <c r="G64" s="20" t="n">
        <v>48</v>
      </c>
      <c r="H64" s="20" t="n">
        <v>37</v>
      </c>
    </row>
    <row r="65">
      <c r="A65" s="20" t="inlineStr">
        <is>
          <t>Spring Valley Village</t>
        </is>
      </c>
      <c r="B65" s="22" t="inlineStr">
        <is>
          <t>Harris</t>
        </is>
      </c>
      <c r="C65" s="20" t="n">
        <v>30</v>
      </c>
      <c r="D65" s="20" t="n">
        <v>31</v>
      </c>
      <c r="E65" s="20" t="n">
        <v>20</v>
      </c>
      <c r="F65" s="20" t="n">
        <v>19</v>
      </c>
      <c r="G65" s="20" t="n">
        <v>13</v>
      </c>
      <c r="H65" s="20" t="n">
        <v>35</v>
      </c>
    </row>
    <row r="66">
      <c r="A66" s="20" t="inlineStr">
        <is>
          <t>Bellville</t>
        </is>
      </c>
      <c r="B66" s="22" t="inlineStr">
        <is>
          <t>Austin</t>
        </is>
      </c>
      <c r="C66" s="20" t="n">
        <v>6</v>
      </c>
      <c r="D66" s="20" t="n">
        <v>4</v>
      </c>
      <c r="E66" s="20" t="n">
        <v>24</v>
      </c>
      <c r="F66" s="20" t="n">
        <v>31</v>
      </c>
      <c r="G66" s="20" t="n">
        <v>52</v>
      </c>
      <c r="H66" s="20" t="n">
        <v>30</v>
      </c>
    </row>
    <row r="67">
      <c r="A67" s="20" t="inlineStr">
        <is>
          <t>Seabrook</t>
        </is>
      </c>
      <c r="B67" s="22" t="inlineStr">
        <is>
          <t>Harris</t>
        </is>
      </c>
      <c r="C67" s="20" t="n">
        <v>34</v>
      </c>
      <c r="D67" s="20" t="n">
        <v>35</v>
      </c>
      <c r="E67" s="20" t="n">
        <v>39</v>
      </c>
      <c r="F67" s="20" t="n">
        <v>31</v>
      </c>
      <c r="G67" s="20" t="n">
        <v>60</v>
      </c>
      <c r="H67" s="20" t="n">
        <v>30</v>
      </c>
    </row>
    <row r="68">
      <c r="A68" s="20" t="inlineStr">
        <is>
          <t>Clute</t>
        </is>
      </c>
      <c r="B68" s="22" t="inlineStr">
        <is>
          <t>Brazoria</t>
        </is>
      </c>
      <c r="C68" s="20" t="n">
        <v>46</v>
      </c>
      <c r="D68" s="20" t="n">
        <v>58</v>
      </c>
      <c r="E68" s="20" t="n">
        <v>39</v>
      </c>
      <c r="F68" s="20" t="n">
        <v>46</v>
      </c>
      <c r="G68" s="20" t="n">
        <v>21</v>
      </c>
      <c r="H68" s="20" t="n">
        <v>29</v>
      </c>
    </row>
    <row r="69">
      <c r="A69" s="20" t="inlineStr">
        <is>
          <t>Weston Lakes</t>
        </is>
      </c>
      <c r="B69" s="22" t="inlineStr">
        <is>
          <t>Fort Bend</t>
        </is>
      </c>
      <c r="C69" s="20" t="n">
        <v>0</v>
      </c>
      <c r="D69" s="20" t="n">
        <v>0</v>
      </c>
      <c r="E69" s="20" t="n">
        <v>0</v>
      </c>
      <c r="F69" s="20" t="n">
        <v>0</v>
      </c>
      <c r="G69" s="20" t="n">
        <v>0</v>
      </c>
      <c r="H69" s="20" t="n">
        <v>27</v>
      </c>
    </row>
    <row r="70">
      <c r="A70" s="20" t="inlineStr">
        <is>
          <t>Hunters Creek Village</t>
        </is>
      </c>
      <c r="B70" s="22" t="inlineStr">
        <is>
          <t>Harris</t>
        </is>
      </c>
      <c r="C70" s="20" t="n">
        <v>11</v>
      </c>
      <c r="D70" s="20" t="n">
        <v>20</v>
      </c>
      <c r="E70" s="20" t="n">
        <v>22</v>
      </c>
      <c r="F70" s="20" t="n">
        <v>20</v>
      </c>
      <c r="G70" s="20" t="n">
        <v>16</v>
      </c>
      <c r="H70" s="20" t="n">
        <v>21</v>
      </c>
    </row>
    <row r="71">
      <c r="A71" s="20" t="inlineStr">
        <is>
          <t>Stafford</t>
        </is>
      </c>
      <c r="B71" s="22" t="inlineStr">
        <is>
          <t>Fort Bend</t>
        </is>
      </c>
      <c r="C71" s="20" t="n">
        <v>3</v>
      </c>
      <c r="D71" s="20" t="n">
        <v>49</v>
      </c>
      <c r="E71" s="20" t="n">
        <v>39</v>
      </c>
      <c r="F71" s="20" t="n">
        <v>39</v>
      </c>
      <c r="G71" s="20" t="n">
        <v>29</v>
      </c>
      <c r="H71" s="20" t="n">
        <v>21</v>
      </c>
    </row>
    <row r="72">
      <c r="A72" s="20" t="inlineStr">
        <is>
          <t>Richwood</t>
        </is>
      </c>
      <c r="B72" s="22" t="inlineStr">
        <is>
          <t>Brazoria</t>
        </is>
      </c>
      <c r="C72" s="20" t="n">
        <v>12</v>
      </c>
      <c r="D72" s="20" t="n">
        <v>19</v>
      </c>
      <c r="E72" s="20" t="n">
        <v>14</v>
      </c>
      <c r="F72" s="20" t="n">
        <v>11</v>
      </c>
      <c r="G72" s="20" t="n">
        <v>8</v>
      </c>
      <c r="H72" s="20" t="n">
        <v>19</v>
      </c>
    </row>
    <row r="73">
      <c r="A73" s="20" t="inlineStr">
        <is>
          <t>South Houston</t>
        </is>
      </c>
      <c r="B73" s="22" t="inlineStr">
        <is>
          <t>Harris</t>
        </is>
      </c>
      <c r="C73" s="20" t="n">
        <v>17</v>
      </c>
      <c r="D73" s="20" t="n">
        <v>30</v>
      </c>
      <c r="E73" s="20" t="n">
        <v>26</v>
      </c>
      <c r="F73" s="20" t="n">
        <v>12</v>
      </c>
      <c r="G73" s="20" t="n">
        <v>16</v>
      </c>
      <c r="H73" s="20" t="n">
        <v>17</v>
      </c>
    </row>
    <row r="74">
      <c r="A74" s="20" t="inlineStr">
        <is>
          <t>Kendleton</t>
        </is>
      </c>
      <c r="B74" s="22" t="inlineStr">
        <is>
          <t>Fort Bend</t>
        </is>
      </c>
      <c r="C74" s="20" t="n">
        <v>2</v>
      </c>
      <c r="D74" s="20" t="n">
        <v>2</v>
      </c>
      <c r="E74" s="20" t="n">
        <v>4</v>
      </c>
      <c r="F74" s="20" t="n">
        <v>4</v>
      </c>
      <c r="G74" s="20" t="n">
        <v>3</v>
      </c>
      <c r="H74" s="20" t="n">
        <v>16</v>
      </c>
    </row>
    <row r="75">
      <c r="A75" s="20" t="inlineStr">
        <is>
          <t>Surfside Beach</t>
        </is>
      </c>
      <c r="B75" s="22" t="inlineStr">
        <is>
          <t>Brazoria</t>
        </is>
      </c>
      <c r="C75" s="20" t="n">
        <v>37</v>
      </c>
      <c r="D75" s="20" t="n">
        <v>24</v>
      </c>
      <c r="E75" s="20" t="n">
        <v>39</v>
      </c>
      <c r="F75" s="20" t="n">
        <v>15</v>
      </c>
      <c r="G75" s="20" t="n">
        <v>16</v>
      </c>
      <c r="H75" s="20" t="n">
        <v>14</v>
      </c>
    </row>
    <row r="76">
      <c r="A76" s="20" t="inlineStr">
        <is>
          <t>Bunker Hill Village</t>
        </is>
      </c>
      <c r="B76" s="22" t="inlineStr">
        <is>
          <t>Harris</t>
        </is>
      </c>
      <c r="C76" s="20" t="n">
        <v>7</v>
      </c>
      <c r="D76" s="20" t="n">
        <v>16</v>
      </c>
      <c r="E76" s="20" t="n">
        <v>16</v>
      </c>
      <c r="F76" s="20" t="n">
        <v>14</v>
      </c>
      <c r="G76" s="20" t="n">
        <v>15</v>
      </c>
      <c r="H76" s="20" t="n">
        <v>12</v>
      </c>
    </row>
    <row r="77">
      <c r="A77" s="20" t="inlineStr">
        <is>
          <t>Beach City</t>
        </is>
      </c>
      <c r="B77" s="22" t="inlineStr">
        <is>
          <t>Chambers</t>
        </is>
      </c>
      <c r="C77" s="20" t="n">
        <v>14</v>
      </c>
      <c r="D77" s="20" t="n">
        <v>23</v>
      </c>
      <c r="E77" s="20" t="n">
        <v>42</v>
      </c>
      <c r="F77" s="20" t="n">
        <v>16</v>
      </c>
      <c r="G77" s="20" t="n">
        <v>8</v>
      </c>
      <c r="H77" s="20" t="n">
        <v>11</v>
      </c>
    </row>
    <row r="78">
      <c r="A78" s="20" t="inlineStr">
        <is>
          <t>Richmond</t>
        </is>
      </c>
      <c r="B78" s="22" t="inlineStr">
        <is>
          <t>Fort Bend</t>
        </is>
      </c>
      <c r="C78" s="20" t="n">
        <v>7</v>
      </c>
      <c r="D78" s="20" t="n">
        <v>136</v>
      </c>
      <c r="E78" s="20" t="n">
        <v>189</v>
      </c>
      <c r="F78" s="20" t="n">
        <v>126</v>
      </c>
      <c r="G78" s="20" t="n">
        <v>98</v>
      </c>
      <c r="H78" s="20" t="n">
        <v>11</v>
      </c>
    </row>
    <row r="79">
      <c r="A79" s="20" t="inlineStr">
        <is>
          <t>Prairie View</t>
        </is>
      </c>
      <c r="B79" s="22" t="inlineStr">
        <is>
          <t>Waller</t>
        </is>
      </c>
      <c r="C79" s="20" t="n">
        <v>3</v>
      </c>
      <c r="D79" s="20" t="n">
        <v>3</v>
      </c>
      <c r="E79" s="20" t="n">
        <v>9</v>
      </c>
      <c r="F79" s="20" t="n">
        <v>7</v>
      </c>
      <c r="G79" s="20" t="n">
        <v>10</v>
      </c>
      <c r="H79" s="20" t="n">
        <v>10</v>
      </c>
    </row>
    <row r="80">
      <c r="A80" s="20" t="inlineStr">
        <is>
          <t>Jersey Village</t>
        </is>
      </c>
      <c r="B80" s="22" t="inlineStr">
        <is>
          <t>Harris</t>
        </is>
      </c>
      <c r="C80" s="20" t="n">
        <v>2</v>
      </c>
      <c r="D80" s="20" t="n">
        <v>3</v>
      </c>
      <c r="E80" s="20" t="n">
        <v>0</v>
      </c>
      <c r="F80" s="20" t="n">
        <v>0</v>
      </c>
      <c r="G80" s="20" t="n">
        <v>2</v>
      </c>
      <c r="H80" s="20" t="n">
        <v>9</v>
      </c>
    </row>
    <row r="81">
      <c r="A81" s="20" t="inlineStr">
        <is>
          <t>Oyster Creek</t>
        </is>
      </c>
      <c r="B81" s="22" t="inlineStr">
        <is>
          <t>Brazoria</t>
        </is>
      </c>
      <c r="C81" s="20" t="n">
        <v>6</v>
      </c>
      <c r="D81" s="20" t="n">
        <v>1</v>
      </c>
      <c r="E81" s="20" t="n">
        <v>1</v>
      </c>
      <c r="F81" s="20" t="n">
        <v>2</v>
      </c>
      <c r="G81" s="20" t="n">
        <v>2</v>
      </c>
      <c r="H81" s="20" t="n">
        <v>9</v>
      </c>
    </row>
    <row r="82">
      <c r="A82" s="20" t="inlineStr">
        <is>
          <t>Piney Point Village</t>
        </is>
      </c>
      <c r="B82" s="22" t="inlineStr">
        <is>
          <t>Harris</t>
        </is>
      </c>
      <c r="C82" s="20" t="n">
        <v>10</v>
      </c>
      <c r="D82" s="20" t="n">
        <v>11</v>
      </c>
      <c r="E82" s="20" t="n">
        <v>10</v>
      </c>
      <c r="F82" s="20" t="n">
        <v>10</v>
      </c>
      <c r="G82" s="20" t="n">
        <v>9</v>
      </c>
      <c r="H82" s="20" t="n">
        <v>9</v>
      </c>
    </row>
    <row r="83">
      <c r="A83" s="20" t="inlineStr">
        <is>
          <t>Roman Forest Town</t>
        </is>
      </c>
      <c r="B83" s="22" t="inlineStr">
        <is>
          <t>Montgomery</t>
        </is>
      </c>
      <c r="C83" s="20" t="n">
        <v>19</v>
      </c>
      <c r="D83" s="20" t="n">
        <v>84</v>
      </c>
      <c r="E83" s="20" t="n">
        <v>94</v>
      </c>
      <c r="F83" s="20" t="n">
        <v>24</v>
      </c>
      <c r="G83" s="20" t="n">
        <v>2</v>
      </c>
      <c r="H83" s="20" t="n">
        <v>9</v>
      </c>
    </row>
    <row r="84">
      <c r="A84" s="20" t="inlineStr">
        <is>
          <t>Southside Place</t>
        </is>
      </c>
      <c r="B84" s="22" t="inlineStr">
        <is>
          <t>Harris</t>
        </is>
      </c>
      <c r="C84" s="20" t="n">
        <v>14</v>
      </c>
      <c r="D84" s="20" t="n">
        <v>16</v>
      </c>
      <c r="E84" s="20" t="n">
        <v>13</v>
      </c>
      <c r="F84" s="20" t="n">
        <v>11</v>
      </c>
      <c r="G84" s="20" t="n">
        <v>11</v>
      </c>
      <c r="H84" s="20" t="n">
        <v>9</v>
      </c>
    </row>
    <row r="85">
      <c r="A85" s="20" t="inlineStr">
        <is>
          <t>Cut And Shoot</t>
        </is>
      </c>
      <c r="B85" s="22" t="inlineStr">
        <is>
          <t>Montgomery</t>
        </is>
      </c>
      <c r="C85" s="20" t="n">
        <v>0</v>
      </c>
      <c r="D85" s="20" t="n">
        <v>0</v>
      </c>
      <c r="E85" s="20" t="n">
        <v>2</v>
      </c>
      <c r="F85" s="20" t="n">
        <v>1</v>
      </c>
      <c r="G85" s="20" t="n">
        <v>0</v>
      </c>
      <c r="H85" s="20" t="n">
        <v>8</v>
      </c>
    </row>
    <row r="86">
      <c r="A86" s="20" t="inlineStr">
        <is>
          <t>Deer Park</t>
        </is>
      </c>
      <c r="B86" s="22" t="inlineStr">
        <is>
          <t>Harris</t>
        </is>
      </c>
      <c r="C86" s="20" t="n">
        <v>17</v>
      </c>
      <c r="D86" s="20" t="n">
        <v>15</v>
      </c>
      <c r="E86" s="20" t="n">
        <v>2</v>
      </c>
      <c r="F86" s="20" t="n">
        <v>12</v>
      </c>
      <c r="G86" s="20" t="n">
        <v>5</v>
      </c>
      <c r="H86" s="20" t="n">
        <v>8</v>
      </c>
    </row>
    <row r="87">
      <c r="A87" s="20" t="inlineStr">
        <is>
          <t>Hedwig Village</t>
        </is>
      </c>
      <c r="B87" s="22" t="inlineStr">
        <is>
          <t>Harris</t>
        </is>
      </c>
      <c r="C87" s="20" t="n">
        <v>8</v>
      </c>
      <c r="D87" s="20" t="n">
        <v>7</v>
      </c>
      <c r="E87" s="20" t="n">
        <v>9</v>
      </c>
      <c r="F87" s="20" t="n">
        <v>7</v>
      </c>
      <c r="G87" s="20" t="n">
        <v>8</v>
      </c>
      <c r="H87" s="20" t="n">
        <v>8</v>
      </c>
    </row>
    <row r="88">
      <c r="A88" s="20" t="inlineStr">
        <is>
          <t>Shepherd</t>
        </is>
      </c>
      <c r="B88" s="22" t="inlineStr">
        <is>
          <t>San Jacinto</t>
        </is>
      </c>
      <c r="C88" s="20" t="n">
        <v>0</v>
      </c>
      <c r="D88" s="20" t="n">
        <v>2</v>
      </c>
      <c r="E88" s="20" t="n">
        <v>8</v>
      </c>
      <c r="F88" s="20" t="n">
        <v>5</v>
      </c>
      <c r="G88" s="20" t="n">
        <v>9</v>
      </c>
      <c r="H88" s="20" t="n">
        <v>8</v>
      </c>
    </row>
    <row r="89">
      <c r="A89" s="20" t="inlineStr">
        <is>
          <t>Hilshire Village</t>
        </is>
      </c>
      <c r="B89" s="22" t="inlineStr">
        <is>
          <t>Harris</t>
        </is>
      </c>
      <c r="C89" s="20" t="n">
        <v>3</v>
      </c>
      <c r="D89" s="20" t="n">
        <v>4</v>
      </c>
      <c r="E89" s="20" t="n">
        <v>4</v>
      </c>
      <c r="F89" s="20" t="n">
        <v>5</v>
      </c>
      <c r="G89" s="20" t="n">
        <v>5</v>
      </c>
      <c r="H89" s="20" t="n">
        <v>7</v>
      </c>
    </row>
    <row r="90">
      <c r="A90" s="20" t="inlineStr">
        <is>
          <t>Jacinto City</t>
        </is>
      </c>
      <c r="B90" s="22" t="inlineStr">
        <is>
          <t>Harris</t>
        </is>
      </c>
      <c r="C90" s="20" t="n">
        <v>5</v>
      </c>
      <c r="D90" s="20" t="n">
        <v>7</v>
      </c>
      <c r="E90" s="20" t="n">
        <v>12</v>
      </c>
      <c r="F90" s="20" t="n">
        <v>12</v>
      </c>
      <c r="G90" s="20" t="n">
        <v>5</v>
      </c>
      <c r="H90" s="20" t="n">
        <v>7</v>
      </c>
    </row>
    <row r="91">
      <c r="A91" s="20" t="inlineStr">
        <is>
          <t>Liberty</t>
        </is>
      </c>
      <c r="B91" s="22" t="inlineStr">
        <is>
          <t>Liberty</t>
        </is>
      </c>
      <c r="C91" s="20" t="n">
        <v>10</v>
      </c>
      <c r="D91" s="20" t="n">
        <v>12</v>
      </c>
      <c r="E91" s="20" t="n">
        <v>9</v>
      </c>
      <c r="F91" s="20" t="n">
        <v>12</v>
      </c>
      <c r="G91" s="20" t="n">
        <v>11</v>
      </c>
      <c r="H91" s="20" t="n">
        <v>7</v>
      </c>
    </row>
    <row r="92">
      <c r="A92" s="20" t="inlineStr">
        <is>
          <t>Wallis</t>
        </is>
      </c>
      <c r="B92" s="22" t="inlineStr">
        <is>
          <t>Austin</t>
        </is>
      </c>
      <c r="C92" s="20" t="n">
        <v>10</v>
      </c>
      <c r="D92" s="20" t="n">
        <v>2</v>
      </c>
      <c r="E92" s="20" t="n">
        <v>4</v>
      </c>
      <c r="F92" s="20" t="n">
        <v>1</v>
      </c>
      <c r="G92" s="20" t="n">
        <v>2</v>
      </c>
      <c r="H92" s="20" t="n">
        <v>7</v>
      </c>
    </row>
    <row r="93">
      <c r="A93" s="20" t="inlineStr">
        <is>
          <t>Holiday Lakes Town</t>
        </is>
      </c>
      <c r="B93" s="22" t="inlineStr">
        <is>
          <t>Brazoria</t>
        </is>
      </c>
      <c r="C93" s="20" t="n">
        <v>13</v>
      </c>
      <c r="D93" s="20" t="n">
        <v>4</v>
      </c>
      <c r="E93" s="20" t="n">
        <v>4</v>
      </c>
      <c r="F93" s="20" t="n">
        <v>1</v>
      </c>
      <c r="G93" s="20" t="n">
        <v>1</v>
      </c>
      <c r="H93" s="20" t="n">
        <v>6</v>
      </c>
    </row>
    <row r="94">
      <c r="A94" s="20" t="inlineStr">
        <is>
          <t>Lake Jackson</t>
        </is>
      </c>
      <c r="B94" s="22" t="inlineStr">
        <is>
          <t>Brazoria</t>
        </is>
      </c>
      <c r="C94" s="20" t="n">
        <v>35</v>
      </c>
      <c r="D94" s="20" t="n">
        <v>21</v>
      </c>
      <c r="E94" s="20" t="n">
        <v>73</v>
      </c>
      <c r="F94" s="20" t="n">
        <v>69</v>
      </c>
      <c r="G94" s="20" t="n">
        <v>5</v>
      </c>
      <c r="H94" s="20" t="n">
        <v>6</v>
      </c>
    </row>
    <row r="95">
      <c r="A95" s="20" t="inlineStr">
        <is>
          <t>Panorama Village</t>
        </is>
      </c>
      <c r="B95" s="22" t="inlineStr">
        <is>
          <t>Montgomery</t>
        </is>
      </c>
      <c r="C95" s="20" t="n">
        <v>17</v>
      </c>
      <c r="D95" s="20" t="n">
        <v>7</v>
      </c>
      <c r="E95" s="20" t="n">
        <v>3</v>
      </c>
      <c r="F95" s="20" t="n">
        <v>3</v>
      </c>
      <c r="G95" s="20" t="n">
        <v>4</v>
      </c>
      <c r="H95" s="20" t="n">
        <v>6</v>
      </c>
    </row>
    <row r="96">
      <c r="A96" s="20" t="inlineStr">
        <is>
          <t>Webster</t>
        </is>
      </c>
      <c r="B96" s="22" t="inlineStr">
        <is>
          <t>Harris</t>
        </is>
      </c>
      <c r="C96" s="20" t="n">
        <v>3</v>
      </c>
      <c r="D96" s="20" t="n">
        <v>46</v>
      </c>
      <c r="E96" s="20" t="n">
        <v>49</v>
      </c>
      <c r="F96" s="20" t="n">
        <v>79</v>
      </c>
      <c r="G96" s="20" t="n">
        <v>45</v>
      </c>
      <c r="H96" s="20" t="n">
        <v>6</v>
      </c>
    </row>
    <row r="97">
      <c r="A97" s="20" t="inlineStr">
        <is>
          <t>Nassau Bay</t>
        </is>
      </c>
      <c r="B97" s="22" t="inlineStr">
        <is>
          <t>Harris</t>
        </is>
      </c>
      <c r="C97" s="20" t="n">
        <v>3</v>
      </c>
      <c r="D97" s="20" t="n">
        <v>0</v>
      </c>
      <c r="E97" s="20" t="n">
        <v>0</v>
      </c>
      <c r="F97" s="20" t="n">
        <v>4</v>
      </c>
      <c r="G97" s="20" t="n">
        <v>3</v>
      </c>
      <c r="H97" s="20" t="n">
        <v>5</v>
      </c>
    </row>
    <row r="98">
      <c r="A98" s="20" t="inlineStr">
        <is>
          <t>Shoreacres</t>
        </is>
      </c>
      <c r="B98" s="22" t="inlineStr">
        <is>
          <t>Harris</t>
        </is>
      </c>
      <c r="C98" s="20" t="n">
        <v>2</v>
      </c>
      <c r="D98" s="20" t="n">
        <v>4</v>
      </c>
      <c r="E98" s="20" t="n">
        <v>2</v>
      </c>
      <c r="F98" s="20" t="n">
        <v>1</v>
      </c>
      <c r="G98" s="20" t="n">
        <v>2</v>
      </c>
      <c r="H98" s="20" t="n">
        <v>5</v>
      </c>
    </row>
    <row r="99">
      <c r="A99" s="20" t="inlineStr">
        <is>
          <t>Clear Lake Shores</t>
        </is>
      </c>
      <c r="B99" s="22" t="inlineStr">
        <is>
          <t>Galveston</t>
        </is>
      </c>
      <c r="C99" s="20" t="n">
        <v>9</v>
      </c>
      <c r="D99" s="20" t="n">
        <v>10</v>
      </c>
      <c r="E99" s="20" t="n">
        <v>5</v>
      </c>
      <c r="F99" s="20" t="n">
        <v>3</v>
      </c>
      <c r="G99" s="20" t="n">
        <v>3</v>
      </c>
      <c r="H99" s="20" t="n">
        <v>4</v>
      </c>
    </row>
    <row r="100">
      <c r="A100" s="20" t="inlineStr">
        <is>
          <t>El Lago</t>
        </is>
      </c>
      <c r="B100" s="22" t="inlineStr">
        <is>
          <t>Harris</t>
        </is>
      </c>
      <c r="C100" s="20" t="n">
        <v>1</v>
      </c>
      <c r="D100" s="20" t="n">
        <v>1</v>
      </c>
      <c r="E100" s="20" t="n">
        <v>0</v>
      </c>
      <c r="F100" s="20" t="n">
        <v>0</v>
      </c>
      <c r="G100" s="20" t="n">
        <v>5</v>
      </c>
      <c r="H100" s="20" t="n">
        <v>4</v>
      </c>
    </row>
    <row r="101">
      <c r="A101" s="20" t="inlineStr">
        <is>
          <t>Tiki Island Village</t>
        </is>
      </c>
      <c r="B101" s="22" t="inlineStr">
        <is>
          <t>Galveston</t>
        </is>
      </c>
      <c r="C101" s="20" t="n">
        <v>6</v>
      </c>
      <c r="D101" s="20" t="n">
        <v>8</v>
      </c>
      <c r="E101" s="20" t="n">
        <v>9</v>
      </c>
      <c r="F101" s="20" t="n">
        <v>8</v>
      </c>
      <c r="G101" s="20" t="n">
        <v>7</v>
      </c>
      <c r="H101" s="20" t="n">
        <v>4</v>
      </c>
    </row>
    <row r="102">
      <c r="A102" s="20" t="inlineStr">
        <is>
          <t>Anahuac</t>
        </is>
      </c>
      <c r="B102" s="22" t="inlineStr">
        <is>
          <t>Chambers</t>
        </is>
      </c>
      <c r="C102" s="20" t="n">
        <v>10</v>
      </c>
      <c r="D102" s="20" t="n">
        <v>5</v>
      </c>
      <c r="E102" s="20" t="n">
        <v>12</v>
      </c>
      <c r="F102" s="20" t="n">
        <v>3</v>
      </c>
      <c r="G102" s="20" t="n">
        <v>3</v>
      </c>
      <c r="H102" s="20" t="n">
        <v>3</v>
      </c>
    </row>
    <row r="103">
      <c r="A103" s="20" t="inlineStr">
        <is>
          <t>Freeport</t>
        </is>
      </c>
      <c r="B103" s="22" t="inlineStr">
        <is>
          <t>Brazoria</t>
        </is>
      </c>
      <c r="C103" s="20" t="n">
        <v>16</v>
      </c>
      <c r="D103" s="20" t="n">
        <v>18</v>
      </c>
      <c r="E103" s="20" t="n">
        <v>7</v>
      </c>
      <c r="F103" s="20" t="n">
        <v>7</v>
      </c>
      <c r="G103" s="20" t="n">
        <v>6</v>
      </c>
      <c r="H103" s="20" t="n">
        <v>3</v>
      </c>
    </row>
    <row r="104">
      <c r="A104" s="20" t="inlineStr">
        <is>
          <t>Simonton</t>
        </is>
      </c>
      <c r="B104" s="22" t="inlineStr">
        <is>
          <t>Fort Bend</t>
        </is>
      </c>
      <c r="C104" s="20" t="n">
        <v>4</v>
      </c>
      <c r="D104" s="20" t="n">
        <v>7</v>
      </c>
      <c r="E104" s="20" t="n">
        <v>4</v>
      </c>
      <c r="F104" s="20" t="n">
        <v>0</v>
      </c>
      <c r="G104" s="20" t="n">
        <v>3</v>
      </c>
      <c r="H104" s="20" t="n">
        <v>3</v>
      </c>
    </row>
    <row r="105">
      <c r="A105" s="20" t="inlineStr">
        <is>
          <t>West Columbia</t>
        </is>
      </c>
      <c r="B105" s="22" t="inlineStr">
        <is>
          <t>Brazoria</t>
        </is>
      </c>
      <c r="C105" s="20" t="n">
        <v>10</v>
      </c>
      <c r="D105" s="20" t="n">
        <v>6</v>
      </c>
      <c r="E105" s="20" t="n">
        <v>12</v>
      </c>
      <c r="F105" s="20" t="n">
        <v>7</v>
      </c>
      <c r="G105" s="20" t="n">
        <v>8</v>
      </c>
      <c r="H105" s="20" t="n">
        <v>3</v>
      </c>
    </row>
    <row r="106">
      <c r="A106" s="20" t="inlineStr">
        <is>
          <t>Woodbranch Village</t>
        </is>
      </c>
      <c r="B106" s="22" t="inlineStr">
        <is>
          <t>Montgomery</t>
        </is>
      </c>
      <c r="C106" s="20" t="n">
        <v>33</v>
      </c>
      <c r="D106" s="20" t="n">
        <v>31</v>
      </c>
      <c r="E106" s="20" t="n">
        <v>29</v>
      </c>
      <c r="F106" s="20" t="n">
        <v>21</v>
      </c>
      <c r="G106" s="20" t="n">
        <v>18</v>
      </c>
      <c r="H106" s="20" t="n">
        <v>3</v>
      </c>
    </row>
    <row r="107">
      <c r="A107" s="20" t="inlineStr">
        <is>
          <t>Brazoria</t>
        </is>
      </c>
      <c r="B107" s="22" t="inlineStr">
        <is>
          <t>Brazoria</t>
        </is>
      </c>
      <c r="C107" s="20" t="n">
        <v>5</v>
      </c>
      <c r="D107" s="20" t="n">
        <v>3</v>
      </c>
      <c r="E107" s="20" t="n">
        <v>4</v>
      </c>
      <c r="F107" s="20" t="n">
        <v>3</v>
      </c>
      <c r="G107" s="20" t="n">
        <v>9</v>
      </c>
      <c r="H107" s="20" t="n">
        <v>2</v>
      </c>
    </row>
    <row r="108">
      <c r="A108" s="20" t="inlineStr">
        <is>
          <t>Brookside Village</t>
        </is>
      </c>
      <c r="B108" s="22" t="inlineStr">
        <is>
          <t>Brazoria</t>
        </is>
      </c>
      <c r="C108" s="20" t="n">
        <v>10</v>
      </c>
      <c r="D108" s="20" t="n">
        <v>11</v>
      </c>
      <c r="E108" s="20" t="n">
        <v>10</v>
      </c>
      <c r="F108" s="20" t="n">
        <v>3</v>
      </c>
      <c r="G108" s="20" t="n">
        <v>3</v>
      </c>
      <c r="H108" s="20" t="n">
        <v>2</v>
      </c>
    </row>
    <row r="109">
      <c r="A109" s="20" t="inlineStr">
        <is>
          <t>Danbury</t>
        </is>
      </c>
      <c r="B109" s="22" t="inlineStr">
        <is>
          <t>Brazoria</t>
        </is>
      </c>
      <c r="C109" s="20" t="n">
        <v>3</v>
      </c>
      <c r="D109" s="20" t="n">
        <v>9</v>
      </c>
      <c r="E109" s="20" t="n">
        <v>6</v>
      </c>
      <c r="F109" s="20" t="n">
        <v>3</v>
      </c>
      <c r="G109" s="20" t="n">
        <v>2</v>
      </c>
      <c r="H109" s="20" t="n">
        <v>2</v>
      </c>
    </row>
    <row r="110">
      <c r="A110" s="20" t="inlineStr">
        <is>
          <t>Hardin</t>
        </is>
      </c>
      <c r="B110" s="22" t="inlineStr">
        <is>
          <t>Liberty</t>
        </is>
      </c>
      <c r="C110" s="20" t="n">
        <v>4</v>
      </c>
      <c r="D110" s="20" t="n">
        <v>2</v>
      </c>
      <c r="E110" s="20" t="n">
        <v>3</v>
      </c>
      <c r="F110" s="20" t="n">
        <v>0</v>
      </c>
      <c r="G110" s="20" t="n">
        <v>2</v>
      </c>
      <c r="H110" s="20" t="n">
        <v>2</v>
      </c>
    </row>
    <row r="111">
      <c r="A111" s="20" t="inlineStr">
        <is>
          <t>Jamaica Beach Village</t>
        </is>
      </c>
      <c r="B111" s="22" t="inlineStr">
        <is>
          <t>Galveston</t>
        </is>
      </c>
      <c r="C111" s="20" t="n">
        <v>8</v>
      </c>
      <c r="D111" s="20" t="n">
        <v>9</v>
      </c>
      <c r="E111" s="20" t="n">
        <v>15</v>
      </c>
      <c r="F111" s="20" t="n">
        <v>3</v>
      </c>
      <c r="G111" s="20" t="n">
        <v>2</v>
      </c>
      <c r="H111" s="20" t="n">
        <v>2</v>
      </c>
    </row>
    <row r="112">
      <c r="A112" s="20" t="inlineStr">
        <is>
          <t>Jones Creek Village</t>
        </is>
      </c>
      <c r="B112" s="22" t="inlineStr">
        <is>
          <t>Brazoria</t>
        </is>
      </c>
      <c r="C112" s="20" t="n">
        <v>4</v>
      </c>
      <c r="D112" s="20" t="n">
        <v>5</v>
      </c>
      <c r="E112" s="20" t="n">
        <v>2</v>
      </c>
      <c r="F112" s="20" t="n">
        <v>2</v>
      </c>
      <c r="G112" s="20" t="n">
        <v>0</v>
      </c>
      <c r="H112" s="20" t="n">
        <v>2</v>
      </c>
    </row>
    <row r="113">
      <c r="A113" s="20" t="inlineStr">
        <is>
          <t>Old River-Winfree</t>
        </is>
      </c>
      <c r="B113" s="22" t="inlineStr">
        <is>
          <t>Chambers</t>
        </is>
      </c>
      <c r="C113" s="20" t="n">
        <v>3</v>
      </c>
      <c r="D113" s="20" t="n">
        <v>1</v>
      </c>
      <c r="E113" s="20" t="n">
        <v>1</v>
      </c>
      <c r="F113" s="20" t="n">
        <v>3</v>
      </c>
      <c r="G113" s="20" t="n">
        <v>29</v>
      </c>
      <c r="H113" s="20" t="n">
        <v>2</v>
      </c>
    </row>
    <row r="114">
      <c r="A114" s="20" t="inlineStr">
        <is>
          <t>San Felipe Town</t>
        </is>
      </c>
      <c r="B114" s="22" t="inlineStr">
        <is>
          <t>Austin</t>
        </is>
      </c>
      <c r="C114" s="20" t="n">
        <v>4</v>
      </c>
      <c r="D114" s="20" t="n">
        <v>4</v>
      </c>
      <c r="E114" s="20" t="n">
        <v>3</v>
      </c>
      <c r="F114" s="20" t="n">
        <v>1</v>
      </c>
      <c r="G114" s="20" t="n">
        <v>2</v>
      </c>
      <c r="H114" s="20" t="n">
        <v>2</v>
      </c>
    </row>
    <row r="115">
      <c r="A115" s="20" t="inlineStr">
        <is>
          <t>Sweeny</t>
        </is>
      </c>
      <c r="B115" s="22" t="inlineStr">
        <is>
          <t>Brazoria</t>
        </is>
      </c>
      <c r="C115" s="20" t="n">
        <v>9</v>
      </c>
      <c r="D115" s="20" t="n">
        <v>6</v>
      </c>
      <c r="E115" s="20" t="n">
        <v>8</v>
      </c>
      <c r="F115" s="20" t="n">
        <v>5</v>
      </c>
      <c r="G115" s="20" t="n">
        <v>9</v>
      </c>
      <c r="H115" s="20" t="n">
        <v>2</v>
      </c>
    </row>
    <row r="116">
      <c r="A116" s="20" t="inlineStr">
        <is>
          <t>Baileys Prairie Village</t>
        </is>
      </c>
      <c r="B116" s="22" t="inlineStr">
        <is>
          <t>Brazoria</t>
        </is>
      </c>
      <c r="C116" s="20" t="n">
        <v>5</v>
      </c>
      <c r="D116" s="20" t="n">
        <v>5</v>
      </c>
      <c r="E116" s="20" t="n">
        <v>1</v>
      </c>
      <c r="F116" s="20" t="n">
        <v>2</v>
      </c>
      <c r="G116" s="20" t="n">
        <v>3</v>
      </c>
      <c r="H116" s="20" t="n">
        <v>1</v>
      </c>
    </row>
    <row r="117">
      <c r="A117" s="20" t="inlineStr">
        <is>
          <t>Bayou Vista Village</t>
        </is>
      </c>
      <c r="B117" s="22" t="inlineStr">
        <is>
          <t>Galveston</t>
        </is>
      </c>
      <c r="C117" s="20" t="n">
        <v>9</v>
      </c>
      <c r="D117" s="20" t="n">
        <v>12</v>
      </c>
      <c r="E117" s="20" t="n">
        <v>8</v>
      </c>
      <c r="F117" s="20" t="n">
        <v>1</v>
      </c>
      <c r="G117" s="20" t="n">
        <v>3</v>
      </c>
      <c r="H117" s="20" t="n">
        <v>1</v>
      </c>
    </row>
    <row r="118">
      <c r="A118" s="20" t="inlineStr">
        <is>
          <t>Shenandoah</t>
        </is>
      </c>
      <c r="B118" s="22" t="inlineStr">
        <is>
          <t>Montgomery</t>
        </is>
      </c>
      <c r="C118" s="20" t="n">
        <v>51</v>
      </c>
      <c r="D118" s="20" t="n">
        <v>45</v>
      </c>
      <c r="E118" s="20" t="n">
        <v>86</v>
      </c>
      <c r="F118" s="20" t="n">
        <v>8</v>
      </c>
      <c r="G118" s="20" t="n">
        <v>0</v>
      </c>
      <c r="H118" s="20" t="n">
        <v>1</v>
      </c>
    </row>
    <row r="119">
      <c r="A119" s="20" t="inlineStr">
        <is>
          <t>Stagecoach Town</t>
        </is>
      </c>
      <c r="B119" s="22" t="inlineStr">
        <is>
          <t>Montgomery</t>
        </is>
      </c>
      <c r="C119" s="20" t="n">
        <v>3</v>
      </c>
      <c r="D119" s="20" t="n">
        <v>6</v>
      </c>
      <c r="E119" s="20" t="n">
        <v>0</v>
      </c>
      <c r="F119" s="20" t="n">
        <v>4</v>
      </c>
      <c r="G119" s="20" t="n">
        <v>3</v>
      </c>
      <c r="H119" s="20" t="n">
        <v>1</v>
      </c>
    </row>
    <row r="120">
      <c r="A120" s="20" t="inlineStr">
        <is>
          <t>Taylor Lake Village</t>
        </is>
      </c>
      <c r="B120" s="22" t="inlineStr">
        <is>
          <t>Harris</t>
        </is>
      </c>
      <c r="C120" s="20" t="n">
        <v>4</v>
      </c>
      <c r="D120" s="20" t="n">
        <v>9</v>
      </c>
      <c r="E120" s="20" t="n">
        <v>9</v>
      </c>
      <c r="F120" s="20" t="n">
        <v>5</v>
      </c>
      <c r="G120" s="20" t="n">
        <v>5</v>
      </c>
      <c r="H120" s="20" t="n">
        <v>1</v>
      </c>
    </row>
    <row r="121">
      <c r="A121" s="20" t="inlineStr">
        <is>
          <t>Angleton</t>
        </is>
      </c>
      <c r="B121" s="22" t="inlineStr">
        <is>
          <t>Brazoria</t>
        </is>
      </c>
      <c r="C121" s="20" t="n">
        <v>83</v>
      </c>
      <c r="D121" s="20" t="n">
        <v>154</v>
      </c>
      <c r="E121" s="20" t="n">
        <v>271</v>
      </c>
      <c r="F121" s="20" t="n">
        <v>231</v>
      </c>
      <c r="G121" s="20" t="n">
        <v>248</v>
      </c>
      <c r="H121" s="20" t="n">
        <v>0</v>
      </c>
    </row>
    <row r="122">
      <c r="A122" s="20" t="inlineStr">
        <is>
          <t>Brookshire</t>
        </is>
      </c>
      <c r="B122" s="22" t="inlineStr">
        <is>
          <t>Waller</t>
        </is>
      </c>
      <c r="C122" s="20" t="n">
        <v>22</v>
      </c>
      <c r="D122" s="20" t="n">
        <v>22</v>
      </c>
      <c r="E122" s="20" t="n">
        <v>17</v>
      </c>
      <c r="F122" s="20" t="n">
        <v>20</v>
      </c>
      <c r="G122" s="20" t="n">
        <v>1</v>
      </c>
      <c r="H122" s="20" t="n">
        <v>0</v>
      </c>
    </row>
    <row r="123">
      <c r="A123" s="20" t="inlineStr">
        <is>
          <t>Cleveland</t>
        </is>
      </c>
      <c r="B123" s="22" t="inlineStr">
        <is>
          <t>Liberty</t>
        </is>
      </c>
      <c r="C123" s="20" t="n">
        <v>140</v>
      </c>
      <c r="D123" s="20" t="n">
        <v>190</v>
      </c>
      <c r="E123" s="20" t="n">
        <v>205</v>
      </c>
      <c r="F123" s="20" t="n">
        <v>186</v>
      </c>
      <c r="G123" s="20" t="n">
        <v>43</v>
      </c>
      <c r="H123" s="20" t="n">
        <v>0</v>
      </c>
    </row>
    <row r="124">
      <c r="A124" s="20" t="inlineStr">
        <is>
          <t>Galena Park</t>
        </is>
      </c>
      <c r="B124" s="22" t="inlineStr">
        <is>
          <t>Harris</t>
        </is>
      </c>
      <c r="C124" s="20" t="n">
        <v>2</v>
      </c>
      <c r="D124" s="20" t="n">
        <v>4</v>
      </c>
      <c r="E124" s="20" t="n">
        <v>3</v>
      </c>
      <c r="F124" s="20" t="n">
        <v>3</v>
      </c>
      <c r="G124" s="20" t="n">
        <v>0</v>
      </c>
      <c r="H124" s="20" t="n">
        <v>0</v>
      </c>
    </row>
    <row r="125">
      <c r="A125" s="20" t="inlineStr">
        <is>
          <t>Hitchcock</t>
        </is>
      </c>
      <c r="B125" s="22" t="inlineStr">
        <is>
          <t>Galveston</t>
        </is>
      </c>
      <c r="C125" s="20" t="n">
        <v>77</v>
      </c>
      <c r="D125" s="20" t="n">
        <v>142</v>
      </c>
      <c r="E125" s="20" t="n">
        <v>38</v>
      </c>
      <c r="F125" s="20" t="n">
        <v>20</v>
      </c>
      <c r="G125" s="20" t="n">
        <v>8</v>
      </c>
      <c r="H125" s="20" t="n">
        <v>0</v>
      </c>
    </row>
    <row r="126">
      <c r="A126" s="20" t="inlineStr">
        <is>
          <t>Morgans Point</t>
        </is>
      </c>
      <c r="B126" s="22" t="inlineStr">
        <is>
          <t>Harris</t>
        </is>
      </c>
      <c r="C126" s="20" t="n">
        <v>3</v>
      </c>
      <c r="D126" s="20" t="n">
        <v>0</v>
      </c>
      <c r="E126" s="20" t="n">
        <v>1</v>
      </c>
      <c r="F126" s="20" t="n">
        <v>2</v>
      </c>
      <c r="G126" s="20" t="n">
        <v>0</v>
      </c>
      <c r="H126" s="20" t="n">
        <v>0</v>
      </c>
    </row>
    <row r="127">
      <c r="A127" s="20" t="inlineStr">
        <is>
          <t>Oak Ridge North</t>
        </is>
      </c>
      <c r="B127" s="22" t="inlineStr">
        <is>
          <t>Montgomery</t>
        </is>
      </c>
      <c r="C127" s="20" t="n">
        <v>0</v>
      </c>
      <c r="D127" s="20" t="n">
        <v>0</v>
      </c>
      <c r="E127" s="20" t="n">
        <v>2</v>
      </c>
      <c r="F127" s="20" t="n">
        <v>5</v>
      </c>
      <c r="G127" s="20" t="n">
        <v>1</v>
      </c>
      <c r="H127" s="20" t="n">
        <v>0</v>
      </c>
    </row>
    <row r="128">
      <c r="A128" s="20" t="inlineStr">
        <is>
          <t>Orchard</t>
        </is>
      </c>
      <c r="B128" s="22" t="inlineStr">
        <is>
          <t>Fort Bend</t>
        </is>
      </c>
      <c r="C128" s="20" t="n">
        <v>2</v>
      </c>
      <c r="D128" s="20" t="n">
        <v>1</v>
      </c>
      <c r="E128" s="20" t="n">
        <v>4</v>
      </c>
      <c r="F128" s="20" t="n">
        <v>4</v>
      </c>
      <c r="G128" s="20" t="n">
        <v>2</v>
      </c>
      <c r="H128" s="20" t="n">
        <v>0</v>
      </c>
    </row>
    <row r="129">
      <c r="A129" s="20" t="inlineStr">
        <is>
          <t>Pattison</t>
        </is>
      </c>
      <c r="B129" s="22" t="inlineStr">
        <is>
          <t>Waller</t>
        </is>
      </c>
      <c r="C129" s="20" t="n">
        <v>2</v>
      </c>
      <c r="D129" s="20" t="n">
        <v>9</v>
      </c>
      <c r="E129" s="20" t="n">
        <v>0</v>
      </c>
      <c r="F129" s="20" t="n">
        <v>1</v>
      </c>
      <c r="G129" s="20" t="n">
        <v>1</v>
      </c>
      <c r="H129" s="20" t="n">
        <v>0</v>
      </c>
    </row>
    <row r="130">
      <c r="A130" s="20" t="inlineStr">
        <is>
          <t>Quintana Town</t>
        </is>
      </c>
      <c r="B130" s="22" t="inlineStr">
        <is>
          <t>Brazoria</t>
        </is>
      </c>
      <c r="C130" s="20" t="n">
        <v>0</v>
      </c>
      <c r="D130" s="20" t="n">
        <v>0</v>
      </c>
      <c r="E130" s="20" t="n">
        <v>0</v>
      </c>
      <c r="F130" s="20" t="n">
        <v>1</v>
      </c>
      <c r="G130" s="20" t="n">
        <v>0</v>
      </c>
      <c r="H130" s="20"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2026-09-12T18:33:06Z</dcterms:created>
  <dcterms:modified xmlns:dcterms="http://purl.org/dc/terms/" xmlns:xsi="http://www.w3.org/2001/XMLSchema-instance" xsi:type="dcterms:W3CDTF">2026-09-12T18:33:07Z</dcterms:modified>
</cp:coreProperties>
</file>