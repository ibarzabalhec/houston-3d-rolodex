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s>
  <definedNames>
    <definedName name="_xlnm._FilterDatabase" localSheetId="0" hidden="1">'Contacts'!$A$6:$Z$195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10" customWidth="1" min="15" max="15"/>
    <col width="40" customWidth="1" min="16" max="16"/>
    <col width="9" customWidth="1" min="17" max="17"/>
    <col width="14" customWidth="1" min="18" max="18"/>
    <col width="34" customWidth="1" min="19" max="19"/>
    <col width="80" customWidth="1" min="20" max="20"/>
    <col width="60" customWidth="1" min="21" max="21"/>
    <col width="15" customWidth="1" min="22" max="22"/>
    <col width="70" customWidth="1" min="23" max="23"/>
    <col width="46" customWidth="1" min="24" max="24"/>
    <col width="42" customWidth="1" min="25" max="25"/>
    <col width="42" customWidth="1" min="26" max="26"/>
  </cols>
  <sheetData>
    <row r="1">
      <c r="A1" s="1" t="inlineStr">
        <is>
          <t>ICON · Greater Houston screen · contact workbench</t>
        </is>
      </c>
    </row>
    <row r="2">
      <c r="A2" s="2" t="inlineStr">
        <is>
          <t>Generated from houston-data.json · build 32 · 2026-09-11 · public render. Do not hand-edit the HTML deck; it regenerates from the same file.</t>
        </is>
      </c>
    </row>
    <row r="3">
      <c r="A3" s="2" t="inlineStr">
        <is>
          <t>Contacts</t>
        </is>
      </c>
      <c r="B3" s="3">
        <f>COUNTA($A$7:$A$195)</f>
        <v/>
      </c>
      <c r="C3" s="2" t="inlineStr">
        <is>
          <t>LinkedIn held</t>
        </is>
      </c>
      <c r="D3" s="3">
        <f>COUNTIF($R$7:$R$195,"ok")</f>
        <v/>
      </c>
      <c r="E3" s="2" t="inlineStr">
        <is>
          <t>Still to add</t>
        </is>
      </c>
      <c r="F3" s="3">
        <f>COUNTIF($R$7:$R$195,"ADD LINKEDIN")</f>
        <v/>
      </c>
      <c r="G3" s="2" t="inlineStr">
        <is>
          <t>Strong targets</t>
        </is>
      </c>
      <c r="H3" s="3">
        <f>SUMPRODUCT((COUNTIF(OFFSET($B$7,ROW($B$7:$B$195)-ROW($B$7),0,1,1),$B$7:$B$195)&gt;0)*($D$7:$D$195="Strong target")/COUNTIF($B$7:$B$195,$B$7:$B$195&amp;""))</f>
        <v/>
      </c>
      <c r="I3" s="2" t="inlineStr">
        <is>
          <t>Wall deciders</t>
        </is>
      </c>
      <c r="J3" s="3">
        <f>COUNTIF($V$7:$V$195,"YES")</f>
        <v/>
      </c>
    </row>
    <row r="4">
      <c r="A4" s="4" t="inlineStr">
        <is>
          <t>LEGEND. Column Q is a one-click LinkedIn people search for that name at that firm, run in your own signed-in session. Paste the profile URL into the shaded cell in column P and column R flips from ADD LINKEDIN to ok, with the counters in row 3 updating live. Every other column is generated and is overwritten on the next build. Column V marks the people who can change a wall specification, a vice president or director of construction or the head of purchasing; filter it to YES for the call list. Column W is the evidence behind the name, column X the firm's own page that names them, and columns Y and Z the company's LinkedIn and leadership pages. Example: https://www.linkedin.com/in/jane-doe-1a2b3c4d/</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 figure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Capital</t>
        </is>
      </c>
      <c r="P6" s="5" t="inlineStr">
        <is>
          <t>LinkedIn URL</t>
        </is>
      </c>
      <c r="Q6" s="5" t="inlineStr">
        <is>
          <t>Find</t>
        </is>
      </c>
      <c r="R6" s="5" t="inlineStr">
        <is>
          <t>Status</t>
        </is>
      </c>
      <c r="S6" s="5" t="inlineStr">
        <is>
          <t>Company URL</t>
        </is>
      </c>
      <c r="T6" s="5" t="inlineStr">
        <is>
          <t>Screen result</t>
        </is>
      </c>
      <c r="U6" s="5" t="inlineStr">
        <is>
          <t>Open items</t>
        </is>
      </c>
      <c r="V6" s="5" t="inlineStr">
        <is>
          <t>Decides the wall</t>
        </is>
      </c>
      <c r="W6" s="5" t="inlineStr">
        <is>
          <t>How this person was verified</t>
        </is>
      </c>
      <c r="X6" s="5" t="inlineStr">
        <is>
          <t>Firm page for this person</t>
        </is>
      </c>
      <c r="Y6" s="5" t="inlineStr">
        <is>
          <t>Company LinkedIn</t>
        </is>
      </c>
      <c r="Z6" s="5" t="inlineStr">
        <is>
          <t>Leadership page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Prints today</t>
        </is>
      </c>
      <c r="G7" s="6" t="inlineStr">
        <is>
          <t>Southeast Houston, Harris County</t>
        </is>
      </c>
      <c r="H7" s="6" t="inlineStr">
        <is>
          <t>80 3D-printed homes on 13 acres</t>
        </is>
      </c>
      <c r="I7" s="8" t="inlineStr">
        <is>
          <t>Yes</t>
        </is>
      </c>
      <c r="J7" s="9" t="inlineStr">
        <is>
          <t>80 homes on one 13-acre site.</t>
        </is>
      </c>
      <c r="K7" s="8" t="inlineStr">
        <is>
          <t>Yes</t>
        </is>
      </c>
      <c r="L7" s="9" t="inlineStr">
        <is>
          <t>Eighty printed homes on one site is inside the band one machine serves.</t>
        </is>
      </c>
      <c r="M7" s="8" t="inlineStr">
        <is>
          <t>Yes</t>
        </is>
      </c>
      <c r="N7" s="9" t="inlineStr">
        <is>
          <t>All 80 already committed to printing, with HiveASMBLD.</t>
        </is>
      </c>
      <c r="O7" s="8" t="inlineStr">
        <is>
          <t>No</t>
        </is>
      </c>
      <c r="P7" s="10" t="inlineStr"/>
      <c r="Q7" s="6">
        <f>HYPERLINK("https://www.linkedin.com/search/results/people/?keywords=Vanessa%20Cole%20Cole%20Klein%20Builders","search")</f>
        <v/>
      </c>
      <c r="R7" s="11">
        <f>IF(P7="","ADD LINKEDIN","ok")</f>
        <v/>
      </c>
      <c r="S7" s="6" t="inlineStr">
        <is>
          <t>no website confirmed</t>
        </is>
      </c>
      <c r="T7" s="9" t="inlineStr">
        <is>
          <t>80 printed homes on one site, the largest printed project in the metro. HiveASMBLD supplies it.</t>
        </is>
      </c>
      <c r="U7" s="9"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7" s="6" t="inlineStr"/>
      <c r="W7" s="9" t="inlineStr">
        <is>
          <t>Co-founder. The firm's own about page names Vanessa Cole and Harry Klein as founders.</t>
        </is>
      </c>
      <c r="X7" s="6" t="inlineStr">
        <is>
          <t>https://colekleinbuilders.com/about/</t>
        </is>
      </c>
      <c r="Y7" s="6" t="inlineStr">
        <is>
          <t>https://www.linkedin.com/company/cole-klein-builders</t>
        </is>
      </c>
      <c r="Z7" s="6" t="inlineStr">
        <is>
          <t>https://colekleinbuilders.com/about/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Prints today</t>
        </is>
      </c>
      <c r="G8" s="12" t="inlineStr">
        <is>
          <t>Southeast Houston, Harris County</t>
        </is>
      </c>
      <c r="H8" s="12" t="inlineStr">
        <is>
          <t>80 3D-printed homes on 13 acres</t>
        </is>
      </c>
      <c r="I8" s="14" t="inlineStr">
        <is>
          <t>Yes</t>
        </is>
      </c>
      <c r="J8" s="15" t="inlineStr">
        <is>
          <t>80 homes on one 13-acre site.</t>
        </is>
      </c>
      <c r="K8" s="14" t="inlineStr">
        <is>
          <t>Yes</t>
        </is>
      </c>
      <c r="L8" s="15" t="inlineStr">
        <is>
          <t>Eighty printed homes on one site is inside the band one machine serves.</t>
        </is>
      </c>
      <c r="M8" s="14" t="inlineStr">
        <is>
          <t>Yes</t>
        </is>
      </c>
      <c r="N8" s="15" t="inlineStr">
        <is>
          <t>All 80 already committed to printing, with HiveASMBLD.</t>
        </is>
      </c>
      <c r="O8" s="14" t="inlineStr">
        <is>
          <t>No</t>
        </is>
      </c>
      <c r="P8" s="10" t="inlineStr"/>
      <c r="Q8" s="12">
        <f>HYPERLINK("https://www.linkedin.com/search/results/people/?keywords=Harry%20Klein%20Cole%20Klein%20Builders","search")</f>
        <v/>
      </c>
      <c r="R8" s="16">
        <f>IF(P8="","ADD LINKEDIN","ok")</f>
        <v/>
      </c>
      <c r="S8" s="12" t="inlineStr">
        <is>
          <t>no website confirmed</t>
        </is>
      </c>
      <c r="T8" s="15" t="inlineStr">
        <is>
          <t>80 printed homes on one site, the largest printed project in the metro. HiveASMBLD supplies it.</t>
        </is>
      </c>
      <c r="U8" s="15" t="inlineStr">
        <is>
          <t>Currently building with HiveASMBLD, a Houston-based competitor. Approach is displacement or second-phase supply, not first contact. | There is no person called Cole Klein. The firm's own about page names Vanessa Cole and Harry Klein as its founders, so the company name is the two surnames joined. The record carried a principal who does not exist; both founders are now named. This is why the LinkedIn search for the name returned nothing. | No corporate homepage confirmed for Cole Klein Builders. Entity structure unverified. | No capital signal with a figure. Project financing undisclosed.</t>
        </is>
      </c>
      <c r="V8" s="12" t="inlineStr"/>
      <c r="W8" s="15" t="inlineStr">
        <is>
          <t>Co-founder.</t>
        </is>
      </c>
      <c r="X8" s="12" t="inlineStr">
        <is>
          <t>https://colekleinbuilders.com/about/</t>
        </is>
      </c>
      <c r="Y8" s="12" t="inlineStr">
        <is>
          <t>https://www.linkedin.com/company/cole-klein-builders</t>
        </is>
      </c>
      <c r="Z8" s="12" t="inlineStr">
        <is>
          <t>https://colekleinbuilders.com/about/</t>
        </is>
      </c>
    </row>
    <row r="9">
      <c r="A9" s="6" t="inlineStr">
        <is>
          <t>Steve Commander</t>
        </is>
      </c>
      <c r="B9" s="6" t="inlineStr">
        <is>
          <t>Commander Home Builders</t>
        </is>
      </c>
      <c r="C9" s="6" t="inlineStr">
        <is>
          <t>Owner</t>
        </is>
      </c>
      <c r="D9" s="7" t="inlineStr">
        <is>
          <t>Already buying printed walls</t>
        </is>
      </c>
      <c r="E9" s="8" t="n">
        <v>3</v>
      </c>
      <c r="F9" s="6" t="inlineStr">
        <is>
          <t>Prints today</t>
        </is>
      </c>
      <c r="G9" s="6" t="inlineStr">
        <is>
          <t>San Leon, Galveston County</t>
        </is>
      </c>
      <c r="H9" s="6" t="inlineStr">
        <is>
          <t>23 of 26 homes 3D printed</t>
        </is>
      </c>
      <c r="I9" s="8" t="inlineStr">
        <is>
          <t>Partly</t>
        </is>
      </c>
      <c r="J9" s="9" t="inlineStr">
        <is>
          <t>26 homes in San Leon, 23 of them printed.</t>
        </is>
      </c>
      <c r="K9" s="8" t="inlineStr">
        <is>
          <t>Yes</t>
        </is>
      </c>
      <c r="L9" s="9" t="inlineStr">
        <is>
          <t>Twenty-six homes on one site, twenty-three of them already printed.</t>
        </is>
      </c>
      <c r="M9" s="8" t="inlineStr">
        <is>
          <t>Yes</t>
        </is>
      </c>
      <c r="N9" s="9" t="inlineStr">
        <is>
          <t>Built three conventionally, then committed the rest to printing.</t>
        </is>
      </c>
      <c r="O9" s="8" t="inlineStr">
        <is>
          <t>No</t>
        </is>
      </c>
      <c r="P9" s="10" t="inlineStr"/>
      <c r="Q9" s="6">
        <f>HYPERLINK("https://www.linkedin.com/search/results/people/?keywords=Steve%20Commander%20Commander%20Home%20Builders","search")</f>
        <v/>
      </c>
      <c r="R9" s="11">
        <f>IF(P9="","ADD LINKEDIN","ok")</f>
        <v/>
      </c>
      <c r="S9" s="6" t="inlineStr">
        <is>
          <t>no website confirmed</t>
        </is>
      </c>
      <c r="T9" s="9" t="inlineStr">
        <is>
          <t>23 of 26 homes printed. Owner cites 50 percent faster and 5 to 7 percent cheaper. HiveASMBLD supplies it.</t>
        </is>
      </c>
      <c r="U9" s="9" t="inlineStr">
        <is>
          <t>Currently building with HiveASMBLD, a Houston competitor. | Timeline and cost-savings figures are the owner's own statements, not independently verified. | No corporate homepage confirmed. Entity structure unverified. | No LinkedIn profile is held for Steve Commander. linkedin.com/in/scommander is a regional retail operations leader, not the San Leon builder.</t>
        </is>
      </c>
      <c r="V9" s="6" t="inlineStr"/>
      <c r="W9" s="9" t="inlineStr">
        <is>
          <t>Quoted as the developer of the San Leon printed-home project, in partnership with HiveASMBLD. The only citable source: there is no company site and no LinkedIn page.</t>
        </is>
      </c>
      <c r="X9" s="6" t="inlineStr">
        <is>
          <t>https://www.galvnews.com/news/printing-the-future-san-leon-project-tests-new-model-for-coastal-housing/article_e6c622f8-f6cd-47f6-ad36-ed1cac45a3d4.html</t>
        </is>
      </c>
      <c r="Y9" s="6" t="inlineStr"/>
      <c r="Z9" s="6" t="inlineStr"/>
    </row>
    <row r="10">
      <c r="A10" s="12" t="inlineStr">
        <is>
          <t>Tony M. Brown</t>
        </is>
      </c>
      <c r="B10" s="12" t="inlineStr">
        <is>
          <t>Elpis 3D Home Builders</t>
        </is>
      </c>
      <c r="C10" s="12" t="inlineStr">
        <is>
          <t>Principal</t>
        </is>
      </c>
      <c r="D10" s="13" t="inlineStr">
        <is>
          <t>Already buying printed walls</t>
        </is>
      </c>
      <c r="E10" s="14" t="n">
        <v>2</v>
      </c>
      <c r="F10" s="12" t="inlineStr">
        <is>
          <t>Prints today</t>
        </is>
      </c>
      <c r="G10" s="12" t="inlineStr">
        <is>
          <t>East End Houston, Harris County</t>
        </is>
      </c>
      <c r="H10" s="12" t="inlineStr">
        <is>
          <t>Duplex, ~1,727 sf per unit, $365,000</t>
        </is>
      </c>
      <c r="I10" s="14" t="inlineStr">
        <is>
          <t>No</t>
        </is>
      </c>
      <c r="J10" s="15" t="inlineStr">
        <is>
          <t>One duplex. Two units.</t>
        </is>
      </c>
      <c r="K10" s="14" t="inlineStr">
        <is>
          <t>Partly</t>
        </is>
      </c>
      <c r="L10" s="15" t="inlineStr">
        <is>
          <t>One duplex. Proof the method works in the city limits, not a volume that keeps a machine busy.</t>
        </is>
      </c>
      <c r="M10" s="14" t="inlineStr">
        <is>
          <t>Yes</t>
        </is>
      </c>
      <c r="N10" s="15" t="inlineStr">
        <is>
          <t>Printed it in Harris County between March and June 2026.</t>
        </is>
      </c>
      <c r="O10" s="14" t="inlineStr">
        <is>
          <t>No</t>
        </is>
      </c>
      <c r="P10" s="10" t="inlineStr"/>
      <c r="Q10" s="12">
        <f>HYPERLINK("https://www.linkedin.com/search/results/people/?keywords=Tony%20M.%20Brown%20Elpis%203D%20Home%20Builders","search")</f>
        <v/>
      </c>
      <c r="R10" s="16">
        <f>IF(P10="","ADD LINKEDIN","ok")</f>
        <v/>
      </c>
      <c r="S10" s="12" t="inlineStr">
        <is>
          <t>no website confirmed</t>
        </is>
      </c>
      <c r="T10" s="15" t="inlineStr">
        <is>
          <t>One printed duplex in the East End. Proof of printed party walls inside the city limits. HiveASMBLD supplies it.</t>
        </is>
      </c>
      <c r="U10" s="15" t="inlineStr">
        <is>
          <t>Currently building with HiveASMBLD. | Houston Chronicle coverage of this project blocked by robots.txt and not read. | No corporate homepage confirmed. | No LinkedIn profile is held for Tony M. Brown. Top hit is a Tony Brown at Brown King Construction in Knoxville, Tennessee.</t>
        </is>
      </c>
      <c r="V10" s="12" t="inlineStr"/>
      <c r="W10" s="15" t="inlineStr">
        <is>
          <t>Named managing member of Elpis 3D, speaking about the Avenue J printed duplex in the East End. The only citable source: there is no company site and no LinkedIn page.</t>
        </is>
      </c>
      <c r="X10" s="12" t="inlineStr">
        <is>
          <t>https://www.homes.com/news/houstons-3d-printed-housing-push-grows-with-two-new-developments/647676272/</t>
        </is>
      </c>
      <c r="Y10" s="12" t="inlineStr"/>
      <c r="Z10" s="12" t="inlineStr"/>
    </row>
    <row r="11">
      <c r="A11" s="6" t="inlineStr">
        <is>
          <t>Ting Qiao</t>
        </is>
      </c>
      <c r="B11" s="6" t="inlineStr">
        <is>
          <t>Wan Bridge Group</t>
        </is>
      </c>
      <c r="C11" s="6" t="inlineStr">
        <is>
          <t>Chief Executive Officer and Co-Founder</t>
        </is>
      </c>
      <c r="D11" s="7" t="inlineStr">
        <is>
          <t>Strong target</t>
        </is>
      </c>
      <c r="E11" s="8" t="n">
        <v>3</v>
      </c>
      <c r="F11" s="6" t="inlineStr">
        <is>
          <t>Buys walls</t>
        </is>
      </c>
      <c r="G11" s="6" t="inlineStr">
        <is>
          <t>Houston HQ / Harris, Fort Bend</t>
        </is>
      </c>
      <c r="H11" s="6" t="inlineStr">
        <is>
          <t>5 TX projects under way, 5-7 in pipeline (Apr 2025)</t>
        </is>
      </c>
      <c r="I11" s="8" t="inlineStr">
        <is>
          <t>Yes</t>
        </is>
      </c>
      <c r="J11" s="9" t="inlineStr">
        <is>
          <t>Five Texas projects under way, five to seven more in the pipeline.</t>
        </is>
      </c>
      <c r="K11" s="8" t="inlineStr">
        <is>
          <t>Yes</t>
        </is>
      </c>
      <c r="L11" s="9" t="inlineStr">
        <is>
          <t>Builds and holds whole build-to-rent communities, so the output is concentrated where a machine can stand still.</t>
        </is>
      </c>
      <c r="M11" s="8" t="inlineStr">
        <is>
          <t>Yes</t>
        </is>
      </c>
      <c r="N11" s="9" t="inlineStr">
        <is>
          <t>Six years building its own construction software, plus robotic site inspection.</t>
        </is>
      </c>
      <c r="O11" s="8" t="inlineStr">
        <is>
          <t>Partly</t>
        </is>
      </c>
      <c r="P11" s="6" t="inlineStr">
        <is>
          <t>https://www.linkedin.com/in/ting-qiao-b95436aa/</t>
        </is>
      </c>
      <c r="Q11" s="6" t="inlineStr"/>
      <c r="R11" s="11">
        <f>IF(P11="","ADD LINKEDIN","ok")</f>
        <v/>
      </c>
      <c r="S11" s="6" t="inlineStr">
        <is>
          <t>https://wanbridge.com/</t>
        </is>
      </c>
      <c r="T11" s="9" t="inlineStr">
        <is>
          <t>Builds and holds build-to-rent. Spent six years on its own construction software and site robotics.</t>
        </is>
      </c>
      <c r="U11"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1" s="6" t="inlineStr"/>
      <c r="W11" s="9" t="inlineStr">
        <is>
          <t>CEO of AiWB, Co-Founder at Wan Bridge. Bellaire, Texas.</t>
        </is>
      </c>
      <c r="X11" s="6" t="inlineStr"/>
      <c r="Y11" s="6" t="inlineStr">
        <is>
          <t>https://www.linkedin.com/company/wan-bridge-group/</t>
        </is>
      </c>
      <c r="Z11" s="6" t="inlineStr">
        <is>
          <t>https://wanbridge.com/leadership/</t>
        </is>
      </c>
    </row>
    <row r="12">
      <c r="A12" s="12" t="inlineStr">
        <is>
          <t>Derrick Hughes</t>
        </is>
      </c>
      <c r="B12" s="12" t="inlineStr">
        <is>
          <t>Wan Bridge Group</t>
        </is>
      </c>
      <c r="C12" s="12" t="inlineStr">
        <is>
          <t>Chief Operating Officer, Sterling Creek Homes (2026); ex-Senior Vice President of Construction Operations, Wan Bridge</t>
        </is>
      </c>
      <c r="D12" s="13" t="inlineStr">
        <is>
          <t>Strong target</t>
        </is>
      </c>
      <c r="E12" s="14" t="n">
        <v>3</v>
      </c>
      <c r="F12" s="12" t="inlineStr">
        <is>
          <t>Buys walls</t>
        </is>
      </c>
      <c r="G12" s="12" t="inlineStr">
        <is>
          <t>Houston HQ / Harris, Fort Bend</t>
        </is>
      </c>
      <c r="H12" s="12" t="inlineStr">
        <is>
          <t>5 TX projects under way, 5-7 in pipeline (Apr 2025)</t>
        </is>
      </c>
      <c r="I12" s="14" t="inlineStr">
        <is>
          <t>Yes</t>
        </is>
      </c>
      <c r="J12" s="15" t="inlineStr">
        <is>
          <t>Five Texas projects under way, five to seven more in the pipeline.</t>
        </is>
      </c>
      <c r="K12" s="14" t="inlineStr">
        <is>
          <t>Yes</t>
        </is>
      </c>
      <c r="L12" s="15" t="inlineStr">
        <is>
          <t>Builds and holds whole build-to-rent communities, so the output is concentrated where a machine can stand still.</t>
        </is>
      </c>
      <c r="M12" s="14" t="inlineStr">
        <is>
          <t>Yes</t>
        </is>
      </c>
      <c r="N12" s="15" t="inlineStr">
        <is>
          <t>Six years building its own construction software, plus robotic site inspection.</t>
        </is>
      </c>
      <c r="O12" s="14" t="inlineStr">
        <is>
          <t>Partly</t>
        </is>
      </c>
      <c r="P12" s="6" t="inlineStr">
        <is>
          <t>https://www.linkedin.com/in/derrick-hughes-41109737/</t>
        </is>
      </c>
      <c r="Q12" s="12" t="inlineStr"/>
      <c r="R12" s="16">
        <f>IF(P12="","ADD LINKEDIN","ok")</f>
        <v/>
      </c>
      <c r="S12" s="12" t="inlineStr">
        <is>
          <t>https://wanbridge.com/</t>
        </is>
      </c>
      <c r="T12" s="15" t="inlineStr">
        <is>
          <t>Builds and holds build-to-rent. Spent six years on its own construction software and site robotics.</t>
        </is>
      </c>
      <c r="U12"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2" s="12" t="inlineStr"/>
      <c r="W12" s="15" t="inlineStr"/>
      <c r="X12" s="12" t="inlineStr"/>
      <c r="Y12" s="12" t="inlineStr">
        <is>
          <t>https://www.linkedin.com/company/wan-bridge-group/</t>
        </is>
      </c>
      <c r="Z12" s="12" t="inlineStr">
        <is>
          <t>https://wanbridge.com/leadership/</t>
        </is>
      </c>
    </row>
    <row r="13">
      <c r="A13" s="6" t="inlineStr">
        <is>
          <t>Randy Hutchinson</t>
        </is>
      </c>
      <c r="B13" s="6" t="inlineStr">
        <is>
          <t>Wan Bridge Group</t>
        </is>
      </c>
      <c r="C13" s="6" t="inlineStr">
        <is>
          <t>Vice President of Construction Operations, AiWB</t>
        </is>
      </c>
      <c r="D13" s="7" t="inlineStr">
        <is>
          <t>Strong target</t>
        </is>
      </c>
      <c r="E13" s="8" t="n">
        <v>3</v>
      </c>
      <c r="F13" s="6" t="inlineStr">
        <is>
          <t>Buys walls</t>
        </is>
      </c>
      <c r="G13" s="6" t="inlineStr">
        <is>
          <t>Houston HQ / Harris, Fort Bend</t>
        </is>
      </c>
      <c r="H13" s="6" t="inlineStr">
        <is>
          <t>5 TX projects under way, 5-7 in pipeline (Apr 2025)</t>
        </is>
      </c>
      <c r="I13" s="8" t="inlineStr">
        <is>
          <t>Yes</t>
        </is>
      </c>
      <c r="J13" s="9" t="inlineStr">
        <is>
          <t>Five Texas projects under way, five to seven more in the pipeline.</t>
        </is>
      </c>
      <c r="K13" s="8" t="inlineStr">
        <is>
          <t>Yes</t>
        </is>
      </c>
      <c r="L13" s="9" t="inlineStr">
        <is>
          <t>Builds and holds whole build-to-rent communities, so the output is concentrated where a machine can stand still.</t>
        </is>
      </c>
      <c r="M13" s="8" t="inlineStr">
        <is>
          <t>Yes</t>
        </is>
      </c>
      <c r="N13" s="9" t="inlineStr">
        <is>
          <t>Six years building its own construction software, plus robotic site inspection.</t>
        </is>
      </c>
      <c r="O13" s="8" t="inlineStr">
        <is>
          <t>Partly</t>
        </is>
      </c>
      <c r="P13" s="6" t="inlineStr">
        <is>
          <t>https://www.linkedin.com/in/randy-hutchinson-0b0a71124/</t>
        </is>
      </c>
      <c r="Q13" s="6" t="inlineStr"/>
      <c r="R13" s="11">
        <f>IF(P13="","ADD LINKEDIN","ok")</f>
        <v/>
      </c>
      <c r="S13" s="6" t="inlineStr">
        <is>
          <t>https://wanbridge.com/</t>
        </is>
      </c>
      <c r="T13" s="9" t="inlineStr">
        <is>
          <t>Builds and holds build-to-rent. Spent six years on its own construction software and site robotics.</t>
        </is>
      </c>
      <c r="U13" s="9"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3" s="6" t="inlineStr">
        <is>
          <t>YES</t>
        </is>
      </c>
      <c r="W13" s="9" t="inlineStr">
        <is>
          <t>Vice President of Construction Operations at AiWB. Greater Houston.</t>
        </is>
      </c>
      <c r="X13" s="6" t="inlineStr"/>
      <c r="Y13" s="6" t="inlineStr">
        <is>
          <t>https://www.linkedin.com/company/wan-bridge-group/</t>
        </is>
      </c>
      <c r="Z13" s="6" t="inlineStr">
        <is>
          <t>https://wanbridge.com/leadership/</t>
        </is>
      </c>
    </row>
    <row r="14">
      <c r="A14" s="12" t="inlineStr">
        <is>
          <t>John Serra</t>
        </is>
      </c>
      <c r="B14" s="12" t="inlineStr">
        <is>
          <t>Wan Bridge Group</t>
        </is>
      </c>
      <c r="C14" s="12" t="inlineStr">
        <is>
          <t>Purchasing Manager, AiWB</t>
        </is>
      </c>
      <c r="D14" s="13" t="inlineStr">
        <is>
          <t>Strong target</t>
        </is>
      </c>
      <c r="E14" s="14" t="n">
        <v>3</v>
      </c>
      <c r="F14" s="12" t="inlineStr">
        <is>
          <t>Buys walls</t>
        </is>
      </c>
      <c r="G14" s="12" t="inlineStr">
        <is>
          <t>Houston HQ / Harris, Fort Bend</t>
        </is>
      </c>
      <c r="H14" s="12" t="inlineStr">
        <is>
          <t>5 TX projects under way, 5-7 in pipeline (Apr 2025)</t>
        </is>
      </c>
      <c r="I14" s="14" t="inlineStr">
        <is>
          <t>Yes</t>
        </is>
      </c>
      <c r="J14" s="15" t="inlineStr">
        <is>
          <t>Five Texas projects under way, five to seven more in the pipeline.</t>
        </is>
      </c>
      <c r="K14" s="14" t="inlineStr">
        <is>
          <t>Yes</t>
        </is>
      </c>
      <c r="L14" s="15" t="inlineStr">
        <is>
          <t>Builds and holds whole build-to-rent communities, so the output is concentrated where a machine can stand still.</t>
        </is>
      </c>
      <c r="M14" s="14" t="inlineStr">
        <is>
          <t>Yes</t>
        </is>
      </c>
      <c r="N14" s="15" t="inlineStr">
        <is>
          <t>Six years building its own construction software, plus robotic site inspection.</t>
        </is>
      </c>
      <c r="O14" s="14" t="inlineStr">
        <is>
          <t>Partly</t>
        </is>
      </c>
      <c r="P14" s="6" t="inlineStr">
        <is>
          <t>https://www.linkedin.com/in/john-serra-b1b48394/</t>
        </is>
      </c>
      <c r="Q14" s="12" t="inlineStr"/>
      <c r="R14" s="16">
        <f>IF(P14="","ADD LINKEDIN","ok")</f>
        <v/>
      </c>
      <c r="S14" s="12" t="inlineStr">
        <is>
          <t>https://wanbridge.com/</t>
        </is>
      </c>
      <c r="T14" s="15" t="inlineStr">
        <is>
          <t>Builds and holds build-to-rent. Spent six years on its own construction software and site robotics.</t>
        </is>
      </c>
      <c r="U14" s="15" t="inlineStr">
        <is>
          <t>Wan Bridge appears to have been succeeded by AiWB. Ting Qiao's LinkedIn headline reads CEO of AiWB with Wan Bridge as co-founder, and the EVP of talent, VP of design, VP of construction operations, purchasing manager, HR and IT staff all show AiWB as current and Wan Bridge as past. Confirm which entity contracts before any approach. | Derrick Hughes has left Wan Bridge. LinkedIn shows him as COO at Sterling Creek Homes in Llano, Texas, with the Wan Bridge role listed as past. Ting Qiao is the remaining contact. | No disclosed fund size, financing figure or JV for Wan Bridge. Capital capacity inferred from concurrent project count, not from a stated figure. | LinkedIn URLs unsourced for both principals. Verify before outreach. | Four Wan Bridge leaders have left rather than moved: Derrick Hughes to Sterling Creek Homes, Binh Ngo (VP of Construction) to DNK Construction &amp; Design. Treat the 2025 project list as possibly stale.</t>
        </is>
      </c>
      <c r="V14" s="12" t="inlineStr">
        <is>
          <t>YES</t>
        </is>
      </c>
      <c r="W14" s="15" t="inlineStr">
        <is>
          <t>Purchasing Manager at AiWB. Houston, Texas.</t>
        </is>
      </c>
      <c r="X14" s="12" t="inlineStr"/>
      <c r="Y14" s="12" t="inlineStr">
        <is>
          <t>https://www.linkedin.com/company/wan-bridge-group/</t>
        </is>
      </c>
      <c r="Z14" s="12" t="inlineStr">
        <is>
          <t>https://wanbridge.com/leadership/</t>
        </is>
      </c>
    </row>
    <row r="15">
      <c r="A15" s="6" t="inlineStr">
        <is>
          <t>Frank Liu</t>
        </is>
      </c>
      <c r="B15" s="6" t="inlineStr">
        <is>
          <t>InTown Homes / Lovett Commercial (Frank Liu)</t>
        </is>
      </c>
      <c r="C15" s="6" t="inlineStr">
        <is>
          <t>Founder, InTown Homes; President, Lovett Commercial</t>
        </is>
      </c>
      <c r="D15" s="7" t="inlineStr">
        <is>
          <t>Strong target</t>
        </is>
      </c>
      <c r="E15" s="8" t="n">
        <v>3</v>
      </c>
      <c r="F15" s="6" t="inlineStr">
        <is>
          <t>Buys walls</t>
        </is>
      </c>
      <c r="G15" s="6" t="inlineStr">
        <is>
          <t>Inner-loop Houston, Harris County</t>
        </is>
      </c>
      <c r="H15" s="6" t="inlineStr">
        <is>
          <t>3-story attached townhomes, citywide volume</t>
        </is>
      </c>
      <c r="I15" s="8" t="inlineStr">
        <is>
          <t>Yes</t>
        </is>
      </c>
      <c r="J15" s="9" t="inlineStr">
        <is>
          <t>Three-storey townhomes repeated across inner Houston.</t>
        </is>
      </c>
      <c r="K15" s="8" t="inlineStr">
        <is>
          <t>Yes</t>
        </is>
      </c>
      <c r="L15" s="9" t="inlineStr">
        <is>
          <t>Three-storey attached townhomes at citywide volume, built by one owner who also develops the land.</t>
        </is>
      </c>
      <c r="M15" s="8" t="inlineStr">
        <is>
          <t>Partly</t>
        </is>
      </c>
      <c r="N15" s="9" t="inlineStr">
        <is>
          <t>Same owner commissioned OMA for POST Houston, on the commercial side of the business.</t>
        </is>
      </c>
      <c r="O15" s="8" t="inlineStr">
        <is>
          <t>Partly</t>
        </is>
      </c>
      <c r="P15" s="6" t="inlineStr">
        <is>
          <t>https://www.linkedin.com/in/frank-liu-b33247a/</t>
        </is>
      </c>
      <c r="Q15" s="6" t="inlineStr"/>
      <c r="R15" s="11">
        <f>IF(P15="","ADD LINKEDIN","ok")</f>
        <v/>
      </c>
      <c r="S15" s="6" t="inlineStr">
        <is>
          <t>https://intownhomes.com/</t>
        </is>
      </c>
      <c r="T15" s="9" t="inlineStr">
        <is>
          <t>Three-storey attached townhomes at citywide volume. The same owner commissioned OMA for POST Houston.</t>
        </is>
      </c>
      <c r="U15" s="9" t="inlineStr">
        <is>
          <t>InTown Homes, Lovett Commercial and Lovett Homes may be distinct legal entities under common ownership. Structure not disambiguated. | Frank Liu's exact title at each entity not confirmed on a company page. | InTown Homes names a supervisor and a warranty coordinator and no construction VP or director, which is consistent with a smaller operation where Frank Liu decides. | David Foor removed. LinkedIn shows him as an associate attorney at Ford + Bergner LLP with Lovett Commercial listed as past. Departed, and legal counsel is outside the relevance gate for this rolodex. | No unit counts or capital figures sourced for the townhome programme. | No LinkedIn profile is held for Frank Liu. No profile under that name is identifiable as the InTown and Lovett principal.</t>
        </is>
      </c>
      <c r="V15" s="6" t="inlineStr"/>
      <c r="W15" s="9" t="inlineStr">
        <is>
          <t>President at Lovett. Houston, Texas. A second Frank Liu at Lovett Commercial is a real estate specialist, not the principal.</t>
        </is>
      </c>
      <c r="X15" s="6" t="inlineStr"/>
      <c r="Y15" s="6" t="inlineStr">
        <is>
          <t>https://www.linkedin.com/company/intown-homes</t>
        </is>
      </c>
      <c r="Z15" s="6" t="inlineStr">
        <is>
          <t>https://www.lovettcommercial.com/about</t>
        </is>
      </c>
    </row>
    <row r="16">
      <c r="A16" s="12" t="inlineStr">
        <is>
          <t>Roderick Flint</t>
        </is>
      </c>
      <c r="B16" s="12" t="inlineStr">
        <is>
          <t>Brohn Homes</t>
        </is>
      </c>
      <c r="C16" s="12" t="inlineStr">
        <is>
          <t>Division President, Houston</t>
        </is>
      </c>
      <c r="D16" s="13" t="inlineStr">
        <is>
          <t>Strong target</t>
        </is>
      </c>
      <c r="E16" s="14" t="n">
        <v>3</v>
      </c>
      <c r="F16" s="12" t="inlineStr">
        <is>
          <t>Buys walls</t>
        </is>
      </c>
      <c r="G16" s="12" t="inlineStr">
        <is>
          <t>Austin, with a Houston division</t>
        </is>
      </c>
      <c r="H16" s="12" t="inlineStr">
        <is>
          <t>Average build time of 3.5 months</t>
        </is>
      </c>
      <c r="I16" s="14" t="inlineStr">
        <is>
          <t>Yes</t>
        </is>
      </c>
      <c r="J16" s="15" t="inlineStr">
        <is>
          <t>Communities across the north, west and south suburbs on a plan set inherited from HistoryMaker.</t>
        </is>
      </c>
      <c r="K16" s="14" t="inlineStr">
        <is>
          <t>Partly</t>
        </is>
      </c>
      <c r="L16" s="15" t="inlineStr">
        <is>
          <t>No Houston closings figure is published, and purchasing may sit with Clayton rather than locally.</t>
        </is>
      </c>
      <c r="M16" s="14" t="inlineStr">
        <is>
          <t>Partly</t>
        </is>
      </c>
      <c r="N16" s="15" t="inlineStr">
        <is>
          <t>It publishes an average build time of three and a half months across all products. A firm that measures and publishes cycle time has already made schedule a competitive variable.</t>
        </is>
      </c>
      <c r="O16" s="14" t="inlineStr">
        <is>
          <t>Yes</t>
        </is>
      </c>
      <c r="P16" s="10" t="inlineStr"/>
      <c r="Q16" s="12">
        <f>HYPERLINK("https://www.linkedin.com/search/results/people/?keywords=Roderick%20Flint%20Brohn%20Homes","search")</f>
        <v/>
      </c>
      <c r="R16" s="16">
        <f>IF(P16="","ADD LINKEDIN","ok")</f>
        <v/>
      </c>
      <c r="S16" s="12" t="inlineStr">
        <is>
          <t>https://www.brohnhomes.com/</t>
        </is>
      </c>
      <c r="T16" s="15" t="inlineStr">
        <is>
          <t>A published average build time of three and a half months, which is the shortest on record here, and Berkshire Hathaway capital behind it. Purchasing may run through the parent.</t>
        </is>
      </c>
      <c r="U16" s="15" t="inlineStr">
        <is>
          <t>Brohn sits under Clayton Properties Group, the homebuilding arm of Clayton Homes, which is owned by Berkshire Hathaway. Purchasing may run partly through the parent. Establish where the wall decision is made before spending time locally. | Whether Brohn's Houston division purchases locally or through Clayton's national desk is not published anywhere. Clayton describes Brohn as three affiliated entities under its umbrella, which says nothing about purchasing.</t>
        </is>
      </c>
      <c r="V16" s="12" t="inlineStr"/>
      <c r="W16" s="15" t="inlineStr">
        <is>
          <t>The firm's own post on the Houston launch names him Division President and quotes him on folding existing plans into Brohn's line.</t>
        </is>
      </c>
      <c r="X16" s="12" t="inlineStr">
        <is>
          <t>https://brohnhomes.com/community-impact-features-brohn-homes-houston-vision/</t>
        </is>
      </c>
      <c r="Y16" s="12" t="inlineStr"/>
      <c r="Z16" s="12" t="inlineStr"/>
    </row>
    <row r="17">
      <c r="A17" s="6" t="inlineStr">
        <is>
          <t>Rob Francescon</t>
        </is>
      </c>
      <c r="B17" s="6" t="inlineStr">
        <is>
          <t>Century Communities, Inc.</t>
        </is>
      </c>
      <c r="C17" s="6" t="inlineStr">
        <is>
          <t>Chief Executive Officer</t>
        </is>
      </c>
      <c r="D17" s="7" t="inlineStr">
        <is>
          <t>Strong target</t>
        </is>
      </c>
      <c r="E17" s="8" t="n">
        <v>3</v>
      </c>
      <c r="F17" s="6" t="inlineStr">
        <is>
          <t>Buys walls</t>
        </is>
      </c>
      <c r="G17" s="6" t="inlineStr">
        <is>
          <t>Greenwood Village HQ / Waller, Harris</t>
        </is>
      </c>
      <c r="H17" s="6" t="inlineStr">
        <is>
          <t>1,200 homes on 318 acres, Brookshire</t>
        </is>
      </c>
      <c r="I17" s="8" t="inlineStr">
        <is>
          <t>Yes</t>
        </is>
      </c>
      <c r="J17" s="9" t="inlineStr">
        <is>
          <t>1,200 homes on 318 acres, built from only 18 floor plans.</t>
        </is>
      </c>
      <c r="K17" s="8" t="inlineStr">
        <is>
          <t>Partly</t>
        </is>
      </c>
      <c r="L17" s="9" t="inlineStr">
        <is>
          <t>1,200 homes on one site is the right concentration, but Century buys nationally.</t>
        </is>
      </c>
      <c r="M17" s="8" t="inlineStr">
        <is>
          <t>Partly</t>
        </is>
      </c>
      <c r="N17" s="9" t="inlineStr">
        <is>
          <t>Record 112-day cycle and a 5 percent direct-cost cut, but no change of method.</t>
        </is>
      </c>
      <c r="O17" s="8" t="inlineStr">
        <is>
          <t>Yes</t>
        </is>
      </c>
      <c r="P17" s="10" t="inlineStr"/>
      <c r="Q17" s="6">
        <f>HYPERLINK("https://www.linkedin.com/search/results/people/?keywords=Rob%20Francescon%20Century%20Communities%2C%20Inc.","search")</f>
        <v/>
      </c>
      <c r="R17" s="11">
        <f>IF(P17="","ADD LINKEDIN","ok")</f>
        <v/>
      </c>
      <c r="S17" s="6" t="inlineStr">
        <is>
          <t>https://www.centurycommunities.com/</t>
        </is>
      </c>
      <c r="T17" s="9" t="inlineStr">
        <is>
          <t>1,200 homes across only 18 plans on one site, with a record 112-day cycle and a 5 percent direct-cost cut.</t>
        </is>
      </c>
      <c r="U17" s="9"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7" s="6" t="inlineStr"/>
      <c r="W17" s="9" t="inlineStr">
        <is>
          <t>Century's own executive management page. He became sole Chief Executive Officer and President on 1 January 2025, having been co-chief executive.</t>
        </is>
      </c>
      <c r="X17" s="6" t="inlineStr">
        <is>
          <t>https://investors.centurycommunities.com/governance/executive-management/default.aspx</t>
        </is>
      </c>
      <c r="Y17" s="6" t="inlineStr">
        <is>
          <t>https://www.linkedin.com/company/century-communities</t>
        </is>
      </c>
      <c r="Z17" s="6" t="inlineStr">
        <is>
          <t>https://investors.centurycommunities.com/governance/executive-management/default.aspx</t>
        </is>
      </c>
    </row>
    <row r="18">
      <c r="A18" s="12" t="inlineStr">
        <is>
          <t>Tanya Rizzo</t>
        </is>
      </c>
      <c r="B18" s="12" t="inlineStr">
        <is>
          <t>Century Communities, Inc.</t>
        </is>
      </c>
      <c r="C18" s="12" t="inlineStr">
        <is>
          <t>Houston Division President</t>
        </is>
      </c>
      <c r="D18" s="13" t="inlineStr">
        <is>
          <t>Strong target</t>
        </is>
      </c>
      <c r="E18" s="14" t="n">
        <v>3</v>
      </c>
      <c r="F18" s="12" t="inlineStr">
        <is>
          <t>Buys walls</t>
        </is>
      </c>
      <c r="G18" s="12" t="inlineStr">
        <is>
          <t>Greenwood Village HQ / Waller, Harris</t>
        </is>
      </c>
      <c r="H18" s="12" t="inlineStr">
        <is>
          <t>1,200 homes on 318 acres, Brookshire</t>
        </is>
      </c>
      <c r="I18" s="14" t="inlineStr">
        <is>
          <t>Yes</t>
        </is>
      </c>
      <c r="J18" s="15" t="inlineStr">
        <is>
          <t>1,200 homes on 318 acres, built from only 18 floor plans.</t>
        </is>
      </c>
      <c r="K18" s="14" t="inlineStr">
        <is>
          <t>Partly</t>
        </is>
      </c>
      <c r="L18" s="15" t="inlineStr">
        <is>
          <t>1,200 homes on one site is the right concentration, but Century buys nationally.</t>
        </is>
      </c>
      <c r="M18" s="14" t="inlineStr">
        <is>
          <t>Partly</t>
        </is>
      </c>
      <c r="N18" s="15" t="inlineStr">
        <is>
          <t>Record 112-day cycle and a 5 percent direct-cost cut, but no change of method.</t>
        </is>
      </c>
      <c r="O18" s="14" t="inlineStr">
        <is>
          <t>Yes</t>
        </is>
      </c>
      <c r="P18" s="6" t="inlineStr">
        <is>
          <t>https://www.linkedin.com/in/tanya-rizzo-75738016/</t>
        </is>
      </c>
      <c r="Q18" s="12" t="inlineStr"/>
      <c r="R18" s="16">
        <f>IF(P18="","ADD LINKEDIN","ok")</f>
        <v/>
      </c>
      <c r="S18" s="12" t="inlineStr">
        <is>
          <t>https://www.centurycommunities.com/</t>
        </is>
      </c>
      <c r="T18" s="15" t="inlineStr">
        <is>
          <t>1,200 homes across only 18 plans on one site, with a record 112-day cycle and a 5 percent direct-cost cut.</t>
        </is>
      </c>
      <c r="U18" s="15" t="inlineStr">
        <is>
          <t>Headquarters reported from general corporate record, not reconfirmed on a company page. | Century publishes a construction manager, a purchasing agent and a starts coordinator in Houston, all below the level that chooses a structural system. Tanya Rizzo is the one named contact. | No Century Communities statement on modular, panelized or printed construction located. | LinkedIn URLs unsourced for both principals.</t>
        </is>
      </c>
      <c r="V18" s="12" t="inlineStr"/>
      <c r="W18" s="15" t="inlineStr">
        <is>
          <t>Profile opened. Activity shows her recruiting for Century Communities, Inc. (NYSE:CCS) in Houston. Title from September 2026 trade press.</t>
        </is>
      </c>
      <c r="X18" s="12" t="inlineStr"/>
      <c r="Y18" s="12" t="inlineStr">
        <is>
          <t>https://www.linkedin.com/company/century-communities</t>
        </is>
      </c>
      <c r="Z18" s="12" t="inlineStr">
        <is>
          <t>https://investors.centurycommunities.com/governance/executive-management/default.aspx</t>
        </is>
      </c>
    </row>
    <row r="19">
      <c r="A19" s="6" t="inlineStr">
        <is>
          <t>John Winniford</t>
        </is>
      </c>
      <c r="B19" s="6" t="inlineStr">
        <is>
          <t>First America Homes</t>
        </is>
      </c>
      <c r="C19" s="6" t="inlineStr">
        <is>
          <t>President and Chief Executive Officer</t>
        </is>
      </c>
      <c r="D19" s="7" t="inlineStr">
        <is>
          <t>Strong target</t>
        </is>
      </c>
      <c r="E19" s="8" t="n">
        <v>3</v>
      </c>
      <c r="F19" s="6" t="inlineStr">
        <is>
          <t>Buys walls</t>
        </is>
      </c>
      <c r="G19" s="6" t="inlineStr">
        <is>
          <t>The Woodlands HQ / Liberty, Fort Bend</t>
        </is>
      </c>
      <c r="H19" s="6" t="inlineStr">
        <is>
          <t>1,300+ homes across 14 new communities</t>
        </is>
      </c>
      <c r="I19" s="8" t="inlineStr">
        <is>
          <t>Yes</t>
        </is>
      </c>
      <c r="J19" s="9" t="inlineStr">
        <is>
          <t>1,300 homes across 14 new communities, 359 at Valley Ranch.</t>
        </is>
      </c>
      <c r="K19" s="8" t="inlineStr">
        <is>
          <t>Partly</t>
        </is>
      </c>
      <c r="L19" s="9" t="inlineStr">
        <is>
          <t>About 750 closings last year across two markets. A machine would be a line inside the business rather than the business.</t>
        </is>
      </c>
      <c r="M19" s="8" t="inlineStr">
        <is>
          <t>Partly</t>
        </is>
      </c>
      <c r="N19" s="9" t="inlineStr">
        <is>
          <t>Markets its own wall assembly, though it is refined stick framing, not a new method.</t>
        </is>
      </c>
      <c r="O19" s="8" t="inlineStr">
        <is>
          <t>Partly</t>
        </is>
      </c>
      <c r="P19" s="10" t="inlineStr"/>
      <c r="Q19" s="6">
        <f>HYPERLINK("https://www.linkedin.com/search/results/people/?keywords=John%20Winniford%20First%20America%20Homes","search")</f>
        <v/>
      </c>
      <c r="R19" s="11">
        <f>IF(P19="","ADD LINKEDIN","ok")</f>
        <v/>
      </c>
      <c r="S19" s="6" t="inlineStr">
        <is>
          <t>https://www.firstamericahomes.com/</t>
        </is>
      </c>
      <c r="T19" s="9" t="inlineStr">
        <is>
          <t>1,300 homes a year and it markets its wall assembly. The parent owns the land, so no third party sits in the method decision.</t>
        </is>
      </c>
      <c r="U19"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19" s="6" t="inlineStr"/>
      <c r="W19" s="9" t="inlineStr">
        <is>
          <t>Signorelli's own bio page. President, Homebuilding, running First America across Greater Houston and San Antonio with Dallas next. Thirty years in homebuilding, and President and Chief Executive of Brightland Homes, formerly Gehan, for nearly a decade, where he delivered more than 22,000 homes from 2016. Texas A&amp;M finance degree. He has no usable LinkedIn profile: the only account under the name has one connection and reads owner in Austin.</t>
        </is>
      </c>
      <c r="X19" s="6" t="inlineStr">
        <is>
          <t>https://www.signorellicompany.com/our-leadership/34/john-winniford</t>
        </is>
      </c>
      <c r="Y19" s="6" t="inlineStr">
        <is>
          <t>https://www.linkedin.com/company/first-america-homes</t>
        </is>
      </c>
      <c r="Z19" s="6" t="inlineStr">
        <is>
          <t>https://www.firstamericahomes.com/about/</t>
        </is>
      </c>
    </row>
    <row r="20">
      <c r="A20" s="12" t="inlineStr">
        <is>
          <t>Danny Signorelli</t>
        </is>
      </c>
      <c r="B20" s="12" t="inlineStr">
        <is>
          <t>First America Homes</t>
        </is>
      </c>
      <c r="C20" s="12" t="inlineStr">
        <is>
          <t>Founder and Chief Executive Officer, The Signorelli Company</t>
        </is>
      </c>
      <c r="D20" s="13" t="inlineStr">
        <is>
          <t>Strong target</t>
        </is>
      </c>
      <c r="E20" s="14" t="n">
        <v>3</v>
      </c>
      <c r="F20" s="12" t="inlineStr">
        <is>
          <t>Buys walls</t>
        </is>
      </c>
      <c r="G20" s="12" t="inlineStr">
        <is>
          <t>The Woodlands HQ / Liberty, Fort Bend</t>
        </is>
      </c>
      <c r="H20" s="12" t="inlineStr">
        <is>
          <t>1,300+ homes across 14 new communities</t>
        </is>
      </c>
      <c r="I20" s="14" t="inlineStr">
        <is>
          <t>Yes</t>
        </is>
      </c>
      <c r="J20" s="15" t="inlineStr">
        <is>
          <t>1,300 homes across 14 new communities, 359 at Valley Ranch.</t>
        </is>
      </c>
      <c r="K20" s="14" t="inlineStr">
        <is>
          <t>Partly</t>
        </is>
      </c>
      <c r="L20" s="15" t="inlineStr">
        <is>
          <t>About 750 closings last year across two markets. A machine would be a line inside the business rather than the business.</t>
        </is>
      </c>
      <c r="M20" s="14" t="inlineStr">
        <is>
          <t>Partly</t>
        </is>
      </c>
      <c r="N20" s="15" t="inlineStr">
        <is>
          <t>Markets its own wall assembly, though it is refined stick framing, not a new method.</t>
        </is>
      </c>
      <c r="O20" s="14" t="inlineStr">
        <is>
          <t>Partly</t>
        </is>
      </c>
      <c r="P20" s="6" t="inlineStr">
        <is>
          <t>https://www.linkedin.com/in/danny-signorelli-6284461b/</t>
        </is>
      </c>
      <c r="Q20" s="12" t="inlineStr"/>
      <c r="R20" s="16">
        <f>IF(P20="","ADD LINKEDIN","ok")</f>
        <v/>
      </c>
      <c r="S20" s="12" t="inlineStr">
        <is>
          <t>https://www.firstamericahomes.com/</t>
        </is>
      </c>
      <c r="T20" s="15" t="inlineStr">
        <is>
          <t>1,300 homes a year and it markets its wall assembly. The parent owns the land, so no third party sits in the method decision.</t>
        </is>
      </c>
      <c r="U20"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0" s="12" t="inlineStr"/>
      <c r="W20" s="15" t="inlineStr">
        <is>
          <t>CEO, President, The Signorelli Company. Greater Houston.</t>
        </is>
      </c>
      <c r="X20" s="12" t="inlineStr"/>
      <c r="Y20" s="12" t="inlineStr">
        <is>
          <t>https://www.linkedin.com/company/first-america-homes</t>
        </is>
      </c>
      <c r="Z20" s="12" t="inlineStr">
        <is>
          <t>https://www.firstamericahomes.com/about/</t>
        </is>
      </c>
    </row>
    <row r="21">
      <c r="A21" s="6" t="inlineStr">
        <is>
          <t>Troy Robinson</t>
        </is>
      </c>
      <c r="B21" s="6" t="inlineStr">
        <is>
          <t>First America Homes</t>
        </is>
      </c>
      <c r="C21" s="6" t="inlineStr">
        <is>
          <t>Vice President of Construction, First America Homes</t>
        </is>
      </c>
      <c r="D21" s="7" t="inlineStr">
        <is>
          <t>Strong target</t>
        </is>
      </c>
      <c r="E21" s="8" t="n">
        <v>3</v>
      </c>
      <c r="F21" s="6" t="inlineStr">
        <is>
          <t>Buys walls</t>
        </is>
      </c>
      <c r="G21" s="6" t="inlineStr">
        <is>
          <t>The Woodlands HQ / Liberty, Fort Bend</t>
        </is>
      </c>
      <c r="H21" s="6" t="inlineStr">
        <is>
          <t>1,300+ homes across 14 new communities</t>
        </is>
      </c>
      <c r="I21" s="8" t="inlineStr">
        <is>
          <t>Yes</t>
        </is>
      </c>
      <c r="J21" s="9" t="inlineStr">
        <is>
          <t>1,300 homes across 14 new communities, 359 at Valley Ranch.</t>
        </is>
      </c>
      <c r="K21" s="8" t="inlineStr">
        <is>
          <t>Partly</t>
        </is>
      </c>
      <c r="L21" s="9" t="inlineStr">
        <is>
          <t>About 750 closings last year across two markets. A machine would be a line inside the business rather than the business.</t>
        </is>
      </c>
      <c r="M21" s="8" t="inlineStr">
        <is>
          <t>Partly</t>
        </is>
      </c>
      <c r="N21" s="9" t="inlineStr">
        <is>
          <t>Markets its own wall assembly, though it is refined stick framing, not a new method.</t>
        </is>
      </c>
      <c r="O21" s="8" t="inlineStr">
        <is>
          <t>Partly</t>
        </is>
      </c>
      <c r="P21" s="6" t="inlineStr">
        <is>
          <t>https://www.linkedin.com/in/troyjrobinson/</t>
        </is>
      </c>
      <c r="Q21" s="6" t="inlineStr"/>
      <c r="R21" s="11">
        <f>IF(P21="","ADD LINKEDIN","ok")</f>
        <v/>
      </c>
      <c r="S21" s="6" t="inlineStr">
        <is>
          <t>https://www.firstamericahomes.com/</t>
        </is>
      </c>
      <c r="T21" s="9" t="inlineStr">
        <is>
          <t>1,300 homes a year and it markets its wall assembly. The parent owns the land, so no third party sits in the method decision.</t>
        </is>
      </c>
      <c r="U21"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1" s="6" t="inlineStr">
        <is>
          <t>YES</t>
        </is>
      </c>
      <c r="W21" s="9" t="inlineStr">
        <is>
          <t>VP of Construction for First America Homes. Willis, Texas.</t>
        </is>
      </c>
      <c r="X21" s="6" t="inlineStr"/>
      <c r="Y21" s="6" t="inlineStr">
        <is>
          <t>https://www.linkedin.com/company/first-america-homes</t>
        </is>
      </c>
      <c r="Z21" s="6" t="inlineStr">
        <is>
          <t>https://www.firstamericahomes.com/about/</t>
        </is>
      </c>
    </row>
    <row r="22">
      <c r="A22" s="12" t="inlineStr">
        <is>
          <t>Mike Faul</t>
        </is>
      </c>
      <c r="B22" s="12" t="inlineStr">
        <is>
          <t>First America Homes</t>
        </is>
      </c>
      <c r="C22" s="12" t="inlineStr">
        <is>
          <t>Vice President of Purchasing, First America Homes</t>
        </is>
      </c>
      <c r="D22" s="13" t="inlineStr">
        <is>
          <t>Strong target</t>
        </is>
      </c>
      <c r="E22" s="14" t="n">
        <v>3</v>
      </c>
      <c r="F22" s="12" t="inlineStr">
        <is>
          <t>Buys walls</t>
        </is>
      </c>
      <c r="G22" s="12" t="inlineStr">
        <is>
          <t>The Woodlands HQ / Liberty, Fort Bend</t>
        </is>
      </c>
      <c r="H22" s="12" t="inlineStr">
        <is>
          <t>1,300+ homes across 14 new communities</t>
        </is>
      </c>
      <c r="I22" s="14" t="inlineStr">
        <is>
          <t>Yes</t>
        </is>
      </c>
      <c r="J22" s="15" t="inlineStr">
        <is>
          <t>1,300 homes across 14 new communities, 359 at Valley Ranch.</t>
        </is>
      </c>
      <c r="K22" s="14" t="inlineStr">
        <is>
          <t>Partly</t>
        </is>
      </c>
      <c r="L22" s="15" t="inlineStr">
        <is>
          <t>About 750 closings last year across two markets. A machine would be a line inside the business rather than the business.</t>
        </is>
      </c>
      <c r="M22" s="14" t="inlineStr">
        <is>
          <t>Partly</t>
        </is>
      </c>
      <c r="N22" s="15" t="inlineStr">
        <is>
          <t>Markets its own wall assembly, though it is refined stick framing, not a new method.</t>
        </is>
      </c>
      <c r="O22" s="14" t="inlineStr">
        <is>
          <t>Partly</t>
        </is>
      </c>
      <c r="P22" s="6" t="inlineStr">
        <is>
          <t>https://www.linkedin.com/in/mike-faul-a06b2a203/</t>
        </is>
      </c>
      <c r="Q22" s="12" t="inlineStr"/>
      <c r="R22" s="16">
        <f>IF(P22="","ADD LINKEDIN","ok")</f>
        <v/>
      </c>
      <c r="S22" s="12" t="inlineStr">
        <is>
          <t>https://www.firstamericahomes.com/</t>
        </is>
      </c>
      <c r="T22" s="15" t="inlineStr">
        <is>
          <t>1,300 homes a year and it markets its wall assembly. The parent owns the land, so no third party sits in the method decision.</t>
        </is>
      </c>
      <c r="U22" s="15"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2" s="12" t="inlineStr">
        <is>
          <t>YES</t>
        </is>
      </c>
      <c r="W22" s="15" t="inlineStr">
        <is>
          <t>Profile opened. Company line reads First America Homes. Magnolia, Texas. He took the role this year, after a fifteen-year incumbent left in April 2026.</t>
        </is>
      </c>
      <c r="X22" s="12" t="inlineStr"/>
      <c r="Y22" s="12" t="inlineStr">
        <is>
          <t>https://www.linkedin.com/company/first-america-homes</t>
        </is>
      </c>
      <c r="Z22" s="12" t="inlineStr">
        <is>
          <t>https://www.firstamericahomes.com/about/</t>
        </is>
      </c>
    </row>
    <row r="23">
      <c r="A23" s="6" t="inlineStr">
        <is>
          <t>David Assid</t>
        </is>
      </c>
      <c r="B23" s="6" t="inlineStr">
        <is>
          <t>First America Homes</t>
        </is>
      </c>
      <c r="C23" s="6" t="inlineStr">
        <is>
          <t>Division President, First America Homes</t>
        </is>
      </c>
      <c r="D23" s="7" t="inlineStr">
        <is>
          <t>Strong target</t>
        </is>
      </c>
      <c r="E23" s="8" t="n">
        <v>3</v>
      </c>
      <c r="F23" s="6" t="inlineStr">
        <is>
          <t>Buys walls</t>
        </is>
      </c>
      <c r="G23" s="6" t="inlineStr">
        <is>
          <t>The Woodlands HQ / Liberty, Fort Bend</t>
        </is>
      </c>
      <c r="H23" s="6" t="inlineStr">
        <is>
          <t>1,300+ homes across 14 new communities</t>
        </is>
      </c>
      <c r="I23" s="8" t="inlineStr">
        <is>
          <t>Yes</t>
        </is>
      </c>
      <c r="J23" s="9" t="inlineStr">
        <is>
          <t>1,300 homes across 14 new communities, 359 at Valley Ranch.</t>
        </is>
      </c>
      <c r="K23" s="8" t="inlineStr">
        <is>
          <t>Partly</t>
        </is>
      </c>
      <c r="L23" s="9" t="inlineStr">
        <is>
          <t>About 750 closings last year across two markets. A machine would be a line inside the business rather than the business.</t>
        </is>
      </c>
      <c r="M23" s="8" t="inlineStr">
        <is>
          <t>Partly</t>
        </is>
      </c>
      <c r="N23" s="9" t="inlineStr">
        <is>
          <t>Markets its own wall assembly, though it is refined stick framing, not a new method.</t>
        </is>
      </c>
      <c r="O23" s="8" t="inlineStr">
        <is>
          <t>Partly</t>
        </is>
      </c>
      <c r="P23" s="6" t="inlineStr">
        <is>
          <t>https://www.linkedin.com/in/davidassid/</t>
        </is>
      </c>
      <c r="Q23" s="6" t="inlineStr"/>
      <c r="R23" s="11">
        <f>IF(P23="","ADD LINKEDIN","ok")</f>
        <v/>
      </c>
      <c r="S23" s="6" t="inlineStr">
        <is>
          <t>https://www.firstamericahomes.com/</t>
        </is>
      </c>
      <c r="T23" s="9" t="inlineStr">
        <is>
          <t>1,300 homes a year and it markets its wall assembly. The parent owns the land, so no third party sits in the method decision.</t>
        </is>
      </c>
      <c r="U23" s="9" t="inlineStr">
        <is>
          <t>John Winniford holds a title at both Signorelli and First America, and it is the same man. He ran Gehan, then Brightland, as president and chief executive for nearly a decade and delivered more than 22,000 homes from 2016. He became president of First America on 17 September 2025 and holds the title President, Homebuilding at Signorelli, the parent. He spent that decade inside a builder owned by Sumitomo Forestry, a timber group, and left it. | Two of the three people who would have to agree are new. The president arrived in September 2025 and the purchasing lead changed in April 2026. | First America's purchasing changed hands this year. Kristen Rinewalt left in April 2026 after fifteen years running purchasing there, and Mike Faul now holds the title. Specifications are reviewed when a purchasing lead changes. | Her leaving post puts a figure on the volume from inside the company: eleven closings in her first year, 750 last year across two markets. That is the repeatability number, stated by the person who bought the materials for it. | She is now Vice President of Purchasing at Elk Ridge Homes in Conroe, a start-up acreage builder too small to be screened here, and sat on a 2026 Builder Innovator Summit panel on how homes get designed and built. She knows First America's cost base. | The wall-assembly blog post carries no publication date. Currency unconfirmed. | Advanced framing is a refinement of stick framing, not a non-standard system. Scored as partial appetite, not proven method risk. | No capital signal with a figure for First America Homes or its parent. | No LinkedIn profile is held for John Winniford. LinkedIn holds exactly one John Winniford: one connection, eight followers, headline owner, Austin. That is not a man who ran a builder of 22,000 homes. He is reachable through Signorelli's own bio page instead, which is linked on his row.</t>
        </is>
      </c>
      <c r="V23" s="6" t="inlineStr"/>
      <c r="W23" s="9" t="inlineStr">
        <is>
          <t>Division President, First America Homes. Houston, Texas.</t>
        </is>
      </c>
      <c r="X23" s="6" t="inlineStr"/>
      <c r="Y23" s="6" t="inlineStr">
        <is>
          <t>https://www.linkedin.com/company/first-america-homes</t>
        </is>
      </c>
      <c r="Z23" s="6" t="inlineStr">
        <is>
          <t>https://www.firstamericahomes.com/about/</t>
        </is>
      </c>
    </row>
    <row r="24">
      <c r="A24" s="12" t="inlineStr">
        <is>
          <t>Doug French</t>
        </is>
      </c>
      <c r="B24" s="12" t="inlineStr">
        <is>
          <t>Stylecraft Builders</t>
        </is>
      </c>
      <c r="C24" s="12" t="inlineStr">
        <is>
          <t>Owner, President and Chief Executive Officer</t>
        </is>
      </c>
      <c r="D24" s="13" t="inlineStr">
        <is>
          <t>Strong target</t>
        </is>
      </c>
      <c r="E24" s="14" t="n">
        <v>3</v>
      </c>
      <c r="F24" s="12" t="inlineStr">
        <is>
          <t>Buys walls</t>
        </is>
      </c>
      <c r="G24" s="12" t="inlineStr">
        <is>
          <t>College Station, building in Conroe and Huntsville</t>
        </is>
      </c>
      <c r="H24" s="12" t="inlineStr">
        <is>
          <t>973 homes and $310 million in 2025, up 17 percent</t>
        </is>
      </c>
      <c r="I24" s="14" t="inlineStr">
        <is>
          <t>Yes</t>
        </is>
      </c>
      <c r="J24" s="15" t="inlineStr">
        <is>
          <t>Eight or nine floor plans per community, named by square footage, repeated across the corridor.</t>
        </is>
      </c>
      <c r="K24" s="14" t="inlineStr">
        <is>
          <t>Partly</t>
        </is>
      </c>
      <c r="L24" s="15" t="inlineStr">
        <is>
          <t>973 homes in 2025 across Bryan-College Station, Conroe and Huntsville. Two machines would be a production line inside the business rather than the business.</t>
        </is>
      </c>
      <c r="M24" s="14" t="inlineStr">
        <is>
          <t>Partly</t>
        </is>
      </c>
      <c r="N24" s="15" t="inlineStr">
        <is>
          <t>It runs an even-flow production system, releasing a fixed number of starts a week rather than chasing demand. A firm that already thinks in takt time is one that can price a printer.</t>
        </is>
      </c>
      <c r="O24" s="14" t="inlineStr">
        <is>
          <t>Partly</t>
        </is>
      </c>
      <c r="P24" s="6" t="inlineStr">
        <is>
          <t>https://www.linkedin.com/in/doug-french-bb28b074/</t>
        </is>
      </c>
      <c r="Q24" s="12" t="inlineStr"/>
      <c r="R24" s="16">
        <f>IF(P24="","ADD LINKEDIN","ok")</f>
        <v/>
      </c>
      <c r="S24" s="12" t="inlineStr">
        <is>
          <t>https://www.stylecraft.com/</t>
        </is>
      </c>
      <c r="T24" s="15" t="inlineStr">
        <is>
          <t>973 homes in 2025 on a published even-flow model that releases a fixed number of starts a week. Eight or nine plans per community.</t>
        </is>
      </c>
      <c r="U24"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4" s="12" t="inlineStr"/>
      <c r="W24" s="15" t="inlineStr">
        <is>
          <t>Indexed title reads Doug French, Stylecraft Builders Inc. The firm's team page lists him as Owner, President and Chief Executive Officer. Team page lists Doug French, Owner, President and Chief Executive Officer.</t>
        </is>
      </c>
      <c r="X24" s="12" t="inlineStr">
        <is>
          <t>https://www.stylecraft.com/team/</t>
        </is>
      </c>
      <c r="Y24" s="12" t="inlineStr"/>
      <c r="Z24" s="12" t="inlineStr"/>
    </row>
    <row r="25">
      <c r="A25" s="6" t="inlineStr">
        <is>
          <t>Jordan York</t>
        </is>
      </c>
      <c r="B25" s="6" t="inlineStr">
        <is>
          <t>Stylecraft Builders</t>
        </is>
      </c>
      <c r="C25" s="6" t="inlineStr">
        <is>
          <t>Vice President of Construction</t>
        </is>
      </c>
      <c r="D25" s="7" t="inlineStr">
        <is>
          <t>Strong target</t>
        </is>
      </c>
      <c r="E25" s="8" t="n">
        <v>3</v>
      </c>
      <c r="F25" s="6" t="inlineStr">
        <is>
          <t>Buys walls</t>
        </is>
      </c>
      <c r="G25" s="6" t="inlineStr">
        <is>
          <t>College Station, building in Conroe and Huntsville</t>
        </is>
      </c>
      <c r="H25" s="6" t="inlineStr">
        <is>
          <t>973 homes and $310 million in 2025, up 17 percent</t>
        </is>
      </c>
      <c r="I25" s="8" t="inlineStr">
        <is>
          <t>Yes</t>
        </is>
      </c>
      <c r="J25" s="9" t="inlineStr">
        <is>
          <t>Eight or nine floor plans per community, named by square footage, repeated across the corridor.</t>
        </is>
      </c>
      <c r="K25" s="8" t="inlineStr">
        <is>
          <t>Partly</t>
        </is>
      </c>
      <c r="L25" s="9" t="inlineStr">
        <is>
          <t>973 homes in 2025 across Bryan-College Station, Conroe and Huntsville. Two machines would be a production line inside the business rather than the business.</t>
        </is>
      </c>
      <c r="M25" s="8" t="inlineStr">
        <is>
          <t>Partly</t>
        </is>
      </c>
      <c r="N25" s="9" t="inlineStr">
        <is>
          <t>It runs an even-flow production system, releasing a fixed number of starts a week rather than chasing demand. A firm that already thinks in takt time is one that can price a printer.</t>
        </is>
      </c>
      <c r="O25" s="8" t="inlineStr">
        <is>
          <t>Partly</t>
        </is>
      </c>
      <c r="P25" s="10" t="inlineStr"/>
      <c r="Q25" s="6">
        <f>HYPERLINK("https://www.linkedin.com/search/results/people/?keywords=Jordan%20York%20Stylecraft%20Builders","search")</f>
        <v/>
      </c>
      <c r="R25" s="11">
        <f>IF(P25="","ADD LINKEDIN","ok")</f>
        <v/>
      </c>
      <c r="S25" s="6" t="inlineStr">
        <is>
          <t>https://www.stylecraft.com/</t>
        </is>
      </c>
      <c r="T25" s="9" t="inlineStr">
        <is>
          <t>973 homes in 2025 on a published even-flow model that releases a fixed number of starts a week. Eight or nine plans per community.</t>
        </is>
      </c>
      <c r="U25"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5" s="6" t="inlineStr">
        <is>
          <t>YES</t>
        </is>
      </c>
      <c r="W25" s="9" t="inlineStr">
        <is>
          <t>Team page lists Jordan York, Vice President of Construction. The only LinkedIn profile under the name is a charter pilot.</t>
        </is>
      </c>
      <c r="X25" s="6" t="inlineStr">
        <is>
          <t>https://www.stylecraft.com/team/</t>
        </is>
      </c>
      <c r="Y25" s="6" t="inlineStr"/>
      <c r="Z25" s="6" t="inlineStr"/>
    </row>
    <row r="26">
      <c r="A26" s="12" t="inlineStr">
        <is>
          <t>Bruce Hendren</t>
        </is>
      </c>
      <c r="B26" s="12" t="inlineStr">
        <is>
          <t>Stylecraft Builders</t>
        </is>
      </c>
      <c r="C26" s="12" t="inlineStr">
        <is>
          <t>Vice President of Pre-Construction</t>
        </is>
      </c>
      <c r="D26" s="13" t="inlineStr">
        <is>
          <t>Strong target</t>
        </is>
      </c>
      <c r="E26" s="14" t="n">
        <v>3</v>
      </c>
      <c r="F26" s="12" t="inlineStr">
        <is>
          <t>Buys walls</t>
        </is>
      </c>
      <c r="G26" s="12" t="inlineStr">
        <is>
          <t>College Station, building in Conroe and Huntsville</t>
        </is>
      </c>
      <c r="H26" s="12" t="inlineStr">
        <is>
          <t>973 homes and $310 million in 2025, up 17 percent</t>
        </is>
      </c>
      <c r="I26" s="14" t="inlineStr">
        <is>
          <t>Yes</t>
        </is>
      </c>
      <c r="J26" s="15" t="inlineStr">
        <is>
          <t>Eight or nine floor plans per community, named by square footage, repeated across the corridor.</t>
        </is>
      </c>
      <c r="K26" s="14" t="inlineStr">
        <is>
          <t>Partly</t>
        </is>
      </c>
      <c r="L26" s="15" t="inlineStr">
        <is>
          <t>973 homes in 2025 across Bryan-College Station, Conroe and Huntsville. Two machines would be a production line inside the business rather than the business.</t>
        </is>
      </c>
      <c r="M26" s="14" t="inlineStr">
        <is>
          <t>Partly</t>
        </is>
      </c>
      <c r="N26" s="15" t="inlineStr">
        <is>
          <t>It runs an even-flow production system, releasing a fixed number of starts a week rather than chasing demand. A firm that already thinks in takt time is one that can price a printer.</t>
        </is>
      </c>
      <c r="O26" s="14" t="inlineStr">
        <is>
          <t>Partly</t>
        </is>
      </c>
      <c r="P26" s="6" t="inlineStr">
        <is>
          <t>https://www.linkedin.com/in/bruce-hendren-6a059068/</t>
        </is>
      </c>
      <c r="Q26" s="12" t="inlineStr"/>
      <c r="R26" s="16">
        <f>IF(P26="","ADD LINKEDIN","ok")</f>
        <v/>
      </c>
      <c r="S26" s="12" t="inlineStr">
        <is>
          <t>https://www.stylecraft.com/</t>
        </is>
      </c>
      <c r="T26" s="15" t="inlineStr">
        <is>
          <t>973 homes in 2025 on a published even-flow model that releases a fixed number of starts a week. Eight or nine plans per community.</t>
        </is>
      </c>
      <c r="U26" s="15"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6" s="12" t="inlineStr">
        <is>
          <t>YES</t>
        </is>
      </c>
      <c r="W26" s="15" t="inlineStr">
        <is>
          <t>Indexed title reads Bruce Hendren, Stylecraft. The firm's team page lists him as Vice President of Pre-Construction. Team page lists Bruce Hendren, Vice President of Pre-Construction.</t>
        </is>
      </c>
      <c r="X26" s="12" t="inlineStr">
        <is>
          <t>https://www.stylecraft.com/team/</t>
        </is>
      </c>
      <c r="Y26" s="12" t="inlineStr"/>
      <c r="Z26" s="12" t="inlineStr"/>
    </row>
    <row r="27">
      <c r="A27" s="6" t="inlineStr">
        <is>
          <t>Emily Runnion</t>
        </is>
      </c>
      <c r="B27" s="6" t="inlineStr">
        <is>
          <t>Stylecraft Builders</t>
        </is>
      </c>
      <c r="C27" s="6" t="inlineStr">
        <is>
          <t>Director of the South Six Construction Group</t>
        </is>
      </c>
      <c r="D27" s="7" t="inlineStr">
        <is>
          <t>Strong target</t>
        </is>
      </c>
      <c r="E27" s="8" t="n">
        <v>3</v>
      </c>
      <c r="F27" s="6" t="inlineStr">
        <is>
          <t>Buys walls</t>
        </is>
      </c>
      <c r="G27" s="6" t="inlineStr">
        <is>
          <t>College Station, building in Conroe and Huntsville</t>
        </is>
      </c>
      <c r="H27" s="6" t="inlineStr">
        <is>
          <t>973 homes and $310 million in 2025, up 17 percent</t>
        </is>
      </c>
      <c r="I27" s="8" t="inlineStr">
        <is>
          <t>Yes</t>
        </is>
      </c>
      <c r="J27" s="9" t="inlineStr">
        <is>
          <t>Eight or nine floor plans per community, named by square footage, repeated across the corridor.</t>
        </is>
      </c>
      <c r="K27" s="8" t="inlineStr">
        <is>
          <t>Partly</t>
        </is>
      </c>
      <c r="L27" s="9" t="inlineStr">
        <is>
          <t>973 homes in 2025 across Bryan-College Station, Conroe and Huntsville. Two machines would be a production line inside the business rather than the business.</t>
        </is>
      </c>
      <c r="M27" s="8" t="inlineStr">
        <is>
          <t>Partly</t>
        </is>
      </c>
      <c r="N27" s="9" t="inlineStr">
        <is>
          <t>It runs an even-flow production system, releasing a fixed number of starts a week rather than chasing demand. A firm that already thinks in takt time is one that can price a printer.</t>
        </is>
      </c>
      <c r="O27" s="8" t="inlineStr">
        <is>
          <t>Partly</t>
        </is>
      </c>
      <c r="P27" s="6" t="inlineStr">
        <is>
          <t>https://www.linkedin.com/in/emilyrunnion/</t>
        </is>
      </c>
      <c r="Q27" s="6" t="inlineStr"/>
      <c r="R27" s="11">
        <f>IF(P27="","ADD LINKEDIN","ok")</f>
        <v/>
      </c>
      <c r="S27" s="6" t="inlineStr">
        <is>
          <t>https://www.stylecraft.com/</t>
        </is>
      </c>
      <c r="T27" s="9" t="inlineStr">
        <is>
          <t>973 homes in 2025 on a published even-flow model that releases a fixed number of starts a week. Eight or nine plans per community.</t>
        </is>
      </c>
      <c r="U27" s="9" t="inlineStr">
        <is>
          <t>The 300-closings figure and the even-flow description come from a Builder Magazine profile of 2014 performance. The cadence model is on record; the current volume is not. | Individual profiles for the four named leaders were not found. They are named with titles on the firm's own team page, which is the citation. | The volume on file was more than 300 closings a year. HousingWire reports 973 homes and $310 million in 2025, up 17 percent. Printer fit moves from Yes to Partly on that figure.</t>
        </is>
      </c>
      <c r="V27" s="6" t="inlineStr"/>
      <c r="W27" s="9" t="inlineStr">
        <is>
          <t>Indexed title reads Emily Runnion, Stylecraft. The firm's team page lists her as Director of the South Six Construction Group. Team page lists Emily Runnion, Director of South Six Construction Group.</t>
        </is>
      </c>
      <c r="X27" s="6" t="inlineStr">
        <is>
          <t>https://www.stylecraft.com/team/</t>
        </is>
      </c>
      <c r="Y27" s="6" t="inlineStr"/>
      <c r="Z27" s="6" t="inlineStr"/>
    </row>
    <row r="28">
      <c r="A28" s="12" t="inlineStr">
        <is>
          <t>Mary Lawler</t>
        </is>
      </c>
      <c r="B28" s="12" t="inlineStr">
        <is>
          <t>Avenue CDC</t>
        </is>
      </c>
      <c r="C28" s="12" t="inlineStr">
        <is>
          <t>Chief Executive Officer</t>
        </is>
      </c>
      <c r="D28" s="13" t="inlineStr">
        <is>
          <t>Strong target</t>
        </is>
      </c>
      <c r="E28" s="14" t="n">
        <v>3</v>
      </c>
      <c r="F28" s="12" t="inlineStr">
        <is>
          <t>Buys walls</t>
        </is>
      </c>
      <c r="G28" s="12" t="inlineStr">
        <is>
          <t>Near Northside, Harris County</t>
        </is>
      </c>
      <c r="H28" s="12" t="inlineStr">
        <is>
          <t>5 named Near Northside developments</t>
        </is>
      </c>
      <c r="I28" s="14" t="inlineStr">
        <is>
          <t>Partly</t>
        </is>
      </c>
      <c r="J28" s="15" t="inlineStr">
        <is>
          <t>Five developments in one neighbourhood since 2002.</t>
        </is>
      </c>
      <c r="K28" s="14" t="inlineStr">
        <is>
          <t>Yes</t>
        </is>
      </c>
      <c r="L28" s="15" t="inlineStr">
        <is>
          <t>Five affordable developments in one neighbourhood, at a scale one machine covers.</t>
        </is>
      </c>
      <c r="M28" s="14" t="inlineStr">
        <is>
          <t>Partly</t>
        </is>
      </c>
      <c r="N28" s="15" t="inlineStr">
        <is>
          <t>Post-Harvey resilience framing, from Rice's Kinder Institute rather than its own marketing.</t>
        </is>
      </c>
      <c r="O28" s="14" t="inlineStr">
        <is>
          <t>No</t>
        </is>
      </c>
      <c r="P28" s="10" t="inlineStr"/>
      <c r="Q28" s="12">
        <f>HYPERLINK("https://www.linkedin.com/search/results/people/?keywords=Mary%20Lawler%20Avenue%20CDC","search")</f>
        <v/>
      </c>
      <c r="R28" s="16">
        <f>IF(P28="","ADD LINKEDIN","ok")</f>
        <v/>
      </c>
      <c r="S28" s="12" t="inlineStr">
        <is>
          <t>https://avenuecdc.org/</t>
        </is>
      </c>
      <c r="T28" s="15" t="inlineStr">
        <is>
          <t>Five affordable developments in one neighbourhood, framed post-Harvey by Rice's Kinder Institute. $3.4M is the only figure.</t>
        </is>
      </c>
      <c r="U28"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8" s="12" t="inlineStr"/>
      <c r="W28" s="15" t="inlineStr">
        <is>
          <t>Chief Executive Officer on Avenue's own board and staff page, marking twenty-five years of leadership.</t>
        </is>
      </c>
      <c r="X28" s="12" t="inlineStr">
        <is>
          <t>https://avenuecdc.org/about-us/board-staff/</t>
        </is>
      </c>
      <c r="Y28" s="12" t="inlineStr">
        <is>
          <t>https://www.linkedin.com/company/avenue-community-development-coporation</t>
        </is>
      </c>
      <c r="Z28" s="12" t="inlineStr">
        <is>
          <t>https://avenuecdc.org/about-us/board-staff/</t>
        </is>
      </c>
    </row>
    <row r="29">
      <c r="A29" s="6" t="inlineStr">
        <is>
          <t>Nicole Cassier</t>
        </is>
      </c>
      <c r="B29" s="6" t="inlineStr">
        <is>
          <t>Avenue CDC</t>
        </is>
      </c>
      <c r="C29" s="6" t="inlineStr">
        <is>
          <t>Chief Strategy Officer</t>
        </is>
      </c>
      <c r="D29" s="7" t="inlineStr">
        <is>
          <t>Strong target</t>
        </is>
      </c>
      <c r="E29" s="8" t="n">
        <v>3</v>
      </c>
      <c r="F29" s="6" t="inlineStr">
        <is>
          <t>Buys walls</t>
        </is>
      </c>
      <c r="G29" s="6" t="inlineStr">
        <is>
          <t>Near Northside, Harris County</t>
        </is>
      </c>
      <c r="H29" s="6" t="inlineStr">
        <is>
          <t>5 named Near Northside developments</t>
        </is>
      </c>
      <c r="I29" s="8" t="inlineStr">
        <is>
          <t>Partly</t>
        </is>
      </c>
      <c r="J29" s="9" t="inlineStr">
        <is>
          <t>Five developments in one neighbourhood since 2002.</t>
        </is>
      </c>
      <c r="K29" s="8" t="inlineStr">
        <is>
          <t>Yes</t>
        </is>
      </c>
      <c r="L29" s="9" t="inlineStr">
        <is>
          <t>Five affordable developments in one neighbourhood, at a scale one machine covers.</t>
        </is>
      </c>
      <c r="M29" s="8" t="inlineStr">
        <is>
          <t>Partly</t>
        </is>
      </c>
      <c r="N29" s="9" t="inlineStr">
        <is>
          <t>Post-Harvey resilience framing, from Rice's Kinder Institute rather than its own marketing.</t>
        </is>
      </c>
      <c r="O29" s="8" t="inlineStr">
        <is>
          <t>No</t>
        </is>
      </c>
      <c r="P29" s="6" t="inlineStr">
        <is>
          <t>https://www.linkedin.com/in/nicolecassier/</t>
        </is>
      </c>
      <c r="Q29" s="6" t="inlineStr"/>
      <c r="R29" s="11">
        <f>IF(P29="","ADD LINKEDIN","ok")</f>
        <v/>
      </c>
      <c r="S29" s="6" t="inlineStr">
        <is>
          <t>https://avenuecdc.org/</t>
        </is>
      </c>
      <c r="T29" s="9" t="inlineStr">
        <is>
          <t>Five affordable developments in one neighbourhood, framed post-Harvey by Rice's Kinder Institute. $3.4M is the only figure.</t>
        </is>
      </c>
      <c r="U29"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29" s="6" t="inlineStr"/>
      <c r="W29" s="9" t="inlineStr">
        <is>
          <t>Chief Strategy Officer, Housing &amp; Community Development. Surfaced on an Avenue CDC search.</t>
        </is>
      </c>
      <c r="X29" s="6" t="inlineStr"/>
      <c r="Y29" s="6" t="inlineStr">
        <is>
          <t>https://www.linkedin.com/company/avenue-community-development-coporation</t>
        </is>
      </c>
      <c r="Z29" s="6" t="inlineStr">
        <is>
          <t>https://avenuecdc.org/about-us/board-staff/</t>
        </is>
      </c>
    </row>
    <row r="30">
      <c r="A30" s="12" t="inlineStr">
        <is>
          <t>Karen Briggs Gwin</t>
        </is>
      </c>
      <c r="B30" s="12" t="inlineStr">
        <is>
          <t>Avenue CDC</t>
        </is>
      </c>
      <c r="C30" s="12" t="inlineStr">
        <is>
          <t>Chief Financial Officer</t>
        </is>
      </c>
      <c r="D30" s="13" t="inlineStr">
        <is>
          <t>Strong target</t>
        </is>
      </c>
      <c r="E30" s="14" t="n">
        <v>3</v>
      </c>
      <c r="F30" s="12" t="inlineStr">
        <is>
          <t>Buys walls</t>
        </is>
      </c>
      <c r="G30" s="12" t="inlineStr">
        <is>
          <t>Near Northside, Harris County</t>
        </is>
      </c>
      <c r="H30" s="12" t="inlineStr">
        <is>
          <t>5 named Near Northside developments</t>
        </is>
      </c>
      <c r="I30" s="14" t="inlineStr">
        <is>
          <t>Partly</t>
        </is>
      </c>
      <c r="J30" s="15" t="inlineStr">
        <is>
          <t>Five developments in one neighbourhood since 2002.</t>
        </is>
      </c>
      <c r="K30" s="14" t="inlineStr">
        <is>
          <t>Yes</t>
        </is>
      </c>
      <c r="L30" s="15" t="inlineStr">
        <is>
          <t>Five affordable developments in one neighbourhood, at a scale one machine covers.</t>
        </is>
      </c>
      <c r="M30" s="14" t="inlineStr">
        <is>
          <t>Partly</t>
        </is>
      </c>
      <c r="N30" s="15" t="inlineStr">
        <is>
          <t>Post-Harvey resilience framing, from Rice's Kinder Institute rather than its own marketing.</t>
        </is>
      </c>
      <c r="O30" s="14" t="inlineStr">
        <is>
          <t>No</t>
        </is>
      </c>
      <c r="P30" s="6" t="inlineStr">
        <is>
          <t>https://www.linkedin.com/in/karen-briggs-gwin-02106614/</t>
        </is>
      </c>
      <c r="Q30" s="12" t="inlineStr"/>
      <c r="R30" s="16">
        <f>IF(P30="","ADD LINKEDIN","ok")</f>
        <v/>
      </c>
      <c r="S30" s="12" t="inlineStr">
        <is>
          <t>https://avenuecdc.org/</t>
        </is>
      </c>
      <c r="T30" s="15" t="inlineStr">
        <is>
          <t>Five affordable developments in one neighbourhood, framed post-Harvey by Rice's Kinder Institute. $3.4M is the only figure.</t>
        </is>
      </c>
      <c r="U30" s="15"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0" s="12" t="inlineStr"/>
      <c r="W30" s="15" t="inlineStr">
        <is>
          <t>Chief Financial Officer, Avenue CDC. Greater Houston.</t>
        </is>
      </c>
      <c r="X30" s="12" t="inlineStr"/>
      <c r="Y30" s="12" t="inlineStr">
        <is>
          <t>https://www.linkedin.com/company/avenue-community-development-coporation</t>
        </is>
      </c>
      <c r="Z30" s="12" t="inlineStr">
        <is>
          <t>https://avenuecdc.org/about-us/board-staff/</t>
        </is>
      </c>
    </row>
    <row r="31">
      <c r="A31" s="6" t="inlineStr">
        <is>
          <t>Marilyn Vanderhider</t>
        </is>
      </c>
      <c r="B31" s="6" t="inlineStr">
        <is>
          <t>Avenue CDC</t>
        </is>
      </c>
      <c r="C31" s="6" t="inlineStr">
        <is>
          <t>Director of Single Family Housing, Avenue CDC</t>
        </is>
      </c>
      <c r="D31" s="7" t="inlineStr">
        <is>
          <t>Strong target</t>
        </is>
      </c>
      <c r="E31" s="8" t="n">
        <v>3</v>
      </c>
      <c r="F31" s="6" t="inlineStr">
        <is>
          <t>Buys walls</t>
        </is>
      </c>
      <c r="G31" s="6" t="inlineStr">
        <is>
          <t>Near Northside, Harris County</t>
        </is>
      </c>
      <c r="H31" s="6" t="inlineStr">
        <is>
          <t>5 named Near Northside developments</t>
        </is>
      </c>
      <c r="I31" s="8" t="inlineStr">
        <is>
          <t>Partly</t>
        </is>
      </c>
      <c r="J31" s="9" t="inlineStr">
        <is>
          <t>Five developments in one neighbourhood since 2002.</t>
        </is>
      </c>
      <c r="K31" s="8" t="inlineStr">
        <is>
          <t>Yes</t>
        </is>
      </c>
      <c r="L31" s="9" t="inlineStr">
        <is>
          <t>Five affordable developments in one neighbourhood, at a scale one machine covers.</t>
        </is>
      </c>
      <c r="M31" s="8" t="inlineStr">
        <is>
          <t>Partly</t>
        </is>
      </c>
      <c r="N31" s="9" t="inlineStr">
        <is>
          <t>Post-Harvey resilience framing, from Rice's Kinder Institute rather than its own marketing.</t>
        </is>
      </c>
      <c r="O31" s="8" t="inlineStr">
        <is>
          <t>No</t>
        </is>
      </c>
      <c r="P31" s="6" t="inlineStr">
        <is>
          <t>https://www.linkedin.com/in/marilyn-vanderhider-78a0b49/</t>
        </is>
      </c>
      <c r="Q31" s="6" t="inlineStr"/>
      <c r="R31" s="11">
        <f>IF(P31="","ADD LINKEDIN","ok")</f>
        <v/>
      </c>
      <c r="S31" s="6" t="inlineStr">
        <is>
          <t>https://avenuecdc.org/</t>
        </is>
      </c>
      <c r="T31" s="9" t="inlineStr">
        <is>
          <t>Five affordable developments in one neighbourhood, framed post-Harvey by Rice's Kinder Institute. $3.4M is the only figure.</t>
        </is>
      </c>
      <c r="U31" s="9" t="inlineStr">
        <is>
          <t>Kinder Institute framing sourced from a headline. Article not opened to confirm exact language. | Capital capacity is small relative to printer mobilisation economics. | No unit counts, addresses or completion dates for any of the five named developments. | Nicole Cassier's LinkedIn headline gives the title but not the employer. Verify before outreach.</t>
        </is>
      </c>
      <c r="V31" s="6" t="inlineStr">
        <is>
          <t>YES</t>
        </is>
      </c>
      <c r="W31" s="9" t="inlineStr">
        <is>
          <t>Director, Single Family Housing at Avenue Community Development Corporation. Houston, Texas. At a nonprofit developer this is the role that owns how the houses get built, not the chief executive.</t>
        </is>
      </c>
      <c r="X31" s="6" t="inlineStr"/>
      <c r="Y31" s="6" t="inlineStr">
        <is>
          <t>https://www.linkedin.com/company/avenue-community-development-coporation</t>
        </is>
      </c>
      <c r="Z31" s="6" t="inlineStr">
        <is>
          <t>https://avenuecdc.org/about-us/board-staff/</t>
        </is>
      </c>
    </row>
    <row r="32">
      <c r="A32" s="12" t="inlineStr">
        <is>
          <t>Klaus Keller</t>
        </is>
      </c>
      <c r="B32" s="12" t="inlineStr">
        <is>
          <t>Sueba USA Corporation</t>
        </is>
      </c>
      <c r="C32" s="12" t="inlineStr">
        <is>
          <t>President and Chief Executive Officer</t>
        </is>
      </c>
      <c r="D32" s="13" t="inlineStr">
        <is>
          <t>Strong target</t>
        </is>
      </c>
      <c r="E32" s="14" t="n">
        <v>3</v>
      </c>
      <c r="F32" s="12" t="inlineStr">
        <is>
          <t>Buys walls</t>
        </is>
      </c>
      <c r="G32" s="12" t="inlineStr">
        <is>
          <t>Houston HQ / Fort Bend</t>
        </is>
      </c>
      <c r="H32" s="12" t="inlineStr">
        <is>
          <t>346 units, in-house architect and GC</t>
        </is>
      </c>
      <c r="I32" s="14" t="inlineStr">
        <is>
          <t>Partly</t>
        </is>
      </c>
      <c r="J32" s="15" t="inlineStr">
        <is>
          <t>346 units on one site at Fort Bend Town Center.</t>
        </is>
      </c>
      <c r="K32" s="14" t="inlineStr">
        <is>
          <t>Yes</t>
        </is>
      </c>
      <c r="L32" s="15" t="inlineStr">
        <is>
          <t>346 units with its own architect and its own general contractor. No third party is in the decision.</t>
        </is>
      </c>
      <c r="M32" s="14" t="inlineStr">
        <is>
          <t>Partly</t>
        </is>
      </c>
      <c r="N32" s="15" t="inlineStr">
        <is>
          <t>Its own affiliates act as architect and general contractor, so nobody outside can veto a method.</t>
        </is>
      </c>
      <c r="O32" s="14" t="inlineStr">
        <is>
          <t>No</t>
        </is>
      </c>
      <c r="P32" s="6" t="inlineStr">
        <is>
          <t>https://www.linkedin.com/in/klaus-keller-56151334/</t>
        </is>
      </c>
      <c r="Q32" s="12" t="inlineStr"/>
      <c r="R32" s="16">
        <f>IF(P32="","ADD LINKEDIN","ok")</f>
        <v/>
      </c>
      <c r="S32" s="12" t="inlineStr">
        <is>
          <t>https://suebausa.com/</t>
        </is>
      </c>
      <c r="T32" s="15" t="inlineStr">
        <is>
          <t>346 units, with its own architect and general contractor in-house. No third party in a method decision.</t>
        </is>
      </c>
      <c r="U32"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2" s="12" t="inlineStr"/>
      <c r="W32" s="15" t="inlineStr">
        <is>
          <t>President at Sueba USA Corporation. Houston, Texas.</t>
        </is>
      </c>
      <c r="X32" s="12" t="inlineStr"/>
      <c r="Y32" s="12" t="inlineStr">
        <is>
          <t>https://www.linkedin.com/company/sueba-usa-corporation</t>
        </is>
      </c>
      <c r="Z32" s="12" t="inlineStr">
        <is>
          <t>https://suebausa.com/about-us/</t>
        </is>
      </c>
    </row>
    <row r="33">
      <c r="A33" s="6" t="inlineStr">
        <is>
          <t>John Chiang</t>
        </is>
      </c>
      <c r="B33" s="6" t="inlineStr">
        <is>
          <t>Sueba USA Corporation</t>
        </is>
      </c>
      <c r="C33" s="6" t="inlineStr">
        <is>
          <t>Executive Vice President and Chief Operating Officer</t>
        </is>
      </c>
      <c r="D33" s="7" t="inlineStr">
        <is>
          <t>Strong target</t>
        </is>
      </c>
      <c r="E33" s="8" t="n">
        <v>3</v>
      </c>
      <c r="F33" s="6" t="inlineStr">
        <is>
          <t>Buys walls</t>
        </is>
      </c>
      <c r="G33" s="6" t="inlineStr">
        <is>
          <t>Houston HQ / Fort Bend</t>
        </is>
      </c>
      <c r="H33" s="6" t="inlineStr">
        <is>
          <t>346 units, in-house architect and GC</t>
        </is>
      </c>
      <c r="I33" s="8" t="inlineStr">
        <is>
          <t>Partly</t>
        </is>
      </c>
      <c r="J33" s="9" t="inlineStr">
        <is>
          <t>346 units on one site at Fort Bend Town Center.</t>
        </is>
      </c>
      <c r="K33" s="8" t="inlineStr">
        <is>
          <t>Yes</t>
        </is>
      </c>
      <c r="L33" s="9" t="inlineStr">
        <is>
          <t>346 units with its own architect and its own general contractor. No third party is in the decision.</t>
        </is>
      </c>
      <c r="M33" s="8" t="inlineStr">
        <is>
          <t>Partly</t>
        </is>
      </c>
      <c r="N33" s="9" t="inlineStr">
        <is>
          <t>Its own affiliates act as architect and general contractor, so nobody outside can veto a method.</t>
        </is>
      </c>
      <c r="O33" s="8" t="inlineStr">
        <is>
          <t>No</t>
        </is>
      </c>
      <c r="P33" s="10" t="inlineStr"/>
      <c r="Q33" s="6">
        <f>HYPERLINK("https://www.linkedin.com/search/results/people/?keywords=John%20Chiang%20Sueba%20USA%20Corporation","search")</f>
        <v/>
      </c>
      <c r="R33" s="11">
        <f>IF(P33="","ADD LINKEDIN","ok")</f>
        <v/>
      </c>
      <c r="S33" s="6" t="inlineStr">
        <is>
          <t>https://suebausa.com/</t>
        </is>
      </c>
      <c r="T33" s="9" t="inlineStr">
        <is>
          <t>346 units, with its own architect and general contractor in-house. No third party in a method decision.</t>
        </is>
      </c>
      <c r="U33" s="9"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3" s="6" t="inlineStr"/>
      <c r="W33" s="9" t="inlineStr">
        <is>
          <t>Executive Vice President and Chief Operating Officer.</t>
        </is>
      </c>
      <c r="X33" s="6" t="inlineStr">
        <is>
          <t>https://suebausa.com/about-us/</t>
        </is>
      </c>
      <c r="Y33" s="6" t="inlineStr">
        <is>
          <t>https://www.linkedin.com/company/sueba-usa-corporation</t>
        </is>
      </c>
      <c r="Z33" s="6" t="inlineStr">
        <is>
          <t>https://suebausa.com/about-us/</t>
        </is>
      </c>
    </row>
    <row r="34">
      <c r="A34" s="12" t="inlineStr">
        <is>
          <t>Raymond Gabriele</t>
        </is>
      </c>
      <c r="B34" s="12" t="inlineStr">
        <is>
          <t>Sueba USA Corporation</t>
        </is>
      </c>
      <c r="C34" s="12" t="inlineStr">
        <is>
          <t>Vice President, Development</t>
        </is>
      </c>
      <c r="D34" s="13" t="inlineStr">
        <is>
          <t>Strong target</t>
        </is>
      </c>
      <c r="E34" s="14" t="n">
        <v>3</v>
      </c>
      <c r="F34" s="12" t="inlineStr">
        <is>
          <t>Buys walls</t>
        </is>
      </c>
      <c r="G34" s="12" t="inlineStr">
        <is>
          <t>Houston HQ / Fort Bend</t>
        </is>
      </c>
      <c r="H34" s="12" t="inlineStr">
        <is>
          <t>346 units, in-house architect and GC</t>
        </is>
      </c>
      <c r="I34" s="14" t="inlineStr">
        <is>
          <t>Partly</t>
        </is>
      </c>
      <c r="J34" s="15" t="inlineStr">
        <is>
          <t>346 units on one site at Fort Bend Town Center.</t>
        </is>
      </c>
      <c r="K34" s="14" t="inlineStr">
        <is>
          <t>Yes</t>
        </is>
      </c>
      <c r="L34" s="15" t="inlineStr">
        <is>
          <t>346 units with its own architect and its own general contractor. No third party is in the decision.</t>
        </is>
      </c>
      <c r="M34" s="14" t="inlineStr">
        <is>
          <t>Partly</t>
        </is>
      </c>
      <c r="N34" s="15" t="inlineStr">
        <is>
          <t>Its own affiliates act as architect and general contractor, so nobody outside can veto a method.</t>
        </is>
      </c>
      <c r="O34" s="14" t="inlineStr">
        <is>
          <t>No</t>
        </is>
      </c>
      <c r="P34" s="6" t="inlineStr">
        <is>
          <t>https://www.linkedin.com/in/raygabriele/</t>
        </is>
      </c>
      <c r="Q34" s="12" t="inlineStr"/>
      <c r="R34" s="16">
        <f>IF(P34="","ADD LINKEDIN","ok")</f>
        <v/>
      </c>
      <c r="S34" s="12" t="inlineStr">
        <is>
          <t>https://suebausa.com/</t>
        </is>
      </c>
      <c r="T34" s="15" t="inlineStr">
        <is>
          <t>346 units, with its own architect and general contractor in-house. No third party in a method decision.</t>
        </is>
      </c>
      <c r="U34" s="15" t="inlineStr">
        <is>
          <t>A LinkedIn URL for Klaus Keller appeared in search results but was not opened and is not stored. | Raymond Gabriele is listed AIA on LinkedIn, so the in-house architect that makes Sueba's vertical integration real is a named, reachable person. He is the method decision-maker here, not the president. | No specific offsite, modular or panelized precedent found. Innovation score rests on vertical integration as a structural argument. | No project cost or financing figure.</t>
        </is>
      </c>
      <c r="V34" s="12" t="inlineStr">
        <is>
          <t>YES</t>
        </is>
      </c>
      <c r="W34" s="15" t="inlineStr">
        <is>
          <t>Real Estate Development, Sueba USA Corporation. Houston, Texas. Listed AIA, so he is the licensed architect inside the firm that designs and builds its own work.</t>
        </is>
      </c>
      <c r="X34" s="12" t="inlineStr"/>
      <c r="Y34" s="12" t="inlineStr">
        <is>
          <t>https://www.linkedin.com/company/sueba-usa-corporation</t>
        </is>
      </c>
      <c r="Z34" s="12" t="inlineStr">
        <is>
          <t>https://suebausa.com/about-us/</t>
        </is>
      </c>
    </row>
    <row r="35">
      <c r="A35" s="6" t="inlineStr">
        <is>
          <t>Michael Hundl</t>
        </is>
      </c>
      <c r="B35" s="6" t="inlineStr">
        <is>
          <t>Chesmar Homes</t>
        </is>
      </c>
      <c r="C35" s="6" t="inlineStr">
        <is>
          <t>Vice President of Construction, Houston North, Chesmar Homes</t>
        </is>
      </c>
      <c r="D35" s="7" t="inlineStr">
        <is>
          <t>Strong target</t>
        </is>
      </c>
      <c r="E35" s="8" t="n">
        <v>3</v>
      </c>
      <c r="F35" s="6" t="inlineStr">
        <is>
          <t>Buys walls</t>
        </is>
      </c>
      <c r="G35" s="6" t="inlineStr">
        <is>
          <t>Spring, Harris-Montgomery</t>
        </is>
      </c>
      <c r="H35" s="6" t="inlineStr"/>
      <c r="I35" s="8" t="inlineStr">
        <is>
          <t>Partly</t>
        </is>
      </c>
      <c r="J35" s="9" t="inlineStr">
        <is>
          <t>Builder at Sienna, with four Texas divisions.</t>
        </is>
      </c>
      <c r="K35" s="8" t="inlineStr">
        <is>
          <t>Partly</t>
        </is>
      </c>
      <c r="L35" s="9" t="inlineStr">
        <is>
          <t>Four Texas divisions under a Japanese parent. Volume is above the band and the parent is industrialising on its own terms.</t>
        </is>
      </c>
      <c r="M35" s="8" t="inlineStr">
        <is>
          <t>Partly</t>
        </is>
      </c>
      <c r="N35" s="9" t="inlineStr">
        <is>
          <t>Folded into Sekisui House U.S. in January 2026 under a stated mission to transfer Sekisui construction technology into the legacy brands.</t>
        </is>
      </c>
      <c r="O35" s="8" t="inlineStr">
        <is>
          <t>No</t>
        </is>
      </c>
      <c r="P35" s="6" t="inlineStr">
        <is>
          <t>https://www.linkedin.com/in/michael-hundl-2a279025/</t>
        </is>
      </c>
      <c r="Q35" s="6" t="inlineStr"/>
      <c r="R35" s="11">
        <f>IF(P35="","ADD LINKEDIN","ok")</f>
        <v/>
      </c>
      <c r="S35" s="6" t="inlineStr">
        <is>
          <t>https://www.chesmar.com/</t>
        </is>
      </c>
      <c r="T35" s="9" t="inlineStr">
        <is>
          <t>Now part of Sekisui House U.S., whose stated mission is transferring Japanese construction technology into its US brands. Nothing has reached Texas yet.</t>
        </is>
      </c>
      <c r="U35"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5" s="6" t="inlineStr">
        <is>
          <t>YES</t>
        </is>
      </c>
      <c r="W35" s="9" t="inlineStr">
        <is>
          <t>VP of Construction Houston North, Chesmar Homes. Spring, Texas.</t>
        </is>
      </c>
      <c r="X35" s="6" t="inlineStr"/>
      <c r="Y35" s="6" t="inlineStr">
        <is>
          <t>https://www.linkedin.com/company/chesmar-homes</t>
        </is>
      </c>
      <c r="Z35" s="6" t="inlineStr"/>
    </row>
    <row r="36">
      <c r="A36" s="12" t="inlineStr">
        <is>
          <t>Dan Renaud</t>
        </is>
      </c>
      <c r="B36" s="12" t="inlineStr">
        <is>
          <t>Chesmar Homes</t>
        </is>
      </c>
      <c r="C36" s="12" t="inlineStr">
        <is>
          <t>Vice President of Construction Operations, Chesmar Homes</t>
        </is>
      </c>
      <c r="D36" s="13" t="inlineStr">
        <is>
          <t>Strong target</t>
        </is>
      </c>
      <c r="E36" s="14" t="n">
        <v>3</v>
      </c>
      <c r="F36" s="12" t="inlineStr">
        <is>
          <t>Buys walls</t>
        </is>
      </c>
      <c r="G36" s="12" t="inlineStr">
        <is>
          <t>Spring, Harris-Montgomery</t>
        </is>
      </c>
      <c r="H36" s="12" t="inlineStr"/>
      <c r="I36" s="14" t="inlineStr">
        <is>
          <t>Partly</t>
        </is>
      </c>
      <c r="J36" s="15" t="inlineStr">
        <is>
          <t>Builder at Sienna, with four Texas divisions.</t>
        </is>
      </c>
      <c r="K36" s="14" t="inlineStr">
        <is>
          <t>Partly</t>
        </is>
      </c>
      <c r="L36" s="15" t="inlineStr">
        <is>
          <t>Four Texas divisions under a Japanese parent. Volume is above the band and the parent is industrialising on its own terms.</t>
        </is>
      </c>
      <c r="M36" s="14" t="inlineStr">
        <is>
          <t>Partly</t>
        </is>
      </c>
      <c r="N36" s="15" t="inlineStr">
        <is>
          <t>Folded into Sekisui House U.S. in January 2026 under a stated mission to transfer Sekisui construction technology into the legacy brands.</t>
        </is>
      </c>
      <c r="O36" s="14" t="inlineStr">
        <is>
          <t>No</t>
        </is>
      </c>
      <c r="P36" s="6" t="inlineStr">
        <is>
          <t>https://www.linkedin.com/in/dan-renaud-8b244719/</t>
        </is>
      </c>
      <c r="Q36" s="12" t="inlineStr"/>
      <c r="R36" s="16">
        <f>IF(P36="","ADD LINKEDIN","ok")</f>
        <v/>
      </c>
      <c r="S36" s="12" t="inlineStr">
        <is>
          <t>https://www.chesmar.com/</t>
        </is>
      </c>
      <c r="T36" s="15" t="inlineStr">
        <is>
          <t>Now part of Sekisui House U.S., whose stated mission is transferring Japanese construction technology into its US brands. Nothing has reached Texas yet.</t>
        </is>
      </c>
      <c r="U36" s="15"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6" s="12" t="inlineStr">
        <is>
          <t>YES</t>
        </is>
      </c>
      <c r="W36" s="15" t="inlineStr">
        <is>
          <t>Vice President of Construction Operations at Chesmar Homes. Houston, Texas.</t>
        </is>
      </c>
      <c r="X36" s="12" t="inlineStr"/>
      <c r="Y36" s="12" t="inlineStr">
        <is>
          <t>https://www.linkedin.com/company/chesmar-homes</t>
        </is>
      </c>
      <c r="Z36" s="12" t="inlineStr"/>
    </row>
    <row r="37">
      <c r="A37" s="6" t="inlineStr">
        <is>
          <t>David Ebarb</t>
        </is>
      </c>
      <c r="B37" s="6" t="inlineStr">
        <is>
          <t>Chesmar Homes</t>
        </is>
      </c>
      <c r="C37" s="6" t="inlineStr">
        <is>
          <t>Vice President of Purchasing, Chesmar Homes</t>
        </is>
      </c>
      <c r="D37" s="7" t="inlineStr">
        <is>
          <t>Strong target</t>
        </is>
      </c>
      <c r="E37" s="8" t="n">
        <v>3</v>
      </c>
      <c r="F37" s="6" t="inlineStr">
        <is>
          <t>Buys walls</t>
        </is>
      </c>
      <c r="G37" s="6" t="inlineStr">
        <is>
          <t>Spring, Harris-Montgomery</t>
        </is>
      </c>
      <c r="H37" s="6" t="inlineStr"/>
      <c r="I37" s="8" t="inlineStr">
        <is>
          <t>Partly</t>
        </is>
      </c>
      <c r="J37" s="9" t="inlineStr">
        <is>
          <t>Builder at Sienna, with four Texas divisions.</t>
        </is>
      </c>
      <c r="K37" s="8" t="inlineStr">
        <is>
          <t>Partly</t>
        </is>
      </c>
      <c r="L37" s="9" t="inlineStr">
        <is>
          <t>Four Texas divisions under a Japanese parent. Volume is above the band and the parent is industrialising on its own terms.</t>
        </is>
      </c>
      <c r="M37" s="8" t="inlineStr">
        <is>
          <t>Partly</t>
        </is>
      </c>
      <c r="N37" s="9" t="inlineStr">
        <is>
          <t>Folded into Sekisui House U.S. in January 2026 under a stated mission to transfer Sekisui construction technology into the legacy brands.</t>
        </is>
      </c>
      <c r="O37" s="8" t="inlineStr">
        <is>
          <t>No</t>
        </is>
      </c>
      <c r="P37" s="6" t="inlineStr">
        <is>
          <t>https://www.linkedin.com/in/david-ebarb-73388541/</t>
        </is>
      </c>
      <c r="Q37" s="6" t="inlineStr"/>
      <c r="R37" s="11">
        <f>IF(P37="","ADD LINKEDIN","ok")</f>
        <v/>
      </c>
      <c r="S37" s="6" t="inlineStr">
        <is>
          <t>https://www.chesmar.com/</t>
        </is>
      </c>
      <c r="T37" s="9" t="inlineStr">
        <is>
          <t>Now part of Sekisui House U.S., whose stated mission is transferring Japanese construction technology into its US brands. Nothing has reached Texas yet.</t>
        </is>
      </c>
      <c r="U37" s="9" t="inlineStr">
        <is>
          <t>Sekisui House of Japan bought Chesmar on 10 June 2022 for about $514 million. On 4 September 2025 Sekisui announced consolidating M.D.C. Holdings, Woodside, Holt and Chesmar into one company to accelerate the transfer of Sekisui technology into the US market, with the full structure from January 2026. Builder Magazine reported on 12 January 2026 that Sekisui is transferring its technology and product platforms into those brands, naming Chesmar. | The commitment is documented at parent level and has not reached Texas. Every description of SHAWOOD manufacturing places frame fabrication in Japan for assembly on US sites. No US factory or panel line is announced, no Sekisui executive holds a Chesmar title, and no change to Chesmar's wall or framing method in Houston is on record. | Risk to weigh against the opening: Sekisui plans a SHAWOOD-derived product line launch by the end of 2026. A parent that industrialises on its own terms could compete with a printed wall rather than adopt one. | This is the opposite result to the Daiwa test at CastleRock, where no transfer was found at all, and softer than Sumitomo at Brightland, where the parent has put physical capital into a competing wood system. | Chesmar publishes no construction-method or technology content. The count reflects an absent record.</t>
        </is>
      </c>
      <c r="V37" s="6" t="inlineStr">
        <is>
          <t>YES</t>
        </is>
      </c>
      <c r="W37" s="9" t="inlineStr">
        <is>
          <t>Vice President of Purchasing at Chesmar Home. Houston, Texas.</t>
        </is>
      </c>
      <c r="X37" s="6" t="inlineStr"/>
      <c r="Y37" s="6" t="inlineStr">
        <is>
          <t>https://www.linkedin.com/company/chesmar-homes</t>
        </is>
      </c>
      <c r="Z37" s="6" t="inlineStr"/>
    </row>
    <row r="38">
      <c r="A38" s="12" t="inlineStr">
        <is>
          <t>George Kopecky</t>
        </is>
      </c>
      <c r="B38" s="12" t="inlineStr">
        <is>
          <t>GreenEco Builders</t>
        </is>
      </c>
      <c r="C38" s="12" t="inlineStr">
        <is>
          <t>President</t>
        </is>
      </c>
      <c r="D38" s="13" t="inlineStr">
        <is>
          <t>Strong target</t>
        </is>
      </c>
      <c r="E38" s="14" t="n">
        <v>3</v>
      </c>
      <c r="F38" s="12" t="inlineStr">
        <is>
          <t>Buys walls</t>
        </is>
      </c>
      <c r="G38" s="12" t="inlineStr">
        <is>
          <t>Tavola, New Caney</t>
        </is>
      </c>
      <c r="H38" s="12" t="inlineStr">
        <is>
          <t>Orders windows per home to keep adopting newer products</t>
        </is>
      </c>
      <c r="I38" s="14" t="inlineStr">
        <is>
          <t>Partly</t>
        </is>
      </c>
      <c r="J38" s="15" t="inlineStr">
        <is>
          <t>One confirmed community, Tavola in New Caney. The footprint is small.</t>
        </is>
      </c>
      <c r="K38" s="14" t="inlineStr">
        <is>
          <t>Partly</t>
        </is>
      </c>
      <c r="L38" s="15" t="inlineStr">
        <is>
          <t>Owned by Rausch Coleman Homes since 2020. No volume figure is published for the brand, and purchasing may sit with the parent.</t>
        </is>
      </c>
      <c r="M38" s="14" t="inlineStr">
        <is>
          <t>Partly</t>
        </is>
      </c>
      <c r="N38" s="15" t="inlineStr">
        <is>
          <t>It orders windows per home rather than per community specifically so it can adopt newer energy products as they appear. That is a procurement habit built for method change.</t>
        </is>
      </c>
      <c r="O38" s="14" t="inlineStr">
        <is>
          <t>No</t>
        </is>
      </c>
      <c r="P38" s="6" t="inlineStr">
        <is>
          <t>https://www.linkedin.com/in/george-kopecky-7ba08a26/</t>
        </is>
      </c>
      <c r="Q38" s="12" t="inlineStr"/>
      <c r="R38" s="16">
        <f>IF(P38="","ADD LINKEDIN","ok")</f>
        <v/>
      </c>
      <c r="S38" s="12" t="inlineStr">
        <is>
          <t>https://greenecobuilders.com/</t>
        </is>
      </c>
      <c r="T38" s="15" t="inlineStr">
        <is>
          <t>Orders windows per home rather than per community so it can adopt newer products. Owned by Rausch Coleman Homes since 2020.</t>
        </is>
      </c>
      <c r="U38" s="15" t="inlineStr">
        <is>
          <t>GreenEco was acquired by Rausch Coleman Homes of Fayetteville, Arkansas in 2020, on the acquirer's own account in trade press. It still sells under its own name in Houston listings. Confirm whether purchasing sits in Katy or in Fayetteville before an approach. | No leadership, no volume and no price band are published. The per-home window ordering is the only method evidence on record.</t>
        </is>
      </c>
      <c r="V38" s="12" t="inlineStr"/>
      <c r="W38" s="15" t="inlineStr">
        <is>
          <t>Indexed title reads George Kopecky, President at GreenEco Builders. Named as the firm's principal in trade coverage of the 2020 sale to Rausch Coleman.</t>
        </is>
      </c>
      <c r="X38" s="12" t="inlineStr"/>
      <c r="Y38" s="12" t="inlineStr"/>
      <c r="Z38" s="12" t="inlineStr"/>
    </row>
    <row r="39">
      <c r="A39" s="6" t="inlineStr">
        <is>
          <t>Kevin Holland</t>
        </is>
      </c>
      <c r="B39" s="6" t="inlineStr">
        <is>
          <t>Cervelle Homes</t>
        </is>
      </c>
      <c r="C39" s="6" t="inlineStr">
        <is>
          <t>Leads the firm with John Payson; no title published</t>
        </is>
      </c>
      <c r="D39" s="7" t="inlineStr">
        <is>
          <t>Worth pursuing, one gap</t>
        </is>
      </c>
      <c r="E39" s="8" t="n">
        <v>2</v>
      </c>
      <c r="F39" s="6" t="inlineStr">
        <is>
          <t>Buys walls</t>
        </is>
      </c>
      <c r="G39" s="6" t="inlineStr">
        <is>
          <t>Friendswood, Galveston-Harris</t>
        </is>
      </c>
      <c r="H39" s="6" t="inlineStr">
        <is>
          <t>150 to 200 homes a year since 1990</t>
        </is>
      </c>
      <c r="I39" s="8" t="inlineStr">
        <is>
          <t>Yes</t>
        </is>
      </c>
      <c r="J39" s="9" t="inlineStr">
        <is>
          <t>Between 150 and 200 homes a year, every year, in the same southeast Houston corridor.</t>
        </is>
      </c>
      <c r="K39" s="8" t="inlineStr">
        <is>
          <t>Yes</t>
        </is>
      </c>
      <c r="L39" s="9" t="inlineStr">
        <is>
          <t>At that volume one machine is a meaningful share of output rather than a pilot.</t>
        </is>
      </c>
      <c r="M39" s="8" t="inlineStr">
        <is>
          <t>No</t>
        </is>
      </c>
      <c r="N39" s="9" t="inlineStr">
        <is>
          <t>No method statement on record. The efficiency claim is about using the same trades since 1990.</t>
        </is>
      </c>
      <c r="O39" s="8" t="inlineStr">
        <is>
          <t>Partly</t>
        </is>
      </c>
      <c r="P39" s="10" t="inlineStr"/>
      <c r="Q39" s="6">
        <f>HYPERLINK("https://www.linkedin.com/search/results/people/?keywords=Kevin%20Holland%20Cervelle%20Homes","search")</f>
        <v/>
      </c>
      <c r="R39" s="11">
        <f>IF(P39="","ADD LINKEDIN","ok")</f>
        <v/>
      </c>
      <c r="S39" s="6" t="inlineStr">
        <is>
          <t>https://www.cervellehomes.com/</t>
        </is>
      </c>
      <c r="T39" s="9" t="inlineStr">
        <is>
          <t>150 to 200 homes a year from two standing plan families in one corridor. Inside the band one machine serves.</t>
        </is>
      </c>
      <c r="U39" s="9"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39" s="6" t="inlineStr"/>
      <c r="W39" s="9" t="inlineStr">
        <is>
          <t>Homepage: the founder's standards carry forward under the guidance of Kevin Holland and John Payson. No title is published anywhere.</t>
        </is>
      </c>
      <c r="X39" s="6" t="inlineStr">
        <is>
          <t>https://www.cervellehomes.com/</t>
        </is>
      </c>
      <c r="Y39" s="6" t="inlineStr"/>
      <c r="Z39" s="6" t="inlineStr"/>
    </row>
    <row r="40">
      <c r="A40" s="12" t="inlineStr">
        <is>
          <t>John Payson</t>
        </is>
      </c>
      <c r="B40" s="12" t="inlineStr">
        <is>
          <t>Cervelle Homes</t>
        </is>
      </c>
      <c r="C40" s="12" t="inlineStr">
        <is>
          <t>Leads the firm with Kevin Holland; no title published</t>
        </is>
      </c>
      <c r="D40" s="13" t="inlineStr">
        <is>
          <t>Worth pursuing, one gap</t>
        </is>
      </c>
      <c r="E40" s="14" t="n">
        <v>2</v>
      </c>
      <c r="F40" s="12" t="inlineStr">
        <is>
          <t>Buys walls</t>
        </is>
      </c>
      <c r="G40" s="12" t="inlineStr">
        <is>
          <t>Friendswood, Galveston-Harris</t>
        </is>
      </c>
      <c r="H40" s="12" t="inlineStr">
        <is>
          <t>150 to 200 homes a year since 1990</t>
        </is>
      </c>
      <c r="I40" s="14" t="inlineStr">
        <is>
          <t>Yes</t>
        </is>
      </c>
      <c r="J40" s="15" t="inlineStr">
        <is>
          <t>Between 150 and 200 homes a year, every year, in the same southeast Houston corridor.</t>
        </is>
      </c>
      <c r="K40" s="14" t="inlineStr">
        <is>
          <t>Yes</t>
        </is>
      </c>
      <c r="L40" s="15" t="inlineStr">
        <is>
          <t>At that volume one machine is a meaningful share of output rather than a pilot.</t>
        </is>
      </c>
      <c r="M40" s="14" t="inlineStr">
        <is>
          <t>No</t>
        </is>
      </c>
      <c r="N40" s="15" t="inlineStr">
        <is>
          <t>No method statement on record. The efficiency claim is about using the same trades since 1990.</t>
        </is>
      </c>
      <c r="O40" s="14" t="inlineStr">
        <is>
          <t>Partly</t>
        </is>
      </c>
      <c r="P40" s="10" t="inlineStr"/>
      <c r="Q40" s="12">
        <f>HYPERLINK("https://www.linkedin.com/search/results/people/?keywords=John%20Payson%20Cervelle%20Homes","search")</f>
        <v/>
      </c>
      <c r="R40" s="16">
        <f>IF(P40="","ADD LINKEDIN","ok")</f>
        <v/>
      </c>
      <c r="S40" s="12" t="inlineStr">
        <is>
          <t>https://www.cervellehomes.com/</t>
        </is>
      </c>
      <c r="T40" s="15" t="inlineStr">
        <is>
          <t>150 to 200 homes a year from two standing plan families in one corridor. Inside the band one machine serves.</t>
        </is>
      </c>
      <c r="U40" s="15" t="inlineStr">
        <is>
          <t>Two people are named as leadership on the site without titles. Confirm which one owns construction before approaching. | No title is published for Kevin Holland or John Payson on the site, in the GHBA directory or on LinkedIn. Payson shares the founder's surname.</t>
        </is>
      </c>
      <c r="V40" s="12" t="inlineStr"/>
      <c r="W40" s="15" t="inlineStr">
        <is>
          <t>Homepage names him alongside Kevin Holland as carrying the founder's standards forward. No title is published.</t>
        </is>
      </c>
      <c r="X40" s="12" t="inlineStr">
        <is>
          <t>https://www.cervellehomes.com/</t>
        </is>
      </c>
      <c r="Y40" s="12" t="inlineStr"/>
      <c r="Z40" s="12" t="inlineStr"/>
    </row>
    <row r="41">
      <c r="A41" s="6" t="inlineStr">
        <is>
          <t>Dru Kahlenberg</t>
        </is>
      </c>
      <c r="B41" s="6" t="inlineStr">
        <is>
          <t>Alta Homes</t>
        </is>
      </c>
      <c r="C41" s="6" t="inlineStr">
        <is>
          <t>Chief Executive Officer</t>
        </is>
      </c>
      <c r="D41" s="7" t="inlineStr">
        <is>
          <t>Worth pursuing, one gap</t>
        </is>
      </c>
      <c r="E41" s="8" t="n">
        <v>2</v>
      </c>
      <c r="F41" s="6" t="inlineStr">
        <is>
          <t>Buys walls</t>
        </is>
      </c>
      <c r="G41" s="6" t="inlineStr">
        <is>
          <t>Willis and Conroe, Montgomery</t>
        </is>
      </c>
      <c r="H41" s="6" t="inlineStr">
        <is>
          <t>45 closings in 2025, 70 planned for 2026</t>
        </is>
      </c>
      <c r="I41" s="8" t="inlineStr">
        <is>
          <t>Yes</t>
        </is>
      </c>
      <c r="J41" s="9" t="inlineStr">
        <is>
          <t>Four communities inside a single county, with three more announced in the same corridor.</t>
        </is>
      </c>
      <c r="K41" s="8" t="inlineStr">
        <is>
          <t>Yes</t>
        </is>
      </c>
      <c r="L41" s="9" t="inlineStr">
        <is>
          <t>45 closings in 2025 and 70 planned for 2026. One machine would cover most of a year's walls.</t>
        </is>
      </c>
      <c r="M41" s="8" t="inlineStr">
        <is>
          <t>No</t>
        </is>
      </c>
      <c r="N41" s="9" t="inlineStr">
        <is>
          <t>No method evidence. A six-person company has no innovation budget and no procurement layer.</t>
        </is>
      </c>
      <c r="O41" s="8" t="inlineStr">
        <is>
          <t>No</t>
        </is>
      </c>
      <c r="P41" s="10" t="inlineStr"/>
      <c r="Q41" s="6">
        <f>HYPERLINK("https://www.linkedin.com/search/results/people/?keywords=Dru%20Kahlenberg%20Alta%20Homes","search")</f>
        <v/>
      </c>
      <c r="R41" s="11">
        <f>IF(P41="","ADD LINKEDIN","ok")</f>
        <v/>
      </c>
      <c r="S41" s="6" t="inlineStr">
        <is>
          <t>https://www.myaltahomes.com/</t>
        </is>
      </c>
      <c r="T41" s="9" t="inlineStr">
        <is>
          <t>45 closings in 2025 and 70 planned for 2026, all inside one county. One machine would cover the whole programme.</t>
        </is>
      </c>
      <c r="U41"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1" s="6" t="inlineStr"/>
      <c r="W41" s="9" t="inlineStr">
        <is>
          <t>About page: CEO, who signs off on every piece of land and secures the financing behind every community.</t>
        </is>
      </c>
      <c r="X41" s="6" t="inlineStr">
        <is>
          <t>https://www.myaltahomes.com/about</t>
        </is>
      </c>
      <c r="Y41" s="6" t="inlineStr"/>
      <c r="Z41" s="6" t="inlineStr"/>
    </row>
    <row r="42">
      <c r="A42" s="12" t="inlineStr">
        <is>
          <t>Scott Gilbert</t>
        </is>
      </c>
      <c r="B42" s="12" t="inlineStr">
        <is>
          <t>Alta Homes</t>
        </is>
      </c>
      <c r="C42" s="12" t="inlineStr">
        <is>
          <t>President</t>
        </is>
      </c>
      <c r="D42" s="13" t="inlineStr">
        <is>
          <t>Worth pursuing, one gap</t>
        </is>
      </c>
      <c r="E42" s="14" t="n">
        <v>2</v>
      </c>
      <c r="F42" s="12" t="inlineStr">
        <is>
          <t>Buys walls</t>
        </is>
      </c>
      <c r="G42" s="12" t="inlineStr">
        <is>
          <t>Willis and Conroe, Montgomery</t>
        </is>
      </c>
      <c r="H42" s="12" t="inlineStr">
        <is>
          <t>45 closings in 2025, 70 planned for 2026</t>
        </is>
      </c>
      <c r="I42" s="14" t="inlineStr">
        <is>
          <t>Yes</t>
        </is>
      </c>
      <c r="J42" s="15" t="inlineStr">
        <is>
          <t>Four communities inside a single county, with three more announced in the same corridor.</t>
        </is>
      </c>
      <c r="K42" s="14" t="inlineStr">
        <is>
          <t>Yes</t>
        </is>
      </c>
      <c r="L42" s="15" t="inlineStr">
        <is>
          <t>45 closings in 2025 and 70 planned for 2026. One machine would cover most of a year's walls.</t>
        </is>
      </c>
      <c r="M42" s="14" t="inlineStr">
        <is>
          <t>No</t>
        </is>
      </c>
      <c r="N42" s="15" t="inlineStr">
        <is>
          <t>No method evidence. A six-person company has no innovation budget and no procurement layer.</t>
        </is>
      </c>
      <c r="O42" s="14" t="inlineStr">
        <is>
          <t>No</t>
        </is>
      </c>
      <c r="P42" s="10" t="inlineStr"/>
      <c r="Q42" s="12">
        <f>HYPERLINK("https://www.linkedin.com/search/results/people/?keywords=Scott%20Gilbert%20Alta%20Homes","search")</f>
        <v/>
      </c>
      <c r="R42" s="16">
        <f>IF(P42="","ADD LINKEDIN","ok")</f>
        <v/>
      </c>
      <c r="S42" s="12" t="inlineStr">
        <is>
          <t>https://www.myaltahomes.com/</t>
        </is>
      </c>
      <c r="T42" s="15" t="inlineStr">
        <is>
          <t>45 closings in 2025 and 70 planned for 2026, all inside one county. One machine would cover the whole programme.</t>
        </is>
      </c>
      <c r="U42" s="15"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2" s="12" t="inlineStr"/>
      <c r="W42" s="15" t="inlineStr">
        <is>
          <t>About page: President, focused on teams, vendor partnerships and efficient construction.</t>
        </is>
      </c>
      <c r="X42" s="12" t="inlineStr">
        <is>
          <t>https://www.myaltahomes.com/about</t>
        </is>
      </c>
      <c r="Y42" s="12" t="inlineStr"/>
      <c r="Z42" s="12" t="inlineStr"/>
    </row>
    <row r="43">
      <c r="A43" s="6" t="inlineStr">
        <is>
          <t>Ashley Meinecke</t>
        </is>
      </c>
      <c r="B43" s="6" t="inlineStr">
        <is>
          <t>Alta Homes</t>
        </is>
      </c>
      <c r="C43" s="6" t="inlineStr">
        <is>
          <t>Accounts Payable and Purchasing Manager</t>
        </is>
      </c>
      <c r="D43" s="7" t="inlineStr">
        <is>
          <t>Worth pursuing, one gap</t>
        </is>
      </c>
      <c r="E43" s="8" t="n">
        <v>2</v>
      </c>
      <c r="F43" s="6" t="inlineStr">
        <is>
          <t>Buys walls</t>
        </is>
      </c>
      <c r="G43" s="6" t="inlineStr">
        <is>
          <t>Willis and Conroe, Montgomery</t>
        </is>
      </c>
      <c r="H43" s="6" t="inlineStr">
        <is>
          <t>45 closings in 2025, 70 planned for 2026</t>
        </is>
      </c>
      <c r="I43" s="8" t="inlineStr">
        <is>
          <t>Yes</t>
        </is>
      </c>
      <c r="J43" s="9" t="inlineStr">
        <is>
          <t>Four communities inside a single county, with three more announced in the same corridor.</t>
        </is>
      </c>
      <c r="K43" s="8" t="inlineStr">
        <is>
          <t>Yes</t>
        </is>
      </c>
      <c r="L43" s="9" t="inlineStr">
        <is>
          <t>45 closings in 2025 and 70 planned for 2026. One machine would cover most of a year's walls.</t>
        </is>
      </c>
      <c r="M43" s="8" t="inlineStr">
        <is>
          <t>No</t>
        </is>
      </c>
      <c r="N43" s="9" t="inlineStr">
        <is>
          <t>No method evidence. A six-person company has no innovation budget and no procurement layer.</t>
        </is>
      </c>
      <c r="O43" s="8" t="inlineStr">
        <is>
          <t>No</t>
        </is>
      </c>
      <c r="P43" s="10" t="inlineStr"/>
      <c r="Q43" s="6">
        <f>HYPERLINK("https://www.linkedin.com/search/results/people/?keywords=Ashley%20Meinecke%20Alta%20Homes","search")</f>
        <v/>
      </c>
      <c r="R43" s="11">
        <f>IF(P43="","ADD LINKEDIN","ok")</f>
        <v/>
      </c>
      <c r="S43" s="6" t="inlineStr">
        <is>
          <t>https://www.myaltahomes.com/</t>
        </is>
      </c>
      <c r="T43" s="9" t="inlineStr">
        <is>
          <t>45 closings in 2025 and 70 planned for 2026, all inside one county. One machine would cover the whole programme.</t>
        </is>
      </c>
      <c r="U43" s="9" t="inlineStr">
        <is>
          <t>The chief executive is on record saying the firm does not compete on volume. Price sensitivity at the $170,000 entry point sets the margin, not scale. | At six employees there is no purchasing department. The purchasing manager also runs accounts payable, which means the decision sits with the two principals.</t>
        </is>
      </c>
      <c r="V43" s="6" t="inlineStr">
        <is>
          <t>YES</t>
        </is>
      </c>
      <c r="W43" s="9" t="inlineStr">
        <is>
          <t>About page: AP and Purchasing Manager.</t>
        </is>
      </c>
      <c r="X43" s="6" t="inlineStr">
        <is>
          <t>https://www.myaltahomes.com/about</t>
        </is>
      </c>
      <c r="Y43" s="6" t="inlineStr"/>
      <c r="Z43" s="6" t="inlineStr"/>
    </row>
    <row r="44">
      <c r="A44" s="12" t="inlineStr">
        <is>
          <t>Glenn Briggs</t>
        </is>
      </c>
      <c r="B44" s="12" t="inlineStr">
        <is>
          <t>Kendall Homes</t>
        </is>
      </c>
      <c r="C44" s="12" t="inlineStr">
        <is>
          <t>President</t>
        </is>
      </c>
      <c r="D44" s="13" t="inlineStr">
        <is>
          <t>Worth pursuing, one gap</t>
        </is>
      </c>
      <c r="E44" s="14" t="n">
        <v>2</v>
      </c>
      <c r="F44" s="12" t="inlineStr">
        <is>
          <t>Buys walls</t>
        </is>
      </c>
      <c r="G44" s="12" t="inlineStr">
        <is>
          <t>Katy, with communities in Conroe, Willis and New Caney</t>
        </is>
      </c>
      <c r="H44" s="12" t="inlineStr">
        <is>
          <t>195 closings in 2022, the latest published</t>
        </is>
      </c>
      <c r="I44" s="14" t="inlineStr">
        <is>
          <t>Yes</t>
        </is>
      </c>
      <c r="J44" s="15" t="inlineStr">
        <is>
          <t>Communities clustered in Conroe, Willis and New Caney rather than spread across the metro.</t>
        </is>
      </c>
      <c r="K44" s="14" t="inlineStr">
        <is>
          <t>Yes</t>
        </is>
      </c>
      <c r="L44" s="15" t="inlineStr">
        <is>
          <t>195 closings in 2022 and 189 in 2021, the latest figures published. Inside the band one or two machines serve.</t>
        </is>
      </c>
      <c r="M44" s="14" t="inlineStr">
        <is>
          <t>No</t>
        </is>
      </c>
      <c r="N44" s="15" t="inlineStr">
        <is>
          <t>The firm's published positioning is against speed and cost cutting. A printed wall would be measured on the firm's own terms.</t>
        </is>
      </c>
      <c r="O44" s="14" t="inlineStr">
        <is>
          <t>No</t>
        </is>
      </c>
      <c r="P44" s="6" t="inlineStr">
        <is>
          <t>https://www.linkedin.com/in/glenn-briggs-5231975/</t>
        </is>
      </c>
      <c r="Q44" s="12" t="inlineStr"/>
      <c r="R44" s="16">
        <f>IF(P44="","ADD LINKEDIN","ok")</f>
        <v/>
      </c>
      <c r="S44" s="12" t="inlineStr">
        <is>
          <t>https://kendallhomes.net/</t>
        </is>
      </c>
      <c r="T44" s="15" t="inlineStr">
        <is>
          <t>More than 4,000 homes since 1993, which averages above 100 a year, across a small set of communities in one corridor. A named vice president of construction.</t>
        </is>
      </c>
      <c r="U44" s="15" t="inlineStr">
        <is>
          <t>The cumulative figure is the firm's own. No single-year closings number is published, so the annual rate is an average rather than a current run rate.</t>
        </is>
      </c>
      <c r="V44" s="12" t="inlineStr"/>
      <c r="W44" s="15" t="inlineStr">
        <is>
          <t>Indexed title reads Glenn Briggs, President at Kendall Homes.</t>
        </is>
      </c>
      <c r="X44" s="12" t="inlineStr"/>
      <c r="Y44" s="12" t="inlineStr"/>
      <c r="Z44" s="12" t="inlineStr"/>
    </row>
    <row r="45">
      <c r="A45" s="6" t="inlineStr">
        <is>
          <t>Jason Madden</t>
        </is>
      </c>
      <c r="B45" s="6" t="inlineStr">
        <is>
          <t>Kendall Homes</t>
        </is>
      </c>
      <c r="C45" s="6" t="inlineStr">
        <is>
          <t>Vice President of Construction</t>
        </is>
      </c>
      <c r="D45" s="7" t="inlineStr">
        <is>
          <t>Worth pursuing, one gap</t>
        </is>
      </c>
      <c r="E45" s="8" t="n">
        <v>2</v>
      </c>
      <c r="F45" s="6" t="inlineStr">
        <is>
          <t>Buys walls</t>
        </is>
      </c>
      <c r="G45" s="6" t="inlineStr">
        <is>
          <t>Katy, with communities in Conroe, Willis and New Caney</t>
        </is>
      </c>
      <c r="H45" s="6" t="inlineStr">
        <is>
          <t>195 closings in 2022, the latest published</t>
        </is>
      </c>
      <c r="I45" s="8" t="inlineStr">
        <is>
          <t>Yes</t>
        </is>
      </c>
      <c r="J45" s="9" t="inlineStr">
        <is>
          <t>Communities clustered in Conroe, Willis and New Caney rather than spread across the metro.</t>
        </is>
      </c>
      <c r="K45" s="8" t="inlineStr">
        <is>
          <t>Yes</t>
        </is>
      </c>
      <c r="L45" s="9" t="inlineStr">
        <is>
          <t>195 closings in 2022 and 189 in 2021, the latest figures published. Inside the band one or two machines serve.</t>
        </is>
      </c>
      <c r="M45" s="8" t="inlineStr">
        <is>
          <t>No</t>
        </is>
      </c>
      <c r="N45" s="9" t="inlineStr">
        <is>
          <t>The firm's published positioning is against speed and cost cutting. A printed wall would be measured on the firm's own terms.</t>
        </is>
      </c>
      <c r="O45" s="8" t="inlineStr">
        <is>
          <t>No</t>
        </is>
      </c>
      <c r="P45" s="6" t="inlineStr">
        <is>
          <t>https://www.linkedin.com/in/jason-madden-3610ba70/</t>
        </is>
      </c>
      <c r="Q45" s="6" t="inlineStr"/>
      <c r="R45" s="11">
        <f>IF(P45="","ADD LINKEDIN","ok")</f>
        <v/>
      </c>
      <c r="S45" s="6" t="inlineStr">
        <is>
          <t>https://kendallhomes.net/</t>
        </is>
      </c>
      <c r="T45" s="9" t="inlineStr">
        <is>
          <t>More than 4,000 homes since 1993, which averages above 100 a year, across a small set of communities in one corridor. A named vice president of construction.</t>
        </is>
      </c>
      <c r="U45" s="9" t="inlineStr">
        <is>
          <t>The cumulative figure is the firm's own. No single-year closings number is published, so the annual rate is an average rather than a current run rate.</t>
        </is>
      </c>
      <c r="V45" s="6" t="inlineStr">
        <is>
          <t>YES</t>
        </is>
      </c>
      <c r="W45" s="9" t="inlineStr">
        <is>
          <t>Indexed title reads Jason Madden, Vice President of Construction at Kendall Homes.</t>
        </is>
      </c>
      <c r="X45" s="6" t="inlineStr"/>
      <c r="Y45" s="6" t="inlineStr"/>
      <c r="Z45" s="6" t="inlineStr"/>
    </row>
    <row r="46">
      <c r="A46" s="12" t="inlineStr">
        <is>
          <t>Vinod Ramani</t>
        </is>
      </c>
      <c r="B46" s="12" t="inlineStr">
        <is>
          <t>Urban Living</t>
        </is>
      </c>
      <c r="C46" s="12" t="inlineStr">
        <is>
          <t>Owner</t>
        </is>
      </c>
      <c r="D46" s="13" t="inlineStr">
        <is>
          <t>Worth pursuing, one gap</t>
        </is>
      </c>
      <c r="E46" s="14" t="n">
        <v>2</v>
      </c>
      <c r="F46" s="12" t="inlineStr">
        <is>
          <t>Buys walls</t>
        </is>
      </c>
      <c r="G46" s="12" t="inlineStr">
        <is>
          <t>Inner-loop Houston, Harris County</t>
        </is>
      </c>
      <c r="H46" s="12" t="inlineStr">
        <is>
          <t>Inner-loop attached townhome production</t>
        </is>
      </c>
      <c r="I46" s="14" t="inlineStr">
        <is>
          <t>Yes</t>
        </is>
      </c>
      <c r="J46" s="15" t="inlineStr">
        <is>
          <t>Repeat townhome communities across inner Houston.</t>
        </is>
      </c>
      <c r="K46" s="14" t="inlineStr">
        <is>
          <t>Yes</t>
        </is>
      </c>
      <c r="L46" s="15" t="inlineStr">
        <is>
          <t>Attached townhome production at a volume one machine could carry.</t>
        </is>
      </c>
      <c r="M46" s="14" t="inlineStr">
        <is>
          <t>No</t>
        </is>
      </c>
      <c r="N46" s="15" t="inlineStr">
        <is>
          <t>No method evidence found.</t>
        </is>
      </c>
      <c r="O46" s="14" t="inlineStr">
        <is>
          <t>No</t>
        </is>
      </c>
      <c r="P46" s="6" t="inlineStr">
        <is>
          <t>https://www.linkedin.com/in/vinod-ramani-4a46788/</t>
        </is>
      </c>
      <c r="Q46" s="12" t="inlineStr"/>
      <c r="R46" s="16">
        <f>IF(P46="","ADD LINKEDIN","ok")</f>
        <v/>
      </c>
      <c r="S46" s="12" t="inlineStr">
        <is>
          <t>https://urbanliving.com/</t>
        </is>
      </c>
      <c r="T46" s="15" t="inlineStr">
        <is>
          <t>Attached townhome production, the product type a printed party wall serves. Ownership sourced only from a contact database.</t>
        </is>
      </c>
      <c r="U46" s="15" t="inlineStr">
        <is>
          <t>Ownership sourced only from a third-party contact database, not a company page. Unverified. | No named communities, unit counts or capital figures. | No innovation-appetite evidence.</t>
        </is>
      </c>
      <c r="V46" s="12" t="inlineStr"/>
      <c r="W46" s="15" t="inlineStr">
        <is>
          <t>Indexed title reads Vinod Ramani, Urban Living. Listed as chief executive in the Better Business Bureau record for Urban Living. The firm's own site refuses automated retrieval, so this is a third-party citation, not the firm's.</t>
        </is>
      </c>
      <c r="X46" s="12" t="inlineStr">
        <is>
          <t>https://www.bbb.org/us/tx/houston/profile/real-estate/urban-living-0915-52001132</t>
        </is>
      </c>
      <c r="Y46" s="12" t="inlineStr"/>
      <c r="Z46" s="12" t="inlineStr"/>
    </row>
    <row r="47">
      <c r="A47" s="6" t="inlineStr">
        <is>
          <t>Jamie Bryant</t>
        </is>
      </c>
      <c r="B47" s="6" t="inlineStr">
        <is>
          <t>Houston Housing Authority</t>
        </is>
      </c>
      <c r="C47" s="6" t="inlineStr">
        <is>
          <t>President and Chief Executive Officer, named February 2025</t>
        </is>
      </c>
      <c r="D47" s="7" t="inlineStr">
        <is>
          <t>Worth pursuing, one gap</t>
        </is>
      </c>
      <c r="E47" s="8" t="n">
        <v>2</v>
      </c>
      <c r="F47" s="6" t="inlineStr">
        <is>
          <t>Buys walls</t>
        </is>
      </c>
      <c r="G47" s="6" t="inlineStr">
        <is>
          <t>Third Ward / citywide, Harris County</t>
        </is>
      </c>
      <c r="H47" s="6" t="inlineStr">
        <is>
          <t>$600M+ programme, 5 phases, 2025-2032</t>
        </is>
      </c>
      <c r="I47" s="8" t="inlineStr">
        <is>
          <t>Yes</t>
        </is>
      </c>
      <c r="J47" s="9" t="inlineStr">
        <is>
          <t>Cuney Homes runs five phases from 2025 to 2032.</t>
        </is>
      </c>
      <c r="K47" s="8" t="inlineStr">
        <is>
          <t>Partly</t>
        </is>
      </c>
      <c r="L47" s="9" t="inlineStr">
        <is>
          <t>A $600 million programme in five phases, but the product is multifamily and the procurement is public.</t>
        </is>
      </c>
      <c r="M47" s="8" t="inlineStr">
        <is>
          <t>No</t>
        </is>
      </c>
      <c r="N47" s="9" t="inlineStr">
        <is>
          <t>No method statement on record. Federal procurement does reward cost and schedule.</t>
        </is>
      </c>
      <c r="O47" s="8" t="inlineStr">
        <is>
          <t>Yes</t>
        </is>
      </c>
      <c r="P47" s="10" t="inlineStr"/>
      <c r="Q47" s="6">
        <f>HYPERLINK("https://www.linkedin.com/search/results/people/?keywords=Jamie%20Bryant%20Houston%20Housing%20Authority","search")</f>
        <v/>
      </c>
      <c r="R47" s="11">
        <f>IF(P47="","ADD LINKEDIN","ok")</f>
        <v/>
      </c>
      <c r="S47" s="6" t="inlineStr">
        <is>
          <t>https://www.housingauthorityhouston.org/</t>
        </is>
      </c>
      <c r="T47" s="9" t="inlineStr">
        <is>
          <t>$600M across five phases to 2032. Federal money and open procurement, but no method track record.</t>
        </is>
      </c>
      <c r="U47" s="9"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7" s="6" t="inlineStr"/>
      <c r="W47" s="9" t="inlineStr">
        <is>
          <t>Named President and Chief Executive Officer on the authority's own executive leadership page.</t>
        </is>
      </c>
      <c r="X47" s="6" t="inlineStr">
        <is>
          <t>https://housingforhouston.com/leadership/executive-leadership/</t>
        </is>
      </c>
      <c r="Y47" s="6" t="inlineStr">
        <is>
          <t>https://www.linkedin.com/company/houston-housing-authority</t>
        </is>
      </c>
      <c r="Z47" s="6" t="inlineStr">
        <is>
          <t>https://housingforhouston.com/leadership/executive-leadership/</t>
        </is>
      </c>
    </row>
    <row r="48">
      <c r="A48" s="12" t="inlineStr">
        <is>
          <t>Neal Rackleff</t>
        </is>
      </c>
      <c r="B48" s="12" t="inlineStr">
        <is>
          <t>Houston Housing Authority</t>
        </is>
      </c>
      <c r="C48" s="12" t="inlineStr">
        <is>
          <t>Executive Vice President and Chief Operating Officer, Houston Housing Authority</t>
        </is>
      </c>
      <c r="D48" s="13" t="inlineStr">
        <is>
          <t>Worth pursuing, one gap</t>
        </is>
      </c>
      <c r="E48" s="14" t="n">
        <v>2</v>
      </c>
      <c r="F48" s="12" t="inlineStr">
        <is>
          <t>Buys walls</t>
        </is>
      </c>
      <c r="G48" s="12" t="inlineStr">
        <is>
          <t>Third Ward / citywide, Harris County</t>
        </is>
      </c>
      <c r="H48" s="12" t="inlineStr">
        <is>
          <t>$600M+ programme, 5 phases, 2025-2032</t>
        </is>
      </c>
      <c r="I48" s="14" t="inlineStr">
        <is>
          <t>Yes</t>
        </is>
      </c>
      <c r="J48" s="15" t="inlineStr">
        <is>
          <t>Cuney Homes runs five phases from 2025 to 2032.</t>
        </is>
      </c>
      <c r="K48" s="14" t="inlineStr">
        <is>
          <t>Partly</t>
        </is>
      </c>
      <c r="L48" s="15" t="inlineStr">
        <is>
          <t>A $600 million programme in five phases, but the product is multifamily and the procurement is public.</t>
        </is>
      </c>
      <c r="M48" s="14" t="inlineStr">
        <is>
          <t>No</t>
        </is>
      </c>
      <c r="N48" s="15" t="inlineStr">
        <is>
          <t>No method statement on record. Federal procurement does reward cost and schedule.</t>
        </is>
      </c>
      <c r="O48" s="14" t="inlineStr">
        <is>
          <t>Yes</t>
        </is>
      </c>
      <c r="P48" s="6" t="inlineStr">
        <is>
          <t>https://www.linkedin.com/in/nealrackleff/</t>
        </is>
      </c>
      <c r="Q48" s="12" t="inlineStr"/>
      <c r="R48" s="16">
        <f>IF(P48="","ADD LINKEDIN","ok")</f>
        <v/>
      </c>
      <c r="S48" s="12" t="inlineStr">
        <is>
          <t>https://www.housingauthorityhouston.org/</t>
        </is>
      </c>
      <c r="T48" s="15" t="inlineStr">
        <is>
          <t>$600M across five phases to 2032. Federal money and open procurement, but no method track record.</t>
        </is>
      </c>
      <c r="U48" s="15" t="inlineStr">
        <is>
          <t>Cuney Homes existing and planned unit counts not disclosed in the sourced article. | Buy America and federal procurement applicability to a printed wall system not assessed. Confirm before any bid. | The authority now operates as Housing Alliance HTX and its site has moved to housingforhouston.com. The domain in the original record is superseded. | Agency referenced in search results as rebranding to Housing Alliance HTX. Relationship between the two names unconfirmed.</t>
        </is>
      </c>
      <c r="V48" s="12" t="inlineStr">
        <is>
          <t>YES</t>
        </is>
      </c>
      <c r="W48" s="15" t="inlineStr">
        <is>
          <t>Executive VP and COO Houston Housing Authority. Houston, Texas. The operating officer over a $600 million five-phase programme, and the office that answers for delivery rather than policy.</t>
        </is>
      </c>
      <c r="X48" s="12" t="inlineStr"/>
      <c r="Y48" s="12" t="inlineStr">
        <is>
          <t>https://www.linkedin.com/company/houston-housing-authority</t>
        </is>
      </c>
      <c r="Z48" s="12" t="inlineStr">
        <is>
          <t>https://housingforhouston.com/leadership/executive-leadership/</t>
        </is>
      </c>
    </row>
    <row r="49">
      <c r="A49" s="6" t="inlineStr">
        <is>
          <t>Phillippe Lord</t>
        </is>
      </c>
      <c r="B49" s="6" t="inlineStr">
        <is>
          <t>Meritage Homes Corporation</t>
        </is>
      </c>
      <c r="C49" s="6" t="inlineStr">
        <is>
          <t>Chief Executive Officer</t>
        </is>
      </c>
      <c r="D49" s="7" t="inlineStr">
        <is>
          <t>Worth pursuing, one gap</t>
        </is>
      </c>
      <c r="E49" s="8" t="n">
        <v>2</v>
      </c>
      <c r="F49" s="6" t="inlineStr">
        <is>
          <t>Buys walls</t>
        </is>
      </c>
      <c r="G49" s="6" t="inlineStr">
        <is>
          <t>Scottsdale HQ / Liberty, Harris</t>
        </is>
      </c>
      <c r="H49" s="6" t="inlineStr">
        <is>
          <t>Sub-110 day cycle, 4 straight quarters</t>
        </is>
      </c>
      <c r="I49" s="8" t="inlineStr">
        <is>
          <t>Yes</t>
        </is>
      </c>
      <c r="J49" s="9" t="inlineStr">
        <is>
          <t>1,000 homes at Trinity Landing on 45 to 60 foot lots.</t>
        </is>
      </c>
      <c r="K49" s="8" t="inlineStr">
        <is>
          <t>No</t>
        </is>
      </c>
      <c r="L49" s="9" t="inlineStr">
        <is>
          <t>A national builder closing thousands a year through a corporate purchasing desk.</t>
        </is>
      </c>
      <c r="M49" s="8" t="inlineStr">
        <is>
          <t>Partly</t>
        </is>
      </c>
      <c r="N49" s="9" t="inlineStr">
        <is>
          <t>AI across the business and sub-110-day cycles. Nothing on wall systems.</t>
        </is>
      </c>
      <c r="O49" s="8" t="inlineStr">
        <is>
          <t>Yes</t>
        </is>
      </c>
      <c r="P49" s="6" t="inlineStr">
        <is>
          <t>https://www.linkedin.com/in/phillippe-lord-72924012/</t>
        </is>
      </c>
      <c r="Q49" s="6" t="inlineStr"/>
      <c r="R49" s="11">
        <f>IF(P49="","ADD LINKEDIN","ok")</f>
        <v/>
      </c>
      <c r="S49" s="6" t="inlineStr">
        <is>
          <t>https://www.meritagehomes.com/</t>
        </is>
      </c>
      <c r="T49" s="9" t="inlineStr">
        <is>
          <t>1,000 homes at Trinity Landing and a sub-110-day cycle held four quarters. No wall-system statement on record.</t>
        </is>
      </c>
      <c r="U49"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49" s="6" t="inlineStr"/>
      <c r="W49" s="9" t="inlineStr">
        <is>
          <t>CEO, EVP at Meritage Homes.</t>
        </is>
      </c>
      <c r="X49" s="6" t="inlineStr"/>
      <c r="Y49" s="6" t="inlineStr">
        <is>
          <t>https://www.linkedin.com/company/meritage-homes</t>
        </is>
      </c>
      <c r="Z49" s="6" t="inlineStr">
        <is>
          <t>https://investors.meritagehomes.com/company-information/management-team</t>
        </is>
      </c>
    </row>
    <row r="50">
      <c r="A50" s="12" t="inlineStr">
        <is>
          <t>Hilla Sferruzza</t>
        </is>
      </c>
      <c r="B50" s="12" t="inlineStr">
        <is>
          <t>Meritage Homes Corporation</t>
        </is>
      </c>
      <c r="C50" s="12" t="inlineStr">
        <is>
          <t>Executive Vice President and Chief Financial Officer</t>
        </is>
      </c>
      <c r="D50" s="13" t="inlineStr">
        <is>
          <t>Worth pursuing, one gap</t>
        </is>
      </c>
      <c r="E50" s="14" t="n">
        <v>2</v>
      </c>
      <c r="F50" s="12" t="inlineStr">
        <is>
          <t>Buys walls</t>
        </is>
      </c>
      <c r="G50" s="12" t="inlineStr">
        <is>
          <t>Scottsdale HQ / Liberty, Harris</t>
        </is>
      </c>
      <c r="H50" s="12" t="inlineStr">
        <is>
          <t>Sub-110 day cycle, 4 straight quarters</t>
        </is>
      </c>
      <c r="I50" s="14" t="inlineStr">
        <is>
          <t>Yes</t>
        </is>
      </c>
      <c r="J50" s="15" t="inlineStr">
        <is>
          <t>1,000 homes at Trinity Landing on 45 to 60 foot lots.</t>
        </is>
      </c>
      <c r="K50" s="14" t="inlineStr">
        <is>
          <t>No</t>
        </is>
      </c>
      <c r="L50" s="15" t="inlineStr">
        <is>
          <t>A national builder closing thousands a year through a corporate purchasing desk.</t>
        </is>
      </c>
      <c r="M50" s="14" t="inlineStr">
        <is>
          <t>Partly</t>
        </is>
      </c>
      <c r="N50" s="15" t="inlineStr">
        <is>
          <t>AI across the business and sub-110-day cycles. Nothing on wall systems.</t>
        </is>
      </c>
      <c r="O50" s="14" t="inlineStr">
        <is>
          <t>Yes</t>
        </is>
      </c>
      <c r="P50" s="10" t="inlineStr"/>
      <c r="Q50" s="12">
        <f>HYPERLINK("https://www.linkedin.com/search/results/people/?keywords=Hilla%20Sferruzza%20Meritage%20Homes%20Corporation","search")</f>
        <v/>
      </c>
      <c r="R50" s="16">
        <f>IF(P50="","ADD LINKEDIN","ok")</f>
        <v/>
      </c>
      <c r="S50" s="12" t="inlineStr">
        <is>
          <t>https://www.meritagehomes.com/</t>
        </is>
      </c>
      <c r="T50" s="15" t="inlineStr">
        <is>
          <t>1,000 homes at Trinity Landing and a sub-110-day cycle held four quarters. No wall-system statement on record.</t>
        </is>
      </c>
      <c r="U50"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0" s="12" t="inlineStr"/>
      <c r="W50" s="15" t="inlineStr">
        <is>
          <t>Executive Vice President and Chief Financial Officer on Meritage's own management page.</t>
        </is>
      </c>
      <c r="X50" s="12" t="inlineStr">
        <is>
          <t>https://investors.meritagehomes.com/company-information/management-team</t>
        </is>
      </c>
      <c r="Y50" s="12" t="inlineStr">
        <is>
          <t>https://www.linkedin.com/company/meritage-homes</t>
        </is>
      </c>
      <c r="Z50" s="12" t="inlineStr">
        <is>
          <t>https://investors.meritagehomes.com/company-information/management-team</t>
        </is>
      </c>
    </row>
    <row r="51">
      <c r="A51" s="6" t="inlineStr">
        <is>
          <t>Steven J. Hilton</t>
        </is>
      </c>
      <c r="B51" s="6" t="inlineStr">
        <is>
          <t>Meritage Homes Corporation</t>
        </is>
      </c>
      <c r="C51" s="6" t="inlineStr">
        <is>
          <t>Executive Chairman of the Board</t>
        </is>
      </c>
      <c r="D51" s="7" t="inlineStr">
        <is>
          <t>Worth pursuing, one gap</t>
        </is>
      </c>
      <c r="E51" s="8" t="n">
        <v>2</v>
      </c>
      <c r="F51" s="6" t="inlineStr">
        <is>
          <t>Buys walls</t>
        </is>
      </c>
      <c r="G51" s="6" t="inlineStr">
        <is>
          <t>Scottsdale HQ / Liberty, Harris</t>
        </is>
      </c>
      <c r="H51" s="6" t="inlineStr">
        <is>
          <t>Sub-110 day cycle, 4 straight quarters</t>
        </is>
      </c>
      <c r="I51" s="8" t="inlineStr">
        <is>
          <t>Yes</t>
        </is>
      </c>
      <c r="J51" s="9" t="inlineStr">
        <is>
          <t>1,000 homes at Trinity Landing on 45 to 60 foot lots.</t>
        </is>
      </c>
      <c r="K51" s="8" t="inlineStr">
        <is>
          <t>No</t>
        </is>
      </c>
      <c r="L51" s="9" t="inlineStr">
        <is>
          <t>A national builder closing thousands a year through a corporate purchasing desk.</t>
        </is>
      </c>
      <c r="M51" s="8" t="inlineStr">
        <is>
          <t>Partly</t>
        </is>
      </c>
      <c r="N51" s="9" t="inlineStr">
        <is>
          <t>AI across the business and sub-110-day cycles. Nothing on wall systems.</t>
        </is>
      </c>
      <c r="O51" s="8" t="inlineStr">
        <is>
          <t>Yes</t>
        </is>
      </c>
      <c r="P51" s="10" t="inlineStr"/>
      <c r="Q51" s="6">
        <f>HYPERLINK("https://www.linkedin.com/search/results/people/?keywords=Steven%20J.%20Hilton%20Meritage%20Homes%20Corporation","search")</f>
        <v/>
      </c>
      <c r="R51" s="11">
        <f>IF(P51="","ADD LINKEDIN","ok")</f>
        <v/>
      </c>
      <c r="S51" s="6" t="inlineStr">
        <is>
          <t>https://www.meritagehomes.com/</t>
        </is>
      </c>
      <c r="T51" s="9" t="inlineStr">
        <is>
          <t>1,000 homes at Trinity Landing and a sub-110-day cycle held four quarters. No wall-system statement on record.</t>
        </is>
      </c>
      <c r="U51"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1" s="6" t="inlineStr"/>
      <c r="W51" s="9" t="inlineStr">
        <is>
          <t>Executive Chairman of the Board on Meritage's own management page.</t>
        </is>
      </c>
      <c r="X51" s="6" t="inlineStr">
        <is>
          <t>https://investors.meritagehomes.com/company-information/management-team</t>
        </is>
      </c>
      <c r="Y51" s="6" t="inlineStr">
        <is>
          <t>https://www.linkedin.com/company/meritage-homes</t>
        </is>
      </c>
      <c r="Z51" s="6" t="inlineStr">
        <is>
          <t>https://investors.meritagehomes.com/company-information/management-team</t>
        </is>
      </c>
    </row>
    <row r="52">
      <c r="A52" s="12" t="inlineStr">
        <is>
          <t>Jayar Griffith</t>
        </is>
      </c>
      <c r="B52" s="12" t="inlineStr">
        <is>
          <t>Meritage Homes Corporation</t>
        </is>
      </c>
      <c r="C52" s="12" t="inlineStr">
        <is>
          <t>Vice President of Operations, Meritage Homes Houston</t>
        </is>
      </c>
      <c r="D52" s="13" t="inlineStr">
        <is>
          <t>Worth pursuing, one gap</t>
        </is>
      </c>
      <c r="E52" s="14" t="n">
        <v>2</v>
      </c>
      <c r="F52" s="12" t="inlineStr">
        <is>
          <t>Buys walls</t>
        </is>
      </c>
      <c r="G52" s="12" t="inlineStr">
        <is>
          <t>Scottsdale HQ / Liberty, Harris</t>
        </is>
      </c>
      <c r="H52" s="12" t="inlineStr">
        <is>
          <t>Sub-110 day cycle, 4 straight quarters</t>
        </is>
      </c>
      <c r="I52" s="14" t="inlineStr">
        <is>
          <t>Yes</t>
        </is>
      </c>
      <c r="J52" s="15" t="inlineStr">
        <is>
          <t>1,000 homes at Trinity Landing on 45 to 60 foot lots.</t>
        </is>
      </c>
      <c r="K52" s="14" t="inlineStr">
        <is>
          <t>No</t>
        </is>
      </c>
      <c r="L52" s="15" t="inlineStr">
        <is>
          <t>A national builder closing thousands a year through a corporate purchasing desk.</t>
        </is>
      </c>
      <c r="M52" s="14" t="inlineStr">
        <is>
          <t>Partly</t>
        </is>
      </c>
      <c r="N52" s="15" t="inlineStr">
        <is>
          <t>AI across the business and sub-110-day cycles. Nothing on wall systems.</t>
        </is>
      </c>
      <c r="O52" s="14" t="inlineStr">
        <is>
          <t>Yes</t>
        </is>
      </c>
      <c r="P52" s="6" t="inlineStr">
        <is>
          <t>https://www.linkedin.com/in/jayar-griffith-30a43439/</t>
        </is>
      </c>
      <c r="Q52" s="12" t="inlineStr"/>
      <c r="R52" s="16">
        <f>IF(P52="","ADD LINKEDIN","ok")</f>
        <v/>
      </c>
      <c r="S52" s="12" t="inlineStr">
        <is>
          <t>https://www.meritagehomes.com/</t>
        </is>
      </c>
      <c r="T52" s="15" t="inlineStr">
        <is>
          <t>1,000 homes at Trinity Landing and a sub-110-day cycle held four quarters. No wall-system statement on record.</t>
        </is>
      </c>
      <c r="U52"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2" s="12" t="inlineStr">
        <is>
          <t>YES</t>
        </is>
      </c>
      <c r="W52" s="15" t="inlineStr">
        <is>
          <t>Vice President of Operations at Meritage Homes (Houston). Houston, Texas. Operations at a production builder owns build cycle and trade scope.</t>
        </is>
      </c>
      <c r="X52" s="12" t="inlineStr"/>
      <c r="Y52" s="12" t="inlineStr">
        <is>
          <t>https://www.linkedin.com/company/meritage-homes</t>
        </is>
      </c>
      <c r="Z52" s="12" t="inlineStr">
        <is>
          <t>https://investors.meritagehomes.com/company-information/management-team</t>
        </is>
      </c>
    </row>
    <row r="53">
      <c r="A53" s="6" t="inlineStr">
        <is>
          <t>Jeremy Flach</t>
        </is>
      </c>
      <c r="B53" s="6" t="inlineStr">
        <is>
          <t>Meritage Homes Corporation</t>
        </is>
      </c>
      <c r="C53" s="6" t="inlineStr">
        <is>
          <t>Division President, Meritage Homes Houston</t>
        </is>
      </c>
      <c r="D53" s="7" t="inlineStr">
        <is>
          <t>Worth pursuing, one gap</t>
        </is>
      </c>
      <c r="E53" s="8" t="n">
        <v>2</v>
      </c>
      <c r="F53" s="6" t="inlineStr">
        <is>
          <t>Buys walls</t>
        </is>
      </c>
      <c r="G53" s="6" t="inlineStr">
        <is>
          <t>Scottsdale HQ / Liberty, Harris</t>
        </is>
      </c>
      <c r="H53" s="6" t="inlineStr">
        <is>
          <t>Sub-110 day cycle, 4 straight quarters</t>
        </is>
      </c>
      <c r="I53" s="8" t="inlineStr">
        <is>
          <t>Yes</t>
        </is>
      </c>
      <c r="J53" s="9" t="inlineStr">
        <is>
          <t>1,000 homes at Trinity Landing on 45 to 60 foot lots.</t>
        </is>
      </c>
      <c r="K53" s="8" t="inlineStr">
        <is>
          <t>No</t>
        </is>
      </c>
      <c r="L53" s="9" t="inlineStr">
        <is>
          <t>A national builder closing thousands a year through a corporate purchasing desk.</t>
        </is>
      </c>
      <c r="M53" s="8" t="inlineStr">
        <is>
          <t>Partly</t>
        </is>
      </c>
      <c r="N53" s="9" t="inlineStr">
        <is>
          <t>AI across the business and sub-110-day cycles. Nothing on wall systems.</t>
        </is>
      </c>
      <c r="O53" s="8" t="inlineStr">
        <is>
          <t>Yes</t>
        </is>
      </c>
      <c r="P53" s="6" t="inlineStr">
        <is>
          <t>https://www.linkedin.com/in/jeremy-flach-b3616614/</t>
        </is>
      </c>
      <c r="Q53" s="6" t="inlineStr"/>
      <c r="R53" s="11">
        <f>IF(P53="","ADD LINKEDIN","ok")</f>
        <v/>
      </c>
      <c r="S53" s="6" t="inlineStr">
        <is>
          <t>https://www.meritagehomes.com/</t>
        </is>
      </c>
      <c r="T53" s="9" t="inlineStr">
        <is>
          <t>1,000 homes at Trinity Landing and a sub-110-day cycle held four quarters. No wall-system statement on record.</t>
        </is>
      </c>
      <c r="U53" s="9"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3" s="6" t="inlineStr"/>
      <c r="W53" s="9" t="inlineStr">
        <is>
          <t>Division President at Meritage Homes. Houston, Texas.</t>
        </is>
      </c>
      <c r="X53" s="6" t="inlineStr"/>
      <c r="Y53" s="6" t="inlineStr">
        <is>
          <t>https://www.linkedin.com/company/meritage-homes</t>
        </is>
      </c>
      <c r="Z53" s="6" t="inlineStr">
        <is>
          <t>https://investors.meritagehomes.com/company-information/management-team</t>
        </is>
      </c>
    </row>
    <row r="54">
      <c r="A54" s="12" t="inlineStr">
        <is>
          <t>Kyle Davison</t>
        </is>
      </c>
      <c r="B54" s="12" t="inlineStr">
        <is>
          <t>Meritage Homes Corporation</t>
        </is>
      </c>
      <c r="C54" s="12" t="inlineStr">
        <is>
          <t>Central Region President, Meritage Homes</t>
        </is>
      </c>
      <c r="D54" s="13" t="inlineStr">
        <is>
          <t>Worth pursuing, one gap</t>
        </is>
      </c>
      <c r="E54" s="14" t="n">
        <v>2</v>
      </c>
      <c r="F54" s="12" t="inlineStr">
        <is>
          <t>Buys walls</t>
        </is>
      </c>
      <c r="G54" s="12" t="inlineStr">
        <is>
          <t>Scottsdale HQ / Liberty, Harris</t>
        </is>
      </c>
      <c r="H54" s="12" t="inlineStr">
        <is>
          <t>Sub-110 day cycle, 4 straight quarters</t>
        </is>
      </c>
      <c r="I54" s="14" t="inlineStr">
        <is>
          <t>Yes</t>
        </is>
      </c>
      <c r="J54" s="15" t="inlineStr">
        <is>
          <t>1,000 homes at Trinity Landing on 45 to 60 foot lots.</t>
        </is>
      </c>
      <c r="K54" s="14" t="inlineStr">
        <is>
          <t>No</t>
        </is>
      </c>
      <c r="L54" s="15" t="inlineStr">
        <is>
          <t>A national builder closing thousands a year through a corporate purchasing desk.</t>
        </is>
      </c>
      <c r="M54" s="14" t="inlineStr">
        <is>
          <t>Partly</t>
        </is>
      </c>
      <c r="N54" s="15" t="inlineStr">
        <is>
          <t>AI across the business and sub-110-day cycles. Nothing on wall systems.</t>
        </is>
      </c>
      <c r="O54" s="14" t="inlineStr">
        <is>
          <t>Yes</t>
        </is>
      </c>
      <c r="P54" s="6" t="inlineStr">
        <is>
          <t>https://www.linkedin.com/in/kyle-davison-377a322b/</t>
        </is>
      </c>
      <c r="Q54" s="12" t="inlineStr"/>
      <c r="R54" s="16">
        <f>IF(P54="","ADD LINKEDIN","ok")</f>
        <v/>
      </c>
      <c r="S54" s="12" t="inlineStr">
        <is>
          <t>https://www.meritagehomes.com/</t>
        </is>
      </c>
      <c r="T54" s="15" t="inlineStr">
        <is>
          <t>1,000 homes at Trinity Landing and a sub-110-day cycle held four quarters. No wall-system statement on record.</t>
        </is>
      </c>
      <c r="U54" s="15" t="inlineStr">
        <is>
          <t>Trinity Landing land purchase price not disclosed. | Meritage headquarters reported from general corporate record, not reconfirmed on an investor-relations page. | Meritage runs Houston as its own division with a division president, a vice president of operations and a vice president of land development in the metro, under a Sugar Land regional president. Three of the four decision levels a method change has to clear are inside Greater Houston. | No Meritage statement on wall systems, modular or offsite located. Innovation score rests on operational technology only.</t>
        </is>
      </c>
      <c r="V54" s="12" t="inlineStr"/>
      <c r="W54" s="15" t="inlineStr">
        <is>
          <t>Central Region President at Meritage Homes (NYSE). Sugar Land, Texas.</t>
        </is>
      </c>
      <c r="X54" s="12" t="inlineStr"/>
      <c r="Y54" s="12" t="inlineStr">
        <is>
          <t>https://www.linkedin.com/company/meritage-homes</t>
        </is>
      </c>
      <c r="Z54" s="12" t="inlineStr">
        <is>
          <t>https://investors.meritagehomes.com/company-information/management-team</t>
        </is>
      </c>
    </row>
    <row r="55">
      <c r="A55" s="6" t="inlineStr">
        <is>
          <t>Stephen Ray</t>
        </is>
      </c>
      <c r="B55" s="6" t="inlineStr">
        <is>
          <t>Smith Douglas Homes</t>
        </is>
      </c>
      <c r="C55" s="6" t="inlineStr">
        <is>
          <t>Leads the Houston division; Founder and President of Devon Street Homes before the 2024 sale</t>
        </is>
      </c>
      <c r="D55" s="7" t="inlineStr">
        <is>
          <t>Worth pursuing, one gap</t>
        </is>
      </c>
      <c r="E55" s="8" t="n">
        <v>2</v>
      </c>
      <c r="F55" s="6" t="inlineStr">
        <is>
          <t>Buys walls</t>
        </is>
      </c>
      <c r="G55" s="6" t="inlineStr">
        <is>
          <t>Houston, formerly Devon Street Homes</t>
        </is>
      </c>
      <c r="H55" s="6" t="inlineStr">
        <is>
          <t>324 closings in 2022 as Devon Street</t>
        </is>
      </c>
      <c r="I55" s="8" t="inlineStr">
        <is>
          <t>Yes</t>
        </is>
      </c>
      <c r="J55" s="9" t="inlineStr">
        <is>
          <t>324 homes across fifteen communities, on a standardised first-time-buyer product.</t>
        </is>
      </c>
      <c r="K55" s="8" t="inlineStr">
        <is>
          <t>Partly</t>
        </is>
      </c>
      <c r="L55" s="9" t="inlineStr">
        <is>
          <t>The volume band fits, but the parent listed in January 2024 and purchasing may have centralised.</t>
        </is>
      </c>
      <c r="M55" s="8" t="inlineStr">
        <is>
          <t>No</t>
        </is>
      </c>
      <c r="N55" s="9" t="inlineStr">
        <is>
          <t>The model is standardisation for entry-level buyers. That is not evidence of paying for an unproven method.</t>
        </is>
      </c>
      <c r="O55" s="8" t="inlineStr">
        <is>
          <t>Yes</t>
        </is>
      </c>
      <c r="P55" s="10" t="inlineStr"/>
      <c r="Q55" s="6">
        <f>HYPERLINK("https://www.linkedin.com/search/results/people/?keywords=Stephen%20Ray%20Smith%20Douglas%20Homes","search")</f>
        <v/>
      </c>
      <c r="R55" s="11">
        <f>IF(P55="","ADD LINKEDIN","ok")</f>
        <v/>
      </c>
      <c r="S55" s="6" t="inlineStr">
        <is>
          <t>https://www.smithdouglas.com/</t>
        </is>
      </c>
      <c r="T55" s="9" t="inlineStr">
        <is>
          <t>324 closings across fifteen communities in the year before it was acquired, on standardised entry-level product. Now part of a listed builder; the Houston purchasing structure is not published.</t>
        </is>
      </c>
      <c r="U55" s="9" t="inlineStr">
        <is>
          <t>The 324-closings figure is 2022, before the acquisition. The Houston division was built from a local company rather than dropped in, so the local team may still hold the specification. | Stephen Ray's post-acquisition title is not published anywhere. No LinkedIn profile could be matched to him at either Devon Street or Smith Douglas. Smith Douglas closed about 2,200 homes company-wide in 2023; no Houston breakout has been filed.</t>
        </is>
      </c>
      <c r="V55" s="6" t="inlineStr"/>
      <c r="W55" s="9" t="inlineStr">
        <is>
          <t>Smith Douglas's own announcement: Stephen Ray, Founder and President of Devon Street, will continue to lead the Houston division. No post-acquisition title is published.</t>
        </is>
      </c>
      <c r="X55" s="6" t="inlineStr">
        <is>
          <t>https://www.smithdouglas.com/blog/smith-douglas-homes-acquires-devon-street-homes-enters-houston-tx-market</t>
        </is>
      </c>
      <c r="Y55" s="6" t="inlineStr"/>
      <c r="Z55" s="6" t="inlineStr"/>
    </row>
    <row r="56">
      <c r="A56" s="12" t="inlineStr">
        <is>
          <t>Margaret Potter</t>
        </is>
      </c>
      <c r="B56" s="12" t="inlineStr">
        <is>
          <t>Camillo Companies (SimplyHome / Legend Homes)</t>
        </is>
      </c>
      <c r="C56" s="12" t="inlineStr">
        <is>
          <t>Chief Executive Officer</t>
        </is>
      </c>
      <c r="D56" s="13" t="inlineStr">
        <is>
          <t>Worth pursuing, one gap</t>
        </is>
      </c>
      <c r="E56" s="14" t="n">
        <v>2</v>
      </c>
      <c r="F56" s="12" t="inlineStr">
        <is>
          <t>Buys walls</t>
        </is>
      </c>
      <c r="G56" s="12" t="inlineStr">
        <is>
          <t>Houston HQ, Harris County</t>
        </is>
      </c>
      <c r="H56" s="12" t="inlineStr">
        <is>
          <t>10,800+ rental homes, 115+ communities</t>
        </is>
      </c>
      <c r="I56" s="14" t="inlineStr">
        <is>
          <t>Yes</t>
        </is>
      </c>
      <c r="J56" s="15" t="inlineStr">
        <is>
          <t>10,800 rental homes across 115 communities.</t>
        </is>
      </c>
      <c r="K56" s="14" t="inlineStr">
        <is>
          <t>Partly</t>
        </is>
      </c>
      <c r="L56" s="15" t="inlineStr">
        <is>
          <t>10,800 rental homes held across 115 communities. The volume is far above one machine, though the build-and-hold model is the right one.</t>
        </is>
      </c>
      <c r="M56" s="14" t="inlineStr">
        <is>
          <t>No</t>
        </is>
      </c>
      <c r="N56" s="15" t="inlineStr">
        <is>
          <t>No construction-method statement found anywhere.</t>
        </is>
      </c>
      <c r="O56" s="14" t="inlineStr">
        <is>
          <t>Partly</t>
        </is>
      </c>
      <c r="P56" s="10" t="inlineStr"/>
      <c r="Q56" s="12">
        <f>HYPERLINK("https://www.linkedin.com/search/results/people/?keywords=Margaret%20Potter%20Camillo%20Companies","search")</f>
        <v/>
      </c>
      <c r="R56" s="16">
        <f>IF(P56="","ADD LINKEDIN","ok")</f>
        <v/>
      </c>
      <c r="S56" s="12" t="inlineStr">
        <is>
          <t>https://www.camillocompanies.com/</t>
        </is>
      </c>
      <c r="T56" s="15" t="inlineStr">
        <is>
          <t>10,800 rental homes across 115 communities, built and held. No construction-method statement anywhere.</t>
        </is>
      </c>
      <c r="U56" s="15"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6" s="12" t="inlineStr"/>
      <c r="W56" s="15" t="inlineStr">
        <is>
          <t>Camillo's own about page now names Dan Miller as chief executive and does not name her. Third-party org charts still show her as chief executive since 2013. Treat the title as stale until the firm confirms it.</t>
        </is>
      </c>
      <c r="X56" s="12" t="inlineStr">
        <is>
          <t>https://www.camillocompanies.com/about-us</t>
        </is>
      </c>
      <c r="Y56" s="12" t="inlineStr">
        <is>
          <t>https://www.linkedin.com/company/camillo-companies</t>
        </is>
      </c>
      <c r="Z56" s="12" t="inlineStr">
        <is>
          <t>https://www.camillocompanies.com/about-us</t>
        </is>
      </c>
    </row>
    <row r="57">
      <c r="A57" s="6" t="inlineStr">
        <is>
          <t>Meagan Yager</t>
        </is>
      </c>
      <c r="B57" s="6" t="inlineStr">
        <is>
          <t>Camillo Companies (SimplyHome / Legend Homes)</t>
        </is>
      </c>
      <c r="C57" s="6" t="inlineStr">
        <is>
          <t>Vice President of Marketing</t>
        </is>
      </c>
      <c r="D57" s="7" t="inlineStr">
        <is>
          <t>Worth pursuing, one gap</t>
        </is>
      </c>
      <c r="E57" s="8" t="n">
        <v>2</v>
      </c>
      <c r="F57" s="6" t="inlineStr">
        <is>
          <t>Buys walls</t>
        </is>
      </c>
      <c r="G57" s="6" t="inlineStr">
        <is>
          <t>Houston HQ, Harris County</t>
        </is>
      </c>
      <c r="H57" s="6" t="inlineStr">
        <is>
          <t>10,800+ rental homes, 115+ communities</t>
        </is>
      </c>
      <c r="I57" s="8" t="inlineStr">
        <is>
          <t>Yes</t>
        </is>
      </c>
      <c r="J57" s="9" t="inlineStr">
        <is>
          <t>10,800 rental homes across 115 communities.</t>
        </is>
      </c>
      <c r="K57" s="8" t="inlineStr">
        <is>
          <t>Partly</t>
        </is>
      </c>
      <c r="L57" s="9" t="inlineStr">
        <is>
          <t>10,800 rental homes held across 115 communities. The volume is far above one machine, though the build-and-hold model is the right one.</t>
        </is>
      </c>
      <c r="M57" s="8" t="inlineStr">
        <is>
          <t>No</t>
        </is>
      </c>
      <c r="N57" s="9" t="inlineStr">
        <is>
          <t>No construction-method statement found anywhere.</t>
        </is>
      </c>
      <c r="O57" s="8" t="inlineStr">
        <is>
          <t>Partly</t>
        </is>
      </c>
      <c r="P57" s="10" t="inlineStr"/>
      <c r="Q57" s="6">
        <f>HYPERLINK("https://www.linkedin.com/search/results/people/?keywords=Meagan%20Yager%20Camillo%20Companies","search")</f>
        <v/>
      </c>
      <c r="R57" s="11">
        <f>IF(P57="","ADD LINKEDIN","ok")</f>
        <v/>
      </c>
      <c r="S57" s="6" t="inlineStr">
        <is>
          <t>https://www.camillocompanies.com/</t>
        </is>
      </c>
      <c r="T57" s="9" t="inlineStr">
        <is>
          <t>10,800 rental homes across 115 communities, built and held. No construction-method statement anywhere.</t>
        </is>
      </c>
      <c r="U57" s="9" t="inlineStr">
        <is>
          <t>Dedicated innovation-appetite search returned no construction-method or technology content. Scored zero on evidence, not on inference. | Nobody is publicly identifiable at Camillo or SimplyHome at VP or director level in construction or purchasing. The construction decision-maker there is unidentified. | No named or dated individual Houston community with a unit count. Aggregate figures only. | No capital signal with a figure.</t>
        </is>
      </c>
      <c r="V57" s="6" t="inlineStr"/>
      <c r="W57" s="9" t="inlineStr">
        <is>
          <t>Not on Camillo's current about page. A third-party org chart lists her as corporate vice president of marketing at Legend Homes, a Camillo brand. The page does list a Meagan Butler in property management, who is a different person.</t>
        </is>
      </c>
      <c r="X57" s="6" t="inlineStr">
        <is>
          <t>https://www.camillocompanies.com/about-us</t>
        </is>
      </c>
      <c r="Y57" s="6" t="inlineStr">
        <is>
          <t>https://www.linkedin.com/company/camillo-companies</t>
        </is>
      </c>
      <c r="Z57" s="6" t="inlineStr">
        <is>
          <t>https://www.camillocompanies.com/about-us</t>
        </is>
      </c>
    </row>
    <row r="58">
      <c r="A58" s="12" t="inlineStr">
        <is>
          <t>Lance Wright</t>
        </is>
      </c>
      <c r="B58" s="12" t="inlineStr">
        <is>
          <t>CastleRock Communities</t>
        </is>
      </c>
      <c r="C58" s="12" t="inlineStr">
        <is>
          <t>Chief Executive Officer and Founding Partner</t>
        </is>
      </c>
      <c r="D58" s="13" t="inlineStr">
        <is>
          <t>Worth pursuing, one gap</t>
        </is>
      </c>
      <c r="E58" s="14" t="n">
        <v>2</v>
      </c>
      <c r="F58" s="12" t="inlineStr">
        <is>
          <t>Buys walls</t>
        </is>
      </c>
      <c r="G58" s="12" t="inlineStr">
        <is>
          <t>Houston HQ / Fort Bend</t>
        </is>
      </c>
      <c r="H58" s="12" t="inlineStr">
        <is>
          <t>20,000+ homes, 300+ communities</t>
        </is>
      </c>
      <c r="I58" s="14" t="inlineStr">
        <is>
          <t>Yes</t>
        </is>
      </c>
      <c r="J58" s="15" t="inlineStr">
        <is>
          <t>20,000 homes since 2004, 1,600 closed in a single year.</t>
        </is>
      </c>
      <c r="K58" s="14" t="inlineStr">
        <is>
          <t>Partly</t>
        </is>
      </c>
      <c r="L58" s="15" t="inlineStr">
        <is>
          <t>20,000 homes since 2004 is roughly a thousand a year, above the band but not beyond a two-machine pilot.</t>
        </is>
      </c>
      <c r="M58" s="14" t="inlineStr">
        <is>
          <t>No</t>
        </is>
      </c>
      <c r="N58" s="15" t="inlineStr">
        <is>
          <t>Search ended early. Daiwa House owns a stake and is an industrialised builder, untested.</t>
        </is>
      </c>
      <c r="O58" s="14" t="inlineStr">
        <is>
          <t>Partly</t>
        </is>
      </c>
      <c r="P58" s="10" t="inlineStr"/>
      <c r="Q58" s="12">
        <f>HYPERLINK("https://www.linkedin.com/search/results/people/?keywords=Lance%20Wright%20CastleRock%20Communities","search")</f>
        <v/>
      </c>
      <c r="R58" s="16">
        <f>IF(P58="","ADD LINKEDIN","ok")</f>
        <v/>
      </c>
      <c r="S58" s="12" t="inlineStr">
        <is>
          <t>https://www.c-rock.com/</t>
        </is>
      </c>
      <c r="T58" s="15" t="inlineStr">
        <is>
          <t>20,000 homes since 2004. Daiwa House owns a stake. No published method evidence.</t>
        </is>
      </c>
      <c r="U58"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8" s="12" t="inlineStr"/>
      <c r="W58" s="15" t="inlineStr">
        <is>
          <t>CastleRock's own about page: a founding partner, serving as chief executive.</t>
        </is>
      </c>
      <c r="X58" s="12" t="inlineStr">
        <is>
          <t>https://www.c-rock.com/about</t>
        </is>
      </c>
      <c r="Y58" s="12" t="inlineStr">
        <is>
          <t>https://www.linkedin.com/company/castlerock-communities</t>
        </is>
      </c>
      <c r="Z58" s="12" t="inlineStr">
        <is>
          <t>https://www.c-rock.com/about</t>
        </is>
      </c>
    </row>
    <row r="59">
      <c r="A59" s="6" t="inlineStr">
        <is>
          <t>Kirk Breitenwischer</t>
        </is>
      </c>
      <c r="B59" s="6" t="inlineStr">
        <is>
          <t>CastleRock Communities</t>
        </is>
      </c>
      <c r="C59" s="6" t="inlineStr">
        <is>
          <t>Senior Executive Vice President</t>
        </is>
      </c>
      <c r="D59" s="7" t="inlineStr">
        <is>
          <t>Worth pursuing, one gap</t>
        </is>
      </c>
      <c r="E59" s="8" t="n">
        <v>2</v>
      </c>
      <c r="F59" s="6" t="inlineStr">
        <is>
          <t>Buys walls</t>
        </is>
      </c>
      <c r="G59" s="6" t="inlineStr">
        <is>
          <t>Houston HQ / Fort Bend</t>
        </is>
      </c>
      <c r="H59" s="6" t="inlineStr">
        <is>
          <t>20,000+ homes, 300+ communities</t>
        </is>
      </c>
      <c r="I59" s="8" t="inlineStr">
        <is>
          <t>Yes</t>
        </is>
      </c>
      <c r="J59" s="9" t="inlineStr">
        <is>
          <t>20,000 homes since 2004, 1,600 closed in a single year.</t>
        </is>
      </c>
      <c r="K59" s="8" t="inlineStr">
        <is>
          <t>Partly</t>
        </is>
      </c>
      <c r="L59" s="9" t="inlineStr">
        <is>
          <t>20,000 homes since 2004 is roughly a thousand a year, above the band but not beyond a two-machine pilot.</t>
        </is>
      </c>
      <c r="M59" s="8" t="inlineStr">
        <is>
          <t>No</t>
        </is>
      </c>
      <c r="N59" s="9" t="inlineStr">
        <is>
          <t>Search ended early. Daiwa House owns a stake and is an industrialised builder, untested.</t>
        </is>
      </c>
      <c r="O59" s="8" t="inlineStr">
        <is>
          <t>Partly</t>
        </is>
      </c>
      <c r="P59" s="6" t="inlineStr">
        <is>
          <t>https://www.linkedin.com/in/kirk-breitenwischer-32778312/</t>
        </is>
      </c>
      <c r="Q59" s="6" t="inlineStr"/>
      <c r="R59" s="11">
        <f>IF(P59="","ADD LINKEDIN","ok")</f>
        <v/>
      </c>
      <c r="S59" s="6" t="inlineStr">
        <is>
          <t>https://www.c-rock.com/</t>
        </is>
      </c>
      <c r="T59" s="9" t="inlineStr">
        <is>
          <t>20,000 homes since 2004. Daiwa House owns a stake. No published method evidence.</t>
        </is>
      </c>
      <c r="U59" s="9"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59" s="6" t="inlineStr"/>
      <c r="W59" s="9" t="inlineStr">
        <is>
          <t>VP at Castlerock Communities. Houston, Texas. The headline gives no function.</t>
        </is>
      </c>
      <c r="X59" s="6" t="inlineStr"/>
      <c r="Y59" s="6" t="inlineStr">
        <is>
          <t>https://www.linkedin.com/company/castlerock-communities</t>
        </is>
      </c>
      <c r="Z59" s="6" t="inlineStr">
        <is>
          <t>https://www.c-rock.com/about</t>
        </is>
      </c>
    </row>
    <row r="60">
      <c r="A60" s="12" t="inlineStr">
        <is>
          <t>Bruce Torkelson</t>
        </is>
      </c>
      <c r="B60" s="12" t="inlineStr">
        <is>
          <t>CastleRock Communities</t>
        </is>
      </c>
      <c r="C60" s="12" t="inlineStr">
        <is>
          <t>Chief Financial Officer, CastleRock Communities</t>
        </is>
      </c>
      <c r="D60" s="13" t="inlineStr">
        <is>
          <t>Worth pursuing, one gap</t>
        </is>
      </c>
      <c r="E60" s="14" t="n">
        <v>2</v>
      </c>
      <c r="F60" s="12" t="inlineStr">
        <is>
          <t>Buys walls</t>
        </is>
      </c>
      <c r="G60" s="12" t="inlineStr">
        <is>
          <t>Houston HQ / Fort Bend</t>
        </is>
      </c>
      <c r="H60" s="12" t="inlineStr">
        <is>
          <t>20,000+ homes, 300+ communities</t>
        </is>
      </c>
      <c r="I60" s="14" t="inlineStr">
        <is>
          <t>Yes</t>
        </is>
      </c>
      <c r="J60" s="15" t="inlineStr">
        <is>
          <t>20,000 homes since 2004, 1,600 closed in a single year.</t>
        </is>
      </c>
      <c r="K60" s="14" t="inlineStr">
        <is>
          <t>Partly</t>
        </is>
      </c>
      <c r="L60" s="15" t="inlineStr">
        <is>
          <t>20,000 homes since 2004 is roughly a thousand a year, above the band but not beyond a two-machine pilot.</t>
        </is>
      </c>
      <c r="M60" s="14" t="inlineStr">
        <is>
          <t>No</t>
        </is>
      </c>
      <c r="N60" s="15" t="inlineStr">
        <is>
          <t>Search ended early. Daiwa House owns a stake and is an industrialised builder, untested.</t>
        </is>
      </c>
      <c r="O60" s="14" t="inlineStr">
        <is>
          <t>Partly</t>
        </is>
      </c>
      <c r="P60" s="6" t="inlineStr">
        <is>
          <t>https://www.linkedin.com/in/brucetorkelson/</t>
        </is>
      </c>
      <c r="Q60" s="12" t="inlineStr"/>
      <c r="R60" s="16">
        <f>IF(P60="","ADD LINKEDIN","ok")</f>
        <v/>
      </c>
      <c r="S60" s="12" t="inlineStr">
        <is>
          <t>https://www.c-rock.com/</t>
        </is>
      </c>
      <c r="T60" s="15" t="inlineStr">
        <is>
          <t>20,000 homes since 2004. Daiwa House owns a stake. No published method evidence.</t>
        </is>
      </c>
      <c r="U60" s="15" t="inlineStr">
        <is>
          <t>Daiwa House is a major industrialised-construction company in Japan. Whether that appetite reaches CastleRock is untested and should be checked before the score is trusted. | Daiwa House deal size not disclosed. | CastleRock publishes a chief financial officer and a vice president with no stated function. For a builder of 20,000 homes, no construction or purchasing lead is publicly identifiable, which is unusual at that scale. | Daiwa House Industry holds 80 percent of CastleRock, acquired for about $408 million, announced 10 August 2021. Tested whether Daiwa's industrialised-housing methods reach the Texas operation: no technology transfer, prefab pilot, board seat or joint statement found. Trade press describes Japanese owners preserving the acquired builder without forcing synergies. The parent is not a route in, and it is not an obstacle either. | CastleRock publishes no construction-method or technology content. The count reflects an absent record.</t>
        </is>
      </c>
      <c r="V60" s="12" t="inlineStr"/>
      <c r="W60" s="15" t="inlineStr">
        <is>
          <t>CFO at CastleRock Communities. Houston, Texas.</t>
        </is>
      </c>
      <c r="X60" s="12" t="inlineStr"/>
      <c r="Y60" s="12" t="inlineStr">
        <is>
          <t>https://www.linkedin.com/company/castlerock-communities</t>
        </is>
      </c>
      <c r="Z60" s="12" t="inlineStr">
        <is>
          <t>https://www.c-rock.com/about</t>
        </is>
      </c>
    </row>
    <row r="61">
      <c r="A61" s="6" t="inlineStr">
        <is>
          <t>Todd Wood</t>
        </is>
      </c>
      <c r="B61" s="6" t="inlineStr">
        <is>
          <t>Christopher Todd Communities</t>
        </is>
      </c>
      <c r="C61" s="6" t="inlineStr">
        <is>
          <t>Chief Executive Officer and Founder</t>
        </is>
      </c>
      <c r="D61" s="7" t="inlineStr">
        <is>
          <t>Worth pursuing, one gap</t>
        </is>
      </c>
      <c r="E61" s="8" t="n">
        <v>2</v>
      </c>
      <c r="F61" s="6" t="inlineStr">
        <is>
          <t>Buys walls</t>
        </is>
      </c>
      <c r="G61" s="6" t="inlineStr">
        <is>
          <t>Mesa HQ / Montgomery, Harris</t>
        </is>
      </c>
      <c r="H61" s="6" t="inlineStr">
        <is>
          <t>314 homes Conroe, 240 homes Cypress</t>
        </is>
      </c>
      <c r="I61" s="8" t="inlineStr">
        <is>
          <t>Partly</t>
        </is>
      </c>
      <c r="J61" s="9" t="inlineStr">
        <is>
          <t>314 homes in Conroe and 240 in Cypress.</t>
        </is>
      </c>
      <c r="K61" s="8" t="inlineStr">
        <is>
          <t>Yes</t>
        </is>
      </c>
      <c r="L61" s="9" t="inlineStr">
        <is>
          <t>156 units inside a single masterplan, built to hold. One machine covers a community at a time.</t>
        </is>
      </c>
      <c r="M61" s="8" t="inlineStr">
        <is>
          <t>No</t>
        </is>
      </c>
      <c r="N61" s="9" t="inlineStr">
        <is>
          <t>Its stated technology package is smart-home fittings, not structure.</t>
        </is>
      </c>
      <c r="O61" s="8" t="inlineStr">
        <is>
          <t>Partly</t>
        </is>
      </c>
      <c r="P61" s="10" t="inlineStr"/>
      <c r="Q61" s="6">
        <f>HYPERLINK("https://www.linkedin.com/search/results/people/?keywords=Todd%20Wood%20Christopher%20Todd%20Communities","search")</f>
        <v/>
      </c>
      <c r="R61" s="11">
        <f>IF(P61="","ADD LINKEDIN","ok")</f>
        <v/>
      </c>
      <c r="S61" s="6" t="inlineStr">
        <is>
          <t>https://www.christophertodd.com/</t>
        </is>
      </c>
      <c r="T61" s="9" t="inlineStr">
        <is>
          <t>314 homes in Conroe and a stated shift to self-development. Its declared technology is smart-home fittings.</t>
        </is>
      </c>
      <c r="U61" s="9" t="inlineStr">
        <is>
          <t>Conroe acquisition price not disclosed. | Cottage Living was acquired, not developed. Confirm forward self-development pipeline.</t>
        </is>
      </c>
      <c r="V61" s="6" t="inlineStr"/>
      <c r="W61" s="9" t="inlineStr">
        <is>
          <t>Founded Christopher Todd Communities in 2016, after selling an organic bakery.</t>
        </is>
      </c>
      <c r="X61" s="6" t="inlineStr">
        <is>
          <t>https://www.christophertodd.com/our-story/</t>
        </is>
      </c>
      <c r="Y61" s="6" t="inlineStr">
        <is>
          <t>https://www.linkedin.com/company/christopher-todd-communities</t>
        </is>
      </c>
      <c r="Z61" s="6" t="inlineStr">
        <is>
          <t>https://www.christophertodd.com/our-story/</t>
        </is>
      </c>
    </row>
    <row r="62">
      <c r="A62" s="12" t="inlineStr">
        <is>
          <t>Brent Long</t>
        </is>
      </c>
      <c r="B62" s="12" t="inlineStr">
        <is>
          <t>Christopher Todd Communities</t>
        </is>
      </c>
      <c r="C62" s="12" t="inlineStr">
        <is>
          <t>President, Christopher Todd Capital</t>
        </is>
      </c>
      <c r="D62" s="13" t="inlineStr">
        <is>
          <t>Worth pursuing, one gap</t>
        </is>
      </c>
      <c r="E62" s="14" t="n">
        <v>2</v>
      </c>
      <c r="F62" s="12" t="inlineStr">
        <is>
          <t>Buys walls</t>
        </is>
      </c>
      <c r="G62" s="12" t="inlineStr">
        <is>
          <t>Mesa HQ / Montgomery, Harris</t>
        </is>
      </c>
      <c r="H62" s="12" t="inlineStr">
        <is>
          <t>314 homes Conroe, 240 homes Cypress</t>
        </is>
      </c>
      <c r="I62" s="14" t="inlineStr">
        <is>
          <t>Partly</t>
        </is>
      </c>
      <c r="J62" s="15" t="inlineStr">
        <is>
          <t>314 homes in Conroe and 240 in Cypress.</t>
        </is>
      </c>
      <c r="K62" s="14" t="inlineStr">
        <is>
          <t>Yes</t>
        </is>
      </c>
      <c r="L62" s="15" t="inlineStr">
        <is>
          <t>156 units inside a single masterplan, built to hold. One machine covers a community at a time.</t>
        </is>
      </c>
      <c r="M62" s="14" t="inlineStr">
        <is>
          <t>No</t>
        </is>
      </c>
      <c r="N62" s="15" t="inlineStr">
        <is>
          <t>Its stated technology package is smart-home fittings, not structure.</t>
        </is>
      </c>
      <c r="O62" s="14" t="inlineStr">
        <is>
          <t>Partly</t>
        </is>
      </c>
      <c r="P62" s="10" t="inlineStr"/>
      <c r="Q62" s="12">
        <f>HYPERLINK("https://www.linkedin.com/search/results/people/?keywords=Brent%20Long%20Christopher%20Todd%20Communities","search")</f>
        <v/>
      </c>
      <c r="R62" s="16">
        <f>IF(P62="","ADD LINKEDIN","ok")</f>
        <v/>
      </c>
      <c r="S62" s="12" t="inlineStr">
        <is>
          <t>https://www.christophertodd.com/</t>
        </is>
      </c>
      <c r="T62" s="15" t="inlineStr">
        <is>
          <t>314 homes in Conroe and a stated shift to self-development. Its declared technology is smart-home fittings.</t>
        </is>
      </c>
      <c r="U62" s="15" t="inlineStr">
        <is>
          <t>Conroe acquisition price not disclosed. | Cottage Living was acquired, not developed. Confirm forward self-development pipeline.</t>
        </is>
      </c>
      <c r="V62" s="12" t="inlineStr"/>
      <c r="W62" s="15" t="inlineStr">
        <is>
          <t>Joined as Director of Investment and Land with twenty-five years in multifamily.</t>
        </is>
      </c>
      <c r="X62" s="12" t="inlineStr">
        <is>
          <t>https://www.christophertodd.com/press-releases/brent-long-joins-christopher-todd-as-director-of-investment-and-land/</t>
        </is>
      </c>
      <c r="Y62" s="12" t="inlineStr">
        <is>
          <t>https://www.linkedin.com/company/christopher-todd-communities</t>
        </is>
      </c>
      <c r="Z62" s="12" t="inlineStr">
        <is>
          <t>https://www.christophertodd.com/our-story/</t>
        </is>
      </c>
    </row>
    <row r="63">
      <c r="A63" s="6" t="inlineStr">
        <is>
          <t>Jason Golan</t>
        </is>
      </c>
      <c r="B63" s="6" t="inlineStr">
        <is>
          <t>Westin Homes</t>
        </is>
      </c>
      <c r="C63" s="6" t="inlineStr">
        <is>
          <t>President</t>
        </is>
      </c>
      <c r="D63" s="7" t="inlineStr">
        <is>
          <t>Worth pursuing, one gap</t>
        </is>
      </c>
      <c r="E63" s="8" t="n">
        <v>2</v>
      </c>
      <c r="F63" s="6" t="inlineStr">
        <is>
          <t>Buys walls</t>
        </is>
      </c>
      <c r="G63" s="6" t="inlineStr">
        <is>
          <t>Sugar Land</t>
        </is>
      </c>
      <c r="H63" s="6" t="inlineStr">
        <is>
          <t>1,062 closings and $621 million in 2025</t>
        </is>
      </c>
      <c r="I63" s="8" t="inlineStr">
        <is>
          <t>Yes</t>
        </is>
      </c>
      <c r="J63" s="9" t="inlineStr">
        <is>
          <t>Lago Mar, Del Bello Lakes, Meridiana, Sienna, Legacy and Marvida. The same plans in six masterplans.</t>
        </is>
      </c>
      <c r="K63" s="8" t="inlineStr">
        <is>
          <t>Partly</t>
        </is>
      </c>
      <c r="L63" s="9" t="inlineStr">
        <is>
          <t>1,062 closings in 2025 and 1,016 in 2024 across Houston and Austin. Two machines would be a line inside the business.</t>
        </is>
      </c>
      <c r="M63" s="8" t="inlineStr">
        <is>
          <t>No</t>
        </is>
      </c>
      <c r="N63" s="9" t="inlineStr">
        <is>
          <t>No method evidence. The published language is about plans refined over time, not construction.</t>
        </is>
      </c>
      <c r="O63" s="8" t="inlineStr">
        <is>
          <t>Partly</t>
        </is>
      </c>
      <c r="P63" s="6" t="inlineStr">
        <is>
          <t>https://www.linkedin.com/in/jason-golan-0874a241/</t>
        </is>
      </c>
      <c r="Q63" s="6" t="inlineStr"/>
      <c r="R63" s="11">
        <f>IF(P63="","ADD LINKEDIN","ok")</f>
        <v/>
      </c>
      <c r="S63" s="6" t="inlineStr">
        <is>
          <t>https://www.westin-homes.com/</t>
        </is>
      </c>
      <c r="T63" s="9" t="inlineStr">
        <is>
          <t>1,062 closings in 2025 across the south suburban masterplans, with a named vice president of construction.</t>
        </is>
      </c>
      <c r="U63"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3" s="6" t="inlineStr"/>
      <c r="W63" s="9" t="inlineStr">
        <is>
          <t>Indexed title reads Jason Golan, President at Westin Homes. The firm's own twentieth-anniversary release calls him Founder and Owner.</t>
        </is>
      </c>
      <c r="X63" s="6" t="inlineStr"/>
      <c r="Y63" s="6" t="inlineStr"/>
      <c r="Z63" s="6" t="inlineStr"/>
    </row>
    <row r="64">
      <c r="A64" s="12" t="inlineStr">
        <is>
          <t>Matthew Roland</t>
        </is>
      </c>
      <c r="B64" s="12" t="inlineStr">
        <is>
          <t>Westin Homes</t>
        </is>
      </c>
      <c r="C64" s="12" t="inlineStr">
        <is>
          <t>Vice President of Construction, Houston</t>
        </is>
      </c>
      <c r="D64" s="13" t="inlineStr">
        <is>
          <t>Worth pursuing, one gap</t>
        </is>
      </c>
      <c r="E64" s="14" t="n">
        <v>2</v>
      </c>
      <c r="F64" s="12" t="inlineStr">
        <is>
          <t>Buys walls</t>
        </is>
      </c>
      <c r="G64" s="12" t="inlineStr">
        <is>
          <t>Sugar Land</t>
        </is>
      </c>
      <c r="H64" s="12" t="inlineStr">
        <is>
          <t>1,062 closings and $621 million in 2025</t>
        </is>
      </c>
      <c r="I64" s="14" t="inlineStr">
        <is>
          <t>Yes</t>
        </is>
      </c>
      <c r="J64" s="15" t="inlineStr">
        <is>
          <t>Lago Mar, Del Bello Lakes, Meridiana, Sienna, Legacy and Marvida. The same plans in six masterplans.</t>
        </is>
      </c>
      <c r="K64" s="14" t="inlineStr">
        <is>
          <t>Partly</t>
        </is>
      </c>
      <c r="L64" s="15" t="inlineStr">
        <is>
          <t>1,062 closings in 2025 and 1,016 in 2024 across Houston and Austin. Two machines would be a line inside the business.</t>
        </is>
      </c>
      <c r="M64" s="14" t="inlineStr">
        <is>
          <t>No</t>
        </is>
      </c>
      <c r="N64" s="15" t="inlineStr">
        <is>
          <t>No method evidence. The published language is about plans refined over time, not construction.</t>
        </is>
      </c>
      <c r="O64" s="14" t="inlineStr">
        <is>
          <t>Partly</t>
        </is>
      </c>
      <c r="P64" s="10" t="inlineStr"/>
      <c r="Q64" s="12">
        <f>HYPERLINK("https://www.linkedin.com/search/results/people/?keywords=Matthew%20Roland%20Westin%20Homes","search")</f>
        <v/>
      </c>
      <c r="R64" s="16">
        <f>IF(P64="","ADD LINKEDIN","ok")</f>
        <v/>
      </c>
      <c r="S64" s="12" t="inlineStr">
        <is>
          <t>https://www.westin-homes.com/</t>
        </is>
      </c>
      <c r="T64" s="15" t="inlineStr">
        <is>
          <t>1,062 closings in 2025 across the south suburban masterplans, with a named vice president of construction.</t>
        </is>
      </c>
      <c r="U64"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4" s="12" t="inlineStr">
        <is>
          <t>YES</t>
        </is>
      </c>
      <c r="W64" s="15" t="inlineStr"/>
      <c r="X64" s="12" t="inlineStr"/>
      <c r="Y64" s="12" t="inlineStr"/>
      <c r="Z64" s="12" t="inlineStr"/>
    </row>
    <row r="65">
      <c r="A65" s="6" t="inlineStr">
        <is>
          <t>Diane Danilov</t>
        </is>
      </c>
      <c r="B65" s="6" t="inlineStr">
        <is>
          <t>Westin Homes</t>
        </is>
      </c>
      <c r="C65" s="6" t="inlineStr">
        <is>
          <t>Vice President of Land and Business Development</t>
        </is>
      </c>
      <c r="D65" s="7" t="inlineStr">
        <is>
          <t>Worth pursuing, one gap</t>
        </is>
      </c>
      <c r="E65" s="8" t="n">
        <v>2</v>
      </c>
      <c r="F65" s="6" t="inlineStr">
        <is>
          <t>Buys walls</t>
        </is>
      </c>
      <c r="G65" s="6" t="inlineStr">
        <is>
          <t>Sugar Land</t>
        </is>
      </c>
      <c r="H65" s="6" t="inlineStr">
        <is>
          <t>1,062 closings and $621 million in 2025</t>
        </is>
      </c>
      <c r="I65" s="8" t="inlineStr">
        <is>
          <t>Yes</t>
        </is>
      </c>
      <c r="J65" s="9" t="inlineStr">
        <is>
          <t>Lago Mar, Del Bello Lakes, Meridiana, Sienna, Legacy and Marvida. The same plans in six masterplans.</t>
        </is>
      </c>
      <c r="K65" s="8" t="inlineStr">
        <is>
          <t>Partly</t>
        </is>
      </c>
      <c r="L65" s="9" t="inlineStr">
        <is>
          <t>1,062 closings in 2025 and 1,016 in 2024 across Houston and Austin. Two machines would be a line inside the business.</t>
        </is>
      </c>
      <c r="M65" s="8" t="inlineStr">
        <is>
          <t>No</t>
        </is>
      </c>
      <c r="N65" s="9" t="inlineStr">
        <is>
          <t>No method evidence. The published language is about plans refined over time, not construction.</t>
        </is>
      </c>
      <c r="O65" s="8" t="inlineStr">
        <is>
          <t>Partly</t>
        </is>
      </c>
      <c r="P65" s="10" t="inlineStr"/>
      <c r="Q65" s="6">
        <f>HYPERLINK("https://www.linkedin.com/search/results/people/?keywords=Diane%20Danilov%20Westin%20Homes","search")</f>
        <v/>
      </c>
      <c r="R65" s="11">
        <f>IF(P65="","ADD LINKEDIN","ok")</f>
        <v/>
      </c>
      <c r="S65" s="6" t="inlineStr">
        <is>
          <t>https://www.westin-homes.com/</t>
        </is>
      </c>
      <c r="T65" s="9" t="inlineStr">
        <is>
          <t>1,062 closings in 2025 across the south suburban masterplans, with a named vice president of construction.</t>
        </is>
      </c>
      <c r="U65" s="9"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5" s="6" t="inlineStr"/>
      <c r="W65" s="9" t="inlineStr"/>
      <c r="X65" s="6" t="inlineStr"/>
      <c r="Y65" s="6" t="inlineStr"/>
      <c r="Z65" s="6" t="inlineStr"/>
    </row>
    <row r="66">
      <c r="A66" s="12" t="inlineStr">
        <is>
          <t>Kyle Davison</t>
        </is>
      </c>
      <c r="B66" s="12" t="inlineStr">
        <is>
          <t>Westin Homes</t>
        </is>
      </c>
      <c r="C66" s="12" t="inlineStr">
        <is>
          <t>Division President</t>
        </is>
      </c>
      <c r="D66" s="13" t="inlineStr">
        <is>
          <t>Worth pursuing, one gap</t>
        </is>
      </c>
      <c r="E66" s="14" t="n">
        <v>2</v>
      </c>
      <c r="F66" s="12" t="inlineStr">
        <is>
          <t>Buys walls</t>
        </is>
      </c>
      <c r="G66" s="12" t="inlineStr">
        <is>
          <t>Sugar Land</t>
        </is>
      </c>
      <c r="H66" s="12" t="inlineStr">
        <is>
          <t>1,062 closings and $621 million in 2025</t>
        </is>
      </c>
      <c r="I66" s="14" t="inlineStr">
        <is>
          <t>Yes</t>
        </is>
      </c>
      <c r="J66" s="15" t="inlineStr">
        <is>
          <t>Lago Mar, Del Bello Lakes, Meridiana, Sienna, Legacy and Marvida. The same plans in six masterplans.</t>
        </is>
      </c>
      <c r="K66" s="14" t="inlineStr">
        <is>
          <t>Partly</t>
        </is>
      </c>
      <c r="L66" s="15" t="inlineStr">
        <is>
          <t>1,062 closings in 2025 and 1,016 in 2024 across Houston and Austin. Two machines would be a line inside the business.</t>
        </is>
      </c>
      <c r="M66" s="14" t="inlineStr">
        <is>
          <t>No</t>
        </is>
      </c>
      <c r="N66" s="15" t="inlineStr">
        <is>
          <t>No method evidence. The published language is about plans refined over time, not construction.</t>
        </is>
      </c>
      <c r="O66" s="14" t="inlineStr">
        <is>
          <t>Partly</t>
        </is>
      </c>
      <c r="P66" s="10" t="inlineStr"/>
      <c r="Q66" s="12">
        <f>HYPERLINK("https://www.linkedin.com/search/results/people/?keywords=Kyle%20Davison%20Westin%20Homes","search")</f>
        <v/>
      </c>
      <c r="R66" s="16">
        <f>IF(P66="","ADD LINKEDIN","ok")</f>
        <v/>
      </c>
      <c r="S66" s="12" t="inlineStr">
        <is>
          <t>https://www.westin-homes.com/</t>
        </is>
      </c>
      <c r="T66" s="15" t="inlineStr">
        <is>
          <t>1,062 closings in 2025 across the south suburban masterplans, with a named vice president of construction.</t>
        </is>
      </c>
      <c r="U66" s="15" t="inlineStr">
        <is>
          <t>The construction and purchasing names come from a contact-data aggregator. The firm publishes no leadership page, so confirm before use. | Builder reports 1,062 closings and $621 million in 2025, rank 60 on the 2026 Builder 100. The firm's own release names Jason Golan Founder and Owner and Kyle Davison Division President; LinkedIn indexes Golan as President. | No LinkedIn profile is held for Matthew Roland or Diane Danilov. Only data aggregators carry their titles, and those were not used.</t>
        </is>
      </c>
      <c r="V66" s="12" t="inlineStr"/>
      <c r="W66" s="15" t="inlineStr">
        <is>
          <t>The firm's twentieth-anniversary release names Kyle Davison, Division President.</t>
        </is>
      </c>
      <c r="X66" s="12" t="inlineStr">
        <is>
          <t>https://admin.westin-homes.com/news/details/50</t>
        </is>
      </c>
      <c r="Y66" s="12" t="inlineStr"/>
      <c r="Z66" s="12" t="inlineStr"/>
    </row>
    <row r="67">
      <c r="A67" s="6" t="inlineStr">
        <is>
          <t>Ken Williams</t>
        </is>
      </c>
      <c r="B67" s="6" t="inlineStr">
        <is>
          <t>Colina Homes</t>
        </is>
      </c>
      <c r="C67" s="6" t="inlineStr">
        <is>
          <t>Founder</t>
        </is>
      </c>
      <c r="D67" s="7" t="inlineStr">
        <is>
          <t>Worth pursuing, one gap</t>
        </is>
      </c>
      <c r="E67" s="8" t="n">
        <v>2</v>
      </c>
      <c r="F67" s="6" t="inlineStr">
        <is>
          <t>Buys walls</t>
        </is>
      </c>
      <c r="G67" s="6" t="inlineStr">
        <is>
          <t>Houston, 20 communities</t>
        </is>
      </c>
      <c r="H67" s="6" t="inlineStr">
        <is>
          <t>540 closings in 2025, 552 in 2024</t>
        </is>
      </c>
      <c r="I67" s="8" t="inlineStr">
        <is>
          <t>Yes</t>
        </is>
      </c>
      <c r="J67" s="9" t="inlineStr">
        <is>
          <t>More than twenty communities, all inside Greater Houston, taking a standard plan set.</t>
        </is>
      </c>
      <c r="K67" s="8" t="inlineStr">
        <is>
          <t>Partly</t>
        </is>
      </c>
      <c r="L67" s="9" t="inlineStr">
        <is>
          <t>540 closings in 2025 and 552 in 2024 across about twenty communities. Two machines would carry a fifth of output at most.</t>
        </is>
      </c>
      <c r="M67" s="8" t="inlineStr">
        <is>
          <t>No</t>
        </is>
      </c>
      <c r="N67" s="9" t="inlineStr">
        <is>
          <t>No method evidence. The published positioning is price and floor plan, not construction.</t>
        </is>
      </c>
      <c r="O67" s="8" t="inlineStr">
        <is>
          <t>No</t>
        </is>
      </c>
      <c r="P67" s="10" t="inlineStr"/>
      <c r="Q67" s="6">
        <f>HYPERLINK("https://www.linkedin.com/search/results/people/?keywords=Ken%20Williams%20Colina%20Homes","search")</f>
        <v/>
      </c>
      <c r="R67" s="11">
        <f>IF(P67="","ADD LINKEDIN","ok")</f>
        <v/>
      </c>
      <c r="S67" s="6" t="inlineStr">
        <is>
          <t>https://www.colinahomes.com/</t>
        </is>
      </c>
      <c r="T67" s="9" t="inlineStr">
        <is>
          <t>540 closings in 2025 and 552 in 2024 on a no-haggle affordable model. A named director of construction.</t>
        </is>
      </c>
      <c r="U67" s="9"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7" s="6" t="inlineStr"/>
      <c r="W67" s="9" t="inlineStr">
        <is>
          <t>About page: Founder. Since 2007 he has helped over 4,500 families.</t>
        </is>
      </c>
      <c r="X67" s="6" t="inlineStr">
        <is>
          <t>https://www.colinahomes.com/about</t>
        </is>
      </c>
      <c r="Y67" s="6" t="inlineStr"/>
      <c r="Z67" s="6" t="inlineStr"/>
    </row>
    <row r="68">
      <c r="A68" s="12" t="inlineStr">
        <is>
          <t>Robert Davis</t>
        </is>
      </c>
      <c r="B68" s="12" t="inlineStr">
        <is>
          <t>Colina Homes</t>
        </is>
      </c>
      <c r="C68" s="12" t="inlineStr">
        <is>
          <t>Director of Construction</t>
        </is>
      </c>
      <c r="D68" s="13" t="inlineStr">
        <is>
          <t>Worth pursuing, one gap</t>
        </is>
      </c>
      <c r="E68" s="14" t="n">
        <v>2</v>
      </c>
      <c r="F68" s="12" t="inlineStr">
        <is>
          <t>Buys walls</t>
        </is>
      </c>
      <c r="G68" s="12" t="inlineStr">
        <is>
          <t>Houston, 20 communities</t>
        </is>
      </c>
      <c r="H68" s="12" t="inlineStr">
        <is>
          <t>540 closings in 2025, 552 in 2024</t>
        </is>
      </c>
      <c r="I68" s="14" t="inlineStr">
        <is>
          <t>Yes</t>
        </is>
      </c>
      <c r="J68" s="15" t="inlineStr">
        <is>
          <t>More than twenty communities, all inside Greater Houston, taking a standard plan set.</t>
        </is>
      </c>
      <c r="K68" s="14" t="inlineStr">
        <is>
          <t>Partly</t>
        </is>
      </c>
      <c r="L68" s="15" t="inlineStr">
        <is>
          <t>540 closings in 2025 and 552 in 2024 across about twenty communities. Two machines would carry a fifth of output at most.</t>
        </is>
      </c>
      <c r="M68" s="14" t="inlineStr">
        <is>
          <t>No</t>
        </is>
      </c>
      <c r="N68" s="15" t="inlineStr">
        <is>
          <t>No method evidence. The published positioning is price and floor plan, not construction.</t>
        </is>
      </c>
      <c r="O68" s="14" t="inlineStr">
        <is>
          <t>No</t>
        </is>
      </c>
      <c r="P68" s="6" t="inlineStr">
        <is>
          <t>https://www.linkedin.com/in/robert-davis-684517136/</t>
        </is>
      </c>
      <c r="Q68" s="12" t="inlineStr"/>
      <c r="R68" s="16">
        <f>IF(P68="","ADD LINKEDIN","ok")</f>
        <v/>
      </c>
      <c r="S68" s="12" t="inlineStr">
        <is>
          <t>https://www.colinahomes.com/</t>
        </is>
      </c>
      <c r="T68" s="15" t="inlineStr">
        <is>
          <t>540 closings in 2025 and 552 in 2024 on a no-haggle affordable model. A named director of construction.</t>
        </is>
      </c>
      <c r="U68" s="15" t="inlineStr">
        <is>
          <t>The cumulative figure is the firm's own and covers eighteen years. No single-year number is published. | Builder reports 540 closings in 2025 and 552 in 2024. Printer fit moves from Yes to Partly. | No LinkedIn company page exists for the firm, only individual employee profiles.</t>
        </is>
      </c>
      <c r="V68" s="12" t="inlineStr">
        <is>
          <t>YES</t>
        </is>
      </c>
      <c r="W68" s="15" t="inlineStr">
        <is>
          <t>Indexed title reads Robert Davis, Director of Construction, Colina Homes.</t>
        </is>
      </c>
      <c r="X68" s="12" t="inlineStr"/>
      <c r="Y68" s="12" t="inlineStr"/>
      <c r="Z68" s="12" t="inlineStr"/>
    </row>
    <row r="69">
      <c r="A69" s="6" t="inlineStr">
        <is>
          <t>Greg Grahmann</t>
        </is>
      </c>
      <c r="B69" s="6" t="inlineStr">
        <is>
          <t>Imagination Homes</t>
        </is>
      </c>
      <c r="C69" s="6" t="inlineStr">
        <is>
          <t>Director, Imagination Homes; Division President, David Weekley Homes</t>
        </is>
      </c>
      <c r="D69" s="7" t="inlineStr">
        <is>
          <t>Worth pursuing, one gap</t>
        </is>
      </c>
      <c r="E69" s="8" t="n">
        <v>2</v>
      </c>
      <c r="F69" s="6" t="inlineStr">
        <is>
          <t>Buys walls</t>
        </is>
      </c>
      <c r="G69" s="6" t="inlineStr">
        <is>
          <t>Meridiana, Rosharon</t>
        </is>
      </c>
      <c r="H69" s="6" t="inlineStr">
        <is>
          <t>Entry-level, launched 2025</t>
        </is>
      </c>
      <c r="I69" s="8" t="inlineStr">
        <is>
          <t>Yes</t>
        </is>
      </c>
      <c r="J69" s="9" t="inlineStr">
        <is>
          <t>A deliberately narrow curated plan set aimed at first-time buyers and right-sizers.</t>
        </is>
      </c>
      <c r="K69" s="8" t="inlineStr">
        <is>
          <t>Partly</t>
        </is>
      </c>
      <c r="L69" s="9" t="inlineStr">
        <is>
          <t>A David Weekley Homes line, so purchasing sits with a national builder. One machine would cover the brand's output; the decision would not be the brand's alone.</t>
        </is>
      </c>
      <c r="M69" s="8" t="inlineStr">
        <is>
          <t>No</t>
        </is>
      </c>
      <c r="N69" s="9" t="inlineStr">
        <is>
          <t>The strategy is explicitly about attainability, so a wall cost saving lands on the stated strategy.</t>
        </is>
      </c>
      <c r="O69" s="8" t="inlineStr">
        <is>
          <t>No</t>
        </is>
      </c>
      <c r="P69" s="10" t="inlineStr"/>
      <c r="Q69" s="6">
        <f>HYPERLINK("https://www.linkedin.com/search/results/people/?keywords=Greg%20Grahmann%20Imagination%20Homes","search")</f>
        <v/>
      </c>
      <c r="R69" s="11">
        <f>IF(P69="","ADD LINKEDIN","ok")</f>
        <v/>
      </c>
      <c r="S69" s="6" t="inlineStr">
        <is>
          <t>https://imaginationhomes.com/</t>
        </is>
      </c>
      <c r="T69" s="9" t="inlineStr">
        <is>
          <t>A 2025 David Weekley Homes line built around attainable entry-level product with a curated plan set, selling at Meridiana.</t>
        </is>
      </c>
      <c r="U69" s="9" t="inlineStr">
        <is>
          <t>Launched in 2025 and headquartered in Dallas. No volume figure exists yet, which is expected rather than a gap. | A builder with no installed method and no legacy trade base is the cheapest kind to convert. | Imagination Homes is a David Weekley Homes line for entry-level product, and Greg Grahmann is a David Weekley division president. The wall decision runs through the parent.</t>
        </is>
      </c>
      <c r="V69" s="6" t="inlineStr"/>
      <c r="W69" s="9" t="inlineStr">
        <is>
          <t>Builder names him director at Imagination Homes. He joined David Weekley Homes in 2013 and is separately listed as a division president there.</t>
        </is>
      </c>
      <c r="X69" s="6" t="inlineStr">
        <is>
          <t>https://www.builderonline.com/builder-100/strategy/imagination-homes-targets-attainable-entry-level-housing-in-texas/</t>
        </is>
      </c>
      <c r="Y69" s="6" t="inlineStr"/>
      <c r="Z69" s="6" t="inlineStr"/>
    </row>
    <row r="70">
      <c r="A70" s="12" t="inlineStr">
        <is>
          <t>Greg Hawes</t>
        </is>
      </c>
      <c r="B70" s="12" t="inlineStr">
        <is>
          <t>Jamestown Estate Homes</t>
        </is>
      </c>
      <c r="C70" s="12" t="inlineStr">
        <is>
          <t>Founder; Manager on the firm's own page, President on LinkedIn</t>
        </is>
      </c>
      <c r="D70" s="13" t="inlineStr">
        <is>
          <t>Worth pursuing, one gap</t>
        </is>
      </c>
      <c r="E70" s="14" t="n">
        <v>2</v>
      </c>
      <c r="F70" s="12" t="inlineStr">
        <is>
          <t>Buys walls</t>
        </is>
      </c>
      <c r="G70" s="12" t="inlineStr">
        <is>
          <t>Houston, 16 communities</t>
        </is>
      </c>
      <c r="H70" s="12" t="inlineStr">
        <is>
          <t>20 homes and $22 million in 2020, the latest published</t>
        </is>
      </c>
      <c r="I70" s="14" t="inlineStr">
        <is>
          <t>Partly</t>
        </is>
      </c>
      <c r="J70" s="15" t="inlineStr">
        <is>
          <t>Eighty-two plans for about seventy-five houses a year. The catalogue is wider than the output.</t>
        </is>
      </c>
      <c r="K70" s="14" t="inlineStr">
        <is>
          <t>Yes</t>
        </is>
      </c>
      <c r="L70" s="15" t="inlineStr">
        <is>
          <t>About seventy-five homes a year, stated by the firm. One machine would carry most of it.</t>
        </is>
      </c>
      <c r="M70" s="14" t="inlineStr">
        <is>
          <t>No</t>
        </is>
      </c>
      <c r="N70" s="15" t="inlineStr">
        <is>
          <t>No method evidence. The published build time is eight to ten months, which is the number a printed wall argument would have to move.</t>
        </is>
      </c>
      <c r="O70" s="14" t="inlineStr">
        <is>
          <t>No</t>
        </is>
      </c>
      <c r="P70" s="6" t="inlineStr">
        <is>
          <t>https://www.linkedin.com/in/greg-hawes-86423023/</t>
        </is>
      </c>
      <c r="Q70" s="12" t="inlineStr"/>
      <c r="R70" s="16">
        <f>IF(P70="","ADD LINKEDIN","ok")</f>
        <v/>
      </c>
      <c r="S70" s="12" t="inlineStr">
        <is>
          <t>https://jamestownestatehomes.com/</t>
        </is>
      </c>
      <c r="T70" s="15" t="inlineStr">
        <is>
          <t>About seventy-five homes a year against eighty-two floor plans, which is close to one plan per house. Volume fits a machine; the catalogue does not.</t>
        </is>
      </c>
      <c r="U70"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0" s="12" t="inlineStr"/>
      <c r="W70" s="15" t="inlineStr">
        <is>
          <t>Indexed title reads Greg Hawes, President, Jamestown Estate Homes LP. The firm's own team page calls him Manager and has him founding the firm in 2008 with his daughters. Team page: Manager. In his own words, he sold his interest in a prior firm and started Jamestown Estate Homes LP in 2008 with his daughters.</t>
        </is>
      </c>
      <c r="X70" s="12" t="inlineStr">
        <is>
          <t>https://jamestownestatehomes.com/team/greg-hawes/</t>
        </is>
      </c>
      <c r="Y70" s="12" t="inlineStr"/>
      <c r="Z70" s="12" t="inlineStr"/>
    </row>
    <row r="71">
      <c r="A71" s="6" t="inlineStr">
        <is>
          <t>Katy Hawes</t>
        </is>
      </c>
      <c r="B71" s="6" t="inlineStr">
        <is>
          <t>Jamestown Estate Homes</t>
        </is>
      </c>
      <c r="C71" s="6" t="inlineStr">
        <is>
          <t>Co-President</t>
        </is>
      </c>
      <c r="D71" s="7" t="inlineStr">
        <is>
          <t>Worth pursuing, one gap</t>
        </is>
      </c>
      <c r="E71" s="8" t="n">
        <v>2</v>
      </c>
      <c r="F71" s="6" t="inlineStr">
        <is>
          <t>Buys walls</t>
        </is>
      </c>
      <c r="G71" s="6" t="inlineStr">
        <is>
          <t>Houston, 16 communities</t>
        </is>
      </c>
      <c r="H71" s="6" t="inlineStr">
        <is>
          <t>20 homes and $22 million in 2020, the latest published</t>
        </is>
      </c>
      <c r="I71" s="8" t="inlineStr">
        <is>
          <t>Partly</t>
        </is>
      </c>
      <c r="J71" s="9" t="inlineStr">
        <is>
          <t>Eighty-two plans for about seventy-five houses a year. The catalogue is wider than the output.</t>
        </is>
      </c>
      <c r="K71" s="8" t="inlineStr">
        <is>
          <t>Yes</t>
        </is>
      </c>
      <c r="L71" s="9" t="inlineStr">
        <is>
          <t>About seventy-five homes a year, stated by the firm. One machine would carry most of it.</t>
        </is>
      </c>
      <c r="M71" s="8" t="inlineStr">
        <is>
          <t>No</t>
        </is>
      </c>
      <c r="N71" s="9" t="inlineStr">
        <is>
          <t>No method evidence. The published build time is eight to ten months, which is the number a printed wall argument would have to move.</t>
        </is>
      </c>
      <c r="O71" s="8" t="inlineStr">
        <is>
          <t>No</t>
        </is>
      </c>
      <c r="P71" s="10" t="inlineStr"/>
      <c r="Q71" s="6">
        <f>HYPERLINK("https://www.linkedin.com/search/results/people/?keywords=Katy%20Hawes%20Jamestown%20Estate%20Homes","search")</f>
        <v/>
      </c>
      <c r="R71" s="11">
        <f>IF(P71="","ADD LINKEDIN","ok")</f>
        <v/>
      </c>
      <c r="S71" s="6" t="inlineStr">
        <is>
          <t>https://jamestownestatehomes.com/</t>
        </is>
      </c>
      <c r="T71" s="9" t="inlineStr">
        <is>
          <t>About seventy-five homes a year against eighty-two floor plans, which is close to one plan per house. Volume fits a machine; the catalogue does not.</t>
        </is>
      </c>
      <c r="U71" s="9"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1" s="6" t="inlineStr"/>
      <c r="W71" s="9" t="inlineStr">
        <is>
          <t>Team page: Co-President.</t>
        </is>
      </c>
      <c r="X71" s="6" t="inlineStr">
        <is>
          <t>https://jamestownestatehomes.com/team/katy-hawes/</t>
        </is>
      </c>
      <c r="Y71" s="6" t="inlineStr"/>
      <c r="Z71" s="6" t="inlineStr"/>
    </row>
    <row r="72">
      <c r="A72" s="12" t="inlineStr">
        <is>
          <t>Matt Norris</t>
        </is>
      </c>
      <c r="B72" s="12" t="inlineStr">
        <is>
          <t>Jamestown Estate Homes</t>
        </is>
      </c>
      <c r="C72" s="12" t="inlineStr">
        <is>
          <t>Co-President</t>
        </is>
      </c>
      <c r="D72" s="13" t="inlineStr">
        <is>
          <t>Worth pursuing, one gap</t>
        </is>
      </c>
      <c r="E72" s="14" t="n">
        <v>2</v>
      </c>
      <c r="F72" s="12" t="inlineStr">
        <is>
          <t>Buys walls</t>
        </is>
      </c>
      <c r="G72" s="12" t="inlineStr">
        <is>
          <t>Houston, 16 communities</t>
        </is>
      </c>
      <c r="H72" s="12" t="inlineStr">
        <is>
          <t>20 homes and $22 million in 2020, the latest published</t>
        </is>
      </c>
      <c r="I72" s="14" t="inlineStr">
        <is>
          <t>Partly</t>
        </is>
      </c>
      <c r="J72" s="15" t="inlineStr">
        <is>
          <t>Eighty-two plans for about seventy-five houses a year. The catalogue is wider than the output.</t>
        </is>
      </c>
      <c r="K72" s="14" t="inlineStr">
        <is>
          <t>Yes</t>
        </is>
      </c>
      <c r="L72" s="15" t="inlineStr">
        <is>
          <t>About seventy-five homes a year, stated by the firm. One machine would carry most of it.</t>
        </is>
      </c>
      <c r="M72" s="14" t="inlineStr">
        <is>
          <t>No</t>
        </is>
      </c>
      <c r="N72" s="15" t="inlineStr">
        <is>
          <t>No method evidence. The published build time is eight to ten months, which is the number a printed wall argument would have to move.</t>
        </is>
      </c>
      <c r="O72" s="14" t="inlineStr">
        <is>
          <t>No</t>
        </is>
      </c>
      <c r="P72" s="10" t="inlineStr"/>
      <c r="Q72" s="12">
        <f>HYPERLINK("https://www.linkedin.com/search/results/people/?keywords=Matt%20Norris%20Jamestown%20Estate%20Homes","search")</f>
        <v/>
      </c>
      <c r="R72" s="16">
        <f>IF(P72="","ADD LINKEDIN","ok")</f>
        <v/>
      </c>
      <c r="S72" s="12" t="inlineStr">
        <is>
          <t>https://jamestownestatehomes.com/</t>
        </is>
      </c>
      <c r="T72" s="15" t="inlineStr">
        <is>
          <t>About seventy-five homes a year against eighty-two floor plans, which is close to one plan per house. Volume fits a machine; the catalogue does not.</t>
        </is>
      </c>
      <c r="U72" s="15" t="inlineStr">
        <is>
          <t>The firm publishes an eight to ten month build time from design to completion. That is the cycle a printed wall has to shorten, and it is the clearest schedule target in the set. | Greg Hawes is Manager on the firm's own page and President on his LinkedIn. The firm's latest published figure is 20 homes and $22 million in 2020, when the Houston Business Journal ranked it first among Houston custom builders. No LinkedIn profile is held for Katy Hawes or Matt Norris.</t>
        </is>
      </c>
      <c r="V72" s="12" t="inlineStr"/>
      <c r="W72" s="15" t="inlineStr">
        <is>
          <t>Team page: Co-President.</t>
        </is>
      </c>
      <c r="X72" s="12" t="inlineStr">
        <is>
          <t>https://jamestownestatehomes.com/team/matt-norris/</t>
        </is>
      </c>
      <c r="Y72" s="12" t="inlineStr"/>
      <c r="Z72" s="12" t="inlineStr"/>
    </row>
    <row r="73">
      <c r="A73" s="6" t="inlineStr">
        <is>
          <t>Mike Dishberger</t>
        </is>
      </c>
      <c r="B73" s="6" t="inlineStr">
        <is>
          <t>Sandcastle Homes</t>
        </is>
      </c>
      <c r="C73" s="6" t="inlineStr">
        <is>
          <t>Chief Executive Officer and Co-Owner; oversees construction and purchasing</t>
        </is>
      </c>
      <c r="D73" s="7" t="inlineStr">
        <is>
          <t>Worth pursuing, one gap</t>
        </is>
      </c>
      <c r="E73" s="8" t="n">
        <v>2</v>
      </c>
      <c r="F73" s="6" t="inlineStr">
        <is>
          <t>Buys walls</t>
        </is>
      </c>
      <c r="G73" s="6" t="inlineStr">
        <is>
          <t>Inner Loop Houston</t>
        </is>
      </c>
      <c r="H73" s="6" t="inlineStr">
        <is>
          <t>40 to 60 homes a year on the firm's own count</t>
        </is>
      </c>
      <c r="I73" s="8" t="inlineStr">
        <is>
          <t>Partly</t>
        </is>
      </c>
      <c r="J73" s="9" t="inlineStr">
        <is>
          <t>Infill lots scattered across six inner-loop neighbourhoods rather than one site.</t>
        </is>
      </c>
      <c r="K73" s="8" t="inlineStr">
        <is>
          <t>Yes</t>
        </is>
      </c>
      <c r="L73" s="9" t="inlineStr">
        <is>
          <t>About fifty closings a year. One machine covers most of that, if it can be moved economically.</t>
        </is>
      </c>
      <c r="M73" s="8" t="inlineStr">
        <is>
          <t>No</t>
        </is>
      </c>
      <c r="N73" s="9" t="inlineStr">
        <is>
          <t>It runs land through final inspection in house, so no third party sits in a method decision.</t>
        </is>
      </c>
      <c r="O73" s="8" t="inlineStr">
        <is>
          <t>No</t>
        </is>
      </c>
      <c r="P73" s="6" t="inlineStr">
        <is>
          <t>https://www.linkedin.com/in/mike-dishberger-01b66b9/</t>
        </is>
      </c>
      <c r="Q73" s="6" t="inlineStr"/>
      <c r="R73" s="11">
        <f>IF(P73="","ADD LINKEDIN","ok")</f>
        <v/>
      </c>
      <c r="S73" s="6" t="inlineStr">
        <is>
          <t>https://www.sandcastlehouston.com/</t>
        </is>
      </c>
      <c r="T73" s="9" t="inlineStr">
        <is>
          <t>About fifty homes a year, stated by the firm, on small infill sites rather than in one community. The volume fits a machine; the sites are scattered.</t>
        </is>
      </c>
      <c r="U73" s="9"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3" s="6" t="inlineStr">
        <is>
          <t>YES</t>
        </is>
      </c>
      <c r="W73" s="9" t="inlineStr">
        <is>
          <t>Indexed title reads Mike Dishberger, CEO at Sandcastle Homes Inc. The firm's team page: Chief Executive Officer and Co-Owner, overseeing construction, purchasing and accounting. Team page: Chief Executive Officer and Co-Owner, overseeing construction, purchasing and accounting. Texas Association of Builders Builder of the Year, 2016.</t>
        </is>
      </c>
      <c r="X73" s="6" t="inlineStr">
        <is>
          <t>https://www.sandcastlehouston.com/about-sandcastle/meet-our-team/</t>
        </is>
      </c>
      <c r="Y73" s="6" t="inlineStr"/>
      <c r="Z73" s="6" t="inlineStr"/>
    </row>
    <row r="74">
      <c r="A74" s="12" t="inlineStr">
        <is>
          <t>Mike Salomon</t>
        </is>
      </c>
      <c r="B74" s="12" t="inlineStr">
        <is>
          <t>Sandcastle Homes</t>
        </is>
      </c>
      <c r="C74" s="12" t="inlineStr">
        <is>
          <t>President and Co-Owner</t>
        </is>
      </c>
      <c r="D74" s="13" t="inlineStr">
        <is>
          <t>Worth pursuing, one gap</t>
        </is>
      </c>
      <c r="E74" s="14" t="n">
        <v>2</v>
      </c>
      <c r="F74" s="12" t="inlineStr">
        <is>
          <t>Buys walls</t>
        </is>
      </c>
      <c r="G74" s="12" t="inlineStr">
        <is>
          <t>Inner Loop Houston</t>
        </is>
      </c>
      <c r="H74" s="12" t="inlineStr">
        <is>
          <t>40 to 60 homes a year on the firm's own count</t>
        </is>
      </c>
      <c r="I74" s="14" t="inlineStr">
        <is>
          <t>Partly</t>
        </is>
      </c>
      <c r="J74" s="15" t="inlineStr">
        <is>
          <t>Infill lots scattered across six inner-loop neighbourhoods rather than one site.</t>
        </is>
      </c>
      <c r="K74" s="14" t="inlineStr">
        <is>
          <t>Yes</t>
        </is>
      </c>
      <c r="L74" s="15" t="inlineStr">
        <is>
          <t>About fifty closings a year. One machine covers most of that, if it can be moved economically.</t>
        </is>
      </c>
      <c r="M74" s="14" t="inlineStr">
        <is>
          <t>No</t>
        </is>
      </c>
      <c r="N74" s="15" t="inlineStr">
        <is>
          <t>It runs land through final inspection in house, so no third party sits in a method decision.</t>
        </is>
      </c>
      <c r="O74" s="14" t="inlineStr">
        <is>
          <t>No</t>
        </is>
      </c>
      <c r="P74" s="6" t="inlineStr">
        <is>
          <t>https://www.linkedin.com/in/mike-salomon-389b902a/</t>
        </is>
      </c>
      <c r="Q74" s="12" t="inlineStr"/>
      <c r="R74" s="16">
        <f>IF(P74="","ADD LINKEDIN","ok")</f>
        <v/>
      </c>
      <c r="S74" s="12" t="inlineStr">
        <is>
          <t>https://www.sandcastlehouston.com/</t>
        </is>
      </c>
      <c r="T74" s="15" t="inlineStr">
        <is>
          <t>About fifty homes a year, stated by the firm, on small infill sites rather than in one community. The volume fits a machine; the sites are scattered.</t>
        </is>
      </c>
      <c r="U74" s="15" t="inlineStr">
        <is>
          <t>Scattered infill is the hardest geography for a machine that has to be set up and taken down. Ask what a move between lots costs before quoting anything. | The firm's own retrospective puts volume at 40 to 60 homes a year since a 2005 peak of 59. Mike Dishberger oversees construction and purchasing himself, so he is the wall decision.</t>
        </is>
      </c>
      <c r="V74" s="12" t="inlineStr"/>
      <c r="W74" s="15" t="inlineStr">
        <is>
          <t>Indexed title reads Mike Salomon, Owner, Sandcastle Homes, Inc. The firm's team page: President and Co-Owner, over land, sales and business development. Team page: President and Co-Owner, managing land acquisition, sales and business development.</t>
        </is>
      </c>
      <c r="X74" s="12" t="inlineStr">
        <is>
          <t>https://www.sandcastlehouston.com/about-sandcastle/meet-our-team/</t>
        </is>
      </c>
      <c r="Y74" s="12" t="inlineStr"/>
      <c r="Z74" s="12" t="inlineStr"/>
    </row>
    <row r="75">
      <c r="A75" s="6" t="inlineStr">
        <is>
          <t>Christian Sommer</t>
        </is>
      </c>
      <c r="B75" s="6" t="inlineStr">
        <is>
          <t>Tricoast Homes</t>
        </is>
      </c>
      <c r="C75" s="6" t="inlineStr">
        <is>
          <t>President and Chief Executive Officer</t>
        </is>
      </c>
      <c r="D75" s="7" t="inlineStr">
        <is>
          <t>Worth pursuing, one gap</t>
        </is>
      </c>
      <c r="E75" s="8" t="n">
        <v>2</v>
      </c>
      <c r="F75" s="6" t="inlineStr">
        <is>
          <t>Buys walls</t>
        </is>
      </c>
      <c r="G75" s="6" t="inlineStr">
        <is>
          <t>Houston, multi-county</t>
        </is>
      </c>
      <c r="H75" s="6" t="inlineStr">
        <is>
          <t>Seven floor plans across ten communities</t>
        </is>
      </c>
      <c r="I75" s="8" t="inlineStr">
        <is>
          <t>Yes</t>
        </is>
      </c>
      <c r="J75" s="9" t="inlineStr">
        <is>
          <t>Seven floor plans carried across ten communities. Plan repetition is the operating model.</t>
        </is>
      </c>
      <c r="K75" s="8" t="inlineStr">
        <is>
          <t>Partly</t>
        </is>
      </c>
      <c r="L75" s="9" t="inlineStr">
        <is>
          <t>No closings figure is published. A 2020 startup may not yet be at machine scale.</t>
        </is>
      </c>
      <c r="M75" s="8" t="inlineStr">
        <is>
          <t>No</t>
        </is>
      </c>
      <c r="N75" s="9" t="inlineStr">
        <is>
          <t>Every home gets internal and third-party energy verification, which is a process discipline rather than a method change.</t>
        </is>
      </c>
      <c r="O75" s="8" t="inlineStr">
        <is>
          <t>No</t>
        </is>
      </c>
      <c r="P75" s="10" t="inlineStr"/>
      <c r="Q75" s="6">
        <f>HYPERLINK("https://www.linkedin.com/search/results/people/?keywords=Christian%20Sommer%20Tricoast%20Homes","search")</f>
        <v/>
      </c>
      <c r="R75" s="11">
        <f>IF(P75="","ADD LINKEDIN","ok")</f>
        <v/>
      </c>
      <c r="S75" s="6" t="inlineStr">
        <is>
          <t>https://www.tricoasthomes.com/</t>
        </is>
      </c>
      <c r="T75" s="9" t="inlineStr">
        <is>
          <t>Seven plans, ten communities, founded 2020. No closings figure to size it against.</t>
        </is>
      </c>
      <c r="U75"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5" s="6" t="inlineStr"/>
      <c r="W75" s="9" t="inlineStr"/>
      <c r="X75" s="6" t="inlineStr"/>
      <c r="Y75" s="6" t="inlineStr"/>
      <c r="Z75" s="6" t="inlineStr"/>
    </row>
    <row r="76">
      <c r="A76" s="12" t="inlineStr">
        <is>
          <t>Keith Blum</t>
        </is>
      </c>
      <c r="B76" s="12" t="inlineStr">
        <is>
          <t>Tricoast Homes</t>
        </is>
      </c>
      <c r="C76" s="12" t="inlineStr">
        <is>
          <t>Executive Vice President and Chief Operating Officer</t>
        </is>
      </c>
      <c r="D76" s="13" t="inlineStr">
        <is>
          <t>Worth pursuing, one gap</t>
        </is>
      </c>
      <c r="E76" s="14" t="n">
        <v>2</v>
      </c>
      <c r="F76" s="12" t="inlineStr">
        <is>
          <t>Buys walls</t>
        </is>
      </c>
      <c r="G76" s="12" t="inlineStr">
        <is>
          <t>Houston, multi-county</t>
        </is>
      </c>
      <c r="H76" s="12" t="inlineStr">
        <is>
          <t>Seven floor plans across ten communities</t>
        </is>
      </c>
      <c r="I76" s="14" t="inlineStr">
        <is>
          <t>Yes</t>
        </is>
      </c>
      <c r="J76" s="15" t="inlineStr">
        <is>
          <t>Seven floor plans carried across ten communities. Plan repetition is the operating model.</t>
        </is>
      </c>
      <c r="K76" s="14" t="inlineStr">
        <is>
          <t>Partly</t>
        </is>
      </c>
      <c r="L76" s="15" t="inlineStr">
        <is>
          <t>No closings figure is published. A 2020 startup may not yet be at machine scale.</t>
        </is>
      </c>
      <c r="M76" s="14" t="inlineStr">
        <is>
          <t>No</t>
        </is>
      </c>
      <c r="N76" s="15" t="inlineStr">
        <is>
          <t>Every home gets internal and third-party energy verification, which is a process discipline rather than a method change.</t>
        </is>
      </c>
      <c r="O76" s="14" t="inlineStr">
        <is>
          <t>No</t>
        </is>
      </c>
      <c r="P76" s="10" t="inlineStr"/>
      <c r="Q76" s="12">
        <f>HYPERLINK("https://www.linkedin.com/search/results/people/?keywords=Keith%20Blum%20Tricoast%20Homes","search")</f>
        <v/>
      </c>
      <c r="R76" s="16">
        <f>IF(P76="","ADD LINKEDIN","ok")</f>
        <v/>
      </c>
      <c r="S76" s="12" t="inlineStr">
        <is>
          <t>https://www.tricoasthomes.com/</t>
        </is>
      </c>
      <c r="T76" s="15" t="inlineStr">
        <is>
          <t>Seven plans, ten communities, founded 2020. No closings figure to size it against.</t>
        </is>
      </c>
      <c r="U76" s="15"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6" s="12" t="inlineStr"/>
      <c r="W76" s="15" t="inlineStr"/>
      <c r="X76" s="12" t="inlineStr"/>
      <c r="Y76" s="12" t="inlineStr"/>
      <c r="Z76" s="12" t="inlineStr"/>
    </row>
    <row r="77">
      <c r="A77" s="6" t="inlineStr">
        <is>
          <t>Christina Wright</t>
        </is>
      </c>
      <c r="B77" s="6" t="inlineStr">
        <is>
          <t>Tricoast Homes</t>
        </is>
      </c>
      <c r="C77" s="6" t="inlineStr">
        <is>
          <t>Director of Purchasing</t>
        </is>
      </c>
      <c r="D77" s="7" t="inlineStr">
        <is>
          <t>Worth pursuing, one gap</t>
        </is>
      </c>
      <c r="E77" s="8" t="n">
        <v>2</v>
      </c>
      <c r="F77" s="6" t="inlineStr">
        <is>
          <t>Buys walls</t>
        </is>
      </c>
      <c r="G77" s="6" t="inlineStr">
        <is>
          <t>Houston, multi-county</t>
        </is>
      </c>
      <c r="H77" s="6" t="inlineStr">
        <is>
          <t>Seven floor plans across ten communities</t>
        </is>
      </c>
      <c r="I77" s="8" t="inlineStr">
        <is>
          <t>Yes</t>
        </is>
      </c>
      <c r="J77" s="9" t="inlineStr">
        <is>
          <t>Seven floor plans carried across ten communities. Plan repetition is the operating model.</t>
        </is>
      </c>
      <c r="K77" s="8" t="inlineStr">
        <is>
          <t>Partly</t>
        </is>
      </c>
      <c r="L77" s="9" t="inlineStr">
        <is>
          <t>No closings figure is published. A 2020 startup may not yet be at machine scale.</t>
        </is>
      </c>
      <c r="M77" s="8" t="inlineStr">
        <is>
          <t>No</t>
        </is>
      </c>
      <c r="N77" s="9" t="inlineStr">
        <is>
          <t>Every home gets internal and third-party energy verification, which is a process discipline rather than a method change.</t>
        </is>
      </c>
      <c r="O77" s="8" t="inlineStr">
        <is>
          <t>No</t>
        </is>
      </c>
      <c r="P77" s="6" t="inlineStr">
        <is>
          <t>https://www.linkedin.com/in/christina-wright-4786b223/</t>
        </is>
      </c>
      <c r="Q77" s="6" t="inlineStr"/>
      <c r="R77" s="11">
        <f>IF(P77="","ADD LINKEDIN","ok")</f>
        <v/>
      </c>
      <c r="S77" s="6" t="inlineStr">
        <is>
          <t>https://www.tricoasthomes.com/</t>
        </is>
      </c>
      <c r="T77" s="9" t="inlineStr">
        <is>
          <t>Seven plans, ten communities, founded 2020. No closings figure to size it against.</t>
        </is>
      </c>
      <c r="U77" s="9" t="inlineStr">
        <is>
          <t>No annual closings figure is published. The firm is five years old, so the volume question is open and is the first thing to ask. | No LinkedIn profile is held for Christian Sommer or Keith Blum, and no volume figure is published. Christina Wright, Director of Purchasing, is the one linked contact.</t>
        </is>
      </c>
      <c r="V77" s="6" t="inlineStr">
        <is>
          <t>YES</t>
        </is>
      </c>
      <c r="W77" s="9" t="inlineStr">
        <is>
          <t>Indexed title reads Christina Wright, Director of Purchasing at Tricoast Homes.</t>
        </is>
      </c>
      <c r="X77" s="6" t="inlineStr"/>
      <c r="Y77" s="6" t="inlineStr"/>
      <c r="Z77" s="6" t="inlineStr"/>
    </row>
    <row r="78">
      <c r="A78" s="12" t="inlineStr">
        <is>
          <t>Leon J. Backes</t>
        </is>
      </c>
      <c r="B78" s="12" t="inlineStr">
        <is>
          <t>Provident Realty Advisors</t>
        </is>
      </c>
      <c r="C78" s="12" t="inlineStr">
        <is>
          <t>Founder and Chief Executive Officer</t>
        </is>
      </c>
      <c r="D78" s="13" t="inlineStr">
        <is>
          <t>Worth pursuing, one gap</t>
        </is>
      </c>
      <c r="E78" s="14" t="n">
        <v>2</v>
      </c>
      <c r="F78" s="12" t="inlineStr">
        <is>
          <t>Funds it</t>
        </is>
      </c>
      <c r="G78" s="12" t="inlineStr">
        <is>
          <t>Dallas HQ / Baytown, Harris-Chambers</t>
        </is>
      </c>
      <c r="H78" s="12" t="inlineStr">
        <is>
          <t>$7.5B invested since 1991</t>
        </is>
      </c>
      <c r="I78" s="14" t="inlineStr">
        <is>
          <t>Partly</t>
        </is>
      </c>
      <c r="J78" s="15" t="inlineStr">
        <is>
          <t>parcHAUS funds seven single-family rental communities across Texas.</t>
        </is>
      </c>
      <c r="K78" s="14" t="inlineStr">
        <is>
          <t>Partly</t>
        </is>
      </c>
      <c r="L78" s="15" t="inlineStr">
        <is>
          <t>Seven rental communities funded under one Houston director. The firm is run from Dallas.</t>
        </is>
      </c>
      <c r="M78" s="14" t="inlineStr">
        <is>
          <t>No</t>
        </is>
      </c>
      <c r="N78" s="15" t="inlineStr">
        <is>
          <t>No method evidence found.</t>
        </is>
      </c>
      <c r="O78" s="14" t="inlineStr">
        <is>
          <t>Yes</t>
        </is>
      </c>
      <c r="P78" s="10" t="inlineStr"/>
      <c r="Q78" s="12">
        <f>HYPERLINK("https://www.linkedin.com/search/results/people/?keywords=Leon%20J.%20Backes%20Provident%20Realty%20Advisors","search")</f>
        <v/>
      </c>
      <c r="R78" s="16">
        <f>IF(P78="","ADD LINKEDIN","ok")</f>
        <v/>
      </c>
      <c r="S78" s="12" t="inlineStr">
        <is>
          <t>https://provident.net/</t>
        </is>
      </c>
      <c r="T78" s="15" t="inlineStr">
        <is>
          <t>$7.5B invested and parcHAUS funds seven rental communities under a named Houston director. No Houston site named.</t>
        </is>
      </c>
      <c r="U78" s="15" t="inlineStr">
        <is>
          <t>Portfolio figures are company-stated. | No parcHAUS Houston-area site named in public sources. Houston build-to-rent presence is programme-level only.</t>
        </is>
      </c>
      <c r="V78" s="12" t="inlineStr"/>
      <c r="W78" s="15" t="inlineStr">
        <is>
          <t>Founder and Chief Executive Officer, named on the firm's team page.</t>
        </is>
      </c>
      <c r="X78" s="12" t="inlineStr">
        <is>
          <t>https://provident.net/our-team/</t>
        </is>
      </c>
      <c r="Y78" s="12" t="inlineStr">
        <is>
          <t>https://www.linkedin.com/company/provident-realty-advisors</t>
        </is>
      </c>
      <c r="Z78" s="12" t="inlineStr">
        <is>
          <t>https://provident.net/our-team/</t>
        </is>
      </c>
    </row>
    <row r="79">
      <c r="A79" s="6" t="inlineStr">
        <is>
          <t>Christen Vestal</t>
        </is>
      </c>
      <c r="B79" s="6" t="inlineStr">
        <is>
          <t>Provident Realty Advisors</t>
        </is>
      </c>
      <c r="C79" s="6" t="inlineStr">
        <is>
          <t>Director of Development and Acquisitions, Houston</t>
        </is>
      </c>
      <c r="D79" s="7" t="inlineStr">
        <is>
          <t>Worth pursuing, one gap</t>
        </is>
      </c>
      <c r="E79" s="8" t="n">
        <v>2</v>
      </c>
      <c r="F79" s="6" t="inlineStr">
        <is>
          <t>Funds it</t>
        </is>
      </c>
      <c r="G79" s="6" t="inlineStr">
        <is>
          <t>Dallas HQ / Baytown, Harris-Chambers</t>
        </is>
      </c>
      <c r="H79" s="6" t="inlineStr">
        <is>
          <t>$7.5B invested since 1991</t>
        </is>
      </c>
      <c r="I79" s="8" t="inlineStr">
        <is>
          <t>Partly</t>
        </is>
      </c>
      <c r="J79" s="9" t="inlineStr">
        <is>
          <t>parcHAUS funds seven single-family rental communities across Texas.</t>
        </is>
      </c>
      <c r="K79" s="8" t="inlineStr">
        <is>
          <t>Partly</t>
        </is>
      </c>
      <c r="L79" s="9" t="inlineStr">
        <is>
          <t>Seven rental communities funded under one Houston director. The firm is run from Dallas.</t>
        </is>
      </c>
      <c r="M79" s="8" t="inlineStr">
        <is>
          <t>No</t>
        </is>
      </c>
      <c r="N79" s="9" t="inlineStr">
        <is>
          <t>No method evidence found.</t>
        </is>
      </c>
      <c r="O79" s="8" t="inlineStr">
        <is>
          <t>Yes</t>
        </is>
      </c>
      <c r="P79" s="10" t="inlineStr"/>
      <c r="Q79" s="6">
        <f>HYPERLINK("https://www.linkedin.com/search/results/people/?keywords=Christen%20Vestal%20Provident%20Realty%20Advisors","search")</f>
        <v/>
      </c>
      <c r="R79" s="11">
        <f>IF(P79="","ADD LINKEDIN","ok")</f>
        <v/>
      </c>
      <c r="S79" s="6" t="inlineStr">
        <is>
          <t>https://provident.net/</t>
        </is>
      </c>
      <c r="T79" s="9" t="inlineStr">
        <is>
          <t>$7.5B invested and parcHAUS funds seven rental communities under a named Houston director. No Houston site named.</t>
        </is>
      </c>
      <c r="U79" s="9" t="inlineStr">
        <is>
          <t>Portfolio figures are company-stated. | No parcHAUS Houston-area site named in public sources. Houston build-to-rent presence is programme-level only.</t>
        </is>
      </c>
      <c r="V79" s="6" t="inlineStr"/>
      <c r="W79" s="9" t="inlineStr">
        <is>
          <t>Hired to lead Provident's new Houston office as its first female development partner. She does not appear on the firm's current team page, so treat the role as needing confirmation.</t>
        </is>
      </c>
      <c r="X79" s="6" t="inlineStr">
        <is>
          <t>https://www.bisnow.com/houston/news/industrial/provident-realty-advisors-hires-christen-vestal-to-lead-forthcoming-houston-office-116393</t>
        </is>
      </c>
      <c r="Y79" s="6" t="inlineStr">
        <is>
          <t>https://www.linkedin.com/company/provident-realty-advisors</t>
        </is>
      </c>
      <c r="Z79" s="6" t="inlineStr">
        <is>
          <t>https://provident.net/our-team/</t>
        </is>
      </c>
    </row>
    <row r="80">
      <c r="A80" s="12" t="inlineStr">
        <is>
          <t>Jennifer Keller, P.E.</t>
        </is>
      </c>
      <c r="B80" s="12" t="inlineStr">
        <is>
          <t>Risewell Homes</t>
        </is>
      </c>
      <c r="C80" s="12" t="inlineStr">
        <is>
          <t>Division President, Houston</t>
        </is>
      </c>
      <c r="D80" s="13" t="inlineStr">
        <is>
          <t>Worth pursuing, one gap</t>
        </is>
      </c>
      <c r="E80" s="14" t="n">
        <v>2</v>
      </c>
      <c r="F80" s="12" t="inlineStr">
        <is>
          <t>Buys walls</t>
        </is>
      </c>
      <c r="G80" s="12" t="inlineStr">
        <is>
          <t>Sunterra, Katy</t>
        </is>
      </c>
      <c r="H80" s="12" t="inlineStr">
        <is>
          <t>Formerly The New Home Company</t>
        </is>
      </c>
      <c r="I80" s="14" t="inlineStr">
        <is>
          <t>Partly</t>
        </is>
      </c>
      <c r="J80" s="15" t="inlineStr">
        <is>
          <t>One Houston community confirmed, Sunterra. Too early to read the plan strategy.</t>
        </is>
      </c>
      <c r="K80" s="14" t="inlineStr">
        <is>
          <t>Partly</t>
        </is>
      </c>
      <c r="L80" s="15" t="inlineStr">
        <is>
          <t>Eleven divisions nationally means purchasing scale above the band a single machine serves.</t>
        </is>
      </c>
      <c r="M80" s="14" t="inlineStr">
        <is>
          <t>No</t>
        </is>
      </c>
      <c r="N80" s="15" t="inlineStr">
        <is>
          <t>The division president is a professional engineer, which is rare and matters for a method conversation.</t>
        </is>
      </c>
      <c r="O80" s="14" t="inlineStr">
        <is>
          <t>Yes</t>
        </is>
      </c>
      <c r="P80" s="6" t="inlineStr">
        <is>
          <t>https://www.linkedin.com/in/jenniferkeller/</t>
        </is>
      </c>
      <c r="Q80" s="12" t="inlineStr"/>
      <c r="R80" s="16">
        <f>IF(P80="","ADD LINKEDIN","ok")</f>
        <v/>
      </c>
      <c r="S80" s="12" t="inlineStr">
        <is>
          <t>https://risewellhomes.com/</t>
        </is>
      </c>
      <c r="T80" s="15" t="inlineStr">
        <is>
          <t>A national platform with a Houston division president who is a licensed engineer. One community identified so far.</t>
        </is>
      </c>
      <c r="U80" s="15"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0" s="12" t="inlineStr"/>
      <c r="W80" s="15" t="inlineStr">
        <is>
          <t>Indexed title reads Jennifer Keller, P.E., Division President, Risewell Homes. The firm's team page lists her as Houston Division President. Executive team page lists her under Division Presidents as Houston Division President.</t>
        </is>
      </c>
      <c r="X80" s="12" t="inlineStr">
        <is>
          <t>https://www.risewellhomes.com/team</t>
        </is>
      </c>
      <c r="Y80" s="12" t="inlineStr"/>
      <c r="Z80" s="12" t="inlineStr"/>
    </row>
    <row r="81">
      <c r="A81" s="6" t="inlineStr">
        <is>
          <t>Matthew R. Zaist</t>
        </is>
      </c>
      <c r="B81" s="6" t="inlineStr">
        <is>
          <t>Risewell Homes</t>
        </is>
      </c>
      <c r="C81" s="6" t="inlineStr">
        <is>
          <t>President and Chief Executive Officer</t>
        </is>
      </c>
      <c r="D81" s="7" t="inlineStr">
        <is>
          <t>Worth pursuing, one gap</t>
        </is>
      </c>
      <c r="E81" s="8" t="n">
        <v>2</v>
      </c>
      <c r="F81" s="6" t="inlineStr">
        <is>
          <t>Buys walls</t>
        </is>
      </c>
      <c r="G81" s="6" t="inlineStr">
        <is>
          <t>Sunterra, Katy</t>
        </is>
      </c>
      <c r="H81" s="6" t="inlineStr">
        <is>
          <t>Formerly The New Home Company</t>
        </is>
      </c>
      <c r="I81" s="8" t="inlineStr">
        <is>
          <t>Partly</t>
        </is>
      </c>
      <c r="J81" s="9" t="inlineStr">
        <is>
          <t>One Houston community confirmed, Sunterra. Too early to read the plan strategy.</t>
        </is>
      </c>
      <c r="K81" s="8" t="inlineStr">
        <is>
          <t>Partly</t>
        </is>
      </c>
      <c r="L81" s="9" t="inlineStr">
        <is>
          <t>Eleven divisions nationally means purchasing scale above the band a single machine serves.</t>
        </is>
      </c>
      <c r="M81" s="8" t="inlineStr">
        <is>
          <t>No</t>
        </is>
      </c>
      <c r="N81" s="9" t="inlineStr">
        <is>
          <t>The division president is a professional engineer, which is rare and matters for a method conversation.</t>
        </is>
      </c>
      <c r="O81" s="8" t="inlineStr">
        <is>
          <t>Yes</t>
        </is>
      </c>
      <c r="P81" s="6" t="inlineStr">
        <is>
          <t>https://www.linkedin.com/in/matthew-zaist-01949696/</t>
        </is>
      </c>
      <c r="Q81" s="6" t="inlineStr"/>
      <c r="R81" s="11">
        <f>IF(P81="","ADD LINKEDIN","ok")</f>
        <v/>
      </c>
      <c r="S81" s="6" t="inlineStr">
        <is>
          <t>https://risewellhomes.com/</t>
        </is>
      </c>
      <c r="T81" s="9" t="inlineStr">
        <is>
          <t>A national platform with a Houston division president who is a licensed engineer. One community identified so far.</t>
        </is>
      </c>
      <c r="U81" s="9" t="inlineStr">
        <is>
          <t>The rename from New Home Company is recent, so older coverage uses the previous name. | A division president who is a professional engineer is the right person for a structural conversation and an unusual one to find at division level. | Risewell is the 2025 merger of Landsea Homes and The New Home Company, which closed 2,831 and 1,123 homes respectively in 2024. No Houston division figure is published.</t>
        </is>
      </c>
      <c r="V81" s="6" t="inlineStr"/>
      <c r="W81" s="9" t="inlineStr">
        <is>
          <t>Indexed title reads Matthew Zaist, President and CEO at Risewell Homes. Confirmed on the firm's team page. Executive team page: President and Chief Executive Officer.</t>
        </is>
      </c>
      <c r="X81" s="6" t="inlineStr">
        <is>
          <t>https://www.risewellhomes.com/team</t>
        </is>
      </c>
      <c r="Y81" s="6" t="inlineStr"/>
      <c r="Z81" s="6" t="inlineStr"/>
    </row>
    <row r="82">
      <c r="A82" s="12" t="inlineStr">
        <is>
          <t>James Kotzur</t>
        </is>
      </c>
      <c r="B82" s="12" t="inlineStr">
        <is>
          <t>Coventry Homes</t>
        </is>
      </c>
      <c r="C82" s="12" t="inlineStr">
        <is>
          <t>Division President, Coventry Homes (Dream Finders Homes)</t>
        </is>
      </c>
      <c r="D82" s="13" t="inlineStr">
        <is>
          <t>Worth pursuing, one gap</t>
        </is>
      </c>
      <c r="E82" s="14" t="n">
        <v>2</v>
      </c>
      <c r="F82" s="12" t="inlineStr">
        <is>
          <t>Buys walls</t>
        </is>
      </c>
      <c r="G82" s="12" t="inlineStr">
        <is>
          <t>Houston HQ, Harris County</t>
        </is>
      </c>
      <c r="H82" s="12" t="inlineStr">
        <is>
          <t>~100 communities, 55,000+ homes closed</t>
        </is>
      </c>
      <c r="I82" s="14" t="inlineStr">
        <is>
          <t>Partly</t>
        </is>
      </c>
      <c r="J82" s="15" t="inlineStr">
        <is>
          <t>Close to 100 communities, 55,000 homes company-wide.</t>
        </is>
      </c>
      <c r="K82" s="14" t="inlineStr">
        <is>
          <t>Partly</t>
        </is>
      </c>
      <c r="L82" s="15" t="inlineStr">
        <is>
          <t>Two Houston divisions inside Dream Finders, so the volume fits and the purchasing may not be local.</t>
        </is>
      </c>
      <c r="M82" s="14" t="inlineStr">
        <is>
          <t>No</t>
        </is>
      </c>
      <c r="N82" s="15" t="inlineStr">
        <is>
          <t>No method evidence, and no named executive was found either.</t>
        </is>
      </c>
      <c r="O82" s="14" t="inlineStr">
        <is>
          <t>Partly</t>
        </is>
      </c>
      <c r="P82" s="6" t="inlineStr">
        <is>
          <t>https://www.linkedin.com/in/james-kotzur-748107224/</t>
        </is>
      </c>
      <c r="Q82" s="12" t="inlineStr"/>
      <c r="R82" s="16">
        <f>IF(P82="","ADD LINKEDIN","ok")</f>
        <v/>
      </c>
      <c r="S82" s="12" t="inlineStr">
        <is>
          <t>https://www.coventryhomes.com/</t>
        </is>
      </c>
      <c r="T82" s="15" t="inlineStr">
        <is>
          <t>100 communities and a listed parent, but no named executive was found, so there is no contact to call.</t>
        </is>
      </c>
      <c r="U82" s="15"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2" s="12" t="inlineStr"/>
      <c r="W82" s="15" t="inlineStr">
        <is>
          <t>Division President at DFH - Coventry Homes. Houston, Texas. First named executive found for this firm, and the DFH prefix identifies the parent.</t>
        </is>
      </c>
      <c r="X82" s="12" t="inlineStr"/>
      <c r="Y82" s="12" t="inlineStr">
        <is>
          <t>https://www.linkedin.com/company/coventryhomes</t>
        </is>
      </c>
      <c r="Z82" s="12" t="inlineStr"/>
    </row>
    <row r="83">
      <c r="A83" s="6" t="inlineStr">
        <is>
          <t>Brian Grigsby</t>
        </is>
      </c>
      <c r="B83" s="6" t="inlineStr">
        <is>
          <t>Coventry Homes</t>
        </is>
      </c>
      <c r="C83" s="6" t="inlineStr">
        <is>
          <t>Division President, Houston South, Coventry Homes (Dream Finders Homes)</t>
        </is>
      </c>
      <c r="D83" s="7" t="inlineStr">
        <is>
          <t>Worth pursuing, one gap</t>
        </is>
      </c>
      <c r="E83" s="8" t="n">
        <v>2</v>
      </c>
      <c r="F83" s="6" t="inlineStr">
        <is>
          <t>Buys walls</t>
        </is>
      </c>
      <c r="G83" s="6" t="inlineStr">
        <is>
          <t>Houston HQ, Harris County</t>
        </is>
      </c>
      <c r="H83" s="6" t="inlineStr">
        <is>
          <t>~100 communities, 55,000+ homes closed</t>
        </is>
      </c>
      <c r="I83" s="8" t="inlineStr">
        <is>
          <t>Partly</t>
        </is>
      </c>
      <c r="J83" s="9" t="inlineStr">
        <is>
          <t>Close to 100 communities, 55,000 homes company-wide.</t>
        </is>
      </c>
      <c r="K83" s="8" t="inlineStr">
        <is>
          <t>Partly</t>
        </is>
      </c>
      <c r="L83" s="9" t="inlineStr">
        <is>
          <t>Two Houston divisions inside Dream Finders, so the volume fits and the purchasing may not be local.</t>
        </is>
      </c>
      <c r="M83" s="8" t="inlineStr">
        <is>
          <t>No</t>
        </is>
      </c>
      <c r="N83" s="9" t="inlineStr">
        <is>
          <t>No method evidence, and no named executive was found either.</t>
        </is>
      </c>
      <c r="O83" s="8" t="inlineStr">
        <is>
          <t>Partly</t>
        </is>
      </c>
      <c r="P83" s="6" t="inlineStr">
        <is>
          <t>https://www.linkedin.com/in/brian-grigsby-859a97285/</t>
        </is>
      </c>
      <c r="Q83" s="6" t="inlineStr"/>
      <c r="R83" s="11">
        <f>IF(P83="","ADD LINKEDIN","ok")</f>
        <v/>
      </c>
      <c r="S83" s="6" t="inlineStr">
        <is>
          <t>https://www.coventryhomes.com/</t>
        </is>
      </c>
      <c r="T83" s="9" t="inlineStr">
        <is>
          <t>100 communities and a listed parent, but no named executive was found, so there is no contact to call.</t>
        </is>
      </c>
      <c r="U83" s="9" t="inlineStr">
        <is>
          <t>Dream Finders acquisition date and price not sourced. Decision rights between parent and subsidiary unknown. | Neither the Coventry nor the Dream Finders name carries a vice president or director of construction or purchasing in Houston. The two division presidents are the only doors on file. | Coventry is a Dream Finders Homes brand. Both Houston division presidents carry DFH in their own titles, so the parent is not incidental, and any method conversation runs through Dream Finders as well as Coventry. | Dream Finders' 2024 annual report describes procurement across local, regional and national levels, with national volume used to secure manufacturer pricing. Coventry's Houston purchasing is therefore a hybrid, and a wall specification would clear both. | No named principals found. No identified point of contact. | No Houston community unit counts.</t>
        </is>
      </c>
      <c r="V83" s="6" t="inlineStr"/>
      <c r="W83" s="9" t="inlineStr">
        <is>
          <t>Division President - Houston South @ Dream Finders Homes - Coventry Homes.</t>
        </is>
      </c>
      <c r="X83" s="6" t="inlineStr"/>
      <c r="Y83" s="6" t="inlineStr">
        <is>
          <t>https://www.linkedin.com/company/coventryhomes</t>
        </is>
      </c>
      <c r="Z83" s="6" t="inlineStr"/>
    </row>
    <row r="84">
      <c r="A84" s="12" t="inlineStr">
        <is>
          <t>Jeff Dye</t>
        </is>
      </c>
      <c r="B84" s="12" t="inlineStr">
        <is>
          <t>Newmark Homes</t>
        </is>
      </c>
      <c r="C84" s="12" t="inlineStr">
        <is>
          <t>President</t>
        </is>
      </c>
      <c r="D84" s="13" t="inlineStr">
        <is>
          <t>Worth pursuing, one gap</t>
        </is>
      </c>
      <c r="E84" s="14" t="n">
        <v>2</v>
      </c>
      <c r="F84" s="12" t="inlineStr">
        <is>
          <t>Buys walls</t>
        </is>
      </c>
      <c r="G84" s="12" t="inlineStr">
        <is>
          <t>Katy</t>
        </is>
      </c>
      <c r="H84" s="12" t="inlineStr">
        <is>
          <t>483 closings and $306 million in 2025</t>
        </is>
      </c>
      <c r="I84" s="14" t="inlineStr">
        <is>
          <t>Partly</t>
        </is>
      </c>
      <c r="J84" s="15" t="inlineStr">
        <is>
          <t>More than 150 named plans across more than twenty communities. The plan set is the problem here.</t>
        </is>
      </c>
      <c r="K84" s="14" t="inlineStr">
        <is>
          <t>Partly</t>
        </is>
      </c>
      <c r="L84" s="15" t="inlineStr">
        <is>
          <t>483 closings in 2025 and 511 in 2024. The volume supports machines; the dispersion does not.</t>
        </is>
      </c>
      <c r="M84" s="14" t="inlineStr">
        <is>
          <t>No</t>
        </is>
      </c>
      <c r="N84" s="15" t="inlineStr">
        <is>
          <t>It runs a proprietary energy programme under its own name, and a separate custom division for one-off work, so the production line is deliberately kept separate.</t>
        </is>
      </c>
      <c r="O84" s="14" t="inlineStr">
        <is>
          <t>Partly</t>
        </is>
      </c>
      <c r="P84" s="10" t="inlineStr"/>
      <c r="Q84" s="12">
        <f>HYPERLINK("https://www.linkedin.com/search/results/people/?keywords=Jeff%20Dye%20Newmark%20Homes","search")</f>
        <v/>
      </c>
      <c r="R84" s="16">
        <f>IF(P84="","ADD LINKEDIN","ok")</f>
        <v/>
      </c>
      <c r="S84" s="12" t="inlineStr">
        <is>
          <t>https://newmarkhomes.com/</t>
        </is>
      </c>
      <c r="T84" s="15" t="inlineStr">
        <is>
          <t>483 closings in 2025 across more than twenty communities and more than 150 plans. A president is named; no construction or purchasing lead is published.</t>
        </is>
      </c>
      <c r="U84" s="15" t="inlineStr">
        <is>
          <t>The closings figures appear to cover Houston and Austin together rather than Houston alone. | Jeff Dye has been president since February 2020, after 21 years at the firm. He is the first named person on this card. No vice president of construction or head of purchasing is published. | No executive is named on the firm's own site and no LinkedIn company page was confirmed. For a builder closing 483 homes a year this is the largest contact gap in the set.</t>
        </is>
      </c>
      <c r="V84" s="12" t="inlineStr"/>
      <c r="W84" s="15" t="inlineStr">
        <is>
          <t>Houston Agent, February 2020: Jeff Dye assumed the position of president after 21 years with the firm.</t>
        </is>
      </c>
      <c r="X84" s="12" t="inlineStr">
        <is>
          <t>https://houstonagentmagazine.com/2020/02/06/making-moves-newmark-homes-appoints-top-leaders-edward-jones-becomes-latest-tenant-bridgeland/</t>
        </is>
      </c>
      <c r="Y84" s="12" t="inlineStr"/>
      <c r="Z84" s="12" t="inlineStr"/>
    </row>
    <row r="85">
      <c r="A85" s="6" t="inlineStr">
        <is>
          <t>Frank Sitterle, Jr.</t>
        </is>
      </c>
      <c r="B85" s="6" t="inlineStr">
        <is>
          <t>Sitterle Homes</t>
        </is>
      </c>
      <c r="C85" s="6" t="inlineStr">
        <is>
          <t>President and co-owner</t>
        </is>
      </c>
      <c r="D85" s="7" t="inlineStr">
        <is>
          <t>Worth pursuing, one gap</t>
        </is>
      </c>
      <c r="E85" s="8" t="n">
        <v>2</v>
      </c>
      <c r="F85" s="6" t="inlineStr">
        <is>
          <t>Buys walls</t>
        </is>
      </c>
      <c r="G85" s="6" t="inlineStr">
        <is>
          <t>San Antonio, building in Houston</t>
        </is>
      </c>
      <c r="H85" s="6" t="inlineStr">
        <is>
          <t>372 closings company-wide in 2022, no Houston figure</t>
        </is>
      </c>
      <c r="I85" s="8" t="inlineStr">
        <is>
          <t>Partly</t>
        </is>
      </c>
      <c r="J85" s="9" t="inlineStr">
        <is>
          <t>Four Houston communities out of a four-market footprint. The plan catalogue is shared across all four.</t>
        </is>
      </c>
      <c r="K85" s="8" t="inlineStr">
        <is>
          <t>Partly</t>
        </is>
      </c>
      <c r="L85" s="9" t="inlineStr">
        <is>
          <t>No volume figure. Houston is secondary to San Antonio, so the local share is small.</t>
        </is>
      </c>
      <c r="M85" s="8" t="inlineStr">
        <is>
          <t>No</t>
        </is>
      </c>
      <c r="N85" s="9" t="inlineStr">
        <is>
          <t>No method evidence.</t>
        </is>
      </c>
      <c r="O85" s="8" t="inlineStr">
        <is>
          <t>Partly</t>
        </is>
      </c>
      <c r="P85" s="6" t="inlineStr">
        <is>
          <t>https://www.linkedin.com/in/frank-sitterle-071b8246/</t>
        </is>
      </c>
      <c r="Q85" s="6" t="inlineStr"/>
      <c r="R85" s="11">
        <f>IF(P85="","ADD LINKEDIN","ok")</f>
        <v/>
      </c>
      <c r="S85" s="6" t="inlineStr">
        <is>
          <t>https://www.sitterlehomes.com/</t>
        </is>
      </c>
      <c r="T85" s="9" t="inlineStr">
        <is>
          <t>Four Houston communities from a San Antonio base, with a named director of purchasing. Houston is the secondary market.</t>
        </is>
      </c>
      <c r="U85"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5" s="6" t="inlineStr"/>
      <c r="W85" s="9" t="inlineStr">
        <is>
          <t>Indexed title reads Frank Sitterle, President, Sitterle Homes. The firm's about page has him acquiring the company in 2005 with Jeff Buell.</t>
        </is>
      </c>
      <c r="X85" s="6" t="inlineStr"/>
      <c r="Y85" s="6" t="inlineStr"/>
      <c r="Z85" s="6" t="inlineStr"/>
    </row>
    <row r="86">
      <c r="A86" s="12" t="inlineStr">
        <is>
          <t>India Kinslow</t>
        </is>
      </c>
      <c r="B86" s="12" t="inlineStr">
        <is>
          <t>Sitterle Homes</t>
        </is>
      </c>
      <c r="C86" s="12" t="inlineStr">
        <is>
          <t>Director of Purchasing</t>
        </is>
      </c>
      <c r="D86" s="13" t="inlineStr">
        <is>
          <t>Worth pursuing, one gap</t>
        </is>
      </c>
      <c r="E86" s="14" t="n">
        <v>2</v>
      </c>
      <c r="F86" s="12" t="inlineStr">
        <is>
          <t>Buys walls</t>
        </is>
      </c>
      <c r="G86" s="12" t="inlineStr">
        <is>
          <t>San Antonio, building in Houston</t>
        </is>
      </c>
      <c r="H86" s="12" t="inlineStr">
        <is>
          <t>372 closings company-wide in 2022, no Houston figure</t>
        </is>
      </c>
      <c r="I86" s="14" t="inlineStr">
        <is>
          <t>Partly</t>
        </is>
      </c>
      <c r="J86" s="15" t="inlineStr">
        <is>
          <t>Four Houston communities out of a four-market footprint. The plan catalogue is shared across all four.</t>
        </is>
      </c>
      <c r="K86" s="14" t="inlineStr">
        <is>
          <t>Partly</t>
        </is>
      </c>
      <c r="L86" s="15" t="inlineStr">
        <is>
          <t>No volume figure. Houston is secondary to San Antonio, so the local share is small.</t>
        </is>
      </c>
      <c r="M86" s="14" t="inlineStr">
        <is>
          <t>No</t>
        </is>
      </c>
      <c r="N86" s="15" t="inlineStr">
        <is>
          <t>No method evidence.</t>
        </is>
      </c>
      <c r="O86" s="14" t="inlineStr">
        <is>
          <t>Partly</t>
        </is>
      </c>
      <c r="P86" s="10" t="inlineStr"/>
      <c r="Q86" s="12">
        <f>HYPERLINK("https://www.linkedin.com/search/results/people/?keywords=India%20Kinslow%20Sitterle%20Homes","search")</f>
        <v/>
      </c>
      <c r="R86" s="16">
        <f>IF(P86="","ADD LINKEDIN","ok")</f>
        <v/>
      </c>
      <c r="S86" s="12" t="inlineStr">
        <is>
          <t>https://www.sitterlehomes.com/</t>
        </is>
      </c>
      <c r="T86" s="15" t="inlineStr">
        <is>
          <t>Four Houston communities from a San Antonio base, with a named director of purchasing. Houston is the secondary market.</t>
        </is>
      </c>
      <c r="U86" s="15"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6" s="12" t="inlineStr"/>
      <c r="W86" s="15" t="inlineStr"/>
      <c r="X86" s="12" t="inlineStr"/>
      <c r="Y86" s="12" t="inlineStr"/>
      <c r="Z86" s="12" t="inlineStr"/>
    </row>
    <row r="87">
      <c r="A87" s="6" t="inlineStr">
        <is>
          <t>Chris Hightower</t>
        </is>
      </c>
      <c r="B87" s="6" t="inlineStr">
        <is>
          <t>Sitterle Homes</t>
        </is>
      </c>
      <c r="C87" s="6" t="inlineStr">
        <is>
          <t>Division President, Houston</t>
        </is>
      </c>
      <c r="D87" s="7" t="inlineStr">
        <is>
          <t>Worth pursuing, one gap</t>
        </is>
      </c>
      <c r="E87" s="8" t="n">
        <v>2</v>
      </c>
      <c r="F87" s="6" t="inlineStr">
        <is>
          <t>Buys walls</t>
        </is>
      </c>
      <c r="G87" s="6" t="inlineStr">
        <is>
          <t>San Antonio, building in Houston</t>
        </is>
      </c>
      <c r="H87" s="6" t="inlineStr">
        <is>
          <t>372 closings company-wide in 2022, no Houston figure</t>
        </is>
      </c>
      <c r="I87" s="8" t="inlineStr">
        <is>
          <t>Partly</t>
        </is>
      </c>
      <c r="J87" s="9" t="inlineStr">
        <is>
          <t>Four Houston communities out of a four-market footprint. The plan catalogue is shared across all four.</t>
        </is>
      </c>
      <c r="K87" s="8" t="inlineStr">
        <is>
          <t>Partly</t>
        </is>
      </c>
      <c r="L87" s="9" t="inlineStr">
        <is>
          <t>No volume figure. Houston is secondary to San Antonio, so the local share is small.</t>
        </is>
      </c>
      <c r="M87" s="8" t="inlineStr">
        <is>
          <t>No</t>
        </is>
      </c>
      <c r="N87" s="9" t="inlineStr">
        <is>
          <t>No method evidence.</t>
        </is>
      </c>
      <c r="O87" s="8" t="inlineStr">
        <is>
          <t>Partly</t>
        </is>
      </c>
      <c r="P87" s="6" t="inlineStr">
        <is>
          <t>https://www.linkedin.com/in/chris-hightower-029b45112/</t>
        </is>
      </c>
      <c r="Q87" s="6" t="inlineStr"/>
      <c r="R87" s="11">
        <f>IF(P87="","ADD LINKEDIN","ok")</f>
        <v/>
      </c>
      <c r="S87" s="6" t="inlineStr">
        <is>
          <t>https://www.sitterlehomes.com/</t>
        </is>
      </c>
      <c r="T87" s="9" t="inlineStr">
        <is>
          <t>Four Houston communities from a San Antonio base, with a named director of purchasing. Houston is the secondary market.</t>
        </is>
      </c>
      <c r="U87" s="9" t="inlineStr">
        <is>
          <t>The purchasing director was sourced from a contact-data aggregator rather than the firm's own site. Confirm before use. | Headquarters and most volume sit in San Antonio, so a Houston-only pitch may go to the wrong city. | No page outside a data aggregator names India Kinslow with a title at Sitterle, so no link is held for her. The GHBA directory and LinkedIn both name Chris Hightower as Division President, Houston, and he is added. Company-wide closings were 372 in 2022; no Houston figure is published.</t>
        </is>
      </c>
      <c r="V87" s="6" t="inlineStr"/>
      <c r="W87" s="9" t="inlineStr">
        <is>
          <t>Indexed title reads Chris Hightower, Division President at Sitterle Homes. The GHBA member directory lists him as Division President, Houston.</t>
        </is>
      </c>
      <c r="X87" s="6" t="inlineStr"/>
      <c r="Y87" s="6" t="inlineStr"/>
      <c r="Z87" s="6" t="inlineStr"/>
    </row>
    <row r="88">
      <c r="A88" s="12" t="inlineStr">
        <is>
          <t>Tim Drone</t>
        </is>
      </c>
      <c r="B88" s="12" t="inlineStr">
        <is>
          <t>J. Patrick Homes</t>
        </is>
      </c>
      <c r="C88" s="12" t="inlineStr">
        <is>
          <t>President</t>
        </is>
      </c>
      <c r="D88" s="13" t="inlineStr">
        <is>
          <t>Worth pursuing, one gap</t>
        </is>
      </c>
      <c r="E88" s="14" t="n">
        <v>2</v>
      </c>
      <c r="F88" s="12" t="inlineStr">
        <is>
          <t>Buys walls</t>
        </is>
      </c>
      <c r="G88" s="12" t="inlineStr">
        <is>
          <t>Houston, 12 submarkets</t>
        </is>
      </c>
      <c r="H88" s="12" t="inlineStr">
        <is>
          <t>Volume Builder of the Year, 12 submarkets</t>
        </is>
      </c>
      <c r="I88" s="14" t="inlineStr">
        <is>
          <t>Partly</t>
        </is>
      </c>
      <c r="J88" s="15" t="inlineStr">
        <is>
          <t>Twelve submarkets is wide for a builder this size, which spreads the plan set thin.</t>
        </is>
      </c>
      <c r="K88" s="14" t="inlineStr">
        <is>
          <t>Partly</t>
        </is>
      </c>
      <c r="L88" s="15" t="inlineStr">
        <is>
          <t>No closings figure is published anywhere, so the machine question cannot be sized.</t>
        </is>
      </c>
      <c r="M88" s="14" t="inlineStr">
        <is>
          <t>No</t>
        </is>
      </c>
      <c r="N88" s="15" t="inlineStr">
        <is>
          <t>Energy Star and Environments for Living certification, with whole-home dehumidifiers standard. A firm that pays for third-party verification has paid for something unproven before.</t>
        </is>
      </c>
      <c r="O88" s="14" t="inlineStr">
        <is>
          <t>No</t>
        </is>
      </c>
      <c r="P88" s="10" t="inlineStr"/>
      <c r="Q88" s="12">
        <f>HYPERLINK("https://www.linkedin.com/search/results/people/?keywords=Tim%20Drone%20J.%20Patrick%20Homes","search")</f>
        <v/>
      </c>
      <c r="R88" s="16">
        <f>IF(P88="","ADD LINKEDIN","ok")</f>
        <v/>
      </c>
      <c r="S88" s="12" t="inlineStr">
        <is>
          <t>https://www.jpatrickhomes.com/</t>
        </is>
      </c>
      <c r="T88" s="15" t="inlineStr">
        <is>
          <t>A semi-custom builder that won a volume award and publishes no volume. Named purchasing and construction managers.</t>
        </is>
      </c>
      <c r="U88" s="15" t="inlineStr">
        <is>
          <t>The four names come from a contact-data aggregator rather than the firm's own site, which publishes no leadership page. Confirm each before use. | No annual volume is published. No LinkedIn profile is held for Patrick Mustoe or Art Maya.</t>
        </is>
      </c>
      <c r="V88" s="12" t="inlineStr"/>
      <c r="W88" s="15" t="inlineStr">
        <is>
          <t>Quoted as President Tim Drone in February 2026 coverage of the firm's small-lot product.</t>
        </is>
      </c>
      <c r="X88" s="12" t="inlineStr">
        <is>
          <t>https://houstonagentmagazine.com/2026/02/10/j-patrick-homes-small-lots-grange/</t>
        </is>
      </c>
      <c r="Y88" s="12" t="inlineStr"/>
      <c r="Z88" s="12" t="inlineStr"/>
    </row>
    <row r="89">
      <c r="A89" s="6" t="inlineStr">
        <is>
          <t>Patrick Mustoe</t>
        </is>
      </c>
      <c r="B89" s="6" t="inlineStr">
        <is>
          <t>J. Patrick Homes</t>
        </is>
      </c>
      <c r="C89" s="6" t="inlineStr">
        <is>
          <t>Owner</t>
        </is>
      </c>
      <c r="D89" s="7" t="inlineStr">
        <is>
          <t>Worth pursuing, one gap</t>
        </is>
      </c>
      <c r="E89" s="8" t="n">
        <v>2</v>
      </c>
      <c r="F89" s="6" t="inlineStr">
        <is>
          <t>Buys walls</t>
        </is>
      </c>
      <c r="G89" s="6" t="inlineStr">
        <is>
          <t>Houston, 12 submarkets</t>
        </is>
      </c>
      <c r="H89" s="6" t="inlineStr">
        <is>
          <t>Volume Builder of the Year, 12 submarkets</t>
        </is>
      </c>
      <c r="I89" s="8" t="inlineStr">
        <is>
          <t>Partly</t>
        </is>
      </c>
      <c r="J89" s="9" t="inlineStr">
        <is>
          <t>Twelve submarkets is wide for a builder this size, which spreads the plan set thin.</t>
        </is>
      </c>
      <c r="K89" s="8" t="inlineStr">
        <is>
          <t>Partly</t>
        </is>
      </c>
      <c r="L89" s="9" t="inlineStr">
        <is>
          <t>No closings figure is published anywhere, so the machine question cannot be sized.</t>
        </is>
      </c>
      <c r="M89" s="8" t="inlineStr">
        <is>
          <t>No</t>
        </is>
      </c>
      <c r="N89" s="9" t="inlineStr">
        <is>
          <t>Energy Star and Environments for Living certification, with whole-home dehumidifiers standard. A firm that pays for third-party verification has paid for something unproven before.</t>
        </is>
      </c>
      <c r="O89" s="8" t="inlineStr">
        <is>
          <t>No</t>
        </is>
      </c>
      <c r="P89" s="10" t="inlineStr"/>
      <c r="Q89" s="6">
        <f>HYPERLINK("https://www.linkedin.com/search/results/people/?keywords=Patrick%20Mustoe%20J.%20Patrick%20Homes","search")</f>
        <v/>
      </c>
      <c r="R89" s="11">
        <f>IF(P89="","ADD LINKEDIN","ok")</f>
        <v/>
      </c>
      <c r="S89" s="6" t="inlineStr">
        <is>
          <t>https://www.jpatrickhomes.com/</t>
        </is>
      </c>
      <c r="T89" s="9" t="inlineStr">
        <is>
          <t>A semi-custom builder that won a volume award and publishes no volume. Named purchasing and construction managers.</t>
        </is>
      </c>
      <c r="U89" s="9" t="inlineStr">
        <is>
          <t>The four names come from a contact-data aggregator rather than the firm's own site, which publishes no leadership page. Confirm each before use. | No annual volume is published. No LinkedIn profile is held for Patrick Mustoe or Art Maya.</t>
        </is>
      </c>
      <c r="V89" s="6" t="inlineStr"/>
      <c r="W89" s="9" t="inlineStr"/>
      <c r="X89" s="6" t="inlineStr"/>
      <c r="Y89" s="6" t="inlineStr"/>
      <c r="Z89" s="6" t="inlineStr"/>
    </row>
    <row r="90">
      <c r="A90" s="12" t="inlineStr">
        <is>
          <t>Bo Banowsky</t>
        </is>
      </c>
      <c r="B90" s="12" t="inlineStr">
        <is>
          <t>J. Patrick Homes</t>
        </is>
      </c>
      <c r="C90" s="12" t="inlineStr">
        <is>
          <t>Purchasing Manager</t>
        </is>
      </c>
      <c r="D90" s="13" t="inlineStr">
        <is>
          <t>Worth pursuing, one gap</t>
        </is>
      </c>
      <c r="E90" s="14" t="n">
        <v>2</v>
      </c>
      <c r="F90" s="12" t="inlineStr">
        <is>
          <t>Buys walls</t>
        </is>
      </c>
      <c r="G90" s="12" t="inlineStr">
        <is>
          <t>Houston, 12 submarkets</t>
        </is>
      </c>
      <c r="H90" s="12" t="inlineStr">
        <is>
          <t>Volume Builder of the Year, 12 submarkets</t>
        </is>
      </c>
      <c r="I90" s="14" t="inlineStr">
        <is>
          <t>Partly</t>
        </is>
      </c>
      <c r="J90" s="15" t="inlineStr">
        <is>
          <t>Twelve submarkets is wide for a builder this size, which spreads the plan set thin.</t>
        </is>
      </c>
      <c r="K90" s="14" t="inlineStr">
        <is>
          <t>Partly</t>
        </is>
      </c>
      <c r="L90" s="15" t="inlineStr">
        <is>
          <t>No closings figure is published anywhere, so the machine question cannot be sized.</t>
        </is>
      </c>
      <c r="M90" s="14" t="inlineStr">
        <is>
          <t>No</t>
        </is>
      </c>
      <c r="N90" s="15" t="inlineStr">
        <is>
          <t>Energy Star and Environments for Living certification, with whole-home dehumidifiers standard. A firm that pays for third-party verification has paid for something unproven before.</t>
        </is>
      </c>
      <c r="O90" s="14" t="inlineStr">
        <is>
          <t>No</t>
        </is>
      </c>
      <c r="P90" s="6" t="inlineStr">
        <is>
          <t>https://www.linkedin.com/in/bo-banowsky-3b11278/</t>
        </is>
      </c>
      <c r="Q90" s="12" t="inlineStr"/>
      <c r="R90" s="16">
        <f>IF(P90="","ADD LINKEDIN","ok")</f>
        <v/>
      </c>
      <c r="S90" s="12" t="inlineStr">
        <is>
          <t>https://www.jpatrickhomes.com/</t>
        </is>
      </c>
      <c r="T90" s="15" t="inlineStr">
        <is>
          <t>A semi-custom builder that won a volume award and publishes no volume. Named purchasing and construction managers.</t>
        </is>
      </c>
      <c r="U90" s="15" t="inlineStr">
        <is>
          <t>The four names come from a contact-data aggregator rather than the firm's own site, which publishes no leadership page. Confirm each before use. | No annual volume is published. No LinkedIn profile is held for Patrick Mustoe or Art Maya.</t>
        </is>
      </c>
      <c r="V90" s="12" t="inlineStr">
        <is>
          <t>YES</t>
        </is>
      </c>
      <c r="W90" s="15" t="inlineStr">
        <is>
          <t>Indexed title reads Bo Banowsky, Purchasing Manager, J. Patrick Homes.</t>
        </is>
      </c>
      <c r="X90" s="12" t="inlineStr"/>
      <c r="Y90" s="12" t="inlineStr"/>
      <c r="Z90" s="12" t="inlineStr"/>
    </row>
    <row r="91">
      <c r="A91" s="6" t="inlineStr">
        <is>
          <t>Art Maya</t>
        </is>
      </c>
      <c r="B91" s="6" t="inlineStr">
        <is>
          <t>J. Patrick Homes</t>
        </is>
      </c>
      <c r="C91" s="6" t="inlineStr">
        <is>
          <t>Construction Manager</t>
        </is>
      </c>
      <c r="D91" s="7" t="inlineStr">
        <is>
          <t>Worth pursuing, one gap</t>
        </is>
      </c>
      <c r="E91" s="8" t="n">
        <v>2</v>
      </c>
      <c r="F91" s="6" t="inlineStr">
        <is>
          <t>Buys walls</t>
        </is>
      </c>
      <c r="G91" s="6" t="inlineStr">
        <is>
          <t>Houston, 12 submarkets</t>
        </is>
      </c>
      <c r="H91" s="6" t="inlineStr">
        <is>
          <t>Volume Builder of the Year, 12 submarkets</t>
        </is>
      </c>
      <c r="I91" s="8" t="inlineStr">
        <is>
          <t>Partly</t>
        </is>
      </c>
      <c r="J91" s="9" t="inlineStr">
        <is>
          <t>Twelve submarkets is wide for a builder this size, which spreads the plan set thin.</t>
        </is>
      </c>
      <c r="K91" s="8" t="inlineStr">
        <is>
          <t>Partly</t>
        </is>
      </c>
      <c r="L91" s="9" t="inlineStr">
        <is>
          <t>No closings figure is published anywhere, so the machine question cannot be sized.</t>
        </is>
      </c>
      <c r="M91" s="8" t="inlineStr">
        <is>
          <t>No</t>
        </is>
      </c>
      <c r="N91" s="9" t="inlineStr">
        <is>
          <t>Energy Star and Environments for Living certification, with whole-home dehumidifiers standard. A firm that pays for third-party verification has paid for something unproven before.</t>
        </is>
      </c>
      <c r="O91" s="8" t="inlineStr">
        <is>
          <t>No</t>
        </is>
      </c>
      <c r="P91" s="10" t="inlineStr"/>
      <c r="Q91" s="6">
        <f>HYPERLINK("https://www.linkedin.com/search/results/people/?keywords=Art%20Maya%20J.%20Patrick%20Homes","search")</f>
        <v/>
      </c>
      <c r="R91" s="11">
        <f>IF(P91="","ADD LINKEDIN","ok")</f>
        <v/>
      </c>
      <c r="S91" s="6" t="inlineStr">
        <is>
          <t>https://www.jpatrickhomes.com/</t>
        </is>
      </c>
      <c r="T91" s="9" t="inlineStr">
        <is>
          <t>A semi-custom builder that won a volume award and publishes no volume. Named purchasing and construction managers.</t>
        </is>
      </c>
      <c r="U91" s="9" t="inlineStr">
        <is>
          <t>The four names come from a contact-data aggregator rather than the firm's own site, which publishes no leadership page. Confirm each before use. | No annual volume is published. No LinkedIn profile is held for Patrick Mustoe or Art Maya.</t>
        </is>
      </c>
      <c r="V91" s="6" t="inlineStr"/>
      <c r="W91" s="9" t="inlineStr"/>
      <c r="X91" s="6" t="inlineStr"/>
      <c r="Y91" s="6" t="inlineStr"/>
      <c r="Z91" s="6" t="inlineStr"/>
    </row>
    <row r="92">
      <c r="A92" s="12" t="inlineStr">
        <is>
          <t>Neil Joshi</t>
        </is>
      </c>
      <c r="B92" s="12" t="inlineStr">
        <is>
          <t>RSK Real Estate Partners</t>
        </is>
      </c>
      <c r="C92" s="12" t="inlineStr">
        <is>
          <t>Managing Member, RSK Real Estate Partners</t>
        </is>
      </c>
      <c r="D92" s="13" t="inlineStr">
        <is>
          <t>Worth pursuing, one gap</t>
        </is>
      </c>
      <c r="E92" s="14" t="n">
        <v>2</v>
      </c>
      <c r="F92" s="12" t="inlineStr">
        <is>
          <t>Buys walls</t>
        </is>
      </c>
      <c r="G92" s="12" t="inlineStr">
        <is>
          <t>Chicago HQ / Katy, Harris</t>
        </is>
      </c>
      <c r="H92" s="12" t="inlineStr"/>
      <c r="I92" s="14" t="inlineStr">
        <is>
          <t>Partly</t>
        </is>
      </c>
      <c r="J92" s="15" t="inlineStr">
        <is>
          <t>156 and 210 units on two Katy sites about a mile apart.</t>
        </is>
      </c>
      <c r="K92" s="14" t="inlineStr">
        <is>
          <t>Partly</t>
        </is>
      </c>
      <c r="L92" s="15" t="inlineStr">
        <is>
          <t>A small developer with its own vice president of construction, and no published unit count to size it.</t>
        </is>
      </c>
      <c r="M92" s="14" t="inlineStr">
        <is>
          <t>No</t>
        </is>
      </c>
      <c r="N92" s="15" t="inlineStr">
        <is>
          <t>No method evidence found.</t>
        </is>
      </c>
      <c r="O92" s="14" t="inlineStr">
        <is>
          <t>No</t>
        </is>
      </c>
      <c r="P92" s="10" t="inlineStr"/>
      <c r="Q92" s="12">
        <f>HYPERLINK("https://www.linkedin.com/search/results/people/?keywords=Neil%20Joshi%20RSK%20Real%20Estate%20Partners","search")</f>
        <v/>
      </c>
      <c r="R92" s="16">
        <f>IF(P92="","ADD LINKEDIN","ok")</f>
        <v/>
      </c>
      <c r="S92" s="12" t="inlineStr">
        <is>
          <t>https://rskrealestatepartners.com/</t>
        </is>
      </c>
      <c r="T92" s="15" t="inlineStr">
        <is>
          <t>Two Katy duplex projects a mile apart, 366 units. No capital figure and no method evidence.</t>
        </is>
      </c>
      <c r="U92" s="15" t="inlineStr"/>
      <c r="V92" s="12" t="inlineStr"/>
      <c r="W92" s="15" t="inlineStr">
        <is>
          <t>Managing Member.</t>
        </is>
      </c>
      <c r="X92" s="12" t="inlineStr">
        <is>
          <t>https://rskrealestatepartners.com/our-team/</t>
        </is>
      </c>
      <c r="Y92" s="12" t="inlineStr">
        <is>
          <t>https://www.linkedin.com/company/rsk-real-estate-partners</t>
        </is>
      </c>
      <c r="Z92" s="12" t="inlineStr">
        <is>
          <t>https://rskrealestatepartners.com/our-team/</t>
        </is>
      </c>
    </row>
    <row r="93">
      <c r="A93" s="6" t="inlineStr">
        <is>
          <t>Gregg Erickson</t>
        </is>
      </c>
      <c r="B93" s="6" t="inlineStr">
        <is>
          <t>RSK Real Estate Partners</t>
        </is>
      </c>
      <c r="C93" s="6" t="inlineStr">
        <is>
          <t>Vice President of Construction, RSK Real Estate Partners</t>
        </is>
      </c>
      <c r="D93" s="7" t="inlineStr">
        <is>
          <t>Worth pursuing, one gap</t>
        </is>
      </c>
      <c r="E93" s="8" t="n">
        <v>2</v>
      </c>
      <c r="F93" s="6" t="inlineStr">
        <is>
          <t>Buys walls</t>
        </is>
      </c>
      <c r="G93" s="6" t="inlineStr">
        <is>
          <t>Chicago HQ / Katy, Harris</t>
        </is>
      </c>
      <c r="H93" s="6" t="inlineStr"/>
      <c r="I93" s="8" t="inlineStr">
        <is>
          <t>Partly</t>
        </is>
      </c>
      <c r="J93" s="9" t="inlineStr">
        <is>
          <t>156 and 210 units on two Katy sites about a mile apart.</t>
        </is>
      </c>
      <c r="K93" s="8" t="inlineStr">
        <is>
          <t>Partly</t>
        </is>
      </c>
      <c r="L93" s="9" t="inlineStr">
        <is>
          <t>A small developer with its own vice president of construction, and no published unit count to size it.</t>
        </is>
      </c>
      <c r="M93" s="8" t="inlineStr">
        <is>
          <t>No</t>
        </is>
      </c>
      <c r="N93" s="9" t="inlineStr">
        <is>
          <t>No method evidence found.</t>
        </is>
      </c>
      <c r="O93" s="8" t="inlineStr">
        <is>
          <t>No</t>
        </is>
      </c>
      <c r="P93" s="10" t="inlineStr"/>
      <c r="Q93" s="6">
        <f>HYPERLINK("https://www.linkedin.com/search/results/people/?keywords=Gregg%20Erickson%20RSK%20Real%20Estate%20Partners","search")</f>
        <v/>
      </c>
      <c r="R93" s="11">
        <f>IF(P93="","ADD LINKEDIN","ok")</f>
        <v/>
      </c>
      <c r="S93" s="6" t="inlineStr">
        <is>
          <t>https://rskrealestatepartners.com/</t>
        </is>
      </c>
      <c r="T93" s="9" t="inlineStr">
        <is>
          <t>Two Katy duplex projects a mile apart, 366 units. No capital figure and no method evidence.</t>
        </is>
      </c>
      <c r="U93" s="9" t="inlineStr"/>
      <c r="V93" s="6" t="inlineStr">
        <is>
          <t>YES</t>
        </is>
      </c>
      <c r="W93" s="9" t="inlineStr">
        <is>
          <t>Vice President of Construction. RSK is a small firm that names its construction lead on its own team page, which larger builders do not.</t>
        </is>
      </c>
      <c r="X93" s="6" t="inlineStr">
        <is>
          <t>https://rskrealestatepartners.com/our-team/</t>
        </is>
      </c>
      <c r="Y93" s="6" t="inlineStr">
        <is>
          <t>https://www.linkedin.com/company/rsk-real-estate-partners</t>
        </is>
      </c>
      <c r="Z93" s="6" t="inlineStr">
        <is>
          <t>https://rskrealestatepartners.com/our-team/</t>
        </is>
      </c>
    </row>
    <row r="94">
      <c r="A94" s="12" t="inlineStr">
        <is>
          <t>Hannah Ripkey</t>
        </is>
      </c>
      <c r="B94" s="12" t="inlineStr">
        <is>
          <t>RSK Real Estate Partners</t>
        </is>
      </c>
      <c r="C94" s="12" t="inlineStr">
        <is>
          <t>Vice President of Development, RSK Real Estate Partners</t>
        </is>
      </c>
      <c r="D94" s="13" t="inlineStr">
        <is>
          <t>Worth pursuing, one gap</t>
        </is>
      </c>
      <c r="E94" s="14" t="n">
        <v>2</v>
      </c>
      <c r="F94" s="12" t="inlineStr">
        <is>
          <t>Buys walls</t>
        </is>
      </c>
      <c r="G94" s="12" t="inlineStr">
        <is>
          <t>Chicago HQ / Katy, Harris</t>
        </is>
      </c>
      <c r="H94" s="12" t="inlineStr"/>
      <c r="I94" s="14" t="inlineStr">
        <is>
          <t>Partly</t>
        </is>
      </c>
      <c r="J94" s="15" t="inlineStr">
        <is>
          <t>156 and 210 units on two Katy sites about a mile apart.</t>
        </is>
      </c>
      <c r="K94" s="14" t="inlineStr">
        <is>
          <t>Partly</t>
        </is>
      </c>
      <c r="L94" s="15" t="inlineStr">
        <is>
          <t>A small developer with its own vice president of construction, and no published unit count to size it.</t>
        </is>
      </c>
      <c r="M94" s="14" t="inlineStr">
        <is>
          <t>No</t>
        </is>
      </c>
      <c r="N94" s="15" t="inlineStr">
        <is>
          <t>No method evidence found.</t>
        </is>
      </c>
      <c r="O94" s="14" t="inlineStr">
        <is>
          <t>No</t>
        </is>
      </c>
      <c r="P94" s="10" t="inlineStr"/>
      <c r="Q94" s="12">
        <f>HYPERLINK("https://www.linkedin.com/search/results/people/?keywords=Hannah%20Ripkey%20RSK%20Real%20Estate%20Partners","search")</f>
        <v/>
      </c>
      <c r="R94" s="16">
        <f>IF(P94="","ADD LINKEDIN","ok")</f>
        <v/>
      </c>
      <c r="S94" s="12" t="inlineStr">
        <is>
          <t>https://rskrealestatepartners.com/</t>
        </is>
      </c>
      <c r="T94" s="15" t="inlineStr">
        <is>
          <t>Two Katy duplex projects a mile apart, 366 units. No capital figure and no method evidence.</t>
        </is>
      </c>
      <c r="U94" s="15" t="inlineStr"/>
      <c r="V94" s="12" t="inlineStr"/>
      <c r="W94" s="15" t="inlineStr">
        <is>
          <t>Vice President of Development.</t>
        </is>
      </c>
      <c r="X94" s="12" t="inlineStr">
        <is>
          <t>https://rskrealestatepartners.com/our-team/</t>
        </is>
      </c>
      <c r="Y94" s="12" t="inlineStr">
        <is>
          <t>https://www.linkedin.com/company/rsk-real-estate-partners</t>
        </is>
      </c>
      <c r="Z94" s="12" t="inlineStr">
        <is>
          <t>https://rskrealestatepartners.com/our-team/</t>
        </is>
      </c>
    </row>
    <row r="95">
      <c r="A95" s="6" t="inlineStr">
        <is>
          <t>Stephen Najvar</t>
        </is>
      </c>
      <c r="B95" s="6" t="inlineStr">
        <is>
          <t>Ravenna Homes</t>
        </is>
      </c>
      <c r="C95" s="6" t="inlineStr">
        <is>
          <t>President</t>
        </is>
      </c>
      <c r="D95" s="7" t="inlineStr">
        <is>
          <t>Worth pursuing, one gap</t>
        </is>
      </c>
      <c r="E95" s="8" t="n">
        <v>2</v>
      </c>
      <c r="F95" s="6" t="inlineStr">
        <is>
          <t>Buys walls</t>
        </is>
      </c>
      <c r="G95" s="6" t="inlineStr">
        <is>
          <t>Cypress</t>
        </is>
      </c>
      <c r="H95" s="6" t="inlineStr">
        <is>
          <t>Seven communities, from the $500,000s</t>
        </is>
      </c>
      <c r="I95" s="8" t="inlineStr">
        <is>
          <t>Partly</t>
        </is>
      </c>
      <c r="J95" s="9" t="inlineStr">
        <is>
          <t>Seven communities, all in the north and northwest corridor, which keeps the plan set together.</t>
        </is>
      </c>
      <c r="K95" s="8" t="inlineStr">
        <is>
          <t>Partly</t>
        </is>
      </c>
      <c r="L95" s="9" t="inlineStr">
        <is>
          <t>No closings figure is published. Price point above $500,000 implies volume below the machine band.</t>
        </is>
      </c>
      <c r="M95" s="8" t="inlineStr">
        <is>
          <t>No</t>
        </is>
      </c>
      <c r="N95" s="9" t="inlineStr">
        <is>
          <t>No method evidence beyond energy efficiency and smart home options.</t>
        </is>
      </c>
      <c r="O95" s="8" t="inlineStr">
        <is>
          <t>No</t>
        </is>
      </c>
      <c r="P95" s="6" t="inlineStr">
        <is>
          <t>https://www.linkedin.com/in/stephennajvar/</t>
        </is>
      </c>
      <c r="Q95" s="6" t="inlineStr"/>
      <c r="R95" s="11">
        <f>IF(P95="","ADD LINKEDIN","ok")</f>
        <v/>
      </c>
      <c r="S95" s="6" t="inlineStr">
        <is>
          <t>https://ravennahomes.com/</t>
        </is>
      </c>
      <c r="T95" s="9" t="inlineStr">
        <is>
          <t>Seven communities in the north and northwest growth corridor, from the $500,000s, with a named president and no published volume.</t>
        </is>
      </c>
      <c r="U95" s="9" t="inlineStr">
        <is>
          <t>A founder-run firm with no other executive published anywhere. No annual volume figure. | No volume figure and no construction or purchasing lead identified.</t>
        </is>
      </c>
      <c r="V95" s="6" t="inlineStr"/>
      <c r="W95" s="9" t="inlineStr">
        <is>
          <t>Indexed title reads Stephen Najvar, President at Ravenna Homes. A 2013 company release names him co-founder alongside his brother Kenneth Najvar, both formerly Perry Homes division presidents.</t>
        </is>
      </c>
      <c r="X95" s="6" t="inlineStr"/>
      <c r="Y95" s="6" t="inlineStr"/>
      <c r="Z95" s="6" t="inlineStr"/>
    </row>
    <row r="96">
      <c r="A96" s="12" t="inlineStr">
        <is>
          <t>Scott Arnoldy</t>
        </is>
      </c>
      <c r="B96" s="12" t="inlineStr">
        <is>
          <t>Triten Real Estate Partners</t>
        </is>
      </c>
      <c r="C96" s="12" t="inlineStr">
        <is>
          <t>Chief Executive Officer, Founder</t>
        </is>
      </c>
      <c r="D96" s="13" t="inlineStr">
        <is>
          <t>Creative project, hybrid job</t>
        </is>
      </c>
      <c r="E96" s="14" t="n">
        <v>2</v>
      </c>
      <c r="F96" s="12" t="inlineStr">
        <is>
          <t>Buys walls</t>
        </is>
      </c>
      <c r="G96" s="12" t="inlineStr">
        <is>
          <t>East End / Fort Bend, Harris County</t>
        </is>
      </c>
      <c r="H96" s="12" t="inlineStr">
        <is>
          <t>340 units, mass timber frame</t>
        </is>
      </c>
      <c r="I96" s="14" t="inlineStr">
        <is>
          <t>Yes</t>
        </is>
      </c>
      <c r="J96" s="15" t="inlineStr">
        <is>
          <t>340 units at The Mill, 294 more at Aliana opening 2027.</t>
        </is>
      </c>
      <c r="K96" s="14" t="inlineStr">
        <is>
          <t>No</t>
        </is>
      </c>
      <c r="L96" s="15" t="inlineStr">
        <is>
          <t>Industrial and outdoor storage. There is no repeated house here.</t>
        </is>
      </c>
      <c r="M96" s="14" t="inlineStr">
        <is>
          <t>Yes</t>
        </is>
      </c>
      <c r="N96" s="15" t="inlineStr">
        <is>
          <t>Financed a cross-laminated timber frame and calls it a rare alternative to steel and concrete.</t>
        </is>
      </c>
      <c r="O96" s="14" t="inlineStr">
        <is>
          <t>Partly</t>
        </is>
      </c>
      <c r="P96" s="6" t="inlineStr">
        <is>
          <t>https://www.linkedin.com/in/scottarnoldy/</t>
        </is>
      </c>
      <c r="Q96" s="12" t="inlineStr"/>
      <c r="R96" s="16">
        <f>IF(P96="","ADD LINKEDIN","ok")</f>
        <v/>
      </c>
      <c r="S96" s="12" t="inlineStr">
        <is>
          <t>https://www.tritenre.com/</t>
        </is>
      </c>
      <c r="T96" s="15" t="inlineStr">
        <is>
          <t>Financed a cross-laminated timber frame at The Mill. 294 units at Aliana land in Titan's first delivery window.</t>
        </is>
      </c>
      <c r="U96"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6" s="12" t="inlineStr"/>
      <c r="W96" s="15" t="inlineStr">
        <is>
          <t>Founder and CEO, Triten Real Estate Partners. Houston, Texas.</t>
        </is>
      </c>
      <c r="X96" s="12" t="inlineStr"/>
      <c r="Y96" s="12" t="inlineStr">
        <is>
          <t>https://www.linkedin.com/company/triten-real-estate-partners</t>
        </is>
      </c>
      <c r="Z96" s="12" t="inlineStr">
        <is>
          <t>https://www.tritenre.com/team</t>
        </is>
      </c>
    </row>
    <row r="97">
      <c r="A97" s="6" t="inlineStr">
        <is>
          <t>Larry Sloan</t>
        </is>
      </c>
      <c r="B97" s="6" t="inlineStr">
        <is>
          <t>Triten Real Estate Partners</t>
        </is>
      </c>
      <c r="C97" s="6" t="inlineStr">
        <is>
          <t>Partner, Chief Development Officer</t>
        </is>
      </c>
      <c r="D97" s="7" t="inlineStr">
        <is>
          <t>Creative project, hybrid job</t>
        </is>
      </c>
      <c r="E97" s="8" t="n">
        <v>2</v>
      </c>
      <c r="F97" s="6" t="inlineStr">
        <is>
          <t>Buys walls</t>
        </is>
      </c>
      <c r="G97" s="6" t="inlineStr">
        <is>
          <t>East End / Fort Bend, Harris County</t>
        </is>
      </c>
      <c r="H97" s="6" t="inlineStr">
        <is>
          <t>340 units, mass timber frame</t>
        </is>
      </c>
      <c r="I97" s="8" t="inlineStr">
        <is>
          <t>Yes</t>
        </is>
      </c>
      <c r="J97" s="9" t="inlineStr">
        <is>
          <t>340 units at The Mill, 294 more at Aliana opening 2027.</t>
        </is>
      </c>
      <c r="K97" s="8" t="inlineStr">
        <is>
          <t>No</t>
        </is>
      </c>
      <c r="L97" s="9" t="inlineStr">
        <is>
          <t>Industrial and outdoor storage. There is no repeated house here.</t>
        </is>
      </c>
      <c r="M97" s="8" t="inlineStr">
        <is>
          <t>Yes</t>
        </is>
      </c>
      <c r="N97" s="9" t="inlineStr">
        <is>
          <t>Financed a cross-laminated timber frame and calls it a rare alternative to steel and concrete.</t>
        </is>
      </c>
      <c r="O97" s="8" t="inlineStr">
        <is>
          <t>Partly</t>
        </is>
      </c>
      <c r="P97" s="6" t="inlineStr">
        <is>
          <t>https://www.linkedin.com/in/larry-sloan-894204b/</t>
        </is>
      </c>
      <c r="Q97" s="6" t="inlineStr"/>
      <c r="R97" s="11">
        <f>IF(P97="","ADD LINKEDIN","ok")</f>
        <v/>
      </c>
      <c r="S97" s="6" t="inlineStr">
        <is>
          <t>https://www.tritenre.com/</t>
        </is>
      </c>
      <c r="T97" s="9" t="inlineStr">
        <is>
          <t>Financed a cross-laminated timber frame at The Mill. 294 units at Aliana land in Titan's first delivery window.</t>
        </is>
      </c>
      <c r="U97"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7" s="6" t="inlineStr"/>
      <c r="W97" s="9" t="inlineStr">
        <is>
          <t>Chief Development Officer (CDO) at Triten Real Estate Partners. Houston, Texas. The same person who left Midway as EVP of investment and development in November 2023.</t>
        </is>
      </c>
      <c r="X97" s="6" t="inlineStr"/>
      <c r="Y97" s="6" t="inlineStr">
        <is>
          <t>https://www.linkedin.com/company/triten-real-estate-partners</t>
        </is>
      </c>
      <c r="Z97" s="6" t="inlineStr">
        <is>
          <t>https://www.tritenre.com/team</t>
        </is>
      </c>
    </row>
    <row r="98">
      <c r="A98" s="12" t="inlineStr">
        <is>
          <t>Brent Ozenbaugh</t>
        </is>
      </c>
      <c r="B98" s="12" t="inlineStr">
        <is>
          <t>Triten Real Estate Partners</t>
        </is>
      </c>
      <c r="C98" s="12" t="inlineStr">
        <is>
          <t>Partner, Chief Operating Officer</t>
        </is>
      </c>
      <c r="D98" s="13" t="inlineStr">
        <is>
          <t>Creative project, hybrid job</t>
        </is>
      </c>
      <c r="E98" s="14" t="n">
        <v>2</v>
      </c>
      <c r="F98" s="12" t="inlineStr">
        <is>
          <t>Buys walls</t>
        </is>
      </c>
      <c r="G98" s="12" t="inlineStr">
        <is>
          <t>East End / Fort Bend, Harris County</t>
        </is>
      </c>
      <c r="H98" s="12" t="inlineStr">
        <is>
          <t>340 units, mass timber frame</t>
        </is>
      </c>
      <c r="I98" s="14" t="inlineStr">
        <is>
          <t>Yes</t>
        </is>
      </c>
      <c r="J98" s="15" t="inlineStr">
        <is>
          <t>340 units at The Mill, 294 more at Aliana opening 2027.</t>
        </is>
      </c>
      <c r="K98" s="14" t="inlineStr">
        <is>
          <t>No</t>
        </is>
      </c>
      <c r="L98" s="15" t="inlineStr">
        <is>
          <t>Industrial and outdoor storage. There is no repeated house here.</t>
        </is>
      </c>
      <c r="M98" s="14" t="inlineStr">
        <is>
          <t>Yes</t>
        </is>
      </c>
      <c r="N98" s="15" t="inlineStr">
        <is>
          <t>Financed a cross-laminated timber frame and calls it a rare alternative to steel and concrete.</t>
        </is>
      </c>
      <c r="O98" s="14" t="inlineStr">
        <is>
          <t>Partly</t>
        </is>
      </c>
      <c r="P98" s="6" t="inlineStr">
        <is>
          <t>https://www.linkedin.com/in/brent-ozenbaugh-b99872/</t>
        </is>
      </c>
      <c r="Q98" s="12" t="inlineStr"/>
      <c r="R98" s="16">
        <f>IF(P98="","ADD LINKEDIN","ok")</f>
        <v/>
      </c>
      <c r="S98" s="12" t="inlineStr">
        <is>
          <t>https://www.tritenre.com/</t>
        </is>
      </c>
      <c r="T98" s="15" t="inlineStr">
        <is>
          <t>Financed a cross-laminated timber frame at The Mill. 294 units at Aliana land in Titan's first delivery window.</t>
        </is>
      </c>
      <c r="U98" s="15"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8" s="12" t="inlineStr"/>
      <c r="W98" s="15" t="inlineStr">
        <is>
          <t>COO at Triten Real Estate Partners. Greater Houston.</t>
        </is>
      </c>
      <c r="X98" s="12" t="inlineStr"/>
      <c r="Y98" s="12" t="inlineStr">
        <is>
          <t>https://www.linkedin.com/company/triten-real-estate-partners</t>
        </is>
      </c>
      <c r="Z98" s="12" t="inlineStr">
        <is>
          <t>https://www.tritenre.com/team</t>
        </is>
      </c>
    </row>
    <row r="99">
      <c r="A99" s="6" t="inlineStr">
        <is>
          <t>Carter Bechtol</t>
        </is>
      </c>
      <c r="B99" s="6" t="inlineStr">
        <is>
          <t>Triten Real Estate Partners</t>
        </is>
      </c>
      <c r="C99" s="6" t="inlineStr">
        <is>
          <t>Partner, Head of Triten Residential</t>
        </is>
      </c>
      <c r="D99" s="7" t="inlineStr">
        <is>
          <t>Creative project, hybrid job</t>
        </is>
      </c>
      <c r="E99" s="8" t="n">
        <v>2</v>
      </c>
      <c r="F99" s="6" t="inlineStr">
        <is>
          <t>Buys walls</t>
        </is>
      </c>
      <c r="G99" s="6" t="inlineStr">
        <is>
          <t>East End / Fort Bend, Harris County</t>
        </is>
      </c>
      <c r="H99" s="6" t="inlineStr">
        <is>
          <t>340 units, mass timber frame</t>
        </is>
      </c>
      <c r="I99" s="8" t="inlineStr">
        <is>
          <t>Yes</t>
        </is>
      </c>
      <c r="J99" s="9" t="inlineStr">
        <is>
          <t>340 units at The Mill, 294 more at Aliana opening 2027.</t>
        </is>
      </c>
      <c r="K99" s="8" t="inlineStr">
        <is>
          <t>No</t>
        </is>
      </c>
      <c r="L99" s="9" t="inlineStr">
        <is>
          <t>Industrial and outdoor storage. There is no repeated house here.</t>
        </is>
      </c>
      <c r="M99" s="8" t="inlineStr">
        <is>
          <t>Yes</t>
        </is>
      </c>
      <c r="N99" s="9" t="inlineStr">
        <is>
          <t>Financed a cross-laminated timber frame and calls it a rare alternative to steel and concrete.</t>
        </is>
      </c>
      <c r="O99" s="8" t="inlineStr">
        <is>
          <t>Partly</t>
        </is>
      </c>
      <c r="P99" s="10" t="inlineStr"/>
      <c r="Q99" s="6">
        <f>HYPERLINK("https://www.linkedin.com/search/results/people/?keywords=Carter%20Bechtol%20Triten%20Real%20Estate%20Partners","search")</f>
        <v/>
      </c>
      <c r="R99" s="11">
        <f>IF(P99="","ADD LINKEDIN","ok")</f>
        <v/>
      </c>
      <c r="S99" s="6" t="inlineStr">
        <is>
          <t>https://www.tritenre.com/</t>
        </is>
      </c>
      <c r="T99" s="9" t="inlineStr">
        <is>
          <t>Financed a cross-laminated timber frame at The Mill. 294 units at Aliana land in Titan's first delivery window.</t>
        </is>
      </c>
      <c r="U99" s="9" t="inlineStr">
        <is>
          <t>The Mill square footage and unit count cross-checked across two sources with differing detail. Treat figures as approximate. | The Mill is the hybrid precedent. A 75,000 square foot six-storey office frame in cross-laminated timber, reported as one of Houston's first, alongside 340 apartments and a 14,000 square foot 1890s brick building kept and folded into the new structure. Michael Hsu and EDI on design. One team ran an unproven structural system and an adaptive reuse on the same six-acre site. | Triten and Radom Capital are the same pair across the Heights packing-plant cluster, M-K-T and the Swift BLDG.  | Triten's construction staff below Larry Sloan are construction managers. A Chief Construction Officer is titled to Triten Corporation, a separate Houston company sharing the name. The relationship between the two is unresolved. | No capital signal carries a dollar figure. M-K-T Heights price undisclosed. | LinkedIn URLs unsourced for all four principals.</t>
        </is>
      </c>
      <c r="V99" s="6" t="inlineStr"/>
      <c r="W99" s="9" t="inlineStr">
        <is>
          <t>Triten's own bio page. Partner, Head of Triten Residential. The residential platform is the part of Triten that would buy a repeated wall.</t>
        </is>
      </c>
      <c r="X99" s="6" t="inlineStr">
        <is>
          <t>https://www.tritenre.com/team/carter-becthol</t>
        </is>
      </c>
      <c r="Y99" s="6" t="inlineStr">
        <is>
          <t>https://www.linkedin.com/company/triten-real-estate-partners</t>
        </is>
      </c>
      <c r="Z99" s="6" t="inlineStr">
        <is>
          <t>https://www.tritenre.com/team</t>
        </is>
      </c>
    </row>
    <row r="100">
      <c r="A100" s="12" t="inlineStr">
        <is>
          <t>Steve Radom</t>
        </is>
      </c>
      <c r="B100" s="12" t="inlineStr">
        <is>
          <t>Radom Capital</t>
        </is>
      </c>
      <c r="C100" s="12" t="inlineStr">
        <is>
          <t>Managing Principal</t>
        </is>
      </c>
      <c r="D100" s="13" t="inlineStr">
        <is>
          <t>Creative project, hybrid job</t>
        </is>
      </c>
      <c r="E100" s="14" t="n">
        <v>2</v>
      </c>
      <c r="F100" s="12" t="inlineStr">
        <is>
          <t>Buys walls</t>
        </is>
      </c>
      <c r="G100" s="12" t="inlineStr">
        <is>
          <t>Heights / Montrose, Harris County</t>
        </is>
      </c>
      <c r="H100" s="12" t="inlineStr">
        <is>
          <t>$104.75M Montrose Collective financing</t>
        </is>
      </c>
      <c r="I100" s="14" t="inlineStr">
        <is>
          <t>Partly</t>
        </is>
      </c>
      <c r="J100" s="15" t="inlineStr">
        <is>
          <t>Fifteen projects in one district, 218 units at Clock Tower.</t>
        </is>
      </c>
      <c r="K100" s="14" t="inlineStr">
        <is>
          <t>No</t>
        </is>
      </c>
      <c r="L100" s="15" t="inlineStr">
        <is>
          <t>Adaptive reuse and retail. Every project is its own building.</t>
        </is>
      </c>
      <c r="M100" s="14" t="inlineStr">
        <is>
          <t>Yes</t>
        </is>
      </c>
      <c r="N100" s="15" t="inlineStr">
        <is>
          <t>Commissioned Michael Hsu for Montrose Collective, four-street frontage, $104.75M financed.</t>
        </is>
      </c>
      <c r="O100" s="14" t="inlineStr">
        <is>
          <t>Yes</t>
        </is>
      </c>
      <c r="P100" s="6" t="inlineStr">
        <is>
          <t>https://www.linkedin.com/in/steveradom/</t>
        </is>
      </c>
      <c r="Q100" s="12" t="inlineStr"/>
      <c r="R100" s="16">
        <f>IF(P100="","ADD LINKEDIN","ok")</f>
        <v/>
      </c>
      <c r="S100" s="12" t="inlineStr">
        <is>
          <t>https://www.radomcapital.com/</t>
        </is>
      </c>
      <c r="T100" s="15" t="inlineStr">
        <is>
          <t>Michael Hsu at Montrose Collective, $104.75M financed. Fifteen projects in one district, so volume is concentrated rather than deep.</t>
        </is>
      </c>
      <c r="U100"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0" s="12" t="inlineStr"/>
      <c r="W100" s="15" t="inlineStr">
        <is>
          <t>Managing Principal at Radom Capital.</t>
        </is>
      </c>
      <c r="X100" s="12" t="inlineStr"/>
      <c r="Y100" s="12" t="inlineStr">
        <is>
          <t>https://www.linkedin.com/company/radom-capital-llc</t>
        </is>
      </c>
      <c r="Z100" s="12" t="inlineStr">
        <is>
          <t>https://www.radomcapital.com/team</t>
        </is>
      </c>
    </row>
    <row r="101">
      <c r="A101" s="6" t="inlineStr">
        <is>
          <t>Barton Kelly</t>
        </is>
      </c>
      <c r="B101" s="6" t="inlineStr">
        <is>
          <t>Radom Capital</t>
        </is>
      </c>
      <c r="C101" s="6" t="inlineStr">
        <is>
          <t>Principal</t>
        </is>
      </c>
      <c r="D101" s="7" t="inlineStr">
        <is>
          <t>Creative project, hybrid job</t>
        </is>
      </c>
      <c r="E101" s="8" t="n">
        <v>2</v>
      </c>
      <c r="F101" s="6" t="inlineStr">
        <is>
          <t>Buys walls</t>
        </is>
      </c>
      <c r="G101" s="6" t="inlineStr">
        <is>
          <t>Heights / Montrose, Harris County</t>
        </is>
      </c>
      <c r="H101" s="6" t="inlineStr">
        <is>
          <t>$104.75M Montrose Collective financing</t>
        </is>
      </c>
      <c r="I101" s="8" t="inlineStr">
        <is>
          <t>Partly</t>
        </is>
      </c>
      <c r="J101" s="9" t="inlineStr">
        <is>
          <t>Fifteen projects in one district, 218 units at Clock Tower.</t>
        </is>
      </c>
      <c r="K101" s="8" t="inlineStr">
        <is>
          <t>No</t>
        </is>
      </c>
      <c r="L101" s="9" t="inlineStr">
        <is>
          <t>Adaptive reuse and retail. Every project is its own building.</t>
        </is>
      </c>
      <c r="M101" s="8" t="inlineStr">
        <is>
          <t>Yes</t>
        </is>
      </c>
      <c r="N101" s="9" t="inlineStr">
        <is>
          <t>Commissioned Michael Hsu for Montrose Collective, four-street frontage, $104.75M financed.</t>
        </is>
      </c>
      <c r="O101" s="8" t="inlineStr">
        <is>
          <t>Yes</t>
        </is>
      </c>
      <c r="P101" s="6" t="inlineStr">
        <is>
          <t>https://www.linkedin.com/in/bartonk/</t>
        </is>
      </c>
      <c r="Q101" s="6" t="inlineStr"/>
      <c r="R101" s="11">
        <f>IF(P101="","ADD LINKEDIN","ok")</f>
        <v/>
      </c>
      <c r="S101" s="6" t="inlineStr">
        <is>
          <t>https://www.radomcapital.com/</t>
        </is>
      </c>
      <c r="T101" s="9" t="inlineStr">
        <is>
          <t>Michael Hsu at Montrose Collective, $104.75M financed. Fifteen projects in one district, so volume is concentrated rather than deep.</t>
        </is>
      </c>
      <c r="U101" s="9"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1" s="6" t="inlineStr"/>
      <c r="W101" s="9" t="inlineStr">
        <is>
          <t>Vice President at Radom Capital LLC, Houston.</t>
        </is>
      </c>
      <c r="X101" s="6" t="inlineStr"/>
      <c r="Y101" s="6" t="inlineStr">
        <is>
          <t>https://www.linkedin.com/company/radom-capital-llc</t>
        </is>
      </c>
      <c r="Z101" s="6" t="inlineStr">
        <is>
          <t>https://www.radomcapital.com/team</t>
        </is>
      </c>
    </row>
    <row r="102">
      <c r="A102" s="12" t="inlineStr">
        <is>
          <t>Evan Peterson</t>
        </is>
      </c>
      <c r="B102" s="12" t="inlineStr">
        <is>
          <t>Radom Capital</t>
        </is>
      </c>
      <c r="C102" s="12" t="inlineStr">
        <is>
          <t>Principal</t>
        </is>
      </c>
      <c r="D102" s="13" t="inlineStr">
        <is>
          <t>Creative project, hybrid job</t>
        </is>
      </c>
      <c r="E102" s="14" t="n">
        <v>2</v>
      </c>
      <c r="F102" s="12" t="inlineStr">
        <is>
          <t>Buys walls</t>
        </is>
      </c>
      <c r="G102" s="12" t="inlineStr">
        <is>
          <t>Heights / Montrose, Harris County</t>
        </is>
      </c>
      <c r="H102" s="12" t="inlineStr">
        <is>
          <t>$104.75M Montrose Collective financing</t>
        </is>
      </c>
      <c r="I102" s="14" t="inlineStr">
        <is>
          <t>Partly</t>
        </is>
      </c>
      <c r="J102" s="15" t="inlineStr">
        <is>
          <t>Fifteen projects in one district, 218 units at Clock Tower.</t>
        </is>
      </c>
      <c r="K102" s="14" t="inlineStr">
        <is>
          <t>No</t>
        </is>
      </c>
      <c r="L102" s="15" t="inlineStr">
        <is>
          <t>Adaptive reuse and retail. Every project is its own building.</t>
        </is>
      </c>
      <c r="M102" s="14" t="inlineStr">
        <is>
          <t>Yes</t>
        </is>
      </c>
      <c r="N102" s="15" t="inlineStr">
        <is>
          <t>Commissioned Michael Hsu for Montrose Collective, four-street frontage, $104.75M financed.</t>
        </is>
      </c>
      <c r="O102" s="14" t="inlineStr">
        <is>
          <t>Yes</t>
        </is>
      </c>
      <c r="P102" s="6" t="inlineStr">
        <is>
          <t>https://www.linkedin.com/in/evan-peterson-19656548/</t>
        </is>
      </c>
      <c r="Q102" s="12" t="inlineStr"/>
      <c r="R102" s="16">
        <f>IF(P102="","ADD LINKEDIN","ok")</f>
        <v/>
      </c>
      <c r="S102" s="12" t="inlineStr">
        <is>
          <t>https://www.radomcapital.com/</t>
        </is>
      </c>
      <c r="T102" s="15" t="inlineStr">
        <is>
          <t>Michael Hsu at Montrose Collective, $104.75M financed. Fifteen projects in one district, so volume is concentrated rather than deep.</t>
        </is>
      </c>
      <c r="U102" s="15" t="inlineStr">
        <is>
          <t>Unit counts and square footage not obtained for Heights Mercantile. | Heights Mercantile mixes four restored 1920s and 1940s buildings with a new steel, glass and timber building on the same 2.3 acres, which is the hybrid shape in miniature. | Michael Hsu Office of Architecture works for Radom here and for ICON at Mueller in Austin. The same architect has already drawn a printed building. | Barton Kelly's LinkedIn headline reads Vice President at Radom Capital; the firm's own team page lists him as Principal. Titles conflict. Confirm before using either. | LinkedIn URLs unsourced for all principals.</t>
        </is>
      </c>
      <c r="V102" s="12" t="inlineStr"/>
      <c r="W102" s="15" t="inlineStr">
        <is>
          <t>Principal at Radom Capital LLC. Houston, Texas.</t>
        </is>
      </c>
      <c r="X102" s="12" t="inlineStr"/>
      <c r="Y102" s="12" t="inlineStr">
        <is>
          <t>https://www.linkedin.com/company/radom-capital-llc</t>
        </is>
      </c>
      <c r="Z102" s="12" t="inlineStr">
        <is>
          <t>https://www.radomcapital.com/team</t>
        </is>
      </c>
    </row>
    <row r="103">
      <c r="A103" s="6" t="inlineStr">
        <is>
          <t>Jon Deal</t>
        </is>
      </c>
      <c r="B103" s="6" t="inlineStr">
        <is>
          <t>The Deal Company (Sawyer Yards)</t>
        </is>
      </c>
      <c r="C103" s="6" t="inlineStr">
        <is>
          <t>Founder and Chief Executive Officer</t>
        </is>
      </c>
      <c r="D103" s="7" t="inlineStr">
        <is>
          <t>Creative project, hybrid job</t>
        </is>
      </c>
      <c r="E103" s="8" t="n">
        <v>2</v>
      </c>
      <c r="F103" s="6" t="inlineStr">
        <is>
          <t>Buys walls</t>
        </is>
      </c>
      <c r="G103" s="6" t="inlineStr">
        <is>
          <t>Washington Corridor, Harris County</t>
        </is>
      </c>
      <c r="H103" s="6" t="inlineStr">
        <is>
          <t>55 acres, 27 buildings, 2M+ sf</t>
        </is>
      </c>
      <c r="I103" s="8" t="inlineStr">
        <is>
          <t>Partly</t>
        </is>
      </c>
      <c r="J103" s="9" t="inlineStr">
        <is>
          <t>27 buildings across 55 acres since 2005.</t>
        </is>
      </c>
      <c r="K103" s="8" t="inlineStr">
        <is>
          <t>No</t>
        </is>
      </c>
      <c r="L103" s="9" t="inlineStr">
        <is>
          <t>Converting industrial buildings leaves almost no new wall to print.</t>
        </is>
      </c>
      <c r="M103" s="8" t="inlineStr">
        <is>
          <t>Yes</t>
        </is>
      </c>
      <c r="N103" s="9" t="inlineStr">
        <is>
          <t>Twenty years of building inside awkward industrial structures.</t>
        </is>
      </c>
      <c r="O103" s="8" t="inlineStr">
        <is>
          <t>No</t>
        </is>
      </c>
      <c r="P103" s="10" t="inlineStr"/>
      <c r="Q103" s="6">
        <f>HYPERLINK("https://www.linkedin.com/search/results/people/?keywords=Jon%20Deal%20The%20Deal%20Company","search")</f>
        <v/>
      </c>
      <c r="R103" s="11">
        <f>IF(P103="","ADD LINKEDIN","ok")</f>
        <v/>
      </c>
      <c r="S103" s="6" t="inlineStr">
        <is>
          <t>https://www.dealco.net/</t>
        </is>
      </c>
      <c r="T103" s="9" t="inlineStr">
        <is>
          <t>Twenty years converting industrial buildings, 27 of them. Adaptive reuse leaves little new wall to print.</t>
        </is>
      </c>
      <c r="U103" s="9" t="inlineStr">
        <is>
          <t>Jon Deal's title sourced from a third-party database, not a company page. | A possible $100 million district figure exists in an unopened 2013 headline. Verify before use. | Adaptive reuse means limited new wall area. Product fit is structurally weak. | Sawyer Yards is more than two million square feet across twenty-seven buildings on fifty-five acres, eighteen of them reclaimed. Every project on record is conversion, so a printed wall would have to arrive as a new building on the campus rather than as a retrofit.</t>
        </is>
      </c>
      <c r="V103" s="6" t="inlineStr"/>
      <c r="W103" s="9" t="inlineStr">
        <is>
          <t>Founder and Chief Executive Officer, and co-developer of Sawyer Yards.</t>
        </is>
      </c>
      <c r="X103" s="6" t="inlineStr">
        <is>
          <t>https://www.dealco.net/about/</t>
        </is>
      </c>
      <c r="Y103" s="6" t="inlineStr"/>
      <c r="Z103" s="6" t="inlineStr">
        <is>
          <t>https://www.dealco.net/about/</t>
        </is>
      </c>
    </row>
    <row r="104">
      <c r="A104" s="12" t="inlineStr">
        <is>
          <t>Dougal A. Cameron</t>
        </is>
      </c>
      <c r="B104" s="12" t="inlineStr">
        <is>
          <t>Cameron Management</t>
        </is>
      </c>
      <c r="C104" s="12" t="inlineStr">
        <is>
          <t>President and Owner</t>
        </is>
      </c>
      <c r="D104" s="13" t="inlineStr">
        <is>
          <t>Creative project, hybrid job</t>
        </is>
      </c>
      <c r="E104" s="14" t="n">
        <v>1</v>
      </c>
      <c r="F104" s="12" t="inlineStr">
        <is>
          <t>Buys walls</t>
        </is>
      </c>
      <c r="G104" s="12" t="inlineStr">
        <is>
          <t>Downtown Houston, Harris County</t>
        </is>
      </c>
      <c r="H104" s="12" t="inlineStr">
        <is>
          <t>$50M conversion, up to 100 units</t>
        </is>
      </c>
      <c r="I104" s="14" t="inlineStr">
        <is>
          <t>No</t>
        </is>
      </c>
      <c r="J104" s="15" t="inlineStr">
        <is>
          <t>Two towers, one conversion each. Nothing repeats.</t>
        </is>
      </c>
      <c r="K104" s="14" t="inlineStr">
        <is>
          <t>No</t>
        </is>
      </c>
      <c r="L104" s="15" t="inlineStr">
        <is>
          <t>Converting two 1927 and 1941 office towers to residential. No new exterior wall.</t>
        </is>
      </c>
      <c r="M104" s="14" t="inlineStr">
        <is>
          <t>Yes</t>
        </is>
      </c>
      <c r="N104" s="15" t="inlineStr">
        <is>
          <t>It is taking on a $50 million conversion of two landmark towers from 1927 and 1941, which is a harder build than anything a printer would be asked to do.</t>
        </is>
      </c>
      <c r="O104" s="14" t="inlineStr">
        <is>
          <t>Partly</t>
        </is>
      </c>
      <c r="P104" s="10" t="inlineStr"/>
      <c r="Q104" s="12">
        <f>HYPERLINK("https://www.linkedin.com/search/results/people/?keywords=Dougal%20A.%20Cameron%20Cameron%20Management","search")</f>
        <v/>
      </c>
      <c r="R104" s="16">
        <f>IF(P104="","ADD LINKEDIN","ok")</f>
        <v/>
      </c>
      <c r="S104" s="12" t="inlineStr">
        <is>
          <t>https://cameronmanagement.com/</t>
        </is>
      </c>
      <c r="T104" s="15" t="inlineStr">
        <is>
          <t>Interior conversion of a 1927 tower. Willing to take on a hard build, but almost no new exterior wall.</t>
        </is>
      </c>
      <c r="U104" s="15"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4" s="12" t="inlineStr"/>
      <c r="W104" s="15" t="inlineStr">
        <is>
          <t>President. Founded the firm in 1995 after asset and project management at Hines.</t>
        </is>
      </c>
      <c r="X104" s="12" t="inlineStr">
        <is>
          <t>https://cameronmanagement.com/team_member/dougal-a-cameron</t>
        </is>
      </c>
      <c r="Y104" s="12" t="inlineStr">
        <is>
          <t>https://www.linkedin.com/company/cameron-management</t>
        </is>
      </c>
      <c r="Z104" s="12" t="inlineStr">
        <is>
          <t>https://cameronmanagement.com/about</t>
        </is>
      </c>
    </row>
    <row r="105">
      <c r="A105" s="6" t="inlineStr">
        <is>
          <t>William T. Dom</t>
        </is>
      </c>
      <c r="B105" s="6" t="inlineStr">
        <is>
          <t>Cameron Management</t>
        </is>
      </c>
      <c r="C105" s="6" t="inlineStr">
        <is>
          <t>Chief Operating Officer</t>
        </is>
      </c>
      <c r="D105" s="7" t="inlineStr">
        <is>
          <t>Creative project, hybrid job</t>
        </is>
      </c>
      <c r="E105" s="8" t="n">
        <v>1</v>
      </c>
      <c r="F105" s="6" t="inlineStr">
        <is>
          <t>Buys walls</t>
        </is>
      </c>
      <c r="G105" s="6" t="inlineStr">
        <is>
          <t>Downtown Houston, Harris County</t>
        </is>
      </c>
      <c r="H105" s="6" t="inlineStr">
        <is>
          <t>$50M conversion, up to 100 units</t>
        </is>
      </c>
      <c r="I105" s="8" t="inlineStr">
        <is>
          <t>No</t>
        </is>
      </c>
      <c r="J105" s="9" t="inlineStr">
        <is>
          <t>Two towers, one conversion each. Nothing repeats.</t>
        </is>
      </c>
      <c r="K105" s="8" t="inlineStr">
        <is>
          <t>No</t>
        </is>
      </c>
      <c r="L105" s="9" t="inlineStr">
        <is>
          <t>Converting two 1927 and 1941 office towers to residential. No new exterior wall.</t>
        </is>
      </c>
      <c r="M105" s="8" t="inlineStr">
        <is>
          <t>Yes</t>
        </is>
      </c>
      <c r="N105" s="9" t="inlineStr">
        <is>
          <t>It is taking on a $50 million conversion of two landmark towers from 1927 and 1941, which is a harder build than anything a printer would be asked to do.</t>
        </is>
      </c>
      <c r="O105" s="8" t="inlineStr">
        <is>
          <t>Partly</t>
        </is>
      </c>
      <c r="P105" s="10" t="inlineStr"/>
      <c r="Q105" s="6">
        <f>HYPERLINK("https://www.linkedin.com/search/results/people/?keywords=William%20T.%20Dom%20Cameron%20Management","search")</f>
        <v/>
      </c>
      <c r="R105" s="11">
        <f>IF(P105="","ADD LINKEDIN","ok")</f>
        <v/>
      </c>
      <c r="S105" s="6" t="inlineStr">
        <is>
          <t>https://cameronmanagement.com/</t>
        </is>
      </c>
      <c r="T105" s="9" t="inlineStr">
        <is>
          <t>Interior conversion of a 1927 tower. Willing to take on a hard build, but almost no new exterior wall.</t>
        </is>
      </c>
      <c r="U105" s="9" t="inlineStr">
        <is>
          <t>Unit count stated only as up to 100. | Product type structurally mismatched to a printed exterior wall system. | The Esperson renovation is an office-to-residential conversion of two towers from 1927 and 1941 under a programme reported at about $50 million. The firm is employee owned, which means the people who would run a pilot also own the outcome.</t>
        </is>
      </c>
      <c r="V105" s="6" t="inlineStr"/>
      <c r="W105" s="9" t="inlineStr">
        <is>
          <t>Chief Operating Officer and partner since 2000, formerly an asset manager at Hines.</t>
        </is>
      </c>
      <c r="X105" s="6" t="inlineStr">
        <is>
          <t>https://cameronmanagement.com/team_member/william-t-ted-dom</t>
        </is>
      </c>
      <c r="Y105" s="6" t="inlineStr">
        <is>
          <t>https://www.linkedin.com/company/cameron-management</t>
        </is>
      </c>
      <c r="Z105" s="6" t="inlineStr">
        <is>
          <t>https://cameronmanagement.com/about</t>
        </is>
      </c>
    </row>
    <row r="106">
      <c r="A106" s="12" t="inlineStr">
        <is>
          <t>Dan Braun</t>
        </is>
      </c>
      <c r="B106" s="12" t="inlineStr">
        <is>
          <t>Braun Enterprises</t>
        </is>
      </c>
      <c r="C106" s="12" t="inlineStr">
        <is>
          <t>President</t>
        </is>
      </c>
      <c r="D106" s="13" t="inlineStr">
        <is>
          <t>Creative project, hybrid job</t>
        </is>
      </c>
      <c r="E106" s="14" t="n">
        <v>2</v>
      </c>
      <c r="F106" s="12" t="inlineStr">
        <is>
          <t>Buys walls</t>
        </is>
      </c>
      <c r="G106" s="12" t="inlineStr">
        <is>
          <t>Houston, San Antonio and Austin</t>
        </is>
      </c>
      <c r="H106" s="12" t="inlineStr">
        <is>
          <t>Ground-up retail in the Heights and small flex industrial</t>
        </is>
      </c>
      <c r="I106" s="14" t="inlineStr">
        <is>
          <t>Partly</t>
        </is>
      </c>
      <c r="J106" s="15" t="inlineStr">
        <is>
          <t>Small retail buildings repeated across three cities, which is more repetition than anyone else in this category.</t>
        </is>
      </c>
      <c r="K106" s="14" t="inlineStr">
        <is>
          <t>Partly</t>
        </is>
      </c>
      <c r="L106" s="15" t="inlineStr">
        <is>
          <t>Retail shells at 20,000 to 25,000 square feet. A printed wall competes with tilt-wall here, not with stick framing.</t>
        </is>
      </c>
      <c r="M106" s="14" t="inlineStr">
        <is>
          <t>No</t>
        </is>
      </c>
      <c r="N106" s="15" t="inlineStr">
        <is>
          <t>No method evidence on record.</t>
        </is>
      </c>
      <c r="O106" s="14" t="inlineStr">
        <is>
          <t>No</t>
        </is>
      </c>
      <c r="P106" s="6" t="inlineStr">
        <is>
          <t>https://www.linkedin.com/in/dan-braun-36451a15/</t>
        </is>
      </c>
      <c r="Q106" s="12" t="inlineStr"/>
      <c r="R106" s="16">
        <f>IF(P106="","ADD LINKEDIN","ok")</f>
        <v/>
      </c>
      <c r="S106" s="12" t="inlineStr">
        <is>
          <t>https://braunenterprises.com/</t>
        </is>
      </c>
      <c r="T106" s="15" t="inlineStr">
        <is>
          <t>Builds new rather than converting: small-format ground-up retail in the Heights.</t>
        </is>
      </c>
      <c r="U106" s="15" t="inlineStr">
        <is>
          <t>The firm's team page returns a 404. The president's title comes from his own LinkedIn.</t>
        </is>
      </c>
      <c r="V106" s="12" t="inlineStr"/>
      <c r="W106" s="15" t="inlineStr">
        <is>
          <t>Indexed title reads Dan Braun, President at Braun Enterprises. The firm's team page returns a 404, so this is the only link.</t>
        </is>
      </c>
      <c r="X106" s="12" t="inlineStr"/>
      <c r="Y106" s="12" t="inlineStr"/>
      <c r="Z106" s="12" t="inlineStr"/>
    </row>
    <row r="107">
      <c r="A107" s="6" t="inlineStr">
        <is>
          <t>Bradley Freels</t>
        </is>
      </c>
      <c r="B107" s="6" t="inlineStr">
        <is>
          <t>Midway</t>
        </is>
      </c>
      <c r="C107" s="6" t="inlineStr">
        <is>
          <t>Chairman and Chief Executive Officer</t>
        </is>
      </c>
      <c r="D107" s="7" t="inlineStr">
        <is>
          <t>Creative project, hybrid job</t>
        </is>
      </c>
      <c r="E107" s="8" t="n">
        <v>2</v>
      </c>
      <c r="F107" s="6" t="inlineStr">
        <is>
          <t>Buys walls</t>
        </is>
      </c>
      <c r="G107" s="6" t="inlineStr">
        <is>
          <t>Houston HQ / East End, Harris County</t>
        </is>
      </c>
      <c r="H107" s="6" t="inlineStr">
        <is>
          <t>East River: 150 acres, 60 city blocks</t>
        </is>
      </c>
      <c r="I107" s="8" t="inlineStr">
        <is>
          <t>Partly</t>
        </is>
      </c>
      <c r="J107" s="9" t="inlineStr">
        <is>
          <t>East River is 60 city blocks on one site, phased over decades.</t>
        </is>
      </c>
      <c r="K107" s="8" t="inlineStr">
        <is>
          <t>No</t>
        </is>
      </c>
      <c r="L107" s="9" t="inlineStr">
        <is>
          <t>Sixty blocks of mixed-use. The buildings are one-offs, whatever the acreage.</t>
        </is>
      </c>
      <c r="M107" s="8" t="inlineStr">
        <is>
          <t>Partly</t>
        </is>
      </c>
      <c r="N107" s="9" t="inlineStr">
        <is>
          <t>District-scale design ambition, but no specific method precedent was found.</t>
        </is>
      </c>
      <c r="O107" s="8" t="inlineStr">
        <is>
          <t>No</t>
        </is>
      </c>
      <c r="P107" s="10" t="inlineStr"/>
      <c r="Q107" s="6">
        <f>HYPERLINK("https://www.linkedin.com/search/results/people/?keywords=Bradley%20Freels%20Midway","search")</f>
        <v/>
      </c>
      <c r="R107" s="11">
        <f>IF(P107="","ADD LINKEDIN","ok")</f>
        <v/>
      </c>
      <c r="S107" s="6" t="inlineStr">
        <is>
          <t>https://www.midway.team/</t>
        </is>
      </c>
      <c r="T107" s="9" t="inlineStr">
        <is>
          <t>East River is 60 blocks on one site. No capital figure disclosed and the Parkway relationship is unresolved.</t>
        </is>
      </c>
      <c r="U107"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7" s="6" t="inlineStr"/>
      <c r="W107" s="9" t="inlineStr">
        <is>
          <t>Chairman and Chief Executive Officer on Midway's own people page. He has no findable LinkedIn profile, so this is the citation.</t>
        </is>
      </c>
      <c r="X107" s="6" t="inlineStr">
        <is>
          <t>https://www.midway.team/our-people</t>
        </is>
      </c>
      <c r="Y107" s="6" t="inlineStr">
        <is>
          <t>https://www.linkedin.com/company/midway</t>
        </is>
      </c>
      <c r="Z107" s="6" t="inlineStr">
        <is>
          <t>https://www.midway.team/our-people</t>
        </is>
      </c>
    </row>
    <row r="108">
      <c r="A108" s="12" t="inlineStr">
        <is>
          <t>David Hightower</t>
        </is>
      </c>
      <c r="B108" s="12" t="inlineStr">
        <is>
          <t>Midway</t>
        </is>
      </c>
      <c r="C108" s="12" t="inlineStr">
        <is>
          <t>Executive Vice President</t>
        </is>
      </c>
      <c r="D108" s="13" t="inlineStr">
        <is>
          <t>Creative project, hybrid job</t>
        </is>
      </c>
      <c r="E108" s="14" t="n">
        <v>2</v>
      </c>
      <c r="F108" s="12" t="inlineStr">
        <is>
          <t>Buys walls</t>
        </is>
      </c>
      <c r="G108" s="12" t="inlineStr">
        <is>
          <t>Houston HQ / East End, Harris County</t>
        </is>
      </c>
      <c r="H108" s="12" t="inlineStr">
        <is>
          <t>East River: 150 acres, 60 city blocks</t>
        </is>
      </c>
      <c r="I108" s="14" t="inlineStr">
        <is>
          <t>Partly</t>
        </is>
      </c>
      <c r="J108" s="15" t="inlineStr">
        <is>
          <t>East River is 60 city blocks on one site, phased over decades.</t>
        </is>
      </c>
      <c r="K108" s="14" t="inlineStr">
        <is>
          <t>No</t>
        </is>
      </c>
      <c r="L108" s="15" t="inlineStr">
        <is>
          <t>Sixty blocks of mixed-use. The buildings are one-offs, whatever the acreage.</t>
        </is>
      </c>
      <c r="M108" s="14" t="inlineStr">
        <is>
          <t>Partly</t>
        </is>
      </c>
      <c r="N108" s="15" t="inlineStr">
        <is>
          <t>District-scale design ambition, but no specific method precedent was found.</t>
        </is>
      </c>
      <c r="O108" s="14" t="inlineStr">
        <is>
          <t>No</t>
        </is>
      </c>
      <c r="P108" s="6" t="inlineStr">
        <is>
          <t>https://www.linkedin.com/in/dahightower/</t>
        </is>
      </c>
      <c r="Q108" s="12" t="inlineStr"/>
      <c r="R108" s="16">
        <f>IF(P108="","ADD LINKEDIN","ok")</f>
        <v/>
      </c>
      <c r="S108" s="12" t="inlineStr">
        <is>
          <t>https://www.midway.team/</t>
        </is>
      </c>
      <c r="T108" s="15" t="inlineStr">
        <is>
          <t>East River is 60 blocks on one site. No capital figure disclosed and the Parkway relationship is unresolved.</t>
        </is>
      </c>
      <c r="U108"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8" s="12" t="inlineStr"/>
      <c r="W108" s="15" t="inlineStr">
        <is>
          <t>Executive Vice President, Development at Midway Companies. Houston, Texas.</t>
        </is>
      </c>
      <c r="X108" s="12" t="inlineStr"/>
      <c r="Y108" s="12" t="inlineStr">
        <is>
          <t>https://www.linkedin.com/company/midway</t>
        </is>
      </c>
      <c r="Z108" s="12" t="inlineStr">
        <is>
          <t>https://www.midway.team/our-people</t>
        </is>
      </c>
    </row>
    <row r="109">
      <c r="A109" s="6" t="inlineStr">
        <is>
          <t>Clark Thompson</t>
        </is>
      </c>
      <c r="B109" s="6" t="inlineStr">
        <is>
          <t>Midway</t>
        </is>
      </c>
      <c r="C109" s="6" t="inlineStr">
        <is>
          <t>Executive Vice President and General Counsel</t>
        </is>
      </c>
      <c r="D109" s="7" t="inlineStr">
        <is>
          <t>Creative project, hybrid job</t>
        </is>
      </c>
      <c r="E109" s="8" t="n">
        <v>2</v>
      </c>
      <c r="F109" s="6" t="inlineStr">
        <is>
          <t>Buys walls</t>
        </is>
      </c>
      <c r="G109" s="6" t="inlineStr">
        <is>
          <t>Houston HQ / East End, Harris County</t>
        </is>
      </c>
      <c r="H109" s="6" t="inlineStr">
        <is>
          <t>East River: 150 acres, 60 city blocks</t>
        </is>
      </c>
      <c r="I109" s="8" t="inlineStr">
        <is>
          <t>Partly</t>
        </is>
      </c>
      <c r="J109" s="9" t="inlineStr">
        <is>
          <t>East River is 60 city blocks on one site, phased over decades.</t>
        </is>
      </c>
      <c r="K109" s="8" t="inlineStr">
        <is>
          <t>No</t>
        </is>
      </c>
      <c r="L109" s="9" t="inlineStr">
        <is>
          <t>Sixty blocks of mixed-use. The buildings are one-offs, whatever the acreage.</t>
        </is>
      </c>
      <c r="M109" s="8" t="inlineStr">
        <is>
          <t>Partly</t>
        </is>
      </c>
      <c r="N109" s="9" t="inlineStr">
        <is>
          <t>District-scale design ambition, but no specific method precedent was found.</t>
        </is>
      </c>
      <c r="O109" s="8" t="inlineStr">
        <is>
          <t>No</t>
        </is>
      </c>
      <c r="P109" s="10" t="inlineStr"/>
      <c r="Q109" s="6">
        <f>HYPERLINK("https://www.linkedin.com/search/results/people/?keywords=Clark%20Thompson%20Midway","search")</f>
        <v/>
      </c>
      <c r="R109" s="11">
        <f>IF(P109="","ADD LINKEDIN","ok")</f>
        <v/>
      </c>
      <c r="S109" s="6" t="inlineStr">
        <is>
          <t>https://www.midway.team/</t>
        </is>
      </c>
      <c r="T109" s="9" t="inlineStr">
        <is>
          <t>East River is 60 blocks on one site. No capital figure disclosed and the Parkway relationship is unresolved.</t>
        </is>
      </c>
      <c r="U109"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09" s="6" t="inlineStr"/>
      <c r="W109" s="9" t="inlineStr">
        <is>
          <t>Executive Vice President and General Counsel.</t>
        </is>
      </c>
      <c r="X109" s="6" t="inlineStr">
        <is>
          <t>https://www.midway.team/our-people</t>
        </is>
      </c>
      <c r="Y109" s="6" t="inlineStr">
        <is>
          <t>https://www.linkedin.com/company/midway</t>
        </is>
      </c>
      <c r="Z109" s="6" t="inlineStr">
        <is>
          <t>https://www.midway.team/our-people</t>
        </is>
      </c>
    </row>
    <row r="110">
      <c r="A110" s="12" t="inlineStr">
        <is>
          <t>Rob Sigler</t>
        </is>
      </c>
      <c r="B110" s="12" t="inlineStr">
        <is>
          <t>Midway</t>
        </is>
      </c>
      <c r="C110" s="12" t="inlineStr">
        <is>
          <t>Executive Vice President, Construction, Investment and Development, Midway</t>
        </is>
      </c>
      <c r="D110" s="13" t="inlineStr">
        <is>
          <t>Creative project, hybrid job</t>
        </is>
      </c>
      <c r="E110" s="14" t="n">
        <v>2</v>
      </c>
      <c r="F110" s="12" t="inlineStr">
        <is>
          <t>Buys walls</t>
        </is>
      </c>
      <c r="G110" s="12" t="inlineStr">
        <is>
          <t>Houston HQ / East End, Harris County</t>
        </is>
      </c>
      <c r="H110" s="12" t="inlineStr">
        <is>
          <t>East River: 150 acres, 60 city blocks</t>
        </is>
      </c>
      <c r="I110" s="14" t="inlineStr">
        <is>
          <t>Partly</t>
        </is>
      </c>
      <c r="J110" s="15" t="inlineStr">
        <is>
          <t>East River is 60 city blocks on one site, phased over decades.</t>
        </is>
      </c>
      <c r="K110" s="14" t="inlineStr">
        <is>
          <t>No</t>
        </is>
      </c>
      <c r="L110" s="15" t="inlineStr">
        <is>
          <t>Sixty blocks of mixed-use. The buildings are one-offs, whatever the acreage.</t>
        </is>
      </c>
      <c r="M110" s="14" t="inlineStr">
        <is>
          <t>Partly</t>
        </is>
      </c>
      <c r="N110" s="15" t="inlineStr">
        <is>
          <t>District-scale design ambition, but no specific method precedent was found.</t>
        </is>
      </c>
      <c r="O110" s="14" t="inlineStr">
        <is>
          <t>No</t>
        </is>
      </c>
      <c r="P110" s="6" t="inlineStr">
        <is>
          <t>https://www.linkedin.com/in/robsigler/</t>
        </is>
      </c>
      <c r="Q110" s="12" t="inlineStr"/>
      <c r="R110" s="16">
        <f>IF(P110="","ADD LINKEDIN","ok")</f>
        <v/>
      </c>
      <c r="S110" s="12" t="inlineStr">
        <is>
          <t>https://www.midway.team/</t>
        </is>
      </c>
      <c r="T110" s="15" t="inlineStr">
        <is>
          <t>East River is 60 blocks on one site. No capital figure disclosed and the Parkway relationship is unresolved.</t>
        </is>
      </c>
      <c r="U110" s="15"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0" s="12" t="inlineStr">
        <is>
          <t>YES</t>
        </is>
      </c>
      <c r="W110" s="15" t="inlineStr">
        <is>
          <t>Profile opened. Company line reads Midway. Headline is Executive Vice President Construction, Investment &amp; Development, and his feed carries Midway and East River posts. He also shared Kirksey's mass-timber progress at San Jacinto College, CLT floor panels going in, which is a personal record of interest in an alternative structural system.</t>
        </is>
      </c>
      <c r="X110" s="12" t="inlineStr"/>
      <c r="Y110" s="12" t="inlineStr">
        <is>
          <t>https://www.linkedin.com/company/midway</t>
        </is>
      </c>
      <c r="Z110" s="12" t="inlineStr">
        <is>
          <t>https://www.midway.team/our-people</t>
        </is>
      </c>
    </row>
    <row r="111">
      <c r="A111" s="6" t="inlineStr">
        <is>
          <t>Anna Deans</t>
        </is>
      </c>
      <c r="B111" s="6" t="inlineStr">
        <is>
          <t>Midway</t>
        </is>
      </c>
      <c r="C111" s="6" t="inlineStr">
        <is>
          <t>Executive Vice President, Midway</t>
        </is>
      </c>
      <c r="D111" s="7" t="inlineStr">
        <is>
          <t>Creative project, hybrid job</t>
        </is>
      </c>
      <c r="E111" s="8" t="n">
        <v>2</v>
      </c>
      <c r="F111" s="6" t="inlineStr">
        <is>
          <t>Buys walls</t>
        </is>
      </c>
      <c r="G111" s="6" t="inlineStr">
        <is>
          <t>Houston HQ / East End, Harris County</t>
        </is>
      </c>
      <c r="H111" s="6" t="inlineStr">
        <is>
          <t>East River: 150 acres, 60 city blocks</t>
        </is>
      </c>
      <c r="I111" s="8" t="inlineStr">
        <is>
          <t>Partly</t>
        </is>
      </c>
      <c r="J111" s="9" t="inlineStr">
        <is>
          <t>East River is 60 city blocks on one site, phased over decades.</t>
        </is>
      </c>
      <c r="K111" s="8" t="inlineStr">
        <is>
          <t>No</t>
        </is>
      </c>
      <c r="L111" s="9" t="inlineStr">
        <is>
          <t>Sixty blocks of mixed-use. The buildings are one-offs, whatever the acreage.</t>
        </is>
      </c>
      <c r="M111" s="8" t="inlineStr">
        <is>
          <t>Partly</t>
        </is>
      </c>
      <c r="N111" s="9" t="inlineStr">
        <is>
          <t>District-scale design ambition, but no specific method precedent was found.</t>
        </is>
      </c>
      <c r="O111" s="8" t="inlineStr">
        <is>
          <t>No</t>
        </is>
      </c>
      <c r="P111" s="6" t="inlineStr">
        <is>
          <t>https://www.linkedin.com/in/anna-deans-bbbab03/</t>
        </is>
      </c>
      <c r="Q111" s="6" t="inlineStr"/>
      <c r="R111" s="11">
        <f>IF(P111="","ADD LINKEDIN","ok")</f>
        <v/>
      </c>
      <c r="S111" s="6" t="inlineStr">
        <is>
          <t>https://www.midway.team/</t>
        </is>
      </c>
      <c r="T111" s="9" t="inlineStr">
        <is>
          <t>East River is 60 blocks on one site. No capital figure disclosed and the Parkway relationship is unresolved.</t>
        </is>
      </c>
      <c r="U111" s="9" t="inlineStr">
        <is>
          <t>Midway combined with Parkway Property Investments in May 2023. Current brand and entity relationship unresolved. Confirm who holds development scope. | Midway About page returned 404. Leadership confirmed from secondary sources. | Parkway question resolved. Midway kept sole development control of East River and sold its interest in the Parkway Ventures joint venture to Parkway in December 2024. Bradley Freels is confirmed Chairman and Chief Executive Officer on Midway's own leadership page. Rob Sigler is Executive Vice President of Construction, Investment and Development, which is the title that decides a structural system here, and his own feed carries mass-timber construction from Kirksey. The method conversation at Midway has a named owner who has already shown interest in one alternative system. Larry Sloan, formerly EVP of investment and development, left in November 2023. He is now Chief Development Officer at Triten Real Estate Partners, also screened here, so the same person is reachable on the Triten card. | No capital or financing figure for East River. | No LinkedIn profile is held for Bradley Freels. Two live Bradley Freels profiles exist, a sales leader and a machine operator at Meijer in Dayton. Neither is Midway's chairman. He has no findable public profile.</t>
        </is>
      </c>
      <c r="V111" s="6" t="inlineStr"/>
      <c r="W111" s="9" t="inlineStr">
        <is>
          <t>Executive Vice President, Midway. Houston, Texas.</t>
        </is>
      </c>
      <c r="X111" s="6" t="inlineStr"/>
      <c r="Y111" s="6" t="inlineStr">
        <is>
          <t>https://www.linkedin.com/company/midway</t>
        </is>
      </c>
      <c r="Z111" s="6" t="inlineStr">
        <is>
          <t>https://www.midway.team/our-people</t>
        </is>
      </c>
    </row>
    <row r="112">
      <c r="A112" s="12" t="inlineStr">
        <is>
          <t>Paul Coonrod</t>
        </is>
      </c>
      <c r="B112" s="12" t="inlineStr">
        <is>
          <t>Pagewood</t>
        </is>
      </c>
      <c r="C112" s="12" t="inlineStr">
        <is>
          <t>Founder and Managing Principal</t>
        </is>
      </c>
      <c r="D112" s="13" t="inlineStr">
        <is>
          <t>Creative project, hybrid job</t>
        </is>
      </c>
      <c r="E112" s="14" t="n">
        <v>1</v>
      </c>
      <c r="F112" s="12" t="inlineStr">
        <is>
          <t>Buys walls</t>
        </is>
      </c>
      <c r="G112" s="12" t="inlineStr">
        <is>
          <t>Houston</t>
        </is>
      </c>
      <c r="H112" s="12" t="inlineStr">
        <is>
          <t>East Blocks, 513,000 sf across ten EaDo blocks</t>
        </is>
      </c>
      <c r="I112" s="14" t="inlineStr">
        <is>
          <t>Partly</t>
        </is>
      </c>
      <c r="J112" s="15" t="inlineStr">
        <is>
          <t>Ten blocks under one plan is concentration, but every building is its own problem.</t>
        </is>
      </c>
      <c r="K112" s="14" t="inlineStr">
        <is>
          <t>No</t>
        </is>
      </c>
      <c r="L112" s="15" t="inlineStr">
        <is>
          <t>The phase-one programme is retail, office and parking rather than repeated units.</t>
        </is>
      </c>
      <c r="M112" s="14" t="inlineStr">
        <is>
          <t>No</t>
        </is>
      </c>
      <c r="N112" s="15" t="inlineStr">
        <is>
          <t>It chose to keep eighty-year-old warehouses that would have been cheaper to demolish. The partner said so on the record.</t>
        </is>
      </c>
      <c r="O112" s="14" t="inlineStr">
        <is>
          <t>Partly</t>
        </is>
      </c>
      <c r="P112" s="10" t="inlineStr"/>
      <c r="Q112" s="12">
        <f>HYPERLINK("https://www.linkedin.com/search/results/people/?keywords=Paul%20Coonrod%20Pagewood","search")</f>
        <v/>
      </c>
      <c r="R112" s="16">
        <f>IF(P112="","ADD LINKEDIN","ok")</f>
        <v/>
      </c>
      <c r="S112" s="12" t="inlineStr">
        <is>
          <t>https://www.pagewood.com/</t>
        </is>
      </c>
      <c r="T112" s="15" t="inlineStr">
        <is>
          <t>Ten contiguous EaDo blocks, 513,000 square feet in phase one, Gensler on design and SWA on landscape. It builds ground-up industrial elsewhere, so it is not conversion-only.</t>
        </is>
      </c>
      <c r="U112"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2" s="12" t="inlineStr"/>
      <c r="W112" s="15" t="inlineStr">
        <is>
          <t>Team page: Founder and Managing Principal.</t>
        </is>
      </c>
      <c r="X112" s="12" t="inlineStr">
        <is>
          <t>https://www.pagewood.com/team</t>
        </is>
      </c>
      <c r="Y112" s="12" t="inlineStr"/>
      <c r="Z112" s="12" t="inlineStr"/>
    </row>
    <row r="113">
      <c r="A113" s="6" t="inlineStr">
        <is>
          <t>Mat Volz</t>
        </is>
      </c>
      <c r="B113" s="6" t="inlineStr">
        <is>
          <t>Pagewood</t>
        </is>
      </c>
      <c r="C113" s="6" t="inlineStr">
        <is>
          <t>Managing Principal</t>
        </is>
      </c>
      <c r="D113" s="7" t="inlineStr">
        <is>
          <t>Creative project, hybrid job</t>
        </is>
      </c>
      <c r="E113" s="8" t="n">
        <v>1</v>
      </c>
      <c r="F113" s="6" t="inlineStr">
        <is>
          <t>Buys walls</t>
        </is>
      </c>
      <c r="G113" s="6" t="inlineStr">
        <is>
          <t>Houston</t>
        </is>
      </c>
      <c r="H113" s="6" t="inlineStr">
        <is>
          <t>East Blocks, 513,000 sf across ten EaDo blocks</t>
        </is>
      </c>
      <c r="I113" s="8" t="inlineStr">
        <is>
          <t>Partly</t>
        </is>
      </c>
      <c r="J113" s="9" t="inlineStr">
        <is>
          <t>Ten blocks under one plan is concentration, but every building is its own problem.</t>
        </is>
      </c>
      <c r="K113" s="8" t="inlineStr">
        <is>
          <t>No</t>
        </is>
      </c>
      <c r="L113" s="9" t="inlineStr">
        <is>
          <t>The phase-one programme is retail, office and parking rather than repeated units.</t>
        </is>
      </c>
      <c r="M113" s="8" t="inlineStr">
        <is>
          <t>No</t>
        </is>
      </c>
      <c r="N113" s="9" t="inlineStr">
        <is>
          <t>It chose to keep eighty-year-old warehouses that would have been cheaper to demolish. The partner said so on the record.</t>
        </is>
      </c>
      <c r="O113" s="8" t="inlineStr">
        <is>
          <t>Partly</t>
        </is>
      </c>
      <c r="P113" s="6" t="inlineStr">
        <is>
          <t>https://www.linkedin.com/in/mathew-volz-14684850/</t>
        </is>
      </c>
      <c r="Q113" s="6" t="inlineStr"/>
      <c r="R113" s="11">
        <f>IF(P113="","ADD LINKEDIN","ok")</f>
        <v/>
      </c>
      <c r="S113" s="6" t="inlineStr">
        <is>
          <t>https://www.pagewood.com/</t>
        </is>
      </c>
      <c r="T113" s="9" t="inlineStr">
        <is>
          <t>Ten contiguous EaDo blocks, 513,000 square feet in phase one, Gensler on design and SWA on landscape. It builds ground-up industrial elsewhere, so it is not conversion-only.</t>
        </is>
      </c>
      <c r="U113" s="9"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3" s="6" t="inlineStr"/>
      <c r="W113" s="9" t="inlineStr">
        <is>
          <t>Indexed title reads Mathew Volz, Managing Principal at Pagewood. The firm's team page spells the name Mat. Team page: Managing Principal.</t>
        </is>
      </c>
      <c r="X113" s="6" t="inlineStr">
        <is>
          <t>https://www.pagewood.com/team</t>
        </is>
      </c>
      <c r="Y113" s="6" t="inlineStr"/>
      <c r="Z113" s="6" t="inlineStr"/>
    </row>
    <row r="114">
      <c r="A114" s="12" t="inlineStr">
        <is>
          <t>Preston Luster</t>
        </is>
      </c>
      <c r="B114" s="12" t="inlineStr">
        <is>
          <t>Pagewood</t>
        </is>
      </c>
      <c r="C114" s="12" t="inlineStr">
        <is>
          <t>Senior Construction Manager</t>
        </is>
      </c>
      <c r="D114" s="13" t="inlineStr">
        <is>
          <t>Creative project, hybrid job</t>
        </is>
      </c>
      <c r="E114" s="14" t="n">
        <v>1</v>
      </c>
      <c r="F114" s="12" t="inlineStr">
        <is>
          <t>Buys walls</t>
        </is>
      </c>
      <c r="G114" s="12" t="inlineStr">
        <is>
          <t>Houston</t>
        </is>
      </c>
      <c r="H114" s="12" t="inlineStr">
        <is>
          <t>East Blocks, 513,000 sf across ten EaDo blocks</t>
        </is>
      </c>
      <c r="I114" s="14" t="inlineStr">
        <is>
          <t>Partly</t>
        </is>
      </c>
      <c r="J114" s="15" t="inlineStr">
        <is>
          <t>Ten blocks under one plan is concentration, but every building is its own problem.</t>
        </is>
      </c>
      <c r="K114" s="14" t="inlineStr">
        <is>
          <t>No</t>
        </is>
      </c>
      <c r="L114" s="15" t="inlineStr">
        <is>
          <t>The phase-one programme is retail, office and parking rather than repeated units.</t>
        </is>
      </c>
      <c r="M114" s="14" t="inlineStr">
        <is>
          <t>No</t>
        </is>
      </c>
      <c r="N114" s="15" t="inlineStr">
        <is>
          <t>It chose to keep eighty-year-old warehouses that would have been cheaper to demolish. The partner said so on the record.</t>
        </is>
      </c>
      <c r="O114" s="14" t="inlineStr">
        <is>
          <t>Partly</t>
        </is>
      </c>
      <c r="P114" s="10" t="inlineStr"/>
      <c r="Q114" s="12">
        <f>HYPERLINK("https://www.linkedin.com/search/results/people/?keywords=Preston%20Luster%20Pagewood","search")</f>
        <v/>
      </c>
      <c r="R114" s="16">
        <f>IF(P114="","ADD LINKEDIN","ok")</f>
        <v/>
      </c>
      <c r="S114" s="12" t="inlineStr">
        <is>
          <t>https://www.pagewood.com/</t>
        </is>
      </c>
      <c r="T114" s="15" t="inlineStr">
        <is>
          <t>Ten contiguous EaDo blocks, 513,000 square feet in phase one, Gensler on design and SWA on landscape. It builds ground-up industrial elsewhere, so it is not conversion-only.</t>
        </is>
      </c>
      <c r="U114" s="15" t="inlineStr">
        <is>
          <t>The creative work is a joint venture with Wile Interests, so both firms have to agree. The industrial side of Pagewood builds ground-up on its own. | Preston Luster is the senior construction manager on the team page. No vice president of construction is published; the two managing principals are the decision layer.</t>
        </is>
      </c>
      <c r="V114" s="12" t="inlineStr"/>
      <c r="W114" s="15" t="inlineStr">
        <is>
          <t>Team page: Senior Construction Manager.</t>
        </is>
      </c>
      <c r="X114" s="12" t="inlineStr">
        <is>
          <t>https://www.pagewood.com/team</t>
        </is>
      </c>
      <c r="Y114" s="12" t="inlineStr"/>
      <c r="Z114" s="12" t="inlineStr"/>
    </row>
    <row r="115">
      <c r="A115" s="6" t="inlineStr">
        <is>
          <t>David Kelley</t>
        </is>
      </c>
      <c r="B115" s="6" t="inlineStr">
        <is>
          <t>Concept Neighborhood</t>
        </is>
      </c>
      <c r="C115" s="6" t="inlineStr">
        <is>
          <t>Managing Partner, Projects and Finance</t>
        </is>
      </c>
      <c r="D115" s="7" t="inlineStr">
        <is>
          <t>Creative project, hybrid job</t>
        </is>
      </c>
      <c r="E115" s="8" t="n">
        <v>1</v>
      </c>
      <c r="F115" s="6" t="inlineStr">
        <is>
          <t>Buys walls</t>
        </is>
      </c>
      <c r="G115" s="6" t="inlineStr">
        <is>
          <t>East End, Harris</t>
        </is>
      </c>
      <c r="H115" s="6" t="inlineStr">
        <is>
          <t>17 acres at The Plant, Second Ward</t>
        </is>
      </c>
      <c r="I115" s="8" t="inlineStr">
        <is>
          <t>No</t>
        </is>
      </c>
      <c r="J115" s="9" t="inlineStr">
        <is>
          <t>Four blocks of eighty-year-old industrial buildings, each one different. There is no plan to repeat.</t>
        </is>
      </c>
      <c r="K115" s="8" t="inlineStr">
        <is>
          <t>No</t>
        </is>
      </c>
      <c r="L115" s="9" t="inlineStr">
        <is>
          <t>Conversion work leaves little new wall. A printed element would have to be an addition rather than the building.</t>
        </is>
      </c>
      <c r="M115" s="8" t="inlineStr">
        <is>
          <t>Partly</t>
        </is>
      </c>
      <c r="N115" s="9" t="inlineStr">
        <is>
          <t>They restored an 1890s building to open Axelrad and took a National Register industrial basilica on at The Factory. This is a team that chooses the harder build on purpose.</t>
        </is>
      </c>
      <c r="O115" s="8" t="inlineStr">
        <is>
          <t>No</t>
        </is>
      </c>
      <c r="P115" s="6" t="inlineStr">
        <is>
          <t>https://www.linkedin.com/in/david-kelley-275240105/</t>
        </is>
      </c>
      <c r="Q115" s="6" t="inlineStr"/>
      <c r="R115" s="11">
        <f>IF(P115="","ADD LINKEDIN","ok")</f>
        <v/>
      </c>
      <c r="S115" s="6" t="inlineStr">
        <is>
          <t>https://www.conceptneighborhood.com/</t>
        </is>
      </c>
      <c r="T115" s="9" t="inlineStr">
        <is>
          <t>The only firm screened whose founders operate hospitality themselves rather than leasing to operators. Seventeen acres of industrial conversion in the East End.</t>
        </is>
      </c>
      <c r="U115" s="9" t="inlineStr">
        <is>
          <t>No outside architect is credited on any project. Design sits with a partner in house, which means a method conversation goes straight to a decision-maker rather than through a consultant.</t>
        </is>
      </c>
      <c r="V115" s="6" t="inlineStr"/>
      <c r="W115" s="9" t="inlineStr">
        <is>
          <t>Linked from conceptneighborhood.com/team, which lists him as Managing Partner, Projects and Finance. Team page: Managing Partner, Projects and Finance.</t>
        </is>
      </c>
      <c r="X115" s="6" t="inlineStr">
        <is>
          <t>https://www.conceptneighborhood.com/team</t>
        </is>
      </c>
      <c r="Y115" s="6" t="inlineStr"/>
      <c r="Z115" s="6" t="inlineStr"/>
    </row>
    <row r="116">
      <c r="A116" s="12" t="inlineStr">
        <is>
          <t>Jeffrey Kaplan</t>
        </is>
      </c>
      <c r="B116" s="12" t="inlineStr">
        <is>
          <t>Concept Neighborhood</t>
        </is>
      </c>
      <c r="C116" s="12" t="inlineStr">
        <is>
          <t>Managing Partner, Brokerage and Placemaking, co-founder of Axelrad</t>
        </is>
      </c>
      <c r="D116" s="13" t="inlineStr">
        <is>
          <t>Creative project, hybrid job</t>
        </is>
      </c>
      <c r="E116" s="14" t="n">
        <v>1</v>
      </c>
      <c r="F116" s="12" t="inlineStr">
        <is>
          <t>Buys walls</t>
        </is>
      </c>
      <c r="G116" s="12" t="inlineStr">
        <is>
          <t>East End, Harris</t>
        </is>
      </c>
      <c r="H116" s="12" t="inlineStr">
        <is>
          <t>17 acres at The Plant, Second Ward</t>
        </is>
      </c>
      <c r="I116" s="14" t="inlineStr">
        <is>
          <t>No</t>
        </is>
      </c>
      <c r="J116" s="15" t="inlineStr">
        <is>
          <t>Four blocks of eighty-year-old industrial buildings, each one different. There is no plan to repeat.</t>
        </is>
      </c>
      <c r="K116" s="14" t="inlineStr">
        <is>
          <t>No</t>
        </is>
      </c>
      <c r="L116" s="15" t="inlineStr">
        <is>
          <t>Conversion work leaves little new wall. A printed element would have to be an addition rather than the building.</t>
        </is>
      </c>
      <c r="M116" s="14" t="inlineStr">
        <is>
          <t>Partly</t>
        </is>
      </c>
      <c r="N116" s="15" t="inlineStr">
        <is>
          <t>They restored an 1890s building to open Axelrad and took a National Register industrial basilica on at The Factory. This is a team that chooses the harder build on purpose.</t>
        </is>
      </c>
      <c r="O116" s="14" t="inlineStr">
        <is>
          <t>No</t>
        </is>
      </c>
      <c r="P116" s="6" t="inlineStr">
        <is>
          <t>https://www.linkedin.com/in/jeffrey-kaplan-71190150/</t>
        </is>
      </c>
      <c r="Q116" s="12" t="inlineStr"/>
      <c r="R116" s="16">
        <f>IF(P116="","ADD LINKEDIN","ok")</f>
        <v/>
      </c>
      <c r="S116" s="12" t="inlineStr">
        <is>
          <t>https://www.conceptneighborhood.com/</t>
        </is>
      </c>
      <c r="T116" s="15" t="inlineStr">
        <is>
          <t>The only firm screened whose founders operate hospitality themselves rather than leasing to operators. Seventeen acres of industrial conversion in the East End.</t>
        </is>
      </c>
      <c r="U116" s="15" t="inlineStr">
        <is>
          <t>No outside architect is credited on any project. Design sits with a partner in house, which means a method conversation goes straight to a decision-maker rather than through a consultant.</t>
        </is>
      </c>
      <c r="V116" s="12" t="inlineStr"/>
      <c r="W116" s="15" t="inlineStr">
        <is>
          <t>Linked from conceptneighborhood.com/team, which lists him as Managing Partner, Brokerage and Placemaking. Team page: Managing Partner, Brokerage and Placemaking.</t>
        </is>
      </c>
      <c r="X116" s="12" t="inlineStr">
        <is>
          <t>https://www.conceptneighborhood.com/team</t>
        </is>
      </c>
      <c r="Y116" s="12" t="inlineStr"/>
      <c r="Z116" s="12" t="inlineStr"/>
    </row>
    <row r="117">
      <c r="A117" s="6" t="inlineStr">
        <is>
          <t>Monte Large</t>
        </is>
      </c>
      <c r="B117" s="6" t="inlineStr">
        <is>
          <t>Concept Neighborhood</t>
        </is>
      </c>
      <c r="C117" s="6" t="inlineStr">
        <is>
          <t>Partner, Design and Placemaking</t>
        </is>
      </c>
      <c r="D117" s="7" t="inlineStr">
        <is>
          <t>Creative project, hybrid job</t>
        </is>
      </c>
      <c r="E117" s="8" t="n">
        <v>1</v>
      </c>
      <c r="F117" s="6" t="inlineStr">
        <is>
          <t>Buys walls</t>
        </is>
      </c>
      <c r="G117" s="6" t="inlineStr">
        <is>
          <t>East End, Harris</t>
        </is>
      </c>
      <c r="H117" s="6" t="inlineStr">
        <is>
          <t>17 acres at The Plant, Second Ward</t>
        </is>
      </c>
      <c r="I117" s="8" t="inlineStr">
        <is>
          <t>No</t>
        </is>
      </c>
      <c r="J117" s="9" t="inlineStr">
        <is>
          <t>Four blocks of eighty-year-old industrial buildings, each one different. There is no plan to repeat.</t>
        </is>
      </c>
      <c r="K117" s="8" t="inlineStr">
        <is>
          <t>No</t>
        </is>
      </c>
      <c r="L117" s="9" t="inlineStr">
        <is>
          <t>Conversion work leaves little new wall. A printed element would have to be an addition rather than the building.</t>
        </is>
      </c>
      <c r="M117" s="8" t="inlineStr">
        <is>
          <t>Partly</t>
        </is>
      </c>
      <c r="N117" s="9" t="inlineStr">
        <is>
          <t>They restored an 1890s building to open Axelrad and took a National Register industrial basilica on at The Factory. This is a team that chooses the harder build on purpose.</t>
        </is>
      </c>
      <c r="O117" s="8" t="inlineStr">
        <is>
          <t>No</t>
        </is>
      </c>
      <c r="P117" s="6" t="inlineStr">
        <is>
          <t>https://www.linkedin.com/in/montelarge/</t>
        </is>
      </c>
      <c r="Q117" s="6" t="inlineStr"/>
      <c r="R117" s="11">
        <f>IF(P117="","ADD LINKEDIN","ok")</f>
        <v/>
      </c>
      <c r="S117" s="6" t="inlineStr">
        <is>
          <t>https://www.conceptneighborhood.com/</t>
        </is>
      </c>
      <c r="T117" s="9" t="inlineStr">
        <is>
          <t>The only firm screened whose founders operate hospitality themselves rather than leasing to operators. Seventeen acres of industrial conversion in the East End.</t>
        </is>
      </c>
      <c r="U117" s="9" t="inlineStr">
        <is>
          <t>No outside architect is credited on any project. Design sits with a partner in house, which means a method conversation goes straight to a decision-maker rather than through a consultant.</t>
        </is>
      </c>
      <c r="V117" s="6" t="inlineStr"/>
      <c r="W117" s="9" t="inlineStr">
        <is>
          <t>Linked from conceptneighborhood.com/team, which lists him as Partner, Design and Placemaking. Team page: Partner, Design and Placemaking.</t>
        </is>
      </c>
      <c r="X117" s="6" t="inlineStr">
        <is>
          <t>https://www.conceptneighborhood.com/team</t>
        </is>
      </c>
      <c r="Y117" s="6" t="inlineStr"/>
      <c r="Z117" s="6" t="inlineStr"/>
    </row>
    <row r="118">
      <c r="A118" s="12" t="inlineStr">
        <is>
          <t>Jeremy Roberts</t>
        </is>
      </c>
      <c r="B118" s="12" t="inlineStr">
        <is>
          <t>Concept Neighborhood</t>
        </is>
      </c>
      <c r="C118" s="12" t="inlineStr">
        <is>
          <t>Managing Partner, Projects and Legal</t>
        </is>
      </c>
      <c r="D118" s="13" t="inlineStr">
        <is>
          <t>Creative project, hybrid job</t>
        </is>
      </c>
      <c r="E118" s="14" t="n">
        <v>1</v>
      </c>
      <c r="F118" s="12" t="inlineStr">
        <is>
          <t>Buys walls</t>
        </is>
      </c>
      <c r="G118" s="12" t="inlineStr">
        <is>
          <t>East End, Harris</t>
        </is>
      </c>
      <c r="H118" s="12" t="inlineStr">
        <is>
          <t>17 acres at The Plant, Second Ward</t>
        </is>
      </c>
      <c r="I118" s="14" t="inlineStr">
        <is>
          <t>No</t>
        </is>
      </c>
      <c r="J118" s="15" t="inlineStr">
        <is>
          <t>Four blocks of eighty-year-old industrial buildings, each one different. There is no plan to repeat.</t>
        </is>
      </c>
      <c r="K118" s="14" t="inlineStr">
        <is>
          <t>No</t>
        </is>
      </c>
      <c r="L118" s="15" t="inlineStr">
        <is>
          <t>Conversion work leaves little new wall. A printed element would have to be an addition rather than the building.</t>
        </is>
      </c>
      <c r="M118" s="14" t="inlineStr">
        <is>
          <t>Partly</t>
        </is>
      </c>
      <c r="N118" s="15" t="inlineStr">
        <is>
          <t>They restored an 1890s building to open Axelrad and took a National Register industrial basilica on at The Factory. This is a team that chooses the harder build on purpose.</t>
        </is>
      </c>
      <c r="O118" s="14" t="inlineStr">
        <is>
          <t>No</t>
        </is>
      </c>
      <c r="P118" s="6" t="inlineStr">
        <is>
          <t>https://www.linkedin.com/in/jeremyaaronroberts/</t>
        </is>
      </c>
      <c r="Q118" s="12" t="inlineStr"/>
      <c r="R118" s="16">
        <f>IF(P118="","ADD LINKEDIN","ok")</f>
        <v/>
      </c>
      <c r="S118" s="12" t="inlineStr">
        <is>
          <t>https://www.conceptneighborhood.com/</t>
        </is>
      </c>
      <c r="T118" s="15" t="inlineStr">
        <is>
          <t>The only firm screened whose founders operate hospitality themselves rather than leasing to operators. Seventeen acres of industrial conversion in the East End.</t>
        </is>
      </c>
      <c r="U118" s="15" t="inlineStr">
        <is>
          <t>No outside architect is credited on any project. Design sits with a partner in house, which means a method conversation goes straight to a decision-maker rather than through a consultant.</t>
        </is>
      </c>
      <c r="V118" s="12" t="inlineStr"/>
      <c r="W118" s="15" t="inlineStr">
        <is>
          <t>Linked from conceptneighborhood.com/team, which lists him as Managing Partner, Projects and Legal. Team page: Managing Partner, Projects and Legal.</t>
        </is>
      </c>
      <c r="X118" s="12" t="inlineStr">
        <is>
          <t>https://www.conceptneighborhood.com/team</t>
        </is>
      </c>
      <c r="Y118" s="12" t="inlineStr"/>
      <c r="Z118" s="12" t="inlineStr"/>
    </row>
    <row r="119">
      <c r="A119" s="6" t="inlineStr">
        <is>
          <t>Randolph Wile</t>
        </is>
      </c>
      <c r="B119" s="6" t="inlineStr">
        <is>
          <t>Wile Interests</t>
        </is>
      </c>
      <c r="C119" s="6" t="inlineStr">
        <is>
          <t>Founder and President</t>
        </is>
      </c>
      <c r="D119" s="7" t="inlineStr">
        <is>
          <t>Creative project, hybrid job</t>
        </is>
      </c>
      <c r="E119" s="8" t="n">
        <v>1</v>
      </c>
      <c r="F119" s="6" t="inlineStr">
        <is>
          <t>Buys walls</t>
        </is>
      </c>
      <c r="G119" s="6" t="inlineStr">
        <is>
          <t>Houston and Katy</t>
        </is>
      </c>
      <c r="H119" s="6" t="inlineStr">
        <is>
          <t>Ground-up in Katy, adaptive reuse in EaDo</t>
        </is>
      </c>
      <c r="I119" s="8" t="inlineStr">
        <is>
          <t>Partly</t>
        </is>
      </c>
      <c r="J119" s="9" t="inlineStr">
        <is>
          <t>Two quite different programmes in two submarkets. No repeated unit.</t>
        </is>
      </c>
      <c r="K119" s="8" t="inlineStr">
        <is>
          <t>No</t>
        </is>
      </c>
      <c r="L119" s="9" t="inlineStr">
        <is>
          <t>Medical office and retail shells rather than houses.</t>
        </is>
      </c>
      <c r="M119" s="8" t="inlineStr">
        <is>
          <t>No</t>
        </is>
      </c>
      <c r="N119" s="9" t="inlineStr">
        <is>
          <t>Its president is the one quoted explaining why the firm kept the old warehouses instead of clearing the site.</t>
        </is>
      </c>
      <c r="O119" s="8" t="inlineStr">
        <is>
          <t>No</t>
        </is>
      </c>
      <c r="P119" s="6" t="inlineStr">
        <is>
          <t>https://www.linkedin.com/in/randolph-wile/</t>
        </is>
      </c>
      <c r="Q119" s="6" t="inlineStr"/>
      <c r="R119" s="11">
        <f>IF(P119="","ADD LINKEDIN","ok")</f>
        <v/>
      </c>
      <c r="S119" s="6" t="inlineStr">
        <is>
          <t>https://www.pagewood.com/</t>
        </is>
      </c>
      <c r="T119" s="9" t="inlineStr">
        <is>
          <t>Ground-up medical and retail in Katy, conversion in EaDo.</t>
        </is>
      </c>
      <c r="U119" s="9" t="inlineStr">
        <is>
          <t>The firm's own website is a placeholder with no content, so everything here comes from press. Reach the firm through the Pagewood relationship.</t>
        </is>
      </c>
      <c r="V119" s="6" t="inlineStr"/>
      <c r="W119" s="9" t="inlineStr">
        <is>
          <t>Indexed title reads Randolph Wile, Wile Interests, Inc. The Real Deal, November 2023, quotes Wile Interests president Randolph Wile.</t>
        </is>
      </c>
      <c r="X119" s="6" t="inlineStr">
        <is>
          <t>https://therealdeal.com/texas/houston/2023/11/13/pagewood-wile-to-convert-eado-houston-warehouses/</t>
        </is>
      </c>
      <c r="Y119" s="6" t="inlineStr"/>
      <c r="Z119" s="6" t="inlineStr"/>
    </row>
    <row r="120">
      <c r="A120" s="12" t="inlineStr">
        <is>
          <t>Eric Lipar</t>
        </is>
      </c>
      <c r="B120" s="12" t="inlineStr">
        <is>
          <t>LGI Homes, Inc.</t>
        </is>
      </c>
      <c r="C120" s="12" t="inlineStr">
        <is>
          <t>Chief Executive Officer and Chairman of the Board</t>
        </is>
      </c>
      <c r="D120" s="13" t="inlineStr">
        <is>
          <t>National scale, pilot not purchase</t>
        </is>
      </c>
      <c r="E120" s="14" t="n">
        <v>1</v>
      </c>
      <c r="F120" s="12" t="inlineStr">
        <is>
          <t>Buys walls</t>
        </is>
      </c>
      <c r="G120" s="12" t="inlineStr">
        <is>
          <t>The Woodlands HQ, Montgomery County</t>
        </is>
      </c>
      <c r="H120" s="12" t="inlineStr">
        <is>
          <t>185+ communities, Houston-area HQ</t>
        </is>
      </c>
      <c r="I120" s="14" t="inlineStr">
        <is>
          <t>Yes</t>
        </is>
      </c>
      <c r="J120" s="15" t="inlineStr">
        <is>
          <t>More than 185 communities, entry-level product, head office in the metro.</t>
        </is>
      </c>
      <c r="K120" s="14" t="inlineStr">
        <is>
          <t>No</t>
        </is>
      </c>
      <c r="L120" s="15" t="inlineStr">
        <is>
          <t>Thousands of closings a year across a dozen states, bought from one office.</t>
        </is>
      </c>
      <c r="M120" s="14" t="inlineStr">
        <is>
          <t>No</t>
        </is>
      </c>
      <c r="N120" s="15" t="inlineStr">
        <is>
          <t>Its Q2 2026 earnings call mentions method, labour and cycle time zero times.</t>
        </is>
      </c>
      <c r="O120" s="14" t="inlineStr">
        <is>
          <t>Yes</t>
        </is>
      </c>
      <c r="P120" s="10" t="inlineStr"/>
      <c r="Q120" s="12">
        <f>HYPERLINK("https://www.linkedin.com/search/results/people/?keywords=Eric%20Lipar%20LGI%20Homes%2C%20Inc.","search")</f>
        <v/>
      </c>
      <c r="R120" s="16">
        <f>IF(P120="","ADD LINKEDIN","ok")</f>
        <v/>
      </c>
      <c r="S120" s="12" t="inlineStr">
        <is>
          <t>https://www.lgihomes.com/</t>
        </is>
      </c>
      <c r="T120" s="15" t="inlineStr">
        <is>
          <t>The most standardised product here, headquartered in the metro. Its Q2 2026 call mentions method, labour and cycle time zero times.</t>
        </is>
      </c>
      <c r="U120"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0" s="12" t="inlineStr"/>
      <c r="W120" s="15" t="inlineStr">
        <is>
          <t>Chief Executive Officer and Chairman on LGI's own management page.</t>
        </is>
      </c>
      <c r="X120" s="12" t="inlineStr">
        <is>
          <t>https://investor.lgihomes.com/corporate-governance/management</t>
        </is>
      </c>
      <c r="Y120" s="12" t="inlineStr">
        <is>
          <t>https://www.linkedin.com/company/lgi-homes</t>
        </is>
      </c>
      <c r="Z120" s="12" t="inlineStr">
        <is>
          <t>https://investor.lgihomes.com/corporate-governance/management</t>
        </is>
      </c>
    </row>
    <row r="121">
      <c r="A121" s="6" t="inlineStr">
        <is>
          <t>Mike Snider</t>
        </is>
      </c>
      <c r="B121" s="6" t="inlineStr">
        <is>
          <t>LGI Homes, Inc.</t>
        </is>
      </c>
      <c r="C121" s="6" t="inlineStr">
        <is>
          <t>President and Chief Operating Officer</t>
        </is>
      </c>
      <c r="D121" s="7" t="inlineStr">
        <is>
          <t>National scale, pilot not purchase</t>
        </is>
      </c>
      <c r="E121" s="8" t="n">
        <v>1</v>
      </c>
      <c r="F121" s="6" t="inlineStr">
        <is>
          <t>Buys walls</t>
        </is>
      </c>
      <c r="G121" s="6" t="inlineStr">
        <is>
          <t>The Woodlands HQ, Montgomery County</t>
        </is>
      </c>
      <c r="H121" s="6" t="inlineStr">
        <is>
          <t>185+ communities, Houston-area HQ</t>
        </is>
      </c>
      <c r="I121" s="8" t="inlineStr">
        <is>
          <t>Yes</t>
        </is>
      </c>
      <c r="J121" s="9" t="inlineStr">
        <is>
          <t>More than 185 communities, entry-level product, head office in the metro.</t>
        </is>
      </c>
      <c r="K121" s="8" t="inlineStr">
        <is>
          <t>No</t>
        </is>
      </c>
      <c r="L121" s="9" t="inlineStr">
        <is>
          <t>Thousands of closings a year across a dozen states, bought from one office.</t>
        </is>
      </c>
      <c r="M121" s="8" t="inlineStr">
        <is>
          <t>No</t>
        </is>
      </c>
      <c r="N121" s="9" t="inlineStr">
        <is>
          <t>Its Q2 2026 earnings call mentions method, labour and cycle time zero times.</t>
        </is>
      </c>
      <c r="O121" s="8" t="inlineStr">
        <is>
          <t>Yes</t>
        </is>
      </c>
      <c r="P121" s="10" t="inlineStr"/>
      <c r="Q121" s="6">
        <f>HYPERLINK("https://www.linkedin.com/search/results/people/?keywords=Mike%20Snider%20LGI%20Homes%2C%20Inc.","search")</f>
        <v/>
      </c>
      <c r="R121" s="11">
        <f>IF(P121="","ADD LINKEDIN","ok")</f>
        <v/>
      </c>
      <c r="S121" s="6" t="inlineStr">
        <is>
          <t>https://www.lgihomes.com/</t>
        </is>
      </c>
      <c r="T121" s="9" t="inlineStr">
        <is>
          <t>The most standardised product here, headquartered in the metro. Its Q2 2026 call mentions method, labour and cycle time zero times.</t>
        </is>
      </c>
      <c r="U121"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1" s="6" t="inlineStr"/>
      <c r="W121" s="9" t="inlineStr">
        <is>
          <t>President and Chief Operating Officer on LGI's own management page.</t>
        </is>
      </c>
      <c r="X121" s="6" t="inlineStr">
        <is>
          <t>https://investor.lgihomes.com/corporate-governance/management</t>
        </is>
      </c>
      <c r="Y121" s="6" t="inlineStr">
        <is>
          <t>https://www.linkedin.com/company/lgi-homes</t>
        </is>
      </c>
      <c r="Z121" s="6" t="inlineStr">
        <is>
          <t>https://investor.lgihomes.com/corporate-governance/management</t>
        </is>
      </c>
    </row>
    <row r="122">
      <c r="A122" s="12" t="inlineStr">
        <is>
          <t>Charles Merdian</t>
        </is>
      </c>
      <c r="B122" s="12" t="inlineStr">
        <is>
          <t>LGI Homes, Inc.</t>
        </is>
      </c>
      <c r="C122" s="12" t="inlineStr">
        <is>
          <t>Chief Financial Officer and Treasurer</t>
        </is>
      </c>
      <c r="D122" s="13" t="inlineStr">
        <is>
          <t>National scale, pilot not purchase</t>
        </is>
      </c>
      <c r="E122" s="14" t="n">
        <v>1</v>
      </c>
      <c r="F122" s="12" t="inlineStr">
        <is>
          <t>Buys walls</t>
        </is>
      </c>
      <c r="G122" s="12" t="inlineStr">
        <is>
          <t>The Woodlands HQ, Montgomery County</t>
        </is>
      </c>
      <c r="H122" s="12" t="inlineStr">
        <is>
          <t>185+ communities, Houston-area HQ</t>
        </is>
      </c>
      <c r="I122" s="14" t="inlineStr">
        <is>
          <t>Yes</t>
        </is>
      </c>
      <c r="J122" s="15" t="inlineStr">
        <is>
          <t>More than 185 communities, entry-level product, head office in the metro.</t>
        </is>
      </c>
      <c r="K122" s="14" t="inlineStr">
        <is>
          <t>No</t>
        </is>
      </c>
      <c r="L122" s="15" t="inlineStr">
        <is>
          <t>Thousands of closings a year across a dozen states, bought from one office.</t>
        </is>
      </c>
      <c r="M122" s="14" t="inlineStr">
        <is>
          <t>No</t>
        </is>
      </c>
      <c r="N122" s="15" t="inlineStr">
        <is>
          <t>Its Q2 2026 earnings call mentions method, labour and cycle time zero times.</t>
        </is>
      </c>
      <c r="O122" s="14" t="inlineStr">
        <is>
          <t>Yes</t>
        </is>
      </c>
      <c r="P122" s="10" t="inlineStr"/>
      <c r="Q122" s="12">
        <f>HYPERLINK("https://www.linkedin.com/search/results/people/?keywords=Charles%20Merdian%20LGI%20Homes%2C%20Inc.","search")</f>
        <v/>
      </c>
      <c r="R122" s="16">
        <f>IF(P122="","ADD LINKEDIN","ok")</f>
        <v/>
      </c>
      <c r="S122" s="12" t="inlineStr">
        <is>
          <t>https://www.lgihomes.com/</t>
        </is>
      </c>
      <c r="T122" s="15" t="inlineStr">
        <is>
          <t>The most standardised product here, headquartered in the metro. Its Q2 2026 call mentions method, labour and cycle time zero times.</t>
        </is>
      </c>
      <c r="U122"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2" s="12" t="inlineStr"/>
      <c r="W122" s="15" t="inlineStr">
        <is>
          <t>Chief Financial Officer and Treasurer on LGI's own management page.</t>
        </is>
      </c>
      <c r="X122" s="12" t="inlineStr">
        <is>
          <t>https://investor.lgihomes.com/corporate-governance/management</t>
        </is>
      </c>
      <c r="Y122" s="12" t="inlineStr">
        <is>
          <t>https://www.linkedin.com/company/lgi-homes</t>
        </is>
      </c>
      <c r="Z122" s="12" t="inlineStr">
        <is>
          <t>https://investor.lgihomes.com/corporate-governance/management</t>
        </is>
      </c>
    </row>
    <row r="123">
      <c r="A123" s="6" t="inlineStr">
        <is>
          <t>Chuck Collier</t>
        </is>
      </c>
      <c r="B123" s="6" t="inlineStr">
        <is>
          <t>LGI Homes, Inc.</t>
        </is>
      </c>
      <c r="C123" s="6" t="inlineStr">
        <is>
          <t>Vice President of Construction, Houston, LGI Homes</t>
        </is>
      </c>
      <c r="D123" s="7" t="inlineStr">
        <is>
          <t>National scale, pilot not purchase</t>
        </is>
      </c>
      <c r="E123" s="8" t="n">
        <v>1</v>
      </c>
      <c r="F123" s="6" t="inlineStr">
        <is>
          <t>Buys walls</t>
        </is>
      </c>
      <c r="G123" s="6" t="inlineStr">
        <is>
          <t>The Woodlands HQ, Montgomery County</t>
        </is>
      </c>
      <c r="H123" s="6" t="inlineStr">
        <is>
          <t>185+ communities, Houston-area HQ</t>
        </is>
      </c>
      <c r="I123" s="8" t="inlineStr">
        <is>
          <t>Yes</t>
        </is>
      </c>
      <c r="J123" s="9" t="inlineStr">
        <is>
          <t>More than 185 communities, entry-level product, head office in the metro.</t>
        </is>
      </c>
      <c r="K123" s="8" t="inlineStr">
        <is>
          <t>No</t>
        </is>
      </c>
      <c r="L123" s="9" t="inlineStr">
        <is>
          <t>Thousands of closings a year across a dozen states, bought from one office.</t>
        </is>
      </c>
      <c r="M123" s="8" t="inlineStr">
        <is>
          <t>No</t>
        </is>
      </c>
      <c r="N123" s="9" t="inlineStr">
        <is>
          <t>Its Q2 2026 earnings call mentions method, labour and cycle time zero times.</t>
        </is>
      </c>
      <c r="O123" s="8" t="inlineStr">
        <is>
          <t>Yes</t>
        </is>
      </c>
      <c r="P123" s="6" t="inlineStr">
        <is>
          <t>https://www.linkedin.com/in/chuck-collier-48286829/</t>
        </is>
      </c>
      <c r="Q123" s="6" t="inlineStr"/>
      <c r="R123" s="11">
        <f>IF(P123="","ADD LINKEDIN","ok")</f>
        <v/>
      </c>
      <c r="S123" s="6" t="inlineStr">
        <is>
          <t>https://www.lgihomes.com/</t>
        </is>
      </c>
      <c r="T123" s="9" t="inlineStr">
        <is>
          <t>The most standardised product here, headquartered in the metro. Its Q2 2026 call mentions method, labour and cycle time zero times.</t>
        </is>
      </c>
      <c r="U123" s="9"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3" s="6" t="inlineStr">
        <is>
          <t>YES</t>
        </is>
      </c>
      <c r="W123" s="9" t="inlineStr">
        <is>
          <t>VP of Construction, Houston, LGI Homes, stated in his own headline. Location shows only United States.</t>
        </is>
      </c>
      <c r="X123" s="6" t="inlineStr"/>
      <c r="Y123" s="6" t="inlineStr">
        <is>
          <t>https://www.linkedin.com/company/lgi-homes</t>
        </is>
      </c>
      <c r="Z123" s="6" t="inlineStr">
        <is>
          <t>https://investor.lgihomes.com/corporate-governance/management</t>
        </is>
      </c>
    </row>
    <row r="124">
      <c r="A124" s="12" t="inlineStr">
        <is>
          <t>Kyle Hanna</t>
        </is>
      </c>
      <c r="B124" s="12" t="inlineStr">
        <is>
          <t>LGI Homes, Inc.</t>
        </is>
      </c>
      <c r="C124" s="12" t="inlineStr">
        <is>
          <t>Vice President of Purchasing, LGI Homes</t>
        </is>
      </c>
      <c r="D124" s="13" t="inlineStr">
        <is>
          <t>National scale, pilot not purchase</t>
        </is>
      </c>
      <c r="E124" s="14" t="n">
        <v>1</v>
      </c>
      <c r="F124" s="12" t="inlineStr">
        <is>
          <t>Buys walls</t>
        </is>
      </c>
      <c r="G124" s="12" t="inlineStr">
        <is>
          <t>The Woodlands HQ, Montgomery County</t>
        </is>
      </c>
      <c r="H124" s="12" t="inlineStr">
        <is>
          <t>185+ communities, Houston-area HQ</t>
        </is>
      </c>
      <c r="I124" s="14" t="inlineStr">
        <is>
          <t>Yes</t>
        </is>
      </c>
      <c r="J124" s="15" t="inlineStr">
        <is>
          <t>More than 185 communities, entry-level product, head office in the metro.</t>
        </is>
      </c>
      <c r="K124" s="14" t="inlineStr">
        <is>
          <t>No</t>
        </is>
      </c>
      <c r="L124" s="15" t="inlineStr">
        <is>
          <t>Thousands of closings a year across a dozen states, bought from one office.</t>
        </is>
      </c>
      <c r="M124" s="14" t="inlineStr">
        <is>
          <t>No</t>
        </is>
      </c>
      <c r="N124" s="15" t="inlineStr">
        <is>
          <t>Its Q2 2026 earnings call mentions method, labour and cycle time zero times.</t>
        </is>
      </c>
      <c r="O124" s="14" t="inlineStr">
        <is>
          <t>Yes</t>
        </is>
      </c>
      <c r="P124" s="6" t="inlineStr">
        <is>
          <t>https://www.linkedin.com/in/kylemhanna/</t>
        </is>
      </c>
      <c r="Q124" s="12" t="inlineStr"/>
      <c r="R124" s="16">
        <f>IF(P124="","ADD LINKEDIN","ok")</f>
        <v/>
      </c>
      <c r="S124" s="12" t="inlineStr">
        <is>
          <t>https://www.lgihomes.com/</t>
        </is>
      </c>
      <c r="T124" s="15" t="inlineStr">
        <is>
          <t>The most standardised product here, headquartered in the metro. Its Q2 2026 call mentions method, labour and cycle time zero times.</t>
        </is>
      </c>
      <c r="U124" s="15" t="inlineStr">
        <is>
          <t>Q2 2026 transcript reviewed in full. Zero construction-method or technology mentions. Innovation scored zero on evidence. | LGI runs a vice president of construction per market, Austin, San Antonio, Nashville, Denver, Seattle, Charlotte, and Houston has its own. Purchasing is the one national role, and it sits at the Conroe head office. Both halves of a wall decision for the most standardised product screened here are inside Greater Houston. | No named Houston-area community with a unit count located. Closings reported in aggregate.</t>
        </is>
      </c>
      <c r="V124" s="12" t="inlineStr">
        <is>
          <t>YES</t>
        </is>
      </c>
      <c r="W124" s="15" t="inlineStr">
        <is>
          <t>Vice President of Purchasing at LGI Homes. Conroe, Texas, which is the head office. The construction vice presidents sit in the markets, Austin, San Antonio, Nashville, Denver, Seattle; purchasing is the one that sits in Greater Houston.</t>
        </is>
      </c>
      <c r="X124" s="12" t="inlineStr"/>
      <c r="Y124" s="12" t="inlineStr">
        <is>
          <t>https://www.linkedin.com/company/lgi-homes</t>
        </is>
      </c>
      <c r="Z124" s="12" t="inlineStr">
        <is>
          <t>https://investor.lgihomes.com/corporate-governance/management</t>
        </is>
      </c>
    </row>
    <row r="125">
      <c r="A125" s="6" t="inlineStr">
        <is>
          <t>Bob Schottenstein</t>
        </is>
      </c>
      <c r="B125" s="6" t="inlineStr">
        <is>
          <t>M/I Homes, Inc.</t>
        </is>
      </c>
      <c r="C125" s="6" t="inlineStr">
        <is>
          <t>Chief Executive Officer</t>
        </is>
      </c>
      <c r="D125" s="7" t="inlineStr">
        <is>
          <t>National scale, pilot not purchase</t>
        </is>
      </c>
      <c r="E125" s="8" t="n">
        <v>1</v>
      </c>
      <c r="F125" s="6" t="inlineStr">
        <is>
          <t>Buys walls</t>
        </is>
      </c>
      <c r="G125" s="6" t="inlineStr">
        <is>
          <t>Columbus HQ / Liberty, Harris</t>
        </is>
      </c>
      <c r="H125" s="6" t="inlineStr">
        <is>
          <t>3 Houston land deals in 6 months</t>
        </is>
      </c>
      <c r="I125" s="8" t="inlineStr">
        <is>
          <t>Yes</t>
        </is>
      </c>
      <c r="J125" s="9" t="inlineStr">
        <is>
          <t>1,000 homes at Trinity Landing, three Houston land deals in six months.</t>
        </is>
      </c>
      <c r="K125" s="8" t="inlineStr">
        <is>
          <t>No</t>
        </is>
      </c>
      <c r="L125" s="9" t="inlineStr">
        <is>
          <t>A national builder, bought centrally, however good the Houston division is.</t>
        </is>
      </c>
      <c r="M125" s="8" t="inlineStr">
        <is>
          <t>No</t>
        </is>
      </c>
      <c r="N125" s="9" t="inlineStr">
        <is>
          <t>The CEO cites shorter cycle time but not what enabled it.</t>
        </is>
      </c>
      <c r="O125" s="8" t="inlineStr">
        <is>
          <t>Yes</t>
        </is>
      </c>
      <c r="P125" s="10" t="inlineStr"/>
      <c r="Q125" s="6">
        <f>HYPERLINK("https://www.linkedin.com/search/results/people/?keywords=Bob%20Schottenstein%20M/I%20Homes%2C%20Inc.","search")</f>
        <v/>
      </c>
      <c r="R125" s="11">
        <f>IF(P125="","ADD LINKEDIN","ok")</f>
        <v/>
      </c>
      <c r="S125" s="6" t="inlineStr">
        <is>
          <t>https://www.mihomes.com/</t>
        </is>
      </c>
      <c r="T125" s="9" t="inlineStr">
        <is>
          <t>1,000 homes at Trinity Landing and three Houston land deals in six months under a named division president.</t>
        </is>
      </c>
      <c r="U125" s="9" t="inlineStr">
        <is>
          <t>Trinity Landing land price not disclosed. | No method or wall-system statement located.</t>
        </is>
      </c>
      <c r="V125" s="6" t="inlineStr"/>
      <c r="W125" s="9" t="inlineStr">
        <is>
          <t>Chairman, and Chief Executive Officer since January 2004, on M/I's own officers page.</t>
        </is>
      </c>
      <c r="X125" s="6" t="inlineStr">
        <is>
          <t>https://investors.mihomes.com/investor-relations/officers-directors/default.aspx</t>
        </is>
      </c>
      <c r="Y125" s="6" t="inlineStr">
        <is>
          <t>https://www.linkedin.com/company/mihomes/</t>
        </is>
      </c>
      <c r="Z125" s="6" t="inlineStr">
        <is>
          <t>https://investors.mihomes.com/investor-relations/officers-directors/default.aspx</t>
        </is>
      </c>
    </row>
    <row r="126">
      <c r="A126" s="12" t="inlineStr">
        <is>
          <t>Jay McManus</t>
        </is>
      </c>
      <c r="B126" s="12" t="inlineStr">
        <is>
          <t>M/I Homes, Inc.</t>
        </is>
      </c>
      <c r="C126" s="12" t="inlineStr">
        <is>
          <t>Houston Division President</t>
        </is>
      </c>
      <c r="D126" s="13" t="inlineStr">
        <is>
          <t>National scale, pilot not purchase</t>
        </is>
      </c>
      <c r="E126" s="14" t="n">
        <v>1</v>
      </c>
      <c r="F126" s="12" t="inlineStr">
        <is>
          <t>Buys walls</t>
        </is>
      </c>
      <c r="G126" s="12" t="inlineStr">
        <is>
          <t>Columbus HQ / Liberty, Harris</t>
        </is>
      </c>
      <c r="H126" s="12" t="inlineStr">
        <is>
          <t>3 Houston land deals in 6 months</t>
        </is>
      </c>
      <c r="I126" s="14" t="inlineStr">
        <is>
          <t>Yes</t>
        </is>
      </c>
      <c r="J126" s="15" t="inlineStr">
        <is>
          <t>1,000 homes at Trinity Landing, three Houston land deals in six months.</t>
        </is>
      </c>
      <c r="K126" s="14" t="inlineStr">
        <is>
          <t>No</t>
        </is>
      </c>
      <c r="L126" s="15" t="inlineStr">
        <is>
          <t>A national builder, bought centrally, however good the Houston division is.</t>
        </is>
      </c>
      <c r="M126" s="14" t="inlineStr">
        <is>
          <t>No</t>
        </is>
      </c>
      <c r="N126" s="15" t="inlineStr">
        <is>
          <t>The CEO cites shorter cycle time but not what enabled it.</t>
        </is>
      </c>
      <c r="O126" s="14" t="inlineStr">
        <is>
          <t>Yes</t>
        </is>
      </c>
      <c r="P126" s="10" t="inlineStr"/>
      <c r="Q126" s="12">
        <f>HYPERLINK("https://www.linkedin.com/search/results/people/?keywords=Jay%20McManus%20M/I%20Homes%2C%20Inc.","search")</f>
        <v/>
      </c>
      <c r="R126" s="16">
        <f>IF(P126="","ADD LINKEDIN","ok")</f>
        <v/>
      </c>
      <c r="S126" s="12" t="inlineStr">
        <is>
          <t>https://www.mihomes.com/</t>
        </is>
      </c>
      <c r="T126" s="15" t="inlineStr">
        <is>
          <t>1,000 homes at Trinity Landing and three Houston land deals in six months under a named division president.</t>
        </is>
      </c>
      <c r="U126" s="15" t="inlineStr">
        <is>
          <t>Trinity Landing land price not disclosed. | No method or wall-system statement located.</t>
        </is>
      </c>
      <c r="V126" s="12" t="inlineStr"/>
      <c r="W126" s="15" t="inlineStr">
        <is>
          <t>Named Houston division president for M/I Homes in trade coverage of the division's expansion. M/I's own site names corporate officers only.</t>
        </is>
      </c>
      <c r="X126" s="12" t="inlineStr">
        <is>
          <t>https://houstonagentmagazine.com/2021/08/23/m-i-homes-to-double-presence-in-houston-area/</t>
        </is>
      </c>
      <c r="Y126" s="12" t="inlineStr">
        <is>
          <t>https://www.linkedin.com/company/mihomes/</t>
        </is>
      </c>
      <c r="Z126" s="12" t="inlineStr">
        <is>
          <t>https://investors.mihomes.com/investor-relations/officers-directors/default.aspx</t>
        </is>
      </c>
    </row>
    <row r="127">
      <c r="A127" s="6" t="inlineStr">
        <is>
          <t>Patrick Mayhan</t>
        </is>
      </c>
      <c r="B127" s="6" t="inlineStr">
        <is>
          <t>M/I Homes, Inc.</t>
        </is>
      </c>
      <c r="C127" s="6" t="inlineStr">
        <is>
          <t>Vice President of Purchasing, M/I Homes</t>
        </is>
      </c>
      <c r="D127" s="7" t="inlineStr">
        <is>
          <t>National scale, pilot not purchase</t>
        </is>
      </c>
      <c r="E127" s="8" t="n">
        <v>1</v>
      </c>
      <c r="F127" s="6" t="inlineStr">
        <is>
          <t>Buys walls</t>
        </is>
      </c>
      <c r="G127" s="6" t="inlineStr">
        <is>
          <t>Columbus HQ / Liberty, Harris</t>
        </is>
      </c>
      <c r="H127" s="6" t="inlineStr">
        <is>
          <t>3 Houston land deals in 6 months</t>
        </is>
      </c>
      <c r="I127" s="8" t="inlineStr">
        <is>
          <t>Yes</t>
        </is>
      </c>
      <c r="J127" s="9" t="inlineStr">
        <is>
          <t>1,000 homes at Trinity Landing, three Houston land deals in six months.</t>
        </is>
      </c>
      <c r="K127" s="8" t="inlineStr">
        <is>
          <t>No</t>
        </is>
      </c>
      <c r="L127" s="9" t="inlineStr">
        <is>
          <t>A national builder, bought centrally, however good the Houston division is.</t>
        </is>
      </c>
      <c r="M127" s="8" t="inlineStr">
        <is>
          <t>No</t>
        </is>
      </c>
      <c r="N127" s="9" t="inlineStr">
        <is>
          <t>The CEO cites shorter cycle time but not what enabled it.</t>
        </is>
      </c>
      <c r="O127" s="8" t="inlineStr">
        <is>
          <t>Yes</t>
        </is>
      </c>
      <c r="P127" s="6" t="inlineStr">
        <is>
          <t>https://www.linkedin.com/in/patrick-mayhan-5591478/</t>
        </is>
      </c>
      <c r="Q127" s="6" t="inlineStr"/>
      <c r="R127" s="11">
        <f>IF(P127="","ADD LINKEDIN","ok")</f>
        <v/>
      </c>
      <c r="S127" s="6" t="inlineStr">
        <is>
          <t>https://www.mihomes.com/</t>
        </is>
      </c>
      <c r="T127" s="9" t="inlineStr">
        <is>
          <t>1,000 homes at Trinity Landing and three Houston land deals in six months under a named division president.</t>
        </is>
      </c>
      <c r="U127" s="9" t="inlineStr">
        <is>
          <t>Trinity Landing land price not disclosed. | No method or wall-system statement located.</t>
        </is>
      </c>
      <c r="V127" s="6" t="inlineStr">
        <is>
          <t>YES</t>
        </is>
      </c>
      <c r="W127" s="9" t="inlineStr">
        <is>
          <t>Vice President of Purchasing at M/I Homes, Inc. Houston, Texas. M/I lists two purchasing vice presidents in Houston; his title carries the corporate entity and Randy Barras's carries the Houston division.</t>
        </is>
      </c>
      <c r="X127" s="6" t="inlineStr"/>
      <c r="Y127" s="6" t="inlineStr">
        <is>
          <t>https://www.linkedin.com/company/mihomes/</t>
        </is>
      </c>
      <c r="Z127" s="6" t="inlineStr">
        <is>
          <t>https://investors.mihomes.com/investor-relations/officers-directors/default.aspx</t>
        </is>
      </c>
    </row>
    <row r="128">
      <c r="A128" s="12" t="inlineStr">
        <is>
          <t>Randy Barras</t>
        </is>
      </c>
      <c r="B128" s="12" t="inlineStr">
        <is>
          <t>M/I Homes, Inc.</t>
        </is>
      </c>
      <c r="C128" s="12" t="inlineStr">
        <is>
          <t>Vice President of Purchasing, M/I Homes Houston</t>
        </is>
      </c>
      <c r="D128" s="13" t="inlineStr">
        <is>
          <t>National scale, pilot not purchase</t>
        </is>
      </c>
      <c r="E128" s="14" t="n">
        <v>1</v>
      </c>
      <c r="F128" s="12" t="inlineStr">
        <is>
          <t>Buys walls</t>
        </is>
      </c>
      <c r="G128" s="12" t="inlineStr">
        <is>
          <t>Columbus HQ / Liberty, Harris</t>
        </is>
      </c>
      <c r="H128" s="12" t="inlineStr">
        <is>
          <t>3 Houston land deals in 6 months</t>
        </is>
      </c>
      <c r="I128" s="14" t="inlineStr">
        <is>
          <t>Yes</t>
        </is>
      </c>
      <c r="J128" s="15" t="inlineStr">
        <is>
          <t>1,000 homes at Trinity Landing, three Houston land deals in six months.</t>
        </is>
      </c>
      <c r="K128" s="14" t="inlineStr">
        <is>
          <t>No</t>
        </is>
      </c>
      <c r="L128" s="15" t="inlineStr">
        <is>
          <t>A national builder, bought centrally, however good the Houston division is.</t>
        </is>
      </c>
      <c r="M128" s="14" t="inlineStr">
        <is>
          <t>No</t>
        </is>
      </c>
      <c r="N128" s="15" t="inlineStr">
        <is>
          <t>The CEO cites shorter cycle time but not what enabled it.</t>
        </is>
      </c>
      <c r="O128" s="14" t="inlineStr">
        <is>
          <t>Yes</t>
        </is>
      </c>
      <c r="P128" s="6" t="inlineStr">
        <is>
          <t>https://www.linkedin.com/in/rbarras/</t>
        </is>
      </c>
      <c r="Q128" s="12" t="inlineStr"/>
      <c r="R128" s="16">
        <f>IF(P128="","ADD LINKEDIN","ok")</f>
        <v/>
      </c>
      <c r="S128" s="12" t="inlineStr">
        <is>
          <t>https://www.mihomes.com/</t>
        </is>
      </c>
      <c r="T128" s="15" t="inlineStr">
        <is>
          <t>1,000 homes at Trinity Landing and three Houston land deals in six months under a named division president.</t>
        </is>
      </c>
      <c r="U128" s="15" t="inlineStr">
        <is>
          <t>Trinity Landing land price not disclosed. | No method or wall-system statement located.</t>
        </is>
      </c>
      <c r="V128" s="12" t="inlineStr">
        <is>
          <t>YES</t>
        </is>
      </c>
      <c r="W128" s="15" t="inlineStr">
        <is>
          <t>Vice President of Purchasing, M/I Homes - Houston. Houston, Texas.</t>
        </is>
      </c>
      <c r="X128" s="12" t="inlineStr"/>
      <c r="Y128" s="12" t="inlineStr">
        <is>
          <t>https://www.linkedin.com/company/mihomes/</t>
        </is>
      </c>
      <c r="Z128" s="12" t="inlineStr">
        <is>
          <t>https://investors.mihomes.com/investor-relations/officers-directors/default.aspx</t>
        </is>
      </c>
    </row>
    <row r="129">
      <c r="A129" s="6" t="inlineStr">
        <is>
          <t>Darin Rowe</t>
        </is>
      </c>
      <c r="B129" s="6" t="inlineStr">
        <is>
          <t>Taylor Morrison Home Corporation</t>
        </is>
      </c>
      <c r="C129" s="6" t="inlineStr">
        <is>
          <t>National President, Build-to-Rent</t>
        </is>
      </c>
      <c r="D129" s="7" t="inlineStr">
        <is>
          <t>National scale, pilot not purchase</t>
        </is>
      </c>
      <c r="E129" s="8" t="n">
        <v>1</v>
      </c>
      <c r="F129" s="6" t="inlineStr">
        <is>
          <t>Buys walls</t>
        </is>
      </c>
      <c r="G129" s="6" t="inlineStr">
        <is>
          <t>Scottsdale HQ / Harris County</t>
        </is>
      </c>
      <c r="H129" s="6" t="inlineStr">
        <is>
          <t>240-home Houston BTR community</t>
        </is>
      </c>
      <c r="I129" s="8" t="inlineStr">
        <is>
          <t>Yes</t>
        </is>
      </c>
      <c r="J129" s="9" t="inlineStr">
        <is>
          <t>A 240-home Houston build-to-rent community and a dedicated brand.</t>
        </is>
      </c>
      <c r="K129" s="8" t="inlineStr">
        <is>
          <t>No</t>
        </is>
      </c>
      <c r="L129" s="9" t="inlineStr">
        <is>
          <t>A national builder with a national build-to-rent brand.</t>
        </is>
      </c>
      <c r="M129" s="8" t="inlineStr">
        <is>
          <t>No</t>
        </is>
      </c>
      <c r="N129" s="9" t="inlineStr">
        <is>
          <t>Its Yardly retrospective cites input costs with no method detail.</t>
        </is>
      </c>
      <c r="O129" s="8" t="inlineStr">
        <is>
          <t>Yes</t>
        </is>
      </c>
      <c r="P129" s="10" t="inlineStr"/>
      <c r="Q129" s="6">
        <f>HYPERLINK("https://www.linkedin.com/search/results/people/?keywords=Darin%20Rowe%20Taylor%20Morrison%20Home%20Corporation","search")</f>
        <v/>
      </c>
      <c r="R129" s="11">
        <f>IF(P129="","ADD LINKEDIN","ok")</f>
        <v/>
      </c>
      <c r="S129" s="6" t="inlineStr">
        <is>
          <t>https://www.taylormorrison.com/</t>
        </is>
      </c>
      <c r="T129" s="9" t="inlineStr">
        <is>
          <t>A 240-home Houston build-to-rent community and a dedicated brand. The division president role dates to 2018 and is unconfirmed.</t>
        </is>
      </c>
      <c r="U129" s="9"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29" s="6" t="inlineStr"/>
      <c r="W129" s="9" t="inlineStr">
        <is>
          <t>Build-to-Rent President, quoted on the launch of the Yardly brand. National, not Houston.</t>
        </is>
      </c>
      <c r="X129" s="6" t="inlineStr">
        <is>
          <t>https://newsroom.taylormorrison.com/2022-11-14-Taylor-Morrison-Unveils-New-Build-To-Rent-Brand,-Yardly</t>
        </is>
      </c>
      <c r="Y129" s="6" t="inlineStr">
        <is>
          <t>https://www.linkedin.com/company/taylor-morrison</t>
        </is>
      </c>
      <c r="Z129" s="6" t="inlineStr">
        <is>
          <t>https://newsroom.taylormorrison.com/Leadership</t>
        </is>
      </c>
    </row>
    <row r="130">
      <c r="A130" s="12" t="inlineStr">
        <is>
          <t>Amy Rino</t>
        </is>
      </c>
      <c r="B130" s="12" t="inlineStr">
        <is>
          <t>Taylor Morrison Home Corporation</t>
        </is>
      </c>
      <c r="C130" s="12" t="inlineStr">
        <is>
          <t>Chief Customer Officer, Taylor Morrison, Scottsdale (2026); ex-Houston Division President</t>
        </is>
      </c>
      <c r="D130" s="13" t="inlineStr">
        <is>
          <t>National scale, pilot not purchase</t>
        </is>
      </c>
      <c r="E130" s="14" t="n">
        <v>1</v>
      </c>
      <c r="F130" s="12" t="inlineStr">
        <is>
          <t>Buys walls</t>
        </is>
      </c>
      <c r="G130" s="12" t="inlineStr">
        <is>
          <t>Scottsdale HQ / Harris County</t>
        </is>
      </c>
      <c r="H130" s="12" t="inlineStr">
        <is>
          <t>240-home Houston BTR community</t>
        </is>
      </c>
      <c r="I130" s="14" t="inlineStr">
        <is>
          <t>Yes</t>
        </is>
      </c>
      <c r="J130" s="15" t="inlineStr">
        <is>
          <t>A 240-home Houston build-to-rent community and a dedicated brand.</t>
        </is>
      </c>
      <c r="K130" s="14" t="inlineStr">
        <is>
          <t>No</t>
        </is>
      </c>
      <c r="L130" s="15" t="inlineStr">
        <is>
          <t>A national builder with a national build-to-rent brand.</t>
        </is>
      </c>
      <c r="M130" s="14" t="inlineStr">
        <is>
          <t>No</t>
        </is>
      </c>
      <c r="N130" s="15" t="inlineStr">
        <is>
          <t>Its Yardly retrospective cites input costs with no method detail.</t>
        </is>
      </c>
      <c r="O130" s="14" t="inlineStr">
        <is>
          <t>Yes</t>
        </is>
      </c>
      <c r="P130" s="6" t="inlineStr">
        <is>
          <t>https://www.linkedin.com/in/amy-rino-5152b111/</t>
        </is>
      </c>
      <c r="Q130" s="12" t="inlineStr"/>
      <c r="R130" s="16">
        <f>IF(P130="","ADD LINKEDIN","ok")</f>
        <v/>
      </c>
      <c r="S130" s="12" t="inlineStr">
        <is>
          <t>https://www.taylormorrison.com/</t>
        </is>
      </c>
      <c r="T130" s="15" t="inlineStr">
        <is>
          <t>A 240-home Houston build-to-rent community and a dedicated brand. The division president role dates to 2018 and is unconfirmed.</t>
        </is>
      </c>
      <c r="U130" s="15" t="inlineStr">
        <is>
          <t>Yardly retrospective article carries no confirmed publication date. | Amy Rino is no longer the Houston division president. LinkedIn shows her as Chief Customer Officer at Taylor Morrison in Scottsdale, Arizona. The 2018 division-president citation in this record is stale, and no current Houston division leader was found. Taylor Morrison has no local door on file. | Amy Rino's Houston division president role sourced to a January 26, 2018 appointment and not reconfirmed. Verify before outreach.</t>
        </is>
      </c>
      <c r="V130" s="12" t="inlineStr"/>
      <c r="W130" s="15" t="inlineStr"/>
      <c r="X130" s="12" t="inlineStr"/>
      <c r="Y130" s="12" t="inlineStr">
        <is>
          <t>https://www.linkedin.com/company/taylor-morrison</t>
        </is>
      </c>
      <c r="Z130" s="12" t="inlineStr">
        <is>
          <t>https://newsroom.taylormorrison.com/Leadership</t>
        </is>
      </c>
    </row>
    <row r="131">
      <c r="A131" s="6" t="inlineStr">
        <is>
          <t>Ken Balogh</t>
        </is>
      </c>
      <c r="B131" s="6" t="inlineStr">
        <is>
          <t>Ashton Woods Homes</t>
        </is>
      </c>
      <c r="C131" s="6" t="inlineStr">
        <is>
          <t>President and Chief Executive Officer</t>
        </is>
      </c>
      <c r="D131" s="7" t="inlineStr">
        <is>
          <t>National scale, pilot not purchase</t>
        </is>
      </c>
      <c r="E131" s="8" t="n">
        <v>1</v>
      </c>
      <c r="F131" s="6" t="inlineStr">
        <is>
          <t>Buys walls</t>
        </is>
      </c>
      <c r="G131" s="6" t="inlineStr">
        <is>
          <t>Alpharetta HQ / Harris, Fort Bend</t>
        </is>
      </c>
      <c r="H131" s="6" t="inlineStr">
        <is>
          <t>14+ named Houston communities</t>
        </is>
      </c>
      <c r="I131" s="8" t="inlineStr">
        <is>
          <t>Yes</t>
        </is>
      </c>
      <c r="J131" s="9" t="inlineStr">
        <is>
          <t>Fourteen named Houston communities.</t>
        </is>
      </c>
      <c r="K131" s="8" t="inlineStr">
        <is>
          <t>No</t>
        </is>
      </c>
      <c r="L131" s="9" t="inlineStr">
        <is>
          <t>A national builder with a corporate purchasing function.</t>
        </is>
      </c>
      <c r="M131" s="8" t="inlineStr">
        <is>
          <t>No</t>
        </is>
      </c>
      <c r="N131" s="9" t="inlineStr">
        <is>
          <t>No firm-specific method evidence found.</t>
        </is>
      </c>
      <c r="O131" s="8" t="inlineStr">
        <is>
          <t>Partly</t>
        </is>
      </c>
      <c r="P131" s="10" t="inlineStr"/>
      <c r="Q131" s="6">
        <f>HYPERLINK("https://www.linkedin.com/search/results/people/?keywords=Ken%20Balogh%20Ashton%20Woods%20Homes","search")</f>
        <v/>
      </c>
      <c r="R131" s="11">
        <f>IF(P131="","ADD LINKEDIN","ok")</f>
        <v/>
      </c>
      <c r="S131" s="6" t="inlineStr">
        <is>
          <t>https://www.ashtonwoods.com/</t>
        </is>
      </c>
      <c r="T131" s="9" t="inlineStr">
        <is>
          <t>14 named Houston communities and a Texas regional president. No firm-specific method evidence found.</t>
        </is>
      </c>
      <c r="U131" s="9" t="inlineStr">
        <is>
          <t>Community-level unit counts not sourced. | No firm-specific innovation content found. | No capital signal with a figure.</t>
        </is>
      </c>
      <c r="V131" s="6" t="inlineStr"/>
      <c r="W131" s="9" t="inlineStr">
        <is>
          <t>President and Chief Executive Officer.</t>
        </is>
      </c>
      <c r="X131" s="6" t="inlineStr">
        <is>
          <t>https://www.ashtonwoods.com/corporate-info</t>
        </is>
      </c>
      <c r="Y131" s="6" t="inlineStr">
        <is>
          <t>https://www.linkedin.com/company/ashton-woods-homes</t>
        </is>
      </c>
      <c r="Z131" s="6" t="inlineStr">
        <is>
          <t>https://www.ashtonwoods.com/corporate-info</t>
        </is>
      </c>
    </row>
    <row r="132">
      <c r="A132" s="12" t="inlineStr">
        <is>
          <t>Lindsay Motley</t>
        </is>
      </c>
      <c r="B132" s="12" t="inlineStr">
        <is>
          <t>Ashton Woods Homes</t>
        </is>
      </c>
      <c r="C132" s="12" t="inlineStr">
        <is>
          <t>Regional President, Texas</t>
        </is>
      </c>
      <c r="D132" s="13" t="inlineStr">
        <is>
          <t>National scale, pilot not purchase</t>
        </is>
      </c>
      <c r="E132" s="14" t="n">
        <v>1</v>
      </c>
      <c r="F132" s="12" t="inlineStr">
        <is>
          <t>Buys walls</t>
        </is>
      </c>
      <c r="G132" s="12" t="inlineStr">
        <is>
          <t>Alpharetta HQ / Harris, Fort Bend</t>
        </is>
      </c>
      <c r="H132" s="12" t="inlineStr">
        <is>
          <t>14+ named Houston communities</t>
        </is>
      </c>
      <c r="I132" s="14" t="inlineStr">
        <is>
          <t>Yes</t>
        </is>
      </c>
      <c r="J132" s="15" t="inlineStr">
        <is>
          <t>Fourteen named Houston communities.</t>
        </is>
      </c>
      <c r="K132" s="14" t="inlineStr">
        <is>
          <t>No</t>
        </is>
      </c>
      <c r="L132" s="15" t="inlineStr">
        <is>
          <t>A national builder with a corporate purchasing function.</t>
        </is>
      </c>
      <c r="M132" s="14" t="inlineStr">
        <is>
          <t>No</t>
        </is>
      </c>
      <c r="N132" s="15" t="inlineStr">
        <is>
          <t>No firm-specific method evidence found.</t>
        </is>
      </c>
      <c r="O132" s="14" t="inlineStr">
        <is>
          <t>Partly</t>
        </is>
      </c>
      <c r="P132" s="10" t="inlineStr"/>
      <c r="Q132" s="12">
        <f>HYPERLINK("https://www.linkedin.com/search/results/people/?keywords=Lindsay%20Motley%20Ashton%20Woods%20Homes","search")</f>
        <v/>
      </c>
      <c r="R132" s="16">
        <f>IF(P132="","ADD LINKEDIN","ok")</f>
        <v/>
      </c>
      <c r="S132" s="12" t="inlineStr">
        <is>
          <t>https://www.ashtonwoods.com/</t>
        </is>
      </c>
      <c r="T132" s="15" t="inlineStr">
        <is>
          <t>14 named Houston communities and a Texas regional president. No firm-specific method evidence found.</t>
        </is>
      </c>
      <c r="U132" s="15" t="inlineStr">
        <is>
          <t>Community-level unit counts not sourced. | No firm-specific innovation content found. | No capital signal with a figure.</t>
        </is>
      </c>
      <c r="V132" s="12" t="inlineStr"/>
      <c r="W132" s="15" t="inlineStr">
        <is>
          <t>Regional President. The firm's own announcement names her Austin division president.</t>
        </is>
      </c>
      <c r="X132" s="12" t="inlineStr">
        <is>
          <t>https://www.ashtonwoods.com/corporate-info</t>
        </is>
      </c>
      <c r="Y132" s="12" t="inlineStr">
        <is>
          <t>https://www.linkedin.com/company/ashton-woods-homes</t>
        </is>
      </c>
      <c r="Z132" s="12" t="inlineStr">
        <is>
          <t>https://www.ashtonwoods.com/corporate-info</t>
        </is>
      </c>
    </row>
    <row r="133">
      <c r="A133" s="6" t="inlineStr">
        <is>
          <t>Ryan Lewis</t>
        </is>
      </c>
      <c r="B133" s="6" t="inlineStr">
        <is>
          <t>Ashton Woods Homes</t>
        </is>
      </c>
      <c r="C133" s="6" t="inlineStr">
        <is>
          <t>Chief Operating Officer</t>
        </is>
      </c>
      <c r="D133" s="7" t="inlineStr">
        <is>
          <t>National scale, pilot not purchase</t>
        </is>
      </c>
      <c r="E133" s="8" t="n">
        <v>1</v>
      </c>
      <c r="F133" s="6" t="inlineStr">
        <is>
          <t>Buys walls</t>
        </is>
      </c>
      <c r="G133" s="6" t="inlineStr">
        <is>
          <t>Alpharetta HQ / Harris, Fort Bend</t>
        </is>
      </c>
      <c r="H133" s="6" t="inlineStr">
        <is>
          <t>14+ named Houston communities</t>
        </is>
      </c>
      <c r="I133" s="8" t="inlineStr">
        <is>
          <t>Yes</t>
        </is>
      </c>
      <c r="J133" s="9" t="inlineStr">
        <is>
          <t>Fourteen named Houston communities.</t>
        </is>
      </c>
      <c r="K133" s="8" t="inlineStr">
        <is>
          <t>No</t>
        </is>
      </c>
      <c r="L133" s="9" t="inlineStr">
        <is>
          <t>A national builder with a corporate purchasing function.</t>
        </is>
      </c>
      <c r="M133" s="8" t="inlineStr">
        <is>
          <t>No</t>
        </is>
      </c>
      <c r="N133" s="9" t="inlineStr">
        <is>
          <t>No firm-specific method evidence found.</t>
        </is>
      </c>
      <c r="O133" s="8" t="inlineStr">
        <is>
          <t>Partly</t>
        </is>
      </c>
      <c r="P133" s="10" t="inlineStr"/>
      <c r="Q133" s="6">
        <f>HYPERLINK("https://www.linkedin.com/search/results/people/?keywords=Ryan%20Lewis%20Ashton%20Woods%20Homes","search")</f>
        <v/>
      </c>
      <c r="R133" s="11">
        <f>IF(P133="","ADD LINKEDIN","ok")</f>
        <v/>
      </c>
      <c r="S133" s="6" t="inlineStr">
        <is>
          <t>https://www.ashtonwoods.com/</t>
        </is>
      </c>
      <c r="T133" s="9" t="inlineStr">
        <is>
          <t>14 named Houston communities and a Texas regional president. No firm-specific method evidence found.</t>
        </is>
      </c>
      <c r="U133" s="9" t="inlineStr">
        <is>
          <t>Community-level unit counts not sourced. | No firm-specific innovation content found. | No capital signal with a figure.</t>
        </is>
      </c>
      <c r="V133" s="6" t="inlineStr"/>
      <c r="W133" s="9" t="inlineStr">
        <is>
          <t>Chief Operating Officer.</t>
        </is>
      </c>
      <c r="X133" s="6" t="inlineStr">
        <is>
          <t>https://www.ashtonwoods.com/corporate-info</t>
        </is>
      </c>
      <c r="Y133" s="6" t="inlineStr">
        <is>
          <t>https://www.linkedin.com/company/ashton-woods-homes</t>
        </is>
      </c>
      <c r="Z133" s="6" t="inlineStr">
        <is>
          <t>https://www.ashtonwoods.com/corporate-info</t>
        </is>
      </c>
    </row>
    <row r="134">
      <c r="A134" s="12" t="inlineStr">
        <is>
          <t>DeKendrick Vidito</t>
        </is>
      </c>
      <c r="B134" s="12" t="inlineStr">
        <is>
          <t>Ashton Woods Homes</t>
        </is>
      </c>
      <c r="C134" s="12" t="inlineStr">
        <is>
          <t>Vice President of Purchasing, Ashton Woods Homes</t>
        </is>
      </c>
      <c r="D134" s="13" t="inlineStr">
        <is>
          <t>National scale, pilot not purchase</t>
        </is>
      </c>
      <c r="E134" s="14" t="n">
        <v>1</v>
      </c>
      <c r="F134" s="12" t="inlineStr">
        <is>
          <t>Buys walls</t>
        </is>
      </c>
      <c r="G134" s="12" t="inlineStr">
        <is>
          <t>Alpharetta HQ / Harris, Fort Bend</t>
        </is>
      </c>
      <c r="H134" s="12" t="inlineStr">
        <is>
          <t>14+ named Houston communities</t>
        </is>
      </c>
      <c r="I134" s="14" t="inlineStr">
        <is>
          <t>Yes</t>
        </is>
      </c>
      <c r="J134" s="15" t="inlineStr">
        <is>
          <t>Fourteen named Houston communities.</t>
        </is>
      </c>
      <c r="K134" s="14" t="inlineStr">
        <is>
          <t>No</t>
        </is>
      </c>
      <c r="L134" s="15" t="inlineStr">
        <is>
          <t>A national builder with a corporate purchasing function.</t>
        </is>
      </c>
      <c r="M134" s="14" t="inlineStr">
        <is>
          <t>No</t>
        </is>
      </c>
      <c r="N134" s="15" t="inlineStr">
        <is>
          <t>No firm-specific method evidence found.</t>
        </is>
      </c>
      <c r="O134" s="14" t="inlineStr">
        <is>
          <t>Partly</t>
        </is>
      </c>
      <c r="P134" s="6" t="inlineStr">
        <is>
          <t>https://www.linkedin.com/in/dekendrick-vidito-58087766/</t>
        </is>
      </c>
      <c r="Q134" s="12" t="inlineStr"/>
      <c r="R134" s="16">
        <f>IF(P134="","ADD LINKEDIN","ok")</f>
        <v/>
      </c>
      <c r="S134" s="12" t="inlineStr">
        <is>
          <t>https://www.ashtonwoods.com/</t>
        </is>
      </c>
      <c r="T134" s="15" t="inlineStr">
        <is>
          <t>14 named Houston communities and a Texas regional president. No firm-specific method evidence found.</t>
        </is>
      </c>
      <c r="U134" s="15" t="inlineStr">
        <is>
          <t>Community-level unit counts not sourced. | No firm-specific innovation content found. | No capital signal with a figure.</t>
        </is>
      </c>
      <c r="V134" s="12" t="inlineStr">
        <is>
          <t>YES</t>
        </is>
      </c>
      <c r="W134" s="15" t="inlineStr">
        <is>
          <t>Vice President of Purchasing at Ashton Woods Homes. Houston, Texas.</t>
        </is>
      </c>
      <c r="X134" s="12" t="inlineStr"/>
      <c r="Y134" s="12" t="inlineStr">
        <is>
          <t>https://www.linkedin.com/company/ashton-woods-homes</t>
        </is>
      </c>
      <c r="Z134" s="12" t="inlineStr">
        <is>
          <t>https://www.ashtonwoods.com/corporate-info</t>
        </is>
      </c>
    </row>
    <row r="135">
      <c r="A135" s="6" t="inlineStr">
        <is>
          <t>Jay Brown</t>
        </is>
      </c>
      <c r="B135" s="6" t="inlineStr">
        <is>
          <t>David Weekley Homes</t>
        </is>
      </c>
      <c r="C135" s="6" t="inlineStr">
        <is>
          <t>Chief Executive Officer</t>
        </is>
      </c>
      <c r="D135" s="7" t="inlineStr">
        <is>
          <t>National scale, pilot not purchase</t>
        </is>
      </c>
      <c r="E135" s="8" t="n">
        <v>1</v>
      </c>
      <c r="F135" s="6" t="inlineStr">
        <is>
          <t>Buys walls</t>
        </is>
      </c>
      <c r="G135" s="6" t="inlineStr">
        <is>
          <t>Houston HQ, Harris County</t>
        </is>
      </c>
      <c r="H135" s="6" t="inlineStr">
        <is>
          <t>125,000+ homes, 19 markets, Houston HQ</t>
        </is>
      </c>
      <c r="I135" s="8" t="inlineStr">
        <is>
          <t>Yes</t>
        </is>
      </c>
      <c r="J135" s="9" t="inlineStr">
        <is>
          <t>125,000 homes across 19 markets, Houston head office, 50 years.</t>
        </is>
      </c>
      <c r="K135" s="8" t="inlineStr">
        <is>
          <t>No</t>
        </is>
      </c>
      <c r="L135" s="9" t="inlineStr">
        <is>
          <t>125,000 homes and a national purchasing and supply chain function.</t>
        </is>
      </c>
      <c r="M135" s="8" t="inlineStr">
        <is>
          <t>No</t>
        </is>
      </c>
      <c r="N135" s="9" t="inlineStr">
        <is>
          <t>Its 2026 supplier recognition covers insulation and fire-stopping, not the envelope.</t>
        </is>
      </c>
      <c r="O135" s="8" t="inlineStr">
        <is>
          <t>Partly</t>
        </is>
      </c>
      <c r="P135" s="6" t="inlineStr">
        <is>
          <t>https://www.linkedin.com/in/jay-brown-14305a12/</t>
        </is>
      </c>
      <c r="Q135" s="6" t="inlineStr"/>
      <c r="R135" s="11">
        <f>IF(P135="","ADD LINKEDIN","ok")</f>
        <v/>
      </c>
      <c r="S135" s="6" t="inlineStr">
        <is>
          <t>https://www.davidweekleyhomes.com/</t>
        </is>
      </c>
      <c r="T135" s="9" t="inlineStr">
        <is>
          <t>125,000 homes, Houston HQ, 50 years. Its supplier recognition covers insulation and fire-stopping, not the envelope.</t>
        </is>
      </c>
      <c r="U135" s="9" t="inlineStr">
        <is>
          <t>No construction-method or technology statement located. | No Houston community unit counts sourced.</t>
        </is>
      </c>
      <c r="V135" s="6" t="inlineStr"/>
      <c r="W135" s="9" t="inlineStr">
        <is>
          <t>Chief Executive Officer at David Weekley Homes. Houston, Texas.</t>
        </is>
      </c>
      <c r="X135" s="6" t="inlineStr"/>
      <c r="Y135" s="6" t="inlineStr">
        <is>
          <t>https://www.linkedin.com/company/david-weekley-homes</t>
        </is>
      </c>
      <c r="Z135" s="6" t="inlineStr">
        <is>
          <t>https://www.davidweekleyhomes.com/about-us/meet-the-team</t>
        </is>
      </c>
    </row>
    <row r="136">
      <c r="A136" s="12" t="inlineStr">
        <is>
          <t>Chris Weekley</t>
        </is>
      </c>
      <c r="B136" s="12" t="inlineStr">
        <is>
          <t>David Weekley Homes</t>
        </is>
      </c>
      <c r="C136" s="12" t="inlineStr">
        <is>
          <t>President and Vice Chairman</t>
        </is>
      </c>
      <c r="D136" s="13" t="inlineStr">
        <is>
          <t>National scale, pilot not purchase</t>
        </is>
      </c>
      <c r="E136" s="14" t="n">
        <v>1</v>
      </c>
      <c r="F136" s="12" t="inlineStr">
        <is>
          <t>Buys walls</t>
        </is>
      </c>
      <c r="G136" s="12" t="inlineStr">
        <is>
          <t>Houston HQ, Harris County</t>
        </is>
      </c>
      <c r="H136" s="12" t="inlineStr">
        <is>
          <t>125,000+ homes, 19 markets, Houston HQ</t>
        </is>
      </c>
      <c r="I136" s="14" t="inlineStr">
        <is>
          <t>Yes</t>
        </is>
      </c>
      <c r="J136" s="15" t="inlineStr">
        <is>
          <t>125,000 homes across 19 markets, Houston head office, 50 years.</t>
        </is>
      </c>
      <c r="K136" s="14" t="inlineStr">
        <is>
          <t>No</t>
        </is>
      </c>
      <c r="L136" s="15" t="inlineStr">
        <is>
          <t>125,000 homes and a national purchasing and supply chain function.</t>
        </is>
      </c>
      <c r="M136" s="14" t="inlineStr">
        <is>
          <t>No</t>
        </is>
      </c>
      <c r="N136" s="15" t="inlineStr">
        <is>
          <t>Its 2026 supplier recognition covers insulation and fire-stopping, not the envelope.</t>
        </is>
      </c>
      <c r="O136" s="14" t="inlineStr">
        <is>
          <t>Partly</t>
        </is>
      </c>
      <c r="P136" s="10" t="inlineStr"/>
      <c r="Q136" s="12">
        <f>HYPERLINK("https://www.linkedin.com/search/results/people/?keywords=Chris%20Weekley%20David%20Weekley%20Homes","search")</f>
        <v/>
      </c>
      <c r="R136" s="16">
        <f>IF(P136="","ADD LINKEDIN","ok")</f>
        <v/>
      </c>
      <c r="S136" s="12" t="inlineStr">
        <is>
          <t>https://www.davidweekleyhomes.com/</t>
        </is>
      </c>
      <c r="T136" s="15" t="inlineStr">
        <is>
          <t>125,000 homes, Houston HQ, 50 years. Its supplier recognition covers insulation and fire-stopping, not the envelope.</t>
        </is>
      </c>
      <c r="U136" s="15" t="inlineStr">
        <is>
          <t>No construction-method or technology statement located. | No Houston community unit counts sourced.</t>
        </is>
      </c>
      <c r="V136" s="12" t="inlineStr"/>
      <c r="W136" s="15" t="inlineStr">
        <is>
          <t>President and Vice Chairman. The firm's own page credits him with innovation and developer relationships, which is the brief a printed wall would land in.</t>
        </is>
      </c>
      <c r="X136" s="12" t="inlineStr">
        <is>
          <t>https://www.davidweekleyhomes.com/about-us/meet-the-team</t>
        </is>
      </c>
      <c r="Y136" s="12" t="inlineStr">
        <is>
          <t>https://www.linkedin.com/company/david-weekley-homes</t>
        </is>
      </c>
      <c r="Z136" s="12" t="inlineStr">
        <is>
          <t>https://www.davidweekleyhomes.com/about-us/meet-the-team</t>
        </is>
      </c>
    </row>
    <row r="137">
      <c r="A137" s="6" t="inlineStr">
        <is>
          <t>David Weekley</t>
        </is>
      </c>
      <c r="B137" s="6" t="inlineStr">
        <is>
          <t>David Weekley Homes</t>
        </is>
      </c>
      <c r="C137" s="6" t="inlineStr">
        <is>
          <t>Chairman and Founder</t>
        </is>
      </c>
      <c r="D137" s="7" t="inlineStr">
        <is>
          <t>National scale, pilot not purchase</t>
        </is>
      </c>
      <c r="E137" s="8" t="n">
        <v>1</v>
      </c>
      <c r="F137" s="6" t="inlineStr">
        <is>
          <t>Buys walls</t>
        </is>
      </c>
      <c r="G137" s="6" t="inlineStr">
        <is>
          <t>Houston HQ, Harris County</t>
        </is>
      </c>
      <c r="H137" s="6" t="inlineStr">
        <is>
          <t>125,000+ homes, 19 markets, Houston HQ</t>
        </is>
      </c>
      <c r="I137" s="8" t="inlineStr">
        <is>
          <t>Yes</t>
        </is>
      </c>
      <c r="J137" s="9" t="inlineStr">
        <is>
          <t>125,000 homes across 19 markets, Houston head office, 50 years.</t>
        </is>
      </c>
      <c r="K137" s="8" t="inlineStr">
        <is>
          <t>No</t>
        </is>
      </c>
      <c r="L137" s="9" t="inlineStr">
        <is>
          <t>125,000 homes and a national purchasing and supply chain function.</t>
        </is>
      </c>
      <c r="M137" s="8" t="inlineStr">
        <is>
          <t>No</t>
        </is>
      </c>
      <c r="N137" s="9" t="inlineStr">
        <is>
          <t>Its 2026 supplier recognition covers insulation and fire-stopping, not the envelope.</t>
        </is>
      </c>
      <c r="O137" s="8" t="inlineStr">
        <is>
          <t>Partly</t>
        </is>
      </c>
      <c r="P137" s="10" t="inlineStr"/>
      <c r="Q137" s="6">
        <f>HYPERLINK("https://www.linkedin.com/search/results/people/?keywords=David%20Weekley%20David%20Weekley%20Homes","search")</f>
        <v/>
      </c>
      <c r="R137" s="11">
        <f>IF(P137="","ADD LINKEDIN","ok")</f>
        <v/>
      </c>
      <c r="S137" s="6" t="inlineStr">
        <is>
          <t>https://www.davidweekleyhomes.com/</t>
        </is>
      </c>
      <c r="T137" s="9" t="inlineStr">
        <is>
          <t>125,000 homes, Houston HQ, 50 years. Its supplier recognition covers insulation and fire-stopping, not the envelope.</t>
        </is>
      </c>
      <c r="U137" s="9" t="inlineStr">
        <is>
          <t>No construction-method or technology statement located. | No Houston community unit counts sourced.</t>
        </is>
      </c>
      <c r="V137" s="6" t="inlineStr"/>
      <c r="W137" s="9" t="inlineStr">
        <is>
          <t>Chairman, who started the company in 1976 at twenty-three.</t>
        </is>
      </c>
      <c r="X137" s="6" t="inlineStr">
        <is>
          <t>https://www.davidweekleyhomes.com/about-us/meet-the-team</t>
        </is>
      </c>
      <c r="Y137" s="6" t="inlineStr">
        <is>
          <t>https://www.linkedin.com/company/david-weekley-homes</t>
        </is>
      </c>
      <c r="Z137" s="6" t="inlineStr">
        <is>
          <t>https://www.davidweekleyhomes.com/about-us/meet-the-team</t>
        </is>
      </c>
    </row>
    <row r="138">
      <c r="A138" s="12" t="inlineStr">
        <is>
          <t>John Schiegg</t>
        </is>
      </c>
      <c r="B138" s="12" t="inlineStr">
        <is>
          <t>David Weekley Homes</t>
        </is>
      </c>
      <c r="C138" s="12" t="inlineStr">
        <is>
          <t>Vice President of Purchasing and Supply Chain, David Weekley Homes</t>
        </is>
      </c>
      <c r="D138" s="13" t="inlineStr">
        <is>
          <t>National scale, pilot not purchase</t>
        </is>
      </c>
      <c r="E138" s="14" t="n">
        <v>1</v>
      </c>
      <c r="F138" s="12" t="inlineStr">
        <is>
          <t>Buys walls</t>
        </is>
      </c>
      <c r="G138" s="12" t="inlineStr">
        <is>
          <t>Houston HQ, Harris County</t>
        </is>
      </c>
      <c r="H138" s="12" t="inlineStr">
        <is>
          <t>125,000+ homes, 19 markets, Houston HQ</t>
        </is>
      </c>
      <c r="I138" s="14" t="inlineStr">
        <is>
          <t>Yes</t>
        </is>
      </c>
      <c r="J138" s="15" t="inlineStr">
        <is>
          <t>125,000 homes across 19 markets, Houston head office, 50 years.</t>
        </is>
      </c>
      <c r="K138" s="14" t="inlineStr">
        <is>
          <t>No</t>
        </is>
      </c>
      <c r="L138" s="15" t="inlineStr">
        <is>
          <t>125,000 homes and a national purchasing and supply chain function.</t>
        </is>
      </c>
      <c r="M138" s="14" t="inlineStr">
        <is>
          <t>No</t>
        </is>
      </c>
      <c r="N138" s="15" t="inlineStr">
        <is>
          <t>Its 2026 supplier recognition covers insulation and fire-stopping, not the envelope.</t>
        </is>
      </c>
      <c r="O138" s="14" t="inlineStr">
        <is>
          <t>Partly</t>
        </is>
      </c>
      <c r="P138" s="6" t="inlineStr">
        <is>
          <t>https://www.linkedin.com/in/john-schiegg-7593996/</t>
        </is>
      </c>
      <c r="Q138" s="12" t="inlineStr"/>
      <c r="R138" s="16">
        <f>IF(P138="","ADD LINKEDIN","ok")</f>
        <v/>
      </c>
      <c r="S138" s="12" t="inlineStr">
        <is>
          <t>https://www.davidweekleyhomes.com/</t>
        </is>
      </c>
      <c r="T138" s="15" t="inlineStr">
        <is>
          <t>125,000 homes, Houston HQ, 50 years. Its supplier recognition covers insulation and fire-stopping, not the envelope.</t>
        </is>
      </c>
      <c r="U138" s="15" t="inlineStr">
        <is>
          <t>No construction-method or technology statement located. | No Houston community unit counts sourced.</t>
        </is>
      </c>
      <c r="V138" s="12" t="inlineStr">
        <is>
          <t>YES</t>
        </is>
      </c>
      <c r="W138" s="15" t="inlineStr">
        <is>
          <t>Profile opened. Company line reads David Weekley Homes, Houston, Texas. He owns purchasing and supply chain for the largest privately held builder in the country.</t>
        </is>
      </c>
      <c r="X138" s="12" t="inlineStr"/>
      <c r="Y138" s="12" t="inlineStr">
        <is>
          <t>https://www.linkedin.com/company/david-weekley-homes</t>
        </is>
      </c>
      <c r="Z138" s="12" t="inlineStr">
        <is>
          <t>https://www.davidweekleyhomes.com/about-us/meet-the-team</t>
        </is>
      </c>
    </row>
    <row r="139">
      <c r="A139" s="6" t="inlineStr">
        <is>
          <t>Ladd Fargo</t>
        </is>
      </c>
      <c r="B139" s="6" t="inlineStr">
        <is>
          <t>David Weekley Homes</t>
        </is>
      </c>
      <c r="C139" s="6" t="inlineStr">
        <is>
          <t>Chief Operating Officer, David Weekley Homes</t>
        </is>
      </c>
      <c r="D139" s="7" t="inlineStr">
        <is>
          <t>National scale, pilot not purchase</t>
        </is>
      </c>
      <c r="E139" s="8" t="n">
        <v>1</v>
      </c>
      <c r="F139" s="6" t="inlineStr">
        <is>
          <t>Buys walls</t>
        </is>
      </c>
      <c r="G139" s="6" t="inlineStr">
        <is>
          <t>Houston HQ, Harris County</t>
        </is>
      </c>
      <c r="H139" s="6" t="inlineStr">
        <is>
          <t>125,000+ homes, 19 markets, Houston HQ</t>
        </is>
      </c>
      <c r="I139" s="8" t="inlineStr">
        <is>
          <t>Yes</t>
        </is>
      </c>
      <c r="J139" s="9" t="inlineStr">
        <is>
          <t>125,000 homes across 19 markets, Houston head office, 50 years.</t>
        </is>
      </c>
      <c r="K139" s="8" t="inlineStr">
        <is>
          <t>No</t>
        </is>
      </c>
      <c r="L139" s="9" t="inlineStr">
        <is>
          <t>125,000 homes and a national purchasing and supply chain function.</t>
        </is>
      </c>
      <c r="M139" s="8" t="inlineStr">
        <is>
          <t>No</t>
        </is>
      </c>
      <c r="N139" s="9" t="inlineStr">
        <is>
          <t>Its 2026 supplier recognition covers insulation and fire-stopping, not the envelope.</t>
        </is>
      </c>
      <c r="O139" s="8" t="inlineStr">
        <is>
          <t>Partly</t>
        </is>
      </c>
      <c r="P139" s="6" t="inlineStr">
        <is>
          <t>https://www.linkedin.com/in/ladd-fargo-241a47259/</t>
        </is>
      </c>
      <c r="Q139" s="6" t="inlineStr"/>
      <c r="R139" s="11">
        <f>IF(P139="","ADD LINKEDIN","ok")</f>
        <v/>
      </c>
      <c r="S139" s="6" t="inlineStr">
        <is>
          <t>https://www.davidweekleyhomes.com/</t>
        </is>
      </c>
      <c r="T139" s="9" t="inlineStr">
        <is>
          <t>125,000 homes, Houston HQ, 50 years. Its supplier recognition covers insulation and fire-stopping, not the envelope.</t>
        </is>
      </c>
      <c r="U139" s="9" t="inlineStr">
        <is>
          <t>No construction-method or technology statement located. | No Houston community unit counts sourced.</t>
        </is>
      </c>
      <c r="V139" s="6" t="inlineStr"/>
      <c r="W139" s="9" t="inlineStr">
        <is>
          <t>Chief Operating Officer at David Weekley Homes. Houston, Texas.</t>
        </is>
      </c>
      <c r="X139" s="6" t="inlineStr"/>
      <c r="Y139" s="6" t="inlineStr">
        <is>
          <t>https://www.linkedin.com/company/david-weekley-homes</t>
        </is>
      </c>
      <c r="Z139" s="6" t="inlineStr">
        <is>
          <t>https://www.davidweekleyhomes.com/about-us/meet-the-team</t>
        </is>
      </c>
    </row>
    <row r="140">
      <c r="A140" s="12" t="inlineStr">
        <is>
          <t>Chad Durham</t>
        </is>
      </c>
      <c r="B140" s="12" t="inlineStr">
        <is>
          <t>David Weekley Homes</t>
        </is>
      </c>
      <c r="C140" s="12" t="inlineStr">
        <is>
          <t>Vice President of Build-to-Rent, David Weekley Homes</t>
        </is>
      </c>
      <c r="D140" s="13" t="inlineStr">
        <is>
          <t>National scale, pilot not purchase</t>
        </is>
      </c>
      <c r="E140" s="14" t="n">
        <v>1</v>
      </c>
      <c r="F140" s="12" t="inlineStr">
        <is>
          <t>Buys walls</t>
        </is>
      </c>
      <c r="G140" s="12" t="inlineStr">
        <is>
          <t>Houston HQ, Harris County</t>
        </is>
      </c>
      <c r="H140" s="12" t="inlineStr">
        <is>
          <t>125,000+ homes, 19 markets, Houston HQ</t>
        </is>
      </c>
      <c r="I140" s="14" t="inlineStr">
        <is>
          <t>Yes</t>
        </is>
      </c>
      <c r="J140" s="15" t="inlineStr">
        <is>
          <t>125,000 homes across 19 markets, Houston head office, 50 years.</t>
        </is>
      </c>
      <c r="K140" s="14" t="inlineStr">
        <is>
          <t>No</t>
        </is>
      </c>
      <c r="L140" s="15" t="inlineStr">
        <is>
          <t>125,000 homes and a national purchasing and supply chain function.</t>
        </is>
      </c>
      <c r="M140" s="14" t="inlineStr">
        <is>
          <t>No</t>
        </is>
      </c>
      <c r="N140" s="15" t="inlineStr">
        <is>
          <t>Its 2026 supplier recognition covers insulation and fire-stopping, not the envelope.</t>
        </is>
      </c>
      <c r="O140" s="14" t="inlineStr">
        <is>
          <t>Partly</t>
        </is>
      </c>
      <c r="P140" s="6" t="inlineStr">
        <is>
          <t>https://www.linkedin.com/in/chad-durham-1227bb74/</t>
        </is>
      </c>
      <c r="Q140" s="12" t="inlineStr"/>
      <c r="R140" s="16">
        <f>IF(P140="","ADD LINKEDIN","ok")</f>
        <v/>
      </c>
      <c r="S140" s="12" t="inlineStr">
        <is>
          <t>https://www.davidweekleyhomes.com/</t>
        </is>
      </c>
      <c r="T140" s="15" t="inlineStr">
        <is>
          <t>125,000 homes, Houston HQ, 50 years. Its supplier recognition covers insulation and fire-stopping, not the envelope.</t>
        </is>
      </c>
      <c r="U140" s="15" t="inlineStr">
        <is>
          <t>No construction-method or technology statement located. | No Houston community unit counts sourced.</t>
        </is>
      </c>
      <c r="V140" s="12" t="inlineStr"/>
      <c r="W140" s="15" t="inlineStr">
        <is>
          <t>Vice President of Build-To-Rent at David Weekley Homes. Austin, Texas, which is ICON's own city. Build-to-rent is the product line where a repeated wall pays back fastest.</t>
        </is>
      </c>
      <c r="X140" s="12" t="inlineStr"/>
      <c r="Y140" s="12" t="inlineStr">
        <is>
          <t>https://www.linkedin.com/company/david-weekley-homes</t>
        </is>
      </c>
      <c r="Z140" s="12" t="inlineStr">
        <is>
          <t>https://www.davidweekleyhomes.com/about-us/meet-the-team</t>
        </is>
      </c>
    </row>
    <row r="141">
      <c r="A141" s="6" t="inlineStr">
        <is>
          <t>Jim Lemming</t>
        </is>
      </c>
      <c r="B141" s="6" t="inlineStr">
        <is>
          <t>Partners in Building</t>
        </is>
      </c>
      <c r="C141" s="6" t="inlineStr">
        <is>
          <t>Chairman, formerly President and Chief Executive Officer until June 2026</t>
        </is>
      </c>
      <c r="D141" s="7" t="inlineStr">
        <is>
          <t>National scale, pilot not purchase</t>
        </is>
      </c>
      <c r="E141" s="8" t="n">
        <v>1</v>
      </c>
      <c r="F141" s="6" t="inlineStr">
        <is>
          <t>Buys walls</t>
        </is>
      </c>
      <c r="G141" s="6" t="inlineStr">
        <is>
          <t>Houston, build on your lot</t>
        </is>
      </c>
      <c r="H141" s="6" t="inlineStr">
        <is>
          <t>More than 300 homes a year in Texas and Tennessee</t>
        </is>
      </c>
      <c r="I141" s="8" t="inlineStr">
        <is>
          <t>No</t>
        </is>
      </c>
      <c r="J141" s="9" t="inlineStr">
        <is>
          <t>Build on your lot, one-of-a-kind by its own description. There is no plan set to repeat.</t>
        </is>
      </c>
      <c r="K141" s="8" t="inlineStr">
        <is>
          <t>Yes</t>
        </is>
      </c>
      <c r="L141" s="9" t="inlineStr">
        <is>
          <t>More than 300 homes a year on the firm's own count, across Texas and Tennessee.</t>
        </is>
      </c>
      <c r="M141" s="8" t="inlineStr">
        <is>
          <t>No</t>
        </is>
      </c>
      <c r="N141" s="9" t="inlineStr">
        <is>
          <t>No method evidence.</t>
        </is>
      </c>
      <c r="O141" s="8" t="inlineStr">
        <is>
          <t>Partly</t>
        </is>
      </c>
      <c r="P141" s="10" t="inlineStr"/>
      <c r="Q141" s="6">
        <f>HYPERLINK("https://www.linkedin.com/search/results/people/?keywords=Jim%20Lemming%20Partners%20in%20Building","search")</f>
        <v/>
      </c>
      <c r="R141" s="11">
        <f>IF(P141="","ADD LINKEDIN","ok")</f>
        <v/>
      </c>
      <c r="S141" s="6" t="inlineStr">
        <is>
          <t>https://partnersinbuilding.com/</t>
        </is>
      </c>
      <c r="T141" s="9" t="inlineStr">
        <is>
          <t>More than 300 homes a year and a vice president of purchasing. Every house is one-of-a-kind. The presidency passed from Jim to Chris Lemming in June 2026.</t>
        </is>
      </c>
      <c r="U141"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1" s="6" t="inlineStr"/>
      <c r="W141" s="9" t="inlineStr">
        <is>
          <t>HousingWire, 15 June 2026: President and CEO Jim Lemming will transition to chairman, and his son Chris Lemming will assume the presidency.</t>
        </is>
      </c>
      <c r="X141" s="6" t="inlineStr">
        <is>
          <t>https://www.housingwire.com/articles/partners-building-succession-plan/</t>
        </is>
      </c>
      <c r="Y141" s="6" t="inlineStr"/>
      <c r="Z141" s="6" t="inlineStr"/>
    </row>
    <row r="142">
      <c r="A142" s="12" t="inlineStr">
        <is>
          <t>Dewey Hennessee</t>
        </is>
      </c>
      <c r="B142" s="12" t="inlineStr">
        <is>
          <t>Partners in Building</t>
        </is>
      </c>
      <c r="C142" s="12" t="inlineStr">
        <is>
          <t>Vice President of Purchasing</t>
        </is>
      </c>
      <c r="D142" s="13" t="inlineStr">
        <is>
          <t>National scale, pilot not purchase</t>
        </is>
      </c>
      <c r="E142" s="14" t="n">
        <v>1</v>
      </c>
      <c r="F142" s="12" t="inlineStr">
        <is>
          <t>Buys walls</t>
        </is>
      </c>
      <c r="G142" s="12" t="inlineStr">
        <is>
          <t>Houston, build on your lot</t>
        </is>
      </c>
      <c r="H142" s="12" t="inlineStr">
        <is>
          <t>More than 300 homes a year in Texas and Tennessee</t>
        </is>
      </c>
      <c r="I142" s="14" t="inlineStr">
        <is>
          <t>No</t>
        </is>
      </c>
      <c r="J142" s="15" t="inlineStr">
        <is>
          <t>Build on your lot, one-of-a-kind by its own description. There is no plan set to repeat.</t>
        </is>
      </c>
      <c r="K142" s="14" t="inlineStr">
        <is>
          <t>Yes</t>
        </is>
      </c>
      <c r="L142" s="15" t="inlineStr">
        <is>
          <t>More than 300 homes a year on the firm's own count, across Texas and Tennessee.</t>
        </is>
      </c>
      <c r="M142" s="14" t="inlineStr">
        <is>
          <t>No</t>
        </is>
      </c>
      <c r="N142" s="15" t="inlineStr">
        <is>
          <t>No method evidence.</t>
        </is>
      </c>
      <c r="O142" s="14" t="inlineStr">
        <is>
          <t>Partly</t>
        </is>
      </c>
      <c r="P142" s="6" t="inlineStr">
        <is>
          <t>https://www.linkedin.com/in/dewey-hennessee-gmb-caps-cgp-95418531</t>
        </is>
      </c>
      <c r="Q142" s="12" t="inlineStr"/>
      <c r="R142" s="16">
        <f>IF(P142="","ADD LINKEDIN","ok")</f>
        <v/>
      </c>
      <c r="S142" s="12" t="inlineStr">
        <is>
          <t>https://partnersinbuilding.com/</t>
        </is>
      </c>
      <c r="T142" s="15" t="inlineStr">
        <is>
          <t>More than 300 homes a year and a vice president of purchasing. Every house is one-of-a-kind. The presidency passed from Jim to Chris Lemming in June 2026.</t>
        </is>
      </c>
      <c r="U142" s="15"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2" s="12" t="inlineStr">
        <is>
          <t>YES</t>
        </is>
      </c>
      <c r="W142" s="15" t="inlineStr">
        <is>
          <t>Indexed title reads Dewey Hennessee GMB CAPS CGP, Partners in Building. The title on file comes from the first pass and is not repeated in the index entry.</t>
        </is>
      </c>
      <c r="X142" s="12" t="inlineStr"/>
      <c r="Y142" s="12" t="inlineStr"/>
      <c r="Z142" s="12" t="inlineStr"/>
    </row>
    <row r="143">
      <c r="A143" s="6" t="inlineStr">
        <is>
          <t>Chris Lemming</t>
        </is>
      </c>
      <c r="B143" s="6" t="inlineStr">
        <is>
          <t>Partners in Building</t>
        </is>
      </c>
      <c r="C143" s="6" t="inlineStr">
        <is>
          <t>President, since June 2026</t>
        </is>
      </c>
      <c r="D143" s="7" t="inlineStr">
        <is>
          <t>National scale, pilot not purchase</t>
        </is>
      </c>
      <c r="E143" s="8" t="n">
        <v>1</v>
      </c>
      <c r="F143" s="6" t="inlineStr">
        <is>
          <t>Buys walls</t>
        </is>
      </c>
      <c r="G143" s="6" t="inlineStr">
        <is>
          <t>Houston, build on your lot</t>
        </is>
      </c>
      <c r="H143" s="6" t="inlineStr">
        <is>
          <t>More than 300 homes a year in Texas and Tennessee</t>
        </is>
      </c>
      <c r="I143" s="8" t="inlineStr">
        <is>
          <t>No</t>
        </is>
      </c>
      <c r="J143" s="9" t="inlineStr">
        <is>
          <t>Build on your lot, one-of-a-kind by its own description. There is no plan set to repeat.</t>
        </is>
      </c>
      <c r="K143" s="8" t="inlineStr">
        <is>
          <t>Yes</t>
        </is>
      </c>
      <c r="L143" s="9" t="inlineStr">
        <is>
          <t>More than 300 homes a year on the firm's own count, across Texas and Tennessee.</t>
        </is>
      </c>
      <c r="M143" s="8" t="inlineStr">
        <is>
          <t>No</t>
        </is>
      </c>
      <c r="N143" s="9" t="inlineStr">
        <is>
          <t>No method evidence.</t>
        </is>
      </c>
      <c r="O143" s="8" t="inlineStr">
        <is>
          <t>Partly</t>
        </is>
      </c>
      <c r="P143" s="10" t="inlineStr"/>
      <c r="Q143" s="6">
        <f>HYPERLINK("https://www.linkedin.com/search/results/people/?keywords=Chris%20Lemming%20Partners%20in%20Building","search")</f>
        <v/>
      </c>
      <c r="R143" s="11">
        <f>IF(P143="","ADD LINKEDIN","ok")</f>
        <v/>
      </c>
      <c r="S143" s="6" t="inlineStr">
        <is>
          <t>https://partnersinbuilding.com/</t>
        </is>
      </c>
      <c r="T143" s="9" t="inlineStr">
        <is>
          <t>More than 300 homes a year and a vice president of purchasing. Every house is one-of-a-kind. The presidency passed from Jim to Chris Lemming in June 2026.</t>
        </is>
      </c>
      <c r="U143" s="9" t="inlineStr">
        <is>
          <t>A custom builder with a vice president of purchasing is rare. The role only exists where somebody is standardising something. | Volume is spread across four markets in two states, so the Houston share is unknown. | Jim Lemming moved to chairman in June 2026 after an eighteen-month succession; his son Chris Lemming is president. The chief executive title on file from the first pass is stale.</t>
        </is>
      </c>
      <c r="V143" s="6" t="inlineStr"/>
      <c r="W143" s="9" t="inlineStr">
        <is>
          <t>HousingWire, 15 June 2026: Chris Lemming assumes the presidency after an eighteen-month succession.</t>
        </is>
      </c>
      <c r="X143" s="6" t="inlineStr">
        <is>
          <t>https://www.housingwire.com/articles/partners-building-succession-plan/</t>
        </is>
      </c>
      <c r="Y143" s="6" t="inlineStr"/>
      <c r="Z143" s="6" t="inlineStr"/>
    </row>
    <row r="144">
      <c r="A144" s="12" t="inlineStr">
        <is>
          <t>Kathy Britton</t>
        </is>
      </c>
      <c r="B144" s="12" t="inlineStr">
        <is>
          <t>Perry Homes</t>
        </is>
      </c>
      <c r="C144" s="12" t="inlineStr">
        <is>
          <t>Owner and Executive Chair</t>
        </is>
      </c>
      <c r="D144" s="13" t="inlineStr">
        <is>
          <t>National scale, pilot not purchase</t>
        </is>
      </c>
      <c r="E144" s="14" t="n">
        <v>1</v>
      </c>
      <c r="F144" s="12" t="inlineStr">
        <is>
          <t>Buys walls</t>
        </is>
      </c>
      <c r="G144" s="12" t="inlineStr">
        <is>
          <t>Houston HQ, Harris County</t>
        </is>
      </c>
      <c r="H144" s="12" t="inlineStr">
        <is>
          <t>120+ communities, 65,000+ homes sold</t>
        </is>
      </c>
      <c r="I144" s="14" t="inlineStr">
        <is>
          <t>Yes</t>
        </is>
      </c>
      <c r="J144" s="15" t="inlineStr">
        <is>
          <t>More than 120 communities and 65,000 homes, locally owned.</t>
        </is>
      </c>
      <c r="K144" s="14" t="inlineStr">
        <is>
          <t>No</t>
        </is>
      </c>
      <c r="L144" s="15" t="inlineStr">
        <is>
          <t>120 communities and thousands of closings a year, bought centrally.</t>
        </is>
      </c>
      <c r="M144" s="14" t="inlineStr">
        <is>
          <t>No</t>
        </is>
      </c>
      <c r="N144" s="15" t="inlineStr">
        <is>
          <t>Its own published definition of innovation is smart-home features and floor plans.</t>
        </is>
      </c>
      <c r="O144" s="14" t="inlineStr">
        <is>
          <t>Partly</t>
        </is>
      </c>
      <c r="P144" s="10" t="inlineStr"/>
      <c r="Q144" s="12">
        <f>HYPERLINK("https://www.linkedin.com/search/results/people/?keywords=Kathy%20Britton%20Perry%20Homes","search")</f>
        <v/>
      </c>
      <c r="R144" s="16">
        <f>IF(P144="","ADD LINKEDIN","ok")</f>
        <v/>
      </c>
      <c r="S144" s="12" t="inlineStr">
        <is>
          <t>https://www.perryhomes.com/</t>
        </is>
      </c>
      <c r="T144" s="15" t="inlineStr">
        <is>
          <t>120 communities and local ownership. Its own published definition of innovation never touches how the building is built.</t>
        </is>
      </c>
      <c r="U144" s="15" t="inlineStr">
        <is>
          <t>No Houston-specific community unit counts or acreage sourced. | No capital signal with a figure.</t>
        </is>
      </c>
      <c r="V144" s="12" t="inlineStr"/>
      <c r="W144" s="15" t="inlineStr">
        <is>
          <t>Perry's own page: Owner and Executive Chair, having succeeded her father Bob Perry as chief executive.</t>
        </is>
      </c>
      <c r="X144" s="12" t="inlineStr">
        <is>
          <t>https://www.perryhomes.com/about-perry-homes</t>
        </is>
      </c>
      <c r="Y144" s="12" t="inlineStr">
        <is>
          <t>https://www.linkedin.com/company/perry-homes</t>
        </is>
      </c>
      <c r="Z144" s="12" t="inlineStr">
        <is>
          <t>https://www.perryhomes.com/about-perry-homes</t>
        </is>
      </c>
    </row>
    <row r="145">
      <c r="A145" s="6" t="inlineStr">
        <is>
          <t>Todd Chachere</t>
        </is>
      </c>
      <c r="B145" s="6" t="inlineStr">
        <is>
          <t>Perry Homes</t>
        </is>
      </c>
      <c r="C145" s="6" t="inlineStr">
        <is>
          <t>Chief Executive Officer</t>
        </is>
      </c>
      <c r="D145" s="7" t="inlineStr">
        <is>
          <t>National scale, pilot not purchase</t>
        </is>
      </c>
      <c r="E145" s="8" t="n">
        <v>1</v>
      </c>
      <c r="F145" s="6" t="inlineStr">
        <is>
          <t>Buys walls</t>
        </is>
      </c>
      <c r="G145" s="6" t="inlineStr">
        <is>
          <t>Houston HQ, Harris County</t>
        </is>
      </c>
      <c r="H145" s="6" t="inlineStr">
        <is>
          <t>120+ communities, 65,000+ homes sold</t>
        </is>
      </c>
      <c r="I145" s="8" t="inlineStr">
        <is>
          <t>Yes</t>
        </is>
      </c>
      <c r="J145" s="9" t="inlineStr">
        <is>
          <t>More than 120 communities and 65,000 homes, locally owned.</t>
        </is>
      </c>
      <c r="K145" s="8" t="inlineStr">
        <is>
          <t>No</t>
        </is>
      </c>
      <c r="L145" s="9" t="inlineStr">
        <is>
          <t>120 communities and thousands of closings a year, bought centrally.</t>
        </is>
      </c>
      <c r="M145" s="8" t="inlineStr">
        <is>
          <t>No</t>
        </is>
      </c>
      <c r="N145" s="9" t="inlineStr">
        <is>
          <t>Its own published definition of innovation is smart-home features and floor plans.</t>
        </is>
      </c>
      <c r="O145" s="8" t="inlineStr">
        <is>
          <t>Partly</t>
        </is>
      </c>
      <c r="P145" s="10" t="inlineStr"/>
      <c r="Q145" s="6">
        <f>HYPERLINK("https://www.linkedin.com/search/results/people/?keywords=Todd%20Chachere%20Perry%20Homes","search")</f>
        <v/>
      </c>
      <c r="R145" s="11">
        <f>IF(P145="","ADD LINKEDIN","ok")</f>
        <v/>
      </c>
      <c r="S145" s="6" t="inlineStr">
        <is>
          <t>https://www.perryhomes.com/</t>
        </is>
      </c>
      <c r="T145" s="9" t="inlineStr">
        <is>
          <t>120 communities and local ownership. Its own published definition of innovation never touches how the building is built.</t>
        </is>
      </c>
      <c r="U145" s="9" t="inlineStr">
        <is>
          <t>No Houston-specific community unit counts or acreage sourced. | No capital signal with a figure.</t>
        </is>
      </c>
      <c r="V145" s="6" t="inlineStr"/>
      <c r="W145" s="9" t="inlineStr">
        <is>
          <t>Chief Executive Officer on Perry's own page.</t>
        </is>
      </c>
      <c r="X145" s="6" t="inlineStr">
        <is>
          <t>https://www.perryhomes.com/about-perry-homes</t>
        </is>
      </c>
      <c r="Y145" s="6" t="inlineStr">
        <is>
          <t>https://www.linkedin.com/company/perry-homes</t>
        </is>
      </c>
      <c r="Z145" s="6" t="inlineStr">
        <is>
          <t>https://www.perryhomes.com/about-perry-homes</t>
        </is>
      </c>
    </row>
    <row r="146">
      <c r="A146" s="12" t="inlineStr">
        <is>
          <t>Shane Huhn</t>
        </is>
      </c>
      <c r="B146" s="12" t="inlineStr">
        <is>
          <t>Perry Homes</t>
        </is>
      </c>
      <c r="C146" s="12" t="inlineStr">
        <is>
          <t>Vice President of Construction, Perry Homes</t>
        </is>
      </c>
      <c r="D146" s="13" t="inlineStr">
        <is>
          <t>National scale, pilot not purchase</t>
        </is>
      </c>
      <c r="E146" s="14" t="n">
        <v>1</v>
      </c>
      <c r="F146" s="12" t="inlineStr">
        <is>
          <t>Buys walls</t>
        </is>
      </c>
      <c r="G146" s="12" t="inlineStr">
        <is>
          <t>Houston HQ, Harris County</t>
        </is>
      </c>
      <c r="H146" s="12" t="inlineStr">
        <is>
          <t>120+ communities, 65,000+ homes sold</t>
        </is>
      </c>
      <c r="I146" s="14" t="inlineStr">
        <is>
          <t>Yes</t>
        </is>
      </c>
      <c r="J146" s="15" t="inlineStr">
        <is>
          <t>More than 120 communities and 65,000 homes, locally owned.</t>
        </is>
      </c>
      <c r="K146" s="14" t="inlineStr">
        <is>
          <t>No</t>
        </is>
      </c>
      <c r="L146" s="15" t="inlineStr">
        <is>
          <t>120 communities and thousands of closings a year, bought centrally.</t>
        </is>
      </c>
      <c r="M146" s="14" t="inlineStr">
        <is>
          <t>No</t>
        </is>
      </c>
      <c r="N146" s="15" t="inlineStr">
        <is>
          <t>Its own published definition of innovation is smart-home features and floor plans.</t>
        </is>
      </c>
      <c r="O146" s="14" t="inlineStr">
        <is>
          <t>Partly</t>
        </is>
      </c>
      <c r="P146" s="6" t="inlineStr">
        <is>
          <t>https://www.linkedin.com/in/shane-huhn-645270161/</t>
        </is>
      </c>
      <c r="Q146" s="12" t="inlineStr"/>
      <c r="R146" s="16">
        <f>IF(P146="","ADD LINKEDIN","ok")</f>
        <v/>
      </c>
      <c r="S146" s="12" t="inlineStr">
        <is>
          <t>https://www.perryhomes.com/</t>
        </is>
      </c>
      <c r="T146" s="15" t="inlineStr">
        <is>
          <t>120 communities and local ownership. Its own published definition of innovation never touches how the building is built.</t>
        </is>
      </c>
      <c r="U146" s="15" t="inlineStr">
        <is>
          <t>No Houston-specific community unit counts or acreage sourced. | No capital signal with a figure.</t>
        </is>
      </c>
      <c r="V146" s="12" t="inlineStr">
        <is>
          <t>YES</t>
        </is>
      </c>
      <c r="W146" s="15" t="inlineStr">
        <is>
          <t>Vice President of Construction at Perry Homes. Location shows only United States; Perry is headquartered in Houston.</t>
        </is>
      </c>
      <c r="X146" s="12" t="inlineStr"/>
      <c r="Y146" s="12" t="inlineStr">
        <is>
          <t>https://www.linkedin.com/company/perry-homes</t>
        </is>
      </c>
      <c r="Z146" s="12" t="inlineStr">
        <is>
          <t>https://www.perryhomes.com/about-perry-homes</t>
        </is>
      </c>
    </row>
    <row r="147">
      <c r="A147" s="6" t="inlineStr">
        <is>
          <t>Lauren Chachere</t>
        </is>
      </c>
      <c r="B147" s="6" t="inlineStr">
        <is>
          <t>Perry Homes</t>
        </is>
      </c>
      <c r="C147" s="6" t="inlineStr">
        <is>
          <t>Vice President of Purchasing, Perry Homes</t>
        </is>
      </c>
      <c r="D147" s="7" t="inlineStr">
        <is>
          <t>National scale, pilot not purchase</t>
        </is>
      </c>
      <c r="E147" s="8" t="n">
        <v>1</v>
      </c>
      <c r="F147" s="6" t="inlineStr">
        <is>
          <t>Buys walls</t>
        </is>
      </c>
      <c r="G147" s="6" t="inlineStr">
        <is>
          <t>Houston HQ, Harris County</t>
        </is>
      </c>
      <c r="H147" s="6" t="inlineStr">
        <is>
          <t>120+ communities, 65,000+ homes sold</t>
        </is>
      </c>
      <c r="I147" s="8" t="inlineStr">
        <is>
          <t>Yes</t>
        </is>
      </c>
      <c r="J147" s="9" t="inlineStr">
        <is>
          <t>More than 120 communities and 65,000 homes, locally owned.</t>
        </is>
      </c>
      <c r="K147" s="8" t="inlineStr">
        <is>
          <t>No</t>
        </is>
      </c>
      <c r="L147" s="9" t="inlineStr">
        <is>
          <t>120 communities and thousands of closings a year, bought centrally.</t>
        </is>
      </c>
      <c r="M147" s="8" t="inlineStr">
        <is>
          <t>No</t>
        </is>
      </c>
      <c r="N147" s="9" t="inlineStr">
        <is>
          <t>Its own published definition of innovation is smart-home features and floor plans.</t>
        </is>
      </c>
      <c r="O147" s="8" t="inlineStr">
        <is>
          <t>Partly</t>
        </is>
      </c>
      <c r="P147" s="6" t="inlineStr">
        <is>
          <t>https://www.linkedin.com/in/laurenchachere/</t>
        </is>
      </c>
      <c r="Q147" s="6" t="inlineStr"/>
      <c r="R147" s="11">
        <f>IF(P147="","ADD LINKEDIN","ok")</f>
        <v/>
      </c>
      <c r="S147" s="6" t="inlineStr">
        <is>
          <t>https://www.perryhomes.com/</t>
        </is>
      </c>
      <c r="T147" s="9" t="inlineStr">
        <is>
          <t>120 communities and local ownership. Its own published definition of innovation never touches how the building is built.</t>
        </is>
      </c>
      <c r="U147" s="9" t="inlineStr">
        <is>
          <t>No Houston-specific community unit counts or acreage sourced. | No capital signal with a figure.</t>
        </is>
      </c>
      <c r="V147" s="6" t="inlineStr">
        <is>
          <t>YES</t>
        </is>
      </c>
      <c r="W147" s="9" t="inlineStr">
        <is>
          <t>Vice President of Purchasing at Perry Homes. Houston, Texas.</t>
        </is>
      </c>
      <c r="X147" s="6" t="inlineStr"/>
      <c r="Y147" s="6" t="inlineStr">
        <is>
          <t>https://www.linkedin.com/company/perry-homes</t>
        </is>
      </c>
      <c r="Z147" s="6" t="inlineStr">
        <is>
          <t>https://www.perryhomes.com/about-perry-homes</t>
        </is>
      </c>
    </row>
    <row r="148">
      <c r="A148" s="12" t="inlineStr">
        <is>
          <t>Ronny Salameh</t>
        </is>
      </c>
      <c r="B148" s="12" t="inlineStr">
        <is>
          <t>Brightland Homes</t>
        </is>
      </c>
      <c r="C148" s="12" t="inlineStr">
        <is>
          <t>President and Chief Executive Officer, The DRB Group</t>
        </is>
      </c>
      <c r="D148" s="13" t="inlineStr">
        <is>
          <t>National scale, pilot not purchase</t>
        </is>
      </c>
      <c r="E148" s="14" t="n">
        <v>1</v>
      </c>
      <c r="F148" s="12" t="inlineStr">
        <is>
          <t>Buys walls</t>
        </is>
      </c>
      <c r="G148" s="12" t="inlineStr">
        <is>
          <t>Addison HQ / Montgomery, Harris</t>
        </is>
      </c>
      <c r="H148" s="12" t="inlineStr">
        <is>
          <t>110 communities, 17,000+ homes delivered</t>
        </is>
      </c>
      <c r="I148" s="14" t="inlineStr">
        <is>
          <t>Partly</t>
        </is>
      </c>
      <c r="J148" s="15" t="inlineStr">
        <is>
          <t>110 active communities.</t>
        </is>
      </c>
      <c r="K148" s="14" t="inlineStr">
        <is>
          <t>No</t>
        </is>
      </c>
      <c r="L148" s="15" t="inlineStr">
        <is>
          <t>110 communities inside the DRB platform, bought by a parent that has put capital into wood.</t>
        </is>
      </c>
      <c r="M148" s="14" t="inlineStr">
        <is>
          <t>No</t>
        </is>
      </c>
      <c r="N148" s="15" t="inlineStr">
        <is>
          <t>Owner Sumitomo Forestry is a timber group, which may cut against a concrete wall.</t>
        </is>
      </c>
      <c r="O148" s="14" t="inlineStr">
        <is>
          <t>Partly</t>
        </is>
      </c>
      <c r="P148" s="10" t="inlineStr"/>
      <c r="Q148" s="12">
        <f>HYPERLINK("https://www.linkedin.com/search/results/people/?keywords=Ronny%20Salameh%20Brightland%20Homes","search")</f>
        <v/>
      </c>
      <c r="R148" s="16">
        <f>IF(P148="","ADD LINKEDIN","ok")</f>
        <v/>
      </c>
      <c r="S148" s="12" t="inlineStr">
        <is>
          <t>https://www.brightlandhomes.com/</t>
        </is>
      </c>
      <c r="T148" s="15" t="inlineStr">
        <is>
          <t>110 communities, but parent Sumitomo Forestry bought a sawmill and is integrating wood framing across the platform Brightland sits in.</t>
        </is>
      </c>
      <c r="U148" s="15"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8" s="12" t="inlineStr"/>
      <c r="W148" s="15" t="inlineStr">
        <is>
          <t>President and Chief Executive Officer of The DRB Group, which has owned Brightland since April 2025.</t>
        </is>
      </c>
      <c r="X148" s="12" t="inlineStr">
        <is>
          <t>https://www.drbgroup.com/about</t>
        </is>
      </c>
      <c r="Y148" s="12" t="inlineStr">
        <is>
          <t>https://www.linkedin.com/company/brightlandhomes</t>
        </is>
      </c>
      <c r="Z148" s="12" t="inlineStr">
        <is>
          <t>https://www.drbgroup.com/about</t>
        </is>
      </c>
    </row>
    <row r="149">
      <c r="A149" s="6" t="inlineStr">
        <is>
          <t>Young Nam</t>
        </is>
      </c>
      <c r="B149" s="6" t="inlineStr">
        <is>
          <t>Brightland Homes</t>
        </is>
      </c>
      <c r="C149" s="6" t="inlineStr">
        <is>
          <t>Senior Vice President of Purchasing, The DRB Group</t>
        </is>
      </c>
      <c r="D149" s="7" t="inlineStr">
        <is>
          <t>National scale, pilot not purchase</t>
        </is>
      </c>
      <c r="E149" s="8" t="n">
        <v>1</v>
      </c>
      <c r="F149" s="6" t="inlineStr">
        <is>
          <t>Buys walls</t>
        </is>
      </c>
      <c r="G149" s="6" t="inlineStr">
        <is>
          <t>Addison HQ / Montgomery, Harris</t>
        </is>
      </c>
      <c r="H149" s="6" t="inlineStr">
        <is>
          <t>110 communities, 17,000+ homes delivered</t>
        </is>
      </c>
      <c r="I149" s="8" t="inlineStr">
        <is>
          <t>Partly</t>
        </is>
      </c>
      <c r="J149" s="9" t="inlineStr">
        <is>
          <t>110 active communities.</t>
        </is>
      </c>
      <c r="K149" s="8" t="inlineStr">
        <is>
          <t>No</t>
        </is>
      </c>
      <c r="L149" s="9" t="inlineStr">
        <is>
          <t>110 communities inside the DRB platform, bought by a parent that has put capital into wood.</t>
        </is>
      </c>
      <c r="M149" s="8" t="inlineStr">
        <is>
          <t>No</t>
        </is>
      </c>
      <c r="N149" s="9" t="inlineStr">
        <is>
          <t>Owner Sumitomo Forestry is a timber group, which may cut against a concrete wall.</t>
        </is>
      </c>
      <c r="O149" s="8" t="inlineStr">
        <is>
          <t>Partly</t>
        </is>
      </c>
      <c r="P149" s="6" t="inlineStr">
        <is>
          <t>https://www.linkedin.com/in/young-nam-78b36229/</t>
        </is>
      </c>
      <c r="Q149" s="6" t="inlineStr"/>
      <c r="R149" s="11">
        <f>IF(P149="","ADD LINKEDIN","ok")</f>
        <v/>
      </c>
      <c r="S149" s="6" t="inlineStr">
        <is>
          <t>https://www.brightlandhomes.com/</t>
        </is>
      </c>
      <c r="T149" s="9" t="inlineStr">
        <is>
          <t>110 communities, but parent Sumitomo Forestry bought a sawmill and is integrating wood framing across the platform Brightland sits in.</t>
        </is>
      </c>
      <c r="U149" s="9" t="inlineStr">
        <is>
          <t>Current chief executive not confirmed. The 2023-era CEO subsequently moved to First America Homes. | Sumitomo Forestry is a timber group. Owner may favour wood framing structurally. Test this before investing time. | Brightland's Houston listings are an area construction manager, sales counselors and online sales specialists, with no vice president or director of any function. The metro presence is a sales and field-supervision office; the decisions moved up to the DRB Group platform after the April 2025 consolidation. There is no local door here. | The Sumitomo Forestry timber position is now evidenced, not speculative. Brightland was consolidated under The DRB Group on 1 April 2025. Sumitomo bought a Louisiana sawmill on 1 July 2025 for $29 million, enough framing lumber for roughly 14,000 homes a year, to supply DRB and in-network panel and truss operations under a stated own-more-of-the-stack strategy. A concrete wall system competes against parent-company capital committed to wood. No document shows Brightland's own specification has changed. | Young Nam's LinkedIn headline gives the title and the right metropolitan area but does not name The DRB Group. Name, function and geography all match the parent's own leadership page. Confirm before outreach. | No Houston-specific community list with unit counts.</t>
        </is>
      </c>
      <c r="V149" s="6" t="inlineStr">
        <is>
          <t>YES</t>
        </is>
      </c>
      <c r="W149" s="9" t="inlineStr">
        <is>
          <t>Senior Vice President of Supply Chain, Bethesda, Maryland. The DRB Group's own leadership page lists a Young Nam as SVP of Purchasing, and DRB is headquartered in the Maryland suburbs. Senior Vice President of Purchasing at The DRB Group. Brightland publishes no leadership of its own, so the person who buys for the platform Brightland sits inside is the contact.</t>
        </is>
      </c>
      <c r="X149" s="6" t="inlineStr">
        <is>
          <t>https://www.drbgroup.com/about</t>
        </is>
      </c>
      <c r="Y149" s="6" t="inlineStr">
        <is>
          <t>https://www.linkedin.com/company/brightlandhomes</t>
        </is>
      </c>
      <c r="Z149" s="6" t="inlineStr">
        <is>
          <t>https://www.drbgroup.com/about</t>
        </is>
      </c>
    </row>
    <row r="150">
      <c r="A150" s="12" t="inlineStr">
        <is>
          <t>Danny Signorelli</t>
        </is>
      </c>
      <c r="B150" s="12" t="inlineStr">
        <is>
          <t>The Signorelli Company</t>
        </is>
      </c>
      <c r="C150" s="12" t="inlineStr">
        <is>
          <t>Founder and Chief Executive Officer</t>
        </is>
      </c>
      <c r="D150" s="13" t="inlineStr">
        <is>
          <t>Masterplan owner</t>
        </is>
      </c>
      <c r="E150" s="14" t="n">
        <v>2</v>
      </c>
      <c r="F150" s="12" t="inlineStr">
        <is>
          <t>Sells lots</t>
        </is>
      </c>
      <c r="G150" s="12" t="inlineStr">
        <is>
          <t>The Woodlands HQ / Fort Bend, Liberty</t>
        </is>
      </c>
      <c r="H150" s="12" t="inlineStr">
        <is>
          <t>23,000+ paper lots in pipeline</t>
        </is>
      </c>
      <c r="I150" s="14" t="inlineStr">
        <is>
          <t>Yes</t>
        </is>
      </c>
      <c r="J150" s="15" t="inlineStr"/>
      <c r="K150" s="14" t="inlineStr">
        <is>
          <t>Partly</t>
        </is>
      </c>
      <c r="L150" s="15" t="inlineStr"/>
      <c r="M150" s="14" t="inlineStr">
        <is>
          <t>No</t>
        </is>
      </c>
      <c r="N150" s="15" t="inlineStr"/>
      <c r="O150" s="14" t="inlineStr">
        <is>
          <t>Partly</t>
        </is>
      </c>
      <c r="P150" s="6" t="inlineStr">
        <is>
          <t>https://www.linkedin.com/in/danny-signorelli-6284461b/</t>
        </is>
      </c>
      <c r="Q150" s="12" t="inlineStr"/>
      <c r="R150" s="16">
        <f>IF(P150="","ADD LINKEDIN","ok")</f>
        <v/>
      </c>
      <c r="S150" s="12" t="inlineStr">
        <is>
          <t>https://www.signorellicompany.com/</t>
        </is>
      </c>
      <c r="T150" s="15" t="inlineStr">
        <is>
          <t>Sells lots, but owns First America Homes, which holds all three counts. One president runs both.</t>
        </is>
      </c>
      <c r="U150"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0" s="12" t="inlineStr"/>
      <c r="W150" s="15" t="inlineStr">
        <is>
          <t>CEO, President, The Signorelli Company. Greater Houston.</t>
        </is>
      </c>
      <c r="X150" s="12" t="inlineStr"/>
      <c r="Y150" s="12" t="inlineStr">
        <is>
          <t>https://www.linkedin.com/company/signorelli-company</t>
        </is>
      </c>
      <c r="Z150" s="12" t="inlineStr">
        <is>
          <t>https://www.signorellicompany.com/our-leadership</t>
        </is>
      </c>
    </row>
    <row r="151">
      <c r="A151" s="6" t="inlineStr">
        <is>
          <t>Jeff Dewese</t>
        </is>
      </c>
      <c r="B151" s="6" t="inlineStr">
        <is>
          <t>The Signorelli Company</t>
        </is>
      </c>
      <c r="C151" s="6" t="inlineStr">
        <is>
          <t>President, Land Division</t>
        </is>
      </c>
      <c r="D151" s="7" t="inlineStr">
        <is>
          <t>Masterplan owner</t>
        </is>
      </c>
      <c r="E151" s="8" t="n">
        <v>2</v>
      </c>
      <c r="F151" s="6" t="inlineStr">
        <is>
          <t>Sells lots</t>
        </is>
      </c>
      <c r="G151" s="6" t="inlineStr">
        <is>
          <t>The Woodlands HQ / Fort Bend, Liberty</t>
        </is>
      </c>
      <c r="H151" s="6" t="inlineStr">
        <is>
          <t>23,000+ paper lots in pipeline</t>
        </is>
      </c>
      <c r="I151" s="8" t="inlineStr">
        <is>
          <t>Yes</t>
        </is>
      </c>
      <c r="J151" s="9" t="inlineStr"/>
      <c r="K151" s="8" t="inlineStr">
        <is>
          <t>Partly</t>
        </is>
      </c>
      <c r="L151" s="9" t="inlineStr"/>
      <c r="M151" s="8" t="inlineStr">
        <is>
          <t>No</t>
        </is>
      </c>
      <c r="N151" s="9" t="inlineStr"/>
      <c r="O151" s="8" t="inlineStr">
        <is>
          <t>Partly</t>
        </is>
      </c>
      <c r="P151" s="10" t="inlineStr"/>
      <c r="Q151" s="6">
        <f>HYPERLINK("https://www.linkedin.com/search/results/people/?keywords=Jeff%20Dewese%20The%20Signorelli%20Company","search")</f>
        <v/>
      </c>
      <c r="R151" s="11">
        <f>IF(P151="","ADD LINKEDIN","ok")</f>
        <v/>
      </c>
      <c r="S151" s="6" t="inlineStr">
        <is>
          <t>https://www.signorellicompany.com/</t>
        </is>
      </c>
      <c r="T151" s="9" t="inlineStr">
        <is>
          <t>Sells lots, but owns First America Homes, which holds all three counts. One president runs both.</t>
        </is>
      </c>
      <c r="U151"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1" s="6" t="inlineStr"/>
      <c r="W151" s="9" t="inlineStr">
        <is>
          <t>Signorelli's own bio page. President, Land Division, overseeing land acquisition, planning and construction management for Granger Pines, Cielo and Austin Point.</t>
        </is>
      </c>
      <c r="X151" s="6" t="inlineStr">
        <is>
          <t>https://www.signorellicompany.com/our-leadership/15/jeff-dewese</t>
        </is>
      </c>
      <c r="Y151" s="6" t="inlineStr">
        <is>
          <t>https://www.linkedin.com/company/signorelli-company</t>
        </is>
      </c>
      <c r="Z151" s="6" t="inlineStr">
        <is>
          <t>https://www.signorellicompany.com/our-leadership</t>
        </is>
      </c>
    </row>
    <row r="152">
      <c r="A152" s="12" t="inlineStr">
        <is>
          <t>Harry Dinham</t>
        </is>
      </c>
      <c r="B152" s="12" t="inlineStr">
        <is>
          <t>The Signorelli Company</t>
        </is>
      </c>
      <c r="C152" s="12" t="inlineStr">
        <is>
          <t>Chief Financial Officer</t>
        </is>
      </c>
      <c r="D152" s="13" t="inlineStr">
        <is>
          <t>Masterplan owner</t>
        </is>
      </c>
      <c r="E152" s="14" t="n">
        <v>2</v>
      </c>
      <c r="F152" s="12" t="inlineStr">
        <is>
          <t>Sells lots</t>
        </is>
      </c>
      <c r="G152" s="12" t="inlineStr">
        <is>
          <t>The Woodlands HQ / Fort Bend, Liberty</t>
        </is>
      </c>
      <c r="H152" s="12" t="inlineStr">
        <is>
          <t>23,000+ paper lots in pipeline</t>
        </is>
      </c>
      <c r="I152" s="14" t="inlineStr">
        <is>
          <t>Yes</t>
        </is>
      </c>
      <c r="J152" s="15" t="inlineStr"/>
      <c r="K152" s="14" t="inlineStr">
        <is>
          <t>Partly</t>
        </is>
      </c>
      <c r="L152" s="15" t="inlineStr"/>
      <c r="M152" s="14" t="inlineStr">
        <is>
          <t>No</t>
        </is>
      </c>
      <c r="N152" s="15" t="inlineStr"/>
      <c r="O152" s="14" t="inlineStr">
        <is>
          <t>Partly</t>
        </is>
      </c>
      <c r="P152" s="10" t="inlineStr"/>
      <c r="Q152" s="12">
        <f>HYPERLINK("https://www.linkedin.com/search/results/people/?keywords=Harry%20Dinham%20The%20Signorelli%20Company","search")</f>
        <v/>
      </c>
      <c r="R152" s="16">
        <f>IF(P152="","ADD LINKEDIN","ok")</f>
        <v/>
      </c>
      <c r="S152" s="12" t="inlineStr">
        <is>
          <t>https://www.signorellicompany.com/</t>
        </is>
      </c>
      <c r="T152" s="15" t="inlineStr">
        <is>
          <t>Sells lots, but owns First America Homes, which holds all three counts. One president runs both.</t>
        </is>
      </c>
      <c r="U152" s="15"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2" s="12" t="inlineStr"/>
      <c r="W152" s="15" t="inlineStr">
        <is>
          <t>Signorelli's own bio page. Chief Financial Officer on the executive leadership team.</t>
        </is>
      </c>
      <c r="X152" s="12" t="inlineStr">
        <is>
          <t>https://www.signorellicompany.com/our-leadership/30/harry-dinham</t>
        </is>
      </c>
      <c r="Y152" s="12" t="inlineStr">
        <is>
          <t>https://www.linkedin.com/company/signorelli-company</t>
        </is>
      </c>
      <c r="Z152" s="12" t="inlineStr">
        <is>
          <t>https://www.signorellicompany.com/our-leadership</t>
        </is>
      </c>
    </row>
    <row r="153">
      <c r="A153" s="6" t="inlineStr">
        <is>
          <t>John Winniford</t>
        </is>
      </c>
      <c r="B153" s="6" t="inlineStr">
        <is>
          <t>The Signorelli Company</t>
        </is>
      </c>
      <c r="C153" s="6" t="inlineStr">
        <is>
          <t>President, Homebuilding, The Signorelli Company</t>
        </is>
      </c>
      <c r="D153" s="7" t="inlineStr">
        <is>
          <t>Masterplan owner</t>
        </is>
      </c>
      <c r="E153" s="8" t="n">
        <v>2</v>
      </c>
      <c r="F153" s="6" t="inlineStr">
        <is>
          <t>Sells lots</t>
        </is>
      </c>
      <c r="G153" s="6" t="inlineStr">
        <is>
          <t>The Woodlands HQ / Fort Bend, Liberty</t>
        </is>
      </c>
      <c r="H153" s="6" t="inlineStr">
        <is>
          <t>23,000+ paper lots in pipeline</t>
        </is>
      </c>
      <c r="I153" s="8" t="inlineStr">
        <is>
          <t>Yes</t>
        </is>
      </c>
      <c r="J153" s="9" t="inlineStr"/>
      <c r="K153" s="8" t="inlineStr">
        <is>
          <t>Partly</t>
        </is>
      </c>
      <c r="L153" s="9" t="inlineStr"/>
      <c r="M153" s="8" t="inlineStr">
        <is>
          <t>No</t>
        </is>
      </c>
      <c r="N153" s="9" t="inlineStr"/>
      <c r="O153" s="8" t="inlineStr">
        <is>
          <t>Partly</t>
        </is>
      </c>
      <c r="P153" s="10" t="inlineStr"/>
      <c r="Q153" s="6">
        <f>HYPERLINK("https://www.linkedin.com/search/results/people/?keywords=John%20Winniford%20The%20Signorelli%20Company","search")</f>
        <v/>
      </c>
      <c r="R153" s="11">
        <f>IF(P153="","ADD LINKEDIN","ok")</f>
        <v/>
      </c>
      <c r="S153" s="6" t="inlineStr">
        <is>
          <t>https://www.signorellicompany.com/</t>
        </is>
      </c>
      <c r="T153" s="9" t="inlineStr">
        <is>
          <t>Sells lots, but owns First America Homes, which holds all three counts. One president runs both.</t>
        </is>
      </c>
      <c r="U153" s="9" t="inlineStr">
        <is>
          <t>The cookie-cutter quote concerns land use and commercial mix, not construction method. It is not evidence of a track record. | John Winniford holds the title President, Homebuilding at Signorelli and is also president of First America Homes. Signorelli itself names a commercial-division construction manager and land-development managers, and no vice president or director of construction. | Austin Point acreage cited as both 4,700 and 6,400 acres in different releases. Not reconciled. | No capital signal with a figure.</t>
        </is>
      </c>
      <c r="V153" s="6" t="inlineStr"/>
      <c r="W153" s="9" t="inlineStr">
        <is>
          <t>President, Homebuilding. The same person who runs First America, which Signorelli owns, so a single approach reaches both the land position and the builder.</t>
        </is>
      </c>
      <c r="X153" s="6" t="inlineStr">
        <is>
          <t>https://www.signorellicompany.com/our-leadership/34/john-winniford</t>
        </is>
      </c>
      <c r="Y153" s="6" t="inlineStr">
        <is>
          <t>https://www.linkedin.com/company/signorelli-company</t>
        </is>
      </c>
      <c r="Z153" s="6" t="inlineStr">
        <is>
          <t>https://www.signorellicompany.com/our-leadership</t>
        </is>
      </c>
    </row>
    <row r="154">
      <c r="A154" s="12" t="inlineStr">
        <is>
          <t>David O'Reilly</t>
        </is>
      </c>
      <c r="B154" s="12" t="inlineStr">
        <is>
          <t>Howard Hughes Holdings Inc.</t>
        </is>
      </c>
      <c r="C154" s="12" t="inlineStr">
        <is>
          <t>Chief Executive Officer</t>
        </is>
      </c>
      <c r="D154" s="13" t="inlineStr">
        <is>
          <t>Masterplan owner</t>
        </is>
      </c>
      <c r="E154" s="14" t="n">
        <v>1</v>
      </c>
      <c r="F154" s="12" t="inlineStr">
        <is>
          <t>Sells lots</t>
        </is>
      </c>
      <c r="G154" s="12" t="inlineStr">
        <is>
          <t>The Woodlands HQ / Harris, Montgomery</t>
        </is>
      </c>
      <c r="H154" s="12" t="inlineStr">
        <is>
          <t>$900M Pershing Square investment, 46.9%</t>
        </is>
      </c>
      <c r="I154" s="14" t="inlineStr">
        <is>
          <t>Yes</t>
        </is>
      </c>
      <c r="J154" s="15" t="inlineStr"/>
      <c r="K154" s="14" t="inlineStr">
        <is>
          <t>No</t>
        </is>
      </c>
      <c r="L154" s="15" t="inlineStr"/>
      <c r="M154" s="14" t="inlineStr">
        <is>
          <t>No</t>
        </is>
      </c>
      <c r="N154" s="15" t="inlineStr"/>
      <c r="O154" s="14" t="inlineStr">
        <is>
          <t>Yes</t>
        </is>
      </c>
      <c r="P154" s="10" t="inlineStr"/>
      <c r="Q154" s="12">
        <f>HYPERLINK("https://www.linkedin.com/search/results/people/?keywords=David%20O%27Reilly%20Howard%20Hughes%20Holdings%20Inc.","search")</f>
        <v/>
      </c>
      <c r="R154" s="16">
        <f>IF(P154="","ADD LINKEDIN","ok")</f>
        <v/>
      </c>
      <c r="S154" s="12" t="inlineStr">
        <is>
          <t>https://www.howardhughes.com/</t>
        </is>
      </c>
      <c r="T154" s="15" t="inlineStr">
        <is>
          <t>11,400 acres and $900M from Pershing Square, but it sells lots, so the builder buys the wall rather than Howard Hughes.</t>
        </is>
      </c>
      <c r="U154"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4" s="12" t="inlineStr"/>
      <c r="W154" s="15" t="inlineStr">
        <is>
          <t>Chief Executive Officer on Howard Hughes's own leadership page.</t>
        </is>
      </c>
      <c r="X154" s="12" t="inlineStr">
        <is>
          <t>https://investor.howardhughes.com/governance/leadership</t>
        </is>
      </c>
      <c r="Y154" s="12" t="inlineStr">
        <is>
          <t>https://www.linkedin.com/company/the-howard-hughes-corporation</t>
        </is>
      </c>
      <c r="Z154" s="12" t="inlineStr">
        <is>
          <t>https://investor.howardhughes.com/governance/leadership</t>
        </is>
      </c>
    </row>
    <row r="155">
      <c r="A155" s="6" t="inlineStr">
        <is>
          <t>Bill Ackman</t>
        </is>
      </c>
      <c r="B155" s="6" t="inlineStr">
        <is>
          <t>Howard Hughes Holdings Inc.</t>
        </is>
      </c>
      <c r="C155" s="6" t="inlineStr">
        <is>
          <t>Executive Chairman of the Board</t>
        </is>
      </c>
      <c r="D155" s="7" t="inlineStr">
        <is>
          <t>Masterplan owner</t>
        </is>
      </c>
      <c r="E155" s="8" t="n">
        <v>1</v>
      </c>
      <c r="F155" s="6" t="inlineStr">
        <is>
          <t>Sells lots</t>
        </is>
      </c>
      <c r="G155" s="6" t="inlineStr">
        <is>
          <t>The Woodlands HQ / Harris, Montgomery</t>
        </is>
      </c>
      <c r="H155" s="6" t="inlineStr">
        <is>
          <t>$900M Pershing Square investment, 46.9%</t>
        </is>
      </c>
      <c r="I155" s="8" t="inlineStr">
        <is>
          <t>Yes</t>
        </is>
      </c>
      <c r="J155" s="9" t="inlineStr"/>
      <c r="K155" s="8" t="inlineStr">
        <is>
          <t>No</t>
        </is>
      </c>
      <c r="L155" s="9" t="inlineStr"/>
      <c r="M155" s="8" t="inlineStr">
        <is>
          <t>No</t>
        </is>
      </c>
      <c r="N155" s="9" t="inlineStr"/>
      <c r="O155" s="8" t="inlineStr">
        <is>
          <t>Yes</t>
        </is>
      </c>
      <c r="P155" s="10" t="inlineStr"/>
      <c r="Q155" s="6">
        <f>HYPERLINK("https://www.linkedin.com/search/results/people/?keywords=Bill%20Ackman%20Howard%20Hughes%20Holdings%20Inc.","search")</f>
        <v/>
      </c>
      <c r="R155" s="11">
        <f>IF(P155="","ADD LINKEDIN","ok")</f>
        <v/>
      </c>
      <c r="S155" s="6" t="inlineStr">
        <is>
          <t>https://www.howardhughes.com/</t>
        </is>
      </c>
      <c r="T155" s="9" t="inlineStr">
        <is>
          <t>11,400 acres and $900M from Pershing Square, but it sells lots, so the builder buys the wall rather than Howard Hughes.</t>
        </is>
      </c>
      <c r="U155"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5" s="6" t="inlineStr"/>
      <c r="W155" s="9" t="inlineStr">
        <is>
          <t>Executive Chairman on Howard Hughes's own leadership page.</t>
        </is>
      </c>
      <c r="X155" s="6" t="inlineStr">
        <is>
          <t>https://investor.howardhughes.com/governance/leadership</t>
        </is>
      </c>
      <c r="Y155" s="6" t="inlineStr">
        <is>
          <t>https://www.linkedin.com/company/the-howard-hughes-corporation</t>
        </is>
      </c>
      <c r="Z155" s="6" t="inlineStr">
        <is>
          <t>https://investor.howardhughes.com/governance/leadership</t>
        </is>
      </c>
    </row>
    <row r="156">
      <c r="A156" s="12" t="inlineStr">
        <is>
          <t>Ryan Israel</t>
        </is>
      </c>
      <c r="B156" s="12" t="inlineStr">
        <is>
          <t>Howard Hughes Holdings Inc.</t>
        </is>
      </c>
      <c r="C156" s="12" t="inlineStr">
        <is>
          <t>Chief Investment Officer</t>
        </is>
      </c>
      <c r="D156" s="13" t="inlineStr">
        <is>
          <t>Masterplan owner</t>
        </is>
      </c>
      <c r="E156" s="14" t="n">
        <v>1</v>
      </c>
      <c r="F156" s="12" t="inlineStr">
        <is>
          <t>Sells lots</t>
        </is>
      </c>
      <c r="G156" s="12" t="inlineStr">
        <is>
          <t>The Woodlands HQ / Harris, Montgomery</t>
        </is>
      </c>
      <c r="H156" s="12" t="inlineStr">
        <is>
          <t>$900M Pershing Square investment, 46.9%</t>
        </is>
      </c>
      <c r="I156" s="14" t="inlineStr">
        <is>
          <t>Yes</t>
        </is>
      </c>
      <c r="J156" s="15" t="inlineStr"/>
      <c r="K156" s="14" t="inlineStr">
        <is>
          <t>No</t>
        </is>
      </c>
      <c r="L156" s="15" t="inlineStr"/>
      <c r="M156" s="14" t="inlineStr">
        <is>
          <t>No</t>
        </is>
      </c>
      <c r="N156" s="15" t="inlineStr"/>
      <c r="O156" s="14" t="inlineStr">
        <is>
          <t>Yes</t>
        </is>
      </c>
      <c r="P156" s="10" t="inlineStr"/>
      <c r="Q156" s="12">
        <f>HYPERLINK("https://www.linkedin.com/search/results/people/?keywords=Ryan%20Israel%20Howard%20Hughes%20Holdings%20Inc.","search")</f>
        <v/>
      </c>
      <c r="R156" s="16">
        <f>IF(P156="","ADD LINKEDIN","ok")</f>
        <v/>
      </c>
      <c r="S156" s="12" t="inlineStr">
        <is>
          <t>https://www.howardhughes.com/</t>
        </is>
      </c>
      <c r="T156" s="15" t="inlineStr">
        <is>
          <t>11,400 acres and $900M from Pershing Square, but it sells lots, so the builder buys the wall rather than Howard Hughes.</t>
        </is>
      </c>
      <c r="U156" s="15"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6" s="12" t="inlineStr"/>
      <c r="W156" s="15" t="inlineStr">
        <is>
          <t>Chief Investment Officer on Howard Hughes's own leadership page.</t>
        </is>
      </c>
      <c r="X156" s="12" t="inlineStr">
        <is>
          <t>https://investor.howardhughes.com/governance/leadership</t>
        </is>
      </c>
      <c r="Y156" s="12" t="inlineStr">
        <is>
          <t>https://www.linkedin.com/company/the-howard-hughes-corporation</t>
        </is>
      </c>
      <c r="Z156" s="12" t="inlineStr">
        <is>
          <t>https://investor.howardhughes.com/governance/leadership</t>
        </is>
      </c>
    </row>
    <row r="157">
      <c r="A157" s="6" t="inlineStr">
        <is>
          <t>Jim Carman</t>
        </is>
      </c>
      <c r="B157" s="6" t="inlineStr">
        <is>
          <t>Howard Hughes Holdings Inc.</t>
        </is>
      </c>
      <c r="C157" s="6" t="inlineStr">
        <is>
          <t>President, Houston Region</t>
        </is>
      </c>
      <c r="D157" s="7" t="inlineStr">
        <is>
          <t>Masterplan owner</t>
        </is>
      </c>
      <c r="E157" s="8" t="n">
        <v>1</v>
      </c>
      <c r="F157" s="6" t="inlineStr">
        <is>
          <t>Sells lots</t>
        </is>
      </c>
      <c r="G157" s="6" t="inlineStr">
        <is>
          <t>The Woodlands HQ / Harris, Montgomery</t>
        </is>
      </c>
      <c r="H157" s="6" t="inlineStr">
        <is>
          <t>$900M Pershing Square investment, 46.9%</t>
        </is>
      </c>
      <c r="I157" s="8" t="inlineStr">
        <is>
          <t>Yes</t>
        </is>
      </c>
      <c r="J157" s="9" t="inlineStr"/>
      <c r="K157" s="8" t="inlineStr">
        <is>
          <t>No</t>
        </is>
      </c>
      <c r="L157" s="9" t="inlineStr"/>
      <c r="M157" s="8" t="inlineStr">
        <is>
          <t>No</t>
        </is>
      </c>
      <c r="N157" s="9" t="inlineStr"/>
      <c r="O157" s="8" t="inlineStr">
        <is>
          <t>Yes</t>
        </is>
      </c>
      <c r="P157" s="6" t="inlineStr">
        <is>
          <t>https://www.linkedin.com/in/carmanjim/</t>
        </is>
      </c>
      <c r="Q157" s="6" t="inlineStr"/>
      <c r="R157" s="11">
        <f>IF(P157="","ADD LINKEDIN","ok")</f>
        <v/>
      </c>
      <c r="S157" s="6" t="inlineStr">
        <is>
          <t>https://www.howardhughes.com/</t>
        </is>
      </c>
      <c r="T157" s="9" t="inlineStr">
        <is>
          <t>11,400 acres and $900M from Pershing Square, but it sells lots, so the builder buys the wall rather than Howard Hughes.</t>
        </is>
      </c>
      <c r="U157" s="9" t="inlineStr">
        <is>
          <t>Q1 2026 earnings call contains no mention of construction technology, automation, modular, offsite, labour or cycle time. | Channel role means the wall-system buyer is the builder on the lot, not Howard Hughes. Confirm which entity holds vertical scope before pitching.</t>
        </is>
      </c>
      <c r="V157" s="6" t="inlineStr"/>
      <c r="W157" s="9" t="inlineStr">
        <is>
          <t>Profile opened. President, Texas Region at Howard Hughes Communities. Greater Houston. His own feed carries Bridgeland's number nine national ranking at 500 home sales by mid-2026 and the 83-acre Toro District with the Houston Texans headquarters.</t>
        </is>
      </c>
      <c r="X157" s="6" t="inlineStr"/>
      <c r="Y157" s="6" t="inlineStr">
        <is>
          <t>https://www.linkedin.com/company/the-howard-hughes-corporation</t>
        </is>
      </c>
      <c r="Z157" s="6" t="inlineStr">
        <is>
          <t>https://investor.howardhughes.com/governance/leadership</t>
        </is>
      </c>
    </row>
    <row r="158">
      <c r="A158" s="12" t="inlineStr">
        <is>
          <t>Alan Brende</t>
        </is>
      </c>
      <c r="B158" s="12" t="inlineStr">
        <is>
          <t>Land Tejas</t>
        </is>
      </c>
      <c r="C158" s="12" t="inlineStr">
        <is>
          <t>Co-President, Land Tejas</t>
        </is>
      </c>
      <c r="D158" s="13" t="inlineStr">
        <is>
          <t>Masterplan owner</t>
        </is>
      </c>
      <c r="E158" s="14" t="n">
        <v>1</v>
      </c>
      <c r="F158" s="12" t="inlineStr">
        <is>
          <t>Sells lots</t>
        </is>
      </c>
      <c r="G158" s="12" t="inlineStr">
        <is>
          <t>Houston / Katy, Harris-Waller</t>
        </is>
      </c>
      <c r="H158" s="12" t="inlineStr"/>
      <c r="I158" s="14" t="inlineStr">
        <is>
          <t>Yes</t>
        </is>
      </c>
      <c r="J158" s="15" t="inlineStr"/>
      <c r="K158" s="14" t="inlineStr">
        <is>
          <t>No</t>
        </is>
      </c>
      <c r="L158" s="15" t="inlineStr"/>
      <c r="M158" s="14" t="inlineStr">
        <is>
          <t>No</t>
        </is>
      </c>
      <c r="N158" s="15" t="inlineStr"/>
      <c r="O158" s="14" t="inlineStr">
        <is>
          <t>Yes</t>
        </is>
      </c>
      <c r="P158" s="10" t="inlineStr"/>
      <c r="Q158" s="12">
        <f>HYPERLINK("https://www.linkedin.com/search/results/people/?keywords=Alan%20Brende%20Land%20Tejas","search")</f>
        <v/>
      </c>
      <c r="R158" s="16">
        <f>IF(P158="","ADD LINKEDIN","ok")</f>
        <v/>
      </c>
      <c r="S158" s="12" t="inlineStr">
        <is>
          <t>https://landtejas.com/</t>
        </is>
      </c>
      <c r="T158" s="15" t="inlineStr">
        <is>
          <t>Sells lots. Sunterra carries 2,303 acres and 15 builders.</t>
        </is>
      </c>
      <c r="U158" s="15" t="inlineStr"/>
      <c r="V158" s="12" t="inlineStr"/>
      <c r="W158" s="15" t="inlineStr">
        <is>
          <t>Co-President.</t>
        </is>
      </c>
      <c r="X158" s="12" t="inlineStr">
        <is>
          <t>https://landtejas.com/about-us/our-leadership/</t>
        </is>
      </c>
      <c r="Y158" s="12" t="inlineStr">
        <is>
          <t>https://www.linkedin.com/company/land-tejas-companies</t>
        </is>
      </c>
      <c r="Z158" s="12" t="inlineStr">
        <is>
          <t>https://landtejas.com/about-us/our-leadership/</t>
        </is>
      </c>
    </row>
    <row r="159">
      <c r="A159" s="6" t="inlineStr">
        <is>
          <t>Melanie Ohl</t>
        </is>
      </c>
      <c r="B159" s="6" t="inlineStr">
        <is>
          <t>Land Tejas</t>
        </is>
      </c>
      <c r="C159" s="6" t="inlineStr">
        <is>
          <t>Co-President, Land Tejas</t>
        </is>
      </c>
      <c r="D159" s="7" t="inlineStr">
        <is>
          <t>Masterplan owner</t>
        </is>
      </c>
      <c r="E159" s="8" t="n">
        <v>1</v>
      </c>
      <c r="F159" s="6" t="inlineStr">
        <is>
          <t>Sells lots</t>
        </is>
      </c>
      <c r="G159" s="6" t="inlineStr">
        <is>
          <t>Houston / Katy, Harris-Waller</t>
        </is>
      </c>
      <c r="H159" s="6" t="inlineStr"/>
      <c r="I159" s="8" t="inlineStr">
        <is>
          <t>Yes</t>
        </is>
      </c>
      <c r="J159" s="9" t="inlineStr"/>
      <c r="K159" s="8" t="inlineStr">
        <is>
          <t>No</t>
        </is>
      </c>
      <c r="L159" s="9" t="inlineStr"/>
      <c r="M159" s="8" t="inlineStr">
        <is>
          <t>No</t>
        </is>
      </c>
      <c r="N159" s="9" t="inlineStr"/>
      <c r="O159" s="8" t="inlineStr">
        <is>
          <t>Yes</t>
        </is>
      </c>
      <c r="P159" s="10" t="inlineStr"/>
      <c r="Q159" s="6">
        <f>HYPERLINK("https://www.linkedin.com/search/results/people/?keywords=Melanie%20Ohl%20Land%20Tejas","search")</f>
        <v/>
      </c>
      <c r="R159" s="11">
        <f>IF(P159="","ADD LINKEDIN","ok")</f>
        <v/>
      </c>
      <c r="S159" s="6" t="inlineStr">
        <is>
          <t>https://landtejas.com/</t>
        </is>
      </c>
      <c r="T159" s="9" t="inlineStr">
        <is>
          <t>Sells lots. Sunterra carries 2,303 acres and 15 builders.</t>
        </is>
      </c>
      <c r="U159" s="9" t="inlineStr"/>
      <c r="V159" s="6" t="inlineStr"/>
      <c r="W159" s="9" t="inlineStr">
        <is>
          <t>Co-President.</t>
        </is>
      </c>
      <c r="X159" s="6" t="inlineStr">
        <is>
          <t>https://landtejas.com/about-us/our-leadership/</t>
        </is>
      </c>
      <c r="Y159" s="6" t="inlineStr">
        <is>
          <t>https://www.linkedin.com/company/land-tejas-companies</t>
        </is>
      </c>
      <c r="Z159" s="6" t="inlineStr">
        <is>
          <t>https://landtejas.com/about-us/our-leadership/</t>
        </is>
      </c>
    </row>
    <row r="160">
      <c r="A160" s="12" t="inlineStr">
        <is>
          <t>Fred Caldwell</t>
        </is>
      </c>
      <c r="B160" s="12" t="inlineStr">
        <is>
          <t>Caldwell Companies</t>
        </is>
      </c>
      <c r="C160" s="12" t="inlineStr">
        <is>
          <t>Chief Executive Officer, Caldwell Companies</t>
        </is>
      </c>
      <c r="D160" s="13" t="inlineStr">
        <is>
          <t>Masterplan owner</t>
        </is>
      </c>
      <c r="E160" s="14" t="n">
        <v>1</v>
      </c>
      <c r="F160" s="12" t="inlineStr">
        <is>
          <t>Sells lots</t>
        </is>
      </c>
      <c r="G160" s="12" t="inlineStr">
        <is>
          <t>Cypress / Montgomery, Harris</t>
        </is>
      </c>
      <c r="H160" s="12" t="inlineStr"/>
      <c r="I160" s="14" t="inlineStr">
        <is>
          <t>Yes</t>
        </is>
      </c>
      <c r="J160" s="15" t="inlineStr"/>
      <c r="K160" s="14" t="inlineStr">
        <is>
          <t>No</t>
        </is>
      </c>
      <c r="L160" s="15" t="inlineStr"/>
      <c r="M160" s="14" t="inlineStr">
        <is>
          <t>No</t>
        </is>
      </c>
      <c r="N160" s="15" t="inlineStr"/>
      <c r="O160" s="14" t="inlineStr">
        <is>
          <t>No</t>
        </is>
      </c>
      <c r="P160" s="10" t="inlineStr"/>
      <c r="Q160" s="12">
        <f>HYPERLINK("https://www.linkedin.com/search/results/people/?keywords=Fred%20Caldwell%20Caldwell%20Companies","search")</f>
        <v/>
      </c>
      <c r="R160" s="16">
        <f>IF(P160="","ADD LINKEDIN","ok")</f>
        <v/>
      </c>
      <c r="S160" s="12" t="inlineStr">
        <is>
          <t>https://caldwellcos.com/</t>
        </is>
      </c>
      <c r="T160" s="15" t="inlineStr">
        <is>
          <t>Sells lots. Towne Lake and The Highlands carry 4,000 homes across 12 builders. No published method evidence.</t>
        </is>
      </c>
      <c r="U160" s="15" t="inlineStr">
        <is>
          <t>Caldwell publishes no construction-method content. The count reflects an absent record.</t>
        </is>
      </c>
      <c r="V160" s="12" t="inlineStr"/>
      <c r="W160" s="15" t="inlineStr">
        <is>
          <t>Chief Executive Officer.</t>
        </is>
      </c>
      <c r="X160" s="12" t="inlineStr">
        <is>
          <t>https://caldwellcos.com/our-team</t>
        </is>
      </c>
      <c r="Y160" s="12" t="inlineStr">
        <is>
          <t>https://www.linkedin.com/company/caldwell-companies</t>
        </is>
      </c>
      <c r="Z160" s="12" t="inlineStr">
        <is>
          <t>https://caldwellcos.com/our-team</t>
        </is>
      </c>
    </row>
    <row r="161">
      <c r="A161" s="6" t="inlineStr">
        <is>
          <t>Michael J. Smith</t>
        </is>
      </c>
      <c r="B161" s="6" t="inlineStr">
        <is>
          <t>Johnson Development Corp</t>
        </is>
      </c>
      <c r="C161" s="6" t="inlineStr">
        <is>
          <t>President and Chief Executive Officer, Johnson Development</t>
        </is>
      </c>
      <c r="D161" s="7" t="inlineStr">
        <is>
          <t>Masterplan owner</t>
        </is>
      </c>
      <c r="E161" s="8" t="n">
        <v>1</v>
      </c>
      <c r="F161" s="6" t="inlineStr">
        <is>
          <t>Sells lots</t>
        </is>
      </c>
      <c r="G161" s="6" t="inlineStr">
        <is>
          <t>Houston / Fort Bend, Montgomery</t>
        </is>
      </c>
      <c r="H161" s="6" t="inlineStr"/>
      <c r="I161" s="8" t="inlineStr">
        <is>
          <t>Yes</t>
        </is>
      </c>
      <c r="J161" s="9" t="inlineStr"/>
      <c r="K161" s="8" t="inlineStr">
        <is>
          <t>No</t>
        </is>
      </c>
      <c r="L161" s="9" t="inlineStr"/>
      <c r="M161" s="8" t="inlineStr">
        <is>
          <t>No</t>
        </is>
      </c>
      <c r="N161" s="9" t="inlineStr"/>
      <c r="O161" s="8" t="inlineStr">
        <is>
          <t>No</t>
        </is>
      </c>
      <c r="P161" s="10" t="inlineStr"/>
      <c r="Q161" s="6">
        <f>HYPERLINK("https://www.linkedin.com/search/results/people/?keywords=Michael%20J.%20Smith%20Johnson%20Development%20Corp","search")</f>
        <v/>
      </c>
      <c r="R161" s="11">
        <f>IF(P161="","ADD LINKEDIN","ok")</f>
        <v/>
      </c>
      <c r="S161" s="6" t="inlineStr">
        <is>
          <t>https://www.johnsondevelopment.com/</t>
        </is>
      </c>
      <c r="T161" s="9" t="inlineStr">
        <is>
          <t>Sells lots across 14 Houston masterplans. Buys no walls.</t>
        </is>
      </c>
      <c r="U161" s="9" t="inlineStr">
        <is>
          <t>Johnson Development publishes no construction-method content. The count reflects an absent record.</t>
        </is>
      </c>
      <c r="V161" s="6" t="inlineStr"/>
      <c r="W161" s="9" t="inlineStr">
        <is>
          <t>President and Chief Executive Officer.</t>
        </is>
      </c>
      <c r="X161" s="6" t="inlineStr">
        <is>
          <t>https://www.johnsondevelopment.com/our-leaders</t>
        </is>
      </c>
      <c r="Y161" s="6" t="inlineStr">
        <is>
          <t>https://www.linkedin.com/company/the-johnson-development-corp</t>
        </is>
      </c>
      <c r="Z161" s="6" t="inlineStr">
        <is>
          <t>https://www.johnsondevelopment.com/our-leaders</t>
        </is>
      </c>
    </row>
    <row r="162">
      <c r="A162" s="12" t="inlineStr">
        <is>
          <t>Alan Bauer</t>
        </is>
      </c>
      <c r="B162" s="12" t="inlineStr">
        <is>
          <t>Newland Communities</t>
        </is>
      </c>
      <c r="C162" s="12" t="inlineStr">
        <is>
          <t>Senior Vice President and Houston Division Manager, Newland (2019)</t>
        </is>
      </c>
      <c r="D162" s="13" t="inlineStr">
        <is>
          <t>Masterplan owner</t>
        </is>
      </c>
      <c r="E162" s="14" t="n">
        <v>1</v>
      </c>
      <c r="F162" s="12" t="inlineStr">
        <is>
          <t>Sells lots</t>
        </is>
      </c>
      <c r="G162" s="12" t="inlineStr">
        <is>
          <t>San Diego HQ / Katy, Harris</t>
        </is>
      </c>
      <c r="H162" s="12" t="inlineStr"/>
      <c r="I162" s="14" t="inlineStr">
        <is>
          <t>Partly</t>
        </is>
      </c>
      <c r="J162" s="15" t="inlineStr"/>
      <c r="K162" s="14" t="inlineStr">
        <is>
          <t>No</t>
        </is>
      </c>
      <c r="L162" s="15" t="inlineStr"/>
      <c r="M162" s="14" t="inlineStr">
        <is>
          <t>No</t>
        </is>
      </c>
      <c r="N162" s="15" t="inlineStr"/>
      <c r="O162" s="14" t="inlineStr">
        <is>
          <t>No</t>
        </is>
      </c>
      <c r="P162" s="10" t="inlineStr"/>
      <c r="Q162" s="12">
        <f>HYPERLINK("https://www.linkedin.com/search/results/people/?keywords=Alan%20Bauer%20Newland%20Communities","search")</f>
        <v/>
      </c>
      <c r="R162" s="16">
        <f>IF(P162="","ADD LINKEDIN","ok")</f>
        <v/>
      </c>
      <c r="S162" s="12" t="inlineStr">
        <is>
          <t>https://newlandco.com/</t>
        </is>
      </c>
      <c r="T162" s="15" t="inlineStr">
        <is>
          <t>3,600-acre Elyson, but Newland has been absorbed into Brookfield Residential and no longer publishes its own leadership. The one Houston name on record is from 2019.</t>
        </is>
      </c>
      <c r="U162" s="15" t="inlineStr">
        <is>
          <t>Newland's own leadership page redirects to Brookfield Residential, which announces the acquisition and names nobody. | No principals sourced. Headquarters unconfirmed. Record too thin to action.</t>
        </is>
      </c>
      <c r="V162" s="12" t="inlineStr"/>
      <c r="W162" s="15" t="inlineStr">
        <is>
          <t>Senior Vice President and Division Manager for Newland's Houston division, per the West Houston Association board announcement. Dated 2019 and unconfirmed since, because Newland no longer publishes its own leadership.</t>
        </is>
      </c>
      <c r="X162" s="12" t="inlineStr">
        <is>
          <t>https://www.westhouston.org/2019/01/18/welcome-to-the-2019-board-or-directors/</t>
        </is>
      </c>
      <c r="Y162" s="12" t="inlineStr">
        <is>
          <t>https://www.linkedin.com/company/newland-communities-llc</t>
        </is>
      </c>
      <c r="Z162" s="12" t="inlineStr"/>
    </row>
    <row r="163">
      <c r="A163" s="6" t="inlineStr">
        <is>
          <t>Michael Reamer</t>
        </is>
      </c>
      <c r="B163" s="6" t="inlineStr">
        <is>
          <t>Friendswood Development Company</t>
        </is>
      </c>
      <c r="C163" s="6" t="inlineStr">
        <is>
          <t>President, Friendswood Development Company</t>
        </is>
      </c>
      <c r="D163" s="7" t="inlineStr">
        <is>
          <t>Already working with ICON</t>
        </is>
      </c>
      <c r="E163" s="8" t="n">
        <v>1</v>
      </c>
      <c r="F163" s="6" t="inlineStr">
        <is>
          <t>Sells lots</t>
        </is>
      </c>
      <c r="G163" s="6" t="inlineStr">
        <is>
          <t>Houston / Montgomery, Galveston</t>
        </is>
      </c>
      <c r="H163" s="6" t="inlineStr"/>
      <c r="I163" s="8" t="inlineStr">
        <is>
          <t>Partly</t>
        </is>
      </c>
      <c r="J163" s="9" t="inlineStr">
        <is>
          <t>Sells lots inside its own masterplans. Lennar builds the houses.</t>
        </is>
      </c>
      <c r="K163" s="8" t="inlineStr">
        <is>
          <t>No</t>
        </is>
      </c>
      <c r="L163" s="9" t="inlineStr">
        <is>
          <t>Sells lots, wholly owned by Lennar, so the route is Lennar.</t>
        </is>
      </c>
      <c r="M163" s="8" t="inlineStr">
        <is>
          <t>No</t>
        </is>
      </c>
      <c r="N163" s="9" t="inlineStr">
        <is>
          <t>Its owner has already paid for an unproven method: Lennar built a hundred printed homes with ICON at Wolf Ranch in Georgetown.</t>
        </is>
      </c>
      <c r="O163" s="8" t="inlineStr">
        <is>
          <t>Partly</t>
        </is>
      </c>
      <c r="P163" s="10" t="inlineStr"/>
      <c r="Q163" s="6">
        <f>HYPERLINK("https://www.linkedin.com/search/results/people/?keywords=Michael%20Reamer%20Friendswood%20Development%20Company","search")</f>
        <v/>
      </c>
      <c r="R163" s="11">
        <f>IF(P163="","ADD LINKEDIN","ok")</f>
        <v/>
      </c>
      <c r="S163" s="6" t="inlineStr">
        <is>
          <t>https://friendswooddevelopment.com/</t>
        </is>
      </c>
      <c r="T163" s="9" t="inlineStr">
        <is>
          <t>Sells lots, wholly owned by Lennar since 2000. No named executives found.</t>
        </is>
      </c>
      <c r="U163" s="9" t="inlineStr">
        <is>
          <t>Wholly owned by Lennar, which built the hundred-home Wolf Ranch community with ICON in Georgetown, designed by Bjarke Ingels Group and completed in 2025. The relationship exists at corporate level. Treat Friendswood as a relationship to acknowledge, not a lead to work. | Friendswood is wholly owned by Lennar. ICON and Lennar built the hundred-home Wolf Ranch community in Georgetown together, designed by Bjarke Ingels Group and completed in 2025. The introduction into Houston already exists at corporate level; it has not been used here. | No named principals found. Lennar parent relationship is the actual route.</t>
        </is>
      </c>
      <c r="V163" s="6" t="inlineStr"/>
      <c r="W163" s="9" t="inlineStr">
        <is>
          <t>President.</t>
        </is>
      </c>
      <c r="X163" s="6" t="inlineStr">
        <is>
          <t>https://friendswooddevelopment.com/people</t>
        </is>
      </c>
      <c r="Y163" s="6" t="inlineStr">
        <is>
          <t>https://www.linkedin.com/company/friendswood-development-company</t>
        </is>
      </c>
      <c r="Z163" s="6" t="inlineStr">
        <is>
          <t>https://friendswooddevelopment.com/people</t>
        </is>
      </c>
    </row>
    <row r="164">
      <c r="A164" s="12" t="inlineStr">
        <is>
          <t>Steven D. Alvis</t>
        </is>
      </c>
      <c r="B164" s="12" t="inlineStr">
        <is>
          <t>NewQuest Properties</t>
        </is>
      </c>
      <c r="C164" s="12" t="inlineStr">
        <is>
          <t>Co-Founder and Managing Partner</t>
        </is>
      </c>
      <c r="D164" s="13" t="inlineStr">
        <is>
          <t>Off deck, screened out</t>
        </is>
      </c>
      <c r="E164" s="14" t="n">
        <v>1</v>
      </c>
      <c r="F164" s="12" t="inlineStr">
        <is>
          <t>Buys walls</t>
        </is>
      </c>
      <c r="G164" s="12" t="inlineStr">
        <is>
          <t>Houston HQ / Fort Bend, Brazoria</t>
        </is>
      </c>
      <c r="H164" s="12" t="inlineStr">
        <is>
          <t>$3.1B portfolio, 12M sf managed</t>
        </is>
      </c>
      <c r="I164" s="14" t="inlineStr">
        <is>
          <t>Yes</t>
        </is>
      </c>
      <c r="J164" s="15" t="inlineStr"/>
      <c r="K164" s="14" t="inlineStr">
        <is>
          <t>No</t>
        </is>
      </c>
      <c r="L164" s="15" t="inlineStr"/>
      <c r="M164" s="14" t="inlineStr">
        <is>
          <t>No</t>
        </is>
      </c>
      <c r="N164" s="15" t="inlineStr"/>
      <c r="O164" s="14" t="inlineStr">
        <is>
          <t>Yes</t>
        </is>
      </c>
      <c r="P164" s="10" t="inlineStr"/>
      <c r="Q164" s="12">
        <f>HYPERLINK("https://www.linkedin.com/search/results/people/?keywords=Steven%20D.%20Alvis%20NewQuest%20Properties","search")</f>
        <v/>
      </c>
      <c r="R164" s="16">
        <f>IF(P164="","ADD LINKEDIN","ok")</f>
        <v/>
      </c>
      <c r="S164" s="12" t="inlineStr">
        <is>
          <t>https://www.newquest.com/</t>
        </is>
      </c>
      <c r="T164" s="15" t="inlineStr">
        <is>
          <t>$3.1B portfolio and a repeated Town Center format. Retail shells compete against tilt-wall, not stick framing.</t>
        </is>
      </c>
      <c r="U164" s="15" t="inlineStr">
        <is>
          <t>$3.1 billion portfolio value is company-stated, not from a filing. | Tilt-wall is the incumbent in this product type. Competitive comparison differs from residential.</t>
        </is>
      </c>
      <c r="V164" s="12" t="inlineStr"/>
      <c r="W164" s="15" t="inlineStr">
        <is>
          <t>Co-Founder and Managing Partner.</t>
        </is>
      </c>
      <c r="X164" s="12" t="inlineStr">
        <is>
          <t>https://www.newquest.com/about-us/leadership/</t>
        </is>
      </c>
      <c r="Y164" s="12" t="inlineStr">
        <is>
          <t>https://www.linkedin.com/company/newquest-properties</t>
        </is>
      </c>
      <c r="Z164" s="12" t="inlineStr">
        <is>
          <t>https://www.newquest.com/about-us/leadership/</t>
        </is>
      </c>
    </row>
    <row r="165">
      <c r="A165" s="6" t="inlineStr">
        <is>
          <t>Jay K. Sears</t>
        </is>
      </c>
      <c r="B165" s="6" t="inlineStr">
        <is>
          <t>NewQuest Properties</t>
        </is>
      </c>
      <c r="C165" s="6" t="inlineStr">
        <is>
          <t>Co-Founder and Managing Partner</t>
        </is>
      </c>
      <c r="D165" s="7" t="inlineStr">
        <is>
          <t>Off deck, screened out</t>
        </is>
      </c>
      <c r="E165" s="8" t="n">
        <v>1</v>
      </c>
      <c r="F165" s="6" t="inlineStr">
        <is>
          <t>Buys walls</t>
        </is>
      </c>
      <c r="G165" s="6" t="inlineStr">
        <is>
          <t>Houston HQ / Fort Bend, Brazoria</t>
        </is>
      </c>
      <c r="H165" s="6" t="inlineStr">
        <is>
          <t>$3.1B portfolio, 12M sf managed</t>
        </is>
      </c>
      <c r="I165" s="8" t="inlineStr">
        <is>
          <t>Yes</t>
        </is>
      </c>
      <c r="J165" s="9" t="inlineStr"/>
      <c r="K165" s="8" t="inlineStr">
        <is>
          <t>No</t>
        </is>
      </c>
      <c r="L165" s="9" t="inlineStr"/>
      <c r="M165" s="8" t="inlineStr">
        <is>
          <t>No</t>
        </is>
      </c>
      <c r="N165" s="9" t="inlineStr"/>
      <c r="O165" s="8" t="inlineStr">
        <is>
          <t>Yes</t>
        </is>
      </c>
      <c r="P165" s="10" t="inlineStr"/>
      <c r="Q165" s="6">
        <f>HYPERLINK("https://www.linkedin.com/search/results/people/?keywords=Jay%20K.%20Sears%20NewQuest%20Properties","search")</f>
        <v/>
      </c>
      <c r="R165" s="11">
        <f>IF(P165="","ADD LINKEDIN","ok")</f>
        <v/>
      </c>
      <c r="S165" s="6" t="inlineStr">
        <is>
          <t>https://www.newquest.com/</t>
        </is>
      </c>
      <c r="T165" s="9" t="inlineStr">
        <is>
          <t>$3.1B portfolio and a repeated Town Center format. Retail shells compete against tilt-wall, not stick framing.</t>
        </is>
      </c>
      <c r="U165" s="9" t="inlineStr">
        <is>
          <t>$3.1 billion portfolio value is company-stated, not from a filing. | Tilt-wall is the incumbent in this product type. Competitive comparison differs from residential.</t>
        </is>
      </c>
      <c r="V165" s="6" t="inlineStr"/>
      <c r="W165" s="9" t="inlineStr">
        <is>
          <t>Co-Founder and Managing Partner.</t>
        </is>
      </c>
      <c r="X165" s="6" t="inlineStr">
        <is>
          <t>https://www.newquest.com/about-us/leadership/</t>
        </is>
      </c>
      <c r="Y165" s="6" t="inlineStr">
        <is>
          <t>https://www.linkedin.com/company/newquest-properties</t>
        </is>
      </c>
      <c r="Z165" s="6" t="inlineStr">
        <is>
          <t>https://www.newquest.com/about-us/leadership/</t>
        </is>
      </c>
    </row>
    <row r="166">
      <c r="A166" s="12" t="inlineStr">
        <is>
          <t>Austin Alvis</t>
        </is>
      </c>
      <c r="B166" s="12" t="inlineStr">
        <is>
          <t>NewQuest Properties</t>
        </is>
      </c>
      <c r="C166" s="12" t="inlineStr">
        <is>
          <t>President and Chief Development Officer</t>
        </is>
      </c>
      <c r="D166" s="13" t="inlineStr">
        <is>
          <t>Off deck, screened out</t>
        </is>
      </c>
      <c r="E166" s="14" t="n">
        <v>1</v>
      </c>
      <c r="F166" s="12" t="inlineStr">
        <is>
          <t>Buys walls</t>
        </is>
      </c>
      <c r="G166" s="12" t="inlineStr">
        <is>
          <t>Houston HQ / Fort Bend, Brazoria</t>
        </is>
      </c>
      <c r="H166" s="12" t="inlineStr">
        <is>
          <t>$3.1B portfolio, 12M sf managed</t>
        </is>
      </c>
      <c r="I166" s="14" t="inlineStr">
        <is>
          <t>Yes</t>
        </is>
      </c>
      <c r="J166" s="15" t="inlineStr"/>
      <c r="K166" s="14" t="inlineStr">
        <is>
          <t>No</t>
        </is>
      </c>
      <c r="L166" s="15" t="inlineStr"/>
      <c r="M166" s="14" t="inlineStr">
        <is>
          <t>No</t>
        </is>
      </c>
      <c r="N166" s="15" t="inlineStr"/>
      <c r="O166" s="14" t="inlineStr">
        <is>
          <t>Yes</t>
        </is>
      </c>
      <c r="P166" s="10" t="inlineStr"/>
      <c r="Q166" s="12">
        <f>HYPERLINK("https://www.linkedin.com/search/results/people/?keywords=Austin%20Alvis%20NewQuest%20Properties","search")</f>
        <v/>
      </c>
      <c r="R166" s="16">
        <f>IF(P166="","ADD LINKEDIN","ok")</f>
        <v/>
      </c>
      <c r="S166" s="12" t="inlineStr">
        <is>
          <t>https://www.newquest.com/</t>
        </is>
      </c>
      <c r="T166" s="15" t="inlineStr">
        <is>
          <t>$3.1B portfolio and a repeated Town Center format. Retail shells compete against tilt-wall, not stick framing.</t>
        </is>
      </c>
      <c r="U166" s="15" t="inlineStr">
        <is>
          <t>$3.1 billion portfolio value is company-stated, not from a filing. | Tilt-wall is the incumbent in this product type. Competitive comparison differs from residential.</t>
        </is>
      </c>
      <c r="V166" s="12" t="inlineStr"/>
      <c r="W166" s="15" t="inlineStr">
        <is>
          <t>President and Chief Development Officer.</t>
        </is>
      </c>
      <c r="X166" s="12" t="inlineStr">
        <is>
          <t>https://www.newquest.com/about-us/leadership/</t>
        </is>
      </c>
      <c r="Y166" s="12" t="inlineStr">
        <is>
          <t>https://www.linkedin.com/company/newquest-properties</t>
        </is>
      </c>
      <c r="Z166" s="12" t="inlineStr">
        <is>
          <t>https://www.newquest.com/about-us/leadership/</t>
        </is>
      </c>
    </row>
    <row r="167">
      <c r="A167" s="6" t="inlineStr">
        <is>
          <t>Jeff Horton</t>
        </is>
      </c>
      <c r="B167" s="6" t="inlineStr">
        <is>
          <t>NewQuest Properties</t>
        </is>
      </c>
      <c r="C167" s="6" t="inlineStr">
        <is>
          <t>Chief Operating Officer and Head of Capital Markets</t>
        </is>
      </c>
      <c r="D167" s="7" t="inlineStr">
        <is>
          <t>Off deck, screened out</t>
        </is>
      </c>
      <c r="E167" s="8" t="n">
        <v>1</v>
      </c>
      <c r="F167" s="6" t="inlineStr">
        <is>
          <t>Buys walls</t>
        </is>
      </c>
      <c r="G167" s="6" t="inlineStr">
        <is>
          <t>Houston HQ / Fort Bend, Brazoria</t>
        </is>
      </c>
      <c r="H167" s="6" t="inlineStr">
        <is>
          <t>$3.1B portfolio, 12M sf managed</t>
        </is>
      </c>
      <c r="I167" s="8" t="inlineStr">
        <is>
          <t>Yes</t>
        </is>
      </c>
      <c r="J167" s="9" t="inlineStr"/>
      <c r="K167" s="8" t="inlineStr">
        <is>
          <t>No</t>
        </is>
      </c>
      <c r="L167" s="9" t="inlineStr"/>
      <c r="M167" s="8" t="inlineStr">
        <is>
          <t>No</t>
        </is>
      </c>
      <c r="N167" s="9" t="inlineStr"/>
      <c r="O167" s="8" t="inlineStr">
        <is>
          <t>Yes</t>
        </is>
      </c>
      <c r="P167" s="10" t="inlineStr"/>
      <c r="Q167" s="6">
        <f>HYPERLINK("https://www.linkedin.com/search/results/people/?keywords=Jeff%20Horton%20NewQuest%20Properties","search")</f>
        <v/>
      </c>
      <c r="R167" s="11">
        <f>IF(P167="","ADD LINKEDIN","ok")</f>
        <v/>
      </c>
      <c r="S167" s="6" t="inlineStr">
        <is>
          <t>https://www.newquest.com/</t>
        </is>
      </c>
      <c r="T167" s="9" t="inlineStr">
        <is>
          <t>$3.1B portfolio and a repeated Town Center format. Retail shells compete against tilt-wall, not stick framing.</t>
        </is>
      </c>
      <c r="U167" s="9" t="inlineStr">
        <is>
          <t>$3.1 billion portfolio value is company-stated, not from a filing. | Tilt-wall is the incumbent in this product type. Competitive comparison differs from residential.</t>
        </is>
      </c>
      <c r="V167" s="6" t="inlineStr"/>
      <c r="W167" s="9" t="inlineStr">
        <is>
          <t>Chief Operating Officer and Head of Capital Markets.</t>
        </is>
      </c>
      <c r="X167" s="6" t="inlineStr">
        <is>
          <t>https://www.newquest.com/about-us/leadership/</t>
        </is>
      </c>
      <c r="Y167" s="6" t="inlineStr">
        <is>
          <t>https://www.linkedin.com/company/newquest-properties</t>
        </is>
      </c>
      <c r="Z167" s="6" t="inlineStr">
        <is>
          <t>https://www.newquest.com/about-us/leadership/</t>
        </is>
      </c>
    </row>
    <row r="168">
      <c r="A168" s="12" t="inlineStr">
        <is>
          <t>K. Alan Hassenflu</t>
        </is>
      </c>
      <c r="B168" s="12" t="inlineStr">
        <is>
          <t>Fidelis Realty Partners</t>
        </is>
      </c>
      <c r="C168" s="12" t="inlineStr">
        <is>
          <t>Chairman and Chief Executive Officer</t>
        </is>
      </c>
      <c r="D168" s="13" t="inlineStr">
        <is>
          <t>Off deck, screened out</t>
        </is>
      </c>
      <c r="E168" s="14" t="n">
        <v>1</v>
      </c>
      <c r="F168" s="12" t="inlineStr">
        <is>
          <t>Buys walls</t>
        </is>
      </c>
      <c r="G168" s="12" t="inlineStr">
        <is>
          <t>Houston HQ / Brazoria, Montgomery</t>
        </is>
      </c>
      <c r="H168" s="12" t="inlineStr">
        <is>
          <t>26M sf, ~100 properties, 12 states</t>
        </is>
      </c>
      <c r="I168" s="14" t="inlineStr">
        <is>
          <t>Yes</t>
        </is>
      </c>
      <c r="J168" s="15" t="inlineStr"/>
      <c r="K168" s="14" t="inlineStr">
        <is>
          <t>No</t>
        </is>
      </c>
      <c r="L168" s="15" t="inlineStr"/>
      <c r="M168" s="14" t="inlineStr">
        <is>
          <t>No</t>
        </is>
      </c>
      <c r="N168" s="15" t="inlineStr"/>
      <c r="O168" s="14" t="inlineStr">
        <is>
          <t>Partly</t>
        </is>
      </c>
      <c r="P168" s="10" t="inlineStr"/>
      <c r="Q168" s="12">
        <f>HYPERLINK("https://www.linkedin.com/search/results/people/?keywords=K.%20Alan%20Hassenflu%20Fidelis%20Realty%20Partners","search")</f>
        <v/>
      </c>
      <c r="R168" s="16">
        <f>IF(P168="","ADD LINKEDIN","ok")</f>
        <v/>
      </c>
      <c r="S168" s="12" t="inlineStr">
        <is>
          <t>https://www.frpltd.com/</t>
        </is>
      </c>
      <c r="T168" s="15" t="inlineStr">
        <is>
          <t>Two land positions in target counties within 24 months. Every purchase price is undisclosed.</t>
        </is>
      </c>
      <c r="U168" s="15" t="inlineStr">
        <is>
          <t>Glenn Airola's title sourced from a third-party CRE platform, not a Fidelis team page. Unverified. | Headquarters street address not confirmed on frpltd.com. | All purchase prices undisclosed.</t>
        </is>
      </c>
      <c r="V168" s="12" t="inlineStr"/>
      <c r="W168" s="15" t="inlineStr">
        <is>
          <t>President and Chief Executive Officer, a founder in 2003, formerly senior managing director at Trammell Crow.</t>
        </is>
      </c>
      <c r="X168" s="12" t="inlineStr">
        <is>
          <t>https://www.frpltd.com/about-fidelis/mission-values</t>
        </is>
      </c>
      <c r="Y168" s="12" t="inlineStr">
        <is>
          <t>https://www.linkedin.com/company/fidelis-realty-partners</t>
        </is>
      </c>
      <c r="Z168" s="12" t="inlineStr">
        <is>
          <t>https://www.frpltd.com/about-fidelis/mission-values</t>
        </is>
      </c>
    </row>
    <row r="169">
      <c r="A169" s="6" t="inlineStr">
        <is>
          <t>Glenn Airola</t>
        </is>
      </c>
      <c r="B169" s="6" t="inlineStr">
        <is>
          <t>Fidelis Realty Partners</t>
        </is>
      </c>
      <c r="C169" s="6" t="inlineStr">
        <is>
          <t>Co-President and Chief Operating Officer</t>
        </is>
      </c>
      <c r="D169" s="7" t="inlineStr">
        <is>
          <t>Off deck, screened out</t>
        </is>
      </c>
      <c r="E169" s="8" t="n">
        <v>1</v>
      </c>
      <c r="F169" s="6" t="inlineStr">
        <is>
          <t>Buys walls</t>
        </is>
      </c>
      <c r="G169" s="6" t="inlineStr">
        <is>
          <t>Houston HQ / Brazoria, Montgomery</t>
        </is>
      </c>
      <c r="H169" s="6" t="inlineStr">
        <is>
          <t>26M sf, ~100 properties, 12 states</t>
        </is>
      </c>
      <c r="I169" s="8" t="inlineStr">
        <is>
          <t>Yes</t>
        </is>
      </c>
      <c r="J169" s="9" t="inlineStr"/>
      <c r="K169" s="8" t="inlineStr">
        <is>
          <t>No</t>
        </is>
      </c>
      <c r="L169" s="9" t="inlineStr"/>
      <c r="M169" s="8" t="inlineStr">
        <is>
          <t>No</t>
        </is>
      </c>
      <c r="N169" s="9" t="inlineStr"/>
      <c r="O169" s="8" t="inlineStr">
        <is>
          <t>Partly</t>
        </is>
      </c>
      <c r="P169" s="10" t="inlineStr"/>
      <c r="Q169" s="6">
        <f>HYPERLINK("https://www.linkedin.com/search/results/people/?keywords=Glenn%20Airola%20Fidelis%20Realty%20Partners","search")</f>
        <v/>
      </c>
      <c r="R169" s="11">
        <f>IF(P169="","ADD LINKEDIN","ok")</f>
        <v/>
      </c>
      <c r="S169" s="6" t="inlineStr">
        <is>
          <t>https://www.frpltd.com/</t>
        </is>
      </c>
      <c r="T169" s="9" t="inlineStr">
        <is>
          <t>Two land positions in target counties within 24 months. Every purchase price is undisclosed.</t>
        </is>
      </c>
      <c r="U169" s="9" t="inlineStr">
        <is>
          <t>Glenn Airola's title sourced from a third-party CRE platform, not a Fidelis team page. Unverified. | Headquarters street address not confirmed on frpltd.com. | All purchase prices undisclosed.</t>
        </is>
      </c>
      <c r="V169" s="6" t="inlineStr"/>
      <c r="W169" s="9" t="inlineStr">
        <is>
          <t>Executive Vice President, General Counsel and Chief Administrative Officer since 2007.</t>
        </is>
      </c>
      <c r="X169" s="6" t="inlineStr">
        <is>
          <t>https://www.frpltd.com/about-fidelis/mission-values</t>
        </is>
      </c>
      <c r="Y169" s="6" t="inlineStr">
        <is>
          <t>https://www.linkedin.com/company/fidelis-realty-partners</t>
        </is>
      </c>
      <c r="Z169" s="6" t="inlineStr">
        <is>
          <t>https://www.frpltd.com/about-fidelis/mission-values</t>
        </is>
      </c>
    </row>
    <row r="170">
      <c r="A170" s="12" t="inlineStr">
        <is>
          <t>R. Carson Wilson IV</t>
        </is>
      </c>
      <c r="B170" s="12" t="inlineStr">
        <is>
          <t>Fidelis Realty Partners</t>
        </is>
      </c>
      <c r="C170" s="12" t="inlineStr">
        <is>
          <t>Executive Vice President of Leasing, Construction and Development, Fidelis Realty Partners</t>
        </is>
      </c>
      <c r="D170" s="13" t="inlineStr">
        <is>
          <t>Off deck, screened out</t>
        </is>
      </c>
      <c r="E170" s="14" t="n">
        <v>1</v>
      </c>
      <c r="F170" s="12" t="inlineStr">
        <is>
          <t>Buys walls</t>
        </is>
      </c>
      <c r="G170" s="12" t="inlineStr">
        <is>
          <t>Houston HQ / Brazoria, Montgomery</t>
        </is>
      </c>
      <c r="H170" s="12" t="inlineStr">
        <is>
          <t>26M sf, ~100 properties, 12 states</t>
        </is>
      </c>
      <c r="I170" s="14" t="inlineStr">
        <is>
          <t>Yes</t>
        </is>
      </c>
      <c r="J170" s="15" t="inlineStr"/>
      <c r="K170" s="14" t="inlineStr">
        <is>
          <t>No</t>
        </is>
      </c>
      <c r="L170" s="15" t="inlineStr"/>
      <c r="M170" s="14" t="inlineStr">
        <is>
          <t>No</t>
        </is>
      </c>
      <c r="N170" s="15" t="inlineStr"/>
      <c r="O170" s="14" t="inlineStr">
        <is>
          <t>Partly</t>
        </is>
      </c>
      <c r="P170" s="6" t="inlineStr">
        <is>
          <t>https://www.linkedin.com/in/r-carson-wilson-iv-9b7525292/</t>
        </is>
      </c>
      <c r="Q170" s="12" t="inlineStr"/>
      <c r="R170" s="16">
        <f>IF(P170="","ADD LINKEDIN","ok")</f>
        <v/>
      </c>
      <c r="S170" s="12" t="inlineStr">
        <is>
          <t>https://www.frpltd.com/</t>
        </is>
      </c>
      <c r="T170" s="15" t="inlineStr">
        <is>
          <t>Two land positions in target counties within 24 months. Every purchase price is undisclosed.</t>
        </is>
      </c>
      <c r="U170" s="15" t="inlineStr">
        <is>
          <t>Glenn Airola's title sourced from a third-party CRE platform, not a Fidelis team page. Unverified. | Headquarters street address not confirmed on frpltd.com. | All purchase prices undisclosed.</t>
        </is>
      </c>
      <c r="V170" s="12" t="inlineStr">
        <is>
          <t>YES</t>
        </is>
      </c>
      <c r="W170" s="15" t="inlineStr">
        <is>
          <t>Executive Vice President - Leasing, Construction and Development at Fidelis Realty Partners. Greater Houston. One title covers all three, so the person who signs the lease also owns the build.</t>
        </is>
      </c>
      <c r="X170" s="12" t="inlineStr"/>
      <c r="Y170" s="12" t="inlineStr">
        <is>
          <t>https://www.linkedin.com/company/fidelis-realty-partners</t>
        </is>
      </c>
      <c r="Z170" s="12" t="inlineStr">
        <is>
          <t>https://www.frpltd.com/about-fidelis/mission-values</t>
        </is>
      </c>
    </row>
    <row r="171">
      <c r="A171" s="6" t="inlineStr">
        <is>
          <t>Brandt Bowden</t>
        </is>
      </c>
      <c r="B171" s="6" t="inlineStr">
        <is>
          <t>The Hanover Company</t>
        </is>
      </c>
      <c r="C171" s="6" t="inlineStr">
        <is>
          <t>Chief Executive Officer</t>
        </is>
      </c>
      <c r="D171" s="7" t="inlineStr">
        <is>
          <t>Off deck, screened out</t>
        </is>
      </c>
      <c r="E171" s="8" t="n">
        <v>1</v>
      </c>
      <c r="F171" s="6" t="inlineStr">
        <is>
          <t>Buys walls</t>
        </is>
      </c>
      <c r="G171" s="6" t="inlineStr">
        <is>
          <t>Houston HQ, Harris County</t>
        </is>
      </c>
      <c r="H171" s="6" t="inlineStr">
        <is>
          <t>19 markets, in-house construction arm</t>
        </is>
      </c>
      <c r="I171" s="8" t="inlineStr">
        <is>
          <t>Yes</t>
        </is>
      </c>
      <c r="J171" s="9" t="inlineStr"/>
      <c r="K171" s="8" t="inlineStr">
        <is>
          <t>No</t>
        </is>
      </c>
      <c r="L171" s="9" t="inlineStr"/>
      <c r="M171" s="8" t="inlineStr">
        <is>
          <t>No</t>
        </is>
      </c>
      <c r="N171" s="9" t="inlineStr"/>
      <c r="O171" s="8" t="inlineStr">
        <is>
          <t>Partly</t>
        </is>
      </c>
      <c r="P171" s="10" t="inlineStr"/>
      <c r="Q171" s="6">
        <f>HYPERLINK("https://www.linkedin.com/search/results/people/?keywords=Brandt%20Bowden%20The%20Hanover%20Company","search")</f>
        <v/>
      </c>
      <c r="R171" s="11">
        <f>IF(P171="","ADD LINKEDIN","ok")</f>
        <v/>
      </c>
      <c r="S171" s="6" t="inlineStr">
        <is>
          <t>https://www.hanoverco.com/</t>
        </is>
      </c>
      <c r="T171" s="9" t="inlineStr">
        <is>
          <t>An in-house construction arm and a Houston HQ since 1982, but no Houston project could be sourced.</t>
        </is>
      </c>
      <c r="U171" s="9" t="inlineStr">
        <is>
          <t>No Houston-specific project sourced. Repeatability inferred from platform scale, not from a named local position. | No capital signal with a figure. | No innovation-appetite evidence.</t>
        </is>
      </c>
      <c r="V171" s="6" t="inlineStr"/>
      <c r="W171" s="9" t="inlineStr">
        <is>
          <t>Chief Executive Officer of Hanover, overseeing capital, development and construction, previously chief investment officer.</t>
        </is>
      </c>
      <c r="X171" s="6" t="inlineStr">
        <is>
          <t>https://knowledge.uli.org/en/people/b/b/brandt-bowden-f34f</t>
        </is>
      </c>
      <c r="Y171" s="6" t="inlineStr"/>
      <c r="Z171" s="6" t="inlineStr">
        <is>
          <t>https://www.hanoverco.com/leadership</t>
        </is>
      </c>
    </row>
    <row r="172">
      <c r="A172" s="12" t="inlineStr">
        <is>
          <t>Murry Bowden</t>
        </is>
      </c>
      <c r="B172" s="12" t="inlineStr">
        <is>
          <t>The Hanover Company</t>
        </is>
      </c>
      <c r="C172" s="12" t="inlineStr">
        <is>
          <t>Founder and Executive Chairman</t>
        </is>
      </c>
      <c r="D172" s="13" t="inlineStr">
        <is>
          <t>Off deck, screened out</t>
        </is>
      </c>
      <c r="E172" s="14" t="n">
        <v>1</v>
      </c>
      <c r="F172" s="12" t="inlineStr">
        <is>
          <t>Buys walls</t>
        </is>
      </c>
      <c r="G172" s="12" t="inlineStr">
        <is>
          <t>Houston HQ, Harris County</t>
        </is>
      </c>
      <c r="H172" s="12" t="inlineStr">
        <is>
          <t>19 markets, in-house construction arm</t>
        </is>
      </c>
      <c r="I172" s="14" t="inlineStr">
        <is>
          <t>Yes</t>
        </is>
      </c>
      <c r="J172" s="15" t="inlineStr"/>
      <c r="K172" s="14" t="inlineStr">
        <is>
          <t>No</t>
        </is>
      </c>
      <c r="L172" s="15" t="inlineStr"/>
      <c r="M172" s="14" t="inlineStr">
        <is>
          <t>No</t>
        </is>
      </c>
      <c r="N172" s="15" t="inlineStr"/>
      <c r="O172" s="14" t="inlineStr">
        <is>
          <t>Partly</t>
        </is>
      </c>
      <c r="P172" s="10" t="inlineStr"/>
      <c r="Q172" s="12">
        <f>HYPERLINK("https://www.linkedin.com/search/results/people/?keywords=Murry%20Bowden%20The%20Hanover%20Company","search")</f>
        <v/>
      </c>
      <c r="R172" s="16">
        <f>IF(P172="","ADD LINKEDIN","ok")</f>
        <v/>
      </c>
      <c r="S172" s="12" t="inlineStr">
        <is>
          <t>https://www.hanoverco.com/</t>
        </is>
      </c>
      <c r="T172" s="15" t="inlineStr">
        <is>
          <t>An in-house construction arm and a Houston HQ since 1982, but no Houston project could be sourced.</t>
        </is>
      </c>
      <c r="U172" s="15" t="inlineStr">
        <is>
          <t>No Houston-specific project sourced. Repeatability inferred from platform scale, not from a named local position. | No capital signal with a figure. | No innovation-appetite evidence.</t>
        </is>
      </c>
      <c r="V172" s="12" t="inlineStr"/>
      <c r="W172" s="15" t="inlineStr">
        <is>
          <t>Founder, Chairman and Chief Executive Officer, responsible for strategy and investment decisions.</t>
        </is>
      </c>
      <c r="X172" s="12" t="inlineStr">
        <is>
          <t>https://www.nmhc.org/meetings/meetings-pages/meeting-materials/j-murry-bowden-biography/</t>
        </is>
      </c>
      <c r="Y172" s="12" t="inlineStr"/>
      <c r="Z172" s="12" t="inlineStr">
        <is>
          <t>https://www.hanoverco.com/leadership</t>
        </is>
      </c>
    </row>
    <row r="173">
      <c r="A173" s="6" t="inlineStr">
        <is>
          <t>John Nash</t>
        </is>
      </c>
      <c r="B173" s="6" t="inlineStr">
        <is>
          <t>The Hanover Company</t>
        </is>
      </c>
      <c r="C173" s="6" t="inlineStr">
        <is>
          <t>President</t>
        </is>
      </c>
      <c r="D173" s="7" t="inlineStr">
        <is>
          <t>Off deck, screened out</t>
        </is>
      </c>
      <c r="E173" s="8" t="n">
        <v>1</v>
      </c>
      <c r="F173" s="6" t="inlineStr">
        <is>
          <t>Buys walls</t>
        </is>
      </c>
      <c r="G173" s="6" t="inlineStr">
        <is>
          <t>Houston HQ, Harris County</t>
        </is>
      </c>
      <c r="H173" s="6" t="inlineStr">
        <is>
          <t>19 markets, in-house construction arm</t>
        </is>
      </c>
      <c r="I173" s="8" t="inlineStr">
        <is>
          <t>Yes</t>
        </is>
      </c>
      <c r="J173" s="9" t="inlineStr"/>
      <c r="K173" s="8" t="inlineStr">
        <is>
          <t>No</t>
        </is>
      </c>
      <c r="L173" s="9" t="inlineStr"/>
      <c r="M173" s="8" t="inlineStr">
        <is>
          <t>No</t>
        </is>
      </c>
      <c r="N173" s="9" t="inlineStr"/>
      <c r="O173" s="8" t="inlineStr">
        <is>
          <t>Partly</t>
        </is>
      </c>
      <c r="P173" s="10" t="inlineStr"/>
      <c r="Q173" s="6">
        <f>HYPERLINK("https://www.linkedin.com/search/results/people/?keywords=John%20Nash%20The%20Hanover%20Company","search")</f>
        <v/>
      </c>
      <c r="R173" s="11">
        <f>IF(P173="","ADD LINKEDIN","ok")</f>
        <v/>
      </c>
      <c r="S173" s="6" t="inlineStr">
        <is>
          <t>https://www.hanoverco.com/</t>
        </is>
      </c>
      <c r="T173" s="9" t="inlineStr">
        <is>
          <t>An in-house construction arm and a Houston HQ since 1982, but no Houston project could be sourced.</t>
        </is>
      </c>
      <c r="U173" s="9" t="inlineStr">
        <is>
          <t>No Houston-specific project sourced. Repeatability inferred from platform scale, not from a named local position. | No capital signal with a figure. | No innovation-appetite evidence.</t>
        </is>
      </c>
      <c r="V173" s="6" t="inlineStr"/>
      <c r="W173" s="9" t="inlineStr">
        <is>
          <t>President. Thirty-three years with Hanover, twenty-three of them as president, per the McCombs alumni network.</t>
        </is>
      </c>
      <c r="X173" s="6" t="inlineStr">
        <is>
          <t>https://www.hanoverco.com/leadership</t>
        </is>
      </c>
      <c r="Y173" s="6" t="inlineStr"/>
      <c r="Z173" s="6" t="inlineStr">
        <is>
          <t>https://www.hanoverco.com/leadership</t>
        </is>
      </c>
    </row>
    <row r="174">
      <c r="A174" s="12" t="inlineStr">
        <is>
          <t>John Garibaldi</t>
        </is>
      </c>
      <c r="B174" s="12" t="inlineStr">
        <is>
          <t>The Hanover Company</t>
        </is>
      </c>
      <c r="C174" s="12" t="inlineStr">
        <is>
          <t>President, Multifamily</t>
        </is>
      </c>
      <c r="D174" s="13" t="inlineStr">
        <is>
          <t>Off deck, screened out</t>
        </is>
      </c>
      <c r="E174" s="14" t="n">
        <v>1</v>
      </c>
      <c r="F174" s="12" t="inlineStr">
        <is>
          <t>Buys walls</t>
        </is>
      </c>
      <c r="G174" s="12" t="inlineStr">
        <is>
          <t>Houston HQ, Harris County</t>
        </is>
      </c>
      <c r="H174" s="12" t="inlineStr">
        <is>
          <t>19 markets, in-house construction arm</t>
        </is>
      </c>
      <c r="I174" s="14" t="inlineStr">
        <is>
          <t>Yes</t>
        </is>
      </c>
      <c r="J174" s="15" t="inlineStr"/>
      <c r="K174" s="14" t="inlineStr">
        <is>
          <t>No</t>
        </is>
      </c>
      <c r="L174" s="15" t="inlineStr"/>
      <c r="M174" s="14" t="inlineStr">
        <is>
          <t>No</t>
        </is>
      </c>
      <c r="N174" s="15" t="inlineStr"/>
      <c r="O174" s="14" t="inlineStr">
        <is>
          <t>Partly</t>
        </is>
      </c>
      <c r="P174" s="10" t="inlineStr"/>
      <c r="Q174" s="12">
        <f>HYPERLINK("https://www.linkedin.com/search/results/people/?keywords=John%20Garibaldi%20The%20Hanover%20Company","search")</f>
        <v/>
      </c>
      <c r="R174" s="16">
        <f>IF(P174="","ADD LINKEDIN","ok")</f>
        <v/>
      </c>
      <c r="S174" s="12" t="inlineStr">
        <is>
          <t>https://www.hanoverco.com/</t>
        </is>
      </c>
      <c r="T174" s="15" t="inlineStr">
        <is>
          <t>An in-house construction arm and a Houston HQ since 1982, but no Houston project could be sourced.</t>
        </is>
      </c>
      <c r="U174" s="15" t="inlineStr">
        <is>
          <t>No Houston-specific project sourced. Repeatability inferred from platform scale, not from a named local position. | No capital signal with a figure. | No innovation-appetite evidence.</t>
        </is>
      </c>
      <c r="V174" s="12" t="inlineStr"/>
      <c r="W174" s="15" t="inlineStr">
        <is>
          <t>President, Multifamily. Twenty-five years with the firm, starting as a development partner in Houston in 1999.</t>
        </is>
      </c>
      <c r="X174" s="12" t="inlineStr">
        <is>
          <t>https://www.hanoverco.com/leadership</t>
        </is>
      </c>
      <c r="Y174" s="12" t="inlineStr"/>
      <c r="Z174" s="12" t="inlineStr">
        <is>
          <t>https://www.hanoverco.com/leadership</t>
        </is>
      </c>
    </row>
    <row r="175">
      <c r="A175" s="6" t="inlineStr">
        <is>
          <t>Thomas Knutson</t>
        </is>
      </c>
      <c r="B175" s="6" t="inlineStr">
        <is>
          <t>The Hanover Company</t>
        </is>
      </c>
      <c r="C175" s="6" t="inlineStr">
        <is>
          <t>President of Construction, The Hanover Company</t>
        </is>
      </c>
      <c r="D175" s="7" t="inlineStr">
        <is>
          <t>Off deck, screened out</t>
        </is>
      </c>
      <c r="E175" s="8" t="n">
        <v>1</v>
      </c>
      <c r="F175" s="6" t="inlineStr">
        <is>
          <t>Buys walls</t>
        </is>
      </c>
      <c r="G175" s="6" t="inlineStr">
        <is>
          <t>Houston HQ, Harris County</t>
        </is>
      </c>
      <c r="H175" s="6" t="inlineStr">
        <is>
          <t>19 markets, in-house construction arm</t>
        </is>
      </c>
      <c r="I175" s="8" t="inlineStr">
        <is>
          <t>Yes</t>
        </is>
      </c>
      <c r="J175" s="9" t="inlineStr"/>
      <c r="K175" s="8" t="inlineStr">
        <is>
          <t>No</t>
        </is>
      </c>
      <c r="L175" s="9" t="inlineStr"/>
      <c r="M175" s="8" t="inlineStr">
        <is>
          <t>No</t>
        </is>
      </c>
      <c r="N175" s="9" t="inlineStr"/>
      <c r="O175" s="8" t="inlineStr">
        <is>
          <t>Partly</t>
        </is>
      </c>
      <c r="P175" s="6" t="inlineStr">
        <is>
          <t>https://www.linkedin.com/in/thomas-knutson-a741898/</t>
        </is>
      </c>
      <c r="Q175" s="6" t="inlineStr"/>
      <c r="R175" s="11">
        <f>IF(P175="","ADD LINKEDIN","ok")</f>
        <v/>
      </c>
      <c r="S175" s="6" t="inlineStr">
        <is>
          <t>https://www.hanoverco.com/</t>
        </is>
      </c>
      <c r="T175" s="9" t="inlineStr">
        <is>
          <t>An in-house construction arm and a Houston HQ since 1982, but no Houston project could be sourced.</t>
        </is>
      </c>
      <c r="U175" s="9" t="inlineStr">
        <is>
          <t>No Houston-specific project sourced. Repeatability inferred from platform scale, not from a named local position. | No capital signal with a figure. | No innovation-appetite evidence.</t>
        </is>
      </c>
      <c r="V175" s="6" t="inlineStr">
        <is>
          <t>YES</t>
        </is>
      </c>
      <c r="W175" s="9" t="inlineStr">
        <is>
          <t>President - Construction at The Hanover Company. Houston, Texas. Hanover builds its own work, so this is the head of the in-house contractor.</t>
        </is>
      </c>
      <c r="X175" s="6" t="inlineStr"/>
      <c r="Y175" s="6" t="inlineStr"/>
      <c r="Z175" s="6" t="inlineStr">
        <is>
          <t>https://www.hanoverco.com/leadership</t>
        </is>
      </c>
    </row>
    <row r="176">
      <c r="A176" s="12" t="inlineStr">
        <is>
          <t>Mark Wood</t>
        </is>
      </c>
      <c r="B176" s="12" t="inlineStr">
        <is>
          <t>The Hanover Company</t>
        </is>
      </c>
      <c r="C176" s="12" t="inlineStr">
        <is>
          <t>Vice President of Construction, The Hanover Company</t>
        </is>
      </c>
      <c r="D176" s="13" t="inlineStr">
        <is>
          <t>Off deck, screened out</t>
        </is>
      </c>
      <c r="E176" s="14" t="n">
        <v>1</v>
      </c>
      <c r="F176" s="12" t="inlineStr">
        <is>
          <t>Buys walls</t>
        </is>
      </c>
      <c r="G176" s="12" t="inlineStr">
        <is>
          <t>Houston HQ, Harris County</t>
        </is>
      </c>
      <c r="H176" s="12" t="inlineStr">
        <is>
          <t>19 markets, in-house construction arm</t>
        </is>
      </c>
      <c r="I176" s="14" t="inlineStr">
        <is>
          <t>Yes</t>
        </is>
      </c>
      <c r="J176" s="15" t="inlineStr"/>
      <c r="K176" s="14" t="inlineStr">
        <is>
          <t>No</t>
        </is>
      </c>
      <c r="L176" s="15" t="inlineStr"/>
      <c r="M176" s="14" t="inlineStr">
        <is>
          <t>No</t>
        </is>
      </c>
      <c r="N176" s="15" t="inlineStr"/>
      <c r="O176" s="14" t="inlineStr">
        <is>
          <t>Partly</t>
        </is>
      </c>
      <c r="P176" s="6" t="inlineStr">
        <is>
          <t>https://www.linkedin.com/in/mark-wood-49713011/</t>
        </is>
      </c>
      <c r="Q176" s="12" t="inlineStr"/>
      <c r="R176" s="16">
        <f>IF(P176="","ADD LINKEDIN","ok")</f>
        <v/>
      </c>
      <c r="S176" s="12" t="inlineStr">
        <is>
          <t>https://www.hanoverco.com/</t>
        </is>
      </c>
      <c r="T176" s="15" t="inlineStr">
        <is>
          <t>An in-house construction arm and a Houston HQ since 1982, but no Houston project could be sourced.</t>
        </is>
      </c>
      <c r="U176" s="15" t="inlineStr">
        <is>
          <t>No Houston-specific project sourced. Repeatability inferred from platform scale, not from a named local position. | No capital signal with a figure. | No innovation-appetite evidence.</t>
        </is>
      </c>
      <c r="V176" s="12" t="inlineStr">
        <is>
          <t>YES</t>
        </is>
      </c>
      <c r="W176" s="15" t="inlineStr">
        <is>
          <t>Vice President - Construction at The Hanover Company. Houston, Texas.</t>
        </is>
      </c>
      <c r="X176" s="12" t="inlineStr"/>
      <c r="Y176" s="12" t="inlineStr"/>
      <c r="Z176" s="12" t="inlineStr">
        <is>
          <t>https://www.hanoverco.com/leadership</t>
        </is>
      </c>
    </row>
    <row r="177">
      <c r="A177" s="6" t="inlineStr">
        <is>
          <t>Mike Wright</t>
        </is>
      </c>
      <c r="B177" s="6" t="inlineStr">
        <is>
          <t>The Hanover Company</t>
        </is>
      </c>
      <c r="C177" s="6" t="inlineStr">
        <is>
          <t>Vice President of Preconstruction and Estimating, The Hanover Company</t>
        </is>
      </c>
      <c r="D177" s="7" t="inlineStr">
        <is>
          <t>Off deck, screened out</t>
        </is>
      </c>
      <c r="E177" s="8" t="n">
        <v>1</v>
      </c>
      <c r="F177" s="6" t="inlineStr">
        <is>
          <t>Buys walls</t>
        </is>
      </c>
      <c r="G177" s="6" t="inlineStr">
        <is>
          <t>Houston HQ, Harris County</t>
        </is>
      </c>
      <c r="H177" s="6" t="inlineStr">
        <is>
          <t>19 markets, in-house construction arm</t>
        </is>
      </c>
      <c r="I177" s="8" t="inlineStr">
        <is>
          <t>Yes</t>
        </is>
      </c>
      <c r="J177" s="9" t="inlineStr"/>
      <c r="K177" s="8" t="inlineStr">
        <is>
          <t>No</t>
        </is>
      </c>
      <c r="L177" s="9" t="inlineStr"/>
      <c r="M177" s="8" t="inlineStr">
        <is>
          <t>No</t>
        </is>
      </c>
      <c r="N177" s="9" t="inlineStr"/>
      <c r="O177" s="8" t="inlineStr">
        <is>
          <t>Partly</t>
        </is>
      </c>
      <c r="P177" s="6" t="inlineStr">
        <is>
          <t>https://www.linkedin.com/in/mike-wright-7795a8b/</t>
        </is>
      </c>
      <c r="Q177" s="6" t="inlineStr"/>
      <c r="R177" s="11">
        <f>IF(P177="","ADD LINKEDIN","ok")</f>
        <v/>
      </c>
      <c r="S177" s="6" t="inlineStr">
        <is>
          <t>https://www.hanoverco.com/</t>
        </is>
      </c>
      <c r="T177" s="9" t="inlineStr">
        <is>
          <t>An in-house construction arm and a Houston HQ since 1982, but no Houston project could be sourced.</t>
        </is>
      </c>
      <c r="U177" s="9" t="inlineStr">
        <is>
          <t>No Houston-specific project sourced. Repeatability inferred from platform scale, not from a named local position. | No capital signal with a figure. | No innovation-appetite evidence.</t>
        </is>
      </c>
      <c r="V177" s="6" t="inlineStr">
        <is>
          <t>YES</t>
        </is>
      </c>
      <c r="W177" s="9" t="inlineStr">
        <is>
          <t>Vice President of Preconstruction &amp; Estimating at The Hanover Company. Katy, Texas. Preconstruction is where an unfamiliar wall system gets priced or dismissed, so this is the first real test of a printed assembly.</t>
        </is>
      </c>
      <c r="X177" s="6" t="inlineStr"/>
      <c r="Y177" s="6" t="inlineStr"/>
      <c r="Z177" s="6" t="inlineStr">
        <is>
          <t>https://www.hanoverco.com/leadership</t>
        </is>
      </c>
    </row>
    <row r="178">
      <c r="A178" s="12" t="inlineStr">
        <is>
          <t>Jeff Read</t>
        </is>
      </c>
      <c r="B178" s="12" t="inlineStr">
        <is>
          <t>Read King</t>
        </is>
      </c>
      <c r="C178" s="12" t="inlineStr">
        <is>
          <t>Principal and Co-Founder</t>
        </is>
      </c>
      <c r="D178" s="13" t="inlineStr">
        <is>
          <t>Off deck, screened out</t>
        </is>
      </c>
      <c r="E178" s="14" t="n">
        <v>1</v>
      </c>
      <c r="F178" s="12" t="inlineStr">
        <is>
          <t>Buys walls</t>
        </is>
      </c>
      <c r="G178" s="12" t="inlineStr">
        <is>
          <t>Houston HQ / Fort Bend, Harris</t>
        </is>
      </c>
      <c r="H178" s="12" t="inlineStr">
        <is>
          <t>36 freestanding ER centres, 100+ build-to-suit</t>
        </is>
      </c>
      <c r="I178" s="14" t="inlineStr">
        <is>
          <t>Yes</t>
        </is>
      </c>
      <c r="J178" s="15" t="inlineStr"/>
      <c r="K178" s="14" t="inlineStr">
        <is>
          <t>No</t>
        </is>
      </c>
      <c r="L178" s="15" t="inlineStr"/>
      <c r="M178" s="14" t="inlineStr">
        <is>
          <t>No</t>
        </is>
      </c>
      <c r="N178" s="15" t="inlineStr"/>
      <c r="O178" s="14" t="inlineStr">
        <is>
          <t>No</t>
        </is>
      </c>
      <c r="P178" s="10" t="inlineStr"/>
      <c r="Q178" s="12">
        <f>HYPERLINK("https://www.linkedin.com/search/results/people/?keywords=Jeff%20Read%20Read%20King","search")</f>
        <v/>
      </c>
      <c r="R178" s="16">
        <f>IF(P178="","ADD LINKEDIN","ok")</f>
        <v/>
      </c>
      <c r="S178" s="12" t="inlineStr">
        <is>
          <t>https://read-king.com/</t>
        </is>
      </c>
      <c r="T178" s="15" t="inlineStr">
        <is>
          <t>36 freestanding emergency centres and over 100 build-to-suits, the most repeated small-commercial format screened.</t>
        </is>
      </c>
      <c r="U178" s="15" t="inlineStr">
        <is>
          <t>Individual project square footages and dates not itemised. | No capital signal with a figure. | No innovation-appetite evidence located.</t>
        </is>
      </c>
      <c r="V178" s="12" t="inlineStr"/>
      <c r="W178" s="15" t="inlineStr">
        <is>
          <t>Principal.</t>
        </is>
      </c>
      <c r="X178" s="12" t="inlineStr">
        <is>
          <t>https://www.read-king.com/team</t>
        </is>
      </c>
      <c r="Y178" s="12" t="inlineStr">
        <is>
          <t>https://www.linkedin.com/company/read-king-inc-</t>
        </is>
      </c>
      <c r="Z178" s="12" t="inlineStr">
        <is>
          <t>https://www.read-king.com/team</t>
        </is>
      </c>
    </row>
    <row r="179">
      <c r="A179" s="6" t="inlineStr">
        <is>
          <t>Ewing King</t>
        </is>
      </c>
      <c r="B179" s="6" t="inlineStr">
        <is>
          <t>Read King</t>
        </is>
      </c>
      <c r="C179" s="6" t="inlineStr">
        <is>
          <t>Principal</t>
        </is>
      </c>
      <c r="D179" s="7" t="inlineStr">
        <is>
          <t>Off deck, screened out</t>
        </is>
      </c>
      <c r="E179" s="8" t="n">
        <v>1</v>
      </c>
      <c r="F179" s="6" t="inlineStr">
        <is>
          <t>Buys walls</t>
        </is>
      </c>
      <c r="G179" s="6" t="inlineStr">
        <is>
          <t>Houston HQ / Fort Bend, Harris</t>
        </is>
      </c>
      <c r="H179" s="6" t="inlineStr">
        <is>
          <t>36 freestanding ER centres, 100+ build-to-suit</t>
        </is>
      </c>
      <c r="I179" s="8" t="inlineStr">
        <is>
          <t>Yes</t>
        </is>
      </c>
      <c r="J179" s="9" t="inlineStr"/>
      <c r="K179" s="8" t="inlineStr">
        <is>
          <t>No</t>
        </is>
      </c>
      <c r="L179" s="9" t="inlineStr"/>
      <c r="M179" s="8" t="inlineStr">
        <is>
          <t>No</t>
        </is>
      </c>
      <c r="N179" s="9" t="inlineStr"/>
      <c r="O179" s="8" t="inlineStr">
        <is>
          <t>No</t>
        </is>
      </c>
      <c r="P179" s="10" t="inlineStr"/>
      <c r="Q179" s="6">
        <f>HYPERLINK("https://www.linkedin.com/search/results/people/?keywords=Ewing%20King%20Read%20King","search")</f>
        <v/>
      </c>
      <c r="R179" s="11">
        <f>IF(P179="","ADD LINKEDIN","ok")</f>
        <v/>
      </c>
      <c r="S179" s="6" t="inlineStr">
        <is>
          <t>https://read-king.com/</t>
        </is>
      </c>
      <c r="T179" s="9" t="inlineStr">
        <is>
          <t>36 freestanding emergency centres and over 100 build-to-suits, the most repeated small-commercial format screened.</t>
        </is>
      </c>
      <c r="U179" s="9" t="inlineStr">
        <is>
          <t>Individual project square footages and dates not itemised. | No capital signal with a figure. | No innovation-appetite evidence located.</t>
        </is>
      </c>
      <c r="V179" s="6" t="inlineStr"/>
      <c r="W179" s="9" t="inlineStr">
        <is>
          <t>Principal.</t>
        </is>
      </c>
      <c r="X179" s="6" t="inlineStr">
        <is>
          <t>https://www.read-king.com/team</t>
        </is>
      </c>
      <c r="Y179" s="6" t="inlineStr">
        <is>
          <t>https://www.linkedin.com/company/read-king-inc-</t>
        </is>
      </c>
      <c r="Z179" s="6" t="inlineStr">
        <is>
          <t>https://www.read-king.com/team</t>
        </is>
      </c>
    </row>
    <row r="180">
      <c r="A180" s="12" t="inlineStr">
        <is>
          <t>Blake Allen</t>
        </is>
      </c>
      <c r="B180" s="12" t="inlineStr">
        <is>
          <t>Read King</t>
        </is>
      </c>
      <c r="C180" s="12" t="inlineStr">
        <is>
          <t>Chief Financial Officer</t>
        </is>
      </c>
      <c r="D180" s="13" t="inlineStr">
        <is>
          <t>Off deck, screened out</t>
        </is>
      </c>
      <c r="E180" s="14" t="n">
        <v>1</v>
      </c>
      <c r="F180" s="12" t="inlineStr">
        <is>
          <t>Buys walls</t>
        </is>
      </c>
      <c r="G180" s="12" t="inlineStr">
        <is>
          <t>Houston HQ / Fort Bend, Harris</t>
        </is>
      </c>
      <c r="H180" s="12" t="inlineStr">
        <is>
          <t>36 freestanding ER centres, 100+ build-to-suit</t>
        </is>
      </c>
      <c r="I180" s="14" t="inlineStr">
        <is>
          <t>Yes</t>
        </is>
      </c>
      <c r="J180" s="15" t="inlineStr"/>
      <c r="K180" s="14" t="inlineStr">
        <is>
          <t>No</t>
        </is>
      </c>
      <c r="L180" s="15" t="inlineStr"/>
      <c r="M180" s="14" t="inlineStr">
        <is>
          <t>No</t>
        </is>
      </c>
      <c r="N180" s="15" t="inlineStr"/>
      <c r="O180" s="14" t="inlineStr">
        <is>
          <t>No</t>
        </is>
      </c>
      <c r="P180" s="10" t="inlineStr"/>
      <c r="Q180" s="12">
        <f>HYPERLINK("https://www.linkedin.com/search/results/people/?keywords=Blake%20Allen%20Read%20King","search")</f>
        <v/>
      </c>
      <c r="R180" s="16">
        <f>IF(P180="","ADD LINKEDIN","ok")</f>
        <v/>
      </c>
      <c r="S180" s="12" t="inlineStr">
        <is>
          <t>https://read-king.com/</t>
        </is>
      </c>
      <c r="T180" s="15" t="inlineStr">
        <is>
          <t>36 freestanding emergency centres and over 100 build-to-suits, the most repeated small-commercial format screened.</t>
        </is>
      </c>
      <c r="U180" s="15" t="inlineStr">
        <is>
          <t>Individual project square footages and dates not itemised. | No capital signal with a figure. | No innovation-appetite evidence located.</t>
        </is>
      </c>
      <c r="V180" s="12" t="inlineStr"/>
      <c r="W180" s="15" t="inlineStr">
        <is>
          <t>Chief Financial Officer.</t>
        </is>
      </c>
      <c r="X180" s="12" t="inlineStr">
        <is>
          <t>https://www.read-king.com/team</t>
        </is>
      </c>
      <c r="Y180" s="12" t="inlineStr">
        <is>
          <t>https://www.linkedin.com/company/read-king-inc-</t>
        </is>
      </c>
      <c r="Z180" s="12" t="inlineStr">
        <is>
          <t>https://www.read-king.com/team</t>
        </is>
      </c>
    </row>
    <row r="181">
      <c r="A181" s="6" t="inlineStr">
        <is>
          <t>Telisia Amaning</t>
        </is>
      </c>
      <c r="B181" s="6" t="inlineStr">
        <is>
          <t>Read King</t>
        </is>
      </c>
      <c r="C181" s="6" t="inlineStr">
        <is>
          <t>Chief Operating Officer</t>
        </is>
      </c>
      <c r="D181" s="7" t="inlineStr">
        <is>
          <t>Off deck, screened out</t>
        </is>
      </c>
      <c r="E181" s="8" t="n">
        <v>1</v>
      </c>
      <c r="F181" s="6" t="inlineStr">
        <is>
          <t>Buys walls</t>
        </is>
      </c>
      <c r="G181" s="6" t="inlineStr">
        <is>
          <t>Houston HQ / Fort Bend, Harris</t>
        </is>
      </c>
      <c r="H181" s="6" t="inlineStr">
        <is>
          <t>36 freestanding ER centres, 100+ build-to-suit</t>
        </is>
      </c>
      <c r="I181" s="8" t="inlineStr">
        <is>
          <t>Yes</t>
        </is>
      </c>
      <c r="J181" s="9" t="inlineStr"/>
      <c r="K181" s="8" t="inlineStr">
        <is>
          <t>No</t>
        </is>
      </c>
      <c r="L181" s="9" t="inlineStr"/>
      <c r="M181" s="8" t="inlineStr">
        <is>
          <t>No</t>
        </is>
      </c>
      <c r="N181" s="9" t="inlineStr"/>
      <c r="O181" s="8" t="inlineStr">
        <is>
          <t>No</t>
        </is>
      </c>
      <c r="P181" s="6" t="inlineStr">
        <is>
          <t>https://www.linkedin.com/in/telisiaamaning/</t>
        </is>
      </c>
      <c r="Q181" s="6" t="inlineStr"/>
      <c r="R181" s="11">
        <f>IF(P181="","ADD LINKEDIN","ok")</f>
        <v/>
      </c>
      <c r="S181" s="6" t="inlineStr">
        <is>
          <t>https://read-king.com/</t>
        </is>
      </c>
      <c r="T181" s="9" t="inlineStr">
        <is>
          <t>36 freestanding emergency centres and over 100 build-to-suits, the most repeated small-commercial format screened.</t>
        </is>
      </c>
      <c r="U181" s="9" t="inlineStr">
        <is>
          <t>Individual project square footages and dates not itemised. | No capital signal with a figure. | No innovation-appetite evidence located.</t>
        </is>
      </c>
      <c r="V181" s="6" t="inlineStr"/>
      <c r="W181" s="9" t="inlineStr">
        <is>
          <t>Chief Operating Officer, READ KING. Houston, Texas.</t>
        </is>
      </c>
      <c r="X181" s="6" t="inlineStr"/>
      <c r="Y181" s="6" t="inlineStr">
        <is>
          <t>https://www.linkedin.com/company/read-king-inc-</t>
        </is>
      </c>
      <c r="Z181" s="6" t="inlineStr">
        <is>
          <t>https://www.read-king.com/team</t>
        </is>
      </c>
    </row>
    <row r="182">
      <c r="A182" s="12" t="inlineStr">
        <is>
          <t>Alex Jessett</t>
        </is>
      </c>
      <c r="B182" s="12" t="inlineStr">
        <is>
          <t>Camden Property Trust</t>
        </is>
      </c>
      <c r="C182" s="12" t="inlineStr">
        <is>
          <t>Chief Executive Officer</t>
        </is>
      </c>
      <c r="D182" s="13" t="inlineStr">
        <is>
          <t>Off deck, screened out</t>
        </is>
      </c>
      <c r="E182" s="14" t="n">
        <v>1</v>
      </c>
      <c r="F182" s="12" t="inlineStr">
        <is>
          <t>Buys walls</t>
        </is>
      </c>
      <c r="G182" s="12" t="inlineStr">
        <is>
          <t>Houston HQ / Fort Bend, Montgomery</t>
        </is>
      </c>
      <c r="H182" s="12" t="inlineStr">
        <is>
          <t>$155M into 389 BTR homes</t>
        </is>
      </c>
      <c r="I182" s="14" t="inlineStr">
        <is>
          <t>Partly</t>
        </is>
      </c>
      <c r="J182" s="15" t="inlineStr"/>
      <c r="K182" s="14" t="inlineStr">
        <is>
          <t>No</t>
        </is>
      </c>
      <c r="L182" s="15" t="inlineStr"/>
      <c r="M182" s="14" t="inlineStr">
        <is>
          <t>No</t>
        </is>
      </c>
      <c r="N182" s="15" t="inlineStr"/>
      <c r="O182" s="14" t="inlineStr">
        <is>
          <t>Yes</t>
        </is>
      </c>
      <c r="P182" s="10" t="inlineStr"/>
      <c r="Q182" s="12">
        <f>HYPERLINK("https://www.linkedin.com/search/results/people/?keywords=Alex%20Jessett%20Camden%20Property%20Trust","search")</f>
        <v/>
      </c>
      <c r="R182" s="16">
        <f>IF(P182="","ADD LINKEDIN","ok")</f>
        <v/>
      </c>
      <c r="S182" s="12" t="inlineStr">
        <is>
          <t>https://www.camdenliving.com/</t>
        </is>
      </c>
      <c r="T182" s="15" t="inlineStr">
        <is>
          <t>$155M into 389 build-to-rent homes, Houston HQ, holds long term. Figures date to 2022.</t>
        </is>
      </c>
      <c r="U182" s="15" t="inlineStr">
        <is>
          <t>Build-to-rent capital figures date to December 2022. Camden 10-K and 10-Q filings not pulled in this pass and almost certainly itemise further Houston development starts. | No innovation-appetite evidence located.</t>
        </is>
      </c>
      <c r="V182" s="12" t="inlineStr"/>
      <c r="W182" s="15" t="inlineStr">
        <is>
          <t>Chief Executive Officer, previously President and Chief Financial Officer, at Camden since 1999.</t>
        </is>
      </c>
      <c r="X182" s="12" t="inlineStr">
        <is>
          <t>https://investors.camdenliving.com/investors/governance/board-of-directors/default.aspx</t>
        </is>
      </c>
      <c r="Y182" s="12" t="inlineStr">
        <is>
          <t>https://www.linkedin.com/company/camden-property-trust</t>
        </is>
      </c>
      <c r="Z182" s="12" t="inlineStr">
        <is>
          <t>https://investors.camdenliving.com/investors/governance/board-of-directors/default.aspx</t>
        </is>
      </c>
    </row>
    <row r="183">
      <c r="A183" s="6" t="inlineStr">
        <is>
          <t>Richard J. Campo</t>
        </is>
      </c>
      <c r="B183" s="6" t="inlineStr">
        <is>
          <t>Camden Property Trust</t>
        </is>
      </c>
      <c r="C183" s="6" t="inlineStr">
        <is>
          <t>Executive Chairman of the Board of Trust Managers</t>
        </is>
      </c>
      <c r="D183" s="7" t="inlineStr">
        <is>
          <t>Off deck, screened out</t>
        </is>
      </c>
      <c r="E183" s="8" t="n">
        <v>1</v>
      </c>
      <c r="F183" s="6" t="inlineStr">
        <is>
          <t>Buys walls</t>
        </is>
      </c>
      <c r="G183" s="6" t="inlineStr">
        <is>
          <t>Houston HQ / Fort Bend, Montgomery</t>
        </is>
      </c>
      <c r="H183" s="6" t="inlineStr">
        <is>
          <t>$155M into 389 BTR homes</t>
        </is>
      </c>
      <c r="I183" s="8" t="inlineStr">
        <is>
          <t>Partly</t>
        </is>
      </c>
      <c r="J183" s="9" t="inlineStr"/>
      <c r="K183" s="8" t="inlineStr">
        <is>
          <t>No</t>
        </is>
      </c>
      <c r="L183" s="9" t="inlineStr"/>
      <c r="M183" s="8" t="inlineStr">
        <is>
          <t>No</t>
        </is>
      </c>
      <c r="N183" s="9" t="inlineStr"/>
      <c r="O183" s="8" t="inlineStr">
        <is>
          <t>Yes</t>
        </is>
      </c>
      <c r="P183" s="10" t="inlineStr"/>
      <c r="Q183" s="6">
        <f>HYPERLINK("https://www.linkedin.com/search/results/people/?keywords=Richard%20J.%20Campo%20Camden%20Property%20Trust","search")</f>
        <v/>
      </c>
      <c r="R183" s="11">
        <f>IF(P183="","ADD LINKEDIN","ok")</f>
        <v/>
      </c>
      <c r="S183" s="6" t="inlineStr">
        <is>
          <t>https://www.camdenliving.com/</t>
        </is>
      </c>
      <c r="T183" s="9" t="inlineStr">
        <is>
          <t>$155M into 389 build-to-rent homes, Houston HQ, holds long term. Figures date to 2022.</t>
        </is>
      </c>
      <c r="U183" s="9" t="inlineStr">
        <is>
          <t>Build-to-rent capital figures date to December 2022. Camden 10-K and 10-Q filings not pulled in this pass and almost certainly itemise further Houston development starts. | No innovation-appetite evidence located.</t>
        </is>
      </c>
      <c r="V183" s="6" t="inlineStr"/>
      <c r="W183" s="9" t="inlineStr">
        <is>
          <t>Executive Chairman, chief executive from the 1993 listing until 2026.</t>
        </is>
      </c>
      <c r="X183" s="6" t="inlineStr">
        <is>
          <t>https://investors.camdenliving.com/investors/governance/board-of-directors/default.aspx</t>
        </is>
      </c>
      <c r="Y183" s="6" t="inlineStr">
        <is>
          <t>https://www.linkedin.com/company/camden-property-trust</t>
        </is>
      </c>
      <c r="Z183" s="6" t="inlineStr">
        <is>
          <t>https://investors.camdenliving.com/investors/governance/board-of-directors/default.aspx</t>
        </is>
      </c>
    </row>
    <row r="184">
      <c r="A184" s="12" t="inlineStr">
        <is>
          <t>Michael Eilertsen</t>
        </is>
      </c>
      <c r="B184" s="12" t="inlineStr">
        <is>
          <t>Camden Property Trust</t>
        </is>
      </c>
      <c r="C184" s="12" t="inlineStr">
        <is>
          <t>Vice President of Construction, Camden Property Trust</t>
        </is>
      </c>
      <c r="D184" s="13" t="inlineStr">
        <is>
          <t>Off deck, screened out</t>
        </is>
      </c>
      <c r="E184" s="14" t="n">
        <v>1</v>
      </c>
      <c r="F184" s="12" t="inlineStr">
        <is>
          <t>Buys walls</t>
        </is>
      </c>
      <c r="G184" s="12" t="inlineStr">
        <is>
          <t>Houston HQ / Fort Bend, Montgomery</t>
        </is>
      </c>
      <c r="H184" s="12" t="inlineStr">
        <is>
          <t>$155M into 389 BTR homes</t>
        </is>
      </c>
      <c r="I184" s="14" t="inlineStr">
        <is>
          <t>Partly</t>
        </is>
      </c>
      <c r="J184" s="15" t="inlineStr"/>
      <c r="K184" s="14" t="inlineStr">
        <is>
          <t>No</t>
        </is>
      </c>
      <c r="L184" s="15" t="inlineStr"/>
      <c r="M184" s="14" t="inlineStr">
        <is>
          <t>No</t>
        </is>
      </c>
      <c r="N184" s="15" t="inlineStr"/>
      <c r="O184" s="14" t="inlineStr">
        <is>
          <t>Yes</t>
        </is>
      </c>
      <c r="P184" s="6" t="inlineStr">
        <is>
          <t>https://www.linkedin.com/in/michael-eilertsen-68a59911/</t>
        </is>
      </c>
      <c r="Q184" s="12" t="inlineStr"/>
      <c r="R184" s="16">
        <f>IF(P184="","ADD LINKEDIN","ok")</f>
        <v/>
      </c>
      <c r="S184" s="12" t="inlineStr">
        <is>
          <t>https://www.camdenliving.com/</t>
        </is>
      </c>
      <c r="T184" s="15" t="inlineStr">
        <is>
          <t>$155M into 389 build-to-rent homes, Houston HQ, holds long term. Figures date to 2022.</t>
        </is>
      </c>
      <c r="U184" s="15" t="inlineStr">
        <is>
          <t>Build-to-rent capital figures date to December 2022. Camden 10-K and 10-Q filings not pulled in this pass and almost certainly itemise further Houston development starts. | No innovation-appetite evidence located.</t>
        </is>
      </c>
      <c r="V184" s="12" t="inlineStr">
        <is>
          <t>YES</t>
        </is>
      </c>
      <c r="W184" s="15" t="inlineStr">
        <is>
          <t>Vice President Of Construction at Camden Property Trust. Houston, Texas.</t>
        </is>
      </c>
      <c r="X184" s="12" t="inlineStr"/>
      <c r="Y184" s="12" t="inlineStr">
        <is>
          <t>https://www.linkedin.com/company/camden-property-trust</t>
        </is>
      </c>
      <c r="Z184" s="12" t="inlineStr">
        <is>
          <t>https://investors.camdenliving.com/investors/governance/board-of-directors/default.aspx</t>
        </is>
      </c>
    </row>
    <row r="185">
      <c r="A185" s="6" t="inlineStr">
        <is>
          <t>Bob Faith</t>
        </is>
      </c>
      <c r="B185" s="6" t="inlineStr">
        <is>
          <t>Greystar (Summerwell)</t>
        </is>
      </c>
      <c r="C185" s="6" t="inlineStr">
        <is>
          <t>Founder, Chairman and Chief Executive Officer</t>
        </is>
      </c>
      <c r="D185" s="7" t="inlineStr">
        <is>
          <t>Off deck, screened out</t>
        </is>
      </c>
      <c r="E185" s="8" t="n">
        <v>1</v>
      </c>
      <c r="F185" s="6" t="inlineStr">
        <is>
          <t>Buys walls</t>
        </is>
      </c>
      <c r="G185" s="6" t="inlineStr">
        <is>
          <t>Charleston HQ / Katy, Harris-Waller</t>
        </is>
      </c>
      <c r="H185" s="6" t="inlineStr">
        <is>
          <t>Summerwell: 10,000+ homes, 50 properties</t>
        </is>
      </c>
      <c r="I185" s="8" t="inlineStr">
        <is>
          <t>Partly</t>
        </is>
      </c>
      <c r="J185" s="9" t="inlineStr"/>
      <c r="K185" s="8" t="inlineStr">
        <is>
          <t>No</t>
        </is>
      </c>
      <c r="L185" s="9" t="inlineStr"/>
      <c r="M185" s="8" t="inlineStr">
        <is>
          <t>No</t>
        </is>
      </c>
      <c r="N185" s="9" t="inlineStr"/>
      <c r="O185" s="8" t="inlineStr">
        <is>
          <t>Yes</t>
        </is>
      </c>
      <c r="P185" s="10" t="inlineStr"/>
      <c r="Q185" s="6">
        <f>HYPERLINK("https://www.linkedin.com/search/results/people/?keywords=Bob%20Faith%20Greystar","search")</f>
        <v/>
      </c>
      <c r="R185" s="11">
        <f>IF(P185="","ADD LINKEDIN","ok")</f>
        <v/>
      </c>
      <c r="S185" s="6" t="inlineStr">
        <is>
          <t>https://www.greystar.com/</t>
        </is>
      </c>
      <c r="T185" s="9" t="inlineStr">
        <is>
          <t>156 units inside Sunterra, a Houston-based development director, and a 10,000-home national brand. Costs withheld.</t>
        </is>
      </c>
      <c r="U185" s="9"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5" s="6" t="inlineStr"/>
      <c r="W185" s="9" t="inlineStr">
        <is>
          <t>Founder, Chairman and Chief Executive Officer on Greystar's own bio page.</t>
        </is>
      </c>
      <c r="X185" s="6" t="inlineStr">
        <is>
          <t>https://www.greystar.com/contact-us/our-people/bob-faith</t>
        </is>
      </c>
      <c r="Y185" s="6" t="inlineStr">
        <is>
          <t>https://www.linkedin.com/company/greystar</t>
        </is>
      </c>
      <c r="Z185" s="6" t="inlineStr">
        <is>
          <t>https://www.greystar.com/business/about-greystar/our-leadership</t>
        </is>
      </c>
    </row>
    <row r="186">
      <c r="A186" s="12" t="inlineStr">
        <is>
          <t>Brian Herwald</t>
        </is>
      </c>
      <c r="B186" s="12" t="inlineStr">
        <is>
          <t>Greystar (Summerwell)</t>
        </is>
      </c>
      <c r="C186" s="12" t="inlineStr">
        <is>
          <t>Managing Director of Development, Houston</t>
        </is>
      </c>
      <c r="D186" s="13" t="inlineStr">
        <is>
          <t>Off deck, screened out</t>
        </is>
      </c>
      <c r="E186" s="14" t="n">
        <v>1</v>
      </c>
      <c r="F186" s="12" t="inlineStr">
        <is>
          <t>Buys walls</t>
        </is>
      </c>
      <c r="G186" s="12" t="inlineStr">
        <is>
          <t>Charleston HQ / Katy, Harris-Waller</t>
        </is>
      </c>
      <c r="H186" s="12" t="inlineStr">
        <is>
          <t>Summerwell: 10,000+ homes, 50 properties</t>
        </is>
      </c>
      <c r="I186" s="14" t="inlineStr">
        <is>
          <t>Partly</t>
        </is>
      </c>
      <c r="J186" s="15" t="inlineStr"/>
      <c r="K186" s="14" t="inlineStr">
        <is>
          <t>No</t>
        </is>
      </c>
      <c r="L186" s="15" t="inlineStr"/>
      <c r="M186" s="14" t="inlineStr">
        <is>
          <t>No</t>
        </is>
      </c>
      <c r="N186" s="15" t="inlineStr"/>
      <c r="O186" s="14" t="inlineStr">
        <is>
          <t>Yes</t>
        </is>
      </c>
      <c r="P186" s="10" t="inlineStr"/>
      <c r="Q186" s="12">
        <f>HYPERLINK("https://www.linkedin.com/search/results/people/?keywords=Brian%20Herwald%20Greystar","search")</f>
        <v/>
      </c>
      <c r="R186" s="16">
        <f>IF(P186="","ADD LINKEDIN","ok")</f>
        <v/>
      </c>
      <c r="S186" s="12" t="inlineStr">
        <is>
          <t>https://www.greystar.com/</t>
        </is>
      </c>
      <c r="T186" s="15" t="inlineStr">
        <is>
          <t>156 units inside Sunterra, a Houston-based development director, and a 10,000-home national brand. Costs withheld.</t>
        </is>
      </c>
      <c r="U186" s="15" t="inlineStr">
        <is>
          <t>Construction cost and pricing withheld in sourced coverage. | Greystar's Houston LinkedIn presence is property management, community managers, leasing managers, maintenance supervisors. No development or construction lead for Summerwell surfaced in the metro. The build decision for the rental product sits outside Houston. | No innovation-appetite evidence located.</t>
        </is>
      </c>
      <c r="V186" s="12" t="inlineStr"/>
      <c r="W186" s="15" t="inlineStr">
        <is>
          <t>Managing Director of Development, quoted on Greystar's first Houston logistics project.</t>
        </is>
      </c>
      <c r="X186" s="12" t="inlineStr">
        <is>
          <t>https://www.greystar.com/business/about-greystar/newsroom/greystar-completes-first-logistics-project-in-houston</t>
        </is>
      </c>
      <c r="Y186" s="12" t="inlineStr">
        <is>
          <t>https://www.linkedin.com/company/greystar</t>
        </is>
      </c>
      <c r="Z186" s="12" t="inlineStr">
        <is>
          <t>https://www.greystar.com/business/about-greystar/our-leadership</t>
        </is>
      </c>
    </row>
    <row r="187">
      <c r="A187" s="6" t="inlineStr">
        <is>
          <t>Brian Dinerstein</t>
        </is>
      </c>
      <c r="B187" s="6" t="inlineStr">
        <is>
          <t>The Dinerstein Companies</t>
        </is>
      </c>
      <c r="C187" s="6" t="inlineStr">
        <is>
          <t>Chief Executive Officer</t>
        </is>
      </c>
      <c r="D187" s="7" t="inlineStr">
        <is>
          <t>Off deck, screened out</t>
        </is>
      </c>
      <c r="E187" s="8" t="n">
        <v>1</v>
      </c>
      <c r="F187" s="6" t="inlineStr">
        <is>
          <t>Buys walls</t>
        </is>
      </c>
      <c r="G187" s="6" t="inlineStr">
        <is>
          <t>Houston HQ / Fort Bend</t>
        </is>
      </c>
      <c r="H187" s="6" t="inlineStr">
        <is>
          <t>186 BTR homes, Harrison Street JV</t>
        </is>
      </c>
      <c r="I187" s="8" t="inlineStr">
        <is>
          <t>Partly</t>
        </is>
      </c>
      <c r="J187" s="9" t="inlineStr"/>
      <c r="K187" s="8" t="inlineStr">
        <is>
          <t>No</t>
        </is>
      </c>
      <c r="L187" s="9" t="inlineStr"/>
      <c r="M187" s="8" t="inlineStr">
        <is>
          <t>No</t>
        </is>
      </c>
      <c r="N187" s="9" t="inlineStr"/>
      <c r="O187" s="8" t="inlineStr">
        <is>
          <t>Yes</t>
        </is>
      </c>
      <c r="P187" s="10" t="inlineStr"/>
      <c r="Q187" s="6">
        <f>HYPERLINK("https://www.linkedin.com/search/results/people/?keywords=Brian%20Dinerstein%20The%20Dinerstein%20Companies","search")</f>
        <v/>
      </c>
      <c r="R187" s="11">
        <f>IF(P187="","ADD LINKEDIN","ok")</f>
        <v/>
      </c>
      <c r="S187" s="6" t="inlineStr">
        <is>
          <t>https://www.dinersteincos.com/</t>
        </is>
      </c>
      <c r="T187" s="9" t="inlineStr">
        <is>
          <t>186 build-to-rent homes with Harrison Street and 70 years in Houston. Launch coverage is amenities only.</t>
        </is>
      </c>
      <c r="U187"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7" s="6" t="inlineStr"/>
      <c r="W187" s="9" t="inlineStr">
        <is>
          <t>The firm's own bio page. Chief Executive Officer of a developer and operator with $4.3 billion under management.</t>
        </is>
      </c>
      <c r="X187" s="6" t="inlineStr">
        <is>
          <t>https://www.dinersteincos.com/team/brian-dinerstein</t>
        </is>
      </c>
      <c r="Y187" s="6" t="inlineStr">
        <is>
          <t>https://www.linkedin.com/company/the-dinerstein-companies/</t>
        </is>
      </c>
      <c r="Z187" s="6" t="inlineStr">
        <is>
          <t>https://www.dinersteincos.com/about-us</t>
        </is>
      </c>
    </row>
    <row r="188">
      <c r="A188" s="12" t="inlineStr">
        <is>
          <t>Jack Dinerstein</t>
        </is>
      </c>
      <c r="B188" s="12" t="inlineStr">
        <is>
          <t>The Dinerstein Companies</t>
        </is>
      </c>
      <c r="C188" s="12" t="inlineStr">
        <is>
          <t>Executive Chairman</t>
        </is>
      </c>
      <c r="D188" s="13" t="inlineStr">
        <is>
          <t>Off deck, screened out</t>
        </is>
      </c>
      <c r="E188" s="14" t="n">
        <v>1</v>
      </c>
      <c r="F188" s="12" t="inlineStr">
        <is>
          <t>Buys walls</t>
        </is>
      </c>
      <c r="G188" s="12" t="inlineStr">
        <is>
          <t>Houston HQ / Fort Bend</t>
        </is>
      </c>
      <c r="H188" s="12" t="inlineStr">
        <is>
          <t>186 BTR homes, Harrison Street JV</t>
        </is>
      </c>
      <c r="I188" s="14" t="inlineStr">
        <is>
          <t>Partly</t>
        </is>
      </c>
      <c r="J188" s="15" t="inlineStr"/>
      <c r="K188" s="14" t="inlineStr">
        <is>
          <t>No</t>
        </is>
      </c>
      <c r="L188" s="15" t="inlineStr"/>
      <c r="M188" s="14" t="inlineStr">
        <is>
          <t>No</t>
        </is>
      </c>
      <c r="N188" s="15" t="inlineStr"/>
      <c r="O188" s="14" t="inlineStr">
        <is>
          <t>Yes</t>
        </is>
      </c>
      <c r="P188" s="6" t="inlineStr">
        <is>
          <t>https://www.linkedin.com/in/jack-dinerstein-4215073/</t>
        </is>
      </c>
      <c r="Q188" s="12" t="inlineStr"/>
      <c r="R188" s="16">
        <f>IF(P188="","ADD LINKEDIN","ok")</f>
        <v/>
      </c>
      <c r="S188" s="12" t="inlineStr">
        <is>
          <t>https://www.dinersteincos.com/</t>
        </is>
      </c>
      <c r="T188" s="15" t="inlineStr">
        <is>
          <t>186 build-to-rent homes with Harrison Street and 70 years in Houston. Launch coverage is amenities only.</t>
        </is>
      </c>
      <c r="U188"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8" s="12" t="inlineStr"/>
      <c r="W188" s="15" t="inlineStr">
        <is>
          <t>Owner, Dinerstein Companies. Houston, Texas.</t>
        </is>
      </c>
      <c r="X188" s="12" t="inlineStr"/>
      <c r="Y188" s="12" t="inlineStr">
        <is>
          <t>https://www.linkedin.com/company/the-dinerstein-companies/</t>
        </is>
      </c>
      <c r="Z188" s="12" t="inlineStr">
        <is>
          <t>https://www.dinersteincos.com/about-us</t>
        </is>
      </c>
    </row>
    <row r="189">
      <c r="A189" s="6" t="inlineStr">
        <is>
          <t>Brad Dinerstein</t>
        </is>
      </c>
      <c r="B189" s="6" t="inlineStr">
        <is>
          <t>The Dinerstein Companies</t>
        </is>
      </c>
      <c r="C189" s="6" t="inlineStr">
        <is>
          <t>Managing Partner of Development and Design</t>
        </is>
      </c>
      <c r="D189" s="7" t="inlineStr">
        <is>
          <t>Off deck, screened out</t>
        </is>
      </c>
      <c r="E189" s="8" t="n">
        <v>1</v>
      </c>
      <c r="F189" s="6" t="inlineStr">
        <is>
          <t>Buys walls</t>
        </is>
      </c>
      <c r="G189" s="6" t="inlineStr">
        <is>
          <t>Houston HQ / Fort Bend</t>
        </is>
      </c>
      <c r="H189" s="6" t="inlineStr">
        <is>
          <t>186 BTR homes, Harrison Street JV</t>
        </is>
      </c>
      <c r="I189" s="8" t="inlineStr">
        <is>
          <t>Partly</t>
        </is>
      </c>
      <c r="J189" s="9" t="inlineStr"/>
      <c r="K189" s="8" t="inlineStr">
        <is>
          <t>No</t>
        </is>
      </c>
      <c r="L189" s="9" t="inlineStr"/>
      <c r="M189" s="8" t="inlineStr">
        <is>
          <t>No</t>
        </is>
      </c>
      <c r="N189" s="9" t="inlineStr"/>
      <c r="O189" s="8" t="inlineStr">
        <is>
          <t>Yes</t>
        </is>
      </c>
      <c r="P189" s="10" t="inlineStr"/>
      <c r="Q189" s="6">
        <f>HYPERLINK("https://www.linkedin.com/search/results/people/?keywords=Brad%20Dinerstein%20The%20Dinerstein%20Companies","search")</f>
        <v/>
      </c>
      <c r="R189" s="11">
        <f>IF(P189="","ADD LINKEDIN","ok")</f>
        <v/>
      </c>
      <c r="S189" s="6" t="inlineStr">
        <is>
          <t>https://www.dinersteincos.com/</t>
        </is>
      </c>
      <c r="T189" s="9" t="inlineStr">
        <is>
          <t>186 build-to-rent homes with Harrison Street and 70 years in Houston. Launch coverage is amenities only.</t>
        </is>
      </c>
      <c r="U189" s="9"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89" s="6" t="inlineStr"/>
      <c r="W189" s="9" t="inlineStr">
        <is>
          <t>Managing Partner of Development and Design.</t>
        </is>
      </c>
      <c r="X189" s="6" t="inlineStr">
        <is>
          <t>https://www.dinersteincos.com/about-us</t>
        </is>
      </c>
      <c r="Y189" s="6" t="inlineStr">
        <is>
          <t>https://www.linkedin.com/company/the-dinerstein-companies/</t>
        </is>
      </c>
      <c r="Z189" s="6" t="inlineStr">
        <is>
          <t>https://www.dinersteincos.com/about-us</t>
        </is>
      </c>
    </row>
    <row r="190">
      <c r="A190" s="12" t="inlineStr">
        <is>
          <t>John Caltagirone</t>
        </is>
      </c>
      <c r="B190" s="12" t="inlineStr">
        <is>
          <t>The Dinerstein Companies</t>
        </is>
      </c>
      <c r="C190" s="12" t="inlineStr">
        <is>
          <t>President and Partner</t>
        </is>
      </c>
      <c r="D190" s="13" t="inlineStr">
        <is>
          <t>Off deck, screened out</t>
        </is>
      </c>
      <c r="E190" s="14" t="n">
        <v>1</v>
      </c>
      <c r="F190" s="12" t="inlineStr">
        <is>
          <t>Buys walls</t>
        </is>
      </c>
      <c r="G190" s="12" t="inlineStr">
        <is>
          <t>Houston HQ / Fort Bend</t>
        </is>
      </c>
      <c r="H190" s="12" t="inlineStr">
        <is>
          <t>186 BTR homes, Harrison Street JV</t>
        </is>
      </c>
      <c r="I190" s="14" t="inlineStr">
        <is>
          <t>Partly</t>
        </is>
      </c>
      <c r="J190" s="15" t="inlineStr"/>
      <c r="K190" s="14" t="inlineStr">
        <is>
          <t>No</t>
        </is>
      </c>
      <c r="L190" s="15" t="inlineStr"/>
      <c r="M190" s="14" t="inlineStr">
        <is>
          <t>No</t>
        </is>
      </c>
      <c r="N190" s="15" t="inlineStr"/>
      <c r="O190" s="14" t="inlineStr">
        <is>
          <t>Yes</t>
        </is>
      </c>
      <c r="P190" s="10" t="inlineStr"/>
      <c r="Q190" s="12">
        <f>HYPERLINK("https://www.linkedin.com/search/results/people/?keywords=John%20Caltagirone%20The%20Dinerstein%20Companies","search")</f>
        <v/>
      </c>
      <c r="R190" s="16">
        <f>IF(P190="","ADD LINKEDIN","ok")</f>
        <v/>
      </c>
      <c r="S190" s="12" t="inlineStr">
        <is>
          <t>https://www.dinersteincos.com/</t>
        </is>
      </c>
      <c r="T190" s="15" t="inlineStr">
        <is>
          <t>186 build-to-rent homes with Harrison Street and 70 years in Houston. Launch coverage is amenities only.</t>
        </is>
      </c>
      <c r="U190" s="15" t="inlineStr">
        <is>
          <t>Dinerstein has almost no public leadership presence. A full-name company search returns the owner and then unnamed members for the chief financial officer and staff. There is no construction or preconstruction lead published. | No dollar figure disclosed for the Harrison Street partnership. | No construction-method statement located.</t>
        </is>
      </c>
      <c r="V190" s="12" t="inlineStr"/>
      <c r="W190" s="15" t="inlineStr">
        <is>
          <t>President and Partner.</t>
        </is>
      </c>
      <c r="X190" s="12" t="inlineStr">
        <is>
          <t>https://www.dinersteincos.com/about-us</t>
        </is>
      </c>
      <c r="Y190" s="12" t="inlineStr">
        <is>
          <t>https://www.linkedin.com/company/the-dinerstein-companies/</t>
        </is>
      </c>
      <c r="Z190" s="12" t="inlineStr">
        <is>
          <t>https://www.dinersteincos.com/about-us</t>
        </is>
      </c>
    </row>
    <row r="191">
      <c r="A191" s="6" t="inlineStr">
        <is>
          <t>Jason Baker</t>
        </is>
      </c>
      <c r="B191" s="6" t="inlineStr">
        <is>
          <t>Baker Katz</t>
        </is>
      </c>
      <c r="C191" s="6" t="inlineStr">
        <is>
          <t>Leads the tenant representation team, Baker Katz</t>
        </is>
      </c>
      <c r="D191" s="7" t="inlineStr">
        <is>
          <t>Off deck, screened out</t>
        </is>
      </c>
      <c r="E191" s="8" t="n">
        <v>1</v>
      </c>
      <c r="F191" s="6" t="inlineStr">
        <is>
          <t>Buys walls</t>
        </is>
      </c>
      <c r="G191" s="6" t="inlineStr">
        <is>
          <t>Houston / Harris, Galveston</t>
        </is>
      </c>
      <c r="H191" s="6" t="inlineStr"/>
      <c r="I191" s="8" t="inlineStr">
        <is>
          <t>Partly</t>
        </is>
      </c>
      <c r="J191" s="9" t="inlineStr"/>
      <c r="K191" s="8" t="inlineStr">
        <is>
          <t>No</t>
        </is>
      </c>
      <c r="L191" s="9" t="inlineStr"/>
      <c r="M191" s="8" t="inlineStr">
        <is>
          <t>No</t>
        </is>
      </c>
      <c r="N191" s="9" t="inlineStr"/>
      <c r="O191" s="8" t="inlineStr">
        <is>
          <t>Partly</t>
        </is>
      </c>
      <c r="P191" s="10" t="inlineStr"/>
      <c r="Q191" s="6">
        <f>HYPERLINK("https://www.linkedin.com/search/results/people/?keywords=Jason%20Baker%20Baker%20Katz","search")</f>
        <v/>
      </c>
      <c r="R191" s="11">
        <f>IF(P191="","ADD LINKEDIN","ok")</f>
        <v/>
      </c>
      <c r="S191" s="6" t="inlineStr">
        <is>
          <t>https://bakerkatz.com/</t>
        </is>
      </c>
      <c r="T191" s="9" t="inlineStr">
        <is>
          <t>More than 80 retail projects, but recent Houston activity is buying existing centres rather than building.</t>
        </is>
      </c>
      <c r="U191" s="9" t="inlineStr"/>
      <c r="V191" s="6" t="inlineStr"/>
      <c r="W191" s="9" t="inlineStr">
        <is>
          <t>Leads the tenant representation team, with more than twenty-five years in Houston retail. The page carries bios without formal titles.</t>
        </is>
      </c>
      <c r="X191" s="6" t="inlineStr">
        <is>
          <t>https://bakerkatz.com/about-us/</t>
        </is>
      </c>
      <c r="Y191" s="6" t="inlineStr">
        <is>
          <t>https://www.linkedin.com/company/baker-katz</t>
        </is>
      </c>
      <c r="Z191" s="6" t="inlineStr">
        <is>
          <t>https://bakerkatz.com/about-us/</t>
        </is>
      </c>
    </row>
    <row r="192">
      <c r="A192" s="12" t="inlineStr">
        <is>
          <t>Kenneth Katz</t>
        </is>
      </c>
      <c r="B192" s="12" t="inlineStr">
        <is>
          <t>Baker Katz</t>
        </is>
      </c>
      <c r="C192" s="12" t="inlineStr">
        <is>
          <t>Leads the investment and development practice, Baker Katz</t>
        </is>
      </c>
      <c r="D192" s="13" t="inlineStr">
        <is>
          <t>Off deck, screened out</t>
        </is>
      </c>
      <c r="E192" s="14" t="n">
        <v>1</v>
      </c>
      <c r="F192" s="12" t="inlineStr">
        <is>
          <t>Buys walls</t>
        </is>
      </c>
      <c r="G192" s="12" t="inlineStr">
        <is>
          <t>Houston / Harris, Galveston</t>
        </is>
      </c>
      <c r="H192" s="12" t="inlineStr"/>
      <c r="I192" s="14" t="inlineStr">
        <is>
          <t>Partly</t>
        </is>
      </c>
      <c r="J192" s="15" t="inlineStr"/>
      <c r="K192" s="14" t="inlineStr">
        <is>
          <t>No</t>
        </is>
      </c>
      <c r="L192" s="15" t="inlineStr"/>
      <c r="M192" s="14" t="inlineStr">
        <is>
          <t>No</t>
        </is>
      </c>
      <c r="N192" s="15" t="inlineStr"/>
      <c r="O192" s="14" t="inlineStr">
        <is>
          <t>Partly</t>
        </is>
      </c>
      <c r="P192" s="10" t="inlineStr"/>
      <c r="Q192" s="12">
        <f>HYPERLINK("https://www.linkedin.com/search/results/people/?keywords=Kenneth%20Katz%20Baker%20Katz","search")</f>
        <v/>
      </c>
      <c r="R192" s="16">
        <f>IF(P192="","ADD LINKEDIN","ok")</f>
        <v/>
      </c>
      <c r="S192" s="12" t="inlineStr">
        <is>
          <t>https://bakerkatz.com/</t>
        </is>
      </c>
      <c r="T192" s="15" t="inlineStr">
        <is>
          <t>More than 80 retail projects, but recent Houston activity is buying existing centres rather than building.</t>
        </is>
      </c>
      <c r="U192" s="15" t="inlineStr"/>
      <c r="V192" s="12" t="inlineStr"/>
      <c r="W192" s="15" t="inlineStr">
        <is>
          <t>Leads the real estate investment and development practice, covering ground-up development and redevelopment.</t>
        </is>
      </c>
      <c r="X192" s="12" t="inlineStr">
        <is>
          <t>https://bakerkatz.com/about-us/</t>
        </is>
      </c>
      <c r="Y192" s="12" t="inlineStr">
        <is>
          <t>https://www.linkedin.com/company/baker-katz</t>
        </is>
      </c>
      <c r="Z192" s="12" t="inlineStr">
        <is>
          <t>https://bakerkatz.com/about-us/</t>
        </is>
      </c>
    </row>
    <row r="193">
      <c r="A193" s="6" t="inlineStr">
        <is>
          <t>Martin Mendoza</t>
        </is>
      </c>
      <c r="B193" s="6" t="inlineStr">
        <is>
          <t>Baker Katz</t>
        </is>
      </c>
      <c r="C193" s="6" t="inlineStr">
        <is>
          <t>Oversees design and construction, Baker Katz</t>
        </is>
      </c>
      <c r="D193" s="7" t="inlineStr">
        <is>
          <t>Off deck, screened out</t>
        </is>
      </c>
      <c r="E193" s="8" t="n">
        <v>1</v>
      </c>
      <c r="F193" s="6" t="inlineStr">
        <is>
          <t>Buys walls</t>
        </is>
      </c>
      <c r="G193" s="6" t="inlineStr">
        <is>
          <t>Houston / Harris, Galveston</t>
        </is>
      </c>
      <c r="H193" s="6" t="inlineStr"/>
      <c r="I193" s="8" t="inlineStr">
        <is>
          <t>Partly</t>
        </is>
      </c>
      <c r="J193" s="9" t="inlineStr"/>
      <c r="K193" s="8" t="inlineStr">
        <is>
          <t>No</t>
        </is>
      </c>
      <c r="L193" s="9" t="inlineStr"/>
      <c r="M193" s="8" t="inlineStr">
        <is>
          <t>No</t>
        </is>
      </c>
      <c r="N193" s="9" t="inlineStr"/>
      <c r="O193" s="8" t="inlineStr">
        <is>
          <t>Partly</t>
        </is>
      </c>
      <c r="P193" s="10" t="inlineStr"/>
      <c r="Q193" s="6">
        <f>HYPERLINK("https://www.linkedin.com/search/results/people/?keywords=Martin%20Mendoza%20Baker%20Katz","search")</f>
        <v/>
      </c>
      <c r="R193" s="11">
        <f>IF(P193="","ADD LINKEDIN","ok")</f>
        <v/>
      </c>
      <c r="S193" s="6" t="inlineStr">
        <is>
          <t>https://bakerkatz.com/</t>
        </is>
      </c>
      <c r="T193" s="9" t="inlineStr">
        <is>
          <t>More than 80 retail projects, but recent Houston activity is buying existing centres rather than building.</t>
        </is>
      </c>
      <c r="U193" s="9" t="inlineStr"/>
      <c r="V193" s="6" t="inlineStr">
        <is>
          <t>YES</t>
        </is>
      </c>
      <c r="W193" s="9" t="inlineStr">
        <is>
          <t>Joined in August 2024 responsible for overseeing design and construction phases. The page gives no title, so the function rather than the rank is what places him here.</t>
        </is>
      </c>
      <c r="X193" s="6" t="inlineStr">
        <is>
          <t>https://bakerkatz.com/about-us/</t>
        </is>
      </c>
      <c r="Y193" s="6" t="inlineStr">
        <is>
          <t>https://www.linkedin.com/company/baker-katz</t>
        </is>
      </c>
      <c r="Z193" s="6" t="inlineStr">
        <is>
          <t>https://bakerkatz.com/about-us/</t>
        </is>
      </c>
    </row>
    <row r="194">
      <c r="A194" s="12" t="inlineStr">
        <is>
          <t>Bob Sellingsloh</t>
        </is>
      </c>
      <c r="B194" s="12" t="inlineStr">
        <is>
          <t>Wulfe &amp; Co.</t>
        </is>
      </c>
      <c r="C194" s="12" t="inlineStr">
        <is>
          <t>President and Principal, Wulfe &amp; Co.</t>
        </is>
      </c>
      <c r="D194" s="13" t="inlineStr">
        <is>
          <t>Off deck, screened out</t>
        </is>
      </c>
      <c r="E194" s="14" t="n">
        <v>1</v>
      </c>
      <c r="F194" s="12" t="inlineStr">
        <is>
          <t>Buys walls</t>
        </is>
      </c>
      <c r="G194" s="12" t="inlineStr">
        <is>
          <t>Post Oak / Harris, Galveston</t>
        </is>
      </c>
      <c r="H194" s="12" t="inlineStr"/>
      <c r="I194" s="14" t="inlineStr">
        <is>
          <t>Partly</t>
        </is>
      </c>
      <c r="J194" s="15" t="inlineStr"/>
      <c r="K194" s="14" t="inlineStr">
        <is>
          <t>No</t>
        </is>
      </c>
      <c r="L194" s="15" t="inlineStr"/>
      <c r="M194" s="14" t="inlineStr">
        <is>
          <t>No</t>
        </is>
      </c>
      <c r="N194" s="15" t="inlineStr"/>
      <c r="O194" s="14" t="inlineStr">
        <is>
          <t>No</t>
        </is>
      </c>
      <c r="P194" s="10" t="inlineStr"/>
      <c r="Q194" s="12">
        <f>HYPERLINK("https://www.linkedin.com/search/results/people/?keywords=Bob%20Sellingsloh%20Wulfe%20%26%20Co.","search")</f>
        <v/>
      </c>
      <c r="R194" s="16">
        <f>IF(P194="","ADD LINKEDIN","ok")</f>
        <v/>
      </c>
      <c r="S194" s="12" t="inlineStr">
        <is>
          <t>https://www.wulfe.com/</t>
        </is>
      </c>
      <c r="T194" s="15" t="inlineStr">
        <is>
          <t>7.2M sf across nine centres. Current activity is leasing and management, not ground-up.</t>
        </is>
      </c>
      <c r="U194" s="15" t="inlineStr"/>
      <c r="V194" s="12" t="inlineStr"/>
      <c r="W194" s="15" t="inlineStr">
        <is>
          <t>President and Principal, listed first under leadership. Ed Wulfe no longer appears on the leadership page.</t>
        </is>
      </c>
      <c r="X194" s="12" t="inlineStr">
        <is>
          <t>https://www.wulfe.com/people</t>
        </is>
      </c>
      <c r="Y194" s="12" t="inlineStr">
        <is>
          <t>https://www.linkedin.com/company/wulfe</t>
        </is>
      </c>
      <c r="Z194" s="12" t="inlineStr">
        <is>
          <t>https://www.wulfe.com/people</t>
        </is>
      </c>
    </row>
    <row r="195">
      <c r="A195" s="6" t="inlineStr">
        <is>
          <t>Tammy Smith</t>
        </is>
      </c>
      <c r="B195" s="6" t="inlineStr">
        <is>
          <t>Wulfe &amp; Co.</t>
        </is>
      </c>
      <c r="C195" s="6" t="inlineStr">
        <is>
          <t>Director of Construction, Wulfe &amp; Co.</t>
        </is>
      </c>
      <c r="D195" s="7" t="inlineStr">
        <is>
          <t>Off deck, screened out</t>
        </is>
      </c>
      <c r="E195" s="8" t="n">
        <v>1</v>
      </c>
      <c r="F195" s="6" t="inlineStr">
        <is>
          <t>Buys walls</t>
        </is>
      </c>
      <c r="G195" s="6" t="inlineStr">
        <is>
          <t>Post Oak / Harris, Galveston</t>
        </is>
      </c>
      <c r="H195" s="6" t="inlineStr"/>
      <c r="I195" s="8" t="inlineStr">
        <is>
          <t>Partly</t>
        </is>
      </c>
      <c r="J195" s="9" t="inlineStr"/>
      <c r="K195" s="8" t="inlineStr">
        <is>
          <t>No</t>
        </is>
      </c>
      <c r="L195" s="9" t="inlineStr"/>
      <c r="M195" s="8" t="inlineStr">
        <is>
          <t>No</t>
        </is>
      </c>
      <c r="N195" s="9" t="inlineStr"/>
      <c r="O195" s="8" t="inlineStr">
        <is>
          <t>No</t>
        </is>
      </c>
      <c r="P195" s="10" t="inlineStr"/>
      <c r="Q195" s="6">
        <f>HYPERLINK("https://www.linkedin.com/search/results/people/?keywords=Tammy%20Smith%20Wulfe%20%26%20Co.","search")</f>
        <v/>
      </c>
      <c r="R195" s="11">
        <f>IF(P195="","ADD LINKEDIN","ok")</f>
        <v/>
      </c>
      <c r="S195" s="6" t="inlineStr">
        <is>
          <t>https://www.wulfe.com/</t>
        </is>
      </c>
      <c r="T195" s="9" t="inlineStr">
        <is>
          <t>7.2M sf across nine centres. Current activity is leasing and management, not ground-up.</t>
        </is>
      </c>
      <c r="U195" s="9" t="inlineStr"/>
      <c r="V195" s="6" t="inlineStr">
        <is>
          <t>YES</t>
        </is>
      </c>
      <c r="W195" s="9" t="inlineStr">
        <is>
          <t>Director of Construction.</t>
        </is>
      </c>
      <c r="X195" s="6" t="inlineStr">
        <is>
          <t>https://www.wulfe.com/people</t>
        </is>
      </c>
      <c r="Y195" s="6" t="inlineStr">
        <is>
          <t>https://www.linkedin.com/company/wulfe</t>
        </is>
      </c>
      <c r="Z195" s="6" t="inlineStr">
        <is>
          <t>https://www.wulfe.com/people</t>
        </is>
      </c>
    </row>
    <row r="197">
      <c r="A197" s="17" t="inlineStr">
        <is>
          <t>NOTE. A filled LinkedIn cell means the profile was opened or the search result read and the headline named the firm; column W records what was read. Where that test failed the cell is left empty rather than guessed, because a fabricated slug passes visual inspection and then fails in front of the person it names. Column Q searches for the empty ones in your own session. Each of the three counts reads Yes, Partly or No, with the reason in the column beside it. Yes and Partly both keep a firm in. Only a No takes it out. Holds counts how many of the three are Yes or Partly. Capital is a qualifier, not a count. Source: ICON Greater Houston screen, build 32, 2026-09-11.</t>
        </is>
      </c>
    </row>
  </sheetData>
  <autoFilter ref="A6:Z19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2026-09-11T22:09:45Z</dcterms:created>
  <dcterms:modified xmlns:dcterms="http://purl.org/dc/terms/" xmlns:xsi="http://www.w3.org/2001/XMLSchema-instance" xsi:type="dcterms:W3CDTF">2026-09-11T22:09:46Z</dcterms:modified>
</cp:coreProperties>
</file>