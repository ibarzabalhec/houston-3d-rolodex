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'Contacts'!$A$6:$AC$282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s>
  <sheetData>
    <row r="1">
      <c r="A1" s="1" t="inlineStr">
        <is>
          <t>ICON · Greater Houston screen · contact workbench</t>
        </is>
      </c>
    </row>
    <row r="2">
      <c r="A2" s="2" t="inlineStr">
        <is>
          <t>Generated from houston-data.json · build 59 · 2026-09-11 · public render. Do not hand-edit the HTML deck; it regenerates from the same file.</t>
        </is>
      </c>
    </row>
    <row r="3">
      <c r="A3" s="2" t="inlineStr">
        <is>
          <t>Contacts</t>
        </is>
      </c>
      <c r="B3" s="3">
        <f>COUNTA($A$7:$A$282)</f>
        <v/>
      </c>
      <c r="C3" s="2" t="inlineStr">
        <is>
          <t>LinkedIn held</t>
        </is>
      </c>
      <c r="D3" s="3">
        <f>COUNTIF($R$7:$R$282,"ok")</f>
        <v/>
      </c>
      <c r="E3" s="2" t="inlineStr">
        <is>
          <t>Still to add</t>
        </is>
      </c>
      <c r="F3" s="3">
        <f>COUNTIF($R$7:$R$282,"ADD LINKEDIN")</f>
        <v/>
      </c>
      <c r="G3" s="2" t="inlineStr">
        <is>
          <t>Strong targets</t>
        </is>
      </c>
      <c r="H3" s="3">
        <f>SUMPRODUCT((COUNTIF(OFFSET($B$7,ROW($B$7:$B$282)-ROW($B$7),0,1,1),$B$7:$B$282)&gt;0)*($D$7:$D$282="Strong target")/COUNTIF($B$7:$B$282,$B$7:$B$282&amp;""))</f>
        <v/>
      </c>
      <c r="I3" s="2" t="inlineStr">
        <is>
          <t>Wall deciders</t>
        </is>
      </c>
      <c r="J3" s="3">
        <f>COUNTIF($V$7:$V$282,"YES")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Columns AB to AD carry the firm's main line, the words the page uses for it, and the page it is published on. The number is the firm's, not the person's, so it repeats down every row for that firm. A firm whose own pages publish no number has all three cells empty.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c r="AA7" s="6" t="inlineStr"/>
      <c r="AB7" s="6" t="inlineStr"/>
      <c r="AC7" s="6" t="inlineStr"/>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c r="AA8" s="12" t="inlineStr"/>
      <c r="AB8" s="12" t="inlineStr"/>
      <c r="AC8" s="12" t="inlineStr"/>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c r="AA9" s="6" t="inlineStr"/>
      <c r="AB9" s="6" t="inlineStr"/>
      <c r="AC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c r="AA10" s="12" t="inlineStr"/>
      <c r="AB10" s="12" t="inlineStr"/>
      <c r="AC10" s="12" t="inlineStr"/>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c r="AA11" s="6" t="inlineStr">
        <is>
          <t>(713) 219-9400</t>
        </is>
      </c>
      <c r="AB11" s="6" t="inlineStr">
        <is>
          <t>corporate</t>
        </is>
      </c>
      <c r="AC11" s="6" t="inlineStr">
        <is>
          <t>https://wanbridge.com/</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c r="AA12" s="12" t="inlineStr">
        <is>
          <t>(713) 219-9400</t>
        </is>
      </c>
      <c r="AB12" s="12" t="inlineStr">
        <is>
          <t>corporate</t>
        </is>
      </c>
      <c r="AC12" s="12" t="inlineStr">
        <is>
          <t>https://wanbridge.com/</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The closest published seat to construction. 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c r="AA13" s="6" t="inlineStr">
        <is>
          <t>(713) 219-9400</t>
        </is>
      </c>
      <c r="AB13" s="6" t="inlineStr">
        <is>
          <t>corporate</t>
        </is>
      </c>
      <c r="AC13" s="6" t="inlineStr">
        <is>
          <t>https://wanbridge.com/</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c r="AA14" s="12" t="inlineStr">
        <is>
          <t>(713) 219-9400</t>
        </is>
      </c>
      <c r="AB14" s="12" t="inlineStr">
        <is>
          <t>corporate</t>
        </is>
      </c>
      <c r="AC14" s="12" t="inlineStr">
        <is>
          <t>https://wanbridge.com/</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c r="AA15" s="6" t="inlineStr"/>
      <c r="AB15" s="6" t="inlineStr"/>
      <c r="AC15" s="6" t="inlineStr">
        <is>
          <t>https://www.caldwellhomes.com/</t>
        </is>
      </c>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c r="AA16" s="12" t="inlineStr"/>
      <c r="AB16" s="12" t="inlineStr"/>
      <c r="AC16" s="12" t="inlineStr">
        <is>
          <t>https://www.caldwellhomes.com/</t>
        </is>
      </c>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c r="AA17" s="6" t="inlineStr"/>
      <c r="AB17" s="6" t="inlineStr"/>
      <c r="AC17" s="6" t="inlineStr">
        <is>
          <t>https://www.caldwellhomes.com/</t>
        </is>
      </c>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c r="AA18" s="12" t="inlineStr"/>
      <c r="AB18" s="12" t="inlineStr"/>
      <c r="AC18" s="12" t="inlineStr">
        <is>
          <t>https://www.caldwellhomes.com/</t>
        </is>
      </c>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c r="AA19" s="6" t="inlineStr"/>
      <c r="AB19" s="6" t="inlineStr"/>
      <c r="AC19" s="6" t="inlineStr">
        <is>
          <t>https://www.caldwellhomes.com/</t>
        </is>
      </c>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c r="AA20" s="12" t="inlineStr">
        <is>
          <t>(713) 961-3877</t>
        </is>
      </c>
      <c r="AB20" s="12" t="inlineStr"/>
      <c r="AC20" s="12" t="inlineStr">
        <is>
          <t>https://intownhomes.com/</t>
        </is>
      </c>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c r="AA21" s="6" t="inlineStr">
        <is>
          <t>(713) 777-7368</t>
        </is>
      </c>
      <c r="AB21" s="6" t="inlineStr"/>
      <c r="AC21" s="6" t="inlineStr">
        <is>
          <t>https://www.boxerproperty.com/</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c r="AA22" s="12" t="inlineStr">
        <is>
          <t>(713) 777-7368</t>
        </is>
      </c>
      <c r="AB22" s="12" t="inlineStr"/>
      <c r="AC22" s="12" t="inlineStr">
        <is>
          <t>https://www.boxerproperty.com/</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c r="AA23" s="6" t="inlineStr">
        <is>
          <t>(713) 777-7368</t>
        </is>
      </c>
      <c r="AB23" s="6" t="inlineStr"/>
      <c r="AC23" s="6" t="inlineStr">
        <is>
          <t>https://www.boxerproperty.com/</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c r="AA24" s="12" t="inlineStr">
        <is>
          <t>(713) 777-7368</t>
        </is>
      </c>
      <c r="AB24" s="12" t="inlineStr"/>
      <c r="AC24" s="12" t="inlineStr">
        <is>
          <t>https://www.boxerproperty.com/</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c r="AA25" s="6" t="inlineStr">
        <is>
          <t>(512) 334-6775</t>
        </is>
      </c>
      <c r="AB25" s="6" t="inlineStr"/>
      <c r="AC25" s="6" t="inlineStr">
        <is>
          <t>https://www.brohnhomes.com/</t>
        </is>
      </c>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c r="AA26" s="12" t="inlineStr">
        <is>
          <t>(888) 885-5653</t>
        </is>
      </c>
      <c r="AB26" s="12" t="inlineStr">
        <is>
          <t>warranty service</t>
        </is>
      </c>
      <c r="AC26" s="12" t="inlineStr">
        <is>
          <t>https://www.centurycommunities.com/</t>
        </is>
      </c>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c r="AA27" s="6" t="inlineStr">
        <is>
          <t>(888) 885-5653</t>
        </is>
      </c>
      <c r="AB27" s="6" t="inlineStr">
        <is>
          <t>warranty service</t>
        </is>
      </c>
      <c r="AC27" s="6" t="inlineStr">
        <is>
          <t>https://www.centurycommunities.com/</t>
        </is>
      </c>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c r="AA28" s="12" t="inlineStr">
        <is>
          <t>(713) 897-8986</t>
        </is>
      </c>
      <c r="AB28" s="12" t="inlineStr"/>
      <c r="AC28" s="12" t="inlineStr">
        <is>
          <t>https://www.firstamericahomes.com/</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c r="AA29" s="6" t="inlineStr">
        <is>
          <t>(713) 897-8986</t>
        </is>
      </c>
      <c r="AB29" s="6" t="inlineStr"/>
      <c r="AC29" s="6" t="inlineStr">
        <is>
          <t>https://www.firstamericahomes.com/</t>
        </is>
      </c>
    </row>
    <row r="30">
      <c r="A30" s="12" t="inlineStr">
        <is>
          <t>David Assid</t>
        </is>
      </c>
      <c r="B30" s="12" t="inlineStr">
        <is>
          <t>First America Homes</t>
        </is>
      </c>
      <c r="C30" s="12" t="inlineStr">
        <is>
          <t>Houston Division President, Homebuilding</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https://www.linkedin.com/in/davidassid/</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c r="V30" s="15" t="inlineStr">
        <is>
          <t>Division President, First America Homes. Houston, Texas.</t>
        </is>
      </c>
      <c r="W30" s="12" t="inlineStr">
        <is>
          <t>https://www.signorellicompany.com/our-leadership</t>
        </is>
      </c>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c r="AA30" s="12" t="inlineStr">
        <is>
          <t>(713) 897-8986</t>
        </is>
      </c>
      <c r="AB30" s="12" t="inlineStr"/>
      <c r="AC30" s="12" t="inlineStr">
        <is>
          <t>https://www.firstamericahomes.com/</t>
        </is>
      </c>
    </row>
    <row r="31">
      <c r="A31" s="6" t="inlineStr">
        <is>
          <t>Doug French</t>
        </is>
      </c>
      <c r="B31" s="6" t="inlineStr">
        <is>
          <t>Stylecraft Builders</t>
        </is>
      </c>
      <c r="C31" s="6" t="inlineStr">
        <is>
          <t>Owner, President and Chief Executive Officer</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https://www.linkedin.com/in/doug-french-bb28b074/</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6" t="inlineStr"/>
      <c r="V31" s="9" t="inlineStr">
        <is>
          <t>Indexed title reads Doug French, Stylecraft Builders Inc. The firm's team page lists him as Owner, President and Chief Executive Officer.</t>
        </is>
      </c>
      <c r="W31" s="6" t="inlineStr">
        <is>
          <t>https://www.stylecraft.com/team/</t>
        </is>
      </c>
      <c r="X31" s="6" t="inlineStr"/>
      <c r="Y31" s="6" t="inlineStr"/>
      <c r="Z31" s="6" t="inlineStr">
        <is>
          <t>2026-07-24 Builder Magazine. How Stylecraft Is Building Bigger While Staying Local  https://www.builderonline.com/builder-100/leadership/how-stylecraft-is-building-bigger-while-staying-local/</t>
        </is>
      </c>
      <c r="AA31" s="6" t="inlineStr">
        <is>
          <t>(979) 200-4552</t>
        </is>
      </c>
      <c r="AB31" s="6" t="inlineStr">
        <is>
          <t>office</t>
        </is>
      </c>
      <c r="AC31" s="6" t="inlineStr">
        <is>
          <t>https://www.stylecraft.com/</t>
        </is>
      </c>
    </row>
    <row r="32">
      <c r="A32" s="12" t="inlineStr">
        <is>
          <t>Jordan York</t>
        </is>
      </c>
      <c r="B32" s="12" t="inlineStr">
        <is>
          <t>Stylecraft Builders</t>
        </is>
      </c>
      <c r="C32" s="12" t="inlineStr">
        <is>
          <t>Vice President of Construction</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10" t="inlineStr"/>
      <c r="Q32" s="12">
        <f>HYPERLINK("https://www.linkedin.com/search/results/people/?keywords=Jordan%20York%20Stylecraft%20Builders","search")</f>
        <v/>
      </c>
      <c r="R32" s="16">
        <f>IF(P32="","ADD LINKEDIN","ok")</f>
        <v/>
      </c>
      <c r="S32" s="12" t="inlineStr">
        <is>
          <t>https://www.stylecraft.com/</t>
        </is>
      </c>
      <c r="T32" s="15" t="inlineStr">
        <is>
          <t>973 homes in 2025 on a published even-flow model that releases a fixed number of starts a week. Eight or nine plans per community.</t>
        </is>
      </c>
      <c r="U32" s="12" t="inlineStr">
        <is>
          <t>YES</t>
        </is>
      </c>
      <c r="V32" s="15" t="inlineStr">
        <is>
          <t>Team page lists Jordan York, Vice President of Construction. The only LinkedIn profile under the name is a charter pilot.</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c r="AA32" s="12" t="inlineStr">
        <is>
          <t>(979) 200-4552</t>
        </is>
      </c>
      <c r="AB32" s="12" t="inlineStr">
        <is>
          <t>office</t>
        </is>
      </c>
      <c r="AC32" s="12" t="inlineStr">
        <is>
          <t>https://www.stylecraft.com/</t>
        </is>
      </c>
    </row>
    <row r="33">
      <c r="A33" s="6" t="inlineStr">
        <is>
          <t>Bruce Hendren</t>
        </is>
      </c>
      <c r="B33" s="6" t="inlineStr">
        <is>
          <t>Stylecraft Builders</t>
        </is>
      </c>
      <c r="C33" s="6" t="inlineStr">
        <is>
          <t>Vice President of Pre-Construction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https://www.linkedin.com/in/bruce-hendren-6a059068/</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Indexed title reads Bruce Hendren, Stylecraft. The firm's team page lists him as Vice President of Pre-Construction.</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c r="AA33" s="6" t="inlineStr">
        <is>
          <t>(979) 200-4552</t>
        </is>
      </c>
      <c r="AB33" s="6" t="inlineStr">
        <is>
          <t>office</t>
        </is>
      </c>
      <c r="AC33" s="6" t="inlineStr">
        <is>
          <t>https://www.stylecraft.com/</t>
        </is>
      </c>
    </row>
    <row r="34">
      <c r="A34" s="12" t="inlineStr">
        <is>
          <t>Emily Runnion</t>
        </is>
      </c>
      <c r="B34" s="12" t="inlineStr">
        <is>
          <t>Stylecraft Builders</t>
        </is>
      </c>
      <c r="C34" s="12" t="inlineStr">
        <is>
          <t>Director of the South Six Construction Group</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https://www.linkedin.com/in/emilyrunnion/</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c r="V34" s="15" t="inlineStr">
        <is>
          <t>Indexed title reads Emily Runnion, Stylecraft. The firm's team page lists her as Director of the South Six Construction Group.</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c r="AA34" s="12" t="inlineStr">
        <is>
          <t>(979) 200-4552</t>
        </is>
      </c>
      <c r="AB34" s="12" t="inlineStr">
        <is>
          <t>office</t>
        </is>
      </c>
      <c r="AC34" s="12" t="inlineStr">
        <is>
          <t>https://www.stylecraft.com/</t>
        </is>
      </c>
    </row>
    <row r="35">
      <c r="A35" s="6" t="inlineStr">
        <is>
          <t>Steve Ross</t>
        </is>
      </c>
      <c r="B35" s="6" t="inlineStr">
        <is>
          <t>Tiona Homes</t>
        </is>
      </c>
      <c r="C35" s="6" t="inlineStr">
        <is>
          <t>Founder and Chief Executive Officer</t>
        </is>
      </c>
      <c r="D35" s="7" t="inlineStr">
        <is>
          <t>Strong target</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8" t="inlineStr">
        <is>
          <t>Partly</t>
        </is>
      </c>
      <c r="P35" s="10" t="inlineStr"/>
      <c r="Q35" s="6">
        <f>HYPERLINK("https://www.linkedin.com/search/results/people/?keywords=Steve%20Ross%20Tiona%20Homes","search")</f>
        <v/>
      </c>
      <c r="R35" s="11">
        <f>IF(P35="","ADD LINKEDIN","ok")</f>
        <v/>
      </c>
      <c r="S35" s="6" t="inlineStr">
        <is>
          <t>https://www.tionahomes.com/</t>
        </is>
      </c>
      <c r="T35" s="9" t="inlineStr">
        <is>
          <t>Every house it builds has a concrete wall. It controls the forming material as well as the build, which is also the reason to check what it would be giving up.</t>
        </is>
      </c>
      <c r="U35" s="6" t="inlineStr">
        <is>
          <t>YES</t>
        </is>
      </c>
      <c r="V35" s="9" t="inlineStr"/>
      <c r="W35" s="6" t="inlineStr"/>
      <c r="X35" s="6" t="inlineStr"/>
      <c r="Y35" s="6" t="inlineStr"/>
      <c r="Z35" s="6" t="inlineStr"/>
      <c r="AA35" s="6" t="inlineStr">
        <is>
          <t>(346) 212-2153</t>
        </is>
      </c>
      <c r="AB35" s="6" t="inlineStr"/>
      <c r="AC35" s="6" t="inlineStr">
        <is>
          <t>https://www.tionahomes.com/</t>
        </is>
      </c>
    </row>
    <row r="36">
      <c r="A36" s="12" t="inlineStr">
        <is>
          <t>Jacob Ross</t>
        </is>
      </c>
      <c r="B36" s="12" t="inlineStr">
        <is>
          <t>Tiona Homes</t>
        </is>
      </c>
      <c r="C36" s="12" t="inlineStr">
        <is>
          <t>Product Manager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HYPERLINK("https://www.linkedin.com/search/results/people/?keywords=Jacob%20Ross%20Tiona%20Homes","search")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c r="V36" s="15" t="inlineStr"/>
      <c r="W36" s="12" t="inlineStr"/>
      <c r="X36" s="12" t="inlineStr"/>
      <c r="Y36" s="12" t="inlineStr"/>
      <c r="Z36" s="12" t="inlineStr"/>
      <c r="AA36" s="12" t="inlineStr">
        <is>
          <t>(346) 212-2153</t>
        </is>
      </c>
      <c r="AB36" s="12" t="inlineStr"/>
      <c r="AC36" s="12" t="inlineStr">
        <is>
          <t>https://www.tionahomes.com/</t>
        </is>
      </c>
    </row>
    <row r="37">
      <c r="A37" s="6" t="inlineStr">
        <is>
          <t>Victor Ramos</t>
        </is>
      </c>
      <c r="B37" s="6" t="inlineStr">
        <is>
          <t>Tiona Homes</t>
        </is>
      </c>
      <c r="C37" s="6" t="inlineStr">
        <is>
          <t>Construction Leader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HYPERLINK("https://www.linkedin.com/search/results/people/?keywords=Victor%20Ramos%20Tiona%20Homes","search")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c r="AA37" s="6" t="inlineStr">
        <is>
          <t>(346) 212-2153</t>
        </is>
      </c>
      <c r="AB37" s="6" t="inlineStr"/>
      <c r="AC37" s="6" t="inlineStr">
        <is>
          <t>https://www.tionahomes.com/</t>
        </is>
      </c>
    </row>
    <row r="38">
      <c r="A38" s="12" t="inlineStr">
        <is>
          <t>Rame Hruska</t>
        </is>
      </c>
      <c r="B38" s="12" t="inlineStr">
        <is>
          <t>Aura Dwellings and Hospitality</t>
        </is>
      </c>
      <c r="C38" s="12" t="inlineStr">
        <is>
          <t>Co-founder and Chief Executive Officer, named in trade coverage</t>
        </is>
      </c>
      <c r="D38" s="13" t="inlineStr">
        <is>
          <t>Strong target</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4" t="inlineStr">
        <is>
          <t>No</t>
        </is>
      </c>
      <c r="P38" s="10" t="inlineStr"/>
      <c r="Q38" s="12">
        <f>HYPERLINK("https://www.linkedin.com/search/results/people/?keywords=Rame%20Hruska%20Aura%20Dwellings%20and%20Hospitality","search")</f>
        <v/>
      </c>
      <c r="R38" s="16">
        <f>IF(P38="","ADD LINKEDIN","ok")</f>
        <v/>
      </c>
      <c r="S38" s="12" t="inlineStr">
        <is>
          <t>https://www.auradwellings.com/</t>
        </is>
      </c>
      <c r="T38" s="15" t="inlineStr">
        <is>
          <t>It moved its wall production into a factory and publishes the price list.</t>
        </is>
      </c>
      <c r="U38" s="12" t="inlineStr">
        <is>
          <t>YES</t>
        </is>
      </c>
      <c r="V38" s="15" t="inlineStr"/>
      <c r="W38" s="12" t="inlineStr"/>
      <c r="X38" s="12" t="inlineStr"/>
      <c r="Y38" s="12" t="inlineStr"/>
      <c r="Z38" s="12" t="inlineStr"/>
      <c r="AA38" s="12" t="inlineStr">
        <is>
          <t>(832) 224-3603</t>
        </is>
      </c>
      <c r="AB38" s="12" t="inlineStr"/>
      <c r="AC38" s="12" t="inlineStr">
        <is>
          <t>https://www.auradwellings.com/</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c r="AA39" s="6" t="inlineStr">
        <is>
          <t>(713) 961-3588</t>
        </is>
      </c>
      <c r="AB39" s="6" t="inlineStr"/>
      <c r="AC39" s="6" t="inlineStr">
        <is>
          <t>https://suebausa.com/</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c r="AA40" s="12" t="inlineStr">
        <is>
          <t>(713) 961-3588</t>
        </is>
      </c>
      <c r="AB40" s="12" t="inlineStr"/>
      <c r="AC40" s="12" t="inlineStr">
        <is>
          <t>https://suebausa.com/</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c r="AA41" s="6" t="inlineStr">
        <is>
          <t>(713) 961-3588</t>
        </is>
      </c>
      <c r="AB41" s="6" t="inlineStr"/>
      <c r="AC41" s="6" t="inlineStr">
        <is>
          <t>https://suebausa.com/</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c r="AA42" s="12" t="inlineStr"/>
      <c r="AB42" s="12" t="inlineStr"/>
      <c r="AC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c r="AA43" s="6" t="inlineStr"/>
      <c r="AB43" s="6" t="inlineStr"/>
      <c r="AC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c r="AA44" s="12" t="inlineStr"/>
      <c r="AB44" s="12" t="inlineStr"/>
      <c r="AC44" s="12" t="inlineStr"/>
    </row>
    <row r="45">
      <c r="A45" s="6" t="inlineStr">
        <is>
          <t>Tim Drone</t>
        </is>
      </c>
      <c r="B45" s="6" t="inlineStr">
        <is>
          <t>J. Patrick Homes</t>
        </is>
      </c>
      <c r="C45" s="6" t="inlineStr">
        <is>
          <t>President</t>
        </is>
      </c>
      <c r="D45" s="7" t="inlineStr">
        <is>
          <t>Strong target</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8" t="inlineStr">
        <is>
          <t>No</t>
        </is>
      </c>
      <c r="P45" s="10" t="inlineStr"/>
      <c r="Q45" s="6">
        <f>HYPERLINK("https://www.linkedin.com/search/results/people/?keywords=Tim%20Drone%20J.%20Patrick%20Homes","search")</f>
        <v/>
      </c>
      <c r="R45" s="11">
        <f>IF(P45="","ADD LINKEDIN","ok")</f>
        <v/>
      </c>
      <c r="S45" s="6" t="inlineStr">
        <is>
          <t>https://www.jpatrickhomes.com/</t>
        </is>
      </c>
      <c r="T45" s="9" t="inlineStr">
        <is>
          <t>A semi-custom builder that won a volume award and publishes no volume. Named purchasing and construction managers.</t>
        </is>
      </c>
      <c r="U45" s="6" t="inlineStr"/>
      <c r="V45" s="9" t="inlineStr">
        <is>
          <t>Quoted as President Tim Drone in February 2026 coverage of the firm's small-lot product.</t>
        </is>
      </c>
      <c r="W45" s="6" t="inlineStr">
        <is>
          <t>https://houstonagentmagazine.com/2026/02/10/j-patrick-homes-small-lots-grange/</t>
        </is>
      </c>
      <c r="X45" s="6" t="inlineStr"/>
      <c r="Y45" s="6" t="inlineStr"/>
      <c r="Z45" s="6" t="inlineStr"/>
      <c r="AA45" s="6" t="inlineStr">
        <is>
          <t>(713) 789-8004</t>
        </is>
      </c>
      <c r="AB45" s="6" t="inlineStr"/>
      <c r="AC45" s="6" t="inlineStr">
        <is>
          <t>https://www.jpatrickhomes.com/</t>
        </is>
      </c>
    </row>
    <row r="46">
      <c r="A46" s="12" t="inlineStr">
        <is>
          <t>Bo Banowsky</t>
        </is>
      </c>
      <c r="B46" s="12" t="inlineStr">
        <is>
          <t>J. Patrick Homes</t>
        </is>
      </c>
      <c r="C46" s="12" t="inlineStr">
        <is>
          <t>Purchasing Manager</t>
        </is>
      </c>
      <c r="D46" s="13" t="inlineStr">
        <is>
          <t>Strong target</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14" t="inlineStr">
        <is>
          <t>No</t>
        </is>
      </c>
      <c r="P46" s="6" t="inlineStr">
        <is>
          <t>https://www.linkedin.com/in/bo-banowsky-3b11278/</t>
        </is>
      </c>
      <c r="Q46" s="12" t="inlineStr"/>
      <c r="R46" s="16">
        <f>IF(P46="","ADD LINKEDIN","ok")</f>
        <v/>
      </c>
      <c r="S46" s="12" t="inlineStr">
        <is>
          <t>https://www.jpatrickhomes.com/</t>
        </is>
      </c>
      <c r="T46" s="15" t="inlineStr">
        <is>
          <t>A semi-custom builder that won a volume award and publishes no volume. Named purchasing and construction managers.</t>
        </is>
      </c>
      <c r="U46" s="12" t="inlineStr">
        <is>
          <t>YES</t>
        </is>
      </c>
      <c r="V46" s="15" t="inlineStr">
        <is>
          <t>Indexed title reads Bo Banowsky, Purchasing Manager, J. Patrick Homes.</t>
        </is>
      </c>
      <c r="W46" s="12" t="inlineStr"/>
      <c r="X46" s="12" t="inlineStr"/>
      <c r="Y46" s="12" t="inlineStr"/>
      <c r="Z46" s="12" t="inlineStr"/>
      <c r="AA46" s="12" t="inlineStr">
        <is>
          <t>(713) 789-8004</t>
        </is>
      </c>
      <c r="AB46" s="12" t="inlineStr"/>
      <c r="AC46" s="12" t="inlineStr">
        <is>
          <t>https://www.jpatrickhomes.com/</t>
        </is>
      </c>
    </row>
    <row r="47">
      <c r="A47" s="6" t="inlineStr">
        <is>
          <t>Kevin Holland</t>
        </is>
      </c>
      <c r="B47" s="6" t="inlineStr">
        <is>
          <t>Cervelle Homes</t>
        </is>
      </c>
      <c r="C47" s="6" t="inlineStr">
        <is>
          <t>Leads the firm with John Payson;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HYPERLINK("https://www.linkedin.com/search/results/people/?keywords=Kevin%20Holland%20Cervelle%20Homes","search")</f>
        <v/>
      </c>
      <c r="R47" s="11">
        <f>IF(P47="","ADD LINKEDIN","ok")</f>
        <v/>
      </c>
      <c r="S47" s="6" t="inlineStr">
        <is>
          <t>https://www.cervellehomes.com/</t>
        </is>
      </c>
      <c r="T47" s="9" t="inlineStr">
        <is>
          <t>150 to 200 homes a year from two standing plan families in one corridor. Inside the band one machine serves.</t>
        </is>
      </c>
      <c r="U47" s="6" t="inlineStr"/>
      <c r="V47" s="9" t="inlineStr">
        <is>
          <t>Homepage: the founder's standards carry forward under the guidance of Kevin Holland and John Payson. No title is published anywhere.</t>
        </is>
      </c>
      <c r="W47" s="6" t="inlineStr">
        <is>
          <t>https://www.cervellehomes.com/</t>
        </is>
      </c>
      <c r="X47" s="6" t="inlineStr"/>
      <c r="Y47" s="6" t="inlineStr"/>
      <c r="Z47" s="6" t="inlineStr"/>
      <c r="AA47" s="6" t="inlineStr">
        <is>
          <t>(281) 482-5864</t>
        </is>
      </c>
      <c r="AB47" s="6" t="inlineStr">
        <is>
          <t>office</t>
        </is>
      </c>
      <c r="AC47" s="6" t="inlineStr">
        <is>
          <t>https://www.cervellehomes.com/</t>
        </is>
      </c>
    </row>
    <row r="48">
      <c r="A48" s="12" t="inlineStr">
        <is>
          <t>John Payson</t>
        </is>
      </c>
      <c r="B48" s="12" t="inlineStr">
        <is>
          <t>Cervelle Homes</t>
        </is>
      </c>
      <c r="C48" s="12" t="inlineStr">
        <is>
          <t>Leads the firm with Kevin Holland; no title published</t>
        </is>
      </c>
      <c r="D48" s="13" t="inlineStr">
        <is>
          <t>Worth pursuing, 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4" t="inlineStr">
        <is>
          <t>Partly</t>
        </is>
      </c>
      <c r="P48" s="10" t="inlineStr"/>
      <c r="Q48" s="12">
        <f>HYPERLINK("https://www.linkedin.com/search/results/people/?keywords=John%20Payson%20Cervelle%20Homes","search")</f>
        <v/>
      </c>
      <c r="R48" s="16">
        <f>IF(P48="","ADD LINKEDIN","ok")</f>
        <v/>
      </c>
      <c r="S48" s="12" t="inlineStr">
        <is>
          <t>https://www.cervellehomes.com/</t>
        </is>
      </c>
      <c r="T48" s="15" t="inlineStr">
        <is>
          <t>150 to 200 homes a year from two standing plan families in one corridor. Inside the band one machine serves.</t>
        </is>
      </c>
      <c r="U48" s="12" t="inlineStr"/>
      <c r="V48" s="15" t="inlineStr">
        <is>
          <t>Homepage names him alongside Kevin Holland as carrying the founder's standards forward. No title is published.</t>
        </is>
      </c>
      <c r="W48" s="12" t="inlineStr">
        <is>
          <t>https://www.cervellehomes.com/</t>
        </is>
      </c>
      <c r="X48" s="12" t="inlineStr"/>
      <c r="Y48" s="12" t="inlineStr"/>
      <c r="Z48" s="12" t="inlineStr"/>
      <c r="AA48" s="12" t="inlineStr">
        <is>
          <t>(281) 482-5864</t>
        </is>
      </c>
      <c r="AB48" s="12" t="inlineStr">
        <is>
          <t>office</t>
        </is>
      </c>
      <c r="AC48" s="12" t="inlineStr">
        <is>
          <t>https://www.cervellehomes.com/</t>
        </is>
      </c>
    </row>
    <row r="49">
      <c r="A49" s="6" t="inlineStr">
        <is>
          <t>Samuel Sanders</t>
        </is>
      </c>
      <c r="B49" s="6" t="inlineStr">
        <is>
          <t>Clay Residential</t>
        </is>
      </c>
      <c r="C49" s="6" t="inlineStr">
        <is>
          <t>Vice President of Construction Operations</t>
        </is>
      </c>
      <c r="D49" s="7" t="inlineStr">
        <is>
          <t>Worth pursuing, 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8" t="inlineStr">
        <is>
          <t>Partly</t>
        </is>
      </c>
      <c r="P49" s="10" t="inlineStr"/>
      <c r="Q49" s="6">
        <f>HYPERLINK("https://www.linkedin.com/search/results/people/?keywords=Samuel%20Sanders%20Clay%20Residential","search")</f>
        <v/>
      </c>
      <c r="R49" s="11">
        <f>IF(P49="","ADD LINKEDIN","ok")</f>
        <v/>
      </c>
      <c r="S49" s="6" t="inlineStr">
        <is>
          <t>https://www.clayresidential.com/</t>
        </is>
      </c>
      <c r="T49" s="9" t="inlineStr">
        <is>
          <t>465 rental homes across two Houston communities, with the construction seat named on the record.</t>
        </is>
      </c>
      <c r="U49" s="6" t="inlineStr">
        <is>
          <t>YES</t>
        </is>
      </c>
      <c r="V49" s="9" t="inlineStr">
        <is>
          <t>Listed as the primary contact on the association's own member record.</t>
        </is>
      </c>
      <c r="W49" s="6" t="inlineStr">
        <is>
          <t>https://members.ghba.org/memberdirectory/Details/clay-residential-2924528</t>
        </is>
      </c>
      <c r="X49" s="6" t="inlineStr"/>
      <c r="Y49" s="6" t="inlineStr"/>
      <c r="Z49" s="6" t="inlineStr"/>
      <c r="AA49" s="6" t="inlineStr">
        <is>
          <t>(281) 407-6466</t>
        </is>
      </c>
      <c r="AB49" s="6" t="inlineStr"/>
      <c r="AC49" s="6" t="inlineStr">
        <is>
          <t>https://www.clayresidential.com/</t>
        </is>
      </c>
    </row>
    <row r="50">
      <c r="A50" s="12" t="inlineStr">
        <is>
          <t>Dru Kahlenberg</t>
        </is>
      </c>
      <c r="B50" s="12" t="inlineStr">
        <is>
          <t>Alta Homes</t>
        </is>
      </c>
      <c r="C50" s="12" t="inlineStr">
        <is>
          <t>Chief Executive Officer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HYPERLINK("https://www.linkedin.com/search/results/people/?keywords=Dru%20Kahlenberg%20Alta%20Homes","search")</f>
        <v/>
      </c>
      <c r="R50" s="16">
        <f>IF(P50="","ADD LINKEDIN","ok")</f>
        <v/>
      </c>
      <c r="S50" s="12" t="inlineStr">
        <is>
          <t>https://www.myaltahomes.com/</t>
        </is>
      </c>
      <c r="T50" s="15" t="inlineStr">
        <is>
          <t>45 closings in 2025 and 70 planned for 2026, all inside one county. One machine would cover the whole programme.</t>
        </is>
      </c>
      <c r="U50" s="12" t="inlineStr"/>
      <c r="V50" s="15" t="inlineStr">
        <is>
          <t>About page: CEO, who signs off on every piece of land and secures the financing behind every community.</t>
        </is>
      </c>
      <c r="W50" s="12" t="inlineStr">
        <is>
          <t>https://www.myaltahomes.com/about</t>
        </is>
      </c>
      <c r="X50" s="12" t="inlineStr"/>
      <c r="Y50" s="12" t="inlineStr"/>
      <c r="Z50" s="12" t="inlineStr"/>
      <c r="AA50" s="12" t="inlineStr">
        <is>
          <t>(888) 904-7172</t>
        </is>
      </c>
      <c r="AB50" s="12" t="inlineStr"/>
      <c r="AC50" s="12" t="inlineStr">
        <is>
          <t>https://www.myaltahomes.com/</t>
        </is>
      </c>
    </row>
    <row r="51">
      <c r="A51" s="6" t="inlineStr">
        <is>
          <t>Scott Gilbert</t>
        </is>
      </c>
      <c r="B51" s="6" t="inlineStr">
        <is>
          <t>Alta Homes</t>
        </is>
      </c>
      <c r="C51" s="6" t="inlineStr">
        <is>
          <t>President</t>
        </is>
      </c>
      <c r="D51" s="7" t="inlineStr">
        <is>
          <t>Worth pursuing, 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8" t="inlineStr">
        <is>
          <t>No</t>
        </is>
      </c>
      <c r="P51" s="10" t="inlineStr"/>
      <c r="Q51" s="6">
        <f>HYPERLINK("https://www.linkedin.com/search/results/people/?keywords=Scott%20Gilbert%20Alta%20Homes","search")</f>
        <v/>
      </c>
      <c r="R51" s="11">
        <f>IF(P51="","ADD LINKEDIN","ok")</f>
        <v/>
      </c>
      <c r="S51" s="6" t="inlineStr">
        <is>
          <t>https://www.myaltahomes.com/</t>
        </is>
      </c>
      <c r="T51" s="9" t="inlineStr">
        <is>
          <t>45 closings in 2025 and 70 planned for 2026, all inside one county. One machine would cover the whole programme.</t>
        </is>
      </c>
      <c r="U51" s="6" t="inlineStr"/>
      <c r="V51" s="9" t="inlineStr">
        <is>
          <t>About page: President, focused on teams, vendor partnerships and efficient construction.</t>
        </is>
      </c>
      <c r="W51" s="6" t="inlineStr">
        <is>
          <t>https://www.myaltahomes.com/about</t>
        </is>
      </c>
      <c r="X51" s="6" t="inlineStr"/>
      <c r="Y51" s="6" t="inlineStr"/>
      <c r="Z51" s="6" t="inlineStr"/>
      <c r="AA51" s="6" t="inlineStr">
        <is>
          <t>(888) 904-7172</t>
        </is>
      </c>
      <c r="AB51" s="6" t="inlineStr"/>
      <c r="AC51" s="6" t="inlineStr">
        <is>
          <t>https://www.myaltahomes.com/</t>
        </is>
      </c>
    </row>
    <row r="52">
      <c r="A52" s="12" t="inlineStr">
        <is>
          <t>Ashley Meinecke</t>
        </is>
      </c>
      <c r="B52" s="12" t="inlineStr">
        <is>
          <t>Alta Homes</t>
        </is>
      </c>
      <c r="C52" s="12" t="inlineStr">
        <is>
          <t>Accounts Payable and Purchasing Manager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HYPERLINK("https://www.linkedin.com/search/results/people/?keywords=Ashley%20Meinecke%20Alta%20Homes","search")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is>
          <t>YES</t>
        </is>
      </c>
      <c r="V52" s="15" t="inlineStr"/>
      <c r="W52" s="12" t="inlineStr">
        <is>
          <t>https://www.myaltahomes.com/about</t>
        </is>
      </c>
      <c r="X52" s="12" t="inlineStr"/>
      <c r="Y52" s="12" t="inlineStr"/>
      <c r="Z52" s="12" t="inlineStr"/>
      <c r="AA52" s="12" t="inlineStr">
        <is>
          <t>(888) 904-7172</t>
        </is>
      </c>
      <c r="AB52" s="12" t="inlineStr"/>
      <c r="AC52" s="12" t="inlineStr">
        <is>
          <t>https://www.myaltahomes.com/</t>
        </is>
      </c>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t="inlineStr"/>
      <c r="R53" s="11">
        <f>IF(P53="","ADD LINKEDIN","ok")</f>
        <v/>
      </c>
      <c r="S53" s="6" t="inlineStr">
        <is>
          <t>https://www.alliancehtx.org/</t>
        </is>
      </c>
      <c r="T53" s="9" t="inlineStr">
        <is>
          <t>$600M across five phases to 2032. Federal money and open procurement, but no method track record.</t>
        </is>
      </c>
      <c r="U53" s="6" t="inlineStr"/>
      <c r="V53" s="9" t="inlineStr">
        <is>
          <t>Her own bio page gives the title and the February 2025 appointment.</t>
        </is>
      </c>
      <c r="W53" s="6" t="inlineStr">
        <is>
          <t>https://www.alliancehtx.org/team-members/jamie-bryant</t>
        </is>
      </c>
      <c r="X53" s="6" t="inlineStr">
        <is>
          <t>https://www.linkedin.com/company/houston-housing-authority</t>
        </is>
      </c>
      <c r="Y53" s="6" t="inlineStr">
        <is>
          <t>https://www.alliancehtx.org/leadership</t>
        </is>
      </c>
      <c r="Z53" s="6" t="inlineStr"/>
      <c r="AA53" s="6" t="inlineStr"/>
      <c r="AB53" s="6" t="inlineStr"/>
      <c r="AC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https://www.alliancehtx.org/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 The leadership page carries the title.</t>
        </is>
      </c>
      <c r="W54" s="12" t="inlineStr">
        <is>
          <t>https://www.alliancehtx.org/leadership</t>
        </is>
      </c>
      <c r="X54" s="12" t="inlineStr">
        <is>
          <t>https://www.linkedin.com/company/houston-housing-authority</t>
        </is>
      </c>
      <c r="Y54" s="12" t="inlineStr">
        <is>
          <t>https://www.alliancehtx.org/leadership</t>
        </is>
      </c>
      <c r="Z54" s="12" t="inlineStr"/>
      <c r="AA54" s="12" t="inlineStr"/>
      <c r="AB54" s="12" t="inlineStr"/>
      <c r="AC54" s="12" t="inlineStr"/>
    </row>
    <row r="55">
      <c r="A55" s="6" t="inlineStr">
        <is>
          <t>Craig Jones</t>
        </is>
      </c>
      <c r="B55" s="6" t="inlineStr">
        <is>
          <t>Long Lake, Ltd.</t>
        </is>
      </c>
      <c r="C55" s="6" t="inlineStr">
        <is>
          <t>Chief Executive Officer</t>
        </is>
      </c>
      <c r="D55" s="7" t="inlineStr">
        <is>
          <t>Worth pursuing, 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above the band one or two printers cover, so the first order is a line inside the business rather than the whole business.</t>
        </is>
      </c>
      <c r="M55" s="8" t="inlineStr">
        <is>
          <t>No</t>
        </is>
      </c>
      <c r="N55" s="9" t="inlineStr">
        <is>
          <t>Nothing on record. Its about page argues the other way, for job-built production methods as a control advantage.</t>
        </is>
      </c>
      <c r="O55" s="8" t="inlineStr">
        <is>
          <t>Yes</t>
        </is>
      </c>
      <c r="P55" s="10" t="inlineStr"/>
      <c r="Q55" s="6">
        <f>HYPERLINK("https://www.linkedin.com/search/results/people/?keywords=Craig%20Jones%20Long%20Lake%2C%20Ltd.","search")</f>
        <v/>
      </c>
      <c r="R55" s="11">
        <f>IF(P55="","ADD LINKEDIN","ok")</f>
        <v/>
      </c>
      <c r="S55" s="6" t="inlineStr">
        <is>
          <t>https://www.longlakeltd.com/</t>
        </is>
      </c>
      <c r="T55" s="9" t="inlineStr">
        <is>
          <t>782 closings across 22 communities on 38 numbered plans, and it develops its own land, so a pilot needs nobody else's permission.</t>
        </is>
      </c>
      <c r="U55" s="6" t="inlineStr"/>
      <c r="V55" s="9" t="inlineStr"/>
      <c r="W55" s="6" t="inlineStr">
        <is>
          <t>https://www.builderonline.com/firms/long-lake-limited/</t>
        </is>
      </c>
      <c r="X55" s="6" t="inlineStr"/>
      <c r="Y55" s="6" t="inlineStr"/>
      <c r="Z55" s="6" t="inlineStr"/>
      <c r="AA55" s="6" t="inlineStr">
        <is>
          <t>(888) 498-6815</t>
        </is>
      </c>
      <c r="AB55" s="6" t="inlineStr"/>
      <c r="AC55" s="6" t="inlineStr">
        <is>
          <t>https://www.longlakeltd.com/</t>
        </is>
      </c>
    </row>
    <row r="56">
      <c r="A56" s="12" t="inlineStr">
        <is>
          <t>Dustin Rodgers</t>
        </is>
      </c>
      <c r="B56" s="12" t="inlineStr">
        <is>
          <t>Long Lake, Ltd.</t>
        </is>
      </c>
      <c r="C56" s="12" t="inlineStr">
        <is>
          <t>Vice President of Construction</t>
        </is>
      </c>
      <c r="D56" s="13" t="inlineStr">
        <is>
          <t>Worth pursuing, 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above the band one or two printers cover, so the first order is a line inside the business rather than the whole business.</t>
        </is>
      </c>
      <c r="M56" s="14" t="inlineStr">
        <is>
          <t>No</t>
        </is>
      </c>
      <c r="N56" s="15" t="inlineStr">
        <is>
          <t>Nothing on record. Its about page argues the other way, for job-built production methods as a control advantage.</t>
        </is>
      </c>
      <c r="O56" s="14" t="inlineStr">
        <is>
          <t>Yes</t>
        </is>
      </c>
      <c r="P56" s="6" t="inlineStr">
        <is>
          <t>https://www.linkedin.com/in/dustin-rodgers-61a9908a/</t>
        </is>
      </c>
      <c r="Q56" s="12" t="inlineStr"/>
      <c r="R56" s="16">
        <f>IF(P56="","ADD LINKEDIN","ok")</f>
        <v/>
      </c>
      <c r="S56" s="12" t="inlineStr">
        <is>
          <t>https://www.longlakeltd.com/</t>
        </is>
      </c>
      <c r="T56" s="15" t="inlineStr">
        <is>
          <t>782 closings across 22 communities on 38 numbered plans, and it develops its own land, so a pilot needs nobody else's permission.</t>
        </is>
      </c>
      <c r="U56" s="12" t="inlineStr">
        <is>
          <t>YES</t>
        </is>
      </c>
      <c r="V56" s="15" t="inlineStr"/>
      <c r="W56" s="12" t="inlineStr"/>
      <c r="X56" s="12" t="inlineStr"/>
      <c r="Y56" s="12" t="inlineStr"/>
      <c r="Z56" s="12" t="inlineStr"/>
      <c r="AA56" s="12" t="inlineStr">
        <is>
          <t>(888) 498-6815</t>
        </is>
      </c>
      <c r="AB56" s="12" t="inlineStr"/>
      <c r="AC56" s="12" t="inlineStr">
        <is>
          <t>https://www.longlakeltd.com/</t>
        </is>
      </c>
    </row>
    <row r="57">
      <c r="A57" s="6" t="inlineStr">
        <is>
          <t>Dave Dronberger</t>
        </is>
      </c>
      <c r="B57" s="6" t="inlineStr">
        <is>
          <t>Long Lake, Ltd.</t>
        </is>
      </c>
      <c r="C57" s="6" t="inlineStr">
        <is>
          <t>Construction Manager</t>
        </is>
      </c>
      <c r="D57" s="7" t="inlineStr">
        <is>
          <t>Worth pursuing, 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above the band one or two printers cover, so the first order is a line inside the business rather than the whole business.</t>
        </is>
      </c>
      <c r="M57" s="8" t="inlineStr">
        <is>
          <t>No</t>
        </is>
      </c>
      <c r="N57" s="9" t="inlineStr">
        <is>
          <t>Nothing on record. Its about page argues the other way, for job-built production methods as a control advantage.</t>
        </is>
      </c>
      <c r="O57" s="8" t="inlineStr">
        <is>
          <t>Yes</t>
        </is>
      </c>
      <c r="P57" s="6" t="inlineStr">
        <is>
          <t>https://www.linkedin.com/in/dave-dronberger-9b098315/</t>
        </is>
      </c>
      <c r="Q57" s="6" t="inlineStr"/>
      <c r="R57" s="11">
        <f>IF(P57="","ADD LINKEDIN","ok")</f>
        <v/>
      </c>
      <c r="S57" s="6" t="inlineStr">
        <is>
          <t>https://www.longlakeltd.com/</t>
        </is>
      </c>
      <c r="T57" s="9" t="inlineStr">
        <is>
          <t>782 closings across 22 communities on 38 numbered plans, and it develops its own land, so a pilot needs nobody else's permission.</t>
        </is>
      </c>
      <c r="U57" s="6" t="inlineStr"/>
      <c r="V57" s="9" t="inlineStr"/>
      <c r="W57" s="6" t="inlineStr"/>
      <c r="X57" s="6" t="inlineStr"/>
      <c r="Y57" s="6" t="inlineStr"/>
      <c r="Z57" s="6" t="inlineStr"/>
      <c r="AA57" s="6" t="inlineStr">
        <is>
          <t>(888) 498-6815</t>
        </is>
      </c>
      <c r="AB57" s="6" t="inlineStr"/>
      <c r="AC57" s="6" t="inlineStr">
        <is>
          <t>https://www.longlakeltd.com/</t>
        </is>
      </c>
    </row>
    <row r="58">
      <c r="A58" s="12" t="inlineStr">
        <is>
          <t>Aaron Alford</t>
        </is>
      </c>
      <c r="B58" s="12" t="inlineStr">
        <is>
          <t>Long Lake, Ltd.</t>
        </is>
      </c>
      <c r="C58" s="12" t="inlineStr">
        <is>
          <t>Executive Vice President, Woodmere Development Co.</t>
        </is>
      </c>
      <c r="D58" s="13" t="inlineStr">
        <is>
          <t>Worth pursuing, 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above the band one or two printers cover, so the first order is a line inside the business rather than the whole business.</t>
        </is>
      </c>
      <c r="M58" s="14" t="inlineStr">
        <is>
          <t>No</t>
        </is>
      </c>
      <c r="N58" s="15" t="inlineStr">
        <is>
          <t>Nothing on record. Its about page argues the other way, for job-built production methods as a control advantage.</t>
        </is>
      </c>
      <c r="O58" s="14" t="inlineStr">
        <is>
          <t>Yes</t>
        </is>
      </c>
      <c r="P58" s="10" t="inlineStr"/>
      <c r="Q58" s="12">
        <f>HYPERLINK("https://www.linkedin.com/search/results/people/?keywords=Aaron%20Alford%20Long%20Lake%2C%20Ltd.","search")</f>
        <v/>
      </c>
      <c r="R58" s="16">
        <f>IF(P58="","ADD LINKEDIN","ok")</f>
        <v/>
      </c>
      <c r="S58" s="12" t="inlineStr">
        <is>
          <t>https://www.longlakeltd.com/</t>
        </is>
      </c>
      <c r="T58" s="15" t="inlineStr">
        <is>
          <t>782 closings across 22 communities on 38 numbered plans, and it develops its own land, so a pilot needs nobody else's permission.</t>
        </is>
      </c>
      <c r="U58" s="12" t="inlineStr"/>
      <c r="V58" s="15" t="inlineStr">
        <is>
          <t>Woodmere is Long Lake's own land arm, so this seat buys the ground the plans go on.</t>
        </is>
      </c>
      <c r="W58" s="12" t="inlineStr">
        <is>
          <t>https://wolffcompanies.com/news/in-off-market-deal-long-lake-buys-494-acres-next-to-bridgeland-for-new-community/</t>
        </is>
      </c>
      <c r="X58" s="12" t="inlineStr"/>
      <c r="Y58" s="12" t="inlineStr"/>
      <c r="Z58" s="12" t="inlineStr"/>
      <c r="AA58" s="12" t="inlineStr">
        <is>
          <t>(888) 498-6815</t>
        </is>
      </c>
      <c r="AB58" s="12" t="inlineStr"/>
      <c r="AC58" s="12" t="inlineStr">
        <is>
          <t>https://www.longlakeltd.com/</t>
        </is>
      </c>
    </row>
    <row r="59">
      <c r="A59" s="6" t="inlineStr">
        <is>
          <t>Phillippe Lord</t>
        </is>
      </c>
      <c r="B59" s="6" t="inlineStr">
        <is>
          <t>Meritage Homes Corporation</t>
        </is>
      </c>
      <c r="C59" s="6" t="inlineStr">
        <is>
          <t>Chief Executive Officer</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https://www.linkedin.com/in/phillippe-lord-72924012/</t>
        </is>
      </c>
      <c r="Q59" s="6" t="inlineStr"/>
      <c r="R59" s="11">
        <f>IF(P59="","ADD LINKEDIN","ok")</f>
        <v/>
      </c>
      <c r="S59" s="6" t="inlineStr">
        <is>
          <t>https://www.meritagehomes.com/</t>
        </is>
      </c>
      <c r="T59" s="9" t="inlineStr">
        <is>
          <t>1,000 homes at Trinity Landing and a sub-110-day cycle held four quarters.</t>
        </is>
      </c>
      <c r="U59" s="6" t="inlineStr"/>
      <c r="V59" s="9" t="inlineStr">
        <is>
          <t>CEO, EVP at Meritage Homes.</t>
        </is>
      </c>
      <c r="W59" s="6" t="inlineStr"/>
      <c r="X59" s="6" t="inlineStr">
        <is>
          <t>https://www.linkedin.com/company/meritage-homes</t>
        </is>
      </c>
      <c r="Y59" s="6" t="inlineStr">
        <is>
          <t>https://investors.meritagehomes.com/company-information/management-team</t>
        </is>
      </c>
      <c r="Z59" s="6" t="inlineStr"/>
      <c r="AA59" s="6" t="inlineStr">
        <is>
          <t>(833) 684-6527</t>
        </is>
      </c>
      <c r="AB59" s="6" t="inlineStr">
        <is>
          <t>warranty</t>
        </is>
      </c>
      <c r="AC59" s="6" t="inlineStr">
        <is>
          <t>https://www.meritagehomes.com/company/contact</t>
        </is>
      </c>
    </row>
    <row r="60">
      <c r="A60" s="12" t="inlineStr">
        <is>
          <t>Hilla Sferruzza</t>
        </is>
      </c>
      <c r="B60" s="12" t="inlineStr">
        <is>
          <t>Meritage Homes Corporation</t>
        </is>
      </c>
      <c r="C60" s="12" t="inlineStr">
        <is>
          <t>Executive Vice President and Chief Financial Officer</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10" t="inlineStr"/>
      <c r="Q60" s="12">
        <f>HYPERLINK("https://www.linkedin.com/search/results/people/?keywords=Hilla%20Sferruzza%20Meritage%20Homes%20Corporation","search")</f>
        <v/>
      </c>
      <c r="R60" s="16">
        <f>IF(P60="","ADD LINKEDIN","ok")</f>
        <v/>
      </c>
      <c r="S60" s="12" t="inlineStr">
        <is>
          <t>https://www.meritagehomes.com/</t>
        </is>
      </c>
      <c r="T60" s="15" t="inlineStr">
        <is>
          <t>1,000 homes at Trinity Landing and a sub-110-day cycle held four quarters.</t>
        </is>
      </c>
      <c r="U60" s="12" t="inlineStr"/>
      <c r="V60" s="15" t="inlineStr"/>
      <c r="W60" s="12" t="inlineStr">
        <is>
          <t>https://investors.meritagehomes.com/company-information/management-team</t>
        </is>
      </c>
      <c r="X60" s="12" t="inlineStr">
        <is>
          <t>https://www.linkedin.com/company/meritage-homes</t>
        </is>
      </c>
      <c r="Y60" s="12" t="inlineStr">
        <is>
          <t>https://investors.meritagehomes.com/company-information/management-team</t>
        </is>
      </c>
      <c r="Z60" s="12" t="inlineStr"/>
      <c r="AA60" s="12" t="inlineStr">
        <is>
          <t>(833) 684-6527</t>
        </is>
      </c>
      <c r="AB60" s="12" t="inlineStr">
        <is>
          <t>warranty</t>
        </is>
      </c>
      <c r="AC60" s="12" t="inlineStr">
        <is>
          <t>https://www.meritagehomes.com/company/contact</t>
        </is>
      </c>
    </row>
    <row r="61">
      <c r="A61" s="6" t="inlineStr">
        <is>
          <t>Steven J. Hilton</t>
        </is>
      </c>
      <c r="B61" s="6" t="inlineStr">
        <is>
          <t>Meritage Homes Corporation</t>
        </is>
      </c>
      <c r="C61" s="6" t="inlineStr">
        <is>
          <t>Executive Chairman of the Board</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10" t="inlineStr"/>
      <c r="Q61" s="6">
        <f>HYPERLINK("https://www.linkedin.com/search/results/people/?keywords=Steven%20J.%20Hilton%20Meritage%20Homes%20Corporation","search")</f>
        <v/>
      </c>
      <c r="R61" s="11">
        <f>IF(P61="","ADD LINKEDIN","ok")</f>
        <v/>
      </c>
      <c r="S61" s="6" t="inlineStr">
        <is>
          <t>https://www.meritagehomes.com/</t>
        </is>
      </c>
      <c r="T61" s="9" t="inlineStr">
        <is>
          <t>1,000 homes at Trinity Landing and a sub-110-day cycle held four quarters.</t>
        </is>
      </c>
      <c r="U61" s="6" t="inlineStr"/>
      <c r="V61" s="9" t="inlineStr"/>
      <c r="W61" s="6" t="inlineStr">
        <is>
          <t>https://investors.meritagehomes.com/company-information/management-team</t>
        </is>
      </c>
      <c r="X61" s="6" t="inlineStr">
        <is>
          <t>https://www.linkedin.com/company/meritage-homes</t>
        </is>
      </c>
      <c r="Y61" s="6" t="inlineStr">
        <is>
          <t>https://investors.meritagehomes.com/company-information/management-team</t>
        </is>
      </c>
      <c r="Z61" s="6" t="inlineStr"/>
      <c r="AA61" s="6" t="inlineStr">
        <is>
          <t>(833) 684-6527</t>
        </is>
      </c>
      <c r="AB61" s="6" t="inlineStr">
        <is>
          <t>warranty</t>
        </is>
      </c>
      <c r="AC61" s="6" t="inlineStr">
        <is>
          <t>https://www.meritagehomes.com/company/contact</t>
        </is>
      </c>
    </row>
    <row r="62">
      <c r="A62" s="12" t="inlineStr">
        <is>
          <t>no contact identified</t>
        </is>
      </c>
      <c r="B62" s="12" t="inlineStr">
        <is>
          <t>Smith Douglas Homes</t>
        </is>
      </c>
      <c r="C62" s="12" t="inlineStr"/>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 method that was new at the time.</t>
        </is>
      </c>
      <c r="O62" s="14" t="inlineStr">
        <is>
          <t>Yes</t>
        </is>
      </c>
      <c r="P62" s="10" t="inlineStr"/>
      <c r="Q62" s="12" t="inlineStr"/>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2" t="inlineStr"/>
      <c r="V62" s="15" t="inlineStr"/>
      <c r="W62" s="12" t="inlineStr"/>
      <c r="X62" s="12" t="inlineStr"/>
      <c r="Y62" s="12" t="inlineStr"/>
      <c r="Z62" s="12" t="inlineStr"/>
      <c r="AA62" s="12" t="inlineStr">
        <is>
          <t>(877) 552-3727</t>
        </is>
      </c>
      <c r="AB62" s="12" t="inlineStr"/>
      <c r="AC62" s="12" t="inlineStr">
        <is>
          <t>https://www.smithdouglas.com/</t>
        </is>
      </c>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t>
        </is>
      </c>
      <c r="U63" s="6" t="inlineStr"/>
      <c r="V63" s="9" t="inlineStr"/>
      <c r="W63" s="6" t="inlineStr">
        <is>
          <t>https://www.camillocompanies.com/about-us</t>
        </is>
      </c>
      <c r="X63" s="6" t="inlineStr">
        <is>
          <t>https://www.linkedin.com/company/camillo-companies</t>
        </is>
      </c>
      <c r="Y63" s="6" t="inlineStr">
        <is>
          <t>https://www.camillocompanies.com/about-us</t>
        </is>
      </c>
      <c r="Z63" s="6" t="inlineStr"/>
      <c r="AA63" s="6" t="inlineStr">
        <is>
          <t>(888) 234-9451</t>
        </is>
      </c>
      <c r="AB63" s="6" t="inlineStr"/>
      <c r="AC63" s="6" t="inlineStr">
        <is>
          <t>https://www.camillocompanies.com/</t>
        </is>
      </c>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t>
        </is>
      </c>
      <c r="U64" s="12" t="inlineStr"/>
      <c r="V64" s="15" t="inlineStr"/>
      <c r="W64" s="12" t="inlineStr">
        <is>
          <t>https://www.camillocompanies.com/about-us</t>
        </is>
      </c>
      <c r="X64" s="12" t="inlineStr">
        <is>
          <t>https://www.linkedin.com/company/camillo-companies</t>
        </is>
      </c>
      <c r="Y64" s="12" t="inlineStr">
        <is>
          <t>https://www.camillocompanies.com/about-us</t>
        </is>
      </c>
      <c r="Z64" s="12" t="inlineStr"/>
      <c r="AA64" s="12" t="inlineStr">
        <is>
          <t>(888) 234-9451</t>
        </is>
      </c>
      <c r="AB64" s="12" t="inlineStr"/>
      <c r="AC64" s="12" t="inlineStr">
        <is>
          <t>https://www.camillocompanies.com/</t>
        </is>
      </c>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t>
        </is>
      </c>
      <c r="U65" s="6" t="inlineStr"/>
      <c r="V65" s="9" t="inlineStr"/>
      <c r="W65" s="6" t="inlineStr">
        <is>
          <t>https://www.camillocompanies.com/about-us</t>
        </is>
      </c>
      <c r="X65" s="6" t="inlineStr">
        <is>
          <t>https://www.linkedin.com/company/camillo-companies</t>
        </is>
      </c>
      <c r="Y65" s="6" t="inlineStr">
        <is>
          <t>https://www.camillocompanies.com/about-us</t>
        </is>
      </c>
      <c r="Z65" s="6" t="inlineStr"/>
      <c r="AA65" s="6" t="inlineStr">
        <is>
          <t>(888) 234-9451</t>
        </is>
      </c>
      <c r="AB65" s="6" t="inlineStr"/>
      <c r="AC65" s="6" t="inlineStr">
        <is>
          <t>https://www.camillocompanies.com/</t>
        </is>
      </c>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t>
        </is>
      </c>
      <c r="U66" s="12" t="inlineStr"/>
      <c r="V66" s="15" t="inlineStr"/>
      <c r="W66" s="12" t="inlineStr">
        <is>
          <t>https://www.camillocompanies.com/about-us</t>
        </is>
      </c>
      <c r="X66" s="12" t="inlineStr">
        <is>
          <t>https://www.linkedin.com/company/camillo-companies</t>
        </is>
      </c>
      <c r="Y66" s="12" t="inlineStr">
        <is>
          <t>https://www.camillocompanies.com/about-us</t>
        </is>
      </c>
      <c r="Z66" s="12" t="inlineStr"/>
      <c r="AA66" s="12" t="inlineStr">
        <is>
          <t>(888) 234-9451</t>
        </is>
      </c>
      <c r="AB66" s="12" t="inlineStr"/>
      <c r="AC66" s="12" t="inlineStr">
        <is>
          <t>https://www.camillocompanies.com/</t>
        </is>
      </c>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Daiwa House holds the majority and is an industrialised builder in Japan. Nothing published connects that to CastleRock's own method.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t>
        </is>
      </c>
      <c r="U67" s="6" t="inlineStr"/>
      <c r="V67" s="9" t="inlineStr"/>
      <c r="W67" s="6" t="inlineStr">
        <is>
          <t>https://www.c-rock.com/about</t>
        </is>
      </c>
      <c r="X67" s="6" t="inlineStr">
        <is>
          <t>https://www.linkedin.com/company/castlerock-communities</t>
        </is>
      </c>
      <c r="Y67" s="6" t="inlineStr">
        <is>
          <t>https://www.c-rock.com/about</t>
        </is>
      </c>
      <c r="Z67" s="6" t="inlineStr"/>
      <c r="AA67" s="6" t="inlineStr">
        <is>
          <t>(713) 600-7000</t>
        </is>
      </c>
      <c r="AB67" s="6" t="inlineStr"/>
      <c r="AC67" s="6" t="inlineStr">
        <is>
          <t>https://www.c-rock.com/</t>
        </is>
      </c>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Daiwa House holds the majority and is an industrialised builder in Japan. Nothing published connects that to CastleRock's own method.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t>
        </is>
      </c>
      <c r="U68" s="12" t="inlineStr"/>
      <c r="V68" s="15" t="inlineStr">
        <is>
          <t>VP at Castlerock Communities. Houston, Texas. The headline gives no function.</t>
        </is>
      </c>
      <c r="W68" s="12" t="inlineStr"/>
      <c r="X68" s="12" t="inlineStr">
        <is>
          <t>https://www.linkedin.com/company/castlerock-communities</t>
        </is>
      </c>
      <c r="Y68" s="12" t="inlineStr">
        <is>
          <t>https://www.c-rock.com/about</t>
        </is>
      </c>
      <c r="Z68" s="12" t="inlineStr"/>
      <c r="AA68" s="12" t="inlineStr">
        <is>
          <t>(713) 600-7000</t>
        </is>
      </c>
      <c r="AB68" s="12" t="inlineStr"/>
      <c r="AC68" s="12" t="inlineStr">
        <is>
          <t>https://www.c-rock.com/</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c r="AA69" s="6" t="inlineStr">
        <is>
          <t>(480) 428-8994</t>
        </is>
      </c>
      <c r="AB69" s="6" t="inlineStr">
        <is>
          <t>published in the privacy notice</t>
        </is>
      </c>
      <c r="AC69" s="6" t="inlineStr">
        <is>
          <t>https://www.christophertodd.com/</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240 homes on nineteen acres in Cypress,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c r="AA70" s="12" t="inlineStr">
        <is>
          <t>(480) 428-8994</t>
        </is>
      </c>
      <c r="AB70" s="12" t="inlineStr">
        <is>
          <t>published in the privacy notice</t>
        </is>
      </c>
      <c r="AC70" s="12" t="inlineStr">
        <is>
          <t>https://www.christophertodd.com/</t>
        </is>
      </c>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c r="AA71" s="6" t="inlineStr">
        <is>
          <t>(281) 915-9791</t>
        </is>
      </c>
      <c r="AB71" s="6" t="inlineStr">
        <is>
          <t>Greater Houston</t>
        </is>
      </c>
      <c r="AC71" s="6" t="inlineStr">
        <is>
          <t>https://www.everlastinghomesgroup.com/</t>
        </is>
      </c>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c r="AA72" s="12" t="inlineStr">
        <is>
          <t>(281) 915-9791</t>
        </is>
      </c>
      <c r="AB72" s="12" t="inlineStr">
        <is>
          <t>Greater Houston</t>
        </is>
      </c>
      <c r="AC72" s="12" t="inlineStr">
        <is>
          <t>https://www.everlastinghomesgroup.com/</t>
        </is>
      </c>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no website confirmed</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c r="AA73" s="6" t="inlineStr"/>
      <c r="AB73" s="6" t="inlineStr"/>
      <c r="AC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c r="AA74" s="12" t="inlineStr">
        <is>
          <t>(832) 265-7353</t>
        </is>
      </c>
      <c r="AB74" s="12" t="inlineStr"/>
      <c r="AC74" s="12" t="inlineStr">
        <is>
          <t>https://www.nautiluscustomhomes.com/</t>
        </is>
      </c>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c r="AA75" s="6" t="inlineStr">
        <is>
          <t>(832) 265-7353</t>
        </is>
      </c>
      <c r="AB75" s="6" t="inlineStr"/>
      <c r="AC75" s="6" t="inlineStr">
        <is>
          <t>https://www.nautiluscustomhomes.com/</t>
        </is>
      </c>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c r="AA76" s="12" t="inlineStr">
        <is>
          <t>(409) 256-4888</t>
        </is>
      </c>
      <c r="AB76" s="12" t="inlineStr">
        <is>
          <t>office</t>
        </is>
      </c>
      <c r="AC76" s="12" t="inlineStr">
        <is>
          <t>https://seaside-construction.com/</t>
        </is>
      </c>
    </row>
    <row r="77">
      <c r="A77" s="6" t="inlineStr">
        <is>
          <t>Edward E. Martin Jr.</t>
        </is>
      </c>
      <c r="B77" s="6" t="inlineStr">
        <is>
          <t>Tilson Home Corporation</t>
        </is>
      </c>
      <c r="C77" s="6" t="inlineStr">
        <is>
          <t>Chief Executive Officer</t>
        </is>
      </c>
      <c r="D77" s="7" t="inlineStr">
        <is>
          <t>Worth pursuing, one gap</t>
        </is>
      </c>
      <c r="E77" s="8" t="n">
        <v>2</v>
      </c>
      <c r="F77" s="6" t="inlineStr">
        <is>
          <t>Buys walls</t>
        </is>
      </c>
      <c r="G77" s="6" t="inlineStr">
        <is>
          <t>Houston / Spring, Katy, Willis, Angleton</t>
        </is>
      </c>
      <c r="H77" s="6" t="inlineStr">
        <is>
          <t>425 closings in 2024, 12 design centers in Texas</t>
        </is>
      </c>
      <c r="I77" s="8" t="inlineStr">
        <is>
          <t>Yes</t>
        </is>
      </c>
      <c r="J77" s="9" t="inlineStr">
        <is>
          <t>One plan set sold from twelve design centers and built on lots the buyer already owns.</t>
        </is>
      </c>
      <c r="K77" s="8" t="inlineStr">
        <is>
          <t>Partly</t>
        </is>
      </c>
      <c r="L77" s="9" t="inlineStr">
        <is>
          <t>425 closings a year sits inside the band one or two printers cover. The lots are scattered, so every house is a separate set-up.</t>
        </is>
      </c>
      <c r="M77" s="8" t="inlineStr">
        <is>
          <t>No</t>
        </is>
      </c>
      <c r="N77" s="9" t="inlineStr">
        <is>
          <t>Nothing on record. It publishes its wall specification and it is stick frame.</t>
        </is>
      </c>
      <c r="O77" s="8" t="inlineStr">
        <is>
          <t>Partly</t>
        </is>
      </c>
      <c r="P77" s="10" t="inlineStr"/>
      <c r="Q77" s="6">
        <f>HYPERLINK("https://www.linkedin.com/search/results/people/?keywords=Edward%20E.%20Martin%20Jr.%20Tilson%20Home%20Corporation","search")</f>
        <v/>
      </c>
      <c r="R77" s="11">
        <f>IF(P77="","ADD LINKEDIN","ok")</f>
        <v/>
      </c>
      <c r="S77" s="6" t="inlineStr">
        <is>
          <t>https://www.tilsonhomes.com/</t>
        </is>
      </c>
      <c r="T77" s="9" t="inlineStr">
        <is>
          <t>One plan set repeated on scattered lots, and it funds its own construction, so a method change needs no lender.</t>
        </is>
      </c>
      <c r="U77" s="6" t="inlineStr"/>
      <c r="V77" s="9" t="inlineStr"/>
      <c r="W77" s="6" t="inlineStr">
        <is>
          <t>https://www.builderonline.com/firms/tilson-homes/</t>
        </is>
      </c>
      <c r="X77" s="6" t="inlineStr"/>
      <c r="Y77" s="6" t="inlineStr"/>
      <c r="Z77" s="6" t="inlineStr"/>
      <c r="AA77" s="6" t="inlineStr">
        <is>
          <t>(346) 263-0547</t>
        </is>
      </c>
      <c r="AB77" s="6" t="inlineStr"/>
      <c r="AC77" s="6" t="inlineStr">
        <is>
          <t>https://www.tilsonhomes.com/</t>
        </is>
      </c>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2" t="inlineStr"/>
      <c r="V78" s="15" t="inlineStr">
        <is>
          <t>Indexed title reads Jason Golan, President at Westin Homes. The firm's own twentieth-anniversary release calls him Founder and Owner.</t>
        </is>
      </c>
      <c r="W78" s="12" t="inlineStr"/>
      <c r="X78" s="12" t="inlineStr"/>
      <c r="Y78" s="12" t="inlineStr"/>
      <c r="Z78" s="12" t="inlineStr"/>
      <c r="AA78" s="12" t="inlineStr">
        <is>
          <t>(281) 240-1551</t>
        </is>
      </c>
      <c r="AB78" s="12" t="inlineStr"/>
      <c r="AC78" s="12" t="inlineStr">
        <is>
          <t>https://www.westin-homes.com/</t>
        </is>
      </c>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6" t="inlineStr">
        <is>
          <t>https://www.linkedin.com/in/diane-danilov-2431a212/</t>
        </is>
      </c>
      <c r="Q79" s="6" t="inlineStr"/>
      <c r="R79" s="11">
        <f>IF(P79="","ADD LINKEDIN","ok")</f>
        <v/>
      </c>
      <c r="S79" s="6" t="inlineStr">
        <is>
          <t>https://www.westin-homes.com/</t>
        </is>
      </c>
      <c r="T79" s="9" t="inlineStr">
        <is>
          <t>1,062 closings in 2025 across the south suburban masterplans, with a named vice president of construction.</t>
        </is>
      </c>
      <c r="U79" s="6" t="inlineStr">
        <is>
          <t>YES</t>
        </is>
      </c>
      <c r="V79" s="9" t="inlineStr">
        <is>
          <t>Headline reads VP of Land &amp; Business Development at Westin Homes. Houston, Texas.</t>
        </is>
      </c>
      <c r="W79" s="6" t="inlineStr"/>
      <c r="X79" s="6" t="inlineStr"/>
      <c r="Y79" s="6" t="inlineStr"/>
      <c r="Z79" s="6" t="inlineStr"/>
      <c r="AA79" s="6" t="inlineStr">
        <is>
          <t>(281) 240-1551</t>
        </is>
      </c>
      <c r="AB79" s="6" t="inlineStr"/>
      <c r="AC79" s="6" t="inlineStr">
        <is>
          <t>https://www.westin-homes.com/</t>
        </is>
      </c>
    </row>
    <row r="80">
      <c r="A80" s="12" t="inlineStr">
        <is>
          <t>Mary Lawler</t>
        </is>
      </c>
      <c r="B80" s="12" t="inlineStr">
        <is>
          <t>Avenue CDC</t>
        </is>
      </c>
      <c r="C80" s="12" t="inlineStr">
        <is>
          <t>Chief Executive Officer</t>
        </is>
      </c>
      <c r="D80" s="13" t="inlineStr">
        <is>
          <t>Worth pursuing, 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14" t="inlineStr">
        <is>
          <t>No</t>
        </is>
      </c>
      <c r="P80" s="10" t="inlineStr"/>
      <c r="Q80" s="12">
        <f>HYPERLINK("https://www.linkedin.com/search/results/people/?keywords=Mary%20Lawler%20Avenue%20CDC","search")</f>
        <v/>
      </c>
      <c r="R80" s="16">
        <f>IF(P80="","ADD LINKEDIN","ok")</f>
        <v/>
      </c>
      <c r="S80" s="12" t="inlineStr">
        <is>
          <t>https://avenuecdc.org/</t>
        </is>
      </c>
      <c r="T80" s="15" t="inlineStr">
        <is>
          <t>Five affordable developments in one neighbourhood, framed post-Harvey by Rice's Kinder Institute. $3.4M is the only figure.</t>
        </is>
      </c>
      <c r="U80" s="12" t="inlineStr"/>
      <c r="V80" s="15" t="inlineStr">
        <is>
          <t>Chief Executive Officer on Avenue's own board and staff page, marking twenty-five years of leadership.</t>
        </is>
      </c>
      <c r="W80" s="12" t="inlineStr">
        <is>
          <t>https://avenuecdc.org/about-us/board-staff/</t>
        </is>
      </c>
      <c r="X80" s="12" t="inlineStr">
        <is>
          <t>https://www.linkedin.com/company/avenue-community-development-coporation</t>
        </is>
      </c>
      <c r="Y80" s="12" t="inlineStr">
        <is>
          <t>https://avenuecdc.org/about-us/board-staff/</t>
        </is>
      </c>
      <c r="Z80" s="12" t="inlineStr"/>
      <c r="AA80" s="12" t="inlineStr">
        <is>
          <t>(713) 864-8099</t>
        </is>
      </c>
      <c r="AB80" s="12" t="inlineStr"/>
      <c r="AC80" s="12" t="inlineStr">
        <is>
          <t>https://avenuecdc.org/</t>
        </is>
      </c>
    </row>
    <row r="81">
      <c r="A81" s="6" t="inlineStr">
        <is>
          <t>Nicole Cassier</t>
        </is>
      </c>
      <c r="B81" s="6" t="inlineStr">
        <is>
          <t>Avenue CDC</t>
        </is>
      </c>
      <c r="C81" s="6" t="inlineStr">
        <is>
          <t>Chief Strategy Officer</t>
        </is>
      </c>
      <c r="D81" s="7" t="inlineStr">
        <is>
          <t>Worth pursuing, 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8" t="inlineStr">
        <is>
          <t>No</t>
        </is>
      </c>
      <c r="P81" s="6" t="inlineStr">
        <is>
          <t>https://www.linkedin.com/in/nicolecassier/</t>
        </is>
      </c>
      <c r="Q81" s="6" t="inlineStr"/>
      <c r="R81" s="11">
        <f>IF(P81="","ADD LINKEDIN","ok")</f>
        <v/>
      </c>
      <c r="S81" s="6" t="inlineStr">
        <is>
          <t>https://avenuecdc.org/</t>
        </is>
      </c>
      <c r="T81" s="9" t="inlineStr">
        <is>
          <t>Five affordable developments in one neighbourhood, framed post-Harvey by Rice's Kinder Institute. $3.4M is the only figure.</t>
        </is>
      </c>
      <c r="U81" s="6" t="inlineStr"/>
      <c r="V81" s="9" t="inlineStr">
        <is>
          <t>Chief Strategy Officer, Housing &amp; Community Development. Surfaced on an Avenue CDC search. Nicole Cassier's LinkedIn headline gives her title but not her employer.</t>
        </is>
      </c>
      <c r="W81" s="6" t="inlineStr"/>
      <c r="X81" s="6" t="inlineStr">
        <is>
          <t>https://www.linkedin.com/company/avenue-community-development-coporation</t>
        </is>
      </c>
      <c r="Y81" s="6" t="inlineStr">
        <is>
          <t>https://avenuecdc.org/about-us/board-staff/</t>
        </is>
      </c>
      <c r="Z81" s="6" t="inlineStr"/>
      <c r="AA81" s="6" t="inlineStr">
        <is>
          <t>(713) 864-8099</t>
        </is>
      </c>
      <c r="AB81" s="6" t="inlineStr"/>
      <c r="AC81" s="6" t="inlineStr">
        <is>
          <t>https://avenuecdc.org/</t>
        </is>
      </c>
    </row>
    <row r="82">
      <c r="A82" s="12" t="inlineStr">
        <is>
          <t>Karen Briggs Gwin</t>
        </is>
      </c>
      <c r="B82" s="12" t="inlineStr">
        <is>
          <t>Avenue CDC</t>
        </is>
      </c>
      <c r="C82" s="12" t="inlineStr">
        <is>
          <t>Chief Financial Officer</t>
        </is>
      </c>
      <c r="D82" s="13" t="inlineStr">
        <is>
          <t>Worth pursuing, 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4" t="inlineStr">
        <is>
          <t>No</t>
        </is>
      </c>
      <c r="P82" s="6" t="inlineStr">
        <is>
          <t>https://www.linkedin.com/in/karen-briggs-gwin-02106614/</t>
        </is>
      </c>
      <c r="Q82" s="12" t="inlineStr"/>
      <c r="R82" s="16">
        <f>IF(P82="","ADD LINKEDIN","ok")</f>
        <v/>
      </c>
      <c r="S82" s="12" t="inlineStr">
        <is>
          <t>https://avenuecdc.org/</t>
        </is>
      </c>
      <c r="T82" s="15" t="inlineStr">
        <is>
          <t>Five affordable developments in one neighbourhood, framed post-Harvey by Rice's Kinder Institute. $3.4M is the only figure.</t>
        </is>
      </c>
      <c r="U82" s="12" t="inlineStr"/>
      <c r="V82" s="15" t="inlineStr">
        <is>
          <t>Chief Financial Officer, Avenue CDC. Greater Houston.</t>
        </is>
      </c>
      <c r="W82" s="12" t="inlineStr"/>
      <c r="X82" s="12" t="inlineStr">
        <is>
          <t>https://www.linkedin.com/company/avenue-community-development-coporation</t>
        </is>
      </c>
      <c r="Y82" s="12" t="inlineStr">
        <is>
          <t>https://avenuecdc.org/about-us/board-staff/</t>
        </is>
      </c>
      <c r="Z82" s="12" t="inlineStr"/>
      <c r="AA82" s="12" t="inlineStr">
        <is>
          <t>(713) 864-8099</t>
        </is>
      </c>
      <c r="AB82" s="12" t="inlineStr"/>
      <c r="AC82" s="12" t="inlineStr">
        <is>
          <t>https://avenuecdc.org/</t>
        </is>
      </c>
    </row>
    <row r="83">
      <c r="A83" s="6" t="inlineStr">
        <is>
          <t>Kionta Carter</t>
        </is>
      </c>
      <c r="B83" s="6" t="inlineStr">
        <is>
          <t>Avenue CDC</t>
        </is>
      </c>
      <c r="C83" s="6" t="inlineStr">
        <is>
          <t>Chief Programs Officer</t>
        </is>
      </c>
      <c r="D83" s="7" t="inlineStr">
        <is>
          <t>Worth pursuing, 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8" t="inlineStr">
        <is>
          <t>No</t>
        </is>
      </c>
      <c r="P83" s="10" t="inlineStr"/>
      <c r="Q83" s="6" t="inlineStr"/>
      <c r="R83" s="11">
        <f>IF(P83="","ADD LINKEDIN","ok")</f>
        <v/>
      </c>
      <c r="S83" s="6" t="inlineStr">
        <is>
          <t>https://avenuecdc.org/</t>
        </is>
      </c>
      <c r="T83" s="9" t="inlineStr">
        <is>
          <t>Five affordable developments in one neighbourhood, framed post-Harvey by Rice's Kinder Institute. $3.4M is the only figure.</t>
        </is>
      </c>
      <c r="U83" s="6" t="inlineStr"/>
      <c r="V83" s="9" t="inlineStr"/>
      <c r="W83" s="6" t="inlineStr">
        <is>
          <t>https://avenuecdc.org/about-us/board-staff/</t>
        </is>
      </c>
      <c r="X83" s="6" t="inlineStr">
        <is>
          <t>https://www.linkedin.com/company/avenue-community-development-coporation</t>
        </is>
      </c>
      <c r="Y83" s="6" t="inlineStr">
        <is>
          <t>https://avenuecdc.org/about-us/board-staff/</t>
        </is>
      </c>
      <c r="Z83" s="6" t="inlineStr"/>
      <c r="AA83" s="6" t="inlineStr">
        <is>
          <t>(713) 864-8099</t>
        </is>
      </c>
      <c r="AB83" s="6" t="inlineStr"/>
      <c r="AC83" s="6" t="inlineStr">
        <is>
          <t>https://avenuecdc.org/</t>
        </is>
      </c>
    </row>
    <row r="84">
      <c r="A84" s="12" t="inlineStr">
        <is>
          <t>Angela Guerrero</t>
        </is>
      </c>
      <c r="B84" s="12" t="inlineStr">
        <is>
          <t>Avenue CDC</t>
        </is>
      </c>
      <c r="C84" s="12" t="inlineStr">
        <is>
          <t>Director, Asset Management and Realty Services</t>
        </is>
      </c>
      <c r="D84" s="13" t="inlineStr">
        <is>
          <t>Worth pursuing, 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14" t="inlineStr">
        <is>
          <t>No</t>
        </is>
      </c>
      <c r="P84" s="10" t="inlineStr"/>
      <c r="Q84" s="12" t="inlineStr"/>
      <c r="R84" s="16">
        <f>IF(P84="","ADD LINKEDIN","ok")</f>
        <v/>
      </c>
      <c r="S84" s="12" t="inlineStr">
        <is>
          <t>https://avenuecdc.org/</t>
        </is>
      </c>
      <c r="T84" s="15" t="inlineStr">
        <is>
          <t>Five affordable developments in one neighbourhood, framed post-Harvey by Rice's Kinder Institute. $3.4M is the only figure.</t>
        </is>
      </c>
      <c r="U84" s="12" t="inlineStr"/>
      <c r="V84" s="15" t="inlineStr">
        <is>
          <t>The closest published seat to how the houses get built. Avenue names no construction officer.</t>
        </is>
      </c>
      <c r="W84" s="12" t="inlineStr">
        <is>
          <t>https://avenuecdc.org/about-us/board-staff/</t>
        </is>
      </c>
      <c r="X84" s="12" t="inlineStr">
        <is>
          <t>https://www.linkedin.com/company/avenue-community-development-coporation</t>
        </is>
      </c>
      <c r="Y84" s="12" t="inlineStr">
        <is>
          <t>https://avenuecdc.org/about-us/board-staff/</t>
        </is>
      </c>
      <c r="Z84" s="12" t="inlineStr"/>
      <c r="AA84" s="12" t="inlineStr">
        <is>
          <t>(713) 864-8099</t>
        </is>
      </c>
      <c r="AB84" s="12" t="inlineStr"/>
      <c r="AC84" s="12" t="inlineStr">
        <is>
          <t>https://avenuecdc.org/</t>
        </is>
      </c>
    </row>
    <row r="85">
      <c r="A85" s="6" t="inlineStr">
        <is>
          <t>Ken Williams</t>
        </is>
      </c>
      <c r="B85" s="6" t="inlineStr">
        <is>
          <t>Colina Homes</t>
        </is>
      </c>
      <c r="C85" s="6" t="inlineStr">
        <is>
          <t>Founder</t>
        </is>
      </c>
      <c r="D85" s="7" t="inlineStr">
        <is>
          <t>Worth pursuing, 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8" t="inlineStr">
        <is>
          <t>No</t>
        </is>
      </c>
      <c r="P85" s="10" t="inlineStr"/>
      <c r="Q85" s="6">
        <f>HYPERLINK("https://www.linkedin.com/search/results/people/?keywords=Ken%20Williams%20Colina%20Homes","search")</f>
        <v/>
      </c>
      <c r="R85" s="11">
        <f>IF(P85="","ADD LINKEDIN","ok")</f>
        <v/>
      </c>
      <c r="S85" s="6" t="inlineStr">
        <is>
          <t>https://www.colinahomes.com/</t>
        </is>
      </c>
      <c r="T85" s="9" t="inlineStr">
        <is>
          <t>540 closings in 2025 and 552 in 2024 on a no-haggle affordable model. A named director of construction.</t>
        </is>
      </c>
      <c r="U85" s="6" t="inlineStr"/>
      <c r="V85" s="9" t="inlineStr">
        <is>
          <t>About page: Founder. Since 2007 he has helped over 4,500 families.</t>
        </is>
      </c>
      <c r="W85" s="6" t="inlineStr">
        <is>
          <t>https://www.colinahomes.com/about</t>
        </is>
      </c>
      <c r="X85" s="6" t="inlineStr"/>
      <c r="Y85" s="6" t="inlineStr"/>
      <c r="Z85" s="6" t="inlineStr"/>
      <c r="AA85" s="6" t="inlineStr"/>
      <c r="AB85" s="6" t="inlineStr"/>
      <c r="AC85" s="6" t="inlineStr"/>
    </row>
    <row r="86">
      <c r="A86" s="12" t="inlineStr">
        <is>
          <t>Robert Davis</t>
        </is>
      </c>
      <c r="B86" s="12" t="inlineStr">
        <is>
          <t>Colina Homes</t>
        </is>
      </c>
      <c r="C86" s="12" t="inlineStr">
        <is>
          <t>Director of Construction</t>
        </is>
      </c>
      <c r="D86" s="13" t="inlineStr">
        <is>
          <t>Worth pursuing, one gap</t>
        </is>
      </c>
      <c r="E86" s="14" t="n">
        <v>2</v>
      </c>
      <c r="F86" s="12" t="inlineStr">
        <is>
          <t>Buys walls</t>
        </is>
      </c>
      <c r="G86" s="12" t="inlineStr">
        <is>
          <t>Houston, 20 communities</t>
        </is>
      </c>
      <c r="H86" s="12" t="inlineStr">
        <is>
          <t>540 closings in 2025, fourteen communities published</t>
        </is>
      </c>
      <c r="I86" s="14" t="inlineStr">
        <is>
          <t>Yes</t>
        </is>
      </c>
      <c r="J86" s="15" t="inlineStr">
        <is>
          <t>Fourteen communities on its own communities page, all inside Greater Houston, taking a standard plan set.</t>
        </is>
      </c>
      <c r="K86" s="14" t="inlineStr">
        <is>
          <t>Partly</t>
        </is>
      </c>
      <c r="L86" s="15" t="inlineStr">
        <is>
          <t>540 closings in 2025 and 552 in 2024 across fourteen published communities. Two machines would carry a fifth of output at most.</t>
        </is>
      </c>
      <c r="M86" s="14" t="inlineStr">
        <is>
          <t>No</t>
        </is>
      </c>
      <c r="N86" s="15" t="inlineStr">
        <is>
          <t>No method evidence. The published positioning is price and floor plan, not construction.</t>
        </is>
      </c>
      <c r="O86" s="14" t="inlineStr">
        <is>
          <t>No</t>
        </is>
      </c>
      <c r="P86" s="6" t="inlineStr">
        <is>
          <t>https://www.linkedin.com/in/robert-davis-684517136/</t>
        </is>
      </c>
      <c r="Q86" s="12" t="inlineStr"/>
      <c r="R86" s="16">
        <f>IF(P86="","ADD LINKEDIN","ok")</f>
        <v/>
      </c>
      <c r="S86" s="12" t="inlineStr">
        <is>
          <t>https://www.colinahomes.com/</t>
        </is>
      </c>
      <c r="T86" s="15" t="inlineStr">
        <is>
          <t>540 closings in 2025 and 552 in 2024 on a no-haggle affordable model. A named director of construction.</t>
        </is>
      </c>
      <c r="U86" s="12" t="inlineStr">
        <is>
          <t>YES</t>
        </is>
      </c>
      <c r="V86" s="15" t="inlineStr">
        <is>
          <t>Indexed title reads Robert Davis, Director of Construction, Colina Homes.</t>
        </is>
      </c>
      <c r="W86" s="12" t="inlineStr"/>
      <c r="X86" s="12" t="inlineStr"/>
      <c r="Y86" s="12" t="inlineStr"/>
      <c r="Z86" s="12" t="inlineStr"/>
      <c r="AA86" s="12" t="inlineStr"/>
      <c r="AB86" s="12" t="inlineStr"/>
      <c r="AC86" s="12" t="inlineStr"/>
    </row>
    <row r="87">
      <c r="A87" s="6" t="inlineStr">
        <is>
          <t>Greg Grahmann</t>
        </is>
      </c>
      <c r="B87" s="6" t="inlineStr">
        <is>
          <t>Imagination Homes</t>
        </is>
      </c>
      <c r="C87" s="6" t="inlineStr">
        <is>
          <t>Director, Imagination Homes</t>
        </is>
      </c>
      <c r="D87" s="7" t="inlineStr">
        <is>
          <t>Worth pursuing, one gap</t>
        </is>
      </c>
      <c r="E87" s="8" t="n">
        <v>2</v>
      </c>
      <c r="F87" s="6" t="inlineStr">
        <is>
          <t>Buys walls</t>
        </is>
      </c>
      <c r="G87" s="6" t="inlineStr">
        <is>
          <t>Meridiana, Rosharon</t>
        </is>
      </c>
      <c r="H87" s="6" t="inlineStr">
        <is>
          <t>Entry-level, launched 2025</t>
        </is>
      </c>
      <c r="I87" s="8" t="inlineStr">
        <is>
          <t>Yes</t>
        </is>
      </c>
      <c r="J87" s="9" t="inlineStr">
        <is>
          <t>A deliberately narrow curated plan set aimed at first-time buyers and right-sizers.</t>
        </is>
      </c>
      <c r="K87" s="8" t="inlineStr">
        <is>
          <t>Partly</t>
        </is>
      </c>
      <c r="L87" s="9" t="inlineStr">
        <is>
          <t>A David Weekley Homes line, so purchasing sits with a national builder. One machine would cover the brand's output; the decision would not be the brand's alone.</t>
        </is>
      </c>
      <c r="M87" s="8" t="inlineStr">
        <is>
          <t>No</t>
        </is>
      </c>
      <c r="N87" s="9" t="inlineStr">
        <is>
          <t>The strategy is explicitly about attainability, so a wall cost saving lands on the stated strategy.</t>
        </is>
      </c>
      <c r="O87" s="8" t="inlineStr">
        <is>
          <t>No</t>
        </is>
      </c>
      <c r="P87" s="10" t="inlineStr"/>
      <c r="Q87" s="6">
        <f>HYPERLINK("https://www.linkedin.com/search/results/people/?keywords=Greg%20Grahmann%20Imagination%20Homes","search")</f>
        <v/>
      </c>
      <c r="R87" s="11">
        <f>IF(P87="","ADD LINKEDIN","ok")</f>
        <v/>
      </c>
      <c r="S87" s="6" t="inlineStr">
        <is>
          <t>https://imaginationhomes.com/</t>
        </is>
      </c>
      <c r="T87" s="9" t="inlineStr">
        <is>
          <t>A 2025 David Weekley Homes line built around attainable entry-level product with a curated plan set, selling at Meridiana.</t>
        </is>
      </c>
      <c r="U87" s="6" t="inlineStr"/>
      <c r="V87" s="9" t="inlineStr">
        <is>
          <t>Builder names him director at Imagination Homes. He joined David Weekley Homes in 2013 and is separately listed as a division president there.</t>
        </is>
      </c>
      <c r="W87" s="6" t="inlineStr">
        <is>
          <t>https://www.builderonline.com/builder-100/strategy/imagination-homes-targets-attainable-entry-level-housing-in-texas/</t>
        </is>
      </c>
      <c r="X87" s="6" t="inlineStr"/>
      <c r="Y87" s="6" t="inlineStr"/>
      <c r="Z87" s="6" t="inlineStr"/>
      <c r="AA87" s="6" t="inlineStr">
        <is>
          <t>(866) 510-2449</t>
        </is>
      </c>
      <c r="AB87" s="6" t="inlineStr"/>
      <c r="AC87" s="6" t="inlineStr">
        <is>
          <t>https://imaginationhomes.com/</t>
        </is>
      </c>
    </row>
    <row r="88">
      <c r="A88" s="12" t="inlineStr">
        <is>
          <t>Greg Hawes</t>
        </is>
      </c>
      <c r="B88" s="12" t="inlineStr">
        <is>
          <t>Jamestown Estate Homes</t>
        </is>
      </c>
      <c r="C88" s="12" t="inlineStr">
        <is>
          <t>Founder; Manager on the firm's own page, President on LinkedIn</t>
        </is>
      </c>
      <c r="D88" s="13" t="inlineStr">
        <is>
          <t>Worth pursuing, 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4" t="inlineStr">
        <is>
          <t>No</t>
        </is>
      </c>
      <c r="P88" s="6" t="inlineStr">
        <is>
          <t>https://www.linkedin.com/in/greg-hawes-86423023/</t>
        </is>
      </c>
      <c r="Q88" s="12" t="inlineStr"/>
      <c r="R88" s="16">
        <f>IF(P88="","ADD LINKEDIN","ok")</f>
        <v/>
      </c>
      <c r="S88" s="12" t="inlineStr">
        <is>
          <t>https://jamestownestatehomes.com/</t>
        </is>
      </c>
      <c r="T88" s="15" t="inlineStr">
        <is>
          <t>About seventy-five homes a year against eighty-two floor plans, which is close to one plan per house. Volume fits a machine; the catalogue does not.</t>
        </is>
      </c>
      <c r="U88" s="12" t="inlineStr"/>
      <c r="V88"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8" s="12" t="inlineStr">
        <is>
          <t>https://jamestownestatehomes.com/team/greg-hawes/</t>
        </is>
      </c>
      <c r="X88" s="12" t="inlineStr"/>
      <c r="Y88" s="12" t="inlineStr"/>
      <c r="Z88" s="12" t="inlineStr"/>
      <c r="AA88" s="12" t="inlineStr">
        <is>
          <t>(832) 858-0755</t>
        </is>
      </c>
      <c r="AB88" s="12" t="inlineStr"/>
      <c r="AC88" s="12" t="inlineStr">
        <is>
          <t>https://jamestownestatehomes.com/</t>
        </is>
      </c>
    </row>
    <row r="89">
      <c r="A89" s="6" t="inlineStr">
        <is>
          <t>Katy Hawes</t>
        </is>
      </c>
      <c r="B89" s="6" t="inlineStr">
        <is>
          <t>Jamestown Estate Homes</t>
        </is>
      </c>
      <c r="C89" s="6" t="inlineStr">
        <is>
          <t>Co-President</t>
        </is>
      </c>
      <c r="D89" s="7" t="inlineStr">
        <is>
          <t>Worth pursuing, 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8" t="inlineStr">
        <is>
          <t>No</t>
        </is>
      </c>
      <c r="P89" s="10" t="inlineStr"/>
      <c r="Q89" s="6">
        <f>HYPERLINK("https://www.linkedin.com/search/results/people/?keywords=Katy%20Hawes%20Jamestown%20Estate%20Homes","search")</f>
        <v/>
      </c>
      <c r="R89" s="11">
        <f>IF(P89="","ADD LINKEDIN","ok")</f>
        <v/>
      </c>
      <c r="S89" s="6" t="inlineStr">
        <is>
          <t>https://jamestownestatehomes.com/</t>
        </is>
      </c>
      <c r="T89" s="9" t="inlineStr">
        <is>
          <t>About seventy-five homes a year against eighty-two floor plans, which is close to one plan per house. Volume fits a machine; the catalogue does not.</t>
        </is>
      </c>
      <c r="U89" s="6" t="inlineStr"/>
      <c r="V89" s="9" t="inlineStr"/>
      <c r="W89" s="6" t="inlineStr">
        <is>
          <t>https://jamestownestatehomes.com/team/katy-hawes/</t>
        </is>
      </c>
      <c r="X89" s="6" t="inlineStr"/>
      <c r="Y89" s="6" t="inlineStr"/>
      <c r="Z89" s="6" t="inlineStr"/>
      <c r="AA89" s="6" t="inlineStr">
        <is>
          <t>(832) 858-0755</t>
        </is>
      </c>
      <c r="AB89" s="6" t="inlineStr"/>
      <c r="AC89" s="6" t="inlineStr">
        <is>
          <t>https://jamestownestatehomes.com/</t>
        </is>
      </c>
    </row>
    <row r="90">
      <c r="A90" s="12" t="inlineStr">
        <is>
          <t>Matt Norris</t>
        </is>
      </c>
      <c r="B90" s="12" t="inlineStr">
        <is>
          <t>Jamestown Estate Homes</t>
        </is>
      </c>
      <c r="C90" s="12" t="inlineStr">
        <is>
          <t>Co-President</t>
        </is>
      </c>
      <c r="D90" s="13" t="inlineStr">
        <is>
          <t>Worth pursuing, one gap</t>
        </is>
      </c>
      <c r="E90" s="14" t="n">
        <v>2</v>
      </c>
      <c r="F90" s="12" t="inlineStr">
        <is>
          <t>Buys walls</t>
        </is>
      </c>
      <c r="G90" s="12" t="inlineStr">
        <is>
          <t>Houston, 16 communities</t>
        </is>
      </c>
      <c r="H90" s="12" t="inlineStr">
        <is>
          <t>About 75 homes a year on the firm's own count</t>
        </is>
      </c>
      <c r="I90" s="14" t="inlineStr">
        <is>
          <t>Partly</t>
        </is>
      </c>
      <c r="J90" s="15" t="inlineStr">
        <is>
          <t>About seventy-five houses a year across sixteen communities.</t>
        </is>
      </c>
      <c r="K90" s="14" t="inlineStr">
        <is>
          <t>Yes</t>
        </is>
      </c>
      <c r="L90" s="15" t="inlineStr">
        <is>
          <t>About seventy-five homes a year, stated by the firm. One machine would carry most of it.</t>
        </is>
      </c>
      <c r="M90" s="14" t="inlineStr">
        <is>
          <t>No</t>
        </is>
      </c>
      <c r="N90" s="15" t="inlineStr">
        <is>
          <t>No method evidence. The published build time is eight to ten months, which is the number a printed wall argument would have to move.</t>
        </is>
      </c>
      <c r="O90" s="14" t="inlineStr">
        <is>
          <t>No</t>
        </is>
      </c>
      <c r="P90" s="10" t="inlineStr"/>
      <c r="Q90" s="12">
        <f>HYPERLINK("https://www.linkedin.com/search/results/people/?keywords=Matt%20Norris%20Jamestown%20Estate%20Homes","search")</f>
        <v/>
      </c>
      <c r="R90" s="16">
        <f>IF(P90="","ADD LINKEDIN","ok")</f>
        <v/>
      </c>
      <c r="S90" s="12" t="inlineStr">
        <is>
          <t>https://jamestownestatehomes.com/</t>
        </is>
      </c>
      <c r="T90" s="15" t="inlineStr">
        <is>
          <t>About seventy-five homes a year against eighty-two floor plans, which is close to one plan per house. Volume fits a machine; the catalogue does not.</t>
        </is>
      </c>
      <c r="U90" s="12" t="inlineStr"/>
      <c r="V90" s="15" t="inlineStr"/>
      <c r="W90" s="12" t="inlineStr">
        <is>
          <t>https://jamestownestatehomes.com/team/matt-norris/</t>
        </is>
      </c>
      <c r="X90" s="12" t="inlineStr"/>
      <c r="Y90" s="12" t="inlineStr"/>
      <c r="Z90" s="12" t="inlineStr"/>
      <c r="AA90" s="12" t="inlineStr">
        <is>
          <t>(832) 858-0755</t>
        </is>
      </c>
      <c r="AB90" s="12" t="inlineStr"/>
      <c r="AC90" s="12" t="inlineStr">
        <is>
          <t>https://jamestownestatehomes.com/</t>
        </is>
      </c>
    </row>
    <row r="91">
      <c r="A91" s="6" t="inlineStr">
        <is>
          <t>David Wickens</t>
        </is>
      </c>
      <c r="B91" s="6" t="inlineStr">
        <is>
          <t>Kendall Homes</t>
        </is>
      </c>
      <c r="C91" s="6" t="inlineStr">
        <is>
          <t>Founder</t>
        </is>
      </c>
      <c r="D91" s="7" t="inlineStr">
        <is>
          <t>Worth pursuing, one gap</t>
        </is>
      </c>
      <c r="E91" s="8" t="n">
        <v>2</v>
      </c>
      <c r="F91" s="6" t="inlineStr">
        <is>
          <t>Buys walls</t>
        </is>
      </c>
      <c r="G91" s="6" t="inlineStr">
        <is>
          <t>Katy, with communities in Conroe, Willis and New Caney</t>
        </is>
      </c>
      <c r="H91" s="6" t="inlineStr">
        <is>
          <t>Founded 1993, more than 4,000 homes on the firm's own count</t>
        </is>
      </c>
      <c r="I91" s="8" t="inlineStr">
        <is>
          <t>Yes</t>
        </is>
      </c>
      <c r="J91" s="9" t="inlineStr">
        <is>
          <t>Communities clustered on the Lake Conroe corridor, with outliers at Bay City and West Columbia.</t>
        </is>
      </c>
      <c r="K91" s="8" t="inlineStr">
        <is>
          <t>Partly</t>
        </is>
      </c>
      <c r="L91" s="9" t="inlineStr">
        <is>
          <t>No annual closings figure is published. On the bands, a firm with no published figure is a Partly.</t>
        </is>
      </c>
      <c r="M91" s="8" t="inlineStr">
        <is>
          <t>No</t>
        </is>
      </c>
      <c r="N91" s="9" t="inlineStr">
        <is>
          <t>The firm's published positioning is against speed and cost cutting. A printed wall would be measured on the firm's own terms.</t>
        </is>
      </c>
      <c r="O91" s="8" t="inlineStr">
        <is>
          <t>No</t>
        </is>
      </c>
      <c r="P91" s="10" t="inlineStr"/>
      <c r="Q91" s="6" t="inlineStr"/>
      <c r="R91" s="11">
        <f>IF(P91="","ADD LINKEDIN","ok")</f>
        <v/>
      </c>
      <c r="S91" s="6" t="inlineStr">
        <is>
          <t>https://kendallhomes.net/</t>
        </is>
      </c>
      <c r="T91" s="9" t="inlineStr">
        <is>
          <t>More than 4,000 homes since 1993, which averages above 100 a year, across a small set of communities in one corridor. A named vice president of construction.</t>
        </is>
      </c>
      <c r="U91" s="6" t="inlineStr"/>
      <c r="V91" s="9" t="inlineStr">
        <is>
          <t>The only executive the firm publishes.</t>
        </is>
      </c>
      <c r="W91" s="6" t="inlineStr">
        <is>
          <t>https://kendallhomes.net/</t>
        </is>
      </c>
      <c r="X91" s="6" t="inlineStr"/>
      <c r="Y91" s="6" t="inlineStr"/>
      <c r="Z91" s="6" t="inlineStr"/>
      <c r="AA91" s="6" t="inlineStr">
        <is>
          <t>(281) 609-8310</t>
        </is>
      </c>
      <c r="AB91" s="6" t="inlineStr"/>
      <c r="AC91" s="6" t="inlineStr">
        <is>
          <t>https://kendallhomes.net/</t>
        </is>
      </c>
    </row>
    <row r="92">
      <c r="A92" s="12" t="inlineStr">
        <is>
          <t>Mike Dishberger</t>
        </is>
      </c>
      <c r="B92" s="12" t="inlineStr">
        <is>
          <t>Sandcastle Homes</t>
        </is>
      </c>
      <c r="C92" s="12" t="inlineStr">
        <is>
          <t>Chief Executive Officer and Co-Owner</t>
        </is>
      </c>
      <c r="D92" s="13" t="inlineStr">
        <is>
          <t>Worth pursuing, 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It runs land through final inspection in house, so no third party sits in a method decision.</t>
        </is>
      </c>
      <c r="O92" s="14" t="inlineStr">
        <is>
          <t>No</t>
        </is>
      </c>
      <c r="P92" s="6" t="inlineStr">
        <is>
          <t>https://www.linkedin.com/in/mike-dishberger-01b66b9/</t>
        </is>
      </c>
      <c r="Q92" s="12" t="inlineStr"/>
      <c r="R92" s="16">
        <f>IF(P92="","ADD LINKEDIN","ok")</f>
        <v/>
      </c>
      <c r="S92" s="12" t="inlineStr">
        <is>
          <t>https://www.sandcastlehouston.com/</t>
        </is>
      </c>
      <c r="T92" s="15" t="inlineStr">
        <is>
          <t>About fifty homes a year, stated by the firm, on small infill sites rather than in one community. The volume fits a machine; the sites are scattered.</t>
        </is>
      </c>
      <c r="U92" s="12" t="inlineStr">
        <is>
          <t>YES</t>
        </is>
      </c>
      <c r="V9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2" s="12" t="inlineStr">
        <is>
          <t>https://www.sandcastlehouston.com/about-sandcastle/meet-our-team/</t>
        </is>
      </c>
      <c r="X92" s="12" t="inlineStr"/>
      <c r="Y92" s="12" t="inlineStr"/>
      <c r="Z92" s="12" t="inlineStr"/>
      <c r="AA92" s="12" t="inlineStr">
        <is>
          <t>(713) 864-9190</t>
        </is>
      </c>
      <c r="AB92" s="12" t="inlineStr">
        <is>
          <t>main</t>
        </is>
      </c>
      <c r="AC92" s="12" t="inlineStr">
        <is>
          <t>https://www.sandcastlehouston.com/</t>
        </is>
      </c>
    </row>
    <row r="93">
      <c r="A93" s="6" t="inlineStr">
        <is>
          <t>Mike Salomon</t>
        </is>
      </c>
      <c r="B93" s="6" t="inlineStr">
        <is>
          <t>Sandcastle Homes</t>
        </is>
      </c>
      <c r="C93" s="6" t="inlineStr">
        <is>
          <t>President and Co-Owner</t>
        </is>
      </c>
      <c r="D93" s="7" t="inlineStr">
        <is>
          <t>Worth pursuing, 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It runs land through final inspection in house, so no third party sits in a method decision.</t>
        </is>
      </c>
      <c r="O93" s="8" t="inlineStr">
        <is>
          <t>No</t>
        </is>
      </c>
      <c r="P93" s="6" t="inlineStr">
        <is>
          <t>https://www.linkedin.com/in/mike-salomon-389b902a/</t>
        </is>
      </c>
      <c r="Q93" s="6" t="inlineStr"/>
      <c r="R93" s="11">
        <f>IF(P93="","ADD LINKEDIN","ok")</f>
        <v/>
      </c>
      <c r="S93" s="6" t="inlineStr">
        <is>
          <t>https://www.sandcastlehouston.com/</t>
        </is>
      </c>
      <c r="T93" s="9" t="inlineStr">
        <is>
          <t>About fifty homes a year, stated by the firm, on small infill sites rather than in one community. The volume fits a machine; the sites are scattered.</t>
        </is>
      </c>
      <c r="U93" s="6" t="inlineStr"/>
      <c r="V93" s="9" t="inlineStr">
        <is>
          <t>Indexed title reads Mike Salomon, Owner, Sandcastle Homes, Inc. The firm's team page: President and Co-Owner, over land, sales and business development. Team page: President and Co-Owner, managing land acquisition, sales and business development.</t>
        </is>
      </c>
      <c r="W93" s="6" t="inlineStr">
        <is>
          <t>https://www.sandcastlehouston.com/about-sandcastle/meet-our-team/</t>
        </is>
      </c>
      <c r="X93" s="6" t="inlineStr"/>
      <c r="Y93" s="6" t="inlineStr"/>
      <c r="Z93" s="6" t="inlineStr"/>
      <c r="AA93" s="6" t="inlineStr">
        <is>
          <t>(713) 864-9190</t>
        </is>
      </c>
      <c r="AB93" s="6" t="inlineStr">
        <is>
          <t>main</t>
        </is>
      </c>
      <c r="AC93" s="6" t="inlineStr">
        <is>
          <t>https://www.sandcastlehouston.com/</t>
        </is>
      </c>
    </row>
    <row r="94">
      <c r="A94" s="12" t="inlineStr">
        <is>
          <t>Jo Dunham</t>
        </is>
      </c>
      <c r="B94" s="12" t="inlineStr">
        <is>
          <t>Sandcastle Homes</t>
        </is>
      </c>
      <c r="C94" s="12" t="inlineStr">
        <is>
          <t>Vice President of Construction</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10" t="inlineStr"/>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c r="W94" s="12" t="inlineStr">
        <is>
          <t>https://www.sandcastlehouston.com/about-sandcastle/meet-our-team/</t>
        </is>
      </c>
      <c r="X94" s="12" t="inlineStr"/>
      <c r="Y94" s="12" t="inlineStr"/>
      <c r="Z94" s="12" t="inlineStr"/>
      <c r="AA94" s="12" t="inlineStr">
        <is>
          <t>(713) 864-9190</t>
        </is>
      </c>
      <c r="AB94" s="12" t="inlineStr">
        <is>
          <t>main</t>
        </is>
      </c>
      <c r="AC94" s="12" t="inlineStr">
        <is>
          <t>https://www.sandcastlehouston.com/</t>
        </is>
      </c>
    </row>
    <row r="95">
      <c r="A95" s="6" t="inlineStr">
        <is>
          <t>Katie Pritchard</t>
        </is>
      </c>
      <c r="B95" s="6" t="inlineStr">
        <is>
          <t>Sandcastle Homes</t>
        </is>
      </c>
      <c r="C95" s="6" t="inlineStr">
        <is>
          <t>Purchasing Manager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10" t="inlineStr"/>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c r="W95" s="6" t="inlineStr">
        <is>
          <t>https://www.sandcastlehouston.com/about-sandcastle/meet-our-team/</t>
        </is>
      </c>
      <c r="X95" s="6" t="inlineStr"/>
      <c r="Y95" s="6" t="inlineStr"/>
      <c r="Z95" s="6" t="inlineStr"/>
      <c r="AA95" s="6" t="inlineStr">
        <is>
          <t>(713) 864-9190</t>
        </is>
      </c>
      <c r="AB95" s="6" t="inlineStr">
        <is>
          <t>main</t>
        </is>
      </c>
      <c r="AC95" s="6" t="inlineStr">
        <is>
          <t>https://www.sandcastlehouston.com/</t>
        </is>
      </c>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c r="AA96" s="12" t="inlineStr">
        <is>
          <t>(713) 489-7738</t>
        </is>
      </c>
      <c r="AB96" s="12" t="inlineStr">
        <is>
          <t>the Westway Park office</t>
        </is>
      </c>
      <c r="AC96" s="12" t="inlineStr">
        <is>
          <t>https://www.tricoasthomes.com/</t>
        </is>
      </c>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c r="AA97" s="6" t="inlineStr">
        <is>
          <t>(713) 489-7738</t>
        </is>
      </c>
      <c r="AB97" s="6" t="inlineStr">
        <is>
          <t>the Westway Park office</t>
        </is>
      </c>
      <c r="AC97" s="6" t="inlineStr">
        <is>
          <t>https://www.tricoasthomes.com/</t>
        </is>
      </c>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c r="AA98" s="12" t="inlineStr">
        <is>
          <t>(713) 489-7738</t>
        </is>
      </c>
      <c r="AB98" s="12" t="inlineStr">
        <is>
          <t>the Westway Park office</t>
        </is>
      </c>
      <c r="AC98" s="12" t="inlineStr">
        <is>
          <t>https://www.tricoasthomes.com/</t>
        </is>
      </c>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c r="W99" s="6" t="inlineStr">
        <is>
          <t>https://provident.net/our-team/</t>
        </is>
      </c>
      <c r="X99" s="6" t="inlineStr">
        <is>
          <t>https://www.linkedin.com/company/provident-realty-advisors</t>
        </is>
      </c>
      <c r="Y99" s="6" t="inlineStr">
        <is>
          <t>https://provident.net/our-team/</t>
        </is>
      </c>
      <c r="Z99" s="6" t="inlineStr"/>
      <c r="AA99" s="6" t="inlineStr">
        <is>
          <t>(972) 385-4100</t>
        </is>
      </c>
      <c r="AB99" s="6" t="inlineStr">
        <is>
          <t>Dallas office</t>
        </is>
      </c>
      <c r="AC99" s="6" t="inlineStr">
        <is>
          <t>https://provident.net/</t>
        </is>
      </c>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c r="AA100" s="12" t="inlineStr">
        <is>
          <t>(972) 385-4100</t>
        </is>
      </c>
      <c r="AB100" s="12" t="inlineStr">
        <is>
          <t>Dallas office</t>
        </is>
      </c>
      <c r="AC100" s="12" t="inlineStr">
        <is>
          <t>https://provident.net/</t>
        </is>
      </c>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t>
        </is>
      </c>
      <c r="W101" s="6" t="inlineStr">
        <is>
          <t>https://www.risewellhomes.com/team</t>
        </is>
      </c>
      <c r="X101" s="6" t="inlineStr"/>
      <c r="Y101" s="6" t="inlineStr"/>
      <c r="Z101" s="6" t="inlineStr"/>
      <c r="AA101" s="6" t="inlineStr">
        <is>
          <t>(888) 827-4421</t>
        </is>
      </c>
      <c r="AB101" s="6" t="inlineStr"/>
      <c r="AC101" s="6" t="inlineStr">
        <is>
          <t>https://risewellhomes.com/</t>
        </is>
      </c>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c r="AA102" s="12" t="inlineStr">
        <is>
          <t>(888) 827-4421</t>
        </is>
      </c>
      <c r="AB102" s="12" t="inlineStr"/>
      <c r="AC102" s="12" t="inlineStr">
        <is>
          <t>https://risewellhomes.com/</t>
        </is>
      </c>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c r="AA103" s="6" t="inlineStr">
        <is>
          <t>(713) 903-2596</t>
        </is>
      </c>
      <c r="AB103" s="6" t="inlineStr">
        <is>
          <t>Houston</t>
        </is>
      </c>
      <c r="AC103" s="6" t="inlineStr">
        <is>
          <t>https://www.coventryhomes.com/connect/</t>
        </is>
      </c>
    </row>
    <row r="104">
      <c r="A104" s="12" t="inlineStr">
        <is>
          <t>Jeff Dye</t>
        </is>
      </c>
      <c r="B104" s="12" t="inlineStr">
        <is>
          <t>Newmark Homes</t>
        </is>
      </c>
      <c r="C104" s="12" t="inlineStr">
        <is>
          <t>President</t>
        </is>
      </c>
      <c r="D104" s="13" t="inlineStr">
        <is>
          <t>Worth pursuing, one gap</t>
        </is>
      </c>
      <c r="E104" s="14" t="n">
        <v>2</v>
      </c>
      <c r="F104" s="12" t="inlineStr">
        <is>
          <t>Buys walls</t>
        </is>
      </c>
      <c r="G104" s="12" t="inlineStr">
        <is>
          <t>Katy</t>
        </is>
      </c>
      <c r="H104" s="12" t="inlineStr">
        <is>
          <t>483 closings and $306 million in 2025</t>
        </is>
      </c>
      <c r="I104" s="14" t="inlineStr">
        <is>
          <t>Partly</t>
        </is>
      </c>
      <c r="J104" s="15" t="inlineStr">
        <is>
          <t>More than 150 named plans across more than twenty communities. The plan set is the problem here.</t>
        </is>
      </c>
      <c r="K104" s="14" t="inlineStr">
        <is>
          <t>Partly</t>
        </is>
      </c>
      <c r="L104" s="15" t="inlineStr">
        <is>
          <t>483 closings in 2025 and 511 in 2024. The volume supports machines; the dispersion does not.</t>
        </is>
      </c>
      <c r="M104" s="14" t="inlineStr">
        <is>
          <t>No</t>
        </is>
      </c>
      <c r="N104" s="15" t="inlineStr">
        <is>
          <t>It runs a proprietary energy programme under its own name, and a separate custom division for one-off work, so the production line is deliberately kept separate.</t>
        </is>
      </c>
      <c r="O104" s="14" t="inlineStr">
        <is>
          <t>Partly</t>
        </is>
      </c>
      <c r="P104" s="10" t="inlineStr"/>
      <c r="Q104" s="12">
        <f>HYPERLINK("https://www.linkedin.com/search/results/people/?keywords=Jeff%20Dye%20Newmark%20Homes","search")</f>
        <v/>
      </c>
      <c r="R104" s="16">
        <f>IF(P104="","ADD LINKEDIN","ok")</f>
        <v/>
      </c>
      <c r="S104" s="12" t="inlineStr">
        <is>
          <t>https://newmarkhomes.com/</t>
        </is>
      </c>
      <c r="T104" s="15" t="inlineStr">
        <is>
          <t>483 closings in 2025 across more than twenty communities and more than 150 plans.</t>
        </is>
      </c>
      <c r="U104" s="12" t="inlineStr"/>
      <c r="V104" s="15" t="inlineStr">
        <is>
          <t>Houston Agent, February 2020: Jeff Dye assumed the position of president after 21 years with the firm.</t>
        </is>
      </c>
      <c r="W104" s="12" t="inlineStr">
        <is>
          <t>https://houstonagentmagazine.com/2020/02/06/making-moves-newmark-homes-appoints-top-leaders-edward-jones-becomes-latest-tenant-bridgeland/</t>
        </is>
      </c>
      <c r="X104" s="12" t="inlineStr"/>
      <c r="Y104" s="12" t="inlineStr"/>
      <c r="Z104" s="12" t="inlineStr"/>
      <c r="AA104" s="12" t="inlineStr">
        <is>
          <t>(713) 346-0200</t>
        </is>
      </c>
      <c r="AB104" s="12" t="inlineStr">
        <is>
          <t>office</t>
        </is>
      </c>
      <c r="AC104" s="12" t="inlineStr">
        <is>
          <t>https://newmarkhomes.com/</t>
        </is>
      </c>
    </row>
    <row r="105">
      <c r="A105" s="6" t="inlineStr">
        <is>
          <t>Frank Sitterle, Jr.</t>
        </is>
      </c>
      <c r="B105" s="6" t="inlineStr">
        <is>
          <t>Sitterle Homes</t>
        </is>
      </c>
      <c r="C105" s="6" t="inlineStr">
        <is>
          <t>Co-owner</t>
        </is>
      </c>
      <c r="D105" s="7" t="inlineStr">
        <is>
          <t>Worth pursuing, 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8" t="inlineStr">
        <is>
          <t>Partly</t>
        </is>
      </c>
      <c r="P105" s="6" t="inlineStr">
        <is>
          <t>https://www.linkedin.com/in/frank-sitterle-071b8246/</t>
        </is>
      </c>
      <c r="Q105" s="6" t="inlineStr"/>
      <c r="R105" s="11">
        <f>IF(P105="","ADD LINKEDIN","ok")</f>
        <v/>
      </c>
      <c r="S105" s="6" t="inlineStr">
        <is>
          <t>https://www.sitterlehomes.com/</t>
        </is>
      </c>
      <c r="T105" s="9" t="inlineStr">
        <is>
          <t>Four Houston communities from a San Antonio base, with a named director of purchasing. Houston is the secondary market.</t>
        </is>
      </c>
      <c r="U105" s="6" t="inlineStr"/>
      <c r="V105" s="9" t="inlineStr">
        <is>
          <t>Indexed title reads Frank Sitterle, President, Sitterle Homes. The firm's about page has him acquiring the company in 2005 with Jeff Buell.</t>
        </is>
      </c>
      <c r="W105" s="6" t="inlineStr"/>
      <c r="X105" s="6" t="inlineStr"/>
      <c r="Y105" s="6" t="inlineStr"/>
      <c r="Z105" s="6" t="inlineStr"/>
      <c r="AA105" s="6" t="inlineStr">
        <is>
          <t>(281) 664-7255</t>
        </is>
      </c>
      <c r="AB105" s="6" t="inlineStr">
        <is>
          <t>Houston design studio</t>
        </is>
      </c>
      <c r="AC105" s="6" t="inlineStr">
        <is>
          <t>https://sitterlehomes.com/contact/</t>
        </is>
      </c>
    </row>
    <row r="106">
      <c r="A106" s="12" t="inlineStr">
        <is>
          <t>Chris Hightower</t>
        </is>
      </c>
      <c r="B106" s="12" t="inlineStr">
        <is>
          <t>Sitterle Homes</t>
        </is>
      </c>
      <c r="C106" s="12" t="inlineStr">
        <is>
          <t>Division President, Houston</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https://www.linkedin.com/in/chris-hightower-029b45112/</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Chris Hightower, Division President at Sitterle Homes. The GHBA member directory lists him as Division President, Houston.</t>
        </is>
      </c>
      <c r="W106" s="12" t="inlineStr"/>
      <c r="X106" s="12" t="inlineStr"/>
      <c r="Y106" s="12" t="inlineStr"/>
      <c r="Z106" s="12" t="inlineStr"/>
      <c r="AA106" s="12" t="inlineStr">
        <is>
          <t>(281) 664-7255</t>
        </is>
      </c>
      <c r="AB106" s="12" t="inlineStr">
        <is>
          <t>Houston design studio</t>
        </is>
      </c>
      <c r="AC106" s="12" t="inlineStr">
        <is>
          <t>https://sitterlehomes.com/contact/</t>
        </is>
      </c>
    </row>
    <row r="107">
      <c r="A107" s="6" t="inlineStr">
        <is>
          <t>Jeff Buell</t>
        </is>
      </c>
      <c r="B107" s="6" t="inlineStr">
        <is>
          <t>Sitterle Homes</t>
        </is>
      </c>
      <c r="C107" s="6" t="inlineStr">
        <is>
          <t>Co-owner</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10" t="inlineStr"/>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The about page records the two of them acquiring the company in 2005 and assigns neither a title.</t>
        </is>
      </c>
      <c r="W107" s="6" t="inlineStr">
        <is>
          <t>https://sitterlehomes.com/about-us/</t>
        </is>
      </c>
      <c r="X107" s="6" t="inlineStr"/>
      <c r="Y107" s="6" t="inlineStr"/>
      <c r="Z107" s="6" t="inlineStr"/>
      <c r="AA107" s="6" t="inlineStr">
        <is>
          <t>(281) 664-7255</t>
        </is>
      </c>
      <c r="AB107" s="6" t="inlineStr">
        <is>
          <t>Houston design studio</t>
        </is>
      </c>
      <c r="AC107" s="6" t="inlineStr">
        <is>
          <t>https://sitterlehomes.com/contact/</t>
        </is>
      </c>
    </row>
    <row r="108">
      <c r="A108" s="12" t="inlineStr">
        <is>
          <t>Neil Joshi</t>
        </is>
      </c>
      <c r="B108" s="12" t="inlineStr">
        <is>
          <t>RSK Real Estate Partners</t>
        </is>
      </c>
      <c r="C108" s="12" t="inlineStr">
        <is>
          <t>Managing Member, RSK Real Estate Partners</t>
        </is>
      </c>
      <c r="D108" s="13" t="inlineStr">
        <is>
          <t>Worth pursuing, 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units on two Katy sites about a mile apart.</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4" t="inlineStr">
        <is>
          <t>No</t>
        </is>
      </c>
      <c r="P108" s="10" t="inlineStr"/>
      <c r="Q108" s="12">
        <f>HYPERLINK("https://www.linkedin.com/search/results/people/?keywords=Neil%20Joshi%20RSK%20Real%20Estate%20Partners","search")</f>
        <v/>
      </c>
      <c r="R108" s="16">
        <f>IF(P108="","ADD LINKEDIN","ok")</f>
        <v/>
      </c>
      <c r="S108" s="12" t="inlineStr">
        <is>
          <t>https://rskrealestatepartners.com/</t>
        </is>
      </c>
      <c r="T108" s="15" t="inlineStr">
        <is>
          <t>Two Katy duplex projects a mile apart, 366 units.</t>
        </is>
      </c>
      <c r="U108" s="12" t="inlineStr"/>
      <c r="V108" s="15" t="inlineStr"/>
      <c r="W108" s="12" t="inlineStr">
        <is>
          <t>https://rskrealestatepartners.com/our-team/</t>
        </is>
      </c>
      <c r="X108" s="12" t="inlineStr">
        <is>
          <t>https://www.linkedin.com/company/rsk-real-estate-partners</t>
        </is>
      </c>
      <c r="Y108" s="12" t="inlineStr">
        <is>
          <t>https://rskrealestatepartners.com/our-team/</t>
        </is>
      </c>
      <c r="Z108" s="12" t="inlineStr"/>
      <c r="AA108" s="12" t="inlineStr"/>
      <c r="AB108" s="12" t="inlineStr"/>
      <c r="AC108" s="12" t="inlineStr"/>
    </row>
    <row r="109">
      <c r="A109" s="6" t="inlineStr">
        <is>
          <t>Hannah Ripkey</t>
        </is>
      </c>
      <c r="B109" s="6" t="inlineStr">
        <is>
          <t>RSK Real Estate Partners</t>
        </is>
      </c>
      <c r="C109" s="6" t="inlineStr">
        <is>
          <t>Vice President of Development, RSK Real Estate Partners</t>
        </is>
      </c>
      <c r="D109" s="7" t="inlineStr">
        <is>
          <t>Worth pursuing, 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units on two Katy sites about a mile apart.</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8" t="inlineStr">
        <is>
          <t>No</t>
        </is>
      </c>
      <c r="P109" s="10" t="inlineStr"/>
      <c r="Q109" s="6">
        <f>HYPERLINK("https://www.linkedin.com/search/results/people/?keywords=Hannah%20Ripkey%20RSK%20Real%20Estate%20Partners","search")</f>
        <v/>
      </c>
      <c r="R109" s="11">
        <f>IF(P109="","ADD LINKEDIN","ok")</f>
        <v/>
      </c>
      <c r="S109" s="6" t="inlineStr">
        <is>
          <t>https://rskrealestatepartners.com/</t>
        </is>
      </c>
      <c r="T109" s="9" t="inlineStr">
        <is>
          <t>Two Katy duplex projects a mile apart, 366 units.</t>
        </is>
      </c>
      <c r="U109" s="6" t="inlineStr"/>
      <c r="V109" s="9" t="inlineStr"/>
      <c r="W109" s="6" t="inlineStr">
        <is>
          <t>https://rskrealestatepartners.com/our-team/</t>
        </is>
      </c>
      <c r="X109" s="6" t="inlineStr">
        <is>
          <t>https://www.linkedin.com/company/rsk-real-estate-partners</t>
        </is>
      </c>
      <c r="Y109" s="6" t="inlineStr">
        <is>
          <t>https://rskrealestatepartners.com/our-team/</t>
        </is>
      </c>
      <c r="Z109" s="6" t="inlineStr"/>
      <c r="AA109" s="6" t="inlineStr"/>
      <c r="AB109" s="6" t="inlineStr"/>
      <c r="AC109" s="6" t="inlineStr"/>
    </row>
    <row r="110">
      <c r="A110" s="12" t="inlineStr">
        <is>
          <t>Jim Foy</t>
        </is>
      </c>
      <c r="B110" s="12" t="inlineStr">
        <is>
          <t>RSK Real Estate Partners</t>
        </is>
      </c>
      <c r="C110" s="12" t="inlineStr">
        <is>
          <t>Houston Director of Construction</t>
        </is>
      </c>
      <c r="D110" s="13" t="inlineStr">
        <is>
          <t>Worth pursuing, 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units on two Katy sites about a mile apart.</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4" t="inlineStr">
        <is>
          <t>No</t>
        </is>
      </c>
      <c r="P110" s="10" t="inlineStr"/>
      <c r="Q110" s="12" t="inlineStr"/>
      <c r="R110" s="16">
        <f>IF(P110="","ADD LINKEDIN","ok")</f>
        <v/>
      </c>
      <c r="S110" s="12" t="inlineStr">
        <is>
          <t>https://rskrealestatepartners.com/</t>
        </is>
      </c>
      <c r="T110" s="15" t="inlineStr">
        <is>
          <t>Two Katy duplex projects a mile apart, 366 units.</t>
        </is>
      </c>
      <c r="U110" s="12" t="inlineStr">
        <is>
          <t>YES</t>
        </is>
      </c>
      <c r="V110" s="15" t="inlineStr"/>
      <c r="W110" s="12" t="inlineStr">
        <is>
          <t>https://rskrealestatepartners.com/our-team/</t>
        </is>
      </c>
      <c r="X110" s="12" t="inlineStr">
        <is>
          <t>https://www.linkedin.com/company/rsk-real-estate-partners</t>
        </is>
      </c>
      <c r="Y110" s="12" t="inlineStr">
        <is>
          <t>https://rskrealestatepartners.com/our-team/</t>
        </is>
      </c>
      <c r="Z110" s="12" t="inlineStr"/>
      <c r="AA110" s="12" t="inlineStr"/>
      <c r="AB110" s="12" t="inlineStr"/>
      <c r="AC110" s="12" t="inlineStr"/>
    </row>
    <row r="111">
      <c r="A111" s="6" t="inlineStr">
        <is>
          <t>Corey Wilson</t>
        </is>
      </c>
      <c r="B111" s="6" t="inlineStr">
        <is>
          <t>RSK Real Estate Partners</t>
        </is>
      </c>
      <c r="C111" s="6" t="inlineStr">
        <is>
          <t>Regional Director of Construction</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8" t="inlineStr">
        <is>
          <t>No</t>
        </is>
      </c>
      <c r="P111" s="10" t="inlineStr"/>
      <c r="Q111" s="6" t="inlineStr"/>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c r="AA111" s="6" t="inlineStr"/>
      <c r="AB111" s="6" t="inlineStr"/>
      <c r="AC111" s="6" t="inlineStr"/>
    </row>
    <row r="112">
      <c r="A112" s="12" t="inlineStr">
        <is>
          <t>Kevin Calderon</t>
        </is>
      </c>
      <c r="B112" s="12" t="inlineStr">
        <is>
          <t>RSK Real Estate Partners</t>
        </is>
      </c>
      <c r="C112" s="12" t="inlineStr">
        <is>
          <t>Purchasing Manager</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4" t="inlineStr">
        <is>
          <t>No</t>
        </is>
      </c>
      <c r="P112" s="10" t="inlineStr"/>
      <c r="Q112" s="12" t="inlineStr"/>
      <c r="R112" s="16">
        <f>IF(P112="","ADD LINKEDIN","ok")</f>
        <v/>
      </c>
      <c r="S112" s="12" t="inlineStr">
        <is>
          <t>https://rskrealestatepartners.com/</t>
        </is>
      </c>
      <c r="T112" s="15" t="inlineStr">
        <is>
          <t>Two Katy duplex projects a mile apart, 366 units.</t>
        </is>
      </c>
      <c r="U112" s="12" t="inlineStr"/>
      <c r="V112" s="15" t="inlineStr"/>
      <c r="W112" s="12" t="inlineStr">
        <is>
          <t>https://rskrealestatepartners.com/our-team/</t>
        </is>
      </c>
      <c r="X112" s="12" t="inlineStr">
        <is>
          <t>https://www.linkedin.com/company/rsk-real-estate-partners</t>
        </is>
      </c>
      <c r="Y112" s="12" t="inlineStr">
        <is>
          <t>https://rskrealestatepartners.com/our-team/</t>
        </is>
      </c>
      <c r="Z112" s="12" t="inlineStr"/>
      <c r="AA112" s="12" t="inlineStr"/>
      <c r="AB112" s="12" t="inlineStr"/>
      <c r="AC112" s="12" t="inlineStr"/>
    </row>
    <row r="113">
      <c r="A113" s="6" t="inlineStr">
        <is>
          <t>Stephen Najvar</t>
        </is>
      </c>
      <c r="B113" s="6" t="inlineStr">
        <is>
          <t>Ravenna Homes</t>
        </is>
      </c>
      <c r="C113" s="6" t="inlineStr">
        <is>
          <t>President</t>
        </is>
      </c>
      <c r="D113" s="7" t="inlineStr">
        <is>
          <t>Worth pursuing, one gap</t>
        </is>
      </c>
      <c r="E113" s="8" t="n">
        <v>2</v>
      </c>
      <c r="F113" s="6" t="inlineStr">
        <is>
          <t>Buys walls</t>
        </is>
      </c>
      <c r="G113" s="6" t="inlineStr">
        <is>
          <t>Cypress</t>
        </is>
      </c>
      <c r="H113" s="6" t="inlineStr">
        <is>
          <t>Seven communities, from the $500,000s</t>
        </is>
      </c>
      <c r="I113" s="8" t="inlineStr">
        <is>
          <t>Partly</t>
        </is>
      </c>
      <c r="J113" s="9" t="inlineStr">
        <is>
          <t>Seven communities, all in the north and northwest corridor, which keeps the plan set together.</t>
        </is>
      </c>
      <c r="K113" s="8" t="inlineStr">
        <is>
          <t>Partly</t>
        </is>
      </c>
      <c r="L113" s="9" t="inlineStr">
        <is>
          <t>No closings figure is published. Price point above $500,000 implies volume below the machine band.</t>
        </is>
      </c>
      <c r="M113" s="8" t="inlineStr">
        <is>
          <t>No</t>
        </is>
      </c>
      <c r="N113" s="9" t="inlineStr">
        <is>
          <t>No method evidence beyond energy efficiency and smart home options.</t>
        </is>
      </c>
      <c r="O113" s="8" t="inlineStr">
        <is>
          <t>No</t>
        </is>
      </c>
      <c r="P113" s="6" t="inlineStr">
        <is>
          <t>https://www.linkedin.com/in/stephennajvar/</t>
        </is>
      </c>
      <c r="Q113" s="6" t="inlineStr"/>
      <c r="R113" s="11">
        <f>IF(P113="","ADD LINKEDIN","ok")</f>
        <v/>
      </c>
      <c r="S113" s="6" t="inlineStr">
        <is>
          <t>https://ravennahomes.com/</t>
        </is>
      </c>
      <c r="T113" s="9" t="inlineStr">
        <is>
          <t>Seven communities in the north and northwest growth corridor, from the $500,000s, with a named president and no published volume.</t>
        </is>
      </c>
      <c r="U113" s="6" t="inlineStr"/>
      <c r="V113" s="9" t="inlineStr">
        <is>
          <t>Indexed title reads Stephen Najvar, President at Ravenna Homes. A 2013 company release names him co-founder alongside his brother Kenneth Najvar, both formerly Perry Homes division presidents.</t>
        </is>
      </c>
      <c r="W113" s="6" t="inlineStr"/>
      <c r="X113" s="6" t="inlineStr"/>
      <c r="Y113" s="6" t="inlineStr"/>
      <c r="Z113" s="6" t="inlineStr"/>
      <c r="AA113" s="6" t="inlineStr">
        <is>
          <t>(832) 653-3600</t>
        </is>
      </c>
      <c r="AB113" s="6" t="inlineStr"/>
      <c r="AC113" s="6" t="inlineStr">
        <is>
          <t>https://www.ravennahomes.com/</t>
        </is>
      </c>
    </row>
    <row r="114">
      <c r="A114" s="12" t="inlineStr">
        <is>
          <t>Matt Zetlmeisl</t>
        </is>
      </c>
      <c r="B114" s="12" t="inlineStr">
        <is>
          <t>ICF Constructors</t>
        </is>
      </c>
      <c r="C114" s="12" t="inlineStr">
        <is>
          <t>Owner, named on the firm's own homepage as having owned and operated it since 2002</t>
        </is>
      </c>
      <c r="D114" s="13" t="inlineStr">
        <is>
          <t>Builds the wall, not the house</t>
        </is>
      </c>
      <c r="E114" s="14" t="n">
        <v>3</v>
      </c>
      <c r="F114" s="12" t="inlineStr">
        <is>
          <t>Builds the wall</t>
        </is>
      </c>
      <c r="G114" s="12" t="inlineStr">
        <is>
          <t>Katy, Harris and Fort Bend, and the Texas coast</t>
        </is>
      </c>
      <c r="H114" s="12" t="inlineStr">
        <is>
          <t>Crews trained on 12 form systems, ICF since 2002</t>
        </is>
      </c>
      <c r="I114" s="14" t="inlineStr">
        <is>
          <t>Yes</t>
        </is>
      </c>
      <c r="J114" s="15" t="inlineStr">
        <is>
          <t>The same wall system, installed again and again across Houston and the coast since 2002.</t>
        </is>
      </c>
      <c r="K114" s="14" t="inlineStr">
        <is>
          <t>Partly</t>
        </is>
      </c>
      <c r="L114" s="15" t="inlineStr">
        <is>
          <t>No crew count or homes-a-year figure is published. On the bands, a firm with no published figure is a Partly, and that is the first thing to establish on the call.</t>
        </is>
      </c>
      <c r="M114" s="14" t="inlineStr">
        <is>
          <t>Yes</t>
        </is>
      </c>
      <c r="N114" s="15" t="inlineStr">
        <is>
          <t>Its entire business is a wall method that was new when it adopted it. The crews are trained on twelve form systems and run a twenty-step checklist before every placement.</t>
        </is>
      </c>
      <c r="O114" s="14" t="inlineStr">
        <is>
          <t>No</t>
        </is>
      </c>
      <c r="P114" s="10" t="inlineStr"/>
      <c r="Q114" s="12">
        <f>HYPERLINK("https://www.linkedin.com/search/results/people/?keywords=Matt%20Zetlmeisl%20ICF%20Constructors","search")</f>
        <v/>
      </c>
      <c r="R114" s="16">
        <f>IF(P114="","ADD LINKEDIN","ok")</f>
        <v/>
      </c>
      <c r="S114" s="12" t="inlineStr">
        <is>
          <t>https://icfconstructors.com/</t>
        </is>
      </c>
      <c r="T114" s="15" t="inlineStr">
        <is>
          <t>Twenty-four years building concrete walls instead of wood ones, with its own crews. The only contractor screened whose whole business is a non-conventional wall.</t>
        </is>
      </c>
      <c r="U114" s="12" t="inlineStr">
        <is>
          <t>YES</t>
        </is>
      </c>
      <c r="V114" s="15" t="inlineStr">
        <is>
          <t>Matt Zetlmeisl has no LinkedIn profile. The firm's own site is the only source that names him.</t>
        </is>
      </c>
      <c r="W114" s="12" t="inlineStr"/>
      <c r="X114" s="12" t="inlineStr"/>
      <c r="Y114" s="12" t="inlineStr"/>
      <c r="Z114" s="12" t="inlineStr"/>
      <c r="AA114" s="12" t="inlineStr">
        <is>
          <t>(832) 264-6282</t>
        </is>
      </c>
      <c r="AB114" s="12" t="inlineStr">
        <is>
          <t>office</t>
        </is>
      </c>
      <c r="AC114" s="12" t="inlineStr">
        <is>
          <t>https://icfconstructors.com/</t>
        </is>
      </c>
    </row>
    <row r="115">
      <c r="A115" s="6" t="inlineStr">
        <is>
          <t>Eleazar Botello</t>
        </is>
      </c>
      <c r="B115" s="6" t="inlineStr">
        <is>
          <t>Botello Builders</t>
        </is>
      </c>
      <c r="C115" s="6" t="inlineStr">
        <is>
          <t>Founder, named on the firm's own site</t>
        </is>
      </c>
      <c r="D115" s="7" t="inlineStr">
        <is>
          <t>Builds the wall, not the house</t>
        </is>
      </c>
      <c r="E115" s="8" t="n">
        <v>2</v>
      </c>
      <c r="F115" s="6" t="inlineStr">
        <is>
          <t>Builds the wall</t>
        </is>
      </c>
      <c r="G115" s="6" t="inlineStr">
        <is>
          <t>Houston, working Harris, Fort Bend, Brazoria and Montgomery</t>
        </is>
      </c>
      <c r="H115" s="6" t="inlineStr">
        <is>
          <t>150-plus employees, founded 2007 by three brothers</t>
        </is>
      </c>
      <c r="I115" s="8" t="inlineStr">
        <is>
          <t>Yes</t>
        </is>
      </c>
      <c r="J115" s="9" t="inlineStr">
        <is>
          <t>Tilt-up and foundation work repeating across four counties from one Houston yard.</t>
        </is>
      </c>
      <c r="K115" s="8" t="inlineStr">
        <is>
          <t>Yes</t>
        </is>
      </c>
      <c r="L115" s="9" t="inlineStr">
        <is>
          <t>150 office and field staff on the firm's own count. That is the only published size in this section, and at that size one or two printers cover a real share of a year's wall.</t>
        </is>
      </c>
      <c r="M115" s="8" t="inlineStr">
        <is>
          <t>No</t>
        </is>
      </c>
      <c r="N115" s="9" t="inlineStr">
        <is>
          <t>No method statement on record. Its published work is conventional tilt-up and foundations.</t>
        </is>
      </c>
      <c r="O115" s="8" t="inlineStr">
        <is>
          <t>Partly</t>
        </is>
      </c>
      <c r="P115" s="6" t="inlineStr">
        <is>
          <t>https://www.linkedin.com/in/eleazarbotello/</t>
        </is>
      </c>
      <c r="Q115" s="6" t="inlineStr"/>
      <c r="R115" s="11">
        <f>IF(P115="","ADD LINKEDIN","ok")</f>
        <v/>
      </c>
      <c r="S115" s="6" t="inlineStr">
        <is>
          <t>https://www.botellobuilders.com/</t>
        </is>
      </c>
      <c r="T115" s="9" t="inlineStr">
        <is>
          <t>A 150-person self-performing concrete sub, still owned by the three brothers who started it. One or two printers would cover a real share of the wall it puts up.</t>
        </is>
      </c>
      <c r="U115" s="6" t="inlineStr">
        <is>
          <t>YES</t>
        </is>
      </c>
      <c r="V115" s="9" t="inlineStr">
        <is>
          <t>Headline reads President at Botello Builders Corporation. Houston, Texas. The firm's own site calls him a founder and gives no title.</t>
        </is>
      </c>
      <c r="W115" s="6" t="inlineStr"/>
      <c r="X115" s="6" t="inlineStr"/>
      <c r="Y115" s="6" t="inlineStr"/>
      <c r="Z115" s="6" t="inlineStr"/>
      <c r="AA115" s="6" t="inlineStr">
        <is>
          <t>(281) 784-3070</t>
        </is>
      </c>
      <c r="AB115" s="6" t="inlineStr"/>
      <c r="AC115" s="6" t="inlineStr">
        <is>
          <t>https://www.botellobuilders.com/contact-us/</t>
        </is>
      </c>
    </row>
    <row r="116">
      <c r="A116" s="12" t="inlineStr">
        <is>
          <t>Eden Botello</t>
        </is>
      </c>
      <c r="B116" s="12" t="inlineStr">
        <is>
          <t>Botello Builders</t>
        </is>
      </c>
      <c r="C116" s="12" t="inlineStr">
        <is>
          <t>Founder, named on the firm's own site</t>
        </is>
      </c>
      <c r="D116" s="13" t="inlineStr">
        <is>
          <t>Builds the wall, not the house</t>
        </is>
      </c>
      <c r="E116" s="14" t="n">
        <v>2</v>
      </c>
      <c r="F116" s="12" t="inlineStr">
        <is>
          <t>Builds the wall</t>
        </is>
      </c>
      <c r="G116" s="12" t="inlineStr">
        <is>
          <t>Houston, working Harris, Fort Bend, Brazoria and Montgomery</t>
        </is>
      </c>
      <c r="H116" s="12" t="inlineStr">
        <is>
          <t>150-plus employees, founded 2007 by three brothers</t>
        </is>
      </c>
      <c r="I116" s="14" t="inlineStr">
        <is>
          <t>Yes</t>
        </is>
      </c>
      <c r="J116" s="15" t="inlineStr">
        <is>
          <t>Tilt-up and foundation work repeating across four counties from one Houston yard.</t>
        </is>
      </c>
      <c r="K116" s="14" t="inlineStr">
        <is>
          <t>Yes</t>
        </is>
      </c>
      <c r="L116" s="15" t="inlineStr">
        <is>
          <t>150 office and field staff on the firm's own count. That is the only published size in this section, and at that size one or two printers cover a real share of a year's wall.</t>
        </is>
      </c>
      <c r="M116" s="14" t="inlineStr">
        <is>
          <t>No</t>
        </is>
      </c>
      <c r="N116" s="15" t="inlineStr">
        <is>
          <t>No method statement on record. Its published work is conventional tilt-up and foundations.</t>
        </is>
      </c>
      <c r="O116" s="14" t="inlineStr">
        <is>
          <t>Partly</t>
        </is>
      </c>
      <c r="P116" s="6" t="inlineStr">
        <is>
          <t>https://www.linkedin.com/in/eden-botello-28a5691b5/</t>
        </is>
      </c>
      <c r="Q116" s="12" t="inlineStr"/>
      <c r="R116" s="16">
        <f>IF(P116="","ADD LINKEDIN","ok")</f>
        <v/>
      </c>
      <c r="S116" s="12" t="inlineStr">
        <is>
          <t>https://www.botellobuilders.com/</t>
        </is>
      </c>
      <c r="T116" s="15" t="inlineStr">
        <is>
          <t>A 150-person self-performing concrete sub, still owned by the three brothers who started it. One or two printers would cover a real share of the wall it puts up.</t>
        </is>
      </c>
      <c r="U116" s="12" t="inlineStr">
        <is>
          <t>YES</t>
        </is>
      </c>
      <c r="V116" s="15" t="inlineStr">
        <is>
          <t>Headline reads Operations Manager at Botello Builders Corporation. Houston, Texas.</t>
        </is>
      </c>
      <c r="W116" s="12" t="inlineStr"/>
      <c r="X116" s="12" t="inlineStr"/>
      <c r="Y116" s="12" t="inlineStr"/>
      <c r="Z116" s="12" t="inlineStr"/>
      <c r="AA116" s="12" t="inlineStr">
        <is>
          <t>(281) 784-3070</t>
        </is>
      </c>
      <c r="AB116" s="12" t="inlineStr"/>
      <c r="AC116" s="12" t="inlineStr">
        <is>
          <t>https://www.botellobuilders.com/contact-us/</t>
        </is>
      </c>
    </row>
    <row r="117">
      <c r="A117" s="6" t="inlineStr">
        <is>
          <t>Jose Botello</t>
        </is>
      </c>
      <c r="B117" s="6" t="inlineStr">
        <is>
          <t>Botello Builders</t>
        </is>
      </c>
      <c r="C117" s="6" t="inlineStr">
        <is>
          <t>Founder, named on the firm's own site</t>
        </is>
      </c>
      <c r="D117" s="7" t="inlineStr">
        <is>
          <t>Builds the wall, not the house</t>
        </is>
      </c>
      <c r="E117" s="8" t="n">
        <v>2</v>
      </c>
      <c r="F117" s="6" t="inlineStr">
        <is>
          <t>Builds the wall</t>
        </is>
      </c>
      <c r="G117" s="6" t="inlineStr">
        <is>
          <t>Houston, working Harris, Fort Bend, Brazoria and Montgomery</t>
        </is>
      </c>
      <c r="H117" s="6" t="inlineStr">
        <is>
          <t>150-plus employees, founded 2007 by three brothers</t>
        </is>
      </c>
      <c r="I117" s="8" t="inlineStr">
        <is>
          <t>Yes</t>
        </is>
      </c>
      <c r="J117" s="9" t="inlineStr">
        <is>
          <t>Tilt-up and foundation work repeating across four counties from one Houston yard.</t>
        </is>
      </c>
      <c r="K117" s="8" t="inlineStr">
        <is>
          <t>Yes</t>
        </is>
      </c>
      <c r="L117" s="9" t="inlineStr">
        <is>
          <t>150 office and field staff on the firm's own count. That is the only published size in this section, and at that size one or two printers cover a real share of a year's wall.</t>
        </is>
      </c>
      <c r="M117" s="8" t="inlineStr">
        <is>
          <t>No</t>
        </is>
      </c>
      <c r="N117" s="9" t="inlineStr">
        <is>
          <t>No method statement on record. Its published work is conventional tilt-up and foundations.</t>
        </is>
      </c>
      <c r="O117" s="8" t="inlineStr">
        <is>
          <t>Partly</t>
        </is>
      </c>
      <c r="P117" s="10" t="inlineStr"/>
      <c r="Q117" s="6">
        <f>HYPERLINK("https://www.linkedin.com/search/results/people/?keywords=Jose%20Botello%20Botello%20Builders","search")</f>
        <v/>
      </c>
      <c r="R117" s="11">
        <f>IF(P117="","ADD LINKEDIN","ok")</f>
        <v/>
      </c>
      <c r="S117" s="6" t="inlineStr">
        <is>
          <t>https://www.botellobuilders.com/</t>
        </is>
      </c>
      <c r="T117" s="9" t="inlineStr">
        <is>
          <t>A 150-person self-performing concrete sub, still owned by the three brothers who started it. One or two printers would cover a real share of the wall it puts up.</t>
        </is>
      </c>
      <c r="U117" s="6" t="inlineStr">
        <is>
          <t>YES</t>
        </is>
      </c>
      <c r="V117" s="9" t="inlineStr"/>
      <c r="W117" s="6" t="inlineStr"/>
      <c r="X117" s="6" t="inlineStr"/>
      <c r="Y117" s="6" t="inlineStr"/>
      <c r="Z117" s="6" t="inlineStr"/>
      <c r="AA117" s="6" t="inlineStr">
        <is>
          <t>(281) 784-3070</t>
        </is>
      </c>
      <c r="AB117" s="6" t="inlineStr"/>
      <c r="AC117" s="6" t="inlineStr">
        <is>
          <t>https://www.botellobuilders.com/contact-us/</t>
        </is>
      </c>
    </row>
    <row r="118">
      <c r="A118" s="12" t="inlineStr">
        <is>
          <t>Scott Anderson</t>
        </is>
      </c>
      <c r="B118" s="12" t="inlineStr">
        <is>
          <t>Keystone Concrete Placement</t>
        </is>
      </c>
      <c r="C118" s="12" t="inlineStr">
        <is>
          <t>Vice President and General Manager, Keystone Structural Concrete</t>
        </is>
      </c>
      <c r="D118" s="13" t="inlineStr">
        <is>
          <t>Builds the wall, not the house</t>
        </is>
      </c>
      <c r="E118" s="14" t="n">
        <v>3</v>
      </c>
      <c r="F118" s="12" t="inlineStr">
        <is>
          <t>Builds the wall</t>
        </is>
      </c>
      <c r="G118" s="12" t="inlineStr">
        <is>
          <t>Houston, with Austin, San Antonio and College Station</t>
        </is>
      </c>
      <c r="H118" s="12" t="inlineStr">
        <is>
          <t>1,500 craftsmen, 975,000 cubic yards a year</t>
        </is>
      </c>
      <c r="I118" s="14" t="inlineStr">
        <is>
          <t>Yes</t>
        </is>
      </c>
      <c r="J118" s="15" t="inlineStr">
        <is>
          <t>Three standing placement divisions in one metro, so the same work recurs rather than arriving one project at a time.</t>
        </is>
      </c>
      <c r="K118" s="14" t="inlineStr">
        <is>
          <t>Partly</t>
        </is>
      </c>
      <c r="L118" s="15" t="inlineStr">
        <is>
          <t>1,500 craftsmen and 975,000 cubic yards a year on the firm's own count. One or two printers would be a line inside the business rather than the business.</t>
        </is>
      </c>
      <c r="M118" s="14" t="inlineStr">
        <is>
          <t>Partly</t>
        </is>
      </c>
      <c r="N118"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8" s="14" t="inlineStr">
        <is>
          <t>Yes</t>
        </is>
      </c>
      <c r="P118" s="6" t="inlineStr">
        <is>
          <t>https://www.linkedin.com/in/scott-anderson-266878141/</t>
        </is>
      </c>
      <c r="Q118" s="12" t="inlineStr"/>
      <c r="R118" s="16">
        <f>IF(P118="","ADD LINKEDIN","ok")</f>
        <v/>
      </c>
      <c r="S118" s="12" t="inlineStr">
        <is>
          <t>https://www.keystoneconcrete.com/</t>
        </is>
      </c>
      <c r="T118" s="15" t="inlineStr">
        <is>
          <t>The only concrete contractor screened that publishes a standing residential division. It already buys its own formwork systems and placing booms.</t>
        </is>
      </c>
      <c r="U118" s="12" t="inlineStr">
        <is>
          <t>YES</t>
        </is>
      </c>
      <c r="V118" s="15" t="inlineStr">
        <is>
          <t>Headline reads Vice President at Keystone Structural Concrete. Houston, Texas.</t>
        </is>
      </c>
      <c r="W118" s="12" t="inlineStr"/>
      <c r="X118" s="12" t="inlineStr"/>
      <c r="Y118" s="12" t="inlineStr"/>
      <c r="Z118" s="12" t="inlineStr"/>
      <c r="AA118" s="12" t="inlineStr">
        <is>
          <t>(713) 983-8002</t>
        </is>
      </c>
      <c r="AB118" s="12" t="inlineStr">
        <is>
          <t>Houston</t>
        </is>
      </c>
      <c r="AC118" s="12" t="inlineStr">
        <is>
          <t>https://www.keystoneconcrete.com/</t>
        </is>
      </c>
    </row>
    <row r="119">
      <c r="A119" s="6" t="inlineStr">
        <is>
          <t>Rodney Horn</t>
        </is>
      </c>
      <c r="B119" s="6" t="inlineStr">
        <is>
          <t>Keystone Concrete Placement</t>
        </is>
      </c>
      <c r="C119" s="6" t="inlineStr">
        <is>
          <t>Vice President, Keystone Concrete and Key-Scape</t>
        </is>
      </c>
      <c r="D119" s="7" t="inlineStr">
        <is>
          <t>Builds the wall, not the house</t>
        </is>
      </c>
      <c r="E119" s="8" t="n">
        <v>3</v>
      </c>
      <c r="F119" s="6" t="inlineStr">
        <is>
          <t>Builds the wall</t>
        </is>
      </c>
      <c r="G119" s="6" t="inlineStr">
        <is>
          <t>Houston, with Austin, San Antonio and College Station</t>
        </is>
      </c>
      <c r="H119" s="6" t="inlineStr">
        <is>
          <t>1,500 craftsmen, 975,000 cubic yards a year</t>
        </is>
      </c>
      <c r="I119" s="8" t="inlineStr">
        <is>
          <t>Yes</t>
        </is>
      </c>
      <c r="J119" s="9" t="inlineStr">
        <is>
          <t>Three standing placement divisions in one metro, so the same work recurs rather than arriving one project at a time.</t>
        </is>
      </c>
      <c r="K119" s="8" t="inlineStr">
        <is>
          <t>Partly</t>
        </is>
      </c>
      <c r="L119" s="9" t="inlineStr">
        <is>
          <t>1,500 craftsmen and 975,000 cubic yards a year on the firm's own count. One or two printers would be a line inside the business rather than the business.</t>
        </is>
      </c>
      <c r="M119" s="8" t="inlineStr">
        <is>
          <t>Partly</t>
        </is>
      </c>
      <c r="N119" s="9" t="inlineStr">
        <is>
          <t>It owns a fleet of placing booms and multiple complete hydraulic self-jacking formwork systems on its own account. Buying capital equipment to change how concrete gets placed is the habit this count is looking for, though formwork is not a new method.</t>
        </is>
      </c>
      <c r="O119" s="8" t="inlineStr">
        <is>
          <t>Yes</t>
        </is>
      </c>
      <c r="P119" s="6" t="inlineStr">
        <is>
          <t>https://www.linkedin.com/in/rodney-horn-963a8048/</t>
        </is>
      </c>
      <c r="Q119" s="6" t="inlineStr"/>
      <c r="R119" s="11">
        <f>IF(P119="","ADD LINKEDIN","ok")</f>
        <v/>
      </c>
      <c r="S119" s="6" t="inlineStr">
        <is>
          <t>https://www.keystoneconcrete.com/</t>
        </is>
      </c>
      <c r="T119" s="9" t="inlineStr">
        <is>
          <t>The only concrete contractor screened that publishes a standing residential division. It already buys its own formwork systems and placing booms.</t>
        </is>
      </c>
      <c r="U119" s="6" t="inlineStr">
        <is>
          <t>YES</t>
        </is>
      </c>
      <c r="V119" s="9" t="inlineStr">
        <is>
          <t>Headline reads Vice President at Keystone Concrete, LLC/Key-Scape Landscaping. Houston, Texas. Keyscape is the landscaping arm named on the firm's own site.</t>
        </is>
      </c>
      <c r="W119" s="6" t="inlineStr"/>
      <c r="X119" s="6" t="inlineStr"/>
      <c r="Y119" s="6" t="inlineStr"/>
      <c r="Z119" s="6" t="inlineStr"/>
      <c r="AA119" s="6" t="inlineStr">
        <is>
          <t>(713) 983-8002</t>
        </is>
      </c>
      <c r="AB119" s="6" t="inlineStr">
        <is>
          <t>Houston</t>
        </is>
      </c>
      <c r="AC119" s="6" t="inlineStr">
        <is>
          <t>https://www.keystoneconcrete.com/</t>
        </is>
      </c>
    </row>
    <row r="120">
      <c r="A120" s="12" t="inlineStr">
        <is>
          <t>Phil Nevlud</t>
        </is>
      </c>
      <c r="B120" s="12" t="inlineStr">
        <is>
          <t>MAREK</t>
        </is>
      </c>
      <c r="C120" s="12" t="inlineStr">
        <is>
          <t>Division President</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6" t="inlineStr">
        <is>
          <t>https://www.linkedin.com/in/phil-nevlud-843a391a/</t>
        </is>
      </c>
      <c r="Q120" s="12" t="inlineStr"/>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2" t="inlineStr">
        <is>
          <t>YES</t>
        </is>
      </c>
      <c r="V120" s="15" t="inlineStr">
        <is>
          <t>Headline reads Division President - Houston and does not name the firm. A search for his name with MAREK returns him and nobody else, and MAREK's own site names him Division President.</t>
        </is>
      </c>
      <c r="W120" s="12" t="inlineStr"/>
      <c r="X120" s="12" t="inlineStr"/>
      <c r="Y120" s="12" t="inlineStr"/>
      <c r="Z120" s="12" t="inlineStr"/>
      <c r="AA120" s="12" t="inlineStr">
        <is>
          <t>(713) 681-2626</t>
        </is>
      </c>
      <c r="AB120" s="12" t="inlineStr">
        <is>
          <t>commercial, Judiway Street</t>
        </is>
      </c>
      <c r="AC120" s="12" t="inlineStr">
        <is>
          <t>https://www.marekbros.com/houston/</t>
        </is>
      </c>
    </row>
    <row r="121">
      <c r="A121" s="6" t="inlineStr">
        <is>
          <t>Ronald Marek</t>
        </is>
      </c>
      <c r="B121" s="6" t="inlineStr">
        <is>
          <t>MAREK</t>
        </is>
      </c>
      <c r="C121" s="6" t="inlineStr">
        <is>
          <t>Multifamily Director</t>
        </is>
      </c>
      <c r="D121" s="7" t="inlineStr">
        <is>
          <t>Builds the wall, not the house</t>
        </is>
      </c>
      <c r="E121" s="8" t="n">
        <v>3</v>
      </c>
      <c r="F121" s="6" t="inlineStr">
        <is>
          <t>Builds the wall</t>
        </is>
      </c>
      <c r="G121" s="6" t="inlineStr">
        <is>
          <t>Houston, Harris, with Austin, Dallas and Fort Worth</t>
        </is>
      </c>
      <c r="H121" s="6" t="inlineStr">
        <is>
          <t>Runs its own prefabrication plant, founded 1938</t>
        </is>
      </c>
      <c r="I121" s="8" t="inlineStr">
        <is>
          <t>Yes</t>
        </is>
      </c>
      <c r="J121" s="9" t="inlineStr">
        <is>
          <t>Interior wall and ceiling packages repeating across multifamily and single family work in one metro.</t>
        </is>
      </c>
      <c r="K121" s="8" t="inlineStr">
        <is>
          <t>Partly</t>
        </is>
      </c>
      <c r="L121" s="9" t="inlineStr">
        <is>
          <t>No employee count or annual unit figure is published. On the bands, a firm with no published figure is a Partly.</t>
        </is>
      </c>
      <c r="M121" s="8" t="inlineStr">
        <is>
          <t>Partly</t>
        </is>
      </c>
      <c r="N121"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1" s="8" t="inlineStr">
        <is>
          <t>Yes</t>
        </is>
      </c>
      <c r="P121" s="10" t="inlineStr"/>
      <c r="Q121" s="6">
        <f>HYPERLINK("https://www.linkedin.com/search/results/people/?keywords=Ronald%20Marek%20MAREK","search")</f>
        <v/>
      </c>
      <c r="R121" s="11">
        <f>IF(P121="","ADD LINKEDIN","ok")</f>
        <v/>
      </c>
      <c r="S121" s="6" t="inlineStr">
        <is>
          <t>https://www.marekbros.com/houston/</t>
        </is>
      </c>
      <c r="T121" s="9" t="inlineStr">
        <is>
          <t>It already owns a prefabrication plant and runs separate multifamily and single family divisions, with a named leader on each. The walls it builds are interior, not structural.</t>
        </is>
      </c>
      <c r="U121" s="6" t="inlineStr">
        <is>
          <t>YES</t>
        </is>
      </c>
      <c r="V121" s="9" t="inlineStr"/>
      <c r="W121" s="6" t="inlineStr"/>
      <c r="X121" s="6" t="inlineStr"/>
      <c r="Y121" s="6" t="inlineStr"/>
      <c r="Z121" s="6" t="inlineStr"/>
      <c r="AA121" s="6" t="inlineStr">
        <is>
          <t>(713) 681-2626</t>
        </is>
      </c>
      <c r="AB121" s="6" t="inlineStr">
        <is>
          <t>commercial, Judiway Street</t>
        </is>
      </c>
      <c r="AC121" s="6" t="inlineStr">
        <is>
          <t>https://www.marekbros.com/houston/</t>
        </is>
      </c>
    </row>
    <row r="122">
      <c r="A122" s="12" t="inlineStr">
        <is>
          <t>Chris Trojanowsky</t>
        </is>
      </c>
      <c r="B122" s="12" t="inlineStr">
        <is>
          <t>MAREK</t>
        </is>
      </c>
      <c r="C122" s="12" t="inlineStr">
        <is>
          <t>Single Family Division Manager</t>
        </is>
      </c>
      <c r="D122" s="13" t="inlineStr">
        <is>
          <t>Builds the wall, not the house</t>
        </is>
      </c>
      <c r="E122" s="14" t="n">
        <v>3</v>
      </c>
      <c r="F122" s="12" t="inlineStr">
        <is>
          <t>Builds the wall</t>
        </is>
      </c>
      <c r="G122" s="12" t="inlineStr">
        <is>
          <t>Houston, Harris, with Austin, Dallas and Fort Worth</t>
        </is>
      </c>
      <c r="H122" s="12" t="inlineStr">
        <is>
          <t>Runs its own prefabrication plant, founded 1938</t>
        </is>
      </c>
      <c r="I122" s="14" t="inlineStr">
        <is>
          <t>Yes</t>
        </is>
      </c>
      <c r="J122" s="15" t="inlineStr">
        <is>
          <t>Interior wall and ceiling packages repeating across multifamily and single family work in one metro.</t>
        </is>
      </c>
      <c r="K122" s="14" t="inlineStr">
        <is>
          <t>Partly</t>
        </is>
      </c>
      <c r="L122" s="15" t="inlineStr">
        <is>
          <t>No employee count or annual unit figure is published. On the bands, a firm with no published figure is a Partly.</t>
        </is>
      </c>
      <c r="M122" s="14" t="inlineStr">
        <is>
          <t>Partly</t>
        </is>
      </c>
      <c r="N122"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2" s="14" t="inlineStr">
        <is>
          <t>Yes</t>
        </is>
      </c>
      <c r="P122" s="10" t="inlineStr"/>
      <c r="Q122" s="12">
        <f>HYPERLINK("https://www.linkedin.com/search/results/people/?keywords=Chris%20Trojanowsky%20MAREK","search")</f>
        <v/>
      </c>
      <c r="R122" s="16">
        <f>IF(P122="","ADD LINKEDIN","ok")</f>
        <v/>
      </c>
      <c r="S122" s="12" t="inlineStr">
        <is>
          <t>https://www.marekbros.com/houston/</t>
        </is>
      </c>
      <c r="T122" s="15" t="inlineStr">
        <is>
          <t>It already owns a prefabrication plant and runs separate multifamily and single family divisions, with a named leader on each. The walls it builds are interior, not structural.</t>
        </is>
      </c>
      <c r="U122" s="12" t="inlineStr">
        <is>
          <t>YES</t>
        </is>
      </c>
      <c r="V122" s="15" t="inlineStr"/>
      <c r="W122" s="12" t="inlineStr"/>
      <c r="X122" s="12" t="inlineStr"/>
      <c r="Y122" s="12" t="inlineStr"/>
      <c r="Z122" s="12" t="inlineStr"/>
      <c r="AA122" s="12" t="inlineStr">
        <is>
          <t>(713) 681-2626</t>
        </is>
      </c>
      <c r="AB122" s="12" t="inlineStr">
        <is>
          <t>commercial, Judiway Street</t>
        </is>
      </c>
      <c r="AC122" s="12" t="inlineStr">
        <is>
          <t>https://www.marekbros.com/houston/</t>
        </is>
      </c>
    </row>
    <row r="123">
      <c r="A123" s="6" t="inlineStr">
        <is>
          <t>Jorge Rodriguez</t>
        </is>
      </c>
      <c r="B123" s="6" t="inlineStr">
        <is>
          <t>MAREK</t>
        </is>
      </c>
      <c r="C123" s="6" t="inlineStr">
        <is>
          <t>Managing Director, Field Operations</t>
        </is>
      </c>
      <c r="D123" s="7" t="inlineStr">
        <is>
          <t>Builds the wall, not the house</t>
        </is>
      </c>
      <c r="E123" s="8" t="n">
        <v>3</v>
      </c>
      <c r="F123" s="6" t="inlineStr">
        <is>
          <t>Builds the wall</t>
        </is>
      </c>
      <c r="G123" s="6" t="inlineStr">
        <is>
          <t>Houston, Harris, with Austin, Dallas and Fort Worth</t>
        </is>
      </c>
      <c r="H123" s="6" t="inlineStr">
        <is>
          <t>Runs its own prefabrication plant, founded 1938</t>
        </is>
      </c>
      <c r="I123" s="8" t="inlineStr">
        <is>
          <t>Yes</t>
        </is>
      </c>
      <c r="J123" s="9" t="inlineStr">
        <is>
          <t>Interior wall and ceiling packages repeating across multifamily and single family work in one metro.</t>
        </is>
      </c>
      <c r="K123" s="8" t="inlineStr">
        <is>
          <t>Partly</t>
        </is>
      </c>
      <c r="L123" s="9" t="inlineStr">
        <is>
          <t>No employee count or annual unit figure is published. On the bands, a firm with no published figure is a Partly.</t>
        </is>
      </c>
      <c r="M123" s="8" t="inlineStr">
        <is>
          <t>Partly</t>
        </is>
      </c>
      <c r="N123"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3" s="8" t="inlineStr">
        <is>
          <t>Yes</t>
        </is>
      </c>
      <c r="P123" s="10" t="inlineStr"/>
      <c r="Q123" s="6">
        <f>HYPERLINK("https://www.linkedin.com/search/results/people/?keywords=Jorge%20Rodriguez%20MAREK","search")</f>
        <v/>
      </c>
      <c r="R123" s="11">
        <f>IF(P123="","ADD LINKEDIN","ok")</f>
        <v/>
      </c>
      <c r="S123" s="6" t="inlineStr">
        <is>
          <t>https://www.marekbros.com/houston/</t>
        </is>
      </c>
      <c r="T123" s="9" t="inlineStr">
        <is>
          <t>It already owns a prefabrication plant and runs separate multifamily and single family divisions, with a named leader on each. The walls it builds are interior, not structural.</t>
        </is>
      </c>
      <c r="U123" s="6" t="inlineStr"/>
      <c r="V123" s="9" t="inlineStr"/>
      <c r="W123" s="6" t="inlineStr"/>
      <c r="X123" s="6" t="inlineStr"/>
      <c r="Y123" s="6" t="inlineStr"/>
      <c r="Z123" s="6" t="inlineStr"/>
      <c r="AA123" s="6" t="inlineStr">
        <is>
          <t>(713) 681-2626</t>
        </is>
      </c>
      <c r="AB123" s="6" t="inlineStr">
        <is>
          <t>commercial, Judiway Street</t>
        </is>
      </c>
      <c r="AC123" s="6" t="inlineStr">
        <is>
          <t>https://www.marekbros.com/houston/</t>
        </is>
      </c>
    </row>
    <row r="124">
      <c r="A124" s="12" t="inlineStr">
        <is>
          <t>Hachem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2" t="inlineStr">
        <is>
          <t>YES</t>
        </is>
      </c>
      <c r="V124" s="15" t="inlineStr">
        <is>
          <t>Headline reads Founder &amp; CEO at CIVE, Inc. Houston, Texas.</t>
        </is>
      </c>
      <c r="W124" s="12" t="inlineStr"/>
      <c r="X124" s="12" t="inlineStr"/>
      <c r="Y124" s="12" t="inlineStr"/>
      <c r="Z124" s="12" t="inlineStr">
        <is>
          <t>2025-03 Construction In Focus. CIVE, Construction and Design at their Finest  https://constructioninfocus.com/2025/03/cive-construction-and-design-at-their-finest/</t>
        </is>
      </c>
      <c r="AA124" s="12" t="inlineStr">
        <is>
          <t>(281) 870-8727</t>
        </is>
      </c>
      <c r="AB124" s="12" t="inlineStr"/>
      <c r="AC124" s="12" t="inlineStr">
        <is>
          <t>https://cive.com/</t>
        </is>
      </c>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6" t="inlineStr">
        <is>
          <t>YES</t>
        </is>
      </c>
      <c r="V125" s="9" t="inlineStr">
        <is>
          <t>Headline reads Head of Structural Engineering at CIVE. Houston, Texas. He is the person broadcast coverage quoted on the printed house in Spring Branch.</t>
        </is>
      </c>
      <c r="W125" s="6" t="inlineStr"/>
      <c r="X125" s="6" t="inlineStr"/>
      <c r="Y125" s="6" t="inlineStr"/>
      <c r="Z125" s="6" t="inlineStr">
        <is>
          <t>2025-03 Construction In Focus. CIVE, Construction and Design at their Finest  https://constructioninfocus.com/2025/03/cive-construction-and-design-at-their-finest/</t>
        </is>
      </c>
      <c r="AA125" s="6" t="inlineStr">
        <is>
          <t>(281) 870-8727</t>
        </is>
      </c>
      <c r="AB125" s="6" t="inlineStr"/>
      <c r="AC125" s="6" t="inlineStr">
        <is>
          <t>https://cive.com/</t>
        </is>
      </c>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2" t="inlineStr"/>
      <c r="V126" s="15" t="inlineStr">
        <is>
          <t>Headline reads Vice President of Construction at CIVE. Houston, Texas. No profile URL was captured in the pass.</t>
        </is>
      </c>
      <c r="W126" s="12" t="inlineStr"/>
      <c r="X126" s="12" t="inlineStr"/>
      <c r="Y126" s="12" t="inlineStr"/>
      <c r="Z126" s="12" t="inlineStr">
        <is>
          <t>2025-03 Construction In Focus. CIVE, Construction and Design at their Finest  https://constructioninfocus.com/2025/03/cive-construction-and-design-at-their-finest/</t>
        </is>
      </c>
      <c r="AA126" s="12" t="inlineStr">
        <is>
          <t>(281) 870-8727</t>
        </is>
      </c>
      <c r="AB126" s="12" t="inlineStr"/>
      <c r="AC126" s="12" t="inlineStr">
        <is>
          <t>https://cive.com/</t>
        </is>
      </c>
    </row>
    <row r="127">
      <c r="A127" s="6" t="inlineStr">
        <is>
          <t>Chris Richardson</t>
        </is>
      </c>
      <c r="B127" s="6" t="inlineStr">
        <is>
          <t>Blazer Building</t>
        </is>
      </c>
      <c r="C127" s="6" t="inlineStr">
        <is>
          <t>Listed under Senior Leadership on the firm's own team page</t>
        </is>
      </c>
      <c r="D127" s="7" t="inlineStr">
        <is>
          <t>Builds the wall, not the house</t>
        </is>
      </c>
      <c r="E127" s="8" t="n">
        <v>2</v>
      </c>
      <c r="F127" s="6" t="inlineStr">
        <is>
          <t>Builds the wall</t>
        </is>
      </c>
      <c r="G127" s="6" t="inlineStr">
        <is>
          <t>Houston, Harris, with Texas growth markets</t>
        </is>
      </c>
      <c r="H127" s="6" t="inlineStr">
        <is>
          <t>Over 44,000 apartment homes in 45-plus years</t>
        </is>
      </c>
      <c r="I127" s="8" t="inlineStr">
        <is>
          <t>Yes</t>
        </is>
      </c>
      <c r="J127" s="9" t="inlineStr">
        <is>
          <t>Garden-style and mid-rise apartment buildings repeating across Texas markets from a Houston office.</t>
        </is>
      </c>
      <c r="K127" s="8" t="inlineStr">
        <is>
          <t>Partly</t>
        </is>
      </c>
      <c r="L127" s="9" t="inlineStr">
        <is>
          <t>Over 44,000 apartment homes in 45 years, so the wall volume is there. It states that it works through trade partners rather than self-performing, so the machine would sit with a subcontractor rather than with Blazer.</t>
        </is>
      </c>
      <c r="M127" s="8" t="inlineStr">
        <is>
          <t>No</t>
        </is>
      </c>
      <c r="N127" s="9" t="inlineStr">
        <is>
          <t>No method statement on record. The only construction-method language on the site is the list of building types it builds.</t>
        </is>
      </c>
      <c r="O127" s="8" t="inlineStr">
        <is>
          <t>Yes</t>
        </is>
      </c>
      <c r="P127" s="10" t="inlineStr"/>
      <c r="Q127" s="6">
        <f>HYPERLINK("https://www.linkedin.com/search/results/people/?keywords=Chris%20Richardson%20Blazer%20Building","search")</f>
        <v/>
      </c>
      <c r="R127" s="11">
        <f>IF(P127="","ADD LINKEDIN","ok")</f>
        <v/>
      </c>
      <c r="S127" s="6" t="inlineStr">
        <is>
          <t>https://www.blazerbuilding.com/</t>
        </is>
      </c>
      <c r="T127" s="9" t="inlineStr">
        <is>
          <t>Over 44,000 apartment homes and 200-plus projects. Garden-style apartments repeat the same wall more than any other product here.</t>
        </is>
      </c>
      <c r="U127" s="6" t="inlineStr"/>
      <c r="V127" s="9" t="inlineStr"/>
      <c r="W127" s="6" t="inlineStr"/>
      <c r="X127" s="6" t="inlineStr"/>
      <c r="Y127" s="6" t="inlineStr"/>
      <c r="Z127" s="6" t="inlineStr"/>
      <c r="AA127" s="6" t="inlineStr">
        <is>
          <t>(713) 914-9200</t>
        </is>
      </c>
      <c r="AB127" s="6" t="inlineStr"/>
      <c r="AC127" s="6" t="inlineStr">
        <is>
          <t>https://www.blazerbuilding.com/</t>
        </is>
      </c>
    </row>
    <row r="128">
      <c r="A128" s="12" t="inlineStr">
        <is>
          <t>Chad Hillman</t>
        </is>
      </c>
      <c r="B128" s="12" t="inlineStr">
        <is>
          <t>Blazer Building</t>
        </is>
      </c>
      <c r="C128" s="12" t="inlineStr">
        <is>
          <t>Listed under Senior Leadership on the firm's own team page</t>
        </is>
      </c>
      <c r="D128" s="13" t="inlineStr">
        <is>
          <t>Builds the wall, not the house</t>
        </is>
      </c>
      <c r="E128" s="14" t="n">
        <v>2</v>
      </c>
      <c r="F128" s="12" t="inlineStr">
        <is>
          <t>Builds the wall</t>
        </is>
      </c>
      <c r="G128" s="12" t="inlineStr">
        <is>
          <t>Houston, Harris, with Texas growth markets</t>
        </is>
      </c>
      <c r="H128" s="12" t="inlineStr">
        <is>
          <t>Over 44,000 apartment homes in 45-plus years</t>
        </is>
      </c>
      <c r="I128" s="14" t="inlineStr">
        <is>
          <t>Yes</t>
        </is>
      </c>
      <c r="J128" s="15" t="inlineStr">
        <is>
          <t>Garden-style and mid-rise apartment buildings repeating across Texas markets from a Houston office.</t>
        </is>
      </c>
      <c r="K128" s="14" t="inlineStr">
        <is>
          <t>Partly</t>
        </is>
      </c>
      <c r="L128" s="15" t="inlineStr">
        <is>
          <t>Over 44,000 apartment homes in 45 years, so the wall volume is there. It states that it works through trade partners rather than self-performing, so the machine would sit with a subcontractor rather than with Blazer.</t>
        </is>
      </c>
      <c r="M128" s="14" t="inlineStr">
        <is>
          <t>No</t>
        </is>
      </c>
      <c r="N128" s="15" t="inlineStr">
        <is>
          <t>No method statement on record. The only construction-method language on the site is the list of building types it builds.</t>
        </is>
      </c>
      <c r="O128" s="14" t="inlineStr">
        <is>
          <t>Yes</t>
        </is>
      </c>
      <c r="P128" s="10" t="inlineStr"/>
      <c r="Q128" s="12">
        <f>HYPERLINK("https://www.linkedin.com/search/results/people/?keywords=Chad%20Hillman%20Blazer%20Building","search")</f>
        <v/>
      </c>
      <c r="R128" s="16">
        <f>IF(P128="","ADD LINKEDIN","ok")</f>
        <v/>
      </c>
      <c r="S128" s="12" t="inlineStr">
        <is>
          <t>https://www.blazerbuilding.com/</t>
        </is>
      </c>
      <c r="T128" s="15" t="inlineStr">
        <is>
          <t>Over 44,000 apartment homes and 200-plus projects. Garden-style apartments repeat the same wall more than any other product here.</t>
        </is>
      </c>
      <c r="U128" s="12" t="inlineStr"/>
      <c r="V128" s="15" t="inlineStr"/>
      <c r="W128" s="12" t="inlineStr"/>
      <c r="X128" s="12" t="inlineStr"/>
      <c r="Y128" s="12" t="inlineStr"/>
      <c r="Z128" s="12" t="inlineStr"/>
      <c r="AA128" s="12" t="inlineStr">
        <is>
          <t>(713) 914-9200</t>
        </is>
      </c>
      <c r="AB128" s="12" t="inlineStr"/>
      <c r="AC128" s="12" t="inlineStr">
        <is>
          <t>https://www.blazerbuilding.com/</t>
        </is>
      </c>
    </row>
    <row r="129">
      <c r="A129" s="6" t="inlineStr">
        <is>
          <t>Matt Fuqua</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HYPERLINK("https://www.linkedin.com/search/results/people/?keywords=Matt%20Fuqua%20Blazer%20Building","search")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c r="AA129" s="6" t="inlineStr">
        <is>
          <t>(713) 914-9200</t>
        </is>
      </c>
      <c r="AB129" s="6" t="inlineStr"/>
      <c r="AC129" s="6" t="inlineStr">
        <is>
          <t>https://www.blazerbuilding.com/</t>
        </is>
      </c>
    </row>
    <row r="130">
      <c r="A130" s="12" t="inlineStr">
        <is>
          <t>Brian Henderson</t>
        </is>
      </c>
      <c r="B130" s="12" t="inlineStr">
        <is>
          <t>Blazer Building</t>
        </is>
      </c>
      <c r="C130" s="12" t="inlineStr">
        <is>
          <t>Listed under Senior Leadership and Construction Supervision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HYPERLINK("https://www.linkedin.com/search/results/people/?keywords=Brian%20Henderson%20Blazer%20Building","search")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c r="AA130" s="12" t="inlineStr">
        <is>
          <t>(713) 914-9200</t>
        </is>
      </c>
      <c r="AB130" s="12" t="inlineStr"/>
      <c r="AC130" s="12" t="inlineStr">
        <is>
          <t>https://www.blazerbuilding.com/</t>
        </is>
      </c>
    </row>
    <row r="131">
      <c r="A131" s="6" t="inlineStr">
        <is>
          <t>Trey Green</t>
        </is>
      </c>
      <c r="B131" s="6" t="inlineStr">
        <is>
          <t>Greco Structures</t>
        </is>
      </c>
      <c r="C131" s="6" t="inlineStr">
        <is>
          <t>Senior Vice President, Self Perform Group, Satterfield and Pontikes, named on the parent's own team page as overseeing Greco Structures, Rollcon, Rocket Pumping and Westway</t>
        </is>
      </c>
      <c r="D131" s="7" t="inlineStr">
        <is>
          <t>Builds the wall, not the house</t>
        </is>
      </c>
      <c r="E131" s="8" t="n">
        <v>2</v>
      </c>
      <c r="F131" s="6" t="inlineStr">
        <is>
          <t>Builds the wall</t>
        </is>
      </c>
      <c r="G131" s="6" t="inlineStr">
        <is>
          <t>Houston, working Harris and Fort Bend</t>
        </is>
      </c>
      <c r="H131" s="6" t="inlineStr">
        <is>
          <t>49 panels, tallest 52 feet 7 inches, on one job</t>
        </is>
      </c>
      <c r="I131" s="8" t="inlineStr">
        <is>
          <t>Yes</t>
        </is>
      </c>
      <c r="J131" s="9" t="inlineStr">
        <is>
          <t>Panel and deck work recurring across Houston projects for a standing set of general contractors.</t>
        </is>
      </c>
      <c r="K131" s="8" t="inlineStr">
        <is>
          <t>Partly</t>
        </is>
      </c>
      <c r="L131" s="9" t="inlineStr">
        <is>
          <t>No crew count or annual volume is published, and the purchase would clear through the parent's self-perform group rather than through Greco. On the bands, both of those are a Partly.</t>
        </is>
      </c>
      <c r="M131" s="8" t="inlineStr">
        <is>
          <t>No</t>
        </is>
      </c>
      <c r="N131" s="9" t="inlineStr">
        <is>
          <t>No method statement on record.</t>
        </is>
      </c>
      <c r="O131" s="8" t="inlineStr">
        <is>
          <t>Yes</t>
        </is>
      </c>
      <c r="P131" s="10" t="inlineStr"/>
      <c r="Q131" s="6">
        <f>HYPERLINK("https://www.linkedin.com/search/results/people/?keywords=Trey%20Green%20Greco%20Structures","search")</f>
        <v/>
      </c>
      <c r="R131" s="11">
        <f>IF(P131="","ADD LINKEDIN","ok")</f>
        <v/>
      </c>
      <c r="S131" s="6" t="inlineStr">
        <is>
          <t>https://grecostructures.com/</t>
        </is>
      </c>
      <c r="T131" s="9" t="inlineStr">
        <is>
          <t>Panels at 52 feet and elevated post-tensioned decks. The work repeats inside one metro and is bought by general contractors rather than by owners.</t>
        </is>
      </c>
      <c r="U131" s="6" t="inlineStr">
        <is>
          <t>YES</t>
        </is>
      </c>
      <c r="V131" s="9" t="inlineStr">
        <is>
          <t>Trey Green is named on Satterfield and Pontikes' own team page and returns no LinkedIn result against the parent's name.</t>
        </is>
      </c>
      <c r="W131" s="6" t="inlineStr"/>
      <c r="X131" s="6" t="inlineStr"/>
      <c r="Y131" s="6" t="inlineStr"/>
      <c r="Z131" s="6" t="inlineStr"/>
      <c r="AA131" s="6" t="inlineStr">
        <is>
          <t>(713) 375-2380</t>
        </is>
      </c>
      <c r="AB131" s="6" t="inlineStr"/>
      <c r="AC131" s="6" t="inlineStr">
        <is>
          <t>https://grecostructures.com/contact/</t>
        </is>
      </c>
    </row>
    <row r="132">
      <c r="A132" s="12" t="inlineStr">
        <is>
          <t>George A. Pontikes Jr.</t>
        </is>
      </c>
      <c r="B132" s="12" t="inlineStr">
        <is>
          <t>Greco Structures</t>
        </is>
      </c>
      <c r="C132" s="12" t="inlineStr">
        <is>
          <t>Chief Executive Officer and Chairman, Satterfield and Pontikes</t>
        </is>
      </c>
      <c r="D132" s="13" t="inlineStr">
        <is>
          <t>Builds the wall, not the house</t>
        </is>
      </c>
      <c r="E132" s="14" t="n">
        <v>2</v>
      </c>
      <c r="F132" s="12" t="inlineStr">
        <is>
          <t>Builds the wall</t>
        </is>
      </c>
      <c r="G132" s="12" t="inlineStr">
        <is>
          <t>Houston, working Harris and Fort Bend</t>
        </is>
      </c>
      <c r="H132" s="12" t="inlineStr">
        <is>
          <t>49 panels, tallest 52 feet 7 inches, on one job</t>
        </is>
      </c>
      <c r="I132" s="14" t="inlineStr">
        <is>
          <t>Yes</t>
        </is>
      </c>
      <c r="J132" s="15" t="inlineStr">
        <is>
          <t>Panel and deck work recurring across Houston projects for a standing set of general contractors.</t>
        </is>
      </c>
      <c r="K132" s="14" t="inlineStr">
        <is>
          <t>Partly</t>
        </is>
      </c>
      <c r="L132" s="15" t="inlineStr">
        <is>
          <t>No crew count or annual volume is published, and the purchase would clear through the parent's self-perform group rather than through Greco. On the bands, both of those are a Partly.</t>
        </is>
      </c>
      <c r="M132" s="14" t="inlineStr">
        <is>
          <t>No</t>
        </is>
      </c>
      <c r="N132" s="15" t="inlineStr">
        <is>
          <t>No method statement on record.</t>
        </is>
      </c>
      <c r="O132" s="14" t="inlineStr">
        <is>
          <t>Yes</t>
        </is>
      </c>
      <c r="P132" s="10" t="inlineStr"/>
      <c r="Q132" s="12">
        <f>HYPERLINK("https://www.linkedin.com/search/results/people/?keywords=George%20A.%20Pontikes%20Jr.%20Greco%20Structures","search")</f>
        <v/>
      </c>
      <c r="R132" s="16">
        <f>IF(P132="","ADD LINKEDIN","ok")</f>
        <v/>
      </c>
      <c r="S132" s="12" t="inlineStr">
        <is>
          <t>https://grecostructures.com/</t>
        </is>
      </c>
      <c r="T132" s="15" t="inlineStr">
        <is>
          <t>Panels at 52 feet and elevated post-tensioned decks. The work repeats inside one metro and is bought by general contractors rather than by owners.</t>
        </is>
      </c>
      <c r="U132" s="12" t="inlineStr"/>
      <c r="V132" s="15" t="inlineStr"/>
      <c r="W132" s="12" t="inlineStr"/>
      <c r="X132" s="12" t="inlineStr"/>
      <c r="Y132" s="12" t="inlineStr"/>
      <c r="Z132" s="12" t="inlineStr"/>
      <c r="AA132" s="12" t="inlineStr">
        <is>
          <t>(713) 375-2380</t>
        </is>
      </c>
      <c r="AB132" s="12" t="inlineStr"/>
      <c r="AC132" s="12" t="inlineStr">
        <is>
          <t>https://grecostructures.com/contact/</t>
        </is>
      </c>
    </row>
    <row r="133">
      <c r="A133" s="6" t="inlineStr">
        <is>
          <t>Thomas Valentine</t>
        </is>
      </c>
      <c r="B133" s="6" t="inlineStr">
        <is>
          <t>Greco Structures</t>
        </is>
      </c>
      <c r="C133" s="6" t="inlineStr">
        <is>
          <t>Operations Manager</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6" t="inlineStr">
        <is>
          <t>https://www.linkedin.com/in/thomas-valentine-6b1a7b117/</t>
        </is>
      </c>
      <c r="Q133" s="6" t="inlineStr"/>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c r="V133" s="9" t="inlineStr">
        <is>
          <t>Headline reads Operations Manager at Greco Structures. Spring, Texas.</t>
        </is>
      </c>
      <c r="W133" s="6" t="inlineStr"/>
      <c r="X133" s="6" t="inlineStr"/>
      <c r="Y133" s="6" t="inlineStr"/>
      <c r="Z133" s="6" t="inlineStr"/>
      <c r="AA133" s="6" t="inlineStr">
        <is>
          <t>(713) 375-2380</t>
        </is>
      </c>
      <c r="AB133" s="6" t="inlineStr"/>
      <c r="AC133" s="6" t="inlineStr">
        <is>
          <t>https://grecostructures.com/contact/</t>
        </is>
      </c>
    </row>
    <row r="134">
      <c r="A134" s="12" t="inlineStr">
        <is>
          <t>Jordan Lopez</t>
        </is>
      </c>
      <c r="B134" s="12" t="inlineStr">
        <is>
          <t>Greco Structures</t>
        </is>
      </c>
      <c r="C134" s="12" t="inlineStr">
        <is>
          <t>Business Development, Greco Structures and Rollcon</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6" t="inlineStr">
        <is>
          <t>https://www.linkedin.com/in/jordan-lopez-528225229/</t>
        </is>
      </c>
      <c r="Q134" s="12" t="inlineStr"/>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is>
          <t>Headline reads Business Development Specialist for Greco Structures &amp; Rollcon. Houston, Texas.</t>
        </is>
      </c>
      <c r="W134" s="12" t="inlineStr"/>
      <c r="X134" s="12" t="inlineStr"/>
      <c r="Y134" s="12" t="inlineStr"/>
      <c r="Z134" s="12" t="inlineStr"/>
      <c r="AA134" s="12" t="inlineStr">
        <is>
          <t>(713) 375-2380</t>
        </is>
      </c>
      <c r="AB134" s="12" t="inlineStr"/>
      <c r="AC134" s="12" t="inlineStr">
        <is>
          <t>https://grecostructures.com/contact/</t>
        </is>
      </c>
    </row>
    <row r="135">
      <c r="A135" s="6" t="inlineStr">
        <is>
          <t>David E. Harvey Sr.</t>
        </is>
      </c>
      <c r="B135" s="6" t="inlineStr">
        <is>
          <t>Harvey Cleary</t>
        </is>
      </c>
      <c r="C135" s="6" t="inlineStr">
        <is>
          <t>Founder, named on the firm's own about page</t>
        </is>
      </c>
      <c r="D135" s="7" t="inlineStr">
        <is>
          <t>Builds the wall, not the house</t>
        </is>
      </c>
      <c r="E135" s="8" t="n">
        <v>2</v>
      </c>
      <c r="F135" s="6" t="inlineStr">
        <is>
          <t>Builds the wall</t>
        </is>
      </c>
      <c r="G135" s="6" t="inlineStr">
        <is>
          <t>Houston, with Austin, San Antonio, Denver and Washington</t>
        </is>
      </c>
      <c r="H135" s="6" t="inlineStr">
        <is>
          <t>$2 billion in volume, 700-plus employees, founded 1957</t>
        </is>
      </c>
      <c r="I135" s="8" t="inlineStr">
        <is>
          <t>Yes</t>
        </is>
      </c>
      <c r="J135" s="9" t="inlineStr">
        <is>
          <t>A standing residential market inside the firm, with multifamily buildings delivered repeatedly alongside the commercial work.</t>
        </is>
      </c>
      <c r="K135" s="8" t="inlineStr">
        <is>
          <t>Partly</t>
        </is>
      </c>
      <c r="L135" s="9" t="inlineStr">
        <is>
          <t>$2 billion in construction volume and more than 700 employees on the firm's own count. One or two printers would be a line inside a business that size rather than the business.</t>
        </is>
      </c>
      <c r="M135" s="8" t="inlineStr">
        <is>
          <t>No</t>
        </is>
      </c>
      <c r="N135" s="9" t="inlineStr">
        <is>
          <t>No method statement on record. Owning the equipment and the crews is not the same as having paid for a method that was new at the time.</t>
        </is>
      </c>
      <c r="O135" s="8" t="inlineStr">
        <is>
          <t>Yes</t>
        </is>
      </c>
      <c r="P135" s="10" t="inlineStr"/>
      <c r="Q135" s="6">
        <f>HYPERLINK("https://www.linkedin.com/search/results/people/?keywords=David%20E.%20Harvey%20Sr.%20Harvey%20Cleary","search")</f>
        <v/>
      </c>
      <c r="R135" s="11">
        <f>IF(P135="","ADD LINKEDIN","ok")</f>
        <v/>
      </c>
      <c r="S135" s="6" t="inlineStr">
        <is>
          <t>https://www.harveycleary.com/</t>
        </is>
      </c>
      <c r="T135" s="9" t="inlineStr">
        <is>
          <t>It owns formwork, rebar, place and finish, tiltwall erection, architectural precast and tower crane erection, and it builds apartments. No other firm screened discloses that much owned trade.</t>
        </is>
      </c>
      <c r="U135" s="6" t="inlineStr"/>
      <c r="V135" s="9" t="inlineStr"/>
      <c r="W135" s="6" t="inlineStr"/>
      <c r="X135" s="6" t="inlineStr"/>
      <c r="Y135" s="6" t="inlineStr"/>
      <c r="Z135" s="6" t="inlineStr">
        <is>
          <t>2026 Engineering News-Record. ENR 2026 Top 400 Contractors, where the firm is ranked 72  https://www.enr.com/toplists/2026-Top-400-Contractors-1</t>
        </is>
      </c>
      <c r="AA135" s="6" t="inlineStr"/>
      <c r="AB135" s="6" t="inlineStr"/>
      <c r="AC135" s="6" t="inlineStr"/>
    </row>
    <row r="136">
      <c r="A136" s="12" t="inlineStr">
        <is>
          <t>David Harvey Jr.</t>
        </is>
      </c>
      <c r="B136" s="12" t="inlineStr">
        <is>
          <t>Harvey Cleary</t>
        </is>
      </c>
      <c r="C136" s="12" t="inlineStr">
        <is>
          <t>Took ownership in 1987, named on the firm's own about page</t>
        </is>
      </c>
      <c r="D136" s="13" t="inlineStr">
        <is>
          <t>Builds the wall, not the house</t>
        </is>
      </c>
      <c r="E136" s="14" t="n">
        <v>2</v>
      </c>
      <c r="F136" s="12" t="inlineStr">
        <is>
          <t>Builds the wall</t>
        </is>
      </c>
      <c r="G136" s="12" t="inlineStr">
        <is>
          <t>Houston, with Austin, San Antonio, Denver and Washington</t>
        </is>
      </c>
      <c r="H136" s="12" t="inlineStr">
        <is>
          <t>$2 billion in volume, 700-plus employees, founded 1957</t>
        </is>
      </c>
      <c r="I136" s="14" t="inlineStr">
        <is>
          <t>Yes</t>
        </is>
      </c>
      <c r="J136" s="15" t="inlineStr">
        <is>
          <t>A standing residential market inside the firm, with multifamily buildings delivered repeatedly alongside the commercial work.</t>
        </is>
      </c>
      <c r="K136" s="14" t="inlineStr">
        <is>
          <t>Partly</t>
        </is>
      </c>
      <c r="L136" s="15" t="inlineStr">
        <is>
          <t>$2 billion in construction volume and more than 700 employees on the firm's own count. One or two printers would be a line inside a business that size rather than the business.</t>
        </is>
      </c>
      <c r="M136" s="14" t="inlineStr">
        <is>
          <t>No</t>
        </is>
      </c>
      <c r="N136" s="15" t="inlineStr">
        <is>
          <t>No method statement on record. Owning the equipment and the crews is not the same as having paid for a method that was new at the time.</t>
        </is>
      </c>
      <c r="O136" s="14" t="inlineStr">
        <is>
          <t>Yes</t>
        </is>
      </c>
      <c r="P136" s="10" t="inlineStr"/>
      <c r="Q136" s="12">
        <f>HYPERLINK("https://www.linkedin.com/search/results/people/?keywords=David%20Harvey%20Jr.%20Harvey%20Cleary","search")</f>
        <v/>
      </c>
      <c r="R136" s="16">
        <f>IF(P136="","ADD LINKEDIN","ok")</f>
        <v/>
      </c>
      <c r="S136" s="12" t="inlineStr">
        <is>
          <t>https://www.harveycleary.com/</t>
        </is>
      </c>
      <c r="T136" s="15" t="inlineStr">
        <is>
          <t>It owns formwork, rebar, place and finish, tiltwall erection, architectural precast and tower crane erection, and it builds apartments. No other firm screened discloses that much owned trade.</t>
        </is>
      </c>
      <c r="U136" s="12" t="inlineStr"/>
      <c r="V136" s="15" t="inlineStr"/>
      <c r="W136" s="12" t="inlineStr"/>
      <c r="X136" s="12" t="inlineStr"/>
      <c r="Y136" s="12" t="inlineStr"/>
      <c r="Z136" s="12" t="inlineStr">
        <is>
          <t>2026 Engineering News-Record. ENR 2026 Top 400 Contractors, where the firm is ranked 72  https://www.enr.com/toplists/2026-Top-400-Contractors-1</t>
        </is>
      </c>
      <c r="AA136" s="12" t="inlineStr"/>
      <c r="AB136" s="12" t="inlineStr"/>
      <c r="AC136" s="12" t="inlineStr"/>
    </row>
    <row r="137">
      <c r="A137" s="6" t="inlineStr">
        <is>
          <t>Joseph Cleary</t>
        </is>
      </c>
      <c r="B137" s="6" t="inlineStr">
        <is>
          <t>Harvey Cleary</t>
        </is>
      </c>
      <c r="C137" s="6" t="inlineStr">
        <is>
          <t>Took ownership in 1987,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HYPERLINK("https://www.linkedin.com/search/results/people/?keywords=Joseph%20Cleary%20Harvey%20Cleary","search")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c r="AA137" s="6" t="inlineStr"/>
      <c r="AB137" s="6" t="inlineStr"/>
      <c r="AC137" s="6" t="inlineStr"/>
    </row>
    <row r="138">
      <c r="A138" s="12" t="inlineStr">
        <is>
          <t>Scott Clarke</t>
        </is>
      </c>
      <c r="B138" s="12" t="inlineStr">
        <is>
          <t>Harvey Cleary</t>
        </is>
      </c>
      <c r="C138" s="12" t="inlineStr">
        <is>
          <t>Chief Operating Officer</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6" t="inlineStr">
        <is>
          <t>https://www.linkedin.com/in/scott-clarke-a2a1a521/</t>
        </is>
      </c>
      <c r="Q138" s="12" t="inlineStr"/>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is>
          <t>YES</t>
        </is>
      </c>
      <c r="V138" s="15" t="inlineStr">
        <is>
          <t>Headline reads Chief Operating Officer at Harvey | Harvey-Cleary Builders. Houston, Texas.</t>
        </is>
      </c>
      <c r="W138" s="12" t="inlineStr"/>
      <c r="X138" s="12" t="inlineStr"/>
      <c r="Y138" s="12" t="inlineStr"/>
      <c r="Z138" s="12" t="inlineStr">
        <is>
          <t>2026 Engineering News-Record. ENR 2026 Top 400 Contractors, where the firm is ranked 72  https://www.enr.com/toplists/2026-Top-400-Contractors-1</t>
        </is>
      </c>
      <c r="AA138" s="12" t="inlineStr"/>
      <c r="AB138" s="12" t="inlineStr"/>
      <c r="AC138" s="12" t="inlineStr"/>
    </row>
    <row r="139">
      <c r="A139" s="6" t="inlineStr">
        <is>
          <t>Jarrod Portelance</t>
        </is>
      </c>
      <c r="B139" s="6" t="inlineStr">
        <is>
          <t>Harvey Cleary</t>
        </is>
      </c>
      <c r="C139" s="6" t="inlineStr">
        <is>
          <t>Project Director</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6" t="inlineStr">
        <is>
          <t>https://www.linkedin.com/in/jarrodportelance/</t>
        </is>
      </c>
      <c r="Q139" s="6" t="inlineStr"/>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is>
          <t>Headline reads Project Director at Harvey | Harvey-Cleary Builders. Houston, Texas.</t>
        </is>
      </c>
      <c r="W139" s="6" t="inlineStr"/>
      <c r="X139" s="6" t="inlineStr"/>
      <c r="Y139" s="6" t="inlineStr"/>
      <c r="Z139" s="6" t="inlineStr">
        <is>
          <t>2026 Engineering News-Record. ENR 2026 Top 400 Contractors, where the firm is ranked 72  https://www.enr.com/toplists/2026-Top-400-Contractors-1</t>
        </is>
      </c>
      <c r="AA139" s="6" t="inlineStr"/>
      <c r="AB139" s="6" t="inlineStr"/>
      <c r="AC139" s="6" t="inlineStr"/>
    </row>
    <row r="140">
      <c r="A140" s="12" t="inlineStr">
        <is>
          <t>Travis Boone</t>
        </is>
      </c>
      <c r="B140" s="12" t="inlineStr">
        <is>
          <t>ORION</t>
        </is>
      </c>
      <c r="C140" s="12" t="inlineStr">
        <is>
          <t>Chief Executive Officer, Orion Group Holdings, quoted in the firm's own release of 29 January 2024</t>
        </is>
      </c>
      <c r="D140" s="13" t="inlineStr">
        <is>
          <t>Builds the wall, not the house</t>
        </is>
      </c>
      <c r="E140" s="14" t="n">
        <v>2</v>
      </c>
      <c r="F140" s="12" t="inlineStr">
        <is>
          <t>Builds the wall</t>
        </is>
      </c>
      <c r="G140" s="12" t="inlineStr">
        <is>
          <t>Houston, Harris</t>
        </is>
      </c>
      <c r="H140" s="12" t="inlineStr">
        <is>
          <t>257 panels and 175,820 square feet of wall on one job</t>
        </is>
      </c>
      <c r="I140" s="14" t="inlineStr">
        <is>
          <t>Yes</t>
        </is>
      </c>
      <c r="J140" s="15" t="inlineStr">
        <is>
          <t>Panel production at the top of the metro's range, recurring across institutional and commercial work.</t>
        </is>
      </c>
      <c r="K140" s="14" t="inlineStr">
        <is>
          <t>Partly</t>
        </is>
      </c>
      <c r="L140" s="15" t="inlineStr">
        <is>
          <t>The concrete business is large enough that a printer is a line item, and the capital decision sits with a listed parent rather than in Houston.</t>
        </is>
      </c>
      <c r="M140" s="14" t="inlineStr">
        <is>
          <t>No</t>
        </is>
      </c>
      <c r="N140" s="15" t="inlineStr">
        <is>
          <t>No method statement on record.</t>
        </is>
      </c>
      <c r="O140" s="14" t="inlineStr">
        <is>
          <t>Yes</t>
        </is>
      </c>
      <c r="P140" s="10" t="inlineStr"/>
      <c r="Q140" s="12">
        <f>HYPERLINK("https://www.linkedin.com/search/results/people/?keywords=Travis%20Boone%20ORION","search")</f>
        <v/>
      </c>
      <c r="R140" s="16">
        <f>IF(P140="","ADD LINKEDIN","ok")</f>
        <v/>
      </c>
      <c r="S140" s="12" t="inlineStr">
        <is>
          <t>https://www.oriongroupholdingsinc.com/</t>
        </is>
      </c>
      <c r="T140" s="15" t="inlineStr">
        <is>
          <t>The largest single panel production found in the metro, at 257 panels on one school. Purchasing now runs through a listed parent.</t>
        </is>
      </c>
      <c r="U140" s="12" t="inlineStr">
        <is>
          <t>YES</t>
        </is>
      </c>
      <c r="V140" s="15" t="inlineStr">
        <is>
          <t>Travis Boone runs the listed parent, not the Houston concrete business.</t>
        </is>
      </c>
      <c r="W140" s="12" t="inlineStr"/>
      <c r="X140" s="12" t="inlineStr"/>
      <c r="Y140" s="12" t="inlineStr"/>
      <c r="Z140" s="12" t="inlineStr"/>
      <c r="AA140" s="12" t="inlineStr">
        <is>
          <t>(713) 852-6500</t>
        </is>
      </c>
      <c r="AB140" s="12" t="inlineStr"/>
      <c r="AC140" s="12" t="inlineStr">
        <is>
          <t>https://www.oriongroupholdingsinc.com/</t>
        </is>
      </c>
    </row>
    <row r="141">
      <c r="A141" s="6" t="inlineStr">
        <is>
          <t>Mark Scully</t>
        </is>
      </c>
      <c r="B141" s="6" t="inlineStr">
        <is>
          <t>Encore Concrete Construction</t>
        </is>
      </c>
      <c r="C141" s="6" t="inlineStr">
        <is>
          <t>President</t>
        </is>
      </c>
      <c r="D141" s="7" t="inlineStr">
        <is>
          <t>Builds the wall, not the house</t>
        </is>
      </c>
      <c r="E141" s="8" t="n">
        <v>2</v>
      </c>
      <c r="F141" s="6" t="inlineStr">
        <is>
          <t>Builds the wall</t>
        </is>
      </c>
      <c r="G141" s="6" t="inlineStr">
        <is>
          <t>Spring, Harris and Montgomery</t>
        </is>
      </c>
      <c r="H141" s="6" t="inlineStr">
        <is>
          <t>Employee-owned, and lists elevated multifamily as a project type</t>
        </is>
      </c>
      <c r="I141" s="8" t="inlineStr">
        <is>
          <t>Yes</t>
        </is>
      </c>
      <c r="J141" s="9" t="inlineStr">
        <is>
          <t>Tilt-up warehouses, retail centres and schools repeating inside the Houston market.</t>
        </is>
      </c>
      <c r="K141" s="8" t="inlineStr">
        <is>
          <t>Partly</t>
        </is>
      </c>
      <c r="L141" s="9" t="inlineStr">
        <is>
          <t>No crew count or annual volume is published. The one published job runs to 32 panels across four floors. On the bands, a firm with no annual figure is a Partly.</t>
        </is>
      </c>
      <c r="M141" s="8" t="inlineStr">
        <is>
          <t>No</t>
        </is>
      </c>
      <c r="N141" s="9" t="inlineStr">
        <is>
          <t>No method statement on record. The 2025 tilt-up award is for execution, not for a new method.</t>
        </is>
      </c>
      <c r="O141" s="8" t="inlineStr">
        <is>
          <t>Partly</t>
        </is>
      </c>
      <c r="P141" s="6" t="inlineStr">
        <is>
          <t>https://www.linkedin.com/in/mark-scully-596648201/</t>
        </is>
      </c>
      <c r="Q141" s="6" t="inlineStr"/>
      <c r="R141" s="11">
        <f>IF(P141="","ADD LINKEDIN","ok")</f>
        <v/>
      </c>
      <c r="S141" s="6" t="inlineStr">
        <is>
          <t>https://www.encoreconcrete.com/</t>
        </is>
      </c>
      <c r="T141" s="9" t="inlineStr">
        <is>
          <t>Employee-owned, so the capital decision is made inside the company. Elevated multifamily is one of the seven project types it publishes.</t>
        </is>
      </c>
      <c r="U141" s="6" t="inlineStr">
        <is>
          <t>YES</t>
        </is>
      </c>
      <c r="V141" s="9" t="inlineStr">
        <is>
          <t>Headline reads President at Encore Concrete Construction. Spring, Texas.</t>
        </is>
      </c>
      <c r="W141" s="6" t="inlineStr"/>
      <c r="X141" s="6" t="inlineStr"/>
      <c r="Y141" s="6" t="inlineStr"/>
      <c r="Z141" s="6" t="inlineStr"/>
      <c r="AA141" s="6" t="inlineStr">
        <is>
          <t>(832) 663-6800</t>
        </is>
      </c>
      <c r="AB141" s="6" t="inlineStr"/>
      <c r="AC141" s="6" t="inlineStr">
        <is>
          <t>https://www.encoreconcrete.com/</t>
        </is>
      </c>
    </row>
    <row r="142">
      <c r="A142" s="12" t="inlineStr">
        <is>
          <t>Tim Manherz</t>
        </is>
      </c>
      <c r="B142" s="12" t="inlineStr">
        <is>
          <t>Encore Concrete Construction</t>
        </is>
      </c>
      <c r="C142" s="12" t="inlineStr">
        <is>
          <t>Vice President</t>
        </is>
      </c>
      <c r="D142" s="13" t="inlineStr">
        <is>
          <t>Builds the wall, not the house</t>
        </is>
      </c>
      <c r="E142" s="14" t="n">
        <v>2</v>
      </c>
      <c r="F142" s="12" t="inlineStr">
        <is>
          <t>Builds the wall</t>
        </is>
      </c>
      <c r="G142" s="12" t="inlineStr">
        <is>
          <t>Spring, Harris and Montgomery</t>
        </is>
      </c>
      <c r="H142" s="12" t="inlineStr">
        <is>
          <t>Employee-owned, and lists elevated multifamily as a project type</t>
        </is>
      </c>
      <c r="I142" s="14" t="inlineStr">
        <is>
          <t>Yes</t>
        </is>
      </c>
      <c r="J142" s="15" t="inlineStr">
        <is>
          <t>Tilt-up warehouses, retail centres and schools repeating inside the Houston market.</t>
        </is>
      </c>
      <c r="K142" s="14" t="inlineStr">
        <is>
          <t>Partly</t>
        </is>
      </c>
      <c r="L142" s="15" t="inlineStr">
        <is>
          <t>No crew count or annual volume is published. The one published job runs to 32 panels across four floors. On the bands, a firm with no annual figure is a Partly.</t>
        </is>
      </c>
      <c r="M142" s="14" t="inlineStr">
        <is>
          <t>No</t>
        </is>
      </c>
      <c r="N142" s="15" t="inlineStr">
        <is>
          <t>No method statement on record. The 2025 tilt-up award is for execution, not for a new method.</t>
        </is>
      </c>
      <c r="O142" s="14" t="inlineStr">
        <is>
          <t>Partly</t>
        </is>
      </c>
      <c r="P142" s="6" t="inlineStr">
        <is>
          <t>https://www.linkedin.com/in/tim-manherz-9a2b62148/</t>
        </is>
      </c>
      <c r="Q142" s="12" t="inlineStr"/>
      <c r="R142" s="16">
        <f>IF(P142="","ADD LINKEDIN","ok")</f>
        <v/>
      </c>
      <c r="S142" s="12" t="inlineStr">
        <is>
          <t>https://www.encoreconcrete.com/</t>
        </is>
      </c>
      <c r="T142" s="15" t="inlineStr">
        <is>
          <t>Employee-owned, so the capital decision is made inside the company. Elevated multifamily is one of the seven project types it publishes.</t>
        </is>
      </c>
      <c r="U142" s="12" t="inlineStr">
        <is>
          <t>YES</t>
        </is>
      </c>
      <c r="V142" s="15" t="inlineStr">
        <is>
          <t>Headline reads Vice President at Encore Concrete Construction. Greater Houston.</t>
        </is>
      </c>
      <c r="W142" s="12" t="inlineStr"/>
      <c r="X142" s="12" t="inlineStr"/>
      <c r="Y142" s="12" t="inlineStr"/>
      <c r="Z142" s="12" t="inlineStr"/>
      <c r="AA142" s="12" t="inlineStr">
        <is>
          <t>(832) 663-6800</t>
        </is>
      </c>
      <c r="AB142" s="12" t="inlineStr"/>
      <c r="AC142" s="12" t="inlineStr">
        <is>
          <t>https://www.encoreconcrete.com/</t>
        </is>
      </c>
    </row>
    <row r="143">
      <c r="A143" s="6" t="inlineStr">
        <is>
          <t>Steve Salverino</t>
        </is>
      </c>
      <c r="B143" s="6" t="inlineStr">
        <is>
          <t>Rino Construction</t>
        </is>
      </c>
      <c r="C143" s="6" t="inlineStr">
        <is>
          <t>Chief Executive Officer, named on the firm's own leadership page</t>
        </is>
      </c>
      <c r="D143" s="7" t="inlineStr">
        <is>
          <t>Builds the wall, not the house</t>
        </is>
      </c>
      <c r="E143" s="8" t="n">
        <v>2</v>
      </c>
      <c r="F143" s="6" t="inlineStr">
        <is>
          <t>Builds the wall</t>
        </is>
      </c>
      <c r="G143" s="6" t="inlineStr">
        <is>
          <t>Katy, Harris and Fort Bend, with Austin</t>
        </is>
      </c>
      <c r="H143" s="6" t="inlineStr">
        <is>
          <t>Operating since 1991, tilt-up its stated specialty</t>
        </is>
      </c>
      <c r="I143" s="8" t="inlineStr">
        <is>
          <t>Yes</t>
        </is>
      </c>
      <c r="J143" s="9" t="inlineStr">
        <is>
          <t>Tilt-up buildings recurring across two Texas metros since 1991, at 48 million square feet on its own count.</t>
        </is>
      </c>
      <c r="K143" s="8" t="inlineStr">
        <is>
          <t>Partly</t>
        </is>
      </c>
      <c r="L143" s="9" t="inlineStr">
        <is>
          <t>48 million square feet since 1991 on the firm's own homepage. A second page still carries an older 38 million. No annual figure is published, so this sits at a Partly.</t>
        </is>
      </c>
      <c r="M143" s="8" t="inlineStr">
        <is>
          <t>No</t>
        </is>
      </c>
      <c r="N143" s="9" t="inlineStr">
        <is>
          <t>No method statement on record.</t>
        </is>
      </c>
      <c r="O143" s="8" t="inlineStr">
        <is>
          <t>Partly</t>
        </is>
      </c>
      <c r="P143" s="10" t="inlineStr"/>
      <c r="Q143" s="6">
        <f>HYPERLINK("https://www.linkedin.com/search/results/people/?keywords=Steve%20Salverino%20Rino%20Construction","search")</f>
        <v/>
      </c>
      <c r="R143" s="11">
        <f>IF(P143="","ADD LINKEDIN","ok")</f>
        <v/>
      </c>
      <c r="S143" s="6" t="inlineStr">
        <is>
          <t>https://rino-con.com/</t>
        </is>
      </c>
      <c r="T143" s="9" t="inlineStr">
        <is>
          <t>Thirty-five years of tilt-up as the stated specialty. Its own site puts the self-performed concrete in the past tense.</t>
        </is>
      </c>
      <c r="U143" s="6" t="inlineStr"/>
      <c r="V143" s="9" t="inlineStr"/>
      <c r="W143" s="6" t="inlineStr"/>
      <c r="X143" s="6" t="inlineStr"/>
      <c r="Y143" s="6" t="inlineStr"/>
      <c r="Z143" s="6" t="inlineStr"/>
      <c r="AA143" s="6" t="inlineStr">
        <is>
          <t>(281) 207-0700</t>
        </is>
      </c>
      <c r="AB143" s="6" t="inlineStr">
        <is>
          <t>Houston, at Katy</t>
        </is>
      </c>
      <c r="AC143" s="6" t="inlineStr">
        <is>
          <t>https://rino-con.com/</t>
        </is>
      </c>
    </row>
    <row r="144">
      <c r="A144" s="12" t="inlineStr">
        <is>
          <t>Jacob Aswad</t>
        </is>
      </c>
      <c r="B144" s="12" t="inlineStr">
        <is>
          <t>Rino Construction</t>
        </is>
      </c>
      <c r="C144" s="12" t="inlineStr">
        <is>
          <t>President, named on the firm's own leadership page</t>
        </is>
      </c>
      <c r="D144" s="13" t="inlineStr">
        <is>
          <t>Builds the wall, not the house</t>
        </is>
      </c>
      <c r="E144" s="14" t="n">
        <v>2</v>
      </c>
      <c r="F144" s="12" t="inlineStr">
        <is>
          <t>Builds the wall</t>
        </is>
      </c>
      <c r="G144" s="12" t="inlineStr">
        <is>
          <t>Katy, Harris and Fort Bend, with Austin</t>
        </is>
      </c>
      <c r="H144" s="12" t="inlineStr">
        <is>
          <t>Operating since 1991, tilt-up its stated specialty</t>
        </is>
      </c>
      <c r="I144" s="14" t="inlineStr">
        <is>
          <t>Yes</t>
        </is>
      </c>
      <c r="J144" s="15" t="inlineStr">
        <is>
          <t>Tilt-up buildings recurring across two Texas metros since 1991, at 48 million square feet on its own count.</t>
        </is>
      </c>
      <c r="K144" s="14" t="inlineStr">
        <is>
          <t>Partly</t>
        </is>
      </c>
      <c r="L144" s="15" t="inlineStr">
        <is>
          <t>48 million square feet since 1991 on the firm's own homepage. A second page still carries an older 38 million. No annual figure is published, so this sits at a Partly.</t>
        </is>
      </c>
      <c r="M144" s="14" t="inlineStr">
        <is>
          <t>No</t>
        </is>
      </c>
      <c r="N144" s="15" t="inlineStr">
        <is>
          <t>No method statement on record.</t>
        </is>
      </c>
      <c r="O144" s="14" t="inlineStr">
        <is>
          <t>Partly</t>
        </is>
      </c>
      <c r="P144" s="10" t="inlineStr"/>
      <c r="Q144" s="12">
        <f>HYPERLINK("https://www.linkedin.com/search/results/people/?keywords=Jacob%20Aswad%20Rino%20Construction","search")</f>
        <v/>
      </c>
      <c r="R144" s="16">
        <f>IF(P144="","ADD LINKEDIN","ok")</f>
        <v/>
      </c>
      <c r="S144" s="12" t="inlineStr">
        <is>
          <t>https://rino-con.com/</t>
        </is>
      </c>
      <c r="T144" s="15" t="inlineStr">
        <is>
          <t>Thirty-five years of tilt-up as the stated specialty. Its own site puts the self-performed concrete in the past tense.</t>
        </is>
      </c>
      <c r="U144" s="12" t="inlineStr"/>
      <c r="V144" s="15" t="inlineStr"/>
      <c r="W144" s="12" t="inlineStr"/>
      <c r="X144" s="12" t="inlineStr"/>
      <c r="Y144" s="12" t="inlineStr"/>
      <c r="Z144" s="12" t="inlineStr"/>
      <c r="AA144" s="12" t="inlineStr">
        <is>
          <t>(281) 207-0700</t>
        </is>
      </c>
      <c r="AB144" s="12" t="inlineStr">
        <is>
          <t>Houston, at Katy</t>
        </is>
      </c>
      <c r="AC144" s="12" t="inlineStr">
        <is>
          <t>https://rino-con.com/</t>
        </is>
      </c>
    </row>
    <row r="145">
      <c r="A145" s="6" t="inlineStr">
        <is>
          <t>Justin Henderson</t>
        </is>
      </c>
      <c r="B145" s="6" t="inlineStr">
        <is>
          <t>Rino Construction</t>
        </is>
      </c>
      <c r="C145" s="6" t="inlineStr">
        <is>
          <t>Vice President, named on the firm's own leadership page</t>
        </is>
      </c>
      <c r="D145" s="7" t="inlineStr">
        <is>
          <t>Builds the wall, not the house</t>
        </is>
      </c>
      <c r="E145" s="8" t="n">
        <v>2</v>
      </c>
      <c r="F145" s="6" t="inlineStr">
        <is>
          <t>Builds the wall</t>
        </is>
      </c>
      <c r="G145" s="6" t="inlineStr">
        <is>
          <t>Katy, Harris and Fort Bend, with Austin</t>
        </is>
      </c>
      <c r="H145" s="6" t="inlineStr">
        <is>
          <t>Operating since 1991, tilt-up its stated specialty</t>
        </is>
      </c>
      <c r="I145" s="8" t="inlineStr">
        <is>
          <t>Yes</t>
        </is>
      </c>
      <c r="J145" s="9" t="inlineStr">
        <is>
          <t>Tilt-up buildings recurring across two Texas metros since 1991, at 48 million square feet on its own count.</t>
        </is>
      </c>
      <c r="K145" s="8" t="inlineStr">
        <is>
          <t>Partly</t>
        </is>
      </c>
      <c r="L145" s="9" t="inlineStr">
        <is>
          <t>48 million square feet since 1991 on the firm's own homepage. A second page still carries an older 38 million. No annual figure is published, so this sits at a Partly.</t>
        </is>
      </c>
      <c r="M145" s="8" t="inlineStr">
        <is>
          <t>No</t>
        </is>
      </c>
      <c r="N145" s="9" t="inlineStr">
        <is>
          <t>No method statement on record.</t>
        </is>
      </c>
      <c r="O145" s="8" t="inlineStr">
        <is>
          <t>Partly</t>
        </is>
      </c>
      <c r="P145" s="10" t="inlineStr"/>
      <c r="Q145" s="6">
        <f>HYPERLINK("https://www.linkedin.com/search/results/people/?keywords=Justin%20Henderson%20Rino%20Construction","search")</f>
        <v/>
      </c>
      <c r="R145" s="11">
        <f>IF(P145="","ADD LINKEDIN","ok")</f>
        <v/>
      </c>
      <c r="S145" s="6" t="inlineStr">
        <is>
          <t>https://rino-con.com/</t>
        </is>
      </c>
      <c r="T145" s="9" t="inlineStr">
        <is>
          <t>Thirty-five years of tilt-up as the stated specialty. Its own site puts the self-performed concrete in the past tense.</t>
        </is>
      </c>
      <c r="U145" s="6" t="inlineStr"/>
      <c r="V145" s="9" t="inlineStr"/>
      <c r="W145" s="6" t="inlineStr"/>
      <c r="X145" s="6" t="inlineStr"/>
      <c r="Y145" s="6" t="inlineStr"/>
      <c r="Z145" s="6" t="inlineStr"/>
      <c r="AA145" s="6" t="inlineStr">
        <is>
          <t>(281) 207-0700</t>
        </is>
      </c>
      <c r="AB145" s="6" t="inlineStr">
        <is>
          <t>Houston, at Katy</t>
        </is>
      </c>
      <c r="AC145" s="6" t="inlineStr">
        <is>
          <t>https://rino-con.com/</t>
        </is>
      </c>
    </row>
    <row r="146">
      <c r="A146" s="12" t="inlineStr">
        <is>
          <t>Jeff Rager</t>
        </is>
      </c>
      <c r="B146" s="12" t="inlineStr">
        <is>
          <t>Rino Construction</t>
        </is>
      </c>
      <c r="C146" s="12" t="inlineStr">
        <is>
          <t>Senior Project Manager</t>
        </is>
      </c>
      <c r="D146" s="13" t="inlineStr">
        <is>
          <t>Builds the wall, not the house</t>
        </is>
      </c>
      <c r="E146" s="14" t="n">
        <v>2</v>
      </c>
      <c r="F146" s="12" t="inlineStr">
        <is>
          <t>Builds the wall</t>
        </is>
      </c>
      <c r="G146" s="12" t="inlineStr">
        <is>
          <t>Katy, Harris and Fort Bend, with Austin</t>
        </is>
      </c>
      <c r="H146" s="12" t="inlineStr">
        <is>
          <t>Operating since 1991, tilt-up its stated specialty</t>
        </is>
      </c>
      <c r="I146" s="14" t="inlineStr">
        <is>
          <t>Yes</t>
        </is>
      </c>
      <c r="J146" s="15" t="inlineStr">
        <is>
          <t>Tilt-up buildings recurring across two Texas metros since 1991, at 48 million square feet on its own count.</t>
        </is>
      </c>
      <c r="K146" s="14" t="inlineStr">
        <is>
          <t>Partly</t>
        </is>
      </c>
      <c r="L146" s="15" t="inlineStr">
        <is>
          <t>48 million square feet since 1991 on the firm's own homepage. A second page still carries an older 38 million. No annual figure is published, so this sits at a Partly.</t>
        </is>
      </c>
      <c r="M146" s="14" t="inlineStr">
        <is>
          <t>No</t>
        </is>
      </c>
      <c r="N146" s="15" t="inlineStr">
        <is>
          <t>No method statement on record.</t>
        </is>
      </c>
      <c r="O146" s="14" t="inlineStr">
        <is>
          <t>Partly</t>
        </is>
      </c>
      <c r="P146" s="6" t="inlineStr">
        <is>
          <t>https://www.linkedin.com/in/jeff-rager-b0ab6a380/</t>
        </is>
      </c>
      <c r="Q146" s="12" t="inlineStr"/>
      <c r="R146" s="16">
        <f>IF(P146="","ADD LINKEDIN","ok")</f>
        <v/>
      </c>
      <c r="S146" s="12" t="inlineStr">
        <is>
          <t>https://rino-con.com/</t>
        </is>
      </c>
      <c r="T146" s="15" t="inlineStr">
        <is>
          <t>Thirty-five years of tilt-up as the stated specialty. Its own site puts the self-performed concrete in the past tense.</t>
        </is>
      </c>
      <c r="U146" s="12" t="inlineStr"/>
      <c r="V146" s="15" t="inlineStr">
        <is>
          <t>Headline reads Senior Project Manager, Rino (Rosenberger) Construction. Spring, Texas, and it carries both names, which confirms the rename.</t>
        </is>
      </c>
      <c r="W146" s="12" t="inlineStr"/>
      <c r="X146" s="12" t="inlineStr"/>
      <c r="Y146" s="12" t="inlineStr"/>
      <c r="Z146" s="12" t="inlineStr"/>
      <c r="AA146" s="12" t="inlineStr">
        <is>
          <t>(281) 207-0700</t>
        </is>
      </c>
      <c r="AB146" s="12" t="inlineStr">
        <is>
          <t>Houston, at Katy</t>
        </is>
      </c>
      <c r="AC146" s="12" t="inlineStr">
        <is>
          <t>https://rino-con.com/</t>
        </is>
      </c>
    </row>
    <row r="147">
      <c r="A147" s="6" t="inlineStr">
        <is>
          <t>James Abbate</t>
        </is>
      </c>
      <c r="B147" s="6" t="inlineStr">
        <is>
          <t>Rino Construction</t>
        </is>
      </c>
      <c r="C147" s="6" t="inlineStr">
        <is>
          <t>Controller</t>
        </is>
      </c>
      <c r="D147" s="7" t="inlineStr">
        <is>
          <t>Builds the wall, not the house</t>
        </is>
      </c>
      <c r="E147" s="8" t="n">
        <v>2</v>
      </c>
      <c r="F147" s="6" t="inlineStr">
        <is>
          <t>Builds the wall</t>
        </is>
      </c>
      <c r="G147" s="6" t="inlineStr">
        <is>
          <t>Katy, Harris and Fort Bend, with Austin</t>
        </is>
      </c>
      <c r="H147" s="6" t="inlineStr">
        <is>
          <t>Operating since 1991, tilt-up its stated specialty</t>
        </is>
      </c>
      <c r="I147" s="8" t="inlineStr">
        <is>
          <t>Yes</t>
        </is>
      </c>
      <c r="J147" s="9" t="inlineStr">
        <is>
          <t>Tilt-up buildings recurring across two Texas metros since 1991, at 48 million square feet on its own count.</t>
        </is>
      </c>
      <c r="K147" s="8" t="inlineStr">
        <is>
          <t>Partly</t>
        </is>
      </c>
      <c r="L147" s="9" t="inlineStr">
        <is>
          <t>48 million square feet since 1991 on the firm's own homepage. A second page still carries an older 38 million. No annual figure is published, so this sits at a Partly.</t>
        </is>
      </c>
      <c r="M147" s="8" t="inlineStr">
        <is>
          <t>No</t>
        </is>
      </c>
      <c r="N147" s="9" t="inlineStr">
        <is>
          <t>No method statement on record.</t>
        </is>
      </c>
      <c r="O147" s="8" t="inlineStr">
        <is>
          <t>Partly</t>
        </is>
      </c>
      <c r="P147" s="6" t="inlineStr">
        <is>
          <t>https://www.linkedin.com/in/james-abbate/</t>
        </is>
      </c>
      <c r="Q147" s="6" t="inlineStr"/>
      <c r="R147" s="11">
        <f>IF(P147="","ADD LINKEDIN","ok")</f>
        <v/>
      </c>
      <c r="S147" s="6" t="inlineStr">
        <is>
          <t>https://rino-con.com/</t>
        </is>
      </c>
      <c r="T147" s="9" t="inlineStr">
        <is>
          <t>Thirty-five years of tilt-up as the stated specialty. Its own site puts the self-performed concrete in the past tense.</t>
        </is>
      </c>
      <c r="U147" s="6" t="inlineStr"/>
      <c r="V147" s="9" t="inlineStr">
        <is>
          <t>Headline reads Controller at Rosenberger Construction. Katy, Texas.</t>
        </is>
      </c>
      <c r="W147" s="6" t="inlineStr"/>
      <c r="X147" s="6" t="inlineStr"/>
      <c r="Y147" s="6" t="inlineStr"/>
      <c r="Z147" s="6" t="inlineStr"/>
      <c r="AA147" s="6" t="inlineStr">
        <is>
          <t>(281) 207-0700</t>
        </is>
      </c>
      <c r="AB147" s="6" t="inlineStr">
        <is>
          <t>Houston, at Katy</t>
        </is>
      </c>
      <c r="AC147" s="6" t="inlineStr">
        <is>
          <t>https://rino-con.com/</t>
        </is>
      </c>
    </row>
    <row r="148">
      <c r="A148" s="12" t="inlineStr">
        <is>
          <t>David Buzzelli</t>
        </is>
      </c>
      <c r="B148" s="12" t="inlineStr">
        <is>
          <t>Texas A&amp;M Concrete</t>
        </is>
      </c>
      <c r="C148" s="12" t="inlineStr">
        <is>
          <t>Vice President</t>
        </is>
      </c>
      <c r="D148" s="13" t="inlineStr">
        <is>
          <t>Builds the wall, not the house</t>
        </is>
      </c>
      <c r="E148" s="14" t="n">
        <v>2</v>
      </c>
      <c r="F148" s="12" t="inlineStr">
        <is>
          <t>Builds the wall</t>
        </is>
      </c>
      <c r="G148" s="12" t="inlineStr">
        <is>
          <t>Houston, Harris</t>
        </is>
      </c>
      <c r="H148" s="12" t="inlineStr">
        <is>
          <t>79 panels and 52,116 square feet of tilt-up wall on one job</t>
        </is>
      </c>
      <c r="I148" s="14" t="inlineStr">
        <is>
          <t>Yes</t>
        </is>
      </c>
      <c r="J148" s="15" t="inlineStr">
        <is>
          <t>Tilt-up panel production repeats inside one metro even when the buildings differ.</t>
        </is>
      </c>
      <c r="K148" s="14" t="inlineStr">
        <is>
          <t>Partly</t>
        </is>
      </c>
      <c r="L148" s="15" t="inlineStr">
        <is>
          <t>The firm's own site gives a job range of $500,000 to $15 million. A printer would be one line in a book that size.</t>
        </is>
      </c>
      <c r="M148" s="14" t="inlineStr">
        <is>
          <t>No</t>
        </is>
      </c>
      <c r="N148" s="15" t="inlineStr">
        <is>
          <t>No method statement on record. Its published involvement is in concrete standards committees, not in new methods.</t>
        </is>
      </c>
      <c r="O148" s="14" t="inlineStr">
        <is>
          <t>Partly</t>
        </is>
      </c>
      <c r="P148" s="6" t="inlineStr">
        <is>
          <t>https://www.linkedin.com/in/david-buzzelli-faci-77109b29/</t>
        </is>
      </c>
      <c r="Q148" s="12" t="inlineStr"/>
      <c r="R148" s="16">
        <f>IF(P148="","ADD LINKEDIN","ok")</f>
        <v/>
      </c>
      <c r="S148" s="12" t="inlineStr">
        <is>
          <t>https://www.texasamconcrete.com/</t>
        </is>
      </c>
      <c r="T148" s="15" t="inlineStr">
        <is>
          <t>Two award-listed tilt-up jobs in Houston, one at 79 panels and 52,116 square feet of wall. Panels repeat; the buildings behind them do not.</t>
        </is>
      </c>
      <c r="U148" s="12" t="inlineStr">
        <is>
          <t>YES</t>
        </is>
      </c>
      <c r="V148" s="15" t="inlineStr">
        <is>
          <t>Headline reads Vice President of Texas A&amp;M Concrete, LLC. Houston, Texas. He is also named as a founder in the firm's own dated news post.</t>
        </is>
      </c>
      <c r="W148" s="12" t="inlineStr"/>
      <c r="X148" s="12" t="inlineStr"/>
      <c r="Y148" s="12" t="inlineStr"/>
      <c r="Z148" s="12" t="inlineStr"/>
      <c r="AA148" s="12" t="inlineStr">
        <is>
          <t>(281) 405-9557</t>
        </is>
      </c>
      <c r="AB148" s="12" t="inlineStr">
        <is>
          <t>office</t>
        </is>
      </c>
      <c r="AC148" s="12" t="inlineStr">
        <is>
          <t>https://www.texasamconcrete.com/</t>
        </is>
      </c>
    </row>
    <row r="149">
      <c r="A149" s="6" t="inlineStr">
        <is>
          <t>Adrian Villarreal</t>
        </is>
      </c>
      <c r="B149" s="6" t="inlineStr">
        <is>
          <t>Texas A&amp;M Concrete</t>
        </is>
      </c>
      <c r="C149" s="6" t="inlineStr">
        <is>
          <t>Co-founder</t>
        </is>
      </c>
      <c r="D149" s="7" t="inlineStr">
        <is>
          <t>Builds the wall, not the house</t>
        </is>
      </c>
      <c r="E149" s="8" t="n">
        <v>2</v>
      </c>
      <c r="F149" s="6" t="inlineStr">
        <is>
          <t>Builds the wall</t>
        </is>
      </c>
      <c r="G149" s="6" t="inlineStr">
        <is>
          <t>Houston, Harris</t>
        </is>
      </c>
      <c r="H149" s="6" t="inlineStr">
        <is>
          <t>79 panels and 52,116 square feet of tilt-up wall on one job</t>
        </is>
      </c>
      <c r="I149" s="8" t="inlineStr">
        <is>
          <t>Yes</t>
        </is>
      </c>
      <c r="J149" s="9" t="inlineStr">
        <is>
          <t>Tilt-up panel production repeats inside one metro even when the buildings differ.</t>
        </is>
      </c>
      <c r="K149" s="8" t="inlineStr">
        <is>
          <t>Partly</t>
        </is>
      </c>
      <c r="L149" s="9" t="inlineStr">
        <is>
          <t>The firm's own site gives a job range of $500,000 to $15 million. A printer would be one line in a book that size.</t>
        </is>
      </c>
      <c r="M149" s="8" t="inlineStr">
        <is>
          <t>No</t>
        </is>
      </c>
      <c r="N149" s="9" t="inlineStr">
        <is>
          <t>No method statement on record. Its published involvement is in concrete standards committees, not in new methods.</t>
        </is>
      </c>
      <c r="O149" s="8" t="inlineStr">
        <is>
          <t>Partly</t>
        </is>
      </c>
      <c r="P149" s="10" t="inlineStr"/>
      <c r="Q149" s="6" t="inlineStr"/>
      <c r="R149" s="11">
        <f>IF(P149="","ADD LINKEDIN","ok")</f>
        <v/>
      </c>
      <c r="S149" s="6" t="inlineStr">
        <is>
          <t>https://www.texasamconcrete.com/</t>
        </is>
      </c>
      <c r="T149" s="9" t="inlineStr">
        <is>
          <t>Two award-listed tilt-up jobs in Houston, one at 79 panels and 52,116 square feet of wall. Panels repeat; the buildings behind them do not.</t>
        </is>
      </c>
      <c r="U149" s="6" t="inlineStr"/>
      <c r="V149" s="9" t="inlineStr"/>
      <c r="W149" s="6" t="inlineStr">
        <is>
          <t>https://www.texasamconcrete.com/blogs/news/texas-concrete-contractor-makes-it-big</t>
        </is>
      </c>
      <c r="X149" s="6" t="inlineStr"/>
      <c r="Y149" s="6" t="inlineStr"/>
      <c r="Z149" s="6" t="inlineStr"/>
      <c r="AA149" s="6" t="inlineStr">
        <is>
          <t>(281) 405-9557</t>
        </is>
      </c>
      <c r="AB149" s="6" t="inlineStr">
        <is>
          <t>office</t>
        </is>
      </c>
      <c r="AC149" s="6" t="inlineStr">
        <is>
          <t>https://www.texasamconcrete.com/</t>
        </is>
      </c>
    </row>
    <row r="150">
      <c r="A150" s="12" t="inlineStr">
        <is>
          <t>Marcos Chavez</t>
        </is>
      </c>
      <c r="B150" s="12" t="inlineStr">
        <is>
          <t>Texas A&amp;M Concrete</t>
        </is>
      </c>
      <c r="C150" s="12" t="inlineStr">
        <is>
          <t>Co-founder</t>
        </is>
      </c>
      <c r="D150" s="13" t="inlineStr">
        <is>
          <t>Builds the wall, not the house</t>
        </is>
      </c>
      <c r="E150" s="14" t="n">
        <v>2</v>
      </c>
      <c r="F150" s="12" t="inlineStr">
        <is>
          <t>Builds the wall</t>
        </is>
      </c>
      <c r="G150" s="12" t="inlineStr">
        <is>
          <t>Houston, Harris</t>
        </is>
      </c>
      <c r="H150" s="12" t="inlineStr">
        <is>
          <t>79 panels and 52,116 square feet of tilt-up wall on one job</t>
        </is>
      </c>
      <c r="I150" s="14" t="inlineStr">
        <is>
          <t>Yes</t>
        </is>
      </c>
      <c r="J150" s="15" t="inlineStr">
        <is>
          <t>Tilt-up panel production repeats inside one metro even when the buildings differ.</t>
        </is>
      </c>
      <c r="K150" s="14" t="inlineStr">
        <is>
          <t>Partly</t>
        </is>
      </c>
      <c r="L150" s="15" t="inlineStr">
        <is>
          <t>The firm's own site gives a job range of $500,000 to $15 million. A printer would be one line in a book that size.</t>
        </is>
      </c>
      <c r="M150" s="14" t="inlineStr">
        <is>
          <t>No</t>
        </is>
      </c>
      <c r="N150" s="15" t="inlineStr">
        <is>
          <t>No method statement on record. Its published involvement is in concrete standards committees, not in new methods.</t>
        </is>
      </c>
      <c r="O150" s="14" t="inlineStr">
        <is>
          <t>Partly</t>
        </is>
      </c>
      <c r="P150" s="10" t="inlineStr"/>
      <c r="Q150" s="12" t="inlineStr"/>
      <c r="R150" s="16">
        <f>IF(P150="","ADD LINKEDIN","ok")</f>
        <v/>
      </c>
      <c r="S150" s="12" t="inlineStr">
        <is>
          <t>https://www.texasamconcrete.com/</t>
        </is>
      </c>
      <c r="T150" s="15" t="inlineStr">
        <is>
          <t>Two award-listed tilt-up jobs in Houston, one at 79 panels and 52,116 square feet of wall. Panels repeat; the buildings behind them do not.</t>
        </is>
      </c>
      <c r="U150" s="12" t="inlineStr"/>
      <c r="V150" s="15" t="inlineStr"/>
      <c r="W150" s="12" t="inlineStr">
        <is>
          <t>https://www.texasamconcrete.com/blogs/news/texas-concrete-contractor-makes-it-big</t>
        </is>
      </c>
      <c r="X150" s="12" t="inlineStr"/>
      <c r="Y150" s="12" t="inlineStr"/>
      <c r="Z150" s="12" t="inlineStr"/>
      <c r="AA150" s="12" t="inlineStr">
        <is>
          <t>(281) 405-9557</t>
        </is>
      </c>
      <c r="AB150" s="12" t="inlineStr">
        <is>
          <t>office</t>
        </is>
      </c>
      <c r="AC150" s="12" t="inlineStr">
        <is>
          <t>https://www.texasamconcrete.com/</t>
        </is>
      </c>
    </row>
    <row r="151">
      <c r="A151" s="6" t="inlineStr">
        <is>
          <t>Martin Jordana</t>
        </is>
      </c>
      <c r="B151" s="6" t="inlineStr">
        <is>
          <t>Baker Construction</t>
        </is>
      </c>
      <c r="C151" s="6" t="inlineStr">
        <is>
          <t>President, Central and Great West Region</t>
        </is>
      </c>
      <c r="D151" s="7" t="inlineStr">
        <is>
          <t>Builds the wall, not the house</t>
        </is>
      </c>
      <c r="E151" s="8" t="n">
        <v>1</v>
      </c>
      <c r="F151" s="6" t="inlineStr">
        <is>
          <t>Builds the wall</t>
        </is>
      </c>
      <c r="G151" s="6" t="inlineStr">
        <is>
          <t>Houston industrial office, Harris, inside a national firm</t>
        </is>
      </c>
      <c r="H151" s="6" t="inlineStr">
        <is>
          <t>61 panels at 70 feet, the heaviest about 87 tons</t>
        </is>
      </c>
      <c r="I151" s="8" t="inlineStr">
        <is>
          <t>Yes</t>
        </is>
      </c>
      <c r="J151" s="9" t="inlineStr">
        <is>
          <t>Panel and structural concrete work recurring across the Houston market.</t>
        </is>
      </c>
      <c r="K151" s="8" t="inlineStr">
        <is>
          <t>No</t>
        </is>
      </c>
      <c r="L151" s="9" t="inlineStr">
        <is>
          <t>More than 12,500 people across the United States on the firm's own count, and first on a national ranking of concrete specialty contractors. A machine purchase at that size runs through a national desk, which the bands score as a No.</t>
        </is>
      </c>
      <c r="M151" s="8" t="inlineStr">
        <is>
          <t>No</t>
        </is>
      </c>
      <c r="N151" s="9" t="inlineStr">
        <is>
          <t>No method statement on record. Working at the top of the panel size range is difficulty, not a new method.</t>
        </is>
      </c>
      <c r="O151" s="8" t="inlineStr">
        <is>
          <t>Yes</t>
        </is>
      </c>
      <c r="P151" s="10" t="inlineStr"/>
      <c r="Q151" s="6" t="inlineStr"/>
      <c r="R151" s="11">
        <f>IF(P151="","ADD LINKEDIN","ok")</f>
        <v/>
      </c>
      <c r="S151" s="6" t="inlineStr">
        <is>
          <t>https://bakerconstruction.com/</t>
        </is>
      </c>
      <c r="T151" s="9" t="inlineStr">
        <is>
          <t>Named on a 61-panel job at 70 feet, with the heaviest panel at about 87 tons. That is the top of what the trade attempts here. The firm is national.</t>
        </is>
      </c>
      <c r="U151" s="6" t="inlineStr">
        <is>
          <t>YES</t>
        </is>
      </c>
      <c r="V151" s="9" t="inlineStr">
        <is>
          <t>The regional seat that covers Texas.</t>
        </is>
      </c>
      <c r="W151" s="6" t="inlineStr">
        <is>
          <t>https://bakerconstruction.com/leadership/</t>
        </is>
      </c>
      <c r="X151" s="6" t="inlineStr"/>
      <c r="Y151" s="6" t="inlineStr"/>
      <c r="Z151" s="6" t="inlineStr"/>
      <c r="AA151" s="6" t="inlineStr">
        <is>
          <t>(800) 539-2224</t>
        </is>
      </c>
      <c r="AB151" s="6" t="inlineStr">
        <is>
          <t>headquarters</t>
        </is>
      </c>
      <c r="AC151" s="6" t="inlineStr">
        <is>
          <t>https://bakerconstruction.com/</t>
        </is>
      </c>
    </row>
    <row r="152">
      <c r="A152" s="12" t="inlineStr">
        <is>
          <t>Karl Watson</t>
        </is>
      </c>
      <c r="B152" s="12" t="inlineStr">
        <is>
          <t>Baker Construction</t>
        </is>
      </c>
      <c r="C152" s="12" t="inlineStr">
        <is>
          <t>Chief Executive Officer, Baker Construction Enterprises</t>
        </is>
      </c>
      <c r="D152" s="13" t="inlineStr">
        <is>
          <t>Builds the wall, not the house</t>
        </is>
      </c>
      <c r="E152" s="14" t="n">
        <v>1</v>
      </c>
      <c r="F152" s="12" t="inlineStr">
        <is>
          <t>Builds the wall</t>
        </is>
      </c>
      <c r="G152" s="12" t="inlineStr">
        <is>
          <t>Houston industrial office, Harris, inside a national firm</t>
        </is>
      </c>
      <c r="H152" s="12" t="inlineStr">
        <is>
          <t>61 panels at 70 feet, the heaviest about 87 tons</t>
        </is>
      </c>
      <c r="I152" s="14" t="inlineStr">
        <is>
          <t>Yes</t>
        </is>
      </c>
      <c r="J152" s="15" t="inlineStr">
        <is>
          <t>Panel and structural concrete work recurring across the Houston market.</t>
        </is>
      </c>
      <c r="K152" s="14" t="inlineStr">
        <is>
          <t>No</t>
        </is>
      </c>
      <c r="L152" s="15" t="inlineStr">
        <is>
          <t>More than 12,500 people across the United States on the firm's own count, and first on a national ranking of concrete specialty contractors. A machine purchase at that size runs through a national desk, which the bands score as a No.</t>
        </is>
      </c>
      <c r="M152" s="14" t="inlineStr">
        <is>
          <t>No</t>
        </is>
      </c>
      <c r="N152" s="15" t="inlineStr">
        <is>
          <t>No method statement on record. Working at the top of the panel size range is difficulty, not a new method.</t>
        </is>
      </c>
      <c r="O152" s="14" t="inlineStr">
        <is>
          <t>Yes</t>
        </is>
      </c>
      <c r="P152" s="10" t="inlineStr"/>
      <c r="Q152" s="12" t="inlineStr"/>
      <c r="R152" s="16">
        <f>IF(P152="","ADD LINKEDIN","ok")</f>
        <v/>
      </c>
      <c r="S152" s="12" t="inlineStr">
        <is>
          <t>https://bakerconstruction.com/</t>
        </is>
      </c>
      <c r="T152" s="15" t="inlineStr">
        <is>
          <t>Named on a 61-panel job at 70 feet, with the heaviest panel at about 87 tons. That is the top of what the trade attempts here. The firm is national.</t>
        </is>
      </c>
      <c r="U152" s="12" t="inlineStr"/>
      <c r="V152" s="15" t="inlineStr"/>
      <c r="W152" s="12" t="inlineStr">
        <is>
          <t>https://bakerconstruction.com/leadership/</t>
        </is>
      </c>
      <c r="X152" s="12" t="inlineStr"/>
      <c r="Y152" s="12" t="inlineStr"/>
      <c r="Z152" s="12" t="inlineStr"/>
      <c r="AA152" s="12" t="inlineStr">
        <is>
          <t>(800) 539-2224</t>
        </is>
      </c>
      <c r="AB152" s="12" t="inlineStr">
        <is>
          <t>headquarters</t>
        </is>
      </c>
      <c r="AC152" s="12" t="inlineStr">
        <is>
          <t>https://bakerconstruction.com/</t>
        </is>
      </c>
    </row>
    <row r="153">
      <c r="A153" s="6" t="inlineStr">
        <is>
          <t>Dan T. Baker</t>
        </is>
      </c>
      <c r="B153" s="6" t="inlineStr">
        <is>
          <t>Baker Construction</t>
        </is>
      </c>
      <c r="C153" s="6" t="inlineStr">
        <is>
          <t>Executive Vice Chair and President</t>
        </is>
      </c>
      <c r="D153" s="7" t="inlineStr">
        <is>
          <t>Builds the wall, not the house</t>
        </is>
      </c>
      <c r="E153" s="8" t="n">
        <v>1</v>
      </c>
      <c r="F153" s="6" t="inlineStr">
        <is>
          <t>Builds the wall</t>
        </is>
      </c>
      <c r="G153" s="6" t="inlineStr">
        <is>
          <t>Houston industrial office, Harris, inside a national firm</t>
        </is>
      </c>
      <c r="H153" s="6" t="inlineStr">
        <is>
          <t>61 panels at 70 feet, the heaviest about 87 tons</t>
        </is>
      </c>
      <c r="I153" s="8" t="inlineStr">
        <is>
          <t>Yes</t>
        </is>
      </c>
      <c r="J153" s="9" t="inlineStr">
        <is>
          <t>Panel and structural concrete work recurring across the Houston market.</t>
        </is>
      </c>
      <c r="K153" s="8" t="inlineStr">
        <is>
          <t>No</t>
        </is>
      </c>
      <c r="L153" s="9" t="inlineStr">
        <is>
          <t>More than 12,500 people across the United States on the firm's own count, and first on a national ranking of concrete specialty contractors. A machine purchase at that size runs through a national desk, which the bands score as a No.</t>
        </is>
      </c>
      <c r="M153" s="8" t="inlineStr">
        <is>
          <t>No</t>
        </is>
      </c>
      <c r="N153" s="9" t="inlineStr">
        <is>
          <t>No method statement on record. Working at the top of the panel size range is difficulty, not a new method.</t>
        </is>
      </c>
      <c r="O153" s="8" t="inlineStr">
        <is>
          <t>Yes</t>
        </is>
      </c>
      <c r="P153" s="10" t="inlineStr"/>
      <c r="Q153" s="6" t="inlineStr"/>
      <c r="R153" s="11">
        <f>IF(P153="","ADD LINKEDIN","ok")</f>
        <v/>
      </c>
      <c r="S153" s="6" t="inlineStr">
        <is>
          <t>https://bakerconstruction.com/</t>
        </is>
      </c>
      <c r="T153" s="9" t="inlineStr">
        <is>
          <t>Named on a 61-panel job at 70 feet, with the heaviest panel at about 87 tons. That is the top of what the trade attempts here. The firm is national.</t>
        </is>
      </c>
      <c r="U153" s="6" t="inlineStr"/>
      <c r="V153" s="9" t="inlineStr"/>
      <c r="W153" s="6" t="inlineStr">
        <is>
          <t>https://bakerconstruction.com/leadership/</t>
        </is>
      </c>
      <c r="X153" s="6" t="inlineStr"/>
      <c r="Y153" s="6" t="inlineStr"/>
      <c r="Z153" s="6" t="inlineStr"/>
      <c r="AA153" s="6" t="inlineStr">
        <is>
          <t>(800) 539-2224</t>
        </is>
      </c>
      <c r="AB153" s="6" t="inlineStr">
        <is>
          <t>headquarters</t>
        </is>
      </c>
      <c r="AC153" s="6" t="inlineStr">
        <is>
          <t>https://bakerconstruction.com/</t>
        </is>
      </c>
    </row>
    <row r="154">
      <c r="A154" s="12" t="inlineStr">
        <is>
          <t>Chris Vogler</t>
        </is>
      </c>
      <c r="B154" s="12" t="inlineStr">
        <is>
          <t>Leola Construction</t>
        </is>
      </c>
      <c r="C154" s="12" t="inlineStr">
        <is>
          <t>Business Development Manager</t>
        </is>
      </c>
      <c r="D154" s="13" t="inlineStr">
        <is>
          <t>Builds the wall, not the house</t>
        </is>
      </c>
      <c r="E154" s="14" t="n">
        <v>1</v>
      </c>
      <c r="F154" s="12" t="inlineStr">
        <is>
          <t>Builds the wall</t>
        </is>
      </c>
      <c r="G154" s="12" t="inlineStr">
        <is>
          <t>Houston division, working Harris, Fort Bend, Montgomery and Waller</t>
        </is>
      </c>
      <c r="H154" s="12" t="inlineStr">
        <is>
          <t>9,900 homes a year company-wide, across 300 communities</t>
        </is>
      </c>
      <c r="I154" s="14" t="inlineStr">
        <is>
          <t>Yes</t>
        </is>
      </c>
      <c r="J154" s="15" t="inlineStr">
        <is>
          <t>Single family and townhome communities across the north and west of the metro, taking the same wall package community after community.</t>
        </is>
      </c>
      <c r="K154" s="14" t="inlineStr">
        <is>
          <t>No</t>
        </is>
      </c>
      <c r="L154" s="15" t="inlineStr">
        <is>
          <t>9,900 homes a year on the firm's own count, company-wide across Florida and Texas, far above what one or two printers cover.</t>
        </is>
      </c>
      <c r="M154" s="14" t="inlineStr">
        <is>
          <t>No</t>
        </is>
      </c>
      <c r="N154" s="15" t="inlineStr">
        <is>
          <t>No method statement on record.</t>
        </is>
      </c>
      <c r="O154" s="14" t="inlineStr">
        <is>
          <t>Partly</t>
        </is>
      </c>
      <c r="P154" s="6" t="inlineStr">
        <is>
          <t>https://www.linkedin.com/in/chris-vogler-56239a52/</t>
        </is>
      </c>
      <c r="Q154" s="12" t="inlineStr"/>
      <c r="R154" s="16">
        <f>IF(P154="","ADD LINKEDIN","ok")</f>
        <v/>
      </c>
      <c r="S154" s="12" t="inlineStr">
        <is>
          <t>https://leolaconstruction.com/houston/</t>
        </is>
      </c>
      <c r="T154" s="15" t="inlineStr">
        <is>
          <t>It sells the entire wall package to production builders, which is the procurement a printed wall would displace. It owns almost no direct field labour.</t>
        </is>
      </c>
      <c r="U154" s="12" t="inlineStr"/>
      <c r="V154" s="15" t="inlineStr">
        <is>
          <t>Headline reads Business Development Manager at Leola Construction. Spring, Texas. He is the only Leola person in Greater Houston that a search returns.</t>
        </is>
      </c>
      <c r="W154" s="12" t="inlineStr"/>
      <c r="X154" s="12" t="inlineStr"/>
      <c r="Y154" s="12" t="inlineStr"/>
      <c r="Z154" s="12" t="inlineStr"/>
      <c r="AA154" s="12" t="inlineStr">
        <is>
          <t>(813) 397-6100</t>
        </is>
      </c>
      <c r="AB154" s="12" t="inlineStr"/>
      <c r="AC154" s="12" t="inlineStr">
        <is>
          <t>https://leolaconstruction.com/houston/</t>
        </is>
      </c>
    </row>
    <row r="155">
      <c r="A155" s="6" t="inlineStr">
        <is>
          <t>Michael G. Scheurich</t>
        </is>
      </c>
      <c r="B155" s="6" t="inlineStr">
        <is>
          <t>Arch-Con Corporation</t>
        </is>
      </c>
      <c r="C155" s="6" t="inlineStr">
        <is>
          <t>Founder and Chief Executive Officer</t>
        </is>
      </c>
      <c r="D155" s="7" t="inlineStr">
        <is>
          <t>Builds the wall, not the house</t>
        </is>
      </c>
      <c r="E155" s="8" t="n">
        <v>3</v>
      </c>
      <c r="F155" s="6" t="inlineStr">
        <is>
          <t>Builds the wall</t>
        </is>
      </c>
      <c r="G155" s="6" t="inlineStr">
        <is>
          <t>Houston, Harris</t>
        </is>
      </c>
      <c r="H155" s="6" t="inlineStr">
        <is>
          <t>Reversed the standard tilt-wall sequence to save a month</t>
        </is>
      </c>
      <c r="I155" s="8" t="inlineStr">
        <is>
          <t>Partly</t>
        </is>
      </c>
      <c r="J155" s="9" t="inlineStr">
        <is>
          <t>Eight divisions across commercial, retail, healthcare and multifamily. The buildings differ project to project.</t>
        </is>
      </c>
      <c r="K155" s="8" t="inlineStr">
        <is>
          <t>Partly</t>
        </is>
      </c>
      <c r="L155" s="9" t="inlineStr">
        <is>
          <t>No annual volume is published. The one published job runs to 770,640 square feet, and the panels on it were poured by somebody else.</t>
        </is>
      </c>
      <c r="M155" s="8" t="inlineStr">
        <is>
          <t>Partly</t>
        </is>
      </c>
      <c r="N155" s="9" t="inlineStr">
        <is>
          <t>It reordered the standard tilt-wall sequence on a 770,640 square foot job, setting a 275-ton lattice boom crane on the perimeter to avoid the slab, and published the result. That is method appetite rather than the purchase of a new method.</t>
        </is>
      </c>
      <c r="O155" s="8" t="inlineStr">
        <is>
          <t>Yes</t>
        </is>
      </c>
      <c r="P155" s="6" t="inlineStr">
        <is>
          <t>https://www.linkedin.com/in/michael-scheurich-07811331/</t>
        </is>
      </c>
      <c r="Q155" s="6" t="inlineStr"/>
      <c r="R155" s="11">
        <f>IF(P155="","ADD LINKEDIN","ok")</f>
        <v/>
      </c>
      <c r="S155" s="6" t="inlineStr">
        <is>
          <t>https://www.arch-con.com/</t>
        </is>
      </c>
      <c r="T155" s="9" t="inlineStr">
        <is>
          <t>It published how it reordered a standard method to win a month of schedule. It buys its concrete rather than pouring it.</t>
        </is>
      </c>
      <c r="U155" s="6" t="inlineStr">
        <is>
          <t>YES</t>
        </is>
      </c>
      <c r="V155" s="9" t="inlineStr">
        <is>
          <t>Headline reads Chief Executive Officer at Arch-Con Corporation. Houston, Texas.</t>
        </is>
      </c>
      <c r="W155" s="6" t="inlineStr"/>
      <c r="X155" s="6" t="inlineStr"/>
      <c r="Y155" s="6" t="inlineStr"/>
      <c r="Z155" s="6" t="inlineStr">
        <is>
          <t>2026-07-21 Construction Owners. Arch-Con Tops Out 330-Unit Artis Montrose Apartment Project  https://www.constructionowners.com/news/arch-con-reaches-topping-out-milestone-on-330-unit-artis-montrose-apartment-project</t>
        </is>
      </c>
      <c r="AA155" s="6" t="inlineStr">
        <is>
          <t>(713) 533-1900</t>
        </is>
      </c>
      <c r="AB155" s="6" t="inlineStr">
        <is>
          <t>Houston</t>
        </is>
      </c>
      <c r="AC155" s="6" t="inlineStr">
        <is>
          <t>https://www.arch-con.com/contact-us/</t>
        </is>
      </c>
    </row>
    <row r="156">
      <c r="A156" s="12" t="inlineStr">
        <is>
          <t>Jason M. Cooper</t>
        </is>
      </c>
      <c r="B156" s="12" t="inlineStr">
        <is>
          <t>Arch-Con Corporation</t>
        </is>
      </c>
      <c r="C156" s="12" t="inlineStr">
        <is>
          <t>President</t>
        </is>
      </c>
      <c r="D156" s="13" t="inlineStr">
        <is>
          <t>Builds the wall, not the house</t>
        </is>
      </c>
      <c r="E156" s="14" t="n">
        <v>3</v>
      </c>
      <c r="F156" s="12" t="inlineStr">
        <is>
          <t>Builds the wall</t>
        </is>
      </c>
      <c r="G156" s="12" t="inlineStr">
        <is>
          <t>Houston, Harris</t>
        </is>
      </c>
      <c r="H156" s="12" t="inlineStr">
        <is>
          <t>Reversed the standard tilt-wall sequence to save a month</t>
        </is>
      </c>
      <c r="I156" s="14" t="inlineStr">
        <is>
          <t>Partly</t>
        </is>
      </c>
      <c r="J156" s="15" t="inlineStr">
        <is>
          <t>Eight divisions across commercial, retail, healthcare and multifamily. The buildings differ project to project.</t>
        </is>
      </c>
      <c r="K156" s="14" t="inlineStr">
        <is>
          <t>Partly</t>
        </is>
      </c>
      <c r="L156" s="15" t="inlineStr">
        <is>
          <t>No annual volume is published. The one published job runs to 770,640 square feet, and the panels on it were poured by somebody else.</t>
        </is>
      </c>
      <c r="M156" s="14" t="inlineStr">
        <is>
          <t>Partly</t>
        </is>
      </c>
      <c r="N156" s="15" t="inlineStr">
        <is>
          <t>It reordered the standard tilt-wall sequence on a 770,640 square foot job, setting a 275-ton lattice boom crane on the perimeter to avoid the slab, and published the result. That is method appetite rather than the purchase of a new method.</t>
        </is>
      </c>
      <c r="O156" s="14" t="inlineStr">
        <is>
          <t>Yes</t>
        </is>
      </c>
      <c r="P156" s="10" t="inlineStr"/>
      <c r="Q156" s="12">
        <f>HYPERLINK("https://www.linkedin.com/search/results/people/?keywords=Jason%20M.%20Cooper%20Arch-Con%20Corporation","search")</f>
        <v/>
      </c>
      <c r="R156" s="16">
        <f>IF(P156="","ADD LINKEDIN","ok")</f>
        <v/>
      </c>
      <c r="S156" s="12" t="inlineStr">
        <is>
          <t>https://www.arch-con.com/</t>
        </is>
      </c>
      <c r="T156" s="15" t="inlineStr">
        <is>
          <t>It published how it reordered a standard method to win a month of schedule. It buys its concrete rather than pouring it.</t>
        </is>
      </c>
      <c r="U156" s="12" t="inlineStr">
        <is>
          <t>YES</t>
        </is>
      </c>
      <c r="V156" s="15" t="inlineStr"/>
      <c r="W156" s="12" t="inlineStr"/>
      <c r="X156" s="12" t="inlineStr"/>
      <c r="Y156" s="12" t="inlineStr"/>
      <c r="Z156" s="12" t="inlineStr">
        <is>
          <t>2026-07-21 Construction Owners. Arch-Con Tops Out 330-Unit Artis Montrose Apartment Project  https://www.constructionowners.com/news/arch-con-reaches-topping-out-milestone-on-330-unit-artis-montrose-apartment-project</t>
        </is>
      </c>
      <c r="AA156" s="12" t="inlineStr">
        <is>
          <t>(713) 533-1900</t>
        </is>
      </c>
      <c r="AB156" s="12" t="inlineStr">
        <is>
          <t>Houston</t>
        </is>
      </c>
      <c r="AC156" s="12" t="inlineStr">
        <is>
          <t>https://www.arch-con.com/contact-us/</t>
        </is>
      </c>
    </row>
    <row r="157">
      <c r="A157" s="6" t="inlineStr">
        <is>
          <t>Daniel J. O'Hare</t>
        </is>
      </c>
      <c r="B157" s="6" t="inlineStr">
        <is>
          <t>Arch-Con Corporation</t>
        </is>
      </c>
      <c r="C157" s="6" t="inlineStr">
        <is>
          <t>Chief Financial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10" t="inlineStr"/>
      <c r="Q157" s="6">
        <f>HYPERLINK("https://www.linkedin.com/search/results/people/?keywords=Daniel%20J.%20O%27Hare%20Arch-Con%20Corporation","search")</f>
        <v/>
      </c>
      <c r="R157" s="11">
        <f>IF(P157="","ADD LINKEDIN","ok")</f>
        <v/>
      </c>
      <c r="S157" s="6" t="inlineStr">
        <is>
          <t>https://www.arch-con.com/</t>
        </is>
      </c>
      <c r="T157" s="9" t="inlineStr">
        <is>
          <t>It published how it reordered a standard method to win a month of schedule. It buys its concrete rather than pouring it.</t>
        </is>
      </c>
      <c r="U157" s="6" t="inlineStr"/>
      <c r="V157" s="9" t="inlineStr"/>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c r="AA157" s="6" t="inlineStr">
        <is>
          <t>(713) 533-1900</t>
        </is>
      </c>
      <c r="AB157" s="6" t="inlineStr">
        <is>
          <t>Houston</t>
        </is>
      </c>
      <c r="AC157" s="6" t="inlineStr">
        <is>
          <t>https://www.arch-con.com/contact-us/</t>
        </is>
      </c>
    </row>
    <row r="158">
      <c r="A158" s="12" t="inlineStr">
        <is>
          <t>Christopher Scheurich</t>
        </is>
      </c>
      <c r="B158" s="12" t="inlineStr">
        <is>
          <t>Arch-Con Corporation</t>
        </is>
      </c>
      <c r="C158" s="12" t="inlineStr">
        <is>
          <t>General Counsel</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HYPERLINK("https://www.linkedin.com/search/results/people/?keywords=Christopher%20Scheurich%20Arch-Con%20Corporation","search")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c r="V158" s="15" t="inlineStr">
        <is>
          <t>Headline reads General Counsel at Arch-Con Corporation. Houston, Texas.</t>
        </is>
      </c>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c r="AA158" s="12" t="inlineStr">
        <is>
          <t>(713) 533-1900</t>
        </is>
      </c>
      <c r="AB158" s="12" t="inlineStr">
        <is>
          <t>Houston</t>
        </is>
      </c>
      <c r="AC158" s="12" t="inlineStr">
        <is>
          <t>https://www.arch-con.com/contact-us/</t>
        </is>
      </c>
    </row>
    <row r="159">
      <c r="A159" s="6" t="inlineStr">
        <is>
          <t>Trent Tellepsen</t>
        </is>
      </c>
      <c r="B159" s="6" t="inlineStr">
        <is>
          <t>Building Concrete Solutions</t>
        </is>
      </c>
      <c r="C159" s="6" t="inlineStr">
        <is>
          <t>President</t>
        </is>
      </c>
      <c r="D159" s="7" t="inlineStr">
        <is>
          <t>Builds the wall, not the house</t>
        </is>
      </c>
      <c r="E159" s="8" t="n">
        <v>3</v>
      </c>
      <c r="F159" s="6" t="inlineStr">
        <is>
          <t>Builds the wall</t>
        </is>
      </c>
      <c r="G159" s="6" t="inlineStr">
        <is>
          <t>Houston, Harris</t>
        </is>
      </c>
      <c r="H159" s="6" t="inlineStr">
        <is>
          <t>Runs Revit, Tekla, AutoCAD and Navisworks in house</t>
        </is>
      </c>
      <c r="I159" s="8" t="inlineStr">
        <is>
          <t>Partly</t>
        </is>
      </c>
      <c r="J159" s="9" t="inlineStr">
        <is>
          <t>Concrete packages recurring across Houston projects under both delivery models.</t>
        </is>
      </c>
      <c r="K159" s="8" t="inlineStr">
        <is>
          <t>Partly</t>
        </is>
      </c>
      <c r="L159" s="9" t="inlineStr">
        <is>
          <t>No crew count, revenue or project size is published. Nothing on the site sizes the work, so on the bands this is a Partly.</t>
        </is>
      </c>
      <c r="M159" s="8" t="inlineStr">
        <is>
          <t>Partly</t>
        </is>
      </c>
      <c r="N159" s="9" t="inlineStr">
        <is>
          <t>It bought and staffed a modelling stack, Revit, Tekla, AutoCAD and Navisworks, to plan its pours. A printed wall arrives as a model first, so the habit transfers, though modelling is not itself a building method.</t>
        </is>
      </c>
      <c r="O159" s="8" t="inlineStr">
        <is>
          <t>Partly</t>
        </is>
      </c>
      <c r="P159" s="6" t="inlineStr">
        <is>
          <t>https://www.linkedin.com/in/trent-tellepsen-b8608024/</t>
        </is>
      </c>
      <c r="Q159" s="6" t="inlineStr"/>
      <c r="R159" s="11">
        <f>IF(P159="","ADD LINKEDIN","ok")</f>
        <v/>
      </c>
      <c r="S159" s="6" t="inlineStr">
        <is>
          <t>https://www.bcshouston.com/</t>
        </is>
      </c>
      <c r="T159" s="9" t="inlineStr">
        <is>
          <t>A concrete subcontractor that models its own work in three dimensions before pouring it. A printed wall arrives as a model too.</t>
        </is>
      </c>
      <c r="U159" s="6" t="inlineStr">
        <is>
          <t>YES</t>
        </is>
      </c>
      <c r="V159" s="9" t="inlineStr">
        <is>
          <t>Headline reads President at Building Concrete Solutions. Houston, Texas.</t>
        </is>
      </c>
      <c r="W159" s="6" t="inlineStr"/>
      <c r="X159" s="6" t="inlineStr"/>
      <c r="Y159" s="6" t="inlineStr"/>
      <c r="Z159" s="6" t="inlineStr"/>
      <c r="AA159" s="6" t="inlineStr">
        <is>
          <t>(281) 272-7900</t>
        </is>
      </c>
      <c r="AB159" s="6" t="inlineStr"/>
      <c r="AC159" s="6" t="inlineStr">
        <is>
          <t>https://www.bcshouston.com/</t>
        </is>
      </c>
    </row>
    <row r="160">
      <c r="A160" s="12" t="inlineStr">
        <is>
          <t>Daniel Lara</t>
        </is>
      </c>
      <c r="B160" s="12" t="inlineStr">
        <is>
          <t>Building Concrete Solutions</t>
        </is>
      </c>
      <c r="C160" s="12" t="inlineStr">
        <is>
          <t>Vice President</t>
        </is>
      </c>
      <c r="D160" s="13" t="inlineStr">
        <is>
          <t>Builds the wall, not the house</t>
        </is>
      </c>
      <c r="E160" s="14" t="n">
        <v>3</v>
      </c>
      <c r="F160" s="12" t="inlineStr">
        <is>
          <t>Builds the wall</t>
        </is>
      </c>
      <c r="G160" s="12" t="inlineStr">
        <is>
          <t>Houston, Harris</t>
        </is>
      </c>
      <c r="H160" s="12" t="inlineStr">
        <is>
          <t>Runs Revit, Tekla, AutoCAD and Navisworks in house</t>
        </is>
      </c>
      <c r="I160" s="14" t="inlineStr">
        <is>
          <t>Partly</t>
        </is>
      </c>
      <c r="J160" s="15" t="inlineStr">
        <is>
          <t>Concrete packages recurring across Houston projects under both delivery models.</t>
        </is>
      </c>
      <c r="K160" s="14" t="inlineStr">
        <is>
          <t>Partly</t>
        </is>
      </c>
      <c r="L160" s="15" t="inlineStr">
        <is>
          <t>No crew count, revenue or project size is published. Nothing on the site sizes the work, so on the bands this is a Partly.</t>
        </is>
      </c>
      <c r="M160" s="14" t="inlineStr">
        <is>
          <t>Partly</t>
        </is>
      </c>
      <c r="N160" s="15" t="inlineStr">
        <is>
          <t>It bought and staffed a modelling stack, Revit, Tekla, AutoCAD and Navisworks, to plan its pours. A printed wall arrives as a model first, so the habit transfers, though modelling is not itself a building method.</t>
        </is>
      </c>
      <c r="O160" s="14" t="inlineStr">
        <is>
          <t>Partly</t>
        </is>
      </c>
      <c r="P160" s="6" t="inlineStr">
        <is>
          <t>https://www.linkedin.com/in/daniel-lara-24329570/</t>
        </is>
      </c>
      <c r="Q160" s="12" t="inlineStr"/>
      <c r="R160" s="16">
        <f>IF(P160="","ADD LINKEDIN","ok")</f>
        <v/>
      </c>
      <c r="S160" s="12" t="inlineStr">
        <is>
          <t>https://www.bcshouston.com/</t>
        </is>
      </c>
      <c r="T160" s="15" t="inlineStr">
        <is>
          <t>A concrete subcontractor that models its own work in three dimensions before pouring it. A printed wall arrives as a model too.</t>
        </is>
      </c>
      <c r="U160" s="12" t="inlineStr">
        <is>
          <t>YES</t>
        </is>
      </c>
      <c r="V160" s="15" t="inlineStr">
        <is>
          <t>Headline reads Vice President at Building Concrete Solutions. Houston, Texas.</t>
        </is>
      </c>
      <c r="W160" s="12" t="inlineStr"/>
      <c r="X160" s="12" t="inlineStr"/>
      <c r="Y160" s="12" t="inlineStr"/>
      <c r="Z160" s="12" t="inlineStr"/>
      <c r="AA160" s="12" t="inlineStr">
        <is>
          <t>(281) 272-7900</t>
        </is>
      </c>
      <c r="AB160" s="12" t="inlineStr"/>
      <c r="AC160" s="12" t="inlineStr">
        <is>
          <t>https://www.bcshouston.com/</t>
        </is>
      </c>
    </row>
    <row r="161">
      <c r="A161" s="6" t="inlineStr">
        <is>
          <t>Jorge Hernandez</t>
        </is>
      </c>
      <c r="B161" s="6" t="inlineStr">
        <is>
          <t>Building Concrete Solutions</t>
        </is>
      </c>
      <c r="C161" s="6" t="inlineStr">
        <is>
          <t>Manager of Operations</t>
        </is>
      </c>
      <c r="D161" s="7" t="inlineStr">
        <is>
          <t>Builds the wall, not the house</t>
        </is>
      </c>
      <c r="E161" s="8" t="n">
        <v>3</v>
      </c>
      <c r="F161" s="6" t="inlineStr">
        <is>
          <t>Builds the wall</t>
        </is>
      </c>
      <c r="G161" s="6" t="inlineStr">
        <is>
          <t>Houston, Harris</t>
        </is>
      </c>
      <c r="H161" s="6" t="inlineStr">
        <is>
          <t>Runs Revit, Tekla, AutoCAD and Navisworks in house</t>
        </is>
      </c>
      <c r="I161" s="8" t="inlineStr">
        <is>
          <t>Partly</t>
        </is>
      </c>
      <c r="J161" s="9" t="inlineStr">
        <is>
          <t>Concrete packages recurring across Houston projects under both delivery models.</t>
        </is>
      </c>
      <c r="K161" s="8" t="inlineStr">
        <is>
          <t>Partly</t>
        </is>
      </c>
      <c r="L161" s="9" t="inlineStr">
        <is>
          <t>No crew count, revenue or project size is published. Nothing on the site sizes the work, so on the bands this is a Partly.</t>
        </is>
      </c>
      <c r="M161" s="8" t="inlineStr">
        <is>
          <t>Partly</t>
        </is>
      </c>
      <c r="N161" s="9" t="inlineStr">
        <is>
          <t>It bought and staffed a modelling stack, Revit, Tekla, AutoCAD and Navisworks, to plan its pours. A printed wall arrives as a model first, so the habit transfers, though modelling is not itself a building method.</t>
        </is>
      </c>
      <c r="O161" s="8" t="inlineStr">
        <is>
          <t>Partly</t>
        </is>
      </c>
      <c r="P161" s="6" t="inlineStr">
        <is>
          <t>https://www.linkedin.com/in/jorge-hern%C3%A1ndez-614616204/</t>
        </is>
      </c>
      <c r="Q161" s="6" t="inlineStr"/>
      <c r="R161" s="11">
        <f>IF(P161="","ADD LINKEDIN","ok")</f>
        <v/>
      </c>
      <c r="S161" s="6" t="inlineStr">
        <is>
          <t>https://www.bcshouston.com/</t>
        </is>
      </c>
      <c r="T161" s="9" t="inlineStr">
        <is>
          <t>A concrete subcontractor that models its own work in three dimensions before pouring it. A printed wall arrives as a model too.</t>
        </is>
      </c>
      <c r="U161" s="6" t="inlineStr"/>
      <c r="V161" s="9" t="inlineStr">
        <is>
          <t>Headline reads Manager of Operations at Building Concrete Solutions. Houston, Texas.</t>
        </is>
      </c>
      <c r="W161" s="6" t="inlineStr"/>
      <c r="X161" s="6" t="inlineStr"/>
      <c r="Y161" s="6" t="inlineStr"/>
      <c r="Z161" s="6" t="inlineStr"/>
      <c r="AA161" s="6" t="inlineStr">
        <is>
          <t>(281) 272-7900</t>
        </is>
      </c>
      <c r="AB161" s="6" t="inlineStr"/>
      <c r="AC161" s="6" t="inlineStr">
        <is>
          <t>https://www.bcshouston.com/</t>
        </is>
      </c>
    </row>
    <row r="162">
      <c r="A162" s="12" t="inlineStr">
        <is>
          <t>Marc Deer</t>
        </is>
      </c>
      <c r="B162" s="12" t="inlineStr">
        <is>
          <t>M.L. Deer Construction</t>
        </is>
      </c>
      <c r="C162" s="12" t="inlineStr">
        <is>
          <t>Managing General Partner</t>
        </is>
      </c>
      <c r="D162" s="13" t="inlineStr">
        <is>
          <t>Builds the wall, not the house</t>
        </is>
      </c>
      <c r="E162" s="14" t="n">
        <v>3</v>
      </c>
      <c r="F162" s="12" t="inlineStr">
        <is>
          <t>Builds the wall</t>
        </is>
      </c>
      <c r="G162" s="12" t="inlineStr">
        <is>
          <t>Houston, Harris, and the Texas Gulf Coast</t>
        </is>
      </c>
      <c r="H162" s="12" t="inlineStr">
        <is>
          <t>Carries insulated concrete form buildings as a standard offering</t>
        </is>
      </c>
      <c r="I162" s="14" t="inlineStr">
        <is>
          <t>Partly</t>
        </is>
      </c>
      <c r="J162" s="15" t="inlineStr">
        <is>
          <t>Commercial buildings across the Gulf Coast. The structures differ project to project.</t>
        </is>
      </c>
      <c r="K162" s="14" t="inlineStr">
        <is>
          <t>Partly</t>
        </is>
      </c>
      <c r="L162" s="15" t="inlineStr">
        <is>
          <t>No revenue, crew count or project count is published. On the bands, a firm with no published figure is a Partly.</t>
        </is>
      </c>
      <c r="M162" s="14" t="inlineStr">
        <is>
          <t>Partly</t>
        </is>
      </c>
      <c r="N162" s="15" t="inlineStr">
        <is>
          <t>It carries insulated concrete form construction in its standard menu alongside tilt-wall and masonry, so it has sold and built a concrete wall system rather than only a wood one. No named project is published to date it.</t>
        </is>
      </c>
      <c r="O162" s="14" t="inlineStr">
        <is>
          <t>Partly</t>
        </is>
      </c>
      <c r="P162" s="10" t="inlineStr"/>
      <c r="Q162" s="12" t="inlineStr"/>
      <c r="R162" s="16">
        <f>IF(P162="","ADD LINKEDIN","ok")</f>
        <v/>
      </c>
      <c r="S162" s="12" t="inlineStr">
        <is>
          <t>https://www.mldeer.com/</t>
        </is>
      </c>
      <c r="T162" s="15" t="inlineStr">
        <is>
          <t>It already sells a concrete wall system to commercial clients, and it installs gantry cranes. A printer is a gantry that places concrete.</t>
        </is>
      </c>
      <c r="U162" s="12" t="inlineStr"/>
      <c r="V162" s="15" t="inlineStr"/>
      <c r="W162" s="12" t="inlineStr">
        <is>
          <t>https://www.mldeer.com/our-team</t>
        </is>
      </c>
      <c r="X162" s="12" t="inlineStr"/>
      <c r="Y162" s="12" t="inlineStr"/>
      <c r="Z162" s="12" t="inlineStr"/>
      <c r="AA162" s="12" t="inlineStr">
        <is>
          <t>(713) 681-1100</t>
        </is>
      </c>
      <c r="AB162" s="12" t="inlineStr">
        <is>
          <t>office</t>
        </is>
      </c>
      <c r="AC162" s="12" t="inlineStr">
        <is>
          <t>https://www.mldeer.com/</t>
        </is>
      </c>
    </row>
    <row r="163">
      <c r="A163" s="6" t="inlineStr">
        <is>
          <t>Richard Rolland</t>
        </is>
      </c>
      <c r="B163" s="6" t="inlineStr">
        <is>
          <t>M.L. Deer Construction</t>
        </is>
      </c>
      <c r="C163" s="6" t="inlineStr">
        <is>
          <t>Managing General Partner</t>
        </is>
      </c>
      <c r="D163" s="7" t="inlineStr">
        <is>
          <t>Builds the wall, not the house</t>
        </is>
      </c>
      <c r="E163" s="8" t="n">
        <v>3</v>
      </c>
      <c r="F163" s="6" t="inlineStr">
        <is>
          <t>Builds the wall</t>
        </is>
      </c>
      <c r="G163" s="6" t="inlineStr">
        <is>
          <t>Houston, Harris, and the Texas Gulf Coast</t>
        </is>
      </c>
      <c r="H163" s="6" t="inlineStr">
        <is>
          <t>Carries insulated concrete form buildings as a standard offering</t>
        </is>
      </c>
      <c r="I163" s="8" t="inlineStr">
        <is>
          <t>Partly</t>
        </is>
      </c>
      <c r="J163" s="9" t="inlineStr">
        <is>
          <t>Commercial buildings across the Gulf Coast. The structures differ project to project.</t>
        </is>
      </c>
      <c r="K163" s="8" t="inlineStr">
        <is>
          <t>Partly</t>
        </is>
      </c>
      <c r="L163" s="9" t="inlineStr">
        <is>
          <t>No revenue, crew count or project count is published. On the bands, a firm with no published figure is a Partly.</t>
        </is>
      </c>
      <c r="M163" s="8" t="inlineStr">
        <is>
          <t>Partly</t>
        </is>
      </c>
      <c r="N163" s="9" t="inlineStr">
        <is>
          <t>It carries insulated concrete form construction in its standard menu alongside tilt-wall and masonry, so it has sold and built a concrete wall system rather than only a wood one. No named project is published to date it.</t>
        </is>
      </c>
      <c r="O163" s="8" t="inlineStr">
        <is>
          <t>Partly</t>
        </is>
      </c>
      <c r="P163" s="10" t="inlineStr"/>
      <c r="Q163" s="6" t="inlineStr"/>
      <c r="R163" s="11">
        <f>IF(P163="","ADD LINKEDIN","ok")</f>
        <v/>
      </c>
      <c r="S163" s="6" t="inlineStr">
        <is>
          <t>https://www.mldeer.com/</t>
        </is>
      </c>
      <c r="T163" s="9" t="inlineStr">
        <is>
          <t>It already sells a concrete wall system to commercial clients, and it installs gantry cranes. A printer is a gantry that places concrete.</t>
        </is>
      </c>
      <c r="U163" s="6" t="inlineStr"/>
      <c r="V163" s="9" t="inlineStr"/>
      <c r="W163" s="6" t="inlineStr">
        <is>
          <t>https://www.mldeer.com/our-team</t>
        </is>
      </c>
      <c r="X163" s="6" t="inlineStr"/>
      <c r="Y163" s="6" t="inlineStr"/>
      <c r="Z163" s="6" t="inlineStr"/>
      <c r="AA163" s="6" t="inlineStr">
        <is>
          <t>(713) 681-1100</t>
        </is>
      </c>
      <c r="AB163" s="6" t="inlineStr">
        <is>
          <t>office</t>
        </is>
      </c>
      <c r="AC163" s="6" t="inlineStr">
        <is>
          <t>https://www.mldeer.com/</t>
        </is>
      </c>
    </row>
    <row r="164">
      <c r="A164" s="12" t="inlineStr">
        <is>
          <t>Jack Baker</t>
        </is>
      </c>
      <c r="B164" s="12" t="inlineStr">
        <is>
          <t>M.L. Deer Construction</t>
        </is>
      </c>
      <c r="C164" s="12" t="inlineStr">
        <is>
          <t>Senior Project Manager, ML Deer Construction</t>
        </is>
      </c>
      <c r="D164" s="13" t="inlineStr">
        <is>
          <t>Builds the wall, not the house</t>
        </is>
      </c>
      <c r="E164" s="14" t="n">
        <v>3</v>
      </c>
      <c r="F164" s="12" t="inlineStr">
        <is>
          <t>Builds the wall</t>
        </is>
      </c>
      <c r="G164" s="12" t="inlineStr">
        <is>
          <t>Houston, Harris, and the Texas Gulf Coast</t>
        </is>
      </c>
      <c r="H164" s="12" t="inlineStr">
        <is>
          <t>Carries insulated concrete form buildings as a standard offering</t>
        </is>
      </c>
      <c r="I164" s="14" t="inlineStr">
        <is>
          <t>Partly</t>
        </is>
      </c>
      <c r="J164" s="15" t="inlineStr">
        <is>
          <t>Commercial buildings across the Gulf Coast. The structures differ project to project.</t>
        </is>
      </c>
      <c r="K164" s="14" t="inlineStr">
        <is>
          <t>Partly</t>
        </is>
      </c>
      <c r="L164" s="15" t="inlineStr">
        <is>
          <t>No revenue, crew count or project count is published. On the bands, a firm with no published figure is a Partly.</t>
        </is>
      </c>
      <c r="M164" s="14" t="inlineStr">
        <is>
          <t>Partly</t>
        </is>
      </c>
      <c r="N164" s="15" t="inlineStr">
        <is>
          <t>It carries insulated concrete form construction in its standard menu alongside tilt-wall and masonry, so it has sold and built a concrete wall system rather than only a wood one. No named project is published to date it.</t>
        </is>
      </c>
      <c r="O164" s="14" t="inlineStr">
        <is>
          <t>Partly</t>
        </is>
      </c>
      <c r="P164" s="10" t="inlineStr"/>
      <c r="Q164" s="12" t="inlineStr"/>
      <c r="R164" s="16">
        <f>IF(P164="","ADD LINKEDIN","ok")</f>
        <v/>
      </c>
      <c r="S164" s="12" t="inlineStr">
        <is>
          <t>https://www.mldeer.com/</t>
        </is>
      </c>
      <c r="T164" s="15" t="inlineStr">
        <is>
          <t>It already sells a concrete wall system to commercial clients, and it installs gantry cranes. A printer is a gantry that places concrete.</t>
        </is>
      </c>
      <c r="U164" s="12" t="inlineStr"/>
      <c r="V164" s="15" t="inlineStr">
        <is>
          <t>The only construction-side name the firm publishes.</t>
        </is>
      </c>
      <c r="W164" s="12" t="inlineStr">
        <is>
          <t>https://www.mldeer.com/our-team</t>
        </is>
      </c>
      <c r="X164" s="12" t="inlineStr"/>
      <c r="Y164" s="12" t="inlineStr"/>
      <c r="Z164" s="12" t="inlineStr"/>
      <c r="AA164" s="12" t="inlineStr">
        <is>
          <t>(713) 681-1100</t>
        </is>
      </c>
      <c r="AB164" s="12" t="inlineStr">
        <is>
          <t>office</t>
        </is>
      </c>
      <c r="AC164" s="12" t="inlineStr">
        <is>
          <t>https://www.mldeer.com/</t>
        </is>
      </c>
    </row>
    <row r="165">
      <c r="A165" s="6" t="inlineStr">
        <is>
          <t>Ryan Taylor</t>
        </is>
      </c>
      <c r="B165" s="6" t="inlineStr">
        <is>
          <t>T&amp;T Construction</t>
        </is>
      </c>
      <c r="C165" s="6" t="inlineStr">
        <is>
          <t>Third generation, took leadership in 2001, named on the firm's own about page</t>
        </is>
      </c>
      <c r="D165" s="7" t="inlineStr">
        <is>
          <t>Builds the wall, not the house</t>
        </is>
      </c>
      <c r="E165" s="8" t="n">
        <v>3</v>
      </c>
      <c r="F165" s="6" t="inlineStr">
        <is>
          <t>Builds the wall</t>
        </is>
      </c>
      <c r="G165" s="6" t="inlineStr">
        <is>
          <t>Pasadena, Harris</t>
        </is>
      </c>
      <c r="H165" s="6" t="inlineStr">
        <is>
          <t>65 employees, 1,000-plus Houston projects since 1969</t>
        </is>
      </c>
      <c r="I165" s="8" t="inlineStr">
        <is>
          <t>Partly</t>
        </is>
      </c>
      <c r="J165" s="9" t="inlineStr">
        <is>
          <t>Industrial and commercial concrete recurring across the east side of the metro.</t>
        </is>
      </c>
      <c r="K165" s="8" t="inlineStr">
        <is>
          <t>Partly</t>
        </is>
      </c>
      <c r="L165" s="9" t="inlineStr">
        <is>
          <t>65 employees on average and more than 1,000 Greater Houston projects since 1969, on the firm's own count. No annual wall figure is published, so this sits at a Partly.</t>
        </is>
      </c>
      <c r="M165" s="8" t="inlineStr">
        <is>
          <t>Partly</t>
        </is>
      </c>
      <c r="N165" s="9" t="inlineStr">
        <is>
          <t>It bought volumetric mixers and stood up its own delivery arm rather than buying ready-mix from a plant. That is paying for a different way to get concrete to a site, though it is not a wall method.</t>
        </is>
      </c>
      <c r="O165" s="8" t="inlineStr">
        <is>
          <t>Partly</t>
        </is>
      </c>
      <c r="P165" s="10" t="inlineStr"/>
      <c r="Q165" s="6">
        <f>HYPERLINK("https://www.linkedin.com/search/results/people/?keywords=Ryan%20Taylor%20T%26T%20Construction","search")</f>
        <v/>
      </c>
      <c r="R165" s="11">
        <f>IF(P165="","ADD LINKEDIN","ok")</f>
        <v/>
      </c>
      <c r="S165" s="6" t="inlineStr">
        <is>
          <t>https://tandtconstruction.com/</t>
        </is>
      </c>
      <c r="T165" s="9" t="inlineStr">
        <is>
          <t>It owns the mix as well as the placing. A printer is fed concrete continuously, and this firm delivers its own.</t>
        </is>
      </c>
      <c r="U165" s="6" t="inlineStr"/>
      <c r="V165" s="9" t="inlineStr"/>
      <c r="W165" s="6" t="inlineStr"/>
      <c r="X165" s="6" t="inlineStr"/>
      <c r="Y165" s="6" t="inlineStr"/>
      <c r="Z165" s="6" t="inlineStr"/>
      <c r="AA165" s="6" t="inlineStr">
        <is>
          <t>(713) 477-6660</t>
        </is>
      </c>
      <c r="AB165" s="6" t="inlineStr"/>
      <c r="AC165" s="6" t="inlineStr">
        <is>
          <t>https://tandtconstruction.com/</t>
        </is>
      </c>
    </row>
    <row r="166">
      <c r="A166" s="12" t="inlineStr">
        <is>
          <t>Jeff Taylor</t>
        </is>
      </c>
      <c r="B166" s="12" t="inlineStr">
        <is>
          <t>T&amp;T Construction</t>
        </is>
      </c>
      <c r="C166" s="12" t="inlineStr">
        <is>
          <t>Second-generation co-owner, named on the firm's own about page</t>
        </is>
      </c>
      <c r="D166" s="13" t="inlineStr">
        <is>
          <t>Builds the wall, not the house</t>
        </is>
      </c>
      <c r="E166" s="14" t="n">
        <v>3</v>
      </c>
      <c r="F166" s="12" t="inlineStr">
        <is>
          <t>Builds the wall</t>
        </is>
      </c>
      <c r="G166" s="12" t="inlineStr">
        <is>
          <t>Pasadena, Harris</t>
        </is>
      </c>
      <c r="H166" s="12" t="inlineStr">
        <is>
          <t>65 employees, 1,000-plus Houston projects since 1969</t>
        </is>
      </c>
      <c r="I166" s="14" t="inlineStr">
        <is>
          <t>Partly</t>
        </is>
      </c>
      <c r="J166" s="15" t="inlineStr">
        <is>
          <t>Industrial and commercial concrete recurring across the east side of the metro.</t>
        </is>
      </c>
      <c r="K166" s="14" t="inlineStr">
        <is>
          <t>Partly</t>
        </is>
      </c>
      <c r="L166" s="15" t="inlineStr">
        <is>
          <t>65 employees on average and more than 1,000 Greater Houston projects since 1969, on the firm's own count. No annual wall figure is published, so this sits at a Partly.</t>
        </is>
      </c>
      <c r="M166" s="14" t="inlineStr">
        <is>
          <t>Partly</t>
        </is>
      </c>
      <c r="N166" s="15" t="inlineStr">
        <is>
          <t>It bought volumetric mixers and stood up its own delivery arm rather than buying ready-mix from a plant. That is paying for a different way to get concrete to a site, though it is not a wall method.</t>
        </is>
      </c>
      <c r="O166" s="14" t="inlineStr">
        <is>
          <t>Partly</t>
        </is>
      </c>
      <c r="P166" s="10" t="inlineStr"/>
      <c r="Q166" s="12">
        <f>HYPERLINK("https://www.linkedin.com/search/results/people/?keywords=Jeff%20Taylor%20T%26T%20Construction","search")</f>
        <v/>
      </c>
      <c r="R166" s="16">
        <f>IF(P166="","ADD LINKEDIN","ok")</f>
        <v/>
      </c>
      <c r="S166" s="12" t="inlineStr">
        <is>
          <t>https://tandtconstruction.com/</t>
        </is>
      </c>
      <c r="T166" s="15" t="inlineStr">
        <is>
          <t>It owns the mix as well as the placing. A printer is fed concrete continuously, and this firm delivers its own.</t>
        </is>
      </c>
      <c r="U166" s="12" t="inlineStr"/>
      <c r="V166" s="15" t="inlineStr"/>
      <c r="W166" s="12" t="inlineStr"/>
      <c r="X166" s="12" t="inlineStr"/>
      <c r="Y166" s="12" t="inlineStr"/>
      <c r="Z166" s="12" t="inlineStr"/>
      <c r="AA166" s="12" t="inlineStr">
        <is>
          <t>(713) 477-6660</t>
        </is>
      </c>
      <c r="AB166" s="12" t="inlineStr"/>
      <c r="AC166" s="12" t="inlineStr">
        <is>
          <t>https://tandtconstruction.com/</t>
        </is>
      </c>
    </row>
    <row r="167">
      <c r="A167" s="6" t="inlineStr">
        <is>
          <t>Dianna Taylor</t>
        </is>
      </c>
      <c r="B167" s="6" t="inlineStr">
        <is>
          <t>T&amp;T Construction</t>
        </is>
      </c>
      <c r="C167" s="6" t="inlineStr">
        <is>
          <t>Second-generation co-owner, named on the firm's own about page</t>
        </is>
      </c>
      <c r="D167" s="7" t="inlineStr">
        <is>
          <t>Builds the wall, not the house</t>
        </is>
      </c>
      <c r="E167" s="8" t="n">
        <v>3</v>
      </c>
      <c r="F167" s="6" t="inlineStr">
        <is>
          <t>Builds the wall</t>
        </is>
      </c>
      <c r="G167" s="6" t="inlineStr">
        <is>
          <t>Pasadena, Harris</t>
        </is>
      </c>
      <c r="H167" s="6" t="inlineStr">
        <is>
          <t>65 employees, 1,000-plus Houston projects since 1969</t>
        </is>
      </c>
      <c r="I167" s="8" t="inlineStr">
        <is>
          <t>Partly</t>
        </is>
      </c>
      <c r="J167" s="9" t="inlineStr">
        <is>
          <t>Industrial and commercial concrete recurring across the east side of the metro.</t>
        </is>
      </c>
      <c r="K167" s="8" t="inlineStr">
        <is>
          <t>Partly</t>
        </is>
      </c>
      <c r="L167" s="9" t="inlineStr">
        <is>
          <t>65 employees on average and more than 1,000 Greater Houston projects since 1969, on the firm's own count. No annual wall figure is published, so this sits at a Partly.</t>
        </is>
      </c>
      <c r="M167" s="8" t="inlineStr">
        <is>
          <t>Partly</t>
        </is>
      </c>
      <c r="N167" s="9" t="inlineStr">
        <is>
          <t>It bought volumetric mixers and stood up its own delivery arm rather than buying ready-mix from a plant. That is paying for a different way to get concrete to a site, though it is not a wall method.</t>
        </is>
      </c>
      <c r="O167" s="8" t="inlineStr">
        <is>
          <t>Partly</t>
        </is>
      </c>
      <c r="P167" s="10" t="inlineStr"/>
      <c r="Q167" s="6">
        <f>HYPERLINK("https://www.linkedin.com/search/results/people/?keywords=Dianna%20Taylor%20T%26T%20Construction","search")</f>
        <v/>
      </c>
      <c r="R167" s="11">
        <f>IF(P167="","ADD LINKEDIN","ok")</f>
        <v/>
      </c>
      <c r="S167" s="6" t="inlineStr">
        <is>
          <t>https://tandtconstruction.com/</t>
        </is>
      </c>
      <c r="T167" s="9" t="inlineStr">
        <is>
          <t>It owns the mix as well as the placing. A printer is fed concrete continuously, and this firm delivers its own.</t>
        </is>
      </c>
      <c r="U167" s="6" t="inlineStr"/>
      <c r="V167" s="9" t="inlineStr"/>
      <c r="W167" s="6" t="inlineStr"/>
      <c r="X167" s="6" t="inlineStr"/>
      <c r="Y167" s="6" t="inlineStr"/>
      <c r="Z167" s="6" t="inlineStr"/>
      <c r="AA167" s="6" t="inlineStr">
        <is>
          <t>(713) 477-6660</t>
        </is>
      </c>
      <c r="AB167" s="6" t="inlineStr"/>
      <c r="AC167" s="6" t="inlineStr">
        <is>
          <t>https://tandtconstruction.com/</t>
        </is>
      </c>
    </row>
    <row r="168">
      <c r="A168" s="12" t="inlineStr">
        <is>
          <t>Victor Andrade</t>
        </is>
      </c>
      <c r="B168" s="12" t="inlineStr">
        <is>
          <t>Andrade Construction Companies</t>
        </is>
      </c>
      <c r="C168" s="12" t="inlineStr">
        <is>
          <t>Founder, named on the firm's own about page as having started the firm in 2003</t>
        </is>
      </c>
      <c r="D168" s="13" t="inlineStr">
        <is>
          <t>Builds the wall, not the house</t>
        </is>
      </c>
      <c r="E168" s="14" t="n">
        <v>2</v>
      </c>
      <c r="F168" s="12" t="inlineStr">
        <is>
          <t>Builds the wall</t>
        </is>
      </c>
      <c r="G168" s="12" t="inlineStr">
        <is>
          <t>Houston, working Harris and Brazoria</t>
        </is>
      </c>
      <c r="H168" s="12" t="inlineStr">
        <is>
          <t>Owns earthwork, utilities and concrete</t>
        </is>
      </c>
      <c r="I168" s="14" t="inlineStr">
        <is>
          <t>Partly</t>
        </is>
      </c>
      <c r="J168" s="15" t="inlineStr">
        <is>
          <t>Site and concrete packages recurring across Houston jobs, though the buildings themselves differ.</t>
        </is>
      </c>
      <c r="K168" s="14" t="inlineStr">
        <is>
          <t>Partly</t>
        </is>
      </c>
      <c r="L168" s="15" t="inlineStr">
        <is>
          <t>No crew count, revenue or annual volume is published. On the bands, a firm with no published figure is a Partly.</t>
        </is>
      </c>
      <c r="M168" s="14" t="inlineStr">
        <is>
          <t>No</t>
        </is>
      </c>
      <c r="N168" s="15" t="inlineStr">
        <is>
          <t>No method statement on record.</t>
        </is>
      </c>
      <c r="O168" s="14" t="inlineStr">
        <is>
          <t>Partly</t>
        </is>
      </c>
      <c r="P168" s="10" t="inlineStr"/>
      <c r="Q168" s="12">
        <f>HYPERLINK("https://www.linkedin.com/search/results/people/?keywords=Victor%20Andrade%20Andrade%20Construction%20Companies","search")</f>
        <v/>
      </c>
      <c r="R168" s="16">
        <f>IF(P168="","ADD LINKEDIN","ok")</f>
        <v/>
      </c>
      <c r="S168" s="12" t="inlineStr">
        <is>
          <t>https://andradeconstructioncompanies.com/</t>
        </is>
      </c>
      <c r="T168" s="15" t="inlineStr">
        <is>
          <t>It owns the earthwork, the utilities and the concrete on the same site, so a printer would stand on a slab its own crews poured.</t>
        </is>
      </c>
      <c r="U168" s="12" t="inlineStr"/>
      <c r="V168" s="15" t="inlineStr"/>
      <c r="W168" s="12" t="inlineStr"/>
      <c r="X168" s="12" t="inlineStr"/>
      <c r="Y168" s="12" t="inlineStr"/>
      <c r="Z168" s="12" t="inlineStr"/>
      <c r="AA168" s="12" t="inlineStr">
        <is>
          <t>(281) 227-8225</t>
        </is>
      </c>
      <c r="AB168" s="12" t="inlineStr"/>
      <c r="AC168" s="12" t="inlineStr">
        <is>
          <t>https://andradeconstructioncompanies.com/</t>
        </is>
      </c>
    </row>
    <row r="169">
      <c r="A169" s="6" t="inlineStr">
        <is>
          <t>Eric Rice</t>
        </is>
      </c>
      <c r="B169" s="6" t="inlineStr">
        <is>
          <t>Andrade Construction Companies</t>
        </is>
      </c>
      <c r="C169" s="6" t="inlineStr">
        <is>
          <t>Business Development Manager</t>
        </is>
      </c>
      <c r="D169" s="7" t="inlineStr">
        <is>
          <t>Builds the wall, not the house</t>
        </is>
      </c>
      <c r="E169" s="8" t="n">
        <v>2</v>
      </c>
      <c r="F169" s="6" t="inlineStr">
        <is>
          <t>Builds the wall</t>
        </is>
      </c>
      <c r="G169" s="6" t="inlineStr">
        <is>
          <t>Houston, working Harris and Brazoria</t>
        </is>
      </c>
      <c r="H169" s="6" t="inlineStr">
        <is>
          <t>Owns earthwork, utilities and concrete</t>
        </is>
      </c>
      <c r="I169" s="8" t="inlineStr">
        <is>
          <t>Partly</t>
        </is>
      </c>
      <c r="J169" s="9" t="inlineStr">
        <is>
          <t>Site and concrete packages recurring across Houston jobs, though the buildings themselves differ.</t>
        </is>
      </c>
      <c r="K169" s="8" t="inlineStr">
        <is>
          <t>Partly</t>
        </is>
      </c>
      <c r="L169" s="9" t="inlineStr">
        <is>
          <t>No crew count, revenue or annual volume is published. On the bands, a firm with no published figure is a Partly.</t>
        </is>
      </c>
      <c r="M169" s="8" t="inlineStr">
        <is>
          <t>No</t>
        </is>
      </c>
      <c r="N169" s="9" t="inlineStr">
        <is>
          <t>No method statement on record.</t>
        </is>
      </c>
      <c r="O169" s="8" t="inlineStr">
        <is>
          <t>Partly</t>
        </is>
      </c>
      <c r="P169" s="6" t="inlineStr">
        <is>
          <t>https://www.linkedin.com/in/eric-rice-177124352/</t>
        </is>
      </c>
      <c r="Q169" s="6" t="inlineStr"/>
      <c r="R169" s="11">
        <f>IF(P169="","ADD LINKEDIN","ok")</f>
        <v/>
      </c>
      <c r="S169" s="6" t="inlineStr">
        <is>
          <t>https://andradeconstructioncompanies.com/</t>
        </is>
      </c>
      <c r="T169" s="9" t="inlineStr">
        <is>
          <t>It owns the earthwork, the utilities and the concrete on the same site, so a printer would stand on a slab its own crews poured.</t>
        </is>
      </c>
      <c r="U169" s="6" t="inlineStr"/>
      <c r="V169" s="9" t="inlineStr">
        <is>
          <t>Headline reads Business Development Manager at Andrade Construction Companies. Houston, Texas.</t>
        </is>
      </c>
      <c r="W169" s="6" t="inlineStr"/>
      <c r="X169" s="6" t="inlineStr"/>
      <c r="Y169" s="6" t="inlineStr"/>
      <c r="Z169" s="6" t="inlineStr"/>
      <c r="AA169" s="6" t="inlineStr">
        <is>
          <t>(281) 227-8225</t>
        </is>
      </c>
      <c r="AB169" s="6" t="inlineStr"/>
      <c r="AC169" s="6" t="inlineStr">
        <is>
          <t>https://andradeconstructioncompanies.com/</t>
        </is>
      </c>
    </row>
    <row r="170">
      <c r="A170" s="12" t="inlineStr">
        <is>
          <t>Luis Andrade</t>
        </is>
      </c>
      <c r="B170" s="12" t="inlineStr">
        <is>
          <t>Andrade Construction Companies</t>
        </is>
      </c>
      <c r="C170" s="12" t="inlineStr">
        <is>
          <t>Chief Operating Officer, Andrade Concrete and Construction</t>
        </is>
      </c>
      <c r="D170" s="13" t="inlineStr">
        <is>
          <t>Builds the wall, not the house</t>
        </is>
      </c>
      <c r="E170" s="14" t="n">
        <v>2</v>
      </c>
      <c r="F170" s="12" t="inlineStr">
        <is>
          <t>Builds the wall</t>
        </is>
      </c>
      <c r="G170" s="12" t="inlineStr">
        <is>
          <t>Houston, working Harris and Brazoria</t>
        </is>
      </c>
      <c r="H170" s="12" t="inlineStr">
        <is>
          <t>Owns earthwork, utilities and concrete</t>
        </is>
      </c>
      <c r="I170" s="14" t="inlineStr">
        <is>
          <t>Partly</t>
        </is>
      </c>
      <c r="J170" s="15" t="inlineStr">
        <is>
          <t>Site and concrete packages recurring across Houston jobs, though the buildings themselves differ.</t>
        </is>
      </c>
      <c r="K170" s="14" t="inlineStr">
        <is>
          <t>Partly</t>
        </is>
      </c>
      <c r="L170" s="15" t="inlineStr">
        <is>
          <t>No crew count, revenue or annual volume is published. On the bands, a firm with no published figure is a Partly.</t>
        </is>
      </c>
      <c r="M170" s="14" t="inlineStr">
        <is>
          <t>No</t>
        </is>
      </c>
      <c r="N170" s="15" t="inlineStr">
        <is>
          <t>No method statement on record.</t>
        </is>
      </c>
      <c r="O170" s="14" t="inlineStr">
        <is>
          <t>Partly</t>
        </is>
      </c>
      <c r="P170" s="6" t="inlineStr">
        <is>
          <t>https://www.linkedin.com/in/luis-andrade-128317159/</t>
        </is>
      </c>
      <c r="Q170" s="12" t="inlineStr"/>
      <c r="R170" s="16">
        <f>IF(P170="","ADD LINKEDIN","ok")</f>
        <v/>
      </c>
      <c r="S170" s="12" t="inlineStr">
        <is>
          <t>https://andradeconstructioncompanies.com/</t>
        </is>
      </c>
      <c r="T170" s="15" t="inlineStr">
        <is>
          <t>It owns the earthwork, the utilities and the concrete on the same site, so a printer would stand on a slab its own crews poured.</t>
        </is>
      </c>
      <c r="U170" s="12" t="inlineStr"/>
      <c r="V170" s="15" t="inlineStr">
        <is>
          <t>Headline reads COO at Andrade Concrete &amp; Construction Inc., which is a different registered name from Andrade Construction Companies. Confirm the two are the same business.</t>
        </is>
      </c>
      <c r="W170" s="12" t="inlineStr"/>
      <c r="X170" s="12" t="inlineStr"/>
      <c r="Y170" s="12" t="inlineStr"/>
      <c r="Z170" s="12" t="inlineStr"/>
      <c r="AA170" s="12" t="inlineStr">
        <is>
          <t>(281) 227-8225</t>
        </is>
      </c>
      <c r="AB170" s="12" t="inlineStr"/>
      <c r="AC170" s="12" t="inlineStr">
        <is>
          <t>https://andradeconstructioncompanies.com/</t>
        </is>
      </c>
    </row>
    <row r="171">
      <c r="A171" s="6" t="inlineStr">
        <is>
          <t>Shawn McAlpin</t>
        </is>
      </c>
      <c r="B171" s="6" t="inlineStr">
        <is>
          <t>Burton Construction</t>
        </is>
      </c>
      <c r="C171" s="6" t="inlineStr">
        <is>
          <t>Chief Executive Officer</t>
        </is>
      </c>
      <c r="D171" s="7" t="inlineStr">
        <is>
          <t>Builds the wall, not the house</t>
        </is>
      </c>
      <c r="E171" s="8" t="n">
        <v>2</v>
      </c>
      <c r="F171" s="6" t="inlineStr">
        <is>
          <t>Builds the wall</t>
        </is>
      </c>
      <c r="G171" s="6" t="inlineStr">
        <is>
          <t>Houston, with Austin, San Antonio and Phoenix</t>
        </is>
      </c>
      <c r="H171" s="6" t="inlineStr">
        <is>
          <t>Founded 2004, with multifamily in its published portfolio</t>
        </is>
      </c>
      <c r="I171" s="8" t="inlineStr">
        <is>
          <t>Partly</t>
        </is>
      </c>
      <c r="J171" s="9" t="inlineStr">
        <is>
          <t>Commercial and multifamily work across four metros. The buildings differ project to project.</t>
        </is>
      </c>
      <c r="K171" s="8" t="inlineStr">
        <is>
          <t>Partly</t>
        </is>
      </c>
      <c r="L171" s="9" t="inlineStr">
        <is>
          <t>No revenue, crew count or project size is published. On the bands, a firm with no published figure is a Partly.</t>
        </is>
      </c>
      <c r="M171" s="8" t="inlineStr">
        <is>
          <t>No</t>
        </is>
      </c>
      <c r="N171" s="9" t="inlineStr">
        <is>
          <t>No method statement on record. The tilt-up award is for execution.</t>
        </is>
      </c>
      <c r="O171" s="8" t="inlineStr">
        <is>
          <t>Partly</t>
        </is>
      </c>
      <c r="P171" s="6" t="inlineStr">
        <is>
          <t>https://www.linkedin.com/in/shawn-mcalpin-b1260312/</t>
        </is>
      </c>
      <c r="Q171" s="6" t="inlineStr"/>
      <c r="R171" s="11">
        <f>IF(P171="","ADD LINKEDIN","ok")</f>
        <v/>
      </c>
      <c r="S171" s="6" t="inlineStr">
        <is>
          <t>https://burtonconstruction.com/</t>
        </is>
      </c>
      <c r="T171" s="9" t="inlineStr">
        <is>
          <t>Twenty-two years old, a tilt-up award in 2024 and multifamily in the published portfolio. The founder is on the firm's own page; the chief executive is not.</t>
        </is>
      </c>
      <c r="U171" s="6" t="inlineStr">
        <is>
          <t>YES</t>
        </is>
      </c>
      <c r="V171" s="9" t="inlineStr">
        <is>
          <t>Headline reads CEO at Burton Construction. Katy, Texas. The firm's own about page names only its founder, so this is the current chief executive and the founder is not.</t>
        </is>
      </c>
      <c r="W171" s="6" t="inlineStr"/>
      <c r="X171" s="6" t="inlineStr"/>
      <c r="Y171" s="6" t="inlineStr"/>
      <c r="Z171" s="6" t="inlineStr"/>
      <c r="AA171" s="6" t="inlineStr">
        <is>
          <t>(281) 313-5055</t>
        </is>
      </c>
      <c r="AB171" s="6" t="inlineStr">
        <is>
          <t>Houston office</t>
        </is>
      </c>
      <c r="AC171" s="6" t="inlineStr">
        <is>
          <t>https://burtonconstruction.com/</t>
        </is>
      </c>
    </row>
    <row r="172">
      <c r="A172" s="12" t="inlineStr">
        <is>
          <t>Cullen Burton</t>
        </is>
      </c>
      <c r="B172" s="12" t="inlineStr">
        <is>
          <t>Burton Construction</t>
        </is>
      </c>
      <c r="C172" s="12" t="inlineStr">
        <is>
          <t>President</t>
        </is>
      </c>
      <c r="D172" s="13" t="inlineStr">
        <is>
          <t>Builds the wall, not the house</t>
        </is>
      </c>
      <c r="E172" s="14" t="n">
        <v>2</v>
      </c>
      <c r="F172" s="12" t="inlineStr">
        <is>
          <t>Builds the wall</t>
        </is>
      </c>
      <c r="G172" s="12" t="inlineStr">
        <is>
          <t>Houston, with Austin, San Antonio and Phoenix</t>
        </is>
      </c>
      <c r="H172" s="12" t="inlineStr">
        <is>
          <t>Founded 2004, with multifamily in its published portfolio</t>
        </is>
      </c>
      <c r="I172" s="14" t="inlineStr">
        <is>
          <t>Partly</t>
        </is>
      </c>
      <c r="J172" s="15" t="inlineStr">
        <is>
          <t>Commercial and multifamily work across four metros. The buildings differ project to project.</t>
        </is>
      </c>
      <c r="K172" s="14" t="inlineStr">
        <is>
          <t>Partly</t>
        </is>
      </c>
      <c r="L172" s="15" t="inlineStr">
        <is>
          <t>No revenue, crew count or project size is published. On the bands, a firm with no published figure is a Partly.</t>
        </is>
      </c>
      <c r="M172" s="14" t="inlineStr">
        <is>
          <t>No</t>
        </is>
      </c>
      <c r="N172" s="15" t="inlineStr">
        <is>
          <t>No method statement on record. The tilt-up award is for execution.</t>
        </is>
      </c>
      <c r="O172" s="14" t="inlineStr">
        <is>
          <t>Partly</t>
        </is>
      </c>
      <c r="P172" s="10" t="inlineStr"/>
      <c r="Q172" s="12" t="inlineStr"/>
      <c r="R172" s="16">
        <f>IF(P172="","ADD LINKEDIN","ok")</f>
        <v/>
      </c>
      <c r="S172" s="12" t="inlineStr">
        <is>
          <t>https://burtonconstruction.com/</t>
        </is>
      </c>
      <c r="T172" s="15" t="inlineStr">
        <is>
          <t>Twenty-two years old, a tilt-up award in 2024 and multifamily in the published portfolio. The founder is on the firm's own page; the chief executive is not.</t>
        </is>
      </c>
      <c r="U172" s="12" t="inlineStr">
        <is>
          <t>YES</t>
        </is>
      </c>
      <c r="V172" s="15" t="inlineStr"/>
      <c r="W172" s="12" t="inlineStr">
        <is>
          <t>https://burtonconstruction.com/leadership/</t>
        </is>
      </c>
      <c r="X172" s="12" t="inlineStr"/>
      <c r="Y172" s="12" t="inlineStr"/>
      <c r="Z172" s="12" t="inlineStr"/>
      <c r="AA172" s="12" t="inlineStr">
        <is>
          <t>(281) 313-5055</t>
        </is>
      </c>
      <c r="AB172" s="12" t="inlineStr">
        <is>
          <t>Houston office</t>
        </is>
      </c>
      <c r="AC172" s="12" t="inlineStr">
        <is>
          <t>https://burtonconstruction.com/</t>
        </is>
      </c>
    </row>
    <row r="173">
      <c r="A173" s="6" t="inlineStr">
        <is>
          <t>J. Cameron Guinn</t>
        </is>
      </c>
      <c r="B173" s="6" t="inlineStr">
        <is>
          <t>HTX Concrete</t>
        </is>
      </c>
      <c r="C173" s="6" t="inlineStr">
        <is>
          <t>Vice President, Business Development</t>
        </is>
      </c>
      <c r="D173" s="7" t="inlineStr">
        <is>
          <t>Builds the wall, not the house</t>
        </is>
      </c>
      <c r="E173" s="8" t="n">
        <v>2</v>
      </c>
      <c r="F173" s="6" t="inlineStr">
        <is>
          <t>Builds the wall</t>
        </is>
      </c>
      <c r="G173" s="6" t="inlineStr">
        <is>
          <t>Houston, working Harris, Fort Bend and Brazoria</t>
        </is>
      </c>
      <c r="H173" s="6" t="inlineStr">
        <is>
          <t>Names a garden-style multifamily project on its own site</t>
        </is>
      </c>
      <c r="I173" s="8" t="inlineStr">
        <is>
          <t>Partly</t>
        </is>
      </c>
      <c r="J173" s="9" t="inlineStr">
        <is>
          <t>Commercial shells and paving across the metro. The published square footages are weighted to paving rather than to wall.</t>
        </is>
      </c>
      <c r="K173" s="8" t="inlineStr">
        <is>
          <t>Partly</t>
        </is>
      </c>
      <c r="L173" s="9" t="inlineStr">
        <is>
          <t>No annual volume is published. The one published wall figure is 12,000 square feet of tilt wall against 155,000 gross square feet of paving on the same job.</t>
        </is>
      </c>
      <c r="M173" s="8" t="inlineStr">
        <is>
          <t>No</t>
        </is>
      </c>
      <c r="N173" s="9" t="inlineStr">
        <is>
          <t>No method statement on record.</t>
        </is>
      </c>
      <c r="O173" s="8" t="inlineStr">
        <is>
          <t>Partly</t>
        </is>
      </c>
      <c r="P173" s="6" t="inlineStr">
        <is>
          <t>https://www.linkedin.com/in/j-cameron-guinn-2047686/</t>
        </is>
      </c>
      <c r="Q173" s="6" t="inlineStr"/>
      <c r="R173" s="11">
        <f>IF(P173="","ADD LINKEDIN","ok")</f>
        <v/>
      </c>
      <c r="S173" s="6" t="inlineStr">
        <is>
          <t>https://htxconcrete.com/</t>
        </is>
      </c>
      <c r="T173" s="9" t="inlineStr">
        <is>
          <t>One of two contractors screened that names an actual multifamily project on its own site. The published work is paving-heavy.</t>
        </is>
      </c>
      <c r="U173" s="6" t="inlineStr"/>
      <c r="V173" s="9" t="inlineStr">
        <is>
          <t>Headline reads Vice President Business Development at HTX Concrete. Houston, Texas.</t>
        </is>
      </c>
      <c r="W173" s="6" t="inlineStr"/>
      <c r="X173" s="6" t="inlineStr"/>
      <c r="Y173" s="6" t="inlineStr"/>
      <c r="Z173" s="6" t="inlineStr"/>
      <c r="AA173" s="6" t="inlineStr">
        <is>
          <t>(832) 930-7739</t>
        </is>
      </c>
      <c r="AB173" s="6" t="inlineStr"/>
      <c r="AC173" s="6" t="inlineStr">
        <is>
          <t>https://htxconcrete.com/</t>
        </is>
      </c>
    </row>
    <row r="174">
      <c r="A174" s="12" t="inlineStr">
        <is>
          <t>Tony Le</t>
        </is>
      </c>
      <c r="B174" s="12" t="inlineStr">
        <is>
          <t>HTX Concrete</t>
        </is>
      </c>
      <c r="C174" s="12" t="inlineStr">
        <is>
          <t>Chief Estimator</t>
        </is>
      </c>
      <c r="D174" s="13" t="inlineStr">
        <is>
          <t>Builds the wall, not the house</t>
        </is>
      </c>
      <c r="E174" s="14" t="n">
        <v>2</v>
      </c>
      <c r="F174" s="12" t="inlineStr">
        <is>
          <t>Builds the wall</t>
        </is>
      </c>
      <c r="G174" s="12" t="inlineStr">
        <is>
          <t>Houston, working Harris, Fort Bend and Brazoria</t>
        </is>
      </c>
      <c r="H174" s="12" t="inlineStr">
        <is>
          <t>Names a garden-style multifamily project on its own site</t>
        </is>
      </c>
      <c r="I174" s="14" t="inlineStr">
        <is>
          <t>Partly</t>
        </is>
      </c>
      <c r="J174" s="15" t="inlineStr">
        <is>
          <t>Commercial shells and paving across the metro. The published square footages are weighted to paving rather than to wall.</t>
        </is>
      </c>
      <c r="K174" s="14" t="inlineStr">
        <is>
          <t>Partly</t>
        </is>
      </c>
      <c r="L174" s="15" t="inlineStr">
        <is>
          <t>No annual volume is published. The one published wall figure is 12,000 square feet of tilt wall against 155,000 gross square feet of paving on the same job.</t>
        </is>
      </c>
      <c r="M174" s="14" t="inlineStr">
        <is>
          <t>No</t>
        </is>
      </c>
      <c r="N174" s="15" t="inlineStr">
        <is>
          <t>No method statement on record.</t>
        </is>
      </c>
      <c r="O174" s="14" t="inlineStr">
        <is>
          <t>Partly</t>
        </is>
      </c>
      <c r="P174" s="6" t="inlineStr">
        <is>
          <t>https://www.linkedin.com/in/tony-le-81ba0032/</t>
        </is>
      </c>
      <c r="Q174" s="12" t="inlineStr"/>
      <c r="R174" s="16">
        <f>IF(P174="","ADD LINKEDIN","ok")</f>
        <v/>
      </c>
      <c r="S174" s="12" t="inlineStr">
        <is>
          <t>https://htxconcrete.com/</t>
        </is>
      </c>
      <c r="T174" s="15" t="inlineStr">
        <is>
          <t>One of two contractors screened that names an actual multifamily project on its own site. The published work is paving-heavy.</t>
        </is>
      </c>
      <c r="U174" s="12" t="inlineStr"/>
      <c r="V174" s="15" t="inlineStr">
        <is>
          <t>Headline reads Chief Estimator at HTX Concrete. Houston, Texas.</t>
        </is>
      </c>
      <c r="W174" s="12" t="inlineStr"/>
      <c r="X174" s="12" t="inlineStr"/>
      <c r="Y174" s="12" t="inlineStr"/>
      <c r="Z174" s="12" t="inlineStr"/>
      <c r="AA174" s="12" t="inlineStr">
        <is>
          <t>(832) 930-7739</t>
        </is>
      </c>
      <c r="AB174" s="12" t="inlineStr"/>
      <c r="AC174" s="12" t="inlineStr">
        <is>
          <t>https://htxconcrete.com/</t>
        </is>
      </c>
    </row>
    <row r="175">
      <c r="A175" s="6" t="inlineStr">
        <is>
          <t>Trent Mitchell</t>
        </is>
      </c>
      <c r="B175" s="6" t="inlineStr">
        <is>
          <t>Silver Spur Concrete Contractors</t>
        </is>
      </c>
      <c r="C175" s="6" t="inlineStr">
        <is>
          <t>Owner, named on the firm's own about page, after eighteen years selling ready-mix to the largest general contractors in Houston</t>
        </is>
      </c>
      <c r="D175" s="7" t="inlineStr">
        <is>
          <t>Builds the wall, not the house</t>
        </is>
      </c>
      <c r="E175" s="8" t="n">
        <v>2</v>
      </c>
      <c r="F175" s="6" t="inlineStr">
        <is>
          <t>Builds the wall</t>
        </is>
      </c>
      <c r="G175" s="6" t="inlineStr">
        <is>
          <t>Tomball and north Houston, Harris and Montgomery</t>
        </is>
      </c>
      <c r="H175" s="6" t="inlineStr">
        <is>
          <t>Publishes a custom residential concrete line</t>
        </is>
      </c>
      <c r="I175" s="8" t="inlineStr">
        <is>
          <t>Partly</t>
        </is>
      </c>
      <c r="J175" s="9" t="inlineStr">
        <is>
          <t>Commercial concrete and metal buildings recurring across the north side of the metro.</t>
        </is>
      </c>
      <c r="K175" s="8" t="inlineStr">
        <is>
          <t>Partly</t>
        </is>
      </c>
      <c r="L175" s="9" t="inlineStr">
        <is>
          <t>No crew count, revenue or project size is published anywhere on the site. On the bands, a firm with no published figure is a Partly.</t>
        </is>
      </c>
      <c r="M175" s="8" t="inlineStr">
        <is>
          <t>No</t>
        </is>
      </c>
      <c r="N175" s="9" t="inlineStr">
        <is>
          <t>No method statement on record.</t>
        </is>
      </c>
      <c r="O175" s="8" t="inlineStr">
        <is>
          <t>Partly</t>
        </is>
      </c>
      <c r="P175" s="10" t="inlineStr"/>
      <c r="Q175" s="6">
        <f>HYPERLINK("https://www.linkedin.com/search/results/people/?keywords=Trent%20Mitchell%20Silver%20Spur%20Concrete%20Contractors","search")</f>
        <v/>
      </c>
      <c r="R175" s="11">
        <f>IF(P175="","ADD LINKEDIN","ok")</f>
        <v/>
      </c>
      <c r="S175" s="6" t="inlineStr">
        <is>
          <t>https://silverspurconcrete.com/</t>
        </is>
      </c>
      <c r="T175" s="9" t="inlineStr">
        <is>
          <t>The only contractor screened that pairs tilt-wall with a published residential concrete line, including engineered slabs.</t>
        </is>
      </c>
      <c r="U175" s="6" t="inlineStr">
        <is>
          <t>YES</t>
        </is>
      </c>
      <c r="V175" s="9" t="inlineStr"/>
      <c r="W175" s="6" t="inlineStr"/>
      <c r="X175" s="6" t="inlineStr"/>
      <c r="Y175" s="6" t="inlineStr"/>
      <c r="Z175" s="6" t="inlineStr"/>
      <c r="AA175" s="6" t="inlineStr">
        <is>
          <t>(713) 482-7712</t>
        </is>
      </c>
      <c r="AB175" s="6" t="inlineStr"/>
      <c r="AC175" s="6" t="inlineStr">
        <is>
          <t>https://silverspurconcrete.com/</t>
        </is>
      </c>
    </row>
    <row r="176">
      <c r="A176" s="12" t="inlineStr">
        <is>
          <t>Scott Arnoldy</t>
        </is>
      </c>
      <c r="B176" s="12" t="inlineStr">
        <is>
          <t>Triten Real Estate Partners</t>
        </is>
      </c>
      <c r="C176" s="12" t="inlineStr">
        <is>
          <t>Chief Executive Officer, Founder</t>
        </is>
      </c>
      <c r="D176" s="13" t="inlineStr">
        <is>
          <t>Creative project, hybrid job</t>
        </is>
      </c>
      <c r="E176" s="14" t="n">
        <v>3</v>
      </c>
      <c r="F176" s="12" t="inlineStr">
        <is>
          <t>Buys walls</t>
        </is>
      </c>
      <c r="G176" s="12" t="inlineStr">
        <is>
          <t>East End / Fort Bend, Harris County</t>
        </is>
      </c>
      <c r="H176" s="12" t="inlineStr">
        <is>
          <t>341 units at The Mill, 294 more under construction at Aliana</t>
        </is>
      </c>
      <c r="I176" s="14" t="inlineStr">
        <is>
          <t>Yes</t>
        </is>
      </c>
      <c r="J176" s="15" t="inlineStr">
        <is>
          <t>341 units at The Mill, 294 more under construction at Aliana.</t>
        </is>
      </c>
      <c r="K176" s="14" t="inlineStr">
        <is>
          <t>Partly</t>
        </is>
      </c>
      <c r="L176" s="15" t="inlineStr">
        <is>
          <t>The Landing at Aliana is 294 units of three-storey garden-style housing on one Fort Bend site. That is the repeating low-rise the band covers.</t>
        </is>
      </c>
      <c r="M176" s="14" t="inlineStr">
        <is>
          <t>Partly</t>
        </is>
      </c>
      <c r="N176" s="15" t="inlineStr">
        <is>
          <t>It expected to use cross-laminated timber on a six-storey office building at The Mill in 2021, contingent on retail leasing. The building is not in its own portfolio entry and no source shows it was built.</t>
        </is>
      </c>
      <c r="O176" s="14" t="inlineStr">
        <is>
          <t>Partly</t>
        </is>
      </c>
      <c r="P176" s="6" t="inlineStr">
        <is>
          <t>https://www.linkedin.com/in/scottarnoldy/</t>
        </is>
      </c>
      <c r="Q176" s="12" t="inlineStr"/>
      <c r="R176" s="16">
        <f>IF(P176="","ADD LINKEDIN","ok")</f>
        <v/>
      </c>
      <c r="S176" s="12" t="inlineStr">
        <is>
          <t>https://www.tritenre.com/</t>
        </is>
      </c>
      <c r="T176" s="15" t="inlineStr">
        <is>
          <t>Financed a cross-laminated timber frame at The Mill. 294 units at Aliana land in Titan's first delivery window.</t>
        </is>
      </c>
      <c r="U176" s="12" t="inlineStr"/>
      <c r="V176" s="15" t="inlineStr">
        <is>
          <t>Founder and CEO, Triten Real Estate Partners. Houston, Texas.</t>
        </is>
      </c>
      <c r="W176" s="12" t="inlineStr"/>
      <c r="X176" s="12" t="inlineStr">
        <is>
          <t>https://www.linkedin.com/company/triten-real-estate-partners</t>
        </is>
      </c>
      <c r="Y176" s="12" t="inlineStr">
        <is>
          <t>https://www.tritenre.com/team</t>
        </is>
      </c>
      <c r="Z176" s="12" t="inlineStr"/>
      <c r="AA176" s="12" t="inlineStr">
        <is>
          <t>(832) 214-5000</t>
        </is>
      </c>
      <c r="AB176" s="12" t="inlineStr"/>
      <c r="AC176" s="12" t="inlineStr">
        <is>
          <t>https://www.tritenre.com/</t>
        </is>
      </c>
    </row>
    <row r="177">
      <c r="A177" s="6" t="inlineStr">
        <is>
          <t>Larry Sloan</t>
        </is>
      </c>
      <c r="B177" s="6" t="inlineStr">
        <is>
          <t>Triten Real Estate Partners</t>
        </is>
      </c>
      <c r="C177" s="6" t="inlineStr">
        <is>
          <t>Partner, Chief Development Officer</t>
        </is>
      </c>
      <c r="D177" s="7" t="inlineStr">
        <is>
          <t>Creative project, hybrid job</t>
        </is>
      </c>
      <c r="E177" s="8" t="n">
        <v>3</v>
      </c>
      <c r="F177" s="6" t="inlineStr">
        <is>
          <t>Buys walls</t>
        </is>
      </c>
      <c r="G177" s="6" t="inlineStr">
        <is>
          <t>East End / Fort Bend, Harris County</t>
        </is>
      </c>
      <c r="H177" s="6" t="inlineStr">
        <is>
          <t>341 units at The Mill, 294 more under construction at Aliana</t>
        </is>
      </c>
      <c r="I177" s="8" t="inlineStr">
        <is>
          <t>Yes</t>
        </is>
      </c>
      <c r="J177" s="9" t="inlineStr">
        <is>
          <t>341 units at The Mill, 294 more under construction at Aliana.</t>
        </is>
      </c>
      <c r="K177" s="8" t="inlineStr">
        <is>
          <t>Partly</t>
        </is>
      </c>
      <c r="L177" s="9" t="inlineStr">
        <is>
          <t>The Landing at Aliana is 294 units of three-storey garden-style housing on one Fort Bend site. That is the repeating low-rise the band covers.</t>
        </is>
      </c>
      <c r="M177" s="8" t="inlineStr">
        <is>
          <t>Partly</t>
        </is>
      </c>
      <c r="N177" s="9" t="inlineStr">
        <is>
          <t>It expected to use cross-laminated timber on a six-storey office building at The Mill in 2021, contingent on retail leasing. The building is not in its own portfolio entry and no source shows it was built.</t>
        </is>
      </c>
      <c r="O177" s="8" t="inlineStr">
        <is>
          <t>Partly</t>
        </is>
      </c>
      <c r="P177" s="6" t="inlineStr">
        <is>
          <t>https://www.linkedin.com/in/larry-sloan-894204b/</t>
        </is>
      </c>
      <c r="Q177" s="6" t="inlineStr"/>
      <c r="R177" s="11">
        <f>IF(P177="","ADD LINKEDIN","ok")</f>
        <v/>
      </c>
      <c r="S177" s="6" t="inlineStr">
        <is>
          <t>https://www.tritenre.com/</t>
        </is>
      </c>
      <c r="T177" s="9" t="inlineStr">
        <is>
          <t>Financed a cross-laminated timber frame at The Mill. 294 units at Aliana land in Titan's first delivery window.</t>
        </is>
      </c>
      <c r="U177" s="6" t="inlineStr"/>
      <c r="V177" s="9" t="inlineStr">
        <is>
          <t>Chief Development Officer (CDO) at Triten Real Estate Partners. Houston, Texas. The same person who left Midway as EVP of investment and development in November 2023.</t>
        </is>
      </c>
      <c r="W177" s="6" t="inlineStr"/>
      <c r="X177" s="6" t="inlineStr">
        <is>
          <t>https://www.linkedin.com/company/triten-real-estate-partners</t>
        </is>
      </c>
      <c r="Y177" s="6" t="inlineStr">
        <is>
          <t>https://www.tritenre.com/team</t>
        </is>
      </c>
      <c r="Z177" s="6" t="inlineStr"/>
      <c r="AA177" s="6" t="inlineStr">
        <is>
          <t>(832) 214-5000</t>
        </is>
      </c>
      <c r="AB177" s="6" t="inlineStr"/>
      <c r="AC177" s="6" t="inlineStr">
        <is>
          <t>https://www.tritenre.com/</t>
        </is>
      </c>
    </row>
    <row r="178">
      <c r="A178" s="12" t="inlineStr">
        <is>
          <t>Brent Ozenbaugh</t>
        </is>
      </c>
      <c r="B178" s="12" t="inlineStr">
        <is>
          <t>Triten Real Estate Partners</t>
        </is>
      </c>
      <c r="C178" s="12" t="inlineStr">
        <is>
          <t>Partner, Chief Operating Officer</t>
        </is>
      </c>
      <c r="D178" s="13" t="inlineStr">
        <is>
          <t>Creative project, hybrid job</t>
        </is>
      </c>
      <c r="E178" s="14" t="n">
        <v>3</v>
      </c>
      <c r="F178" s="12" t="inlineStr">
        <is>
          <t>Buys walls</t>
        </is>
      </c>
      <c r="G178" s="12" t="inlineStr">
        <is>
          <t>East End / Fort Bend, Harris County</t>
        </is>
      </c>
      <c r="H178" s="12" t="inlineStr">
        <is>
          <t>341 units at The Mill, 294 more under construction at Aliana</t>
        </is>
      </c>
      <c r="I178" s="14" t="inlineStr">
        <is>
          <t>Yes</t>
        </is>
      </c>
      <c r="J178" s="15" t="inlineStr">
        <is>
          <t>341 units at The Mill, 294 more under construction at Aliana.</t>
        </is>
      </c>
      <c r="K178" s="14" t="inlineStr">
        <is>
          <t>Partly</t>
        </is>
      </c>
      <c r="L178" s="15" t="inlineStr">
        <is>
          <t>The Landing at Aliana is 294 units of three-storey garden-style housing on one Fort Bend site. That is the repeating low-rise the band covers.</t>
        </is>
      </c>
      <c r="M178" s="14" t="inlineStr">
        <is>
          <t>Partly</t>
        </is>
      </c>
      <c r="N178" s="15" t="inlineStr">
        <is>
          <t>It expected to use cross-laminated timber on a six-storey office building at The Mill in 2021, contingent on retail leasing. The building is not in its own portfolio entry and no source shows it was built.</t>
        </is>
      </c>
      <c r="O178" s="14" t="inlineStr">
        <is>
          <t>Partly</t>
        </is>
      </c>
      <c r="P178" s="6" t="inlineStr">
        <is>
          <t>https://www.linkedin.com/in/brent-ozenbaugh-b99872/</t>
        </is>
      </c>
      <c r="Q178" s="12" t="inlineStr"/>
      <c r="R178" s="16">
        <f>IF(P178="","ADD LINKEDIN","ok")</f>
        <v/>
      </c>
      <c r="S178" s="12" t="inlineStr">
        <is>
          <t>https://www.tritenre.com/</t>
        </is>
      </c>
      <c r="T178" s="15" t="inlineStr">
        <is>
          <t>Financed a cross-laminated timber frame at The Mill. 294 units at Aliana land in Titan's first delivery window.</t>
        </is>
      </c>
      <c r="U178" s="12" t="inlineStr"/>
      <c r="V178" s="15" t="inlineStr">
        <is>
          <t>COO at Triten Real Estate Partners. Greater Houston.</t>
        </is>
      </c>
      <c r="W178" s="12" t="inlineStr"/>
      <c r="X178" s="12" t="inlineStr">
        <is>
          <t>https://www.linkedin.com/company/triten-real-estate-partners</t>
        </is>
      </c>
      <c r="Y178" s="12" t="inlineStr">
        <is>
          <t>https://www.tritenre.com/team</t>
        </is>
      </c>
      <c r="Z178" s="12" t="inlineStr"/>
      <c r="AA178" s="12" t="inlineStr">
        <is>
          <t>(832) 214-5000</t>
        </is>
      </c>
      <c r="AB178" s="12" t="inlineStr"/>
      <c r="AC178" s="12" t="inlineStr">
        <is>
          <t>https://www.tritenre.com/</t>
        </is>
      </c>
    </row>
    <row r="179">
      <c r="A179" s="6" t="inlineStr">
        <is>
          <t>Carter Bechtol</t>
        </is>
      </c>
      <c r="B179" s="6" t="inlineStr">
        <is>
          <t>Triten Real Estate Partners</t>
        </is>
      </c>
      <c r="C179" s="6" t="inlineStr">
        <is>
          <t>Partner, Head of Triten Residential</t>
        </is>
      </c>
      <c r="D179" s="7" t="inlineStr">
        <is>
          <t>Creative project, hybrid job</t>
        </is>
      </c>
      <c r="E179" s="8" t="n">
        <v>3</v>
      </c>
      <c r="F179" s="6" t="inlineStr">
        <is>
          <t>Buys walls</t>
        </is>
      </c>
      <c r="G179" s="6" t="inlineStr">
        <is>
          <t>East End / Fort Bend, Harris County</t>
        </is>
      </c>
      <c r="H179" s="6" t="inlineStr">
        <is>
          <t>341 units at The Mill, 294 more under construction at Aliana</t>
        </is>
      </c>
      <c r="I179" s="8" t="inlineStr">
        <is>
          <t>Yes</t>
        </is>
      </c>
      <c r="J179" s="9" t="inlineStr">
        <is>
          <t>341 units at The Mill, 294 more under construction at Aliana.</t>
        </is>
      </c>
      <c r="K179" s="8" t="inlineStr">
        <is>
          <t>Partly</t>
        </is>
      </c>
      <c r="L179" s="9" t="inlineStr">
        <is>
          <t>The Landing at Aliana is 294 units of three-storey garden-style housing on one Fort Bend site. That is the repeating low-rise the band covers.</t>
        </is>
      </c>
      <c r="M179" s="8" t="inlineStr">
        <is>
          <t>Partly</t>
        </is>
      </c>
      <c r="N179" s="9" t="inlineStr">
        <is>
          <t>It expected to use cross-laminated timber on a six-storey office building at The Mill in 2021, contingent on retail leasing. The building is not in its own portfolio entry and no source shows it was built.</t>
        </is>
      </c>
      <c r="O179" s="8" t="inlineStr">
        <is>
          <t>Partly</t>
        </is>
      </c>
      <c r="P179" s="10" t="inlineStr"/>
      <c r="Q179" s="6">
        <f>HYPERLINK("https://www.linkedin.com/search/results/people/?keywords=Carter%20Bechtol%20Triten%20Real%20Estate%20Partners","search")</f>
        <v/>
      </c>
      <c r="R179" s="11">
        <f>IF(P179="","ADD LINKEDIN","ok")</f>
        <v/>
      </c>
      <c r="S179" s="6" t="inlineStr">
        <is>
          <t>https://www.tritenre.com/</t>
        </is>
      </c>
      <c r="T179" s="9" t="inlineStr">
        <is>
          <t>Financed a cross-laminated timber frame at The Mill. 294 units at Aliana land in Titan's first delivery window.</t>
        </is>
      </c>
      <c r="U179" s="6" t="inlineStr"/>
      <c r="V179" s="9" t="inlineStr">
        <is>
          <t>Triten's own bio page. Partner, Head of Triten Residential. The residential platform is the part of Triten that would buy a repeated wall.</t>
        </is>
      </c>
      <c r="W179" s="6" t="inlineStr">
        <is>
          <t>https://www.tritenre.com/team/carter-becthol</t>
        </is>
      </c>
      <c r="X179" s="6" t="inlineStr">
        <is>
          <t>https://www.linkedin.com/company/triten-real-estate-partners</t>
        </is>
      </c>
      <c r="Y179" s="6" t="inlineStr">
        <is>
          <t>https://www.tritenre.com/team</t>
        </is>
      </c>
      <c r="Z179" s="6" t="inlineStr"/>
      <c r="AA179" s="6" t="inlineStr">
        <is>
          <t>(832) 214-5000</t>
        </is>
      </c>
      <c r="AB179" s="6" t="inlineStr"/>
      <c r="AC179" s="6" t="inlineStr">
        <is>
          <t>https://www.tritenre.com/</t>
        </is>
      </c>
    </row>
    <row r="180">
      <c r="A180" s="12" t="inlineStr">
        <is>
          <t>Steve Radom</t>
        </is>
      </c>
      <c r="B180" s="12" t="inlineStr">
        <is>
          <t>Radom Capital</t>
        </is>
      </c>
      <c r="C180" s="12" t="inlineStr">
        <is>
          <t>Managing Principal</t>
        </is>
      </c>
      <c r="D180" s="13" t="inlineStr">
        <is>
          <t>Creative project, hybrid job</t>
        </is>
      </c>
      <c r="E180" s="14" t="n">
        <v>2</v>
      </c>
      <c r="F180" s="12" t="inlineStr">
        <is>
          <t>Buys walls</t>
        </is>
      </c>
      <c r="G180" s="12" t="inlineStr">
        <is>
          <t>Heights / Montrose, Harris County</t>
        </is>
      </c>
      <c r="H180" s="12" t="inlineStr">
        <is>
          <t>$104.75M Montrose Collective financing</t>
        </is>
      </c>
      <c r="I180" s="14" t="inlineStr">
        <is>
          <t>Partly</t>
        </is>
      </c>
      <c r="J180" s="15" t="inlineStr">
        <is>
          <t>Fifteen projects in one district, 218 units at Clock Tower.</t>
        </is>
      </c>
      <c r="K180" s="14" t="inlineStr">
        <is>
          <t>No</t>
        </is>
      </c>
      <c r="L180" s="15" t="inlineStr">
        <is>
          <t>Adaptive reuse and retail. Every project is its own building.</t>
        </is>
      </c>
      <c r="M180" s="14" t="inlineStr">
        <is>
          <t>Yes</t>
        </is>
      </c>
      <c r="N180" s="15" t="inlineStr">
        <is>
          <t>Commissioned Michael Hsu for Montrose Collective, four-street frontage, $104.75M financed.</t>
        </is>
      </c>
      <c r="O180" s="14" t="inlineStr">
        <is>
          <t>Yes</t>
        </is>
      </c>
      <c r="P180" s="6" t="inlineStr">
        <is>
          <t>https://www.linkedin.com/in/steveradom/</t>
        </is>
      </c>
      <c r="Q180" s="12" t="inlineStr"/>
      <c r="R180" s="16">
        <f>IF(P180="","ADD LINKEDIN","ok")</f>
        <v/>
      </c>
      <c r="S180" s="12" t="inlineStr">
        <is>
          <t>https://www.radomcapital.com/</t>
        </is>
      </c>
      <c r="T180" s="15" t="inlineStr">
        <is>
          <t>Michael Hsu at Montrose Collective, $104.75M financed. Fifteen projects in one district, so volume is concentrated rather than deep.</t>
        </is>
      </c>
      <c r="U180" s="12" t="inlineStr"/>
      <c r="V180" s="15" t="inlineStr"/>
      <c r="W180" s="12" t="inlineStr"/>
      <c r="X180" s="12" t="inlineStr">
        <is>
          <t>https://www.linkedin.com/company/radom-capital-llc</t>
        </is>
      </c>
      <c r="Y180" s="12" t="inlineStr">
        <is>
          <t>https://www.radomcapital.com/team</t>
        </is>
      </c>
      <c r="Z180" s="12" t="inlineStr"/>
      <c r="AA180" s="12" t="inlineStr">
        <is>
          <t>(713) 783-4444</t>
        </is>
      </c>
      <c r="AB180" s="12" t="inlineStr"/>
      <c r="AC180" s="12" t="inlineStr">
        <is>
          <t>https://www.radomcapital.com/</t>
        </is>
      </c>
    </row>
    <row r="181">
      <c r="A181" s="6" t="inlineStr">
        <is>
          <t>Barton Kelly</t>
        </is>
      </c>
      <c r="B181" s="6" t="inlineStr">
        <is>
          <t>Radom Capital</t>
        </is>
      </c>
      <c r="C181" s="6" t="inlineStr">
        <is>
          <t>Principal</t>
        </is>
      </c>
      <c r="D181" s="7" t="inlineStr">
        <is>
          <t>Creative project, hybrid job</t>
        </is>
      </c>
      <c r="E181" s="8" t="n">
        <v>2</v>
      </c>
      <c r="F181" s="6" t="inlineStr">
        <is>
          <t>Buys walls</t>
        </is>
      </c>
      <c r="G181" s="6" t="inlineStr">
        <is>
          <t>Heights / Montrose, Harris County</t>
        </is>
      </c>
      <c r="H181" s="6" t="inlineStr">
        <is>
          <t>$104.75M Montrose Collective financing</t>
        </is>
      </c>
      <c r="I181" s="8" t="inlineStr">
        <is>
          <t>Partly</t>
        </is>
      </c>
      <c r="J181" s="9" t="inlineStr">
        <is>
          <t>Fifteen projects in one district, 218 units at Clock Tower.</t>
        </is>
      </c>
      <c r="K181" s="8" t="inlineStr">
        <is>
          <t>No</t>
        </is>
      </c>
      <c r="L181" s="9" t="inlineStr">
        <is>
          <t>Adaptive reuse and retail. Every project is its own building.</t>
        </is>
      </c>
      <c r="M181" s="8" t="inlineStr">
        <is>
          <t>Yes</t>
        </is>
      </c>
      <c r="N181" s="9" t="inlineStr">
        <is>
          <t>Commissioned Michael Hsu for Montrose Collective, four-street frontage, $104.75M financed.</t>
        </is>
      </c>
      <c r="O181" s="8" t="inlineStr">
        <is>
          <t>Yes</t>
        </is>
      </c>
      <c r="P181" s="6" t="inlineStr">
        <is>
          <t>https://www.linkedin.com/in/bartonk/</t>
        </is>
      </c>
      <c r="Q181" s="6" t="inlineStr"/>
      <c r="R181" s="11">
        <f>IF(P181="","ADD LINKEDIN","ok")</f>
        <v/>
      </c>
      <c r="S181" s="6" t="inlineStr">
        <is>
          <t>https://www.radomcapital.com/</t>
        </is>
      </c>
      <c r="T181" s="9" t="inlineStr">
        <is>
          <t>Michael Hsu at Montrose Collective, $104.75M financed. Fifteen projects in one district, so volume is concentrated rather than deep.</t>
        </is>
      </c>
      <c r="U181" s="6" t="inlineStr"/>
      <c r="V181" s="9" t="inlineStr">
        <is>
          <t>Vice President at Radom Capital LLC, Houston. Barton Kelly's LinkedIn headline reads Vice President at Radom Capital; the firm's own team page lists him as Principal. The titles conflict.</t>
        </is>
      </c>
      <c r="W181" s="6" t="inlineStr"/>
      <c r="X181" s="6" t="inlineStr">
        <is>
          <t>https://www.linkedin.com/company/radom-capital-llc</t>
        </is>
      </c>
      <c r="Y181" s="6" t="inlineStr">
        <is>
          <t>https://www.radomcapital.com/team</t>
        </is>
      </c>
      <c r="Z181" s="6" t="inlineStr"/>
      <c r="AA181" s="6" t="inlineStr">
        <is>
          <t>(713) 783-4444</t>
        </is>
      </c>
      <c r="AB181" s="6" t="inlineStr"/>
      <c r="AC181" s="6" t="inlineStr">
        <is>
          <t>https://www.radomcapital.com/</t>
        </is>
      </c>
    </row>
    <row r="182">
      <c r="A182" s="12" t="inlineStr">
        <is>
          <t>Evan Peterson</t>
        </is>
      </c>
      <c r="B182" s="12" t="inlineStr">
        <is>
          <t>Radom Capital</t>
        </is>
      </c>
      <c r="C182" s="12" t="inlineStr">
        <is>
          <t>Principal</t>
        </is>
      </c>
      <c r="D182" s="13" t="inlineStr">
        <is>
          <t>Creative project, hybrid job</t>
        </is>
      </c>
      <c r="E182" s="14" t="n">
        <v>2</v>
      </c>
      <c r="F182" s="12" t="inlineStr">
        <is>
          <t>Buys walls</t>
        </is>
      </c>
      <c r="G182" s="12" t="inlineStr">
        <is>
          <t>Heights / Montrose, Harris County</t>
        </is>
      </c>
      <c r="H182" s="12" t="inlineStr">
        <is>
          <t>$104.75M Montrose Collective financing</t>
        </is>
      </c>
      <c r="I182" s="14" t="inlineStr">
        <is>
          <t>Partly</t>
        </is>
      </c>
      <c r="J182" s="15" t="inlineStr">
        <is>
          <t>Fifteen projects in one district, 218 units at Clock Tower.</t>
        </is>
      </c>
      <c r="K182" s="14" t="inlineStr">
        <is>
          <t>No</t>
        </is>
      </c>
      <c r="L182" s="15" t="inlineStr">
        <is>
          <t>Adaptive reuse and retail. Every project is its own building.</t>
        </is>
      </c>
      <c r="M182" s="14" t="inlineStr">
        <is>
          <t>Yes</t>
        </is>
      </c>
      <c r="N182" s="15" t="inlineStr">
        <is>
          <t>Commissioned Michael Hsu for Montrose Collective, four-street frontage, $104.75M financed.</t>
        </is>
      </c>
      <c r="O182" s="14" t="inlineStr">
        <is>
          <t>Yes</t>
        </is>
      </c>
      <c r="P182" s="6" t="inlineStr">
        <is>
          <t>https://www.linkedin.com/in/evan-peterson-19656548/</t>
        </is>
      </c>
      <c r="Q182" s="12" t="inlineStr"/>
      <c r="R182" s="16">
        <f>IF(P182="","ADD LINKEDIN","ok")</f>
        <v/>
      </c>
      <c r="S182" s="12" t="inlineStr">
        <is>
          <t>https://www.radomcapital.com/</t>
        </is>
      </c>
      <c r="T182" s="15" t="inlineStr">
        <is>
          <t>Michael Hsu at Montrose Collective, $104.75M financed. Fifteen projects in one district, so volume is concentrated rather than deep.</t>
        </is>
      </c>
      <c r="U182" s="12" t="inlineStr"/>
      <c r="V182" s="15" t="inlineStr">
        <is>
          <t>Principal at Radom Capital LLC. Houston, Texas.</t>
        </is>
      </c>
      <c r="W182" s="12" t="inlineStr"/>
      <c r="X182" s="12" t="inlineStr">
        <is>
          <t>https://www.linkedin.com/company/radom-capital-llc</t>
        </is>
      </c>
      <c r="Y182" s="12" t="inlineStr">
        <is>
          <t>https://www.radomcapital.com/team</t>
        </is>
      </c>
      <c r="Z182" s="12" t="inlineStr"/>
      <c r="AA182" s="12" t="inlineStr">
        <is>
          <t>(713) 783-4444</t>
        </is>
      </c>
      <c r="AB182" s="12" t="inlineStr"/>
      <c r="AC182" s="12" t="inlineStr">
        <is>
          <t>https://www.radomcapital.com/</t>
        </is>
      </c>
    </row>
    <row r="183">
      <c r="A183" s="6" t="inlineStr">
        <is>
          <t>Jon Deal</t>
        </is>
      </c>
      <c r="B183" s="6" t="inlineStr">
        <is>
          <t>The Deal Company (Sawyer Yards)</t>
        </is>
      </c>
      <c r="C183" s="6" t="inlineStr">
        <is>
          <t>Founder and Chief Executive Officer</t>
        </is>
      </c>
      <c r="D183" s="7" t="inlineStr">
        <is>
          <t>Creative project, hybrid job</t>
        </is>
      </c>
      <c r="E183" s="8" t="n">
        <v>2</v>
      </c>
      <c r="F183" s="6" t="inlineStr">
        <is>
          <t>Buys walls</t>
        </is>
      </c>
      <c r="G183" s="6" t="inlineStr">
        <is>
          <t>Washington Corridor, Harris County</t>
        </is>
      </c>
      <c r="H183" s="6" t="inlineStr">
        <is>
          <t>55 acres, 27 buildings, 2M+ sf</t>
        </is>
      </c>
      <c r="I183" s="8" t="inlineStr">
        <is>
          <t>Partly</t>
        </is>
      </c>
      <c r="J183" s="9" t="inlineStr">
        <is>
          <t>27 buildings across 55 acres since 2005.</t>
        </is>
      </c>
      <c r="K183" s="8" t="inlineStr">
        <is>
          <t>No</t>
        </is>
      </c>
      <c r="L183" s="9" t="inlineStr">
        <is>
          <t>Converting industrial buildings leaves almost no new wall to print.</t>
        </is>
      </c>
      <c r="M183" s="8" t="inlineStr">
        <is>
          <t>Yes</t>
        </is>
      </c>
      <c r="N183" s="9" t="inlineStr">
        <is>
          <t>Twenty years of building inside awkward industrial structures.</t>
        </is>
      </c>
      <c r="O183" s="8" t="inlineStr">
        <is>
          <t>No</t>
        </is>
      </c>
      <c r="P183" s="10" t="inlineStr"/>
      <c r="Q183" s="6">
        <f>HYPERLINK("https://www.linkedin.com/search/results/people/?keywords=Jon%20Deal%20The%20Deal%20Company","search")</f>
        <v/>
      </c>
      <c r="R183" s="11">
        <f>IF(P183="","ADD LINKEDIN","ok")</f>
        <v/>
      </c>
      <c r="S183" s="6" t="inlineStr">
        <is>
          <t>https://www.dealco.net/</t>
        </is>
      </c>
      <c r="T183" s="9" t="inlineStr">
        <is>
          <t>Twenty years converting industrial buildings, 27 of them. Adaptive reuse leaves little new wall to print.</t>
        </is>
      </c>
      <c r="U183" s="6" t="inlineStr"/>
      <c r="V183" s="9" t="inlineStr">
        <is>
          <t>Founder and Chief Executive Officer, and co-developer of Sawyer Yards.</t>
        </is>
      </c>
      <c r="W183" s="6" t="inlineStr">
        <is>
          <t>https://www.dealco.net/about/</t>
        </is>
      </c>
      <c r="X183" s="6" t="inlineStr"/>
      <c r="Y183" s="6" t="inlineStr">
        <is>
          <t>https://www.dealco.net/about/</t>
        </is>
      </c>
      <c r="Z183" s="6" t="inlineStr"/>
      <c r="AA183" s="6" t="inlineStr">
        <is>
          <t>(713) 993-9823</t>
        </is>
      </c>
      <c r="AB183" s="6" t="inlineStr">
        <is>
          <t>office</t>
        </is>
      </c>
      <c r="AC183" s="6" t="inlineStr">
        <is>
          <t>https://www.dealco.net/</t>
        </is>
      </c>
    </row>
    <row r="184">
      <c r="A184" s="12" t="inlineStr">
        <is>
          <t>Dougal A. Cameron</t>
        </is>
      </c>
      <c r="B184" s="12" t="inlineStr">
        <is>
          <t>Cameron Management</t>
        </is>
      </c>
      <c r="C184" s="12" t="inlineStr">
        <is>
          <t>President and Owner</t>
        </is>
      </c>
      <c r="D184" s="13" t="inlineStr">
        <is>
          <t>Creative project, hybrid job</t>
        </is>
      </c>
      <c r="E184" s="14" t="n">
        <v>1</v>
      </c>
      <c r="F184" s="12" t="inlineStr">
        <is>
          <t>Buys walls</t>
        </is>
      </c>
      <c r="G184" s="12" t="inlineStr">
        <is>
          <t>Downtown Houston, Harris County</t>
        </is>
      </c>
      <c r="H184" s="12" t="inlineStr">
        <is>
          <t>$50M conversion, up to 100 units</t>
        </is>
      </c>
      <c r="I184" s="14" t="inlineStr">
        <is>
          <t>No</t>
        </is>
      </c>
      <c r="J184" s="15" t="inlineStr">
        <is>
          <t>Two towers, one conversion each. Nothing repeats.</t>
        </is>
      </c>
      <c r="K184" s="14" t="inlineStr">
        <is>
          <t>No</t>
        </is>
      </c>
      <c r="L184" s="15" t="inlineStr">
        <is>
          <t>Converting two 1927 and 1941 office towers to residential. No new exterior wall.</t>
        </is>
      </c>
      <c r="M184" s="14" t="inlineStr">
        <is>
          <t>Yes</t>
        </is>
      </c>
      <c r="N184" s="15" t="inlineStr">
        <is>
          <t>It is taking on a $50 million conversion of two landmark towers from 1927 and 1941, which is a harder build than anything a printer would be asked to do.</t>
        </is>
      </c>
      <c r="O184" s="14" t="inlineStr">
        <is>
          <t>Partly</t>
        </is>
      </c>
      <c r="P184" s="10" t="inlineStr"/>
      <c r="Q184" s="12">
        <f>HYPERLINK("https://www.linkedin.com/search/results/people/?keywords=Dougal%20A.%20Cameron%20Cameron%20Management","search")</f>
        <v/>
      </c>
      <c r="R184" s="16">
        <f>IF(P184="","ADD LINKEDIN","ok")</f>
        <v/>
      </c>
      <c r="S184" s="12" t="inlineStr">
        <is>
          <t>https://cameronmanagement.com/</t>
        </is>
      </c>
      <c r="T184" s="15" t="inlineStr">
        <is>
          <t>Interior conversion of a 1927 tower. Willing to take on a hard build, but almost no new exterior wall.</t>
        </is>
      </c>
      <c r="U184" s="12" t="inlineStr"/>
      <c r="V184" s="15" t="inlineStr">
        <is>
          <t>President. Founded the firm in 1995 after asset and project management at Hines.</t>
        </is>
      </c>
      <c r="W184" s="12" t="inlineStr">
        <is>
          <t>https://cameronmanagement.com/team_member/dougal-a-cameron</t>
        </is>
      </c>
      <c r="X184" s="12" t="inlineStr">
        <is>
          <t>https://www.linkedin.com/company/cameron-management</t>
        </is>
      </c>
      <c r="Y184" s="12" t="inlineStr">
        <is>
          <t>https://cameronmanagement.com/about</t>
        </is>
      </c>
      <c r="Z184" s="12" t="inlineStr"/>
      <c r="AA184" s="12" t="inlineStr">
        <is>
          <t>(713) 224-1663</t>
        </is>
      </c>
      <c r="AB184" s="12" t="inlineStr"/>
      <c r="AC184" s="12" t="inlineStr">
        <is>
          <t>https://cameronmanagement.com/contact</t>
        </is>
      </c>
    </row>
    <row r="185">
      <c r="A185" s="6" t="inlineStr">
        <is>
          <t>William T. Dom</t>
        </is>
      </c>
      <c r="B185" s="6" t="inlineStr">
        <is>
          <t>Cameron Management</t>
        </is>
      </c>
      <c r="C185" s="6" t="inlineStr">
        <is>
          <t>Chief Operating Officer</t>
        </is>
      </c>
      <c r="D185" s="7" t="inlineStr">
        <is>
          <t>Creative project, hybrid job</t>
        </is>
      </c>
      <c r="E185" s="8" t="n">
        <v>1</v>
      </c>
      <c r="F185" s="6" t="inlineStr">
        <is>
          <t>Buys walls</t>
        </is>
      </c>
      <c r="G185" s="6" t="inlineStr">
        <is>
          <t>Downtown Houston, Harris County</t>
        </is>
      </c>
      <c r="H185" s="6" t="inlineStr">
        <is>
          <t>$50M conversion, up to 100 units</t>
        </is>
      </c>
      <c r="I185" s="8" t="inlineStr">
        <is>
          <t>No</t>
        </is>
      </c>
      <c r="J185" s="9" t="inlineStr">
        <is>
          <t>Two towers, one conversion each. Nothing repeats.</t>
        </is>
      </c>
      <c r="K185" s="8" t="inlineStr">
        <is>
          <t>No</t>
        </is>
      </c>
      <c r="L185" s="9" t="inlineStr">
        <is>
          <t>Converting two 1927 and 1941 office towers to residential. No new exterior wall.</t>
        </is>
      </c>
      <c r="M185" s="8" t="inlineStr">
        <is>
          <t>Yes</t>
        </is>
      </c>
      <c r="N185" s="9" t="inlineStr">
        <is>
          <t>It is taking on a $50 million conversion of two landmark towers from 1927 and 1941, which is a harder build than anything a printer would be asked to do.</t>
        </is>
      </c>
      <c r="O185" s="8" t="inlineStr">
        <is>
          <t>Partly</t>
        </is>
      </c>
      <c r="P185" s="10" t="inlineStr"/>
      <c r="Q185" s="6">
        <f>HYPERLINK("https://www.linkedin.com/search/results/people/?keywords=William%20T.%20Dom%20Cameron%20Management","search")</f>
        <v/>
      </c>
      <c r="R185" s="11">
        <f>IF(P185="","ADD LINKEDIN","ok")</f>
        <v/>
      </c>
      <c r="S185" s="6" t="inlineStr">
        <is>
          <t>https://cameronmanagement.com/</t>
        </is>
      </c>
      <c r="T185" s="9" t="inlineStr">
        <is>
          <t>Interior conversion of a 1927 tower. Willing to take on a hard build, but almost no new exterior wall.</t>
        </is>
      </c>
      <c r="U185" s="6" t="inlineStr"/>
      <c r="V185" s="9" t="inlineStr">
        <is>
          <t>Chief Operating Officer and partner since 2000, formerly an asset manager at Hines.</t>
        </is>
      </c>
      <c r="W185" s="6" t="inlineStr">
        <is>
          <t>https://cameronmanagement.com/team_member/william-t-ted-dom</t>
        </is>
      </c>
      <c r="X185" s="6" t="inlineStr">
        <is>
          <t>https://www.linkedin.com/company/cameron-management</t>
        </is>
      </c>
      <c r="Y185" s="6" t="inlineStr">
        <is>
          <t>https://cameronmanagement.com/about</t>
        </is>
      </c>
      <c r="Z185" s="6" t="inlineStr"/>
      <c r="AA185" s="6" t="inlineStr">
        <is>
          <t>(713) 224-1663</t>
        </is>
      </c>
      <c r="AB185" s="6" t="inlineStr"/>
      <c r="AC185" s="6" t="inlineStr">
        <is>
          <t>https://cameronmanagement.com/contact</t>
        </is>
      </c>
    </row>
    <row r="186">
      <c r="A186" s="12" t="inlineStr">
        <is>
          <t>Jim Lemming</t>
        </is>
      </c>
      <c r="B186" s="12" t="inlineStr">
        <is>
          <t>Partners in Building</t>
        </is>
      </c>
      <c r="C186" s="12" t="inlineStr">
        <is>
          <t>Chairman, formerly President and Chief Executive Officer until June 2026</t>
        </is>
      </c>
      <c r="D186" s="13" t="inlineStr">
        <is>
          <t>Creative project, hybrid job</t>
        </is>
      </c>
      <c r="E186" s="14" t="n">
        <v>1</v>
      </c>
      <c r="F186" s="12" t="inlineStr">
        <is>
          <t>Buys walls</t>
        </is>
      </c>
      <c r="G186" s="12" t="inlineStr">
        <is>
          <t>Houston, build on your lot</t>
        </is>
      </c>
      <c r="H186" s="12" t="inlineStr">
        <is>
          <t>More than 300 homes a year in Texas and Tennessee</t>
        </is>
      </c>
      <c r="I186" s="14" t="inlineStr">
        <is>
          <t>No</t>
        </is>
      </c>
      <c r="J186" s="15" t="inlineStr">
        <is>
          <t>Build on your lot, one-of-a-kind by its own description. There is no plan set to repeat.</t>
        </is>
      </c>
      <c r="K186" s="14" t="inlineStr">
        <is>
          <t>Yes</t>
        </is>
      </c>
      <c r="L186" s="15" t="inlineStr">
        <is>
          <t>More than 300 homes a year on the firm's own count, across Texas and Tennessee.</t>
        </is>
      </c>
      <c r="M186" s="14" t="inlineStr">
        <is>
          <t>No</t>
        </is>
      </c>
      <c r="N186" s="15" t="inlineStr">
        <is>
          <t>No method evidence.</t>
        </is>
      </c>
      <c r="O186" s="14" t="inlineStr">
        <is>
          <t>Partly</t>
        </is>
      </c>
      <c r="P186" s="10" t="inlineStr"/>
      <c r="Q186" s="12">
        <f>HYPERLINK("https://www.linkedin.com/search/results/people/?keywords=Jim%20Lemming%20Partners%20in%20Building","search")</f>
        <v/>
      </c>
      <c r="R186" s="16">
        <f>IF(P186="","ADD LINKEDIN","ok")</f>
        <v/>
      </c>
      <c r="S186" s="12" t="inlineStr">
        <is>
          <t>https://partnersinbuilding.com/</t>
        </is>
      </c>
      <c r="T186" s="15" t="inlineStr">
        <is>
          <t>More than 300 homes a year and a vice president of purchasing. Every house is one-of-a-kind. The presidency passed from Jim to Chris Lemming in June 2026.</t>
        </is>
      </c>
      <c r="U186" s="12" t="inlineStr"/>
      <c r="V186" s="15" t="inlineStr">
        <is>
          <t>HousingWire, 15 June 2026: President and CEO Jim Lemming will transition to chairman, and his son Chris Lemming will assume the presidency.</t>
        </is>
      </c>
      <c r="W186" s="12" t="inlineStr">
        <is>
          <t>https://www.housingwire.com/articles/partners-building-succession-plan/</t>
        </is>
      </c>
      <c r="X186" s="12" t="inlineStr"/>
      <c r="Y186" s="12" t="inlineStr"/>
      <c r="Z186" s="12" t="inlineStr"/>
      <c r="AA186" s="12" t="inlineStr">
        <is>
          <t>(713) 937-1121</t>
        </is>
      </c>
      <c r="AB186" s="12" t="inlineStr">
        <is>
          <t>Houston office, corporate</t>
        </is>
      </c>
      <c r="AC186" s="12" t="inlineStr">
        <is>
          <t>https://partnersinbuilding.com/</t>
        </is>
      </c>
    </row>
    <row r="187">
      <c r="A187" s="6" t="inlineStr">
        <is>
          <t>Dewey Hennessee</t>
        </is>
      </c>
      <c r="B187" s="6" t="inlineStr">
        <is>
          <t>Partners in Building</t>
        </is>
      </c>
      <c r="C187" s="6" t="inlineStr">
        <is>
          <t>Vice President of Purchasing</t>
        </is>
      </c>
      <c r="D187" s="7" t="inlineStr">
        <is>
          <t>Creative project, hybrid job</t>
        </is>
      </c>
      <c r="E187" s="8" t="n">
        <v>1</v>
      </c>
      <c r="F187" s="6" t="inlineStr">
        <is>
          <t>Buys walls</t>
        </is>
      </c>
      <c r="G187" s="6" t="inlineStr">
        <is>
          <t>Houston, build on your lot</t>
        </is>
      </c>
      <c r="H187" s="6" t="inlineStr">
        <is>
          <t>More than 300 homes a year in Texas and Tennessee</t>
        </is>
      </c>
      <c r="I187" s="8" t="inlineStr">
        <is>
          <t>No</t>
        </is>
      </c>
      <c r="J187" s="9" t="inlineStr">
        <is>
          <t>Build on your lot, one-of-a-kind by its own description. There is no plan set to repeat.</t>
        </is>
      </c>
      <c r="K187" s="8" t="inlineStr">
        <is>
          <t>Yes</t>
        </is>
      </c>
      <c r="L187" s="9" t="inlineStr">
        <is>
          <t>More than 300 homes a year on the firm's own count, across Texas and Tennessee.</t>
        </is>
      </c>
      <c r="M187" s="8" t="inlineStr">
        <is>
          <t>No</t>
        </is>
      </c>
      <c r="N187" s="9" t="inlineStr">
        <is>
          <t>No method evidence.</t>
        </is>
      </c>
      <c r="O187" s="8" t="inlineStr">
        <is>
          <t>Partly</t>
        </is>
      </c>
      <c r="P187" s="6" t="inlineStr">
        <is>
          <t>https://www.linkedin.com/in/dewey-hennessee-gmb-caps-cgp-95418531</t>
        </is>
      </c>
      <c r="Q187" s="6" t="inlineStr"/>
      <c r="R187" s="11">
        <f>IF(P187="","ADD LINKEDIN","ok")</f>
        <v/>
      </c>
      <c r="S187" s="6" t="inlineStr">
        <is>
          <t>https://partnersinbuilding.com/</t>
        </is>
      </c>
      <c r="T187" s="9" t="inlineStr">
        <is>
          <t>More than 300 homes a year and a vice president of purchasing. Every house is one-of-a-kind. The presidency passed from Jim to Chris Lemming in June 2026.</t>
        </is>
      </c>
      <c r="U187" s="6" t="inlineStr">
        <is>
          <t>YES</t>
        </is>
      </c>
      <c r="V187" s="9" t="inlineStr">
        <is>
          <t>Indexed title reads Dewey Hennessee GMB CAPS CGP, Partners in Building. The title on file comes from the first pass and is not repeated in the index entry.</t>
        </is>
      </c>
      <c r="W187" s="6" t="inlineStr"/>
      <c r="X187" s="6" t="inlineStr"/>
      <c r="Y187" s="6" t="inlineStr"/>
      <c r="Z187" s="6" t="inlineStr"/>
      <c r="AA187" s="6" t="inlineStr">
        <is>
          <t>(713) 937-1121</t>
        </is>
      </c>
      <c r="AB187" s="6" t="inlineStr">
        <is>
          <t>Houston office, corporate</t>
        </is>
      </c>
      <c r="AC187" s="6" t="inlineStr">
        <is>
          <t>https://partnersinbuilding.com/</t>
        </is>
      </c>
    </row>
    <row r="188">
      <c r="A188" s="12" t="inlineStr">
        <is>
          <t>Chris Lemming</t>
        </is>
      </c>
      <c r="B188" s="12" t="inlineStr">
        <is>
          <t>Partners in Building</t>
        </is>
      </c>
      <c r="C188" s="12" t="inlineStr">
        <is>
          <t>President, since June 2026</t>
        </is>
      </c>
      <c r="D188" s="13" t="inlineStr">
        <is>
          <t>Creative project, hybrid job</t>
        </is>
      </c>
      <c r="E188" s="14" t="n">
        <v>1</v>
      </c>
      <c r="F188" s="12" t="inlineStr">
        <is>
          <t>Buys walls</t>
        </is>
      </c>
      <c r="G188" s="12" t="inlineStr">
        <is>
          <t>Houston, build on your lot</t>
        </is>
      </c>
      <c r="H188" s="12" t="inlineStr">
        <is>
          <t>More than 300 homes a year in Texas and Tennessee</t>
        </is>
      </c>
      <c r="I188" s="14" t="inlineStr">
        <is>
          <t>No</t>
        </is>
      </c>
      <c r="J188" s="15" t="inlineStr">
        <is>
          <t>Build on your lot, one-of-a-kind by its own description. There is no plan set to repeat.</t>
        </is>
      </c>
      <c r="K188" s="14" t="inlineStr">
        <is>
          <t>Yes</t>
        </is>
      </c>
      <c r="L188" s="15" t="inlineStr">
        <is>
          <t>More than 300 homes a year on the firm's own count, across Texas and Tennessee.</t>
        </is>
      </c>
      <c r="M188" s="14" t="inlineStr">
        <is>
          <t>No</t>
        </is>
      </c>
      <c r="N188" s="15" t="inlineStr">
        <is>
          <t>No method evidence.</t>
        </is>
      </c>
      <c r="O188" s="14" t="inlineStr">
        <is>
          <t>Partly</t>
        </is>
      </c>
      <c r="P188" s="10" t="inlineStr"/>
      <c r="Q188" s="12">
        <f>HYPERLINK("https://www.linkedin.com/search/results/people/?keywords=Chris%20Lemming%20Partners%20in%20Building","search")</f>
        <v/>
      </c>
      <c r="R188" s="16">
        <f>IF(P188="","ADD LINKEDIN","ok")</f>
        <v/>
      </c>
      <c r="S188" s="12" t="inlineStr">
        <is>
          <t>https://partnersinbuilding.com/</t>
        </is>
      </c>
      <c r="T188" s="15" t="inlineStr">
        <is>
          <t>More than 300 homes a year and a vice president of purchasing. Every house is one-of-a-kind. The presidency passed from Jim to Chris Lemming in June 2026.</t>
        </is>
      </c>
      <c r="U188" s="12" t="inlineStr"/>
      <c r="V188" s="15" t="inlineStr">
        <is>
          <t>HousingWire, 15 June 2026: Chris Lemming assumes the presidency after an eighteen-month succession.</t>
        </is>
      </c>
      <c r="W188" s="12" t="inlineStr">
        <is>
          <t>https://www.housingwire.com/articles/partners-building-succession-plan/</t>
        </is>
      </c>
      <c r="X188" s="12" t="inlineStr"/>
      <c r="Y188" s="12" t="inlineStr"/>
      <c r="Z188" s="12" t="inlineStr"/>
      <c r="AA188" s="12" t="inlineStr">
        <is>
          <t>(713) 937-1121</t>
        </is>
      </c>
      <c r="AB188" s="12" t="inlineStr">
        <is>
          <t>Houston office, corporate</t>
        </is>
      </c>
      <c r="AC188" s="12" t="inlineStr">
        <is>
          <t>https://partnersinbuilding.com/</t>
        </is>
      </c>
    </row>
    <row r="189">
      <c r="A189" s="6" t="inlineStr">
        <is>
          <t>Dan Braun</t>
        </is>
      </c>
      <c r="B189" s="6" t="inlineStr">
        <is>
          <t>Braun Enterprises</t>
        </is>
      </c>
      <c r="C189" s="6" t="inlineStr">
        <is>
          <t>President</t>
        </is>
      </c>
      <c r="D189" s="7" t="inlineStr">
        <is>
          <t>Creative project, hybrid job</t>
        </is>
      </c>
      <c r="E189" s="8" t="n">
        <v>2</v>
      </c>
      <c r="F189" s="6" t="inlineStr">
        <is>
          <t>Buys walls</t>
        </is>
      </c>
      <c r="G189" s="6" t="inlineStr">
        <is>
          <t>Houston, San Antonio and Austin</t>
        </is>
      </c>
      <c r="H189" s="6" t="inlineStr">
        <is>
          <t>Ground-up retail in the Heights and small flex industrial</t>
        </is>
      </c>
      <c r="I189" s="8" t="inlineStr">
        <is>
          <t>Partly</t>
        </is>
      </c>
      <c r="J189" s="9" t="inlineStr">
        <is>
          <t>Small retail buildings repeated across three cities, which is more repetition than anyone else in this category.</t>
        </is>
      </c>
      <c r="K189" s="8" t="inlineStr">
        <is>
          <t>Partly</t>
        </is>
      </c>
      <c r="L189" s="9" t="inlineStr">
        <is>
          <t>Retail shells at 20,000 to 25,000 square feet. A printed wall competes with tilt-wall here, not with stick framing.</t>
        </is>
      </c>
      <c r="M189" s="8" t="inlineStr">
        <is>
          <t>No</t>
        </is>
      </c>
      <c r="N189" s="9" t="inlineStr">
        <is>
          <t>No method evidence on record.</t>
        </is>
      </c>
      <c r="O189" s="8" t="inlineStr">
        <is>
          <t>No</t>
        </is>
      </c>
      <c r="P189" s="6" t="inlineStr">
        <is>
          <t>https://www.linkedin.com/in/dan-braun-36451a15/</t>
        </is>
      </c>
      <c r="Q189" s="6" t="inlineStr"/>
      <c r="R189" s="11">
        <f>IF(P189="","ADD LINKEDIN","ok")</f>
        <v/>
      </c>
      <c r="S189" s="6" t="inlineStr">
        <is>
          <t>https://braunenterprises.com/</t>
        </is>
      </c>
      <c r="T189" s="9" t="inlineStr">
        <is>
          <t>Builds new rather than converting: small-format ground-up retail in the Heights.</t>
        </is>
      </c>
      <c r="U189" s="6" t="inlineStr"/>
      <c r="V189" s="9" t="inlineStr">
        <is>
          <t>Indexed title reads Dan Braun, President at Braun Enterprises. The firm's team page returns a 404, so this is the only link.</t>
        </is>
      </c>
      <c r="W189" s="6" t="inlineStr"/>
      <c r="X189" s="6" t="inlineStr"/>
      <c r="Y189" s="6" t="inlineStr"/>
      <c r="Z189" s="6" t="inlineStr"/>
      <c r="AA189" s="6" t="inlineStr">
        <is>
          <t>(713) 541-0066</t>
        </is>
      </c>
      <c r="AB189" s="6" t="inlineStr"/>
      <c r="AC189" s="6" t="inlineStr">
        <is>
          <t>https://braunenterprises.com/</t>
        </is>
      </c>
    </row>
    <row r="190">
      <c r="A190" s="12" t="inlineStr">
        <is>
          <t>Bradley Freels</t>
        </is>
      </c>
      <c r="B190" s="12" t="inlineStr">
        <is>
          <t>Midway</t>
        </is>
      </c>
      <c r="C190" s="12" t="inlineStr">
        <is>
          <t>Chairman and Chief Executive Officer</t>
        </is>
      </c>
      <c r="D190" s="13" t="inlineStr">
        <is>
          <t>Creative project, hybrid job</t>
        </is>
      </c>
      <c r="E190" s="14" t="n">
        <v>2</v>
      </c>
      <c r="F190" s="12" t="inlineStr">
        <is>
          <t>Buys walls</t>
        </is>
      </c>
      <c r="G190" s="12" t="inlineStr">
        <is>
          <t>Houston HQ / East End, Harris County</t>
        </is>
      </c>
      <c r="H190" s="12" t="inlineStr">
        <is>
          <t>East River: 150 acres, 60 city blocks</t>
        </is>
      </c>
      <c r="I190" s="14" t="inlineStr">
        <is>
          <t>Partly</t>
        </is>
      </c>
      <c r="J190" s="15" t="inlineStr">
        <is>
          <t>East River is 60 city blocks on one site, phased over decades.</t>
        </is>
      </c>
      <c r="K190" s="14" t="inlineStr">
        <is>
          <t>No</t>
        </is>
      </c>
      <c r="L190" s="15" t="inlineStr">
        <is>
          <t>Sixty blocks of mixed-use. The buildings are one-offs, whatever the acreage.</t>
        </is>
      </c>
      <c r="M190" s="14" t="inlineStr">
        <is>
          <t>Partly</t>
        </is>
      </c>
      <c r="N190" s="15" t="inlineStr">
        <is>
          <t>District-scale design ambition, but no specific method precedent was found.</t>
        </is>
      </c>
      <c r="O190" s="14" t="inlineStr">
        <is>
          <t>No</t>
        </is>
      </c>
      <c r="P190" s="10" t="inlineStr"/>
      <c r="Q190" s="12">
        <f>HYPERLINK("https://www.linkedin.com/search/results/people/?keywords=Bradley%20Freels%20Midway","search")</f>
        <v/>
      </c>
      <c r="R190" s="16">
        <f>IF(P190="","ADD LINKEDIN","ok")</f>
        <v/>
      </c>
      <c r="S190" s="12" t="inlineStr">
        <is>
          <t>https://www.midway.team/</t>
        </is>
      </c>
      <c r="T190" s="15" t="inlineStr">
        <is>
          <t>East River is 60 blocks on one site, and Midway kept sole development control after selling out of the Parkway joint venture in December 2024.</t>
        </is>
      </c>
      <c r="U190" s="12" t="inlineStr"/>
      <c r="V190" s="15" t="inlineStr">
        <is>
          <t>Chairman and Chief Executive Officer on Midway's own people page. He has no findable LinkedIn profile, so this is the citation.</t>
        </is>
      </c>
      <c r="W190" s="12" t="inlineStr">
        <is>
          <t>https://www.midway.team/our-people</t>
        </is>
      </c>
      <c r="X190" s="12" t="inlineStr">
        <is>
          <t>https://www.linkedin.com/company/midway</t>
        </is>
      </c>
      <c r="Y190" s="12" t="inlineStr">
        <is>
          <t>https://www.midway.team/our-people</t>
        </is>
      </c>
      <c r="Z190" s="12" t="inlineStr"/>
      <c r="AA190" s="12" t="inlineStr">
        <is>
          <t>(713) 629-5200</t>
        </is>
      </c>
      <c r="AB190" s="12" t="inlineStr"/>
      <c r="AC190" s="12" t="inlineStr">
        <is>
          <t>https://www.midway.team/contact</t>
        </is>
      </c>
    </row>
    <row r="191">
      <c r="A191" s="6" t="inlineStr">
        <is>
          <t>David Hightower</t>
        </is>
      </c>
      <c r="B191" s="6" t="inlineStr">
        <is>
          <t>Midway</t>
        </is>
      </c>
      <c r="C191" s="6" t="inlineStr">
        <is>
          <t>Executive Vice President</t>
        </is>
      </c>
      <c r="D191" s="7" t="inlineStr">
        <is>
          <t>Creative project, hybrid job</t>
        </is>
      </c>
      <c r="E191" s="8" t="n">
        <v>2</v>
      </c>
      <c r="F191" s="6" t="inlineStr">
        <is>
          <t>Buys walls</t>
        </is>
      </c>
      <c r="G191" s="6" t="inlineStr">
        <is>
          <t>Houston HQ / East End, Harris County</t>
        </is>
      </c>
      <c r="H191" s="6" t="inlineStr">
        <is>
          <t>East River: 150 acres, 60 city blocks</t>
        </is>
      </c>
      <c r="I191" s="8" t="inlineStr">
        <is>
          <t>Partly</t>
        </is>
      </c>
      <c r="J191" s="9" t="inlineStr">
        <is>
          <t>East River is 60 city blocks on one site, phased over decades.</t>
        </is>
      </c>
      <c r="K191" s="8" t="inlineStr">
        <is>
          <t>No</t>
        </is>
      </c>
      <c r="L191" s="9" t="inlineStr">
        <is>
          <t>Sixty blocks of mixed-use. The buildings are one-offs, whatever the acreage.</t>
        </is>
      </c>
      <c r="M191" s="8" t="inlineStr">
        <is>
          <t>Partly</t>
        </is>
      </c>
      <c r="N191" s="9" t="inlineStr">
        <is>
          <t>District-scale design ambition, but no specific method precedent was found.</t>
        </is>
      </c>
      <c r="O191" s="8" t="inlineStr">
        <is>
          <t>No</t>
        </is>
      </c>
      <c r="P191" s="6" t="inlineStr">
        <is>
          <t>https://www.linkedin.com/in/dahightower/</t>
        </is>
      </c>
      <c r="Q191" s="6" t="inlineStr"/>
      <c r="R191" s="11">
        <f>IF(P191="","ADD LINKEDIN","ok")</f>
        <v/>
      </c>
      <c r="S191" s="6" t="inlineStr">
        <is>
          <t>https://www.midway.team/</t>
        </is>
      </c>
      <c r="T191" s="9" t="inlineStr">
        <is>
          <t>East River is 60 blocks on one site, and Midway kept sole development control after selling out of the Parkway joint venture in December 2024.</t>
        </is>
      </c>
      <c r="U191" s="6" t="inlineStr"/>
      <c r="V191" s="9" t="inlineStr">
        <is>
          <t>Executive Vice President, Development at Midway Companies. Houston, Texas.</t>
        </is>
      </c>
      <c r="W191" s="6" t="inlineStr"/>
      <c r="X191" s="6" t="inlineStr">
        <is>
          <t>https://www.linkedin.com/company/midway</t>
        </is>
      </c>
      <c r="Y191" s="6" t="inlineStr">
        <is>
          <t>https://www.midway.team/our-people</t>
        </is>
      </c>
      <c r="Z191" s="6" t="inlineStr"/>
      <c r="AA191" s="6" t="inlineStr">
        <is>
          <t>(713) 629-5200</t>
        </is>
      </c>
      <c r="AB191" s="6" t="inlineStr"/>
      <c r="AC191" s="6" t="inlineStr">
        <is>
          <t>https://www.midway.team/contact</t>
        </is>
      </c>
    </row>
    <row r="192">
      <c r="A192" s="12" t="inlineStr">
        <is>
          <t>Clark Thompson</t>
        </is>
      </c>
      <c r="B192" s="12" t="inlineStr">
        <is>
          <t>Midway</t>
        </is>
      </c>
      <c r="C192" s="12" t="inlineStr">
        <is>
          <t>Executive Vice President and General Counsel</t>
        </is>
      </c>
      <c r="D192" s="13" t="inlineStr">
        <is>
          <t>Creative project, hybrid job</t>
        </is>
      </c>
      <c r="E192" s="14" t="n">
        <v>2</v>
      </c>
      <c r="F192" s="12" t="inlineStr">
        <is>
          <t>Buys walls</t>
        </is>
      </c>
      <c r="G192" s="12" t="inlineStr">
        <is>
          <t>Houston HQ / East End, Harris County</t>
        </is>
      </c>
      <c r="H192" s="12" t="inlineStr">
        <is>
          <t>East River: 150 acres, 60 city blocks</t>
        </is>
      </c>
      <c r="I192" s="14" t="inlineStr">
        <is>
          <t>Partly</t>
        </is>
      </c>
      <c r="J192" s="15" t="inlineStr">
        <is>
          <t>East River is 60 city blocks on one site, phased over decades.</t>
        </is>
      </c>
      <c r="K192" s="14" t="inlineStr">
        <is>
          <t>No</t>
        </is>
      </c>
      <c r="L192" s="15" t="inlineStr">
        <is>
          <t>Sixty blocks of mixed-use. The buildings are one-offs, whatever the acreage.</t>
        </is>
      </c>
      <c r="M192" s="14" t="inlineStr">
        <is>
          <t>Partly</t>
        </is>
      </c>
      <c r="N192" s="15" t="inlineStr">
        <is>
          <t>District-scale design ambition, but no specific method precedent was found.</t>
        </is>
      </c>
      <c r="O192" s="14" t="inlineStr">
        <is>
          <t>No</t>
        </is>
      </c>
      <c r="P192" s="10" t="inlineStr"/>
      <c r="Q192" s="12">
        <f>HYPERLINK("https://www.linkedin.com/search/results/people/?keywords=Clark%20Thompson%20Midway","search")</f>
        <v/>
      </c>
      <c r="R192" s="16">
        <f>IF(P192="","ADD LINKEDIN","ok")</f>
        <v/>
      </c>
      <c r="S192" s="12" t="inlineStr">
        <is>
          <t>https://www.midway.team/</t>
        </is>
      </c>
      <c r="T192" s="15" t="inlineStr">
        <is>
          <t>East River is 60 blocks on one site, and Midway kept sole development control after selling out of the Parkway joint venture in December 2024.</t>
        </is>
      </c>
      <c r="U192" s="12" t="inlineStr"/>
      <c r="V192" s="15" t="inlineStr"/>
      <c r="W192" s="12" t="inlineStr">
        <is>
          <t>https://www.midway.team/our-people</t>
        </is>
      </c>
      <c r="X192" s="12" t="inlineStr">
        <is>
          <t>https://www.linkedin.com/company/midway</t>
        </is>
      </c>
      <c r="Y192" s="12" t="inlineStr">
        <is>
          <t>https://www.midway.team/our-people</t>
        </is>
      </c>
      <c r="Z192" s="12" t="inlineStr"/>
      <c r="AA192" s="12" t="inlineStr">
        <is>
          <t>(713) 629-5200</t>
        </is>
      </c>
      <c r="AB192" s="12" t="inlineStr"/>
      <c r="AC192" s="12" t="inlineStr">
        <is>
          <t>https://www.midway.team/contact</t>
        </is>
      </c>
    </row>
    <row r="193">
      <c r="A193" s="6" t="inlineStr">
        <is>
          <t>Rob Sigler</t>
        </is>
      </c>
      <c r="B193" s="6" t="inlineStr">
        <is>
          <t>Midway</t>
        </is>
      </c>
      <c r="C193" s="6" t="inlineStr">
        <is>
          <t>Executive Vice President, Construction, Investment and Development, Midway</t>
        </is>
      </c>
      <c r="D193" s="7" t="inlineStr">
        <is>
          <t>Creative project, hybrid job</t>
        </is>
      </c>
      <c r="E193" s="8" t="n">
        <v>2</v>
      </c>
      <c r="F193" s="6" t="inlineStr">
        <is>
          <t>Buys walls</t>
        </is>
      </c>
      <c r="G193" s="6" t="inlineStr">
        <is>
          <t>Houston HQ / East End, Harris County</t>
        </is>
      </c>
      <c r="H193" s="6" t="inlineStr">
        <is>
          <t>East River: 150 acres, 60 city blocks</t>
        </is>
      </c>
      <c r="I193" s="8" t="inlineStr">
        <is>
          <t>Partly</t>
        </is>
      </c>
      <c r="J193" s="9" t="inlineStr">
        <is>
          <t>East River is 60 city blocks on one site, phased over decades.</t>
        </is>
      </c>
      <c r="K193" s="8" t="inlineStr">
        <is>
          <t>No</t>
        </is>
      </c>
      <c r="L193" s="9" t="inlineStr">
        <is>
          <t>Sixty blocks of mixed-use. The buildings are one-offs, whatever the acreage.</t>
        </is>
      </c>
      <c r="M193" s="8" t="inlineStr">
        <is>
          <t>Partly</t>
        </is>
      </c>
      <c r="N193" s="9" t="inlineStr">
        <is>
          <t>District-scale design ambition, but no specific method precedent was found.</t>
        </is>
      </c>
      <c r="O193" s="8" t="inlineStr">
        <is>
          <t>No</t>
        </is>
      </c>
      <c r="P193" s="6" t="inlineStr">
        <is>
          <t>https://www.linkedin.com/in/robsigler/</t>
        </is>
      </c>
      <c r="Q193" s="6" t="inlineStr"/>
      <c r="R193" s="11">
        <f>IF(P193="","ADD LINKEDIN","ok")</f>
        <v/>
      </c>
      <c r="S193" s="6" t="inlineStr">
        <is>
          <t>https://www.midway.team/</t>
        </is>
      </c>
      <c r="T193" s="9" t="inlineStr">
        <is>
          <t>East River is 60 blocks on one site, and Midway kept sole development control after selling out of the Parkway joint venture in December 2024.</t>
        </is>
      </c>
      <c r="U193" s="6" t="inlineStr">
        <is>
          <t>YES</t>
        </is>
      </c>
      <c r="V193"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93" s="6" t="inlineStr"/>
      <c r="X193" s="6" t="inlineStr">
        <is>
          <t>https://www.linkedin.com/company/midway</t>
        </is>
      </c>
      <c r="Y193" s="6" t="inlineStr">
        <is>
          <t>https://www.midway.team/our-people</t>
        </is>
      </c>
      <c r="Z193" s="6" t="inlineStr"/>
      <c r="AA193" s="6" t="inlineStr">
        <is>
          <t>(713) 629-5200</t>
        </is>
      </c>
      <c r="AB193" s="6" t="inlineStr"/>
      <c r="AC193" s="6" t="inlineStr">
        <is>
          <t>https://www.midway.team/contact</t>
        </is>
      </c>
    </row>
    <row r="194">
      <c r="A194" s="12" t="inlineStr">
        <is>
          <t>Anna Deans</t>
        </is>
      </c>
      <c r="B194" s="12" t="inlineStr">
        <is>
          <t>Midway</t>
        </is>
      </c>
      <c r="C194" s="12" t="inlineStr">
        <is>
          <t>Executive Vice President, Midway</t>
        </is>
      </c>
      <c r="D194" s="13" t="inlineStr">
        <is>
          <t>Creative project, hybrid job</t>
        </is>
      </c>
      <c r="E194" s="14" t="n">
        <v>2</v>
      </c>
      <c r="F194" s="12" t="inlineStr">
        <is>
          <t>Buys walls</t>
        </is>
      </c>
      <c r="G194" s="12" t="inlineStr">
        <is>
          <t>Houston HQ / East End, Harris County</t>
        </is>
      </c>
      <c r="H194" s="12" t="inlineStr">
        <is>
          <t>East River: 150 acres, 60 city blocks</t>
        </is>
      </c>
      <c r="I194" s="14" t="inlineStr">
        <is>
          <t>Partly</t>
        </is>
      </c>
      <c r="J194" s="15" t="inlineStr">
        <is>
          <t>East River is 60 city blocks on one site, phased over decades.</t>
        </is>
      </c>
      <c r="K194" s="14" t="inlineStr">
        <is>
          <t>No</t>
        </is>
      </c>
      <c r="L194" s="15" t="inlineStr">
        <is>
          <t>Sixty blocks of mixed-use. The buildings are one-offs, whatever the acreage.</t>
        </is>
      </c>
      <c r="M194" s="14" t="inlineStr">
        <is>
          <t>Partly</t>
        </is>
      </c>
      <c r="N194" s="15" t="inlineStr">
        <is>
          <t>District-scale design ambition, but no specific method precedent was found.</t>
        </is>
      </c>
      <c r="O194" s="14" t="inlineStr">
        <is>
          <t>No</t>
        </is>
      </c>
      <c r="P194" s="6" t="inlineStr">
        <is>
          <t>https://www.linkedin.com/in/anna-deans-bbbab03/</t>
        </is>
      </c>
      <c r="Q194" s="12" t="inlineStr"/>
      <c r="R194" s="16">
        <f>IF(P194="","ADD LINKEDIN","ok")</f>
        <v/>
      </c>
      <c r="S194" s="12" t="inlineStr">
        <is>
          <t>https://www.midway.team/</t>
        </is>
      </c>
      <c r="T194" s="15" t="inlineStr">
        <is>
          <t>East River is 60 blocks on one site, and Midway kept sole development control after selling out of the Parkway joint venture in December 2024.</t>
        </is>
      </c>
      <c r="U194" s="12" t="inlineStr"/>
      <c r="V194" s="15" t="inlineStr"/>
      <c r="W194" s="12" t="inlineStr"/>
      <c r="X194" s="12" t="inlineStr">
        <is>
          <t>https://www.linkedin.com/company/midway</t>
        </is>
      </c>
      <c r="Y194" s="12" t="inlineStr">
        <is>
          <t>https://www.midway.team/our-people</t>
        </is>
      </c>
      <c r="Z194" s="12" t="inlineStr"/>
      <c r="AA194" s="12" t="inlineStr">
        <is>
          <t>(713) 629-5200</t>
        </is>
      </c>
      <c r="AB194" s="12" t="inlineStr"/>
      <c r="AC194" s="12" t="inlineStr">
        <is>
          <t>https://www.midway.team/contact</t>
        </is>
      </c>
    </row>
    <row r="195">
      <c r="A195" s="6" t="inlineStr">
        <is>
          <t>Paul Coonrod</t>
        </is>
      </c>
      <c r="B195" s="6" t="inlineStr">
        <is>
          <t>Pagewood</t>
        </is>
      </c>
      <c r="C195" s="6" t="inlineStr">
        <is>
          <t>Founder and Managing Principal</t>
        </is>
      </c>
      <c r="D195" s="7" t="inlineStr">
        <is>
          <t>Creative project, hybrid job</t>
        </is>
      </c>
      <c r="E195" s="8" t="n">
        <v>1</v>
      </c>
      <c r="F195" s="6" t="inlineStr">
        <is>
          <t>Buys walls</t>
        </is>
      </c>
      <c r="G195" s="6" t="inlineStr">
        <is>
          <t>Houston</t>
        </is>
      </c>
      <c r="H195" s="6" t="inlineStr">
        <is>
          <t>East Blocks phase one, 30,000 sf across two warehouses</t>
        </is>
      </c>
      <c r="I195" s="8" t="inlineStr">
        <is>
          <t>Partly</t>
        </is>
      </c>
      <c r="J195" s="9" t="inlineStr">
        <is>
          <t>Ten blocks under one plan is concentration, but every building is its own problem.</t>
        </is>
      </c>
      <c r="K195" s="8" t="inlineStr">
        <is>
          <t>No</t>
        </is>
      </c>
      <c r="L195" s="9" t="inlineStr">
        <is>
          <t>Phase one is two warehouses of the same size, done twice. The rest of the district is one-offs, and the build-to-rent line is not in Houston.</t>
        </is>
      </c>
      <c r="M195" s="8" t="inlineStr">
        <is>
          <t>No</t>
        </is>
      </c>
      <c r="N195" s="9" t="inlineStr">
        <is>
          <t>It chose to keep eighty-year-old warehouses that would have been cheaper to demolish. The partner said so on the record.</t>
        </is>
      </c>
      <c r="O195" s="8" t="inlineStr">
        <is>
          <t>Partly</t>
        </is>
      </c>
      <c r="P195" s="10" t="inlineStr"/>
      <c r="Q195" s="6">
        <f>HYPERLINK("https://www.linkedin.com/search/results/people/?keywords=Paul%20Coonrod%20Pagewood","search")</f>
        <v/>
      </c>
      <c r="R195" s="11">
        <f>IF(P195="","ADD LINKEDIN","ok")</f>
        <v/>
      </c>
      <c r="S195" s="6" t="inlineStr">
        <is>
          <t>https://www.pagewood.com/</t>
        </is>
      </c>
      <c r="T195" s="9" t="inlineStr">
        <is>
          <t>Ten contiguous EaDo blocks, 513,000 square feet in phase one, Gensler on design and SWA on landscape. It builds ground-up industrial elsewhere, so it is not conversion-only.</t>
        </is>
      </c>
      <c r="U195" s="6" t="inlineStr"/>
      <c r="V195" s="9" t="inlineStr"/>
      <c r="W195" s="6" t="inlineStr">
        <is>
          <t>https://www.pagewood.com/team</t>
        </is>
      </c>
      <c r="X195" s="6" t="inlineStr"/>
      <c r="Y195" s="6" t="inlineStr"/>
      <c r="Z195" s="6" t="inlineStr"/>
      <c r="AA195" s="6" t="inlineStr">
        <is>
          <t>(713) 804-4000</t>
        </is>
      </c>
      <c r="AB195" s="6" t="inlineStr"/>
      <c r="AC195" s="6" t="inlineStr">
        <is>
          <t>https://www.pagewood.com/</t>
        </is>
      </c>
    </row>
    <row r="196">
      <c r="A196" s="12" t="inlineStr">
        <is>
          <t>Mat Volz</t>
        </is>
      </c>
      <c r="B196" s="12" t="inlineStr">
        <is>
          <t>Pagewood</t>
        </is>
      </c>
      <c r="C196" s="12" t="inlineStr">
        <is>
          <t>Managing Principal</t>
        </is>
      </c>
      <c r="D196" s="13" t="inlineStr">
        <is>
          <t>Creative project, hybrid job</t>
        </is>
      </c>
      <c r="E196" s="14" t="n">
        <v>1</v>
      </c>
      <c r="F196" s="12" t="inlineStr">
        <is>
          <t>Buys walls</t>
        </is>
      </c>
      <c r="G196" s="12" t="inlineStr">
        <is>
          <t>Houston</t>
        </is>
      </c>
      <c r="H196" s="12" t="inlineStr">
        <is>
          <t>East Blocks phase one, 30,000 sf across two warehouses</t>
        </is>
      </c>
      <c r="I196" s="14" t="inlineStr">
        <is>
          <t>Partly</t>
        </is>
      </c>
      <c r="J196" s="15" t="inlineStr">
        <is>
          <t>Ten blocks under one plan is concentration, but every building is its own problem.</t>
        </is>
      </c>
      <c r="K196" s="14" t="inlineStr">
        <is>
          <t>No</t>
        </is>
      </c>
      <c r="L196" s="15" t="inlineStr">
        <is>
          <t>Phase one is two warehouses of the same size, done twice. The rest of the district is one-offs, and the build-to-rent line is not in Houston.</t>
        </is>
      </c>
      <c r="M196" s="14" t="inlineStr">
        <is>
          <t>No</t>
        </is>
      </c>
      <c r="N196" s="15" t="inlineStr">
        <is>
          <t>It chose to keep eighty-year-old warehouses that would have been cheaper to demolish. The partner said so on the record.</t>
        </is>
      </c>
      <c r="O196" s="14" t="inlineStr">
        <is>
          <t>Partly</t>
        </is>
      </c>
      <c r="P196" s="6" t="inlineStr">
        <is>
          <t>https://www.linkedin.com/in/mathew-volz-14684850/</t>
        </is>
      </c>
      <c r="Q196" s="12" t="inlineStr"/>
      <c r="R196" s="16">
        <f>IF(P196="","ADD LINKEDIN","ok")</f>
        <v/>
      </c>
      <c r="S196" s="12" t="inlineStr">
        <is>
          <t>https://www.pagewood.com/</t>
        </is>
      </c>
      <c r="T196" s="15" t="inlineStr">
        <is>
          <t>Ten contiguous EaDo blocks, 513,000 square feet in phase one, Gensler on design and SWA on landscape. It builds ground-up industrial elsewhere, so it is not conversion-only.</t>
        </is>
      </c>
      <c r="U196" s="12" t="inlineStr"/>
      <c r="V196" s="15" t="inlineStr">
        <is>
          <t>Indexed title reads Mathew Volz, Managing Principal at Pagewood. The firm's team page spells the name Mat.</t>
        </is>
      </c>
      <c r="W196" s="12" t="inlineStr">
        <is>
          <t>https://www.pagewood.com/team</t>
        </is>
      </c>
      <c r="X196" s="12" t="inlineStr"/>
      <c r="Y196" s="12" t="inlineStr"/>
      <c r="Z196" s="12" t="inlineStr"/>
      <c r="AA196" s="12" t="inlineStr">
        <is>
          <t>(713) 804-4000</t>
        </is>
      </c>
      <c r="AB196" s="12" t="inlineStr"/>
      <c r="AC196" s="12" t="inlineStr">
        <is>
          <t>https://www.pagewood.com/</t>
        </is>
      </c>
    </row>
    <row r="197">
      <c r="A197" s="6" t="inlineStr">
        <is>
          <t>Preston Luster</t>
        </is>
      </c>
      <c r="B197" s="6" t="inlineStr">
        <is>
          <t>Pagewood</t>
        </is>
      </c>
      <c r="C197" s="6" t="inlineStr">
        <is>
          <t>Senior Construction Manager</t>
        </is>
      </c>
      <c r="D197" s="7" t="inlineStr">
        <is>
          <t>Creative project, hybrid job</t>
        </is>
      </c>
      <c r="E197" s="8" t="n">
        <v>1</v>
      </c>
      <c r="F197" s="6" t="inlineStr">
        <is>
          <t>Buys walls</t>
        </is>
      </c>
      <c r="G197" s="6" t="inlineStr">
        <is>
          <t>Houston</t>
        </is>
      </c>
      <c r="H197" s="6" t="inlineStr">
        <is>
          <t>East Blocks phase one, 30,000 sf across two warehouses</t>
        </is>
      </c>
      <c r="I197" s="8" t="inlineStr">
        <is>
          <t>Partly</t>
        </is>
      </c>
      <c r="J197" s="9" t="inlineStr">
        <is>
          <t>Ten blocks under one plan is concentration, but every building is its own problem.</t>
        </is>
      </c>
      <c r="K197" s="8" t="inlineStr">
        <is>
          <t>No</t>
        </is>
      </c>
      <c r="L197" s="9" t="inlineStr">
        <is>
          <t>Phase one is two warehouses of the same size, done twice. The rest of the district is one-offs, and the build-to-rent line is not in Houston.</t>
        </is>
      </c>
      <c r="M197" s="8" t="inlineStr">
        <is>
          <t>No</t>
        </is>
      </c>
      <c r="N197" s="9" t="inlineStr">
        <is>
          <t>It chose to keep eighty-year-old warehouses that would have been cheaper to demolish. The partner said so on the record.</t>
        </is>
      </c>
      <c r="O197" s="8" t="inlineStr">
        <is>
          <t>Partly</t>
        </is>
      </c>
      <c r="P197" s="10" t="inlineStr"/>
      <c r="Q197" s="6">
        <f>HYPERLINK("https://www.linkedin.com/search/results/people/?keywords=Preston%20Luster%20Pagewood","search")</f>
        <v/>
      </c>
      <c r="R197" s="11">
        <f>IF(P197="","ADD LINKEDIN","ok")</f>
        <v/>
      </c>
      <c r="S197" s="6" t="inlineStr">
        <is>
          <t>https://www.pagewood.com/</t>
        </is>
      </c>
      <c r="T197" s="9" t="inlineStr">
        <is>
          <t>Ten contiguous EaDo blocks, 513,000 square feet in phase one, Gensler on design and SWA on landscape. It builds ground-up industrial elsewhere, so it is not conversion-only.</t>
        </is>
      </c>
      <c r="U197" s="6" t="inlineStr"/>
      <c r="V197" s="9" t="inlineStr"/>
      <c r="W197" s="6" t="inlineStr">
        <is>
          <t>https://www.pagewood.com/team</t>
        </is>
      </c>
      <c r="X197" s="6" t="inlineStr"/>
      <c r="Y197" s="6" t="inlineStr"/>
      <c r="Z197" s="6" t="inlineStr"/>
      <c r="AA197" s="6" t="inlineStr">
        <is>
          <t>(713) 804-4000</t>
        </is>
      </c>
      <c r="AB197" s="6" t="inlineStr"/>
      <c r="AC197" s="6" t="inlineStr">
        <is>
          <t>https://www.pagewood.com/</t>
        </is>
      </c>
    </row>
    <row r="198">
      <c r="A198" s="12" t="inlineStr">
        <is>
          <t>David Kelley</t>
        </is>
      </c>
      <c r="B198" s="12" t="inlineStr">
        <is>
          <t>Concept Neighborhood</t>
        </is>
      </c>
      <c r="C198" s="12" t="inlineStr">
        <is>
          <t>Managing Partner, Projects and Finance</t>
        </is>
      </c>
      <c r="D198" s="13" t="inlineStr">
        <is>
          <t>Creative project, hybrid job</t>
        </is>
      </c>
      <c r="E198" s="14" t="n">
        <v>1</v>
      </c>
      <c r="F198" s="12" t="inlineStr">
        <is>
          <t>Buys walls</t>
        </is>
      </c>
      <c r="G198" s="12" t="inlineStr">
        <is>
          <t>East End, Harris</t>
        </is>
      </c>
      <c r="H198" s="12" t="inlineStr">
        <is>
          <t>17 acres at The Plant, Second Ward</t>
        </is>
      </c>
      <c r="I198" s="14" t="inlineStr">
        <is>
          <t>No</t>
        </is>
      </c>
      <c r="J198" s="15" t="inlineStr">
        <is>
          <t>Four blocks of eighty-year-old industrial buildings, each one different. There is no plan to repeat.</t>
        </is>
      </c>
      <c r="K198" s="14" t="inlineStr">
        <is>
          <t>No</t>
        </is>
      </c>
      <c r="L198" s="15" t="inlineStr">
        <is>
          <t>Conversion work leaves little new wall. A printed element would have to be an addition rather than the building.</t>
        </is>
      </c>
      <c r="M198" s="14" t="inlineStr">
        <is>
          <t>Partly</t>
        </is>
      </c>
      <c r="N198" s="15" t="inlineStr">
        <is>
          <t>They restored an 1890s building to open Axelrad and took a National Register industrial basilica on at The Factory. This is a team that chooses the harder build on purpose.</t>
        </is>
      </c>
      <c r="O198" s="14" t="inlineStr">
        <is>
          <t>No</t>
        </is>
      </c>
      <c r="P198" s="6" t="inlineStr">
        <is>
          <t>https://www.linkedin.com/in/david-kelley-275240105/</t>
        </is>
      </c>
      <c r="Q198" s="12" t="inlineStr"/>
      <c r="R198" s="16">
        <f>IF(P198="","ADD LINKEDIN","ok")</f>
        <v/>
      </c>
      <c r="S198" s="12" t="inlineStr">
        <is>
          <t>https://www.conceptneighborhood.com/</t>
        </is>
      </c>
      <c r="T198" s="15" t="inlineStr">
        <is>
          <t>The only firm screened whose founders operate hospitality themselves rather than leasing to operators. Seventeen acres of industrial conversion in the East End.</t>
        </is>
      </c>
      <c r="U198" s="12" t="inlineStr"/>
      <c r="V198" s="15" t="inlineStr"/>
      <c r="W198" s="12" t="inlineStr">
        <is>
          <t>https://www.conceptneighborhood.com/team</t>
        </is>
      </c>
      <c r="X198" s="12" t="inlineStr"/>
      <c r="Y198" s="12" t="inlineStr"/>
      <c r="Z198" s="12" t="inlineStr"/>
      <c r="AA198" s="12" t="inlineStr">
        <is>
          <t>(713) 821-7052</t>
        </is>
      </c>
      <c r="AB198" s="12" t="inlineStr"/>
      <c r="AC198" s="12" t="inlineStr">
        <is>
          <t>https://www.conceptneighborhood.com/</t>
        </is>
      </c>
    </row>
    <row r="199">
      <c r="A199" s="6" t="inlineStr">
        <is>
          <t>Jeffrey Kaplan</t>
        </is>
      </c>
      <c r="B199" s="6" t="inlineStr">
        <is>
          <t>Concept Neighborhood</t>
        </is>
      </c>
      <c r="C199" s="6" t="inlineStr">
        <is>
          <t>Managing Partner, Brokerage and Placemaking, co-founder of Axelrad</t>
        </is>
      </c>
      <c r="D199" s="7" t="inlineStr">
        <is>
          <t>Creative project, hybrid job</t>
        </is>
      </c>
      <c r="E199" s="8" t="n">
        <v>1</v>
      </c>
      <c r="F199" s="6" t="inlineStr">
        <is>
          <t>Buys walls</t>
        </is>
      </c>
      <c r="G199" s="6" t="inlineStr">
        <is>
          <t>East End, Harris</t>
        </is>
      </c>
      <c r="H199" s="6" t="inlineStr">
        <is>
          <t>17 acres at The Plant, Second Ward</t>
        </is>
      </c>
      <c r="I199" s="8" t="inlineStr">
        <is>
          <t>No</t>
        </is>
      </c>
      <c r="J199" s="9" t="inlineStr">
        <is>
          <t>Four blocks of eighty-year-old industrial buildings, each one different. There is no plan to repeat.</t>
        </is>
      </c>
      <c r="K199" s="8" t="inlineStr">
        <is>
          <t>No</t>
        </is>
      </c>
      <c r="L199" s="9" t="inlineStr">
        <is>
          <t>Conversion work leaves little new wall. A printed element would have to be an addition rather than the building.</t>
        </is>
      </c>
      <c r="M199" s="8" t="inlineStr">
        <is>
          <t>Partly</t>
        </is>
      </c>
      <c r="N199" s="9" t="inlineStr">
        <is>
          <t>They restored an 1890s building to open Axelrad and took a National Register industrial basilica on at The Factory. This is a team that chooses the harder build on purpose.</t>
        </is>
      </c>
      <c r="O199" s="8" t="inlineStr">
        <is>
          <t>No</t>
        </is>
      </c>
      <c r="P199" s="6" t="inlineStr">
        <is>
          <t>https://www.linkedin.com/in/jeffrey-kaplan-71190150/</t>
        </is>
      </c>
      <c r="Q199" s="6" t="inlineStr"/>
      <c r="R199" s="11">
        <f>IF(P199="","ADD LINKEDIN","ok")</f>
        <v/>
      </c>
      <c r="S199" s="6" t="inlineStr">
        <is>
          <t>https://www.conceptneighborhood.com/</t>
        </is>
      </c>
      <c r="T199" s="9" t="inlineStr">
        <is>
          <t>The only firm screened whose founders operate hospitality themselves rather than leasing to operators. Seventeen acres of industrial conversion in the East End.</t>
        </is>
      </c>
      <c r="U199" s="6" t="inlineStr"/>
      <c r="V199" s="9" t="inlineStr"/>
      <c r="W199" s="6" t="inlineStr">
        <is>
          <t>https://www.conceptneighborhood.com/team</t>
        </is>
      </c>
      <c r="X199" s="6" t="inlineStr"/>
      <c r="Y199" s="6" t="inlineStr"/>
      <c r="Z199" s="6" t="inlineStr"/>
      <c r="AA199" s="6" t="inlineStr">
        <is>
          <t>(713) 821-7052</t>
        </is>
      </c>
      <c r="AB199" s="6" t="inlineStr"/>
      <c r="AC199" s="6" t="inlineStr">
        <is>
          <t>https://www.conceptneighborhood.com/</t>
        </is>
      </c>
    </row>
    <row r="200">
      <c r="A200" s="12" t="inlineStr">
        <is>
          <t>Monte Large</t>
        </is>
      </c>
      <c r="B200" s="12" t="inlineStr">
        <is>
          <t>Concept Neighborhood</t>
        </is>
      </c>
      <c r="C200" s="12" t="inlineStr">
        <is>
          <t>Partner, Design and Placemaking</t>
        </is>
      </c>
      <c r="D200" s="13" t="inlineStr">
        <is>
          <t>Creative project, hybrid job</t>
        </is>
      </c>
      <c r="E200" s="14" t="n">
        <v>1</v>
      </c>
      <c r="F200" s="12" t="inlineStr">
        <is>
          <t>Buys walls</t>
        </is>
      </c>
      <c r="G200" s="12" t="inlineStr">
        <is>
          <t>East End, Harris</t>
        </is>
      </c>
      <c r="H200" s="12" t="inlineStr">
        <is>
          <t>17 acres at The Plant, Second Ward</t>
        </is>
      </c>
      <c r="I200" s="14" t="inlineStr">
        <is>
          <t>No</t>
        </is>
      </c>
      <c r="J200" s="15" t="inlineStr">
        <is>
          <t>Four blocks of eighty-year-old industrial buildings, each one different. There is no plan to repeat.</t>
        </is>
      </c>
      <c r="K200" s="14" t="inlineStr">
        <is>
          <t>No</t>
        </is>
      </c>
      <c r="L200" s="15" t="inlineStr">
        <is>
          <t>Conversion work leaves little new wall. A printed element would have to be an addition rather than the building.</t>
        </is>
      </c>
      <c r="M200" s="14" t="inlineStr">
        <is>
          <t>Partly</t>
        </is>
      </c>
      <c r="N200" s="15" t="inlineStr">
        <is>
          <t>They restored an 1890s building to open Axelrad and took a National Register industrial basilica on at The Factory. This is a team that chooses the harder build on purpose.</t>
        </is>
      </c>
      <c r="O200" s="14" t="inlineStr">
        <is>
          <t>No</t>
        </is>
      </c>
      <c r="P200" s="6" t="inlineStr">
        <is>
          <t>https://www.linkedin.com/in/montelarge/</t>
        </is>
      </c>
      <c r="Q200" s="12" t="inlineStr"/>
      <c r="R200" s="16">
        <f>IF(P200="","ADD LINKEDIN","ok")</f>
        <v/>
      </c>
      <c r="S200" s="12" t="inlineStr">
        <is>
          <t>https://www.conceptneighborhood.com/</t>
        </is>
      </c>
      <c r="T200" s="15" t="inlineStr">
        <is>
          <t>The only firm screened whose founders operate hospitality themselves rather than leasing to operators. Seventeen acres of industrial conversion in the East End.</t>
        </is>
      </c>
      <c r="U200" s="12" t="inlineStr"/>
      <c r="V200" s="15" t="inlineStr"/>
      <c r="W200" s="12" t="inlineStr">
        <is>
          <t>https://www.conceptneighborhood.com/team</t>
        </is>
      </c>
      <c r="X200" s="12" t="inlineStr"/>
      <c r="Y200" s="12" t="inlineStr"/>
      <c r="Z200" s="12" t="inlineStr"/>
      <c r="AA200" s="12" t="inlineStr">
        <is>
          <t>(713) 821-7052</t>
        </is>
      </c>
      <c r="AB200" s="12" t="inlineStr"/>
      <c r="AC200" s="12" t="inlineStr">
        <is>
          <t>https://www.conceptneighborhood.com/</t>
        </is>
      </c>
    </row>
    <row r="201">
      <c r="A201" s="6" t="inlineStr">
        <is>
          <t>Jeremy Roberts</t>
        </is>
      </c>
      <c r="B201" s="6" t="inlineStr">
        <is>
          <t>Concept Neighborhood</t>
        </is>
      </c>
      <c r="C201" s="6" t="inlineStr">
        <is>
          <t>Managing Partner, Projects and Legal</t>
        </is>
      </c>
      <c r="D201" s="7" t="inlineStr">
        <is>
          <t>Creative project, hybrid job</t>
        </is>
      </c>
      <c r="E201" s="8" t="n">
        <v>1</v>
      </c>
      <c r="F201" s="6" t="inlineStr">
        <is>
          <t>Buys walls</t>
        </is>
      </c>
      <c r="G201" s="6" t="inlineStr">
        <is>
          <t>East End, Harris</t>
        </is>
      </c>
      <c r="H201" s="6" t="inlineStr">
        <is>
          <t>17 acres at The Plant, Second Ward</t>
        </is>
      </c>
      <c r="I201" s="8" t="inlineStr">
        <is>
          <t>No</t>
        </is>
      </c>
      <c r="J201" s="9" t="inlineStr">
        <is>
          <t>Four blocks of eighty-year-old industrial buildings, each one different. There is no plan to repeat.</t>
        </is>
      </c>
      <c r="K201" s="8" t="inlineStr">
        <is>
          <t>No</t>
        </is>
      </c>
      <c r="L201" s="9" t="inlineStr">
        <is>
          <t>Conversion work leaves little new wall. A printed element would have to be an addition rather than the building.</t>
        </is>
      </c>
      <c r="M201" s="8" t="inlineStr">
        <is>
          <t>Partly</t>
        </is>
      </c>
      <c r="N201" s="9" t="inlineStr">
        <is>
          <t>They restored an 1890s building to open Axelrad and took a National Register industrial basilica on at The Factory. This is a team that chooses the harder build on purpose.</t>
        </is>
      </c>
      <c r="O201" s="8" t="inlineStr">
        <is>
          <t>No</t>
        </is>
      </c>
      <c r="P201" s="6" t="inlineStr">
        <is>
          <t>https://www.linkedin.com/in/jeremyaaronroberts/</t>
        </is>
      </c>
      <c r="Q201" s="6" t="inlineStr"/>
      <c r="R201" s="11">
        <f>IF(P201="","ADD LINKEDIN","ok")</f>
        <v/>
      </c>
      <c r="S201" s="6" t="inlineStr">
        <is>
          <t>https://www.conceptneighborhood.com/</t>
        </is>
      </c>
      <c r="T201" s="9" t="inlineStr">
        <is>
          <t>The only firm screened whose founders operate hospitality themselves rather than leasing to operators. Seventeen acres of industrial conversion in the East End.</t>
        </is>
      </c>
      <c r="U201" s="6" t="inlineStr"/>
      <c r="V201" s="9" t="inlineStr"/>
      <c r="W201" s="6" t="inlineStr">
        <is>
          <t>https://www.conceptneighborhood.com/team</t>
        </is>
      </c>
      <c r="X201" s="6" t="inlineStr"/>
      <c r="Y201" s="6" t="inlineStr"/>
      <c r="Z201" s="6" t="inlineStr"/>
      <c r="AA201" s="6" t="inlineStr">
        <is>
          <t>(713) 821-7052</t>
        </is>
      </c>
      <c r="AB201" s="6" t="inlineStr"/>
      <c r="AC201" s="6" t="inlineStr">
        <is>
          <t>https://www.conceptneighborhood.com/</t>
        </is>
      </c>
    </row>
    <row r="202">
      <c r="A202" s="12" t="inlineStr">
        <is>
          <t>Randolph Wile</t>
        </is>
      </c>
      <c r="B202" s="12" t="inlineStr">
        <is>
          <t>Wile Interests</t>
        </is>
      </c>
      <c r="C202" s="12" t="inlineStr">
        <is>
          <t>Founder and President</t>
        </is>
      </c>
      <c r="D202" s="13" t="inlineStr">
        <is>
          <t>Creative project, hybrid job</t>
        </is>
      </c>
      <c r="E202" s="14" t="n">
        <v>1</v>
      </c>
      <c r="F202" s="12" t="inlineStr">
        <is>
          <t>Buys walls</t>
        </is>
      </c>
      <c r="G202" s="12" t="inlineStr">
        <is>
          <t>Houston and Katy</t>
        </is>
      </c>
      <c r="H202" s="12" t="inlineStr">
        <is>
          <t>Ground-up in Katy, adaptive reuse in EaDo</t>
        </is>
      </c>
      <c r="I202" s="14" t="inlineStr">
        <is>
          <t>Partly</t>
        </is>
      </c>
      <c r="J202" s="15" t="inlineStr">
        <is>
          <t>Two quite different programmes in two submarkets. No repeated unit.</t>
        </is>
      </c>
      <c r="K202" s="14" t="inlineStr">
        <is>
          <t>No</t>
        </is>
      </c>
      <c r="L202" s="15" t="inlineStr">
        <is>
          <t>Medical office and retail shells rather than houses.</t>
        </is>
      </c>
      <c r="M202" s="14" t="inlineStr">
        <is>
          <t>No</t>
        </is>
      </c>
      <c r="N202" s="15" t="inlineStr">
        <is>
          <t>Its president is the one quoted explaining why the firm kept the old warehouses instead of clearing the site.</t>
        </is>
      </c>
      <c r="O202" s="14" t="inlineStr">
        <is>
          <t>No</t>
        </is>
      </c>
      <c r="P202" s="6" t="inlineStr">
        <is>
          <t>https://www.linkedin.com/in/randolph-wile/</t>
        </is>
      </c>
      <c r="Q202" s="12" t="inlineStr"/>
      <c r="R202" s="16">
        <f>IF(P202="","ADD LINKEDIN","ok")</f>
        <v/>
      </c>
      <c r="S202" s="12" t="inlineStr">
        <is>
          <t>https://www.wileinterests.com/</t>
        </is>
      </c>
      <c r="T202" s="15" t="inlineStr">
        <is>
          <t>Ground-up medical and retail in Katy, conversion in EaDo.</t>
        </is>
      </c>
      <c r="U202" s="12" t="inlineStr"/>
      <c r="V202" s="15" t="inlineStr">
        <is>
          <t>Indexed title reads Randolph Wile, Wile Interests, Inc. The Real Deal, November 2023, quotes Wile Interests president Randolph Wile.</t>
        </is>
      </c>
      <c r="W202" s="12" t="inlineStr">
        <is>
          <t>https://therealdeal.com/texas/houston/2023/11/13/pagewood-wile-to-convert-eado-houston-warehouses/</t>
        </is>
      </c>
      <c r="X202" s="12" t="inlineStr"/>
      <c r="Y202" s="12" t="inlineStr"/>
      <c r="Z202" s="12" t="inlineStr"/>
      <c r="AA202" s="12" t="inlineStr"/>
      <c r="AB202" s="12" t="inlineStr"/>
      <c r="AC202" s="12" t="inlineStr"/>
    </row>
    <row r="203">
      <c r="A203" s="6" t="inlineStr">
        <is>
          <t>Paul J. Romanowski</t>
        </is>
      </c>
      <c r="B203" s="6" t="inlineStr">
        <is>
          <t>D.R. Horton, Inc.</t>
        </is>
      </c>
      <c r="C203" s="6" t="inlineStr">
        <is>
          <t>President and Chief Executive Officer</t>
        </is>
      </c>
      <c r="D203" s="7" t="inlineStr">
        <is>
          <t>National scale, pilot not purchase</t>
        </is>
      </c>
      <c r="E203" s="8" t="n">
        <v>3</v>
      </c>
      <c r="F203" s="6" t="inlineStr">
        <is>
          <t>Buys walls</t>
        </is>
      </c>
      <c r="G203" s="6" t="inlineStr">
        <is>
          <t>Arlington HQ / Sugar Land, Richmond, Conroe</t>
        </is>
      </c>
      <c r="H203" s="6" t="inlineStr">
        <is>
          <t>372 Houston permits in August 2026, first in the metro</t>
        </is>
      </c>
      <c r="I203" s="8" t="inlineStr">
        <is>
          <t>Yes</t>
        </is>
      </c>
      <c r="J203" s="9" t="inlineStr">
        <is>
          <t>65 Houston communities and 668 standing homes at one time, on a national plan library.</t>
        </is>
      </c>
      <c r="K203" s="8" t="inlineStr">
        <is>
          <t>Partly</t>
        </is>
      </c>
      <c r="L203" s="9" t="inlineStr">
        <is>
          <t>84,863 closings a year is far above the band one or two printers cover, so the first order is a pilot inside one division rather than a purchase.</t>
        </is>
      </c>
      <c r="M203" s="8" t="inlineStr">
        <is>
          <t>Yes</t>
        </is>
      </c>
      <c r="N203" s="9" t="inlineStr">
        <is>
          <t>Strategic investment in Apis Cor, March 2024, amount undisclosed. It is the only equity position in a printed wall system on this deck.</t>
        </is>
      </c>
      <c r="O203" s="8" t="inlineStr">
        <is>
          <t>Yes</t>
        </is>
      </c>
      <c r="P203" s="10" t="inlineStr"/>
      <c r="Q203" s="6">
        <f>HYPERLINK("https://www.linkedin.com/search/results/people/?keywords=Paul%20J.%20Romanowski%20D.R.%20Horton%2C%20Inc.","search")</f>
        <v/>
      </c>
      <c r="R203" s="11">
        <f>IF(P203="","ADD LINKEDIN","ok")</f>
        <v/>
      </c>
      <c r="S203" s="6" t="inlineStr">
        <is>
          <t>https://www.drhorton.com/texas/houston</t>
        </is>
      </c>
      <c r="T203" s="9" t="inlineStr">
        <is>
          <t>It has already bought equity in a printed wall system, and it builds more houses in Houston than anyone else.</t>
        </is>
      </c>
      <c r="U203" s="6" t="inlineStr"/>
      <c r="V203" s="9" t="inlineStr"/>
      <c r="W203" s="6" t="inlineStr">
        <is>
          <t>https://investor.drhorton.com/corporate-governance/executive-officers</t>
        </is>
      </c>
      <c r="X203" s="6" t="inlineStr"/>
      <c r="Y203" s="6" t="inlineStr"/>
      <c r="Z203" s="6" t="inlineStr"/>
      <c r="AA203" s="6" t="inlineStr"/>
      <c r="AB203" s="6" t="inlineStr"/>
      <c r="AC203" s="6" t="inlineStr">
        <is>
          <t>https://www.drhorton.com/contact-us-page</t>
        </is>
      </c>
    </row>
    <row r="204">
      <c r="A204" s="12" t="inlineStr">
        <is>
          <t>Michael J. Murray</t>
        </is>
      </c>
      <c r="B204" s="12" t="inlineStr">
        <is>
          <t>D.R. Horton, Inc.</t>
        </is>
      </c>
      <c r="C204" s="12" t="inlineStr">
        <is>
          <t>Executive Vice President and Chief Operating Officer</t>
        </is>
      </c>
      <c r="D204" s="13" t="inlineStr">
        <is>
          <t>National scale, pilot not purchase</t>
        </is>
      </c>
      <c r="E204" s="14" t="n">
        <v>3</v>
      </c>
      <c r="F204" s="12" t="inlineStr">
        <is>
          <t>Buys walls</t>
        </is>
      </c>
      <c r="G204" s="12" t="inlineStr">
        <is>
          <t>Arlington HQ / Sugar Land, Richmond, Conroe</t>
        </is>
      </c>
      <c r="H204" s="12" t="inlineStr">
        <is>
          <t>372 Houston permits in August 2026, first in the metro</t>
        </is>
      </c>
      <c r="I204" s="14" t="inlineStr">
        <is>
          <t>Yes</t>
        </is>
      </c>
      <c r="J204" s="15" t="inlineStr">
        <is>
          <t>65 Houston communities and 668 standing homes at one time, on a national plan library.</t>
        </is>
      </c>
      <c r="K204" s="14" t="inlineStr">
        <is>
          <t>Partly</t>
        </is>
      </c>
      <c r="L204" s="15" t="inlineStr">
        <is>
          <t>84,863 closings a year is far above the band one or two printers cover, so the first order is a pilot inside one division rather than a purchase.</t>
        </is>
      </c>
      <c r="M204" s="14" t="inlineStr">
        <is>
          <t>Yes</t>
        </is>
      </c>
      <c r="N204" s="15" t="inlineStr">
        <is>
          <t>Strategic investment in Apis Cor, March 2024, amount undisclosed. It is the only equity position in a printed wall system on this deck.</t>
        </is>
      </c>
      <c r="O204" s="14" t="inlineStr">
        <is>
          <t>Yes</t>
        </is>
      </c>
      <c r="P204" s="10" t="inlineStr"/>
      <c r="Q204" s="12">
        <f>HYPERLINK("https://www.linkedin.com/search/results/people/?keywords=Michael%20J.%20Murray%20D.R.%20Horton%2C%20Inc.","search")</f>
        <v/>
      </c>
      <c r="R204" s="16">
        <f>IF(P204="","ADD LINKEDIN","ok")</f>
        <v/>
      </c>
      <c r="S204" s="12" t="inlineStr">
        <is>
          <t>https://www.drhorton.com/texas/houston</t>
        </is>
      </c>
      <c r="T204" s="15" t="inlineStr">
        <is>
          <t>It has already bought equity in a printed wall system, and it builds more houses in Houston than anyone else.</t>
        </is>
      </c>
      <c r="U204" s="12" t="inlineStr"/>
      <c r="V204" s="15" t="inlineStr"/>
      <c r="W204" s="12" t="inlineStr">
        <is>
          <t>https://investor.drhorton.com/corporate-governance/executive-officers</t>
        </is>
      </c>
      <c r="X204" s="12" t="inlineStr"/>
      <c r="Y204" s="12" t="inlineStr"/>
      <c r="Z204" s="12" t="inlineStr"/>
      <c r="AA204" s="12" t="inlineStr"/>
      <c r="AB204" s="12" t="inlineStr"/>
      <c r="AC204" s="12" t="inlineStr">
        <is>
          <t>https://www.drhorton.com/contact-us-page</t>
        </is>
      </c>
    </row>
    <row r="205">
      <c r="A205" s="6" t="inlineStr">
        <is>
          <t>Brad Conlon</t>
        </is>
      </c>
      <c r="B205" s="6" t="inlineStr">
        <is>
          <t>D.R. Horton, Inc.</t>
        </is>
      </c>
      <c r="C205" s="6" t="inlineStr">
        <is>
          <t>Senior Vice President of Business Development</t>
        </is>
      </c>
      <c r="D205" s="7" t="inlineStr">
        <is>
          <t>National scale, pilot not purchase</t>
        </is>
      </c>
      <c r="E205" s="8" t="n">
        <v>3</v>
      </c>
      <c r="F205" s="6" t="inlineStr">
        <is>
          <t>Buys walls</t>
        </is>
      </c>
      <c r="G205" s="6" t="inlineStr">
        <is>
          <t>Arlington HQ / Sugar Land, Richmond, Conroe</t>
        </is>
      </c>
      <c r="H205" s="6" t="inlineStr">
        <is>
          <t>372 Houston permits in August 2026, first in the metro</t>
        </is>
      </c>
      <c r="I205" s="8" t="inlineStr">
        <is>
          <t>Yes</t>
        </is>
      </c>
      <c r="J205" s="9" t="inlineStr">
        <is>
          <t>65 Houston communities and 668 standing homes at one time, on a national plan library.</t>
        </is>
      </c>
      <c r="K205" s="8" t="inlineStr">
        <is>
          <t>Partly</t>
        </is>
      </c>
      <c r="L205" s="9" t="inlineStr">
        <is>
          <t>84,863 closings a year is far above the band one or two printers cover, so the first order is a pilot inside one division rather than a purchase.</t>
        </is>
      </c>
      <c r="M205" s="8" t="inlineStr">
        <is>
          <t>Yes</t>
        </is>
      </c>
      <c r="N205" s="9" t="inlineStr">
        <is>
          <t>Strategic investment in Apis Cor, March 2024, amount undisclosed. It is the only equity position in a printed wall system on this deck.</t>
        </is>
      </c>
      <c r="O205" s="8" t="inlineStr">
        <is>
          <t>Yes</t>
        </is>
      </c>
      <c r="P205" s="10" t="inlineStr"/>
      <c r="Q205" s="6">
        <f>HYPERLINK("https://www.linkedin.com/search/results/people/?keywords=Brad%20Conlon%20D.R.%20Horton%2C%20Inc.","search")</f>
        <v/>
      </c>
      <c r="R205" s="11">
        <f>IF(P205="","ADD LINKEDIN","ok")</f>
        <v/>
      </c>
      <c r="S205" s="6" t="inlineStr">
        <is>
          <t>https://www.drhorton.com/texas/houston</t>
        </is>
      </c>
      <c r="T205" s="9" t="inlineStr">
        <is>
          <t>It has already bought equity in a printed wall system, and it builds more houses in Houston than anyone else.</t>
        </is>
      </c>
      <c r="U205" s="6" t="inlineStr">
        <is>
          <t>YES</t>
        </is>
      </c>
      <c r="V205" s="9" t="inlineStr">
        <is>
          <t>The seat that spoke for the company on the Apis Cor investment. He is not one of the four executive officers, so this sits below the officer tier.</t>
        </is>
      </c>
      <c r="W205" s="6" t="inlineStr">
        <is>
          <t>https://www.prnewswire.com/news-releases/apis-cor-a-manufacturer-of-construction-3d-printing-robots-announces-strategic-investment-by-dr-horton-302084850.html</t>
        </is>
      </c>
      <c r="X205" s="6" t="inlineStr"/>
      <c r="Y205" s="6" t="inlineStr"/>
      <c r="Z205" s="6" t="inlineStr"/>
      <c r="AA205" s="6" t="inlineStr"/>
      <c r="AB205" s="6" t="inlineStr"/>
      <c r="AC205" s="6" t="inlineStr">
        <is>
          <t>https://www.drhorton.com/contact-us-page</t>
        </is>
      </c>
    </row>
    <row r="206">
      <c r="A206" s="12" t="inlineStr">
        <is>
          <t>Saun Sullivan</t>
        </is>
      </c>
      <c r="B206" s="12" t="inlineStr">
        <is>
          <t>DSLD Homes</t>
        </is>
      </c>
      <c r="C206" s="12" t="inlineStr">
        <is>
          <t>Chief Executive Officer</t>
        </is>
      </c>
      <c r="D206" s="13" t="inlineStr">
        <is>
          <t>National scale, pilot not purchase</t>
        </is>
      </c>
      <c r="E206" s="14" t="n">
        <v>2</v>
      </c>
      <c r="F206" s="12" t="inlineStr">
        <is>
          <t>Buys walls</t>
        </is>
      </c>
      <c r="G206" s="12" t="inlineStr">
        <is>
          <t>Baton Rouge HQ / Bonney, Magnolia, Montgomery</t>
        </is>
      </c>
      <c r="H206" s="12" t="inlineStr">
        <is>
          <t>3,989 closings in 2025, three Houston communities</t>
        </is>
      </c>
      <c r="I206" s="14" t="inlineStr">
        <is>
          <t>Yes</t>
        </is>
      </c>
      <c r="J206" s="15" t="inlineStr">
        <is>
          <t>Three Houston communities drawn from a plan library that runs across six states.</t>
        </is>
      </c>
      <c r="K206" s="14" t="inlineStr">
        <is>
          <t>Partly</t>
        </is>
      </c>
      <c r="L206" s="15" t="inlineStr">
        <is>
          <t>3,989 closings a year sits above the band one or two printers cover. The Houston division is three communities of it.</t>
        </is>
      </c>
      <c r="M206" s="14" t="inlineStr">
        <is>
          <t>No</t>
        </is>
      </c>
      <c r="N206" s="15" t="inlineStr">
        <is>
          <t>Nothing on record. Its about page names energy efficiency and structural excellence and no method.</t>
        </is>
      </c>
      <c r="O206" s="14" t="inlineStr">
        <is>
          <t>Yes</t>
        </is>
      </c>
      <c r="P206" s="10" t="inlineStr"/>
      <c r="Q206" s="12">
        <f>HYPERLINK("https://www.linkedin.com/search/results/people/?keywords=Saun%20Sullivan%20DSLD%20Homes","search")</f>
        <v/>
      </c>
      <c r="R206" s="16">
        <f>IF(P206="","ADD LINKEDIN","ok")</f>
        <v/>
      </c>
      <c r="S206" s="12" t="inlineStr">
        <is>
          <t>https://www.dsldhomes.com/</t>
        </is>
      </c>
      <c r="T206" s="15" t="inlineStr">
        <is>
          <t>Three Houston communities opened out of a 120-community plan library, and a build-to-rent line inside it.</t>
        </is>
      </c>
      <c r="U206" s="12" t="inlineStr"/>
      <c r="V206" s="15" t="inlineStr"/>
      <c r="W206" s="12" t="inlineStr">
        <is>
          <t>https://www.builderonline.com/firms/dsld-homes/</t>
        </is>
      </c>
      <c r="X206" s="12" t="inlineStr"/>
      <c r="Y206" s="12" t="inlineStr"/>
      <c r="Z206" s="12" t="inlineStr"/>
      <c r="AA206" s="12" t="inlineStr">
        <is>
          <t>(844) 767-2713</t>
        </is>
      </c>
      <c r="AB206" s="12" t="inlineStr">
        <is>
          <t>main office, Baton Rouge</t>
        </is>
      </c>
      <c r="AC206" s="12" t="inlineStr">
        <is>
          <t>https://www.dsldhomes.com/</t>
        </is>
      </c>
    </row>
    <row r="207">
      <c r="A207" s="6" t="inlineStr">
        <is>
          <t>Jay Brown</t>
        </is>
      </c>
      <c r="B207" s="6" t="inlineStr">
        <is>
          <t>David Weekley Homes</t>
        </is>
      </c>
      <c r="C207" s="6" t="inlineStr">
        <is>
          <t>Chief Executive Officer</t>
        </is>
      </c>
      <c r="D207" s="7" t="inlineStr">
        <is>
          <t>National scale, pilot not purchase</t>
        </is>
      </c>
      <c r="E207" s="8" t="n">
        <v>2</v>
      </c>
      <c r="F207" s="6" t="inlineStr">
        <is>
          <t>Buys walls</t>
        </is>
      </c>
      <c r="G207" s="6" t="inlineStr">
        <is>
          <t>Houston HQ, Harris County</t>
        </is>
      </c>
      <c r="H207" s="6" t="inlineStr">
        <is>
          <t>125,000+ homes, 19 markets, Houston HQ</t>
        </is>
      </c>
      <c r="I207" s="8" t="inlineStr">
        <is>
          <t>Yes</t>
        </is>
      </c>
      <c r="J207" s="9" t="inlineStr">
        <is>
          <t>Houston is the firm's home market and it builds across the metro.</t>
        </is>
      </c>
      <c r="K207" s="8" t="inlineStr">
        <is>
          <t>No</t>
        </is>
      </c>
      <c r="L207" s="9" t="inlineStr">
        <is>
          <t>A national builder with a national supply chain.</t>
        </is>
      </c>
      <c r="M207" s="8" t="inlineStr">
        <is>
          <t>Partly</t>
        </is>
      </c>
      <c r="N207" s="9" t="inlineStr">
        <is>
          <t>Its 2026 preferred-partner list names cladding, roofing, weather barrier, structural connectors and engineered framing. That is the envelope, and it is a supply-chain commitment rather than a method.</t>
        </is>
      </c>
      <c r="O207" s="8" t="inlineStr">
        <is>
          <t>Partly</t>
        </is>
      </c>
      <c r="P207" s="6" t="inlineStr">
        <is>
          <t>https://www.linkedin.com/in/jay-brown-14305a12/</t>
        </is>
      </c>
      <c r="Q207" s="6" t="inlineStr"/>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Chief Executive Officer at David Weekley Homes. Houston, Texas.</t>
        </is>
      </c>
      <c r="W207" s="6" t="inlineStr"/>
      <c r="X207" s="6" t="inlineStr">
        <is>
          <t>https://www.linkedin.com/company/david-weekley-homes</t>
        </is>
      </c>
      <c r="Y207" s="6" t="inlineStr">
        <is>
          <t>https://www.davidweekleyhomes.com/about-us/meet-the-team</t>
        </is>
      </c>
      <c r="Z207" s="6" t="inlineStr"/>
      <c r="AA207" s="6" t="inlineStr">
        <is>
          <t>(844) 777-3717</t>
        </is>
      </c>
      <c r="AB207" s="6" t="inlineStr"/>
      <c r="AC207" s="6" t="inlineStr">
        <is>
          <t>https://www.davidweekleyhomes.com/</t>
        </is>
      </c>
    </row>
    <row r="208">
      <c r="A208" s="12" t="inlineStr">
        <is>
          <t>Chris Weekley</t>
        </is>
      </c>
      <c r="B208" s="12" t="inlineStr">
        <is>
          <t>David Weekley Homes</t>
        </is>
      </c>
      <c r="C208" s="12" t="inlineStr">
        <is>
          <t>President and Vice Chairman</t>
        </is>
      </c>
      <c r="D208" s="13" t="inlineStr">
        <is>
          <t>National scale, pilot not purchase</t>
        </is>
      </c>
      <c r="E208" s="14" t="n">
        <v>2</v>
      </c>
      <c r="F208" s="12" t="inlineStr">
        <is>
          <t>Buys walls</t>
        </is>
      </c>
      <c r="G208" s="12" t="inlineStr">
        <is>
          <t>Houston HQ, Harris County</t>
        </is>
      </c>
      <c r="H208" s="12" t="inlineStr">
        <is>
          <t>125,000+ homes, 19 markets, Houston HQ</t>
        </is>
      </c>
      <c r="I208" s="14" t="inlineStr">
        <is>
          <t>Yes</t>
        </is>
      </c>
      <c r="J208" s="15" t="inlineStr">
        <is>
          <t>Houston is the firm's home market and it builds across the metro.</t>
        </is>
      </c>
      <c r="K208" s="14" t="inlineStr">
        <is>
          <t>No</t>
        </is>
      </c>
      <c r="L208" s="15" t="inlineStr">
        <is>
          <t>A national builder with a national supply chain.</t>
        </is>
      </c>
      <c r="M208" s="14" t="inlineStr">
        <is>
          <t>Partly</t>
        </is>
      </c>
      <c r="N208" s="15" t="inlineStr">
        <is>
          <t>Its 2026 preferred-partner list names cladding, roofing, weather barrier, structural connectors and engineered framing. That is the envelope, and it is a supply-chain commitment rather than a method.</t>
        </is>
      </c>
      <c r="O208" s="14" t="inlineStr">
        <is>
          <t>Partly</t>
        </is>
      </c>
      <c r="P208" s="10" t="inlineStr"/>
      <c r="Q208" s="12">
        <f>HYPERLINK("https://www.linkedin.com/search/results/people/?keywords=Chris%20Weekley%20David%20Weekley%20Homes","search")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President and Vice Chairman. The firm's own page credits him with innovation and developer relationships, which is the brief a printed wall would land in.</t>
        </is>
      </c>
      <c r="W208" s="12" t="inlineStr">
        <is>
          <t>https://www.davidweekleyhomes.com/about-us/meet-the-team</t>
        </is>
      </c>
      <c r="X208" s="12" t="inlineStr">
        <is>
          <t>https://www.linkedin.com/company/david-weekley-homes</t>
        </is>
      </c>
      <c r="Y208" s="12" t="inlineStr">
        <is>
          <t>https://www.davidweekleyhomes.com/about-us/meet-the-team</t>
        </is>
      </c>
      <c r="Z208" s="12" t="inlineStr"/>
      <c r="AA208" s="12" t="inlineStr">
        <is>
          <t>(844) 777-3717</t>
        </is>
      </c>
      <c r="AB208" s="12" t="inlineStr"/>
      <c r="AC208" s="12" t="inlineStr">
        <is>
          <t>https://www.davidweekleyhomes.com/</t>
        </is>
      </c>
    </row>
    <row r="209">
      <c r="A209" s="6" t="inlineStr">
        <is>
          <t>David Weekley</t>
        </is>
      </c>
      <c r="B209" s="6" t="inlineStr">
        <is>
          <t>David Weekley Homes</t>
        </is>
      </c>
      <c r="C209" s="6" t="inlineStr">
        <is>
          <t>Chairman and Founder</t>
        </is>
      </c>
      <c r="D209" s="7" t="inlineStr">
        <is>
          <t>National scale, pilot not purchase</t>
        </is>
      </c>
      <c r="E209" s="8" t="n">
        <v>2</v>
      </c>
      <c r="F209" s="6" t="inlineStr">
        <is>
          <t>Buys walls</t>
        </is>
      </c>
      <c r="G209" s="6" t="inlineStr">
        <is>
          <t>Houston HQ, Harris County</t>
        </is>
      </c>
      <c r="H209" s="6" t="inlineStr">
        <is>
          <t>125,000+ homes, 19 markets, Houston HQ</t>
        </is>
      </c>
      <c r="I209" s="8" t="inlineStr">
        <is>
          <t>Yes</t>
        </is>
      </c>
      <c r="J209" s="9" t="inlineStr">
        <is>
          <t>Houston is the firm's home market and it builds across the metro.</t>
        </is>
      </c>
      <c r="K209" s="8" t="inlineStr">
        <is>
          <t>No</t>
        </is>
      </c>
      <c r="L209" s="9" t="inlineStr">
        <is>
          <t>A national builder with a national supply chain.</t>
        </is>
      </c>
      <c r="M209" s="8" t="inlineStr">
        <is>
          <t>Partly</t>
        </is>
      </c>
      <c r="N209" s="9" t="inlineStr">
        <is>
          <t>Its 2026 preferred-partner list names cladding, roofing, weather barrier, structural connectors and engineered framing. That is the envelope, and it is a supply-chain commitment rather than a method.</t>
        </is>
      </c>
      <c r="O209" s="8" t="inlineStr">
        <is>
          <t>Partly</t>
        </is>
      </c>
      <c r="P209" s="10" t="inlineStr"/>
      <c r="Q209" s="6">
        <f>HYPERLINK("https://www.linkedin.com/search/results/people/?keywords=David%20Weekley%20David%20Weekley%20Homes","search")</f>
        <v/>
      </c>
      <c r="R209" s="11">
        <f>IF(P209="","ADD LINKEDIN","ok")</f>
        <v/>
      </c>
      <c r="S209" s="6" t="inlineStr">
        <is>
          <t>https://www.davidweekleyhomes.com/</t>
        </is>
      </c>
      <c r="T209" s="9" t="inlineStr">
        <is>
          <t>125,000 homes, Houston HQ, 50 years. Its supplier recognition covers insulation and fire-stopping, not the envelope.</t>
        </is>
      </c>
      <c r="U209" s="6" t="inlineStr"/>
      <c r="V209" s="9" t="inlineStr">
        <is>
          <t>Chairman, who started the company in 1976 at twenty-three.</t>
        </is>
      </c>
      <c r="W209" s="6" t="inlineStr">
        <is>
          <t>https://www.davidweekleyhomes.com/about-us/meet-the-team</t>
        </is>
      </c>
      <c r="X209" s="6" t="inlineStr">
        <is>
          <t>https://www.linkedin.com/company/david-weekley-homes</t>
        </is>
      </c>
      <c r="Y209" s="6" t="inlineStr">
        <is>
          <t>https://www.davidweekleyhomes.com/about-us/meet-the-team</t>
        </is>
      </c>
      <c r="Z209" s="6" t="inlineStr"/>
      <c r="AA209" s="6" t="inlineStr">
        <is>
          <t>(844) 777-3717</t>
        </is>
      </c>
      <c r="AB209" s="6" t="inlineStr"/>
      <c r="AC209" s="6" t="inlineStr">
        <is>
          <t>https://www.davidweekleyhomes.com/</t>
        </is>
      </c>
    </row>
    <row r="210">
      <c r="A210" s="12" t="inlineStr">
        <is>
          <t>John Schiegg</t>
        </is>
      </c>
      <c r="B210" s="12" t="inlineStr">
        <is>
          <t>David Weekley Homes</t>
        </is>
      </c>
      <c r="C210" s="12" t="inlineStr">
        <is>
          <t>Vice President of Purchasing and Supply Chain, David Weekley Homes</t>
        </is>
      </c>
      <c r="D210" s="13" t="inlineStr">
        <is>
          <t>National scale, pilot not purchase</t>
        </is>
      </c>
      <c r="E210" s="14" t="n">
        <v>2</v>
      </c>
      <c r="F210" s="12" t="inlineStr">
        <is>
          <t>Buys walls</t>
        </is>
      </c>
      <c r="G210" s="12" t="inlineStr">
        <is>
          <t>Houston HQ, Harris County</t>
        </is>
      </c>
      <c r="H210" s="12" t="inlineStr">
        <is>
          <t>125,000+ homes, 19 markets, Houston HQ</t>
        </is>
      </c>
      <c r="I210" s="14" t="inlineStr">
        <is>
          <t>Yes</t>
        </is>
      </c>
      <c r="J210" s="15" t="inlineStr">
        <is>
          <t>Houston is the firm's home market and it builds across the metro.</t>
        </is>
      </c>
      <c r="K210" s="14" t="inlineStr">
        <is>
          <t>No</t>
        </is>
      </c>
      <c r="L210" s="15" t="inlineStr">
        <is>
          <t>A national builder with a national supply chain.</t>
        </is>
      </c>
      <c r="M210" s="14" t="inlineStr">
        <is>
          <t>Partly</t>
        </is>
      </c>
      <c r="N210" s="15" t="inlineStr">
        <is>
          <t>Its 2026 preferred-partner list names cladding, roofing, weather barrier, structural connectors and engineered framing. That is the envelope, and it is a supply-chain commitment rather than a method.</t>
        </is>
      </c>
      <c r="O210" s="14" t="inlineStr">
        <is>
          <t>Partly</t>
        </is>
      </c>
      <c r="P210" s="6" t="inlineStr">
        <is>
          <t>https://www.linkedin.com/in/john-schiegg-7593996/</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is>
          <t>YES</t>
        </is>
      </c>
      <c r="V210" s="15" t="inlineStr">
        <is>
          <t>Profile opened. Company line reads David Weekley Homes, Houston, Texas. He owns purchasing and supply chain for the largest privately held builder in the country.</t>
        </is>
      </c>
      <c r="W210" s="12" t="inlineStr">
        <is>
          <t>https://www.prnewswire.com/news-releases/david-weekley-homes-announces-2026-national-preferred-partners-302809074.html</t>
        </is>
      </c>
      <c r="X210" s="12" t="inlineStr">
        <is>
          <t>https://www.linkedin.com/company/david-weekley-homes</t>
        </is>
      </c>
      <c r="Y210" s="12" t="inlineStr">
        <is>
          <t>https://www.davidweekleyhomes.com/about-us/meet-the-team</t>
        </is>
      </c>
      <c r="Z210" s="12" t="inlineStr"/>
      <c r="AA210" s="12" t="inlineStr">
        <is>
          <t>(844) 777-3717</t>
        </is>
      </c>
      <c r="AB210" s="12" t="inlineStr"/>
      <c r="AC210" s="12" t="inlineStr">
        <is>
          <t>https://www.davidweekleyhomes.com/</t>
        </is>
      </c>
    </row>
    <row r="211">
      <c r="A211" s="6" t="inlineStr">
        <is>
          <t>Ladd Fargo</t>
        </is>
      </c>
      <c r="B211" s="6" t="inlineStr">
        <is>
          <t>David Weekley Homes</t>
        </is>
      </c>
      <c r="C211" s="6" t="inlineStr">
        <is>
          <t>Chief Operating Officer, David Weekley Homes</t>
        </is>
      </c>
      <c r="D211" s="7" t="inlineStr">
        <is>
          <t>National scale, pilot not purchase</t>
        </is>
      </c>
      <c r="E211" s="8" t="n">
        <v>2</v>
      </c>
      <c r="F211" s="6" t="inlineStr">
        <is>
          <t>Buys walls</t>
        </is>
      </c>
      <c r="G211" s="6" t="inlineStr">
        <is>
          <t>Houston HQ, Harris County</t>
        </is>
      </c>
      <c r="H211" s="6" t="inlineStr">
        <is>
          <t>125,000+ homes, 19 markets, Houston HQ</t>
        </is>
      </c>
      <c r="I211" s="8" t="inlineStr">
        <is>
          <t>Yes</t>
        </is>
      </c>
      <c r="J211" s="9" t="inlineStr">
        <is>
          <t>Houston is the firm's home market and it builds across the metro.</t>
        </is>
      </c>
      <c r="K211" s="8" t="inlineStr">
        <is>
          <t>No</t>
        </is>
      </c>
      <c r="L211" s="9" t="inlineStr">
        <is>
          <t>A national builder with a national supply chain.</t>
        </is>
      </c>
      <c r="M211" s="8" t="inlineStr">
        <is>
          <t>Partly</t>
        </is>
      </c>
      <c r="N211" s="9" t="inlineStr">
        <is>
          <t>Its 2026 preferred-partner list names cladding, roofing, weather barrier, structural connectors and engineered framing. That is the envelope, and it is a supply-chain commitment rather than a method.</t>
        </is>
      </c>
      <c r="O211" s="8" t="inlineStr">
        <is>
          <t>Partly</t>
        </is>
      </c>
      <c r="P211" s="6" t="inlineStr">
        <is>
          <t>https://www.linkedin.com/in/ladd-fargo-241a47259/</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c r="W211" s="6" t="inlineStr"/>
      <c r="X211" s="6" t="inlineStr">
        <is>
          <t>https://www.linkedin.com/company/david-weekley-homes</t>
        </is>
      </c>
      <c r="Y211" s="6" t="inlineStr">
        <is>
          <t>https://www.davidweekleyhomes.com/about-us/meet-the-team</t>
        </is>
      </c>
      <c r="Z211" s="6" t="inlineStr"/>
      <c r="AA211" s="6" t="inlineStr">
        <is>
          <t>(844) 777-3717</t>
        </is>
      </c>
      <c r="AB211" s="6" t="inlineStr"/>
      <c r="AC211" s="6" t="inlineStr">
        <is>
          <t>https://www.davidweekleyhomes.com/</t>
        </is>
      </c>
    </row>
    <row r="212">
      <c r="A212" s="12" t="inlineStr">
        <is>
          <t>Eric Lipar</t>
        </is>
      </c>
      <c r="B212" s="12" t="inlineStr">
        <is>
          <t>LGI Homes, Inc.</t>
        </is>
      </c>
      <c r="C212" s="12" t="inlineStr">
        <is>
          <t>Chief Executive Officer and Chairman of the Board</t>
        </is>
      </c>
      <c r="D212" s="13" t="inlineStr">
        <is>
          <t>National scale, pilot not purchase</t>
        </is>
      </c>
      <c r="E212" s="14" t="n">
        <v>1</v>
      </c>
      <c r="F212" s="12" t="inlineStr">
        <is>
          <t>Buys walls</t>
        </is>
      </c>
      <c r="G212" s="12" t="inlineStr">
        <is>
          <t>The Woodlands HQ, Montgomery County</t>
        </is>
      </c>
      <c r="H212" s="12" t="inlineStr">
        <is>
          <t>153 active selling communities, 36 markets, 21 states</t>
        </is>
      </c>
      <c r="I212" s="14" t="inlineStr">
        <is>
          <t>Yes</t>
        </is>
      </c>
      <c r="J212" s="15" t="inlineStr">
        <is>
          <t>153 active selling communities on one systematic plan set.</t>
        </is>
      </c>
      <c r="K212" s="14" t="inlineStr">
        <is>
          <t>No</t>
        </is>
      </c>
      <c r="L212" s="15" t="inlineStr">
        <is>
          <t>Thousands of closings a year across 36 markets in 21 states.</t>
        </is>
      </c>
      <c r="M212" s="14" t="inlineStr">
        <is>
          <t>No</t>
        </is>
      </c>
      <c r="N212" s="15" t="inlineStr">
        <is>
          <t>Nothing on record.</t>
        </is>
      </c>
      <c r="O212" s="14" t="inlineStr">
        <is>
          <t>Yes</t>
        </is>
      </c>
      <c r="P212" s="10" t="inlineStr"/>
      <c r="Q212" s="12">
        <f>HYPERLINK("https://www.linkedin.com/search/results/people/?keywords=Eric%20Lipar%20LGI%20Homes%2C%20Inc.","search")</f>
        <v/>
      </c>
      <c r="R212" s="16">
        <f>IF(P212="","ADD LINKEDIN","ok")</f>
        <v/>
      </c>
      <c r="S212" s="12" t="inlineStr">
        <is>
          <t>https://www.lgihomes.com/</t>
        </is>
      </c>
      <c r="T212" s="15" t="inlineStr">
        <is>
          <t>The most standardised product here, headquartered in the metro. Its Q2 2026 call mentions method, labour and cycle time zero times.</t>
        </is>
      </c>
      <c r="U212" s="12" t="inlineStr"/>
      <c r="V212" s="15" t="inlineStr"/>
      <c r="W212" s="12" t="inlineStr">
        <is>
          <t>https://investor.lgihomes.com/corporate-governance/management</t>
        </is>
      </c>
      <c r="X212" s="12" t="inlineStr">
        <is>
          <t>https://www.linkedin.com/company/lgi-homes</t>
        </is>
      </c>
      <c r="Y212" s="12" t="inlineStr">
        <is>
          <t>https://investor.lgihomes.com/corporate-governance/management</t>
        </is>
      </c>
      <c r="Z212" s="12" t="inlineStr"/>
      <c r="AA212" s="12" t="inlineStr"/>
      <c r="AB212" s="12" t="inlineStr"/>
      <c r="AC212" s="12" t="inlineStr"/>
    </row>
    <row r="213">
      <c r="A213" s="6" t="inlineStr">
        <is>
          <t>Mike Snider</t>
        </is>
      </c>
      <c r="B213" s="6" t="inlineStr">
        <is>
          <t>LGI Homes, Inc.</t>
        </is>
      </c>
      <c r="C213" s="6" t="inlineStr">
        <is>
          <t>President and Chief Operating Officer</t>
        </is>
      </c>
      <c r="D213" s="7" t="inlineStr">
        <is>
          <t>National scale, pilot not purchase</t>
        </is>
      </c>
      <c r="E213" s="8" t="n">
        <v>1</v>
      </c>
      <c r="F213" s="6" t="inlineStr">
        <is>
          <t>Buys walls</t>
        </is>
      </c>
      <c r="G213" s="6" t="inlineStr">
        <is>
          <t>The Woodlands HQ, Montgomery County</t>
        </is>
      </c>
      <c r="H213" s="6" t="inlineStr">
        <is>
          <t>153 active selling communities, 36 markets, 21 states</t>
        </is>
      </c>
      <c r="I213" s="8" t="inlineStr">
        <is>
          <t>Yes</t>
        </is>
      </c>
      <c r="J213" s="9" t="inlineStr">
        <is>
          <t>153 active selling communities on one systematic plan set.</t>
        </is>
      </c>
      <c r="K213" s="8" t="inlineStr">
        <is>
          <t>No</t>
        </is>
      </c>
      <c r="L213" s="9" t="inlineStr">
        <is>
          <t>Thousands of closings a year across 36 markets in 21 states.</t>
        </is>
      </c>
      <c r="M213" s="8" t="inlineStr">
        <is>
          <t>No</t>
        </is>
      </c>
      <c r="N213" s="9" t="inlineStr">
        <is>
          <t>Nothing on record.</t>
        </is>
      </c>
      <c r="O213" s="8" t="inlineStr">
        <is>
          <t>Yes</t>
        </is>
      </c>
      <c r="P213" s="10" t="inlineStr"/>
      <c r="Q213" s="6">
        <f>HYPERLINK("https://www.linkedin.com/search/results/people/?keywords=Mike%20Snider%20LGI%20Homes%2C%20Inc.","search")</f>
        <v/>
      </c>
      <c r="R213" s="11">
        <f>IF(P213="","ADD LINKEDIN","ok")</f>
        <v/>
      </c>
      <c r="S213" s="6" t="inlineStr">
        <is>
          <t>https://www.lgihomes.com/</t>
        </is>
      </c>
      <c r="T213" s="9" t="inlineStr">
        <is>
          <t>The most standardised product here, headquartered in the metro. Its Q2 2026 call mentions method, labour and cycle time zero times.</t>
        </is>
      </c>
      <c r="U213" s="6" t="inlineStr"/>
      <c r="V213" s="9" t="inlineStr"/>
      <c r="W213" s="6" t="inlineStr">
        <is>
          <t>https://investor.lgihomes.com/corporate-governance/management</t>
        </is>
      </c>
      <c r="X213" s="6" t="inlineStr">
        <is>
          <t>https://www.linkedin.com/company/lgi-homes</t>
        </is>
      </c>
      <c r="Y213" s="6" t="inlineStr">
        <is>
          <t>https://investor.lgihomes.com/corporate-governance/management</t>
        </is>
      </c>
      <c r="Z213" s="6" t="inlineStr"/>
      <c r="AA213" s="6" t="inlineStr"/>
      <c r="AB213" s="6" t="inlineStr"/>
      <c r="AC213" s="6" t="inlineStr"/>
    </row>
    <row r="214">
      <c r="A214" s="12" t="inlineStr">
        <is>
          <t>Charles Merdian</t>
        </is>
      </c>
      <c r="B214" s="12" t="inlineStr">
        <is>
          <t>LGI Homes, Inc.</t>
        </is>
      </c>
      <c r="C214" s="12" t="inlineStr">
        <is>
          <t>Chief Financial Officer and Treasurer</t>
        </is>
      </c>
      <c r="D214" s="13" t="inlineStr">
        <is>
          <t>National scale, pilot not purchase</t>
        </is>
      </c>
      <c r="E214" s="14" t="n">
        <v>1</v>
      </c>
      <c r="F214" s="12" t="inlineStr">
        <is>
          <t>Buys walls</t>
        </is>
      </c>
      <c r="G214" s="12" t="inlineStr">
        <is>
          <t>The Woodlands HQ, Montgomery County</t>
        </is>
      </c>
      <c r="H214" s="12" t="inlineStr">
        <is>
          <t>153 active selling communities, 36 markets, 21 states</t>
        </is>
      </c>
      <c r="I214" s="14" t="inlineStr">
        <is>
          <t>Yes</t>
        </is>
      </c>
      <c r="J214" s="15" t="inlineStr">
        <is>
          <t>153 active selling communities on one systematic plan set.</t>
        </is>
      </c>
      <c r="K214" s="14" t="inlineStr">
        <is>
          <t>No</t>
        </is>
      </c>
      <c r="L214" s="15" t="inlineStr">
        <is>
          <t>Thousands of closings a year across 36 markets in 21 states.</t>
        </is>
      </c>
      <c r="M214" s="14" t="inlineStr">
        <is>
          <t>No</t>
        </is>
      </c>
      <c r="N214" s="15" t="inlineStr">
        <is>
          <t>Nothing on record.</t>
        </is>
      </c>
      <c r="O214" s="14" t="inlineStr">
        <is>
          <t>Yes</t>
        </is>
      </c>
      <c r="P214" s="10" t="inlineStr"/>
      <c r="Q214" s="12">
        <f>HYPERLINK("https://www.linkedin.com/search/results/people/?keywords=Charles%20Merdian%20LGI%20Homes%2C%20Inc.","search")</f>
        <v/>
      </c>
      <c r="R214" s="16">
        <f>IF(P214="","ADD LINKEDIN","ok")</f>
        <v/>
      </c>
      <c r="S214" s="12" t="inlineStr">
        <is>
          <t>https://www.lgihomes.com/</t>
        </is>
      </c>
      <c r="T214" s="15" t="inlineStr">
        <is>
          <t>The most standardised product here, headquartered in the metro. Its Q2 2026 call mentions method, labour and cycle time zero times.</t>
        </is>
      </c>
      <c r="U214" s="12" t="inlineStr"/>
      <c r="V214" s="15" t="inlineStr"/>
      <c r="W214" s="12" t="inlineStr">
        <is>
          <t>https://investor.lgihomes.com/corporate-governance/management</t>
        </is>
      </c>
      <c r="X214" s="12" t="inlineStr">
        <is>
          <t>https://www.linkedin.com/company/lgi-homes</t>
        </is>
      </c>
      <c r="Y214" s="12" t="inlineStr">
        <is>
          <t>https://investor.lgihomes.com/corporate-governance/management</t>
        </is>
      </c>
      <c r="Z214" s="12" t="inlineStr"/>
      <c r="AA214" s="12" t="inlineStr"/>
      <c r="AB214" s="12" t="inlineStr"/>
      <c r="AC214" s="12" t="inlineStr"/>
    </row>
    <row r="215">
      <c r="A215" s="6" t="inlineStr">
        <is>
          <t>Chuck Collier</t>
        </is>
      </c>
      <c r="B215" s="6" t="inlineStr">
        <is>
          <t>LGI Homes, Inc.</t>
        </is>
      </c>
      <c r="C215" s="6" t="inlineStr">
        <is>
          <t>Vice President of Construction, Houston, LGI Homes</t>
        </is>
      </c>
      <c r="D215" s="7" t="inlineStr">
        <is>
          <t>National scale, pilot not purchase</t>
        </is>
      </c>
      <c r="E215" s="8" t="n">
        <v>1</v>
      </c>
      <c r="F215" s="6" t="inlineStr">
        <is>
          <t>Buys walls</t>
        </is>
      </c>
      <c r="G215" s="6" t="inlineStr">
        <is>
          <t>The Woodlands HQ, Montgomery County</t>
        </is>
      </c>
      <c r="H215" s="6" t="inlineStr">
        <is>
          <t>153 active selling communities, 36 markets, 21 states</t>
        </is>
      </c>
      <c r="I215" s="8" t="inlineStr">
        <is>
          <t>Yes</t>
        </is>
      </c>
      <c r="J215" s="9" t="inlineStr">
        <is>
          <t>153 active selling communities on one systematic plan set.</t>
        </is>
      </c>
      <c r="K215" s="8" t="inlineStr">
        <is>
          <t>No</t>
        </is>
      </c>
      <c r="L215" s="9" t="inlineStr">
        <is>
          <t>Thousands of closings a year across 36 markets in 21 states.</t>
        </is>
      </c>
      <c r="M215" s="8" t="inlineStr">
        <is>
          <t>No</t>
        </is>
      </c>
      <c r="N215" s="9" t="inlineStr">
        <is>
          <t>Nothing on record.</t>
        </is>
      </c>
      <c r="O215" s="8" t="inlineStr">
        <is>
          <t>Yes</t>
        </is>
      </c>
      <c r="P215" s="6" t="inlineStr">
        <is>
          <t>https://www.linkedin.com/in/chuck-collier-48286829/</t>
        </is>
      </c>
      <c r="Q215" s="6" t="inlineStr"/>
      <c r="R215" s="11">
        <f>IF(P215="","ADD LINKEDIN","ok")</f>
        <v/>
      </c>
      <c r="S215" s="6" t="inlineStr">
        <is>
          <t>https://www.lgihomes.com/</t>
        </is>
      </c>
      <c r="T215" s="9" t="inlineStr">
        <is>
          <t>The most standardised product here, headquartered in the metro. Its Q2 2026 call mentions method, labour and cycle time zero times.</t>
        </is>
      </c>
      <c r="U215" s="6" t="inlineStr">
        <is>
          <t>YES</t>
        </is>
      </c>
      <c r="V215" s="9" t="inlineStr">
        <is>
          <t>VP of Construction, Houston, LGI Homes, stated in his own headline. Location shows only United States.</t>
        </is>
      </c>
      <c r="W215" s="6" t="inlineStr"/>
      <c r="X215" s="6" t="inlineStr">
        <is>
          <t>https://www.linkedin.com/company/lgi-homes</t>
        </is>
      </c>
      <c r="Y215" s="6" t="inlineStr">
        <is>
          <t>https://investor.lgihomes.com/corporate-governance/management</t>
        </is>
      </c>
      <c r="Z215" s="6" t="inlineStr"/>
      <c r="AA215" s="6" t="inlineStr"/>
      <c r="AB215" s="6" t="inlineStr"/>
      <c r="AC215" s="6" t="inlineStr"/>
    </row>
    <row r="216">
      <c r="A216" s="12" t="inlineStr">
        <is>
          <t>Kyle Hanna</t>
        </is>
      </c>
      <c r="B216" s="12" t="inlineStr">
        <is>
          <t>LGI Homes, Inc.</t>
        </is>
      </c>
      <c r="C216" s="12" t="inlineStr">
        <is>
          <t>Vice President of Purchasing, LGI Homes</t>
        </is>
      </c>
      <c r="D216" s="13" t="inlineStr">
        <is>
          <t>National scale, pilot not purchase</t>
        </is>
      </c>
      <c r="E216" s="14" t="n">
        <v>1</v>
      </c>
      <c r="F216" s="12" t="inlineStr">
        <is>
          <t>Buys walls</t>
        </is>
      </c>
      <c r="G216" s="12" t="inlineStr">
        <is>
          <t>The Woodlands HQ, Montgomery County</t>
        </is>
      </c>
      <c r="H216" s="12" t="inlineStr">
        <is>
          <t>153 active selling communities, 36 markets, 21 states</t>
        </is>
      </c>
      <c r="I216" s="14" t="inlineStr">
        <is>
          <t>Yes</t>
        </is>
      </c>
      <c r="J216" s="15" t="inlineStr">
        <is>
          <t>153 active selling communities on one systematic plan set.</t>
        </is>
      </c>
      <c r="K216" s="14" t="inlineStr">
        <is>
          <t>No</t>
        </is>
      </c>
      <c r="L216" s="15" t="inlineStr">
        <is>
          <t>Thousands of closings a year across 36 markets in 21 states.</t>
        </is>
      </c>
      <c r="M216" s="14" t="inlineStr">
        <is>
          <t>No</t>
        </is>
      </c>
      <c r="N216" s="15" t="inlineStr">
        <is>
          <t>Nothing on record.</t>
        </is>
      </c>
      <c r="O216" s="14" t="inlineStr">
        <is>
          <t>Yes</t>
        </is>
      </c>
      <c r="P216" s="6" t="inlineStr">
        <is>
          <t>https://www.linkedin.com/in/kylemhanna/</t>
        </is>
      </c>
      <c r="Q216" s="12" t="inlineStr"/>
      <c r="R216" s="16">
        <f>IF(P216="","ADD LINKEDIN","ok")</f>
        <v/>
      </c>
      <c r="S216" s="12" t="inlineStr">
        <is>
          <t>https://www.lgihomes.com/</t>
        </is>
      </c>
      <c r="T216" s="15" t="inlineStr">
        <is>
          <t>The most standardised product here, headquartered in the metro. Its Q2 2026 call mentions method, labour and cycle time zero times.</t>
        </is>
      </c>
      <c r="U216" s="12" t="inlineStr">
        <is>
          <t>YES</t>
        </is>
      </c>
      <c r="V216" s="15" t="inlineStr">
        <is>
          <t>Vice President of Purchasing at LGI Homes. Conroe, Texas, which is the head office. The construction vice presidents sit in the markets, Austin, San Antonio, Nashville, Denver, Seattle; purchasing is the one that sits in Greater Houston.</t>
        </is>
      </c>
      <c r="W216" s="12" t="inlineStr"/>
      <c r="X216" s="12" t="inlineStr">
        <is>
          <t>https://www.linkedin.com/company/lgi-homes</t>
        </is>
      </c>
      <c r="Y216" s="12" t="inlineStr">
        <is>
          <t>https://investor.lgihomes.com/corporate-governance/management</t>
        </is>
      </c>
      <c r="Z216" s="12" t="inlineStr"/>
      <c r="AA216" s="12" t="inlineStr"/>
      <c r="AB216" s="12" t="inlineStr"/>
      <c r="AC216" s="12" t="inlineStr"/>
    </row>
    <row r="217">
      <c r="A217" s="6" t="inlineStr">
        <is>
          <t>Bob Schottenstein</t>
        </is>
      </c>
      <c r="B217" s="6" t="inlineStr">
        <is>
          <t>M/I Homes, Inc.</t>
        </is>
      </c>
      <c r="C217" s="6" t="inlineStr">
        <is>
          <t>Chief Executive Officer</t>
        </is>
      </c>
      <c r="D217" s="7" t="inlineStr">
        <is>
          <t>National scale, pilot not purchase</t>
        </is>
      </c>
      <c r="E217" s="8" t="n">
        <v>1</v>
      </c>
      <c r="F217" s="6" t="inlineStr">
        <is>
          <t>Buys walls</t>
        </is>
      </c>
      <c r="G217" s="6" t="inlineStr">
        <is>
          <t>Columbus HQ / Liberty, Harris</t>
        </is>
      </c>
      <c r="H217" s="6" t="inlineStr">
        <is>
          <t>3 Houston land deals in 6 months</t>
        </is>
      </c>
      <c r="I217" s="8" t="inlineStr">
        <is>
          <t>Yes</t>
        </is>
      </c>
      <c r="J217" s="9" t="inlineStr">
        <is>
          <t>1,000 homes at Trinity Landing, three Houston land deals in six months.</t>
        </is>
      </c>
      <c r="K217" s="8" t="inlineStr">
        <is>
          <t>No</t>
        </is>
      </c>
      <c r="L217" s="9" t="inlineStr">
        <is>
          <t>A national builder, bought centrally, however good the Houston division is.</t>
        </is>
      </c>
      <c r="M217" s="8" t="inlineStr">
        <is>
          <t>No</t>
        </is>
      </c>
      <c r="N217" s="9" t="inlineStr">
        <is>
          <t>The CEO cites shorter cycle time but not what enabled it.</t>
        </is>
      </c>
      <c r="O217" s="8" t="inlineStr">
        <is>
          <t>Yes</t>
        </is>
      </c>
      <c r="P217" s="10" t="inlineStr"/>
      <c r="Q217" s="6">
        <f>HYPERLINK("https://www.linkedin.com/search/results/people/?keywords=Bob%20Schottenstein%20M/I%20Homes%2C%20Inc.","search")</f>
        <v/>
      </c>
      <c r="R217" s="11">
        <f>IF(P217="","ADD LINKEDIN","ok")</f>
        <v/>
      </c>
      <c r="S217" s="6" t="inlineStr">
        <is>
          <t>https://www.mihomes.com/</t>
        </is>
      </c>
      <c r="T217" s="9" t="inlineStr">
        <is>
          <t>1,000 homes at Trinity Landing and three Houston land deals in six months under a named division president.</t>
        </is>
      </c>
      <c r="U217" s="6" t="inlineStr"/>
      <c r="V217" s="9" t="inlineStr">
        <is>
          <t>Chairman, and Chief Executive Officer since January 2004, on M/I's own officers page.</t>
        </is>
      </c>
      <c r="W217" s="6" t="inlineStr">
        <is>
          <t>https://investors.mihomes.com/investor-relations/officers-directors/default.aspx</t>
        </is>
      </c>
      <c r="X217" s="6" t="inlineStr">
        <is>
          <t>https://www.linkedin.com/company/mihomes/</t>
        </is>
      </c>
      <c r="Y217" s="6" t="inlineStr">
        <is>
          <t>https://investors.mihomes.com/investor-relations/officers-directors/default.aspx</t>
        </is>
      </c>
      <c r="Z217" s="6" t="inlineStr"/>
      <c r="AA217" s="6" t="inlineStr"/>
      <c r="AB217" s="6" t="inlineStr"/>
      <c r="AC217" s="6" t="inlineStr"/>
    </row>
    <row r="218">
      <c r="A218" s="12" t="inlineStr">
        <is>
          <t>Jay McManus</t>
        </is>
      </c>
      <c r="B218" s="12" t="inlineStr">
        <is>
          <t>M/I Homes, Inc.</t>
        </is>
      </c>
      <c r="C218" s="12" t="inlineStr">
        <is>
          <t>Houston Division President</t>
        </is>
      </c>
      <c r="D218" s="13" t="inlineStr">
        <is>
          <t>National scale, pilot not purchase</t>
        </is>
      </c>
      <c r="E218" s="14" t="n">
        <v>1</v>
      </c>
      <c r="F218" s="12" t="inlineStr">
        <is>
          <t>Buys walls</t>
        </is>
      </c>
      <c r="G218" s="12" t="inlineStr">
        <is>
          <t>Columbus HQ / Liberty, Harris</t>
        </is>
      </c>
      <c r="H218" s="12" t="inlineStr">
        <is>
          <t>3 Houston land deals in 6 months</t>
        </is>
      </c>
      <c r="I218" s="14" t="inlineStr">
        <is>
          <t>Yes</t>
        </is>
      </c>
      <c r="J218" s="15" t="inlineStr">
        <is>
          <t>1,000 homes at Trinity Landing, three Houston land deals in six months.</t>
        </is>
      </c>
      <c r="K218" s="14" t="inlineStr">
        <is>
          <t>No</t>
        </is>
      </c>
      <c r="L218" s="15" t="inlineStr">
        <is>
          <t>A national builder, bought centrally, however good the Houston division is.</t>
        </is>
      </c>
      <c r="M218" s="14" t="inlineStr">
        <is>
          <t>No</t>
        </is>
      </c>
      <c r="N218" s="15" t="inlineStr">
        <is>
          <t>The CEO cites shorter cycle time but not what enabled it.</t>
        </is>
      </c>
      <c r="O218" s="14" t="inlineStr">
        <is>
          <t>Yes</t>
        </is>
      </c>
      <c r="P218" s="10" t="inlineStr"/>
      <c r="Q218" s="12">
        <f>HYPERLINK("https://www.linkedin.com/search/results/people/?keywords=Jay%20McManus%20M/I%20Homes%2C%20Inc.","search")</f>
        <v/>
      </c>
      <c r="R218" s="16">
        <f>IF(P218="","ADD LINKEDIN","ok")</f>
        <v/>
      </c>
      <c r="S218" s="12" t="inlineStr">
        <is>
          <t>https://www.mihomes.com/</t>
        </is>
      </c>
      <c r="T218" s="15" t="inlineStr">
        <is>
          <t>1,000 homes at Trinity Landing and three Houston land deals in six months under a named division president.</t>
        </is>
      </c>
      <c r="U218" s="12" t="inlineStr"/>
      <c r="V218" s="15" t="inlineStr">
        <is>
          <t>Named Houston division president for M/I Homes in trade coverage of the division's expansion. M/I's own site names corporate officers only.</t>
        </is>
      </c>
      <c r="W218" s="12" t="inlineStr">
        <is>
          <t>https://houstonagentmagazine.com/2021/08/23/m-i-homes-to-double-presence-in-houston-area/</t>
        </is>
      </c>
      <c r="X218" s="12" t="inlineStr">
        <is>
          <t>https://www.linkedin.com/company/mihomes/</t>
        </is>
      </c>
      <c r="Y218" s="12" t="inlineStr">
        <is>
          <t>https://investors.mihomes.com/investor-relations/officers-directors/default.aspx</t>
        </is>
      </c>
      <c r="Z218" s="12" t="inlineStr"/>
      <c r="AA218" s="12" t="inlineStr"/>
      <c r="AB218" s="12" t="inlineStr"/>
      <c r="AC218" s="12" t="inlineStr"/>
    </row>
    <row r="219">
      <c r="A219" s="6" t="inlineStr">
        <is>
          <t>Patrick Mayhan</t>
        </is>
      </c>
      <c r="B219" s="6" t="inlineStr">
        <is>
          <t>M/I Homes, Inc.</t>
        </is>
      </c>
      <c r="C219" s="6" t="inlineStr">
        <is>
          <t>Vice President of Purchasing, M/I Homes</t>
        </is>
      </c>
      <c r="D219" s="7" t="inlineStr">
        <is>
          <t>National scale, pilot not purchase</t>
        </is>
      </c>
      <c r="E219" s="8" t="n">
        <v>1</v>
      </c>
      <c r="F219" s="6" t="inlineStr">
        <is>
          <t>Buys walls</t>
        </is>
      </c>
      <c r="G219" s="6" t="inlineStr">
        <is>
          <t>Columbus HQ / Liberty, Harris</t>
        </is>
      </c>
      <c r="H219" s="6" t="inlineStr">
        <is>
          <t>3 Houston land deals in 6 months</t>
        </is>
      </c>
      <c r="I219" s="8" t="inlineStr">
        <is>
          <t>Yes</t>
        </is>
      </c>
      <c r="J219" s="9" t="inlineStr">
        <is>
          <t>1,000 homes at Trinity Landing, three Houston land deals in six months.</t>
        </is>
      </c>
      <c r="K219" s="8" t="inlineStr">
        <is>
          <t>No</t>
        </is>
      </c>
      <c r="L219" s="9" t="inlineStr">
        <is>
          <t>A national builder, bought centrally, however good the Houston division is.</t>
        </is>
      </c>
      <c r="M219" s="8" t="inlineStr">
        <is>
          <t>No</t>
        </is>
      </c>
      <c r="N219" s="9" t="inlineStr">
        <is>
          <t>The CEO cites shorter cycle time but not what enabled it.</t>
        </is>
      </c>
      <c r="O219" s="8" t="inlineStr">
        <is>
          <t>Yes</t>
        </is>
      </c>
      <c r="P219" s="6" t="inlineStr">
        <is>
          <t>https://www.linkedin.com/in/patrick-mayhan-5591478/</t>
        </is>
      </c>
      <c r="Q219" s="6" t="inlineStr"/>
      <c r="R219" s="11">
        <f>IF(P219="","ADD LINKEDIN","ok")</f>
        <v/>
      </c>
      <c r="S219" s="6" t="inlineStr">
        <is>
          <t>https://www.mihomes.com/</t>
        </is>
      </c>
      <c r="T219" s="9" t="inlineStr">
        <is>
          <t>1,000 homes at Trinity Landing and three Houston land deals in six months under a named division president.</t>
        </is>
      </c>
      <c r="U219" s="6" t="inlineStr">
        <is>
          <t>YES</t>
        </is>
      </c>
      <c r="V219" s="9" t="inlineStr">
        <is>
          <t>Vice President of Purchasing at M/I Homes, Inc. Houston, Texas. M/I lists two purchasing vice presidents in Houston; his title carries the corporate entity and Randy Barras's carries the Houston division.</t>
        </is>
      </c>
      <c r="W219" s="6" t="inlineStr"/>
      <c r="X219" s="6" t="inlineStr">
        <is>
          <t>https://www.linkedin.com/company/mihomes/</t>
        </is>
      </c>
      <c r="Y219" s="6" t="inlineStr">
        <is>
          <t>https://investors.mihomes.com/investor-relations/officers-directors/default.aspx</t>
        </is>
      </c>
      <c r="Z219" s="6" t="inlineStr"/>
      <c r="AA219" s="6" t="inlineStr"/>
      <c r="AB219" s="6" t="inlineStr"/>
      <c r="AC219" s="6" t="inlineStr"/>
    </row>
    <row r="220">
      <c r="A220" s="12" t="inlineStr">
        <is>
          <t>Randy Barras</t>
        </is>
      </c>
      <c r="B220" s="12" t="inlineStr">
        <is>
          <t>M/I Homes, Inc.</t>
        </is>
      </c>
      <c r="C220" s="12" t="inlineStr">
        <is>
          <t>Vice President of Purchasing, M/I Homes Houston</t>
        </is>
      </c>
      <c r="D220" s="13" t="inlineStr">
        <is>
          <t>National scale, pilot not purchase</t>
        </is>
      </c>
      <c r="E220" s="14" t="n">
        <v>1</v>
      </c>
      <c r="F220" s="12" t="inlineStr">
        <is>
          <t>Buys walls</t>
        </is>
      </c>
      <c r="G220" s="12" t="inlineStr">
        <is>
          <t>Columbus HQ / Liberty, Harris</t>
        </is>
      </c>
      <c r="H220" s="12" t="inlineStr">
        <is>
          <t>3 Houston land deals in 6 months</t>
        </is>
      </c>
      <c r="I220" s="14" t="inlineStr">
        <is>
          <t>Yes</t>
        </is>
      </c>
      <c r="J220" s="15" t="inlineStr">
        <is>
          <t>1,000 homes at Trinity Landing, three Houston land deals in six months.</t>
        </is>
      </c>
      <c r="K220" s="14" t="inlineStr">
        <is>
          <t>No</t>
        </is>
      </c>
      <c r="L220" s="15" t="inlineStr">
        <is>
          <t>A national builder, bought centrally, however good the Houston division is.</t>
        </is>
      </c>
      <c r="M220" s="14" t="inlineStr">
        <is>
          <t>No</t>
        </is>
      </c>
      <c r="N220" s="15" t="inlineStr">
        <is>
          <t>The CEO cites shorter cycle time but not what enabled it.</t>
        </is>
      </c>
      <c r="O220" s="14" t="inlineStr">
        <is>
          <t>Yes</t>
        </is>
      </c>
      <c r="P220" s="6" t="inlineStr">
        <is>
          <t>https://www.linkedin.com/in/rbarras/</t>
        </is>
      </c>
      <c r="Q220" s="12" t="inlineStr"/>
      <c r="R220" s="16">
        <f>IF(P220="","ADD LINKEDIN","ok")</f>
        <v/>
      </c>
      <c r="S220" s="12" t="inlineStr">
        <is>
          <t>https://www.mihomes.com/</t>
        </is>
      </c>
      <c r="T220" s="15" t="inlineStr">
        <is>
          <t>1,000 homes at Trinity Landing and three Houston land deals in six months under a named division president.</t>
        </is>
      </c>
      <c r="U220" s="12" t="inlineStr">
        <is>
          <t>YES</t>
        </is>
      </c>
      <c r="V220" s="15" t="inlineStr"/>
      <c r="W220" s="12" t="inlineStr"/>
      <c r="X220" s="12" t="inlineStr">
        <is>
          <t>https://www.linkedin.com/company/mihomes/</t>
        </is>
      </c>
      <c r="Y220" s="12" t="inlineStr">
        <is>
          <t>https://investors.mihomes.com/investor-relations/officers-directors/default.aspx</t>
        </is>
      </c>
      <c r="Z220" s="12" t="inlineStr"/>
      <c r="AA220" s="12" t="inlineStr"/>
      <c r="AB220" s="12" t="inlineStr"/>
      <c r="AC220" s="12" t="inlineStr"/>
    </row>
    <row r="221">
      <c r="A221" s="6" t="inlineStr">
        <is>
          <t>Darin Rowe</t>
        </is>
      </c>
      <c r="B221" s="6" t="inlineStr">
        <is>
          <t>Taylor Morrison Home Corporation</t>
        </is>
      </c>
      <c r="C221" s="6" t="inlineStr">
        <is>
          <t>National President, Build-to-Rent</t>
        </is>
      </c>
      <c r="D221" s="7" t="inlineStr">
        <is>
          <t>National scale, pilot not purchase</t>
        </is>
      </c>
      <c r="E221" s="8" t="n">
        <v>1</v>
      </c>
      <c r="F221" s="6" t="inlineStr">
        <is>
          <t>Buys walls</t>
        </is>
      </c>
      <c r="G221" s="6" t="inlineStr">
        <is>
          <t>Scottsdale HQ / Harris County</t>
        </is>
      </c>
      <c r="H221" s="6" t="inlineStr">
        <is>
          <t>240-home Houston BTR community</t>
        </is>
      </c>
      <c r="I221" s="8" t="inlineStr">
        <is>
          <t>Yes</t>
        </is>
      </c>
      <c r="J221" s="9" t="inlineStr">
        <is>
          <t>A 240-home Houston build-to-rent community and a dedicated brand.</t>
        </is>
      </c>
      <c r="K221" s="8" t="inlineStr">
        <is>
          <t>No</t>
        </is>
      </c>
      <c r="L221" s="9" t="inlineStr">
        <is>
          <t>A national builder with a national build-to-rent brand.</t>
        </is>
      </c>
      <c r="M221" s="8" t="inlineStr">
        <is>
          <t>No</t>
        </is>
      </c>
      <c r="N221" s="9" t="inlineStr">
        <is>
          <t>Its Yardly retrospective cites input costs with no method detail.</t>
        </is>
      </c>
      <c r="O221" s="8" t="inlineStr">
        <is>
          <t>Yes</t>
        </is>
      </c>
      <c r="P221" s="10" t="inlineStr"/>
      <c r="Q221" s="6">
        <f>HYPERLINK("https://www.linkedin.com/search/results/people/?keywords=Darin%20Rowe%20Taylor%20Morrison%20Home%20Corporation","search")</f>
        <v/>
      </c>
      <c r="R221" s="11">
        <f>IF(P221="","ADD LINKEDIN","ok")</f>
        <v/>
      </c>
      <c r="S221" s="6" t="inlineStr">
        <is>
          <t>https://www.taylormorrison.com/</t>
        </is>
      </c>
      <c r="T221" s="9" t="inlineStr">
        <is>
          <t>A 240-home Houston build-to-rent community and a dedicated brand. The division president role dates to 2018 and is unconfirmed.</t>
        </is>
      </c>
      <c r="U221" s="6" t="inlineStr"/>
      <c r="V221" s="9" t="inlineStr">
        <is>
          <t>Build-to-Rent President, quoted on the launch of the Yardly brand. National, not Houston.</t>
        </is>
      </c>
      <c r="W221" s="6" t="inlineStr">
        <is>
          <t>https://newsroom.taylormorrison.com/2022-11-14-Taylor-Morrison-Unveils-New-Build-To-Rent-Brand,-Yardly</t>
        </is>
      </c>
      <c r="X221" s="6" t="inlineStr">
        <is>
          <t>https://www.linkedin.com/company/taylor-morrison</t>
        </is>
      </c>
      <c r="Y221" s="6" t="inlineStr">
        <is>
          <t>https://newsroom.taylormorrison.com/Leadership</t>
        </is>
      </c>
      <c r="Z221" s="6" t="inlineStr"/>
      <c r="AA221" s="6" t="inlineStr"/>
      <c r="AB221" s="6" t="inlineStr"/>
      <c r="AC221" s="6" t="inlineStr">
        <is>
          <t>https://www.taylormorrison.com/contact-us</t>
        </is>
      </c>
    </row>
    <row r="222">
      <c r="A222" s="12" t="inlineStr">
        <is>
          <t>Amy Rino</t>
        </is>
      </c>
      <c r="B222" s="12" t="inlineStr">
        <is>
          <t>Taylor Morrison Home Corporation</t>
        </is>
      </c>
      <c r="C222" s="12" t="inlineStr">
        <is>
          <t>Chief Customer Officer, Taylor Morrison, Scottsdale (2026); ex-Houston Division President</t>
        </is>
      </c>
      <c r="D222" s="13" t="inlineStr">
        <is>
          <t>National scale, pilot not purchase</t>
        </is>
      </c>
      <c r="E222" s="14" t="n">
        <v>1</v>
      </c>
      <c r="F222" s="12" t="inlineStr">
        <is>
          <t>Buys walls</t>
        </is>
      </c>
      <c r="G222" s="12" t="inlineStr">
        <is>
          <t>Scottsdale HQ / Harris County</t>
        </is>
      </c>
      <c r="H222" s="12" t="inlineStr">
        <is>
          <t>240-home Houston BTR community</t>
        </is>
      </c>
      <c r="I222" s="14" t="inlineStr">
        <is>
          <t>Yes</t>
        </is>
      </c>
      <c r="J222" s="15" t="inlineStr">
        <is>
          <t>A 240-home Houston build-to-rent community and a dedicated brand.</t>
        </is>
      </c>
      <c r="K222" s="14" t="inlineStr">
        <is>
          <t>No</t>
        </is>
      </c>
      <c r="L222" s="15" t="inlineStr">
        <is>
          <t>A national builder with a national build-to-rent brand.</t>
        </is>
      </c>
      <c r="M222" s="14" t="inlineStr">
        <is>
          <t>No</t>
        </is>
      </c>
      <c r="N222" s="15" t="inlineStr">
        <is>
          <t>Its Yardly retrospective cites input costs with no method detail.</t>
        </is>
      </c>
      <c r="O222" s="14" t="inlineStr">
        <is>
          <t>Yes</t>
        </is>
      </c>
      <c r="P222" s="6" t="inlineStr">
        <is>
          <t>https://www.linkedin.com/in/amy-rino-5152b111/</t>
        </is>
      </c>
      <c r="Q222" s="12" t="inlineStr"/>
      <c r="R222" s="16">
        <f>IF(P222="","ADD LINKEDIN","ok")</f>
        <v/>
      </c>
      <c r="S222" s="12" t="inlineStr">
        <is>
          <t>https://www.taylormorrison.com/</t>
        </is>
      </c>
      <c r="T222" s="15" t="inlineStr">
        <is>
          <t>A 240-home Houston build-to-rent community and a dedicated brand. The division president role dates to 2018 and is unconfirmed.</t>
        </is>
      </c>
      <c r="U222" s="12" t="inlineStr"/>
      <c r="V222" s="15" t="inlineStr">
        <is>
          <t>Amy Rino is now Chief Customer Officer at Taylor Morrison in Scottsdale, not Houston division president. No current Houston division leader is identified.</t>
        </is>
      </c>
      <c r="W222" s="12" t="inlineStr"/>
      <c r="X222" s="12" t="inlineStr">
        <is>
          <t>https://www.linkedin.com/company/taylor-morrison</t>
        </is>
      </c>
      <c r="Y222" s="12" t="inlineStr">
        <is>
          <t>https://newsroom.taylormorrison.com/Leadership</t>
        </is>
      </c>
      <c r="Z222" s="12" t="inlineStr"/>
      <c r="AA222" s="12" t="inlineStr"/>
      <c r="AB222" s="12" t="inlineStr"/>
      <c r="AC222" s="12" t="inlineStr">
        <is>
          <t>https://www.taylormorrison.com/contact-us</t>
        </is>
      </c>
    </row>
    <row r="223">
      <c r="A223" s="6" t="inlineStr">
        <is>
          <t>Ken Balogh</t>
        </is>
      </c>
      <c r="B223" s="6" t="inlineStr">
        <is>
          <t>Ashton Woods Homes</t>
        </is>
      </c>
      <c r="C223" s="6" t="inlineStr">
        <is>
          <t>President and Chief Executive Officer</t>
        </is>
      </c>
      <c r="D223" s="7" t="inlineStr">
        <is>
          <t>National scale, pilot not purchase</t>
        </is>
      </c>
      <c r="E223" s="8" t="n">
        <v>1</v>
      </c>
      <c r="F223" s="6" t="inlineStr">
        <is>
          <t>Buys walls</t>
        </is>
      </c>
      <c r="G223" s="6" t="inlineStr">
        <is>
          <t>Alpharetta HQ / Harris, Fort Bend</t>
        </is>
      </c>
      <c r="H223" s="6" t="inlineStr">
        <is>
          <t>14+ named Houston communities</t>
        </is>
      </c>
      <c r="I223" s="8" t="inlineStr">
        <is>
          <t>Yes</t>
        </is>
      </c>
      <c r="J223" s="9" t="inlineStr">
        <is>
          <t>Fourteen named Houston communities.</t>
        </is>
      </c>
      <c r="K223" s="8" t="inlineStr">
        <is>
          <t>No</t>
        </is>
      </c>
      <c r="L223" s="9" t="inlineStr">
        <is>
          <t>A national builder with a corporate purchasing function.</t>
        </is>
      </c>
      <c r="M223" s="8" t="inlineStr">
        <is>
          <t>No</t>
        </is>
      </c>
      <c r="N223" s="9" t="inlineStr">
        <is>
          <t>No firm-specific method evidence found.</t>
        </is>
      </c>
      <c r="O223" s="8" t="inlineStr">
        <is>
          <t>Partly</t>
        </is>
      </c>
      <c r="P223" s="10" t="inlineStr"/>
      <c r="Q223" s="6">
        <f>HYPERLINK("https://www.linkedin.com/search/results/people/?keywords=Ken%20Balogh%20Ashton%20Woods%20Homes","search")</f>
        <v/>
      </c>
      <c r="R223" s="11">
        <f>IF(P223="","ADD LINKEDIN","ok")</f>
        <v/>
      </c>
      <c r="S223" s="6" t="inlineStr">
        <is>
          <t>https://www.ashtonwoods.com/</t>
        </is>
      </c>
      <c r="T223" s="9" t="inlineStr">
        <is>
          <t>14 named Houston communities and a Texas regional president.</t>
        </is>
      </c>
      <c r="U223" s="6" t="inlineStr"/>
      <c r="V223" s="9" t="inlineStr"/>
      <c r="W223" s="6" t="inlineStr">
        <is>
          <t>https://www.ashtonwoods.com/corporate-info</t>
        </is>
      </c>
      <c r="X223" s="6" t="inlineStr">
        <is>
          <t>https://www.linkedin.com/company/ashton-woods-homes</t>
        </is>
      </c>
      <c r="Y223" s="6" t="inlineStr">
        <is>
          <t>https://www.ashtonwoods.com/corporate-info</t>
        </is>
      </c>
      <c r="Z223" s="6" t="inlineStr"/>
      <c r="AA223" s="6" t="inlineStr">
        <is>
          <t>(770) 998-9663</t>
        </is>
      </c>
      <c r="AB223" s="6" t="inlineStr">
        <is>
          <t>corporate headquarters, Alpharetta, Georgia</t>
        </is>
      </c>
      <c r="AC223" s="6" t="inlineStr">
        <is>
          <t>https://www.ashtonwoods.com/corporate-info</t>
        </is>
      </c>
    </row>
    <row r="224">
      <c r="A224" s="12" t="inlineStr">
        <is>
          <t>Lindsay Motley</t>
        </is>
      </c>
      <c r="B224" s="12" t="inlineStr">
        <is>
          <t>Ashton Woods Homes</t>
        </is>
      </c>
      <c r="C224" s="12" t="inlineStr">
        <is>
          <t>Regional President</t>
        </is>
      </c>
      <c r="D224" s="13" t="inlineStr">
        <is>
          <t>National scale, pilot not purchase</t>
        </is>
      </c>
      <c r="E224" s="14" t="n">
        <v>1</v>
      </c>
      <c r="F224" s="12" t="inlineStr">
        <is>
          <t>Buys walls</t>
        </is>
      </c>
      <c r="G224" s="12" t="inlineStr">
        <is>
          <t>Alpharetta HQ / Harris, Fort Bend</t>
        </is>
      </c>
      <c r="H224" s="12" t="inlineStr">
        <is>
          <t>14+ named Houston communities</t>
        </is>
      </c>
      <c r="I224" s="14" t="inlineStr">
        <is>
          <t>Yes</t>
        </is>
      </c>
      <c r="J224" s="15" t="inlineStr">
        <is>
          <t>Fourteen named Houston communities.</t>
        </is>
      </c>
      <c r="K224" s="14" t="inlineStr">
        <is>
          <t>No</t>
        </is>
      </c>
      <c r="L224" s="15" t="inlineStr">
        <is>
          <t>A national builder with a corporate purchasing function.</t>
        </is>
      </c>
      <c r="M224" s="14" t="inlineStr">
        <is>
          <t>No</t>
        </is>
      </c>
      <c r="N224" s="15" t="inlineStr">
        <is>
          <t>No firm-specific method evidence found.</t>
        </is>
      </c>
      <c r="O224" s="14" t="inlineStr">
        <is>
          <t>Partly</t>
        </is>
      </c>
      <c r="P224" s="10" t="inlineStr"/>
      <c r="Q224" s="12">
        <f>HYPERLINK("https://www.linkedin.com/search/results/people/?keywords=Lindsay%20Motley%20Ashton%20Woods%20Homes","search")</f>
        <v/>
      </c>
      <c r="R224" s="16">
        <f>IF(P224="","ADD LINKEDIN","ok")</f>
        <v/>
      </c>
      <c r="S224" s="12" t="inlineStr">
        <is>
          <t>https://www.ashtonwoods.com/</t>
        </is>
      </c>
      <c r="T224" s="15" t="inlineStr">
        <is>
          <t>14 named Houston communities and a Texas regional president.</t>
        </is>
      </c>
      <c r="U224" s="12" t="inlineStr"/>
      <c r="V224" s="15" t="inlineStr">
        <is>
          <t>Regional President. The firm's own announcement names her Austin division president.</t>
        </is>
      </c>
      <c r="W224" s="12" t="inlineStr">
        <is>
          <t>https://www.ashtonwoods.com/corporate-info</t>
        </is>
      </c>
      <c r="X224" s="12" t="inlineStr">
        <is>
          <t>https://www.linkedin.com/company/ashton-woods-homes</t>
        </is>
      </c>
      <c r="Y224" s="12" t="inlineStr">
        <is>
          <t>https://www.ashtonwoods.com/corporate-info</t>
        </is>
      </c>
      <c r="Z224" s="12" t="inlineStr"/>
      <c r="AA224" s="12" t="inlineStr">
        <is>
          <t>(770) 998-9663</t>
        </is>
      </c>
      <c r="AB224" s="12" t="inlineStr">
        <is>
          <t>corporate headquarters, Alpharetta, Georgia</t>
        </is>
      </c>
      <c r="AC224" s="12" t="inlineStr">
        <is>
          <t>https://www.ashtonwoods.com/corporate-info</t>
        </is>
      </c>
    </row>
    <row r="225">
      <c r="A225" s="6" t="inlineStr">
        <is>
          <t>Ryan Lewis</t>
        </is>
      </c>
      <c r="B225" s="6" t="inlineStr">
        <is>
          <t>Ashton Woods Homes</t>
        </is>
      </c>
      <c r="C225" s="6" t="inlineStr">
        <is>
          <t>Chief Operating Officer</t>
        </is>
      </c>
      <c r="D225" s="7" t="inlineStr">
        <is>
          <t>National scale, pilot not purchase</t>
        </is>
      </c>
      <c r="E225" s="8" t="n">
        <v>1</v>
      </c>
      <c r="F225" s="6" t="inlineStr">
        <is>
          <t>Buys walls</t>
        </is>
      </c>
      <c r="G225" s="6" t="inlineStr">
        <is>
          <t>Alpharetta HQ / Harris, Fort Bend</t>
        </is>
      </c>
      <c r="H225" s="6" t="inlineStr">
        <is>
          <t>14+ named Houston communities</t>
        </is>
      </c>
      <c r="I225" s="8" t="inlineStr">
        <is>
          <t>Yes</t>
        </is>
      </c>
      <c r="J225" s="9" t="inlineStr">
        <is>
          <t>Fourteen named Houston communities.</t>
        </is>
      </c>
      <c r="K225" s="8" t="inlineStr">
        <is>
          <t>No</t>
        </is>
      </c>
      <c r="L225" s="9" t="inlineStr">
        <is>
          <t>A national builder with a corporate purchasing function.</t>
        </is>
      </c>
      <c r="M225" s="8" t="inlineStr">
        <is>
          <t>No</t>
        </is>
      </c>
      <c r="N225" s="9" t="inlineStr">
        <is>
          <t>No firm-specific method evidence found.</t>
        </is>
      </c>
      <c r="O225" s="8" t="inlineStr">
        <is>
          <t>Partly</t>
        </is>
      </c>
      <c r="P225" s="10" t="inlineStr"/>
      <c r="Q225" s="6">
        <f>HYPERLINK("https://www.linkedin.com/search/results/people/?keywords=Ryan%20Lewis%20Ashton%20Woods%20Homes","search")</f>
        <v/>
      </c>
      <c r="R225" s="11">
        <f>IF(P225="","ADD LINKEDIN","ok")</f>
        <v/>
      </c>
      <c r="S225" s="6" t="inlineStr">
        <is>
          <t>https://www.ashtonwoods.com/</t>
        </is>
      </c>
      <c r="T225" s="9" t="inlineStr">
        <is>
          <t>14 named Houston communities and a Texas regional president.</t>
        </is>
      </c>
      <c r="U225" s="6" t="inlineStr"/>
      <c r="V225" s="9" t="inlineStr"/>
      <c r="W225" s="6" t="inlineStr">
        <is>
          <t>https://www.ashtonwoods.com/corporate-info</t>
        </is>
      </c>
      <c r="X225" s="6" t="inlineStr">
        <is>
          <t>https://www.linkedin.com/company/ashton-woods-homes</t>
        </is>
      </c>
      <c r="Y225" s="6" t="inlineStr">
        <is>
          <t>https://www.ashtonwoods.com/corporate-info</t>
        </is>
      </c>
      <c r="Z225" s="6" t="inlineStr"/>
      <c r="AA225" s="6" t="inlineStr">
        <is>
          <t>(770) 998-9663</t>
        </is>
      </c>
      <c r="AB225" s="6" t="inlineStr">
        <is>
          <t>corporate headquarters, Alpharetta, Georgia</t>
        </is>
      </c>
      <c r="AC225" s="6" t="inlineStr">
        <is>
          <t>https://www.ashtonwoods.com/corporate-info</t>
        </is>
      </c>
    </row>
    <row r="226">
      <c r="A226" s="12" t="inlineStr">
        <is>
          <t>Adam Weaver</t>
        </is>
      </c>
      <c r="B226" s="12" t="inlineStr">
        <is>
          <t>Ashton Woods Homes</t>
        </is>
      </c>
      <c r="C226" s="12" t="inlineStr">
        <is>
          <t>Senior Vice President of Purchasing</t>
        </is>
      </c>
      <c r="D226" s="13" t="inlineStr">
        <is>
          <t>National scale, pilot not purchase</t>
        </is>
      </c>
      <c r="E226" s="14" t="n">
        <v>1</v>
      </c>
      <c r="F226" s="12" t="inlineStr">
        <is>
          <t>Buys walls</t>
        </is>
      </c>
      <c r="G226" s="12" t="inlineStr">
        <is>
          <t>Alpharetta HQ / Harris, Fort Bend</t>
        </is>
      </c>
      <c r="H226" s="12" t="inlineStr">
        <is>
          <t>14+ named Houston communities</t>
        </is>
      </c>
      <c r="I226" s="14" t="inlineStr">
        <is>
          <t>Yes</t>
        </is>
      </c>
      <c r="J226" s="15" t="inlineStr">
        <is>
          <t>Fourteen named Houston communities.</t>
        </is>
      </c>
      <c r="K226" s="14" t="inlineStr">
        <is>
          <t>No</t>
        </is>
      </c>
      <c r="L226" s="15" t="inlineStr">
        <is>
          <t>A national builder with a corporate purchasing function.</t>
        </is>
      </c>
      <c r="M226" s="14" t="inlineStr">
        <is>
          <t>No</t>
        </is>
      </c>
      <c r="N226" s="15" t="inlineStr">
        <is>
          <t>No firm-specific method evidence found.</t>
        </is>
      </c>
      <c r="O226" s="14" t="inlineStr">
        <is>
          <t>Partly</t>
        </is>
      </c>
      <c r="P226" s="10" t="inlineStr"/>
      <c r="Q226" s="12" t="inlineStr"/>
      <c r="R226" s="16">
        <f>IF(P226="","ADD LINKEDIN","ok")</f>
        <v/>
      </c>
      <c r="S226" s="12" t="inlineStr">
        <is>
          <t>https://www.ashtonwoods.com/</t>
        </is>
      </c>
      <c r="T226" s="15" t="inlineStr">
        <is>
          <t>14 named Houston communities and a Texas regional president.</t>
        </is>
      </c>
      <c r="U226" s="12" t="inlineStr">
        <is>
          <t>YES</t>
        </is>
      </c>
      <c r="V226" s="15" t="inlineStr"/>
      <c r="W226" s="12" t="inlineStr">
        <is>
          <t>https://www.ashtonwoods.com/corporate-info</t>
        </is>
      </c>
      <c r="X226" s="12" t="inlineStr">
        <is>
          <t>https://www.linkedin.com/company/ashton-woods-homes</t>
        </is>
      </c>
      <c r="Y226" s="12" t="inlineStr">
        <is>
          <t>https://www.ashtonwoods.com/corporate-info</t>
        </is>
      </c>
      <c r="Z226" s="12" t="inlineStr"/>
      <c r="AA226" s="12" t="inlineStr">
        <is>
          <t>(770) 998-9663</t>
        </is>
      </c>
      <c r="AB226" s="12" t="inlineStr">
        <is>
          <t>corporate headquarters, Alpharetta, Georgia</t>
        </is>
      </c>
      <c r="AC226" s="12" t="inlineStr">
        <is>
          <t>https://www.ashtonwoods.com/corporate-info</t>
        </is>
      </c>
    </row>
    <row r="227">
      <c r="A227" s="6" t="inlineStr">
        <is>
          <t>Ken Newman</t>
        </is>
      </c>
      <c r="B227" s="6" t="inlineStr">
        <is>
          <t>Ashton Woods Homes</t>
        </is>
      </c>
      <c r="C227" s="6" t="inlineStr">
        <is>
          <t>Senior Vice President of Construction Operations</t>
        </is>
      </c>
      <c r="D227" s="7" t="inlineStr">
        <is>
          <t>National scale, pilot not purchase</t>
        </is>
      </c>
      <c r="E227" s="8" t="n">
        <v>1</v>
      </c>
      <c r="F227" s="6" t="inlineStr">
        <is>
          <t>Buys walls</t>
        </is>
      </c>
      <c r="G227" s="6" t="inlineStr">
        <is>
          <t>Alpharetta HQ / Harris, Fort Bend</t>
        </is>
      </c>
      <c r="H227" s="6" t="inlineStr">
        <is>
          <t>14+ named Houston communities</t>
        </is>
      </c>
      <c r="I227" s="8" t="inlineStr">
        <is>
          <t>Yes</t>
        </is>
      </c>
      <c r="J227" s="9" t="inlineStr">
        <is>
          <t>Fourteen named Houston communities.</t>
        </is>
      </c>
      <c r="K227" s="8" t="inlineStr">
        <is>
          <t>No</t>
        </is>
      </c>
      <c r="L227" s="9" t="inlineStr">
        <is>
          <t>A national builder with a corporate purchasing function.</t>
        </is>
      </c>
      <c r="M227" s="8" t="inlineStr">
        <is>
          <t>No</t>
        </is>
      </c>
      <c r="N227" s="9" t="inlineStr">
        <is>
          <t>No firm-specific method evidence found.</t>
        </is>
      </c>
      <c r="O227" s="8" t="inlineStr">
        <is>
          <t>Partly</t>
        </is>
      </c>
      <c r="P227" s="10" t="inlineStr"/>
      <c r="Q227" s="6" t="inlineStr"/>
      <c r="R227" s="11">
        <f>IF(P227="","ADD LINKEDIN","ok")</f>
        <v/>
      </c>
      <c r="S227" s="6" t="inlineStr">
        <is>
          <t>https://www.ashtonwoods.com/</t>
        </is>
      </c>
      <c r="T227" s="9" t="inlineStr">
        <is>
          <t>14 named Houston communities and a Texas regional president.</t>
        </is>
      </c>
      <c r="U227" s="6" t="inlineStr">
        <is>
          <t>YES</t>
        </is>
      </c>
      <c r="V227" s="9" t="inlineStr"/>
      <c r="W227" s="6" t="inlineStr">
        <is>
          <t>https://www.ashtonwoods.com/corporate-info</t>
        </is>
      </c>
      <c r="X227" s="6" t="inlineStr">
        <is>
          <t>https://www.linkedin.com/company/ashton-woods-homes</t>
        </is>
      </c>
      <c r="Y227" s="6" t="inlineStr">
        <is>
          <t>https://www.ashtonwoods.com/corporate-info</t>
        </is>
      </c>
      <c r="Z227" s="6" t="inlineStr"/>
      <c r="AA227" s="6" t="inlineStr">
        <is>
          <t>(770) 998-9663</t>
        </is>
      </c>
      <c r="AB227" s="6" t="inlineStr">
        <is>
          <t>corporate headquarters, Alpharetta, Georgia</t>
        </is>
      </c>
      <c r="AC227" s="6" t="inlineStr">
        <is>
          <t>https://www.ashtonwoods.com/corporate-info</t>
        </is>
      </c>
    </row>
    <row r="228">
      <c r="A228" s="12" t="inlineStr">
        <is>
          <t>Kathy Britton</t>
        </is>
      </c>
      <c r="B228" s="12" t="inlineStr">
        <is>
          <t>Perry Homes</t>
        </is>
      </c>
      <c r="C228" s="12" t="inlineStr">
        <is>
          <t>Owner and Executive Chair</t>
        </is>
      </c>
      <c r="D228" s="13" t="inlineStr">
        <is>
          <t>National scale, pilot not purchase</t>
        </is>
      </c>
      <c r="E228" s="14" t="n">
        <v>1</v>
      </c>
      <c r="F228" s="12" t="inlineStr">
        <is>
          <t>Buys walls</t>
        </is>
      </c>
      <c r="G228" s="12" t="inlineStr">
        <is>
          <t>Houston HQ, Harris County</t>
        </is>
      </c>
      <c r="H228" s="12" t="inlineStr">
        <is>
          <t>Four Texas markets and five in Florida, no volume published</t>
        </is>
      </c>
      <c r="I228" s="14" t="inlineStr">
        <is>
          <t>Yes</t>
        </is>
      </c>
      <c r="J228" s="15" t="inlineStr">
        <is>
          <t>Nine markets across two states on one plan library.</t>
        </is>
      </c>
      <c r="K228" s="14" t="inlineStr">
        <is>
          <t>No</t>
        </is>
      </c>
      <c r="L228" s="15" t="inlineStr">
        <is>
          <t>Nine markets across two states. The volume is far above what one or two printers cover, and it is bought centrally.</t>
        </is>
      </c>
      <c r="M228" s="14" t="inlineStr">
        <is>
          <t>No</t>
        </is>
      </c>
      <c r="N228" s="15" t="inlineStr">
        <is>
          <t>Its own published definition of innovation is smart-home features and floor plans.</t>
        </is>
      </c>
      <c r="O228" s="14" t="inlineStr">
        <is>
          <t>Partly</t>
        </is>
      </c>
      <c r="P228" s="10" t="inlineStr"/>
      <c r="Q228" s="12">
        <f>HYPERLINK("https://www.linkedin.com/search/results/people/?keywords=Kathy%20Britton%20Perry%20Homes","search")</f>
        <v/>
      </c>
      <c r="R228" s="16">
        <f>IF(P228="","ADD LINKEDIN","ok")</f>
        <v/>
      </c>
      <c r="S228" s="12" t="inlineStr">
        <is>
          <t>https://www.perryhomes.com/</t>
        </is>
      </c>
      <c r="T228" s="15" t="inlineStr">
        <is>
          <t>120 communities and local ownership. Its published innovation page covers smart-home features and floor plans.</t>
        </is>
      </c>
      <c r="U228" s="12" t="inlineStr"/>
      <c r="V228" s="15" t="inlineStr">
        <is>
          <t>Perry's own page: Owner and Executive Chair, having succeeded her father Bob Perry as chief executive.</t>
        </is>
      </c>
      <c r="W228" s="12" t="inlineStr">
        <is>
          <t>https://www.perryhomes.com/about-perry-homes</t>
        </is>
      </c>
      <c r="X228" s="12" t="inlineStr">
        <is>
          <t>https://www.linkedin.com/company/perry-homes</t>
        </is>
      </c>
      <c r="Y228" s="12" t="inlineStr">
        <is>
          <t>https://www.perryhomes.com/about-perry-homes</t>
        </is>
      </c>
      <c r="Z228" s="12" t="inlineStr"/>
      <c r="AA228" s="12" t="inlineStr">
        <is>
          <t>(800) 247-3779</t>
        </is>
      </c>
      <c r="AB228" s="12" t="inlineStr"/>
      <c r="AC228" s="12" t="inlineStr">
        <is>
          <t>https://www.perryhomes.com/contact-us</t>
        </is>
      </c>
    </row>
    <row r="229">
      <c r="A229" s="6" t="inlineStr">
        <is>
          <t>Todd Chachere</t>
        </is>
      </c>
      <c r="B229" s="6" t="inlineStr">
        <is>
          <t>Perry Homes</t>
        </is>
      </c>
      <c r="C229" s="6" t="inlineStr">
        <is>
          <t>Chief Executive Officer</t>
        </is>
      </c>
      <c r="D229" s="7" t="inlineStr">
        <is>
          <t>National scale, pilot not purchase</t>
        </is>
      </c>
      <c r="E229" s="8" t="n">
        <v>1</v>
      </c>
      <c r="F229" s="6" t="inlineStr">
        <is>
          <t>Buys walls</t>
        </is>
      </c>
      <c r="G229" s="6" t="inlineStr">
        <is>
          <t>Houston HQ, Harris County</t>
        </is>
      </c>
      <c r="H229" s="6" t="inlineStr">
        <is>
          <t>Four Texas markets and five in Florida, no volume published</t>
        </is>
      </c>
      <c r="I229" s="8" t="inlineStr">
        <is>
          <t>Yes</t>
        </is>
      </c>
      <c r="J229" s="9" t="inlineStr">
        <is>
          <t>Nine markets across two states on one plan library.</t>
        </is>
      </c>
      <c r="K229" s="8" t="inlineStr">
        <is>
          <t>No</t>
        </is>
      </c>
      <c r="L229" s="9" t="inlineStr">
        <is>
          <t>Nine markets across two states. The volume is far above what one or two printers cover, and it is bought centrally.</t>
        </is>
      </c>
      <c r="M229" s="8" t="inlineStr">
        <is>
          <t>No</t>
        </is>
      </c>
      <c r="N229" s="9" t="inlineStr">
        <is>
          <t>Its own published definition of innovation is smart-home features and floor plans.</t>
        </is>
      </c>
      <c r="O229" s="8" t="inlineStr">
        <is>
          <t>Partly</t>
        </is>
      </c>
      <c r="P229" s="10" t="inlineStr"/>
      <c r="Q229" s="6">
        <f>HYPERLINK("https://www.linkedin.com/search/results/people/?keywords=Todd%20Chachere%20Perry%20Homes","search")</f>
        <v/>
      </c>
      <c r="R229" s="11">
        <f>IF(P229="","ADD LINKEDIN","ok")</f>
        <v/>
      </c>
      <c r="S229" s="6" t="inlineStr">
        <is>
          <t>https://www.perryhomes.com/</t>
        </is>
      </c>
      <c r="T229" s="9" t="inlineStr">
        <is>
          <t>120 communities and local ownership. Its published innovation page covers smart-home features and floor plans.</t>
        </is>
      </c>
      <c r="U229" s="6" t="inlineStr"/>
      <c r="V229" s="9" t="inlineStr"/>
      <c r="W229" s="6" t="inlineStr">
        <is>
          <t>https://www.perryhomes.com/about-perry-homes</t>
        </is>
      </c>
      <c r="X229" s="6" t="inlineStr">
        <is>
          <t>https://www.linkedin.com/company/perry-homes</t>
        </is>
      </c>
      <c r="Y229" s="6" t="inlineStr">
        <is>
          <t>https://www.perryhomes.com/about-perry-homes</t>
        </is>
      </c>
      <c r="Z229" s="6" t="inlineStr"/>
      <c r="AA229" s="6" t="inlineStr">
        <is>
          <t>(800) 247-3779</t>
        </is>
      </c>
      <c r="AB229" s="6" t="inlineStr"/>
      <c r="AC229" s="6" t="inlineStr">
        <is>
          <t>https://www.perryhomes.com/contact-us</t>
        </is>
      </c>
    </row>
    <row r="230">
      <c r="A230" s="12" t="inlineStr">
        <is>
          <t>Ronny Salameh</t>
        </is>
      </c>
      <c r="B230" s="12" t="inlineStr">
        <is>
          <t>Brightland Homes</t>
        </is>
      </c>
      <c r="C230" s="12" t="inlineStr">
        <is>
          <t>President and Chief Executive Officer, The DRB Group</t>
        </is>
      </c>
      <c r="D230" s="13" t="inlineStr">
        <is>
          <t>National scale, pilot not purchase</t>
        </is>
      </c>
      <c r="E230" s="14" t="n">
        <v>1</v>
      </c>
      <c r="F230" s="12" t="inlineStr">
        <is>
          <t>Buys walls</t>
        </is>
      </c>
      <c r="G230" s="12" t="inlineStr">
        <is>
          <t>Addison HQ / Montgomery, Harris</t>
        </is>
      </c>
      <c r="H230" s="12" t="inlineStr">
        <is>
          <t>110 communities, 17,000+ homes delivered</t>
        </is>
      </c>
      <c r="I230" s="14" t="inlineStr">
        <is>
          <t>Partly</t>
        </is>
      </c>
      <c r="J230" s="15" t="inlineStr">
        <is>
          <t>110 active communities.</t>
        </is>
      </c>
      <c r="K230" s="14" t="inlineStr">
        <is>
          <t>No</t>
        </is>
      </c>
      <c r="L230" s="15" t="inlineStr">
        <is>
          <t>110 communities inside the DRB platform, bought by a parent that has put capital into wood.</t>
        </is>
      </c>
      <c r="M230" s="14" t="inlineStr">
        <is>
          <t>No</t>
        </is>
      </c>
      <c r="N230" s="15" t="inlineStr">
        <is>
          <t>Owner Sumitomo Forestry is a timber group, which may cut against a concrete wall.</t>
        </is>
      </c>
      <c r="O230" s="14" t="inlineStr">
        <is>
          <t>Partly</t>
        </is>
      </c>
      <c r="P230" s="10" t="inlineStr"/>
      <c r="Q230" s="12">
        <f>HYPERLINK("https://www.linkedin.com/search/results/people/?keywords=Ronny%20Salameh%20Brightland%20Homes","search")</f>
        <v/>
      </c>
      <c r="R230" s="16">
        <f>IF(P230="","ADD LINKEDIN","ok")</f>
        <v/>
      </c>
      <c r="S230" s="12" t="inlineStr">
        <is>
          <t>https://www.brightlandhomes.com/</t>
        </is>
      </c>
      <c r="T230" s="15" t="inlineStr">
        <is>
          <t>110 communities, but parent Sumitomo Forestry bought a sawmill and is integrating wood framing across the platform Brightland sits in.</t>
        </is>
      </c>
      <c r="U230" s="12" t="inlineStr"/>
      <c r="V230" s="15" t="inlineStr">
        <is>
          <t>President and Chief Executive Officer of The DRB Group, which has owned Brightland since April 2025.</t>
        </is>
      </c>
      <c r="W230" s="12" t="inlineStr">
        <is>
          <t>https://www.drbgroup.com/about</t>
        </is>
      </c>
      <c r="X230" s="12" t="inlineStr">
        <is>
          <t>https://www.linkedin.com/company/brightlandhomes</t>
        </is>
      </c>
      <c r="Y230" s="12" t="inlineStr">
        <is>
          <t>https://www.drbgroup.com/about</t>
        </is>
      </c>
      <c r="Z230" s="12" t="inlineStr"/>
      <c r="AA230" s="12" t="inlineStr">
        <is>
          <t>(281) 201-6961</t>
        </is>
      </c>
      <c r="AB230" s="12" t="inlineStr">
        <is>
          <t>Houston office, published by DRB Homes</t>
        </is>
      </c>
      <c r="AC230" s="12" t="inlineStr">
        <is>
          <t>https://www.drbhomes.com/drbhomes/contact/contact-us</t>
        </is>
      </c>
    </row>
    <row r="231">
      <c r="A231" s="6" t="inlineStr">
        <is>
          <t>Young Nam</t>
        </is>
      </c>
      <c r="B231" s="6" t="inlineStr">
        <is>
          <t>Brightland Homes</t>
        </is>
      </c>
      <c r="C231" s="6" t="inlineStr">
        <is>
          <t>Senior Vice President of Purchasing, The DRB Group</t>
        </is>
      </c>
      <c r="D231" s="7" t="inlineStr">
        <is>
          <t>National scale, pilot not purchase</t>
        </is>
      </c>
      <c r="E231" s="8" t="n">
        <v>1</v>
      </c>
      <c r="F231" s="6" t="inlineStr">
        <is>
          <t>Buys walls</t>
        </is>
      </c>
      <c r="G231" s="6" t="inlineStr">
        <is>
          <t>Addison HQ / Montgomery, Harris</t>
        </is>
      </c>
      <c r="H231" s="6" t="inlineStr">
        <is>
          <t>110 communities, 17,000+ homes delivered</t>
        </is>
      </c>
      <c r="I231" s="8" t="inlineStr">
        <is>
          <t>Partly</t>
        </is>
      </c>
      <c r="J231" s="9" t="inlineStr">
        <is>
          <t>110 active communities.</t>
        </is>
      </c>
      <c r="K231" s="8" t="inlineStr">
        <is>
          <t>No</t>
        </is>
      </c>
      <c r="L231" s="9" t="inlineStr">
        <is>
          <t>110 communities inside the DRB platform, bought by a parent that has put capital into wood.</t>
        </is>
      </c>
      <c r="M231" s="8" t="inlineStr">
        <is>
          <t>No</t>
        </is>
      </c>
      <c r="N231" s="9" t="inlineStr">
        <is>
          <t>Owner Sumitomo Forestry is a timber group, which may cut against a concrete wall.</t>
        </is>
      </c>
      <c r="O231" s="8" t="inlineStr">
        <is>
          <t>Partly</t>
        </is>
      </c>
      <c r="P231" s="6" t="inlineStr">
        <is>
          <t>https://www.linkedin.com/in/young-nam-78b36229/</t>
        </is>
      </c>
      <c r="Q231" s="6" t="inlineStr"/>
      <c r="R231" s="11">
        <f>IF(P231="","ADD LINKEDIN","ok")</f>
        <v/>
      </c>
      <c r="S231" s="6" t="inlineStr">
        <is>
          <t>https://www.brightlandhomes.com/</t>
        </is>
      </c>
      <c r="T231" s="9" t="inlineStr">
        <is>
          <t>110 communities, but parent Sumitomo Forestry bought a sawmill and is integrating wood framing across the platform Brightland sits in.</t>
        </is>
      </c>
      <c r="U231" s="6" t="inlineStr">
        <is>
          <t>YES</t>
        </is>
      </c>
      <c r="V231"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31" s="6" t="inlineStr">
        <is>
          <t>https://www.drbgroup.com/about</t>
        </is>
      </c>
      <c r="X231" s="6" t="inlineStr">
        <is>
          <t>https://www.linkedin.com/company/brightlandhomes</t>
        </is>
      </c>
      <c r="Y231" s="6" t="inlineStr">
        <is>
          <t>https://www.drbgroup.com/about</t>
        </is>
      </c>
      <c r="Z231" s="6" t="inlineStr"/>
      <c r="AA231" s="6" t="inlineStr">
        <is>
          <t>(281) 201-6961</t>
        </is>
      </c>
      <c r="AB231" s="6" t="inlineStr">
        <is>
          <t>Houston office, published by DRB Homes</t>
        </is>
      </c>
      <c r="AC231" s="6" t="inlineStr">
        <is>
          <t>https://www.drbhomes.com/drbhomes/contact/contact-us</t>
        </is>
      </c>
    </row>
    <row r="232">
      <c r="A232" s="12" t="inlineStr">
        <is>
          <t>David O'Reilly</t>
        </is>
      </c>
      <c r="B232" s="12" t="inlineStr">
        <is>
          <t>Howard Hughes Holdings Inc.</t>
        </is>
      </c>
      <c r="C232" s="12" t="inlineStr">
        <is>
          <t>Chief Executive Officer</t>
        </is>
      </c>
      <c r="D232" s="13" t="inlineStr">
        <is>
          <t>Masterplan owner</t>
        </is>
      </c>
      <c r="E232" s="14" t="n">
        <v>2</v>
      </c>
      <c r="F232" s="12" t="inlineStr">
        <is>
          <t>Sells lots</t>
        </is>
      </c>
      <c r="G232" s="12" t="inlineStr">
        <is>
          <t>The Woodlands HQ / Harris, Montgomery</t>
        </is>
      </c>
      <c r="H232" s="12" t="inlineStr">
        <is>
          <t>1,802 residential acres left to sell</t>
        </is>
      </c>
      <c r="I232" s="14" t="inlineStr">
        <is>
          <t>Yes</t>
        </is>
      </c>
      <c r="J232" s="15" t="inlineStr">
        <is>
          <t>Three communities on one metro's edge, 1,802 residential acres still to sell.</t>
        </is>
      </c>
      <c r="K232" s="14" t="inlineStr">
        <is>
          <t>No</t>
        </is>
      </c>
      <c r="L232" s="15" t="inlineStr">
        <is>
          <t>It sells finished lots. The builder who buys them buys the wall.</t>
        </is>
      </c>
      <c r="M232" s="14" t="inlineStr">
        <is>
          <t>Yes</t>
        </is>
      </c>
      <c r="N232" s="15" t="inlineStr">
        <is>
          <t>It financed and opened Greater Houston's first mass timber office building, with low-carbon concrete in the same structure.</t>
        </is>
      </c>
      <c r="O232" s="14" t="inlineStr">
        <is>
          <t>Yes</t>
        </is>
      </c>
      <c r="P232" s="10" t="inlineStr"/>
      <c r="Q232" s="12">
        <f>HYPERLINK("https://www.linkedin.com/search/results/people/?keywords=David%20O%27Reilly%20Howard%20Hughes%20Holdings%20Inc.","search")</f>
        <v/>
      </c>
      <c r="R232" s="16">
        <f>IF(P232="","ADD LINKEDIN","ok")</f>
        <v/>
      </c>
      <c r="S232" s="12" t="inlineStr">
        <is>
          <t>https://www.howardhughes.com/</t>
        </is>
      </c>
      <c r="T232" s="15" t="inlineStr">
        <is>
          <t>1,802 residential acres left to sell across three communities, and it paid to put up Greater Houston's first mass timber office. It sells lots, so the builder buys the wall.</t>
        </is>
      </c>
      <c r="U232" s="12" t="inlineStr"/>
      <c r="V232" s="15" t="inlineStr"/>
      <c r="W232" s="12" t="inlineStr">
        <is>
          <t>https://investor.howardhughes.com/governance/leadership</t>
        </is>
      </c>
      <c r="X232" s="12" t="inlineStr">
        <is>
          <t>https://www.linkedin.com/company/the-howard-hughes-corporation</t>
        </is>
      </c>
      <c r="Y232" s="12" t="inlineStr">
        <is>
          <t>https://investor.howardhughes.com/governance/leadership</t>
        </is>
      </c>
      <c r="Z232" s="12" t="inlineStr"/>
      <c r="AA232" s="12" t="inlineStr">
        <is>
          <t>(281) 929-7700</t>
        </is>
      </c>
      <c r="AB232" s="12" t="inlineStr"/>
      <c r="AC232" s="12" t="inlineStr">
        <is>
          <t>https://www.howardhughes.com/contact/</t>
        </is>
      </c>
    </row>
    <row r="233">
      <c r="A233" s="6" t="inlineStr">
        <is>
          <t>Bill Ackman</t>
        </is>
      </c>
      <c r="B233" s="6" t="inlineStr">
        <is>
          <t>Howard Hughes Holdings Inc.</t>
        </is>
      </c>
      <c r="C233" s="6" t="inlineStr">
        <is>
          <t>Executive Chairman of the Board</t>
        </is>
      </c>
      <c r="D233" s="7" t="inlineStr">
        <is>
          <t>Masterplan owner</t>
        </is>
      </c>
      <c r="E233" s="8" t="n">
        <v>2</v>
      </c>
      <c r="F233" s="6" t="inlineStr">
        <is>
          <t>Sells lots</t>
        </is>
      </c>
      <c r="G233" s="6" t="inlineStr">
        <is>
          <t>The Woodlands HQ / Harris, Montgomery</t>
        </is>
      </c>
      <c r="H233" s="6" t="inlineStr">
        <is>
          <t>1,802 residential acres left to sell</t>
        </is>
      </c>
      <c r="I233" s="8" t="inlineStr">
        <is>
          <t>Yes</t>
        </is>
      </c>
      <c r="J233" s="9" t="inlineStr">
        <is>
          <t>Three communities on one metro's edge, 1,802 residential acres still to sell.</t>
        </is>
      </c>
      <c r="K233" s="8" t="inlineStr">
        <is>
          <t>No</t>
        </is>
      </c>
      <c r="L233" s="9" t="inlineStr">
        <is>
          <t>It sells finished lots. The builder who buys them buys the wall.</t>
        </is>
      </c>
      <c r="M233" s="8" t="inlineStr">
        <is>
          <t>Yes</t>
        </is>
      </c>
      <c r="N233" s="9" t="inlineStr">
        <is>
          <t>It financed and opened Greater Houston's first mass timber office building, with low-carbon concrete in the same structure.</t>
        </is>
      </c>
      <c r="O233" s="8" t="inlineStr">
        <is>
          <t>Yes</t>
        </is>
      </c>
      <c r="P233" s="10" t="inlineStr"/>
      <c r="Q233" s="6">
        <f>HYPERLINK("https://www.linkedin.com/search/results/people/?keywords=Bill%20Ackman%20Howard%20Hughes%20Holdings%20Inc.","search")</f>
        <v/>
      </c>
      <c r="R233" s="11">
        <f>IF(P233="","ADD LINKEDIN","ok")</f>
        <v/>
      </c>
      <c r="S233" s="6" t="inlineStr">
        <is>
          <t>https://www.howardhughes.com/</t>
        </is>
      </c>
      <c r="T233" s="9" t="inlineStr">
        <is>
          <t>1,802 residential acres left to sell across three communities, and it paid to put up Greater Houston's first mass timber office. It sells lots, so the builder buys the wall.</t>
        </is>
      </c>
      <c r="U233" s="6" t="inlineStr"/>
      <c r="V233" s="9" t="inlineStr"/>
      <c r="W233" s="6" t="inlineStr">
        <is>
          <t>https://investor.howardhughes.com/governance/leadership</t>
        </is>
      </c>
      <c r="X233" s="6" t="inlineStr">
        <is>
          <t>https://www.linkedin.com/company/the-howard-hughes-corporation</t>
        </is>
      </c>
      <c r="Y233" s="6" t="inlineStr">
        <is>
          <t>https://investor.howardhughes.com/governance/leadership</t>
        </is>
      </c>
      <c r="Z233" s="6" t="inlineStr"/>
      <c r="AA233" s="6" t="inlineStr">
        <is>
          <t>(281) 929-7700</t>
        </is>
      </c>
      <c r="AB233" s="6" t="inlineStr"/>
      <c r="AC233" s="6" t="inlineStr">
        <is>
          <t>https://www.howardhughes.com/contact/</t>
        </is>
      </c>
    </row>
    <row r="234">
      <c r="A234" s="12" t="inlineStr">
        <is>
          <t>Ryan Israel</t>
        </is>
      </c>
      <c r="B234" s="12" t="inlineStr">
        <is>
          <t>Howard Hughes Holdings Inc.</t>
        </is>
      </c>
      <c r="C234" s="12" t="inlineStr">
        <is>
          <t>Chief Investment Officer</t>
        </is>
      </c>
      <c r="D234" s="13" t="inlineStr">
        <is>
          <t>Masterplan owner</t>
        </is>
      </c>
      <c r="E234" s="14" t="n">
        <v>2</v>
      </c>
      <c r="F234" s="12" t="inlineStr">
        <is>
          <t>Sells lots</t>
        </is>
      </c>
      <c r="G234" s="12" t="inlineStr">
        <is>
          <t>The Woodlands HQ / Harris, Montgomery</t>
        </is>
      </c>
      <c r="H234" s="12" t="inlineStr">
        <is>
          <t>1,802 residential acres left to sell</t>
        </is>
      </c>
      <c r="I234" s="14" t="inlineStr">
        <is>
          <t>Yes</t>
        </is>
      </c>
      <c r="J234" s="15" t="inlineStr">
        <is>
          <t>Three communities on one metro's edge, 1,802 residential acres still to sell.</t>
        </is>
      </c>
      <c r="K234" s="14" t="inlineStr">
        <is>
          <t>No</t>
        </is>
      </c>
      <c r="L234" s="15" t="inlineStr">
        <is>
          <t>It sells finished lots. The builder who buys them buys the wall.</t>
        </is>
      </c>
      <c r="M234" s="14" t="inlineStr">
        <is>
          <t>Yes</t>
        </is>
      </c>
      <c r="N234" s="15" t="inlineStr">
        <is>
          <t>It financed and opened Greater Houston's first mass timber office building, with low-carbon concrete in the same structure.</t>
        </is>
      </c>
      <c r="O234" s="14" t="inlineStr">
        <is>
          <t>Yes</t>
        </is>
      </c>
      <c r="P234" s="10" t="inlineStr"/>
      <c r="Q234" s="12">
        <f>HYPERLINK("https://www.linkedin.com/search/results/people/?keywords=Ryan%20Israel%20Howard%20Hughes%20Holdings%20Inc.","search")</f>
        <v/>
      </c>
      <c r="R234" s="16">
        <f>IF(P234="","ADD LINKEDIN","ok")</f>
        <v/>
      </c>
      <c r="S234" s="12" t="inlineStr">
        <is>
          <t>https://www.howardhughes.com/</t>
        </is>
      </c>
      <c r="T234" s="15" t="inlineStr">
        <is>
          <t>1,802 residential acres left to sell across three communities, and it paid to put up Greater Houston's first mass timber office. It sells lots, so the builder buys the wall.</t>
        </is>
      </c>
      <c r="U234" s="12" t="inlineStr"/>
      <c r="V234" s="15" t="inlineStr"/>
      <c r="W234" s="12" t="inlineStr">
        <is>
          <t>https://investor.howardhughes.com/governance/leadership</t>
        </is>
      </c>
      <c r="X234" s="12" t="inlineStr">
        <is>
          <t>https://www.linkedin.com/company/the-howard-hughes-corporation</t>
        </is>
      </c>
      <c r="Y234" s="12" t="inlineStr">
        <is>
          <t>https://investor.howardhughes.com/governance/leadership</t>
        </is>
      </c>
      <c r="Z234" s="12" t="inlineStr"/>
      <c r="AA234" s="12" t="inlineStr">
        <is>
          <t>(281) 929-7700</t>
        </is>
      </c>
      <c r="AB234" s="12" t="inlineStr"/>
      <c r="AC234" s="12" t="inlineStr">
        <is>
          <t>https://www.howardhughes.com/contact/</t>
        </is>
      </c>
    </row>
    <row r="235">
      <c r="A235" s="6" t="inlineStr">
        <is>
          <t>Jim Carman</t>
        </is>
      </c>
      <c r="B235" s="6" t="inlineStr">
        <is>
          <t>Howard Hughes Holdings Inc.</t>
        </is>
      </c>
      <c r="C235" s="6" t="inlineStr">
        <is>
          <t>President, Texas Region</t>
        </is>
      </c>
      <c r="D235" s="7" t="inlineStr">
        <is>
          <t>Masterplan owner</t>
        </is>
      </c>
      <c r="E235" s="8" t="n">
        <v>2</v>
      </c>
      <c r="F235" s="6" t="inlineStr">
        <is>
          <t>Sells lots</t>
        </is>
      </c>
      <c r="G235" s="6" t="inlineStr">
        <is>
          <t>The Woodlands HQ / Harris, Montgomery</t>
        </is>
      </c>
      <c r="H235" s="6" t="inlineStr">
        <is>
          <t>1,802 residential acres left to sell</t>
        </is>
      </c>
      <c r="I235" s="8" t="inlineStr">
        <is>
          <t>Yes</t>
        </is>
      </c>
      <c r="J235" s="9" t="inlineStr">
        <is>
          <t>Three communities on one metro's edge, 1,802 residential acres still to sell.</t>
        </is>
      </c>
      <c r="K235" s="8" t="inlineStr">
        <is>
          <t>No</t>
        </is>
      </c>
      <c r="L235" s="9" t="inlineStr">
        <is>
          <t>It sells finished lots. The builder who buys them buys the wall.</t>
        </is>
      </c>
      <c r="M235" s="8" t="inlineStr">
        <is>
          <t>Yes</t>
        </is>
      </c>
      <c r="N235" s="9" t="inlineStr">
        <is>
          <t>It financed and opened Greater Houston's first mass timber office building, with low-carbon concrete in the same structure.</t>
        </is>
      </c>
      <c r="O235" s="8" t="inlineStr">
        <is>
          <t>Yes</t>
        </is>
      </c>
      <c r="P235" s="6" t="inlineStr">
        <is>
          <t>https://www.linkedin.com/in/carmanjim/</t>
        </is>
      </c>
      <c r="Q235" s="6" t="inlineStr"/>
      <c r="R235" s="11">
        <f>IF(P235="","ADD LINKEDIN","ok")</f>
        <v/>
      </c>
      <c r="S235" s="6" t="inlineStr">
        <is>
          <t>https://www.howardhughes.com/</t>
        </is>
      </c>
      <c r="T235" s="9" t="inlineStr">
        <is>
          <t>1,802 residential acres left to sell across three communities, and it paid to put up Greater Houston's first mass timber office. It sells lots, so the builder buys the wall.</t>
        </is>
      </c>
      <c r="U235" s="6" t="inlineStr"/>
      <c r="V235" s="9" t="inlineStr">
        <is>
          <t>Profile opened. President, Texas Region at Howard Hughes Communities. Greater Houston. His own feed carries Bridgeland's number nine national ranking at 500 home sales by mid-2026 and the 83-acre Toro District with the Houston Texans headquarters.</t>
        </is>
      </c>
      <c r="W235" s="6" t="inlineStr"/>
      <c r="X235" s="6" t="inlineStr">
        <is>
          <t>https://www.linkedin.com/company/the-howard-hughes-corporation</t>
        </is>
      </c>
      <c r="Y235" s="6" t="inlineStr">
        <is>
          <t>https://investor.howardhughes.com/governance/leadership</t>
        </is>
      </c>
      <c r="Z235" s="6" t="inlineStr"/>
      <c r="AA235" s="6" t="inlineStr">
        <is>
          <t>(281) 929-7700</t>
        </is>
      </c>
      <c r="AB235" s="6" t="inlineStr"/>
      <c r="AC235" s="6" t="inlineStr">
        <is>
          <t>https://www.howardhughes.com/contact/</t>
        </is>
      </c>
    </row>
    <row r="236">
      <c r="A236" s="12" t="inlineStr">
        <is>
          <t>Fred Balda</t>
        </is>
      </c>
      <c r="B236" s="12" t="inlineStr">
        <is>
          <t>Hillwood Communities</t>
        </is>
      </c>
      <c r="C236" s="12" t="inlineStr">
        <is>
          <t>President</t>
        </is>
      </c>
      <c r="D236" s="13" t="inlineStr">
        <is>
          <t>Masterplan owner</t>
        </is>
      </c>
      <c r="E236" s="14" t="n">
        <v>2</v>
      </c>
      <c r="F236" s="12" t="inlineStr">
        <is>
          <t>Sells lots</t>
        </is>
      </c>
      <c r="G236" s="12" t="inlineStr">
        <is>
          <t>Dallas HQ / Manvel, Pearland, League City</t>
        </is>
      </c>
      <c r="H236" s="12" t="inlineStr">
        <is>
          <t>Three Houston masterplans, 700 acres at Legacy alone</t>
        </is>
      </c>
      <c r="I236" s="14" t="inlineStr">
        <is>
          <t>Yes</t>
        </is>
      </c>
      <c r="J236" s="15" t="inlineStr">
        <is>
          <t>Three concurrent Houston masterplans, 700 acres at Legacy alone.</t>
        </is>
      </c>
      <c r="K236" s="14" t="inlineStr">
        <is>
          <t>No</t>
        </is>
      </c>
      <c r="L236" s="15" t="inlineStr">
        <is>
          <t>It develops lots and sells them to vertical builders. It does not pour walls.</t>
        </is>
      </c>
      <c r="M236" s="14" t="inlineStr">
        <is>
          <t>Partly</t>
        </is>
      </c>
      <c r="N236" s="15" t="inlineStr">
        <is>
          <t>A hundred printed homes were built inside one of its own communities. Hillwood developed the ground. Lennar bought the printing.</t>
        </is>
      </c>
      <c r="O236" s="14" t="inlineStr">
        <is>
          <t>Yes</t>
        </is>
      </c>
      <c r="P236" s="10" t="inlineStr"/>
      <c r="Q236" s="12">
        <f>HYPERLINK("https://www.linkedin.com/search/results/people/?keywords=Fred%20Balda%20Hillwood%20Communities","search")</f>
        <v/>
      </c>
      <c r="R236" s="16">
        <f>IF(P236="","ADD LINKEDIN","ok")</f>
        <v/>
      </c>
      <c r="S236" s="12" t="inlineStr">
        <is>
          <t>https://www.hillwoodcommunities.com/</t>
        </is>
      </c>
      <c r="T236" s="15" t="inlineStr">
        <is>
          <t>It is the land developer of Wolf Ranch, and it runs three Houston masterplans with a Houston general manager named.</t>
        </is>
      </c>
      <c r="U236" s="12" t="inlineStr"/>
      <c r="V236" s="15" t="inlineStr"/>
      <c r="W236" s="12" t="inlineStr">
        <is>
          <t>https://www.hillwoodcommunities.com/leadership/</t>
        </is>
      </c>
      <c r="X236" s="12" t="inlineStr"/>
      <c r="Y236" s="12" t="inlineStr"/>
      <c r="Z236" s="12" t="inlineStr"/>
      <c r="AA236" s="12" t="inlineStr">
        <is>
          <t>(214) 449-0914</t>
        </is>
      </c>
      <c r="AB236" s="12" t="inlineStr">
        <is>
          <t>Dallas office</t>
        </is>
      </c>
      <c r="AC236" s="12" t="inlineStr">
        <is>
          <t>https://www.hillwoodcommunities.com/</t>
        </is>
      </c>
    </row>
    <row r="237">
      <c r="A237" s="6" t="inlineStr">
        <is>
          <t>Russell Bynum</t>
        </is>
      </c>
      <c r="B237" s="6" t="inlineStr">
        <is>
          <t>Hillwood Communities</t>
        </is>
      </c>
      <c r="C237" s="6" t="inlineStr">
        <is>
          <t>Senior Vice President, General Manager, Houston MSA</t>
        </is>
      </c>
      <c r="D237" s="7" t="inlineStr">
        <is>
          <t>Masterplan owner</t>
        </is>
      </c>
      <c r="E237" s="8" t="n">
        <v>2</v>
      </c>
      <c r="F237" s="6" t="inlineStr">
        <is>
          <t>Sells lots</t>
        </is>
      </c>
      <c r="G237" s="6" t="inlineStr">
        <is>
          <t>Dallas HQ / Manvel, Pearland, League City</t>
        </is>
      </c>
      <c r="H237" s="6" t="inlineStr">
        <is>
          <t>Three Houston masterplans, 700 acres at Legacy alone</t>
        </is>
      </c>
      <c r="I237" s="8" t="inlineStr">
        <is>
          <t>Yes</t>
        </is>
      </c>
      <c r="J237" s="9" t="inlineStr">
        <is>
          <t>Three concurrent Houston masterplans, 700 acres at Legacy alone.</t>
        </is>
      </c>
      <c r="K237" s="8" t="inlineStr">
        <is>
          <t>No</t>
        </is>
      </c>
      <c r="L237" s="9" t="inlineStr">
        <is>
          <t>It develops lots and sells them to vertical builders. It does not pour walls.</t>
        </is>
      </c>
      <c r="M237" s="8" t="inlineStr">
        <is>
          <t>Partly</t>
        </is>
      </c>
      <c r="N237" s="9" t="inlineStr">
        <is>
          <t>A hundred printed homes were built inside one of its own communities. Hillwood developed the ground. Lennar bought the printing.</t>
        </is>
      </c>
      <c r="O237" s="8" t="inlineStr">
        <is>
          <t>Yes</t>
        </is>
      </c>
      <c r="P237" s="10" t="inlineStr"/>
      <c r="Q237" s="6">
        <f>HYPERLINK("https://www.linkedin.com/search/results/people/?keywords=Russell%20Bynum%20Hillwood%20Communities","search")</f>
        <v/>
      </c>
      <c r="R237" s="11">
        <f>IF(P237="","ADD LINKEDIN","ok")</f>
        <v/>
      </c>
      <c r="S237" s="6" t="inlineStr">
        <is>
          <t>https://www.hillwoodcommunities.com/</t>
        </is>
      </c>
      <c r="T237" s="9" t="inlineStr">
        <is>
          <t>It is the land developer of Wolf Ranch, and it runs three Houston masterplans with a Houston general manager named.</t>
        </is>
      </c>
      <c r="U237" s="6" t="inlineStr">
        <is>
          <t>YES</t>
        </is>
      </c>
      <c r="V237" s="9" t="inlineStr"/>
      <c r="W237" s="6" t="inlineStr">
        <is>
          <t>https://www.hillwoodcommunities.com/leadership/</t>
        </is>
      </c>
      <c r="X237" s="6" t="inlineStr"/>
      <c r="Y237" s="6" t="inlineStr"/>
      <c r="Z237" s="6" t="inlineStr"/>
      <c r="AA237" s="6" t="inlineStr">
        <is>
          <t>(214) 449-0914</t>
        </is>
      </c>
      <c r="AB237" s="6" t="inlineStr">
        <is>
          <t>Dallas office</t>
        </is>
      </c>
      <c r="AC237" s="6" t="inlineStr">
        <is>
          <t>https://www.hillwoodcommunities.com/</t>
        </is>
      </c>
    </row>
    <row r="238">
      <c r="A238" s="12" t="inlineStr">
        <is>
          <t>Mark Meyer</t>
        </is>
      </c>
      <c r="B238" s="12" t="inlineStr">
        <is>
          <t>Hillwood Communities</t>
        </is>
      </c>
      <c r="C238" s="12" t="inlineStr">
        <is>
          <t>Senior Vice President, Planning and Innovation</t>
        </is>
      </c>
      <c r="D238" s="13" t="inlineStr">
        <is>
          <t>Masterplan owner</t>
        </is>
      </c>
      <c r="E238" s="14" t="n">
        <v>2</v>
      </c>
      <c r="F238" s="12" t="inlineStr">
        <is>
          <t>Sells lots</t>
        </is>
      </c>
      <c r="G238" s="12" t="inlineStr">
        <is>
          <t>Dallas HQ / Manvel, Pearland, League City</t>
        </is>
      </c>
      <c r="H238" s="12" t="inlineStr">
        <is>
          <t>Three Houston masterplans, 700 acres at Legacy alone</t>
        </is>
      </c>
      <c r="I238" s="14" t="inlineStr">
        <is>
          <t>Yes</t>
        </is>
      </c>
      <c r="J238" s="15" t="inlineStr">
        <is>
          <t>Three concurrent Houston masterplans, 700 acres at Legacy alone.</t>
        </is>
      </c>
      <c r="K238" s="14" t="inlineStr">
        <is>
          <t>No</t>
        </is>
      </c>
      <c r="L238" s="15" t="inlineStr">
        <is>
          <t>It develops lots and sells them to vertical builders. It does not pour walls.</t>
        </is>
      </c>
      <c r="M238" s="14" t="inlineStr">
        <is>
          <t>Partly</t>
        </is>
      </c>
      <c r="N238" s="15" t="inlineStr">
        <is>
          <t>A hundred printed homes were built inside one of its own communities. Hillwood developed the ground. Lennar bought the printing.</t>
        </is>
      </c>
      <c r="O238" s="14" t="inlineStr">
        <is>
          <t>Yes</t>
        </is>
      </c>
      <c r="P238" s="10" t="inlineStr"/>
      <c r="Q238" s="12">
        <f>HYPERLINK("https://www.linkedin.com/search/results/people/?keywords=Mark%20Meyer%20Hillwood%20Communities","search")</f>
        <v/>
      </c>
      <c r="R238" s="16">
        <f>IF(P238="","ADD LINKEDIN","ok")</f>
        <v/>
      </c>
      <c r="S238" s="12" t="inlineStr">
        <is>
          <t>https://www.hillwoodcommunities.com/</t>
        </is>
      </c>
      <c r="T238" s="15" t="inlineStr">
        <is>
          <t>It is the land developer of Wolf Ranch, and it runs three Houston masterplans with a Houston general manager named.</t>
        </is>
      </c>
      <c r="U238" s="12" t="inlineStr"/>
      <c r="V238" s="15" t="inlineStr"/>
      <c r="W238" s="12" t="inlineStr">
        <is>
          <t>https://www.hillwoodcommunities.com/leadership/</t>
        </is>
      </c>
      <c r="X238" s="12" t="inlineStr"/>
      <c r="Y238" s="12" t="inlineStr"/>
      <c r="Z238" s="12" t="inlineStr"/>
      <c r="AA238" s="12" t="inlineStr">
        <is>
          <t>(214) 449-0914</t>
        </is>
      </c>
      <c r="AB238" s="12" t="inlineStr">
        <is>
          <t>Dallas office</t>
        </is>
      </c>
      <c r="AC238" s="12" t="inlineStr">
        <is>
          <t>https://www.hillwoodcommunities.com/</t>
        </is>
      </c>
    </row>
    <row r="239">
      <c r="A239" s="6" t="inlineStr">
        <is>
          <t>Patrick Cowden</t>
        </is>
      </c>
      <c r="B239" s="6" t="inlineStr">
        <is>
          <t>Hillwood Communities</t>
        </is>
      </c>
      <c r="C239" s="6" t="inlineStr">
        <is>
          <t>Senior Vice President, Development</t>
        </is>
      </c>
      <c r="D239" s="7" t="inlineStr">
        <is>
          <t>Masterplan owner</t>
        </is>
      </c>
      <c r="E239" s="8" t="n">
        <v>2</v>
      </c>
      <c r="F239" s="6" t="inlineStr">
        <is>
          <t>Sells lots</t>
        </is>
      </c>
      <c r="G239" s="6" t="inlineStr">
        <is>
          <t>Dallas HQ / Manvel, Pearland, League City</t>
        </is>
      </c>
      <c r="H239" s="6" t="inlineStr">
        <is>
          <t>Three Houston masterplans, 700 acres at Legacy alone</t>
        </is>
      </c>
      <c r="I239" s="8" t="inlineStr">
        <is>
          <t>Yes</t>
        </is>
      </c>
      <c r="J239" s="9" t="inlineStr">
        <is>
          <t>Three concurrent Houston masterplans, 700 acres at Legacy alone.</t>
        </is>
      </c>
      <c r="K239" s="8" t="inlineStr">
        <is>
          <t>No</t>
        </is>
      </c>
      <c r="L239" s="9" t="inlineStr">
        <is>
          <t>It develops lots and sells them to vertical builders. It does not pour walls.</t>
        </is>
      </c>
      <c r="M239" s="8" t="inlineStr">
        <is>
          <t>Partly</t>
        </is>
      </c>
      <c r="N239" s="9" t="inlineStr">
        <is>
          <t>A hundred printed homes were built inside one of its own communities. Hillwood developed the ground. Lennar bought the printing.</t>
        </is>
      </c>
      <c r="O239" s="8" t="inlineStr">
        <is>
          <t>Yes</t>
        </is>
      </c>
      <c r="P239" s="10" t="inlineStr"/>
      <c r="Q239" s="6">
        <f>HYPERLINK("https://www.linkedin.com/search/results/people/?keywords=Patrick%20Cowden%20Hillwood%20Communities","search")</f>
        <v/>
      </c>
      <c r="R239" s="11">
        <f>IF(P239="","ADD LINKEDIN","ok")</f>
        <v/>
      </c>
      <c r="S239" s="6" t="inlineStr">
        <is>
          <t>https://www.hillwoodcommunities.com/</t>
        </is>
      </c>
      <c r="T239" s="9" t="inlineStr">
        <is>
          <t>It is the land developer of Wolf Ranch, and it runs three Houston masterplans with a Houston general manager named.</t>
        </is>
      </c>
      <c r="U239" s="6" t="inlineStr"/>
      <c r="V239" s="9" t="inlineStr"/>
      <c r="W239" s="6" t="inlineStr">
        <is>
          <t>https://www.hillwoodcommunities.com/leadership/</t>
        </is>
      </c>
      <c r="X239" s="6" t="inlineStr"/>
      <c r="Y239" s="6" t="inlineStr"/>
      <c r="Z239" s="6" t="inlineStr"/>
      <c r="AA239" s="6" t="inlineStr">
        <is>
          <t>(214) 449-0914</t>
        </is>
      </c>
      <c r="AB239" s="6" t="inlineStr">
        <is>
          <t>Dallas office</t>
        </is>
      </c>
      <c r="AC239" s="6" t="inlineStr">
        <is>
          <t>https://www.hillwoodcommunities.com/</t>
        </is>
      </c>
    </row>
    <row r="240">
      <c r="A240" s="12" t="inlineStr">
        <is>
          <t>Danny Signorelli</t>
        </is>
      </c>
      <c r="B240" s="12" t="inlineStr">
        <is>
          <t>The Signorelli Company</t>
        </is>
      </c>
      <c r="C240" s="12" t="inlineStr">
        <is>
          <t>Founder and Chief Executive Officer</t>
        </is>
      </c>
      <c r="D240" s="13" t="inlineStr">
        <is>
          <t>Masterplan owner</t>
        </is>
      </c>
      <c r="E240" s="14" t="n">
        <v>2</v>
      </c>
      <c r="F240" s="12" t="inlineStr">
        <is>
          <t>Sells lots</t>
        </is>
      </c>
      <c r="G240" s="12" t="inlineStr">
        <is>
          <t>The Woodlands HQ / Fort Bend, Liberty</t>
        </is>
      </c>
      <c r="H240" s="12" t="inlineStr">
        <is>
          <t>23,000+ paper lots in pipeline</t>
        </is>
      </c>
      <c r="I240" s="14" t="inlineStr">
        <is>
          <t>Yes</t>
        </is>
      </c>
      <c r="J240" s="15" t="inlineStr">
        <is>
          <t>More than 16 masterplans and over 23,000 paper lots in pipeline.</t>
        </is>
      </c>
      <c r="K240" s="14" t="inlineStr">
        <is>
          <t>Partly</t>
        </is>
      </c>
      <c r="L240" s="15" t="inlineStr">
        <is>
          <t>It sells lots, but it owns First America Homes, and one president runs both.</t>
        </is>
      </c>
      <c r="M240" s="14" t="inlineStr">
        <is>
          <t>No</t>
        </is>
      </c>
      <c r="N240" s="15" t="inlineStr">
        <is>
          <t>Nothing on record about how anything inside its communities is built.</t>
        </is>
      </c>
      <c r="O240" s="14" t="inlineStr">
        <is>
          <t>Partly</t>
        </is>
      </c>
      <c r="P240" s="6" t="inlineStr">
        <is>
          <t>https://www.linkedin.com/in/danny-signorelli-6284461b/</t>
        </is>
      </c>
      <c r="Q240" s="12" t="inlineStr"/>
      <c r="R240" s="16">
        <f>IF(P240="","ADD LINKEDIN","ok")</f>
        <v/>
      </c>
      <c r="S240" s="12" t="inlineStr">
        <is>
          <t>https://www.signorellicompany.com/</t>
        </is>
      </c>
      <c r="T240" s="15" t="inlineStr">
        <is>
          <t>Sells lots, but owns First America Homes, which holds all three counts. One president runs both.</t>
        </is>
      </c>
      <c r="U240" s="12" t="inlineStr"/>
      <c r="V240" s="15" t="inlineStr">
        <is>
          <t>CEO, President, The Signorelli Company. Greater Houston.</t>
        </is>
      </c>
      <c r="W240" s="12" t="inlineStr"/>
      <c r="X240" s="12" t="inlineStr">
        <is>
          <t>https://www.linkedin.com/company/signorelli-company</t>
        </is>
      </c>
      <c r="Y240" s="12" t="inlineStr">
        <is>
          <t>https://www.signorellicompany.com/our-leadership</t>
        </is>
      </c>
      <c r="Z240" s="12" t="inlineStr"/>
      <c r="AA240" s="12" t="inlineStr">
        <is>
          <t>(713) 452-1700</t>
        </is>
      </c>
      <c r="AB240" s="12" t="inlineStr"/>
      <c r="AC240" s="12" t="inlineStr">
        <is>
          <t>https://www.signorellicompany.com/</t>
        </is>
      </c>
    </row>
    <row r="241">
      <c r="A241" s="6" t="inlineStr">
        <is>
          <t>Jeff Dewese</t>
        </is>
      </c>
      <c r="B241" s="6" t="inlineStr">
        <is>
          <t>The Signorelli Company</t>
        </is>
      </c>
      <c r="C241" s="6" t="inlineStr">
        <is>
          <t>President, Land Division</t>
        </is>
      </c>
      <c r="D241" s="7" t="inlineStr">
        <is>
          <t>Masterplan owner</t>
        </is>
      </c>
      <c r="E241" s="8" t="n">
        <v>2</v>
      </c>
      <c r="F241" s="6" t="inlineStr">
        <is>
          <t>Sells lots</t>
        </is>
      </c>
      <c r="G241" s="6" t="inlineStr">
        <is>
          <t>The Woodlands HQ / Fort Bend, Liberty</t>
        </is>
      </c>
      <c r="H241" s="6" t="inlineStr">
        <is>
          <t>23,000+ paper lots in pipeline</t>
        </is>
      </c>
      <c r="I241" s="8" t="inlineStr">
        <is>
          <t>Yes</t>
        </is>
      </c>
      <c r="J241" s="9" t="inlineStr">
        <is>
          <t>More than 16 masterplans and over 23,000 paper lots in pipeline.</t>
        </is>
      </c>
      <c r="K241" s="8" t="inlineStr">
        <is>
          <t>Partly</t>
        </is>
      </c>
      <c r="L241" s="9" t="inlineStr">
        <is>
          <t>It sells lots, but it owns First America Homes, and one president runs both.</t>
        </is>
      </c>
      <c r="M241" s="8" t="inlineStr">
        <is>
          <t>No</t>
        </is>
      </c>
      <c r="N241" s="9" t="inlineStr">
        <is>
          <t>Nothing on record about how anything inside its communities is built.</t>
        </is>
      </c>
      <c r="O241" s="8" t="inlineStr">
        <is>
          <t>Partly</t>
        </is>
      </c>
      <c r="P241" s="10" t="inlineStr"/>
      <c r="Q241" s="6">
        <f>HYPERLINK("https://www.linkedin.com/search/results/people/?keywords=Jeff%20Dewese%20The%20Signorelli%20Company","search")</f>
        <v/>
      </c>
      <c r="R241" s="11">
        <f>IF(P241="","ADD LINKEDIN","ok")</f>
        <v/>
      </c>
      <c r="S241" s="6" t="inlineStr">
        <is>
          <t>https://www.signorellicompany.com/</t>
        </is>
      </c>
      <c r="T241" s="9" t="inlineStr">
        <is>
          <t>Sells lots, but owns First America Homes, which holds all three counts. One president runs both.</t>
        </is>
      </c>
      <c r="U241" s="6" t="inlineStr"/>
      <c r="V241" s="9" t="inlineStr">
        <is>
          <t>Signorelli's own bio page. President, Land Division, overseeing land acquisition, planning and construction management for Granger Pines, Cielo and Austin Point.</t>
        </is>
      </c>
      <c r="W241" s="6" t="inlineStr">
        <is>
          <t>https://www.signorellicompany.com/our-leadership/15/jeff-dewese</t>
        </is>
      </c>
      <c r="X241" s="6" t="inlineStr">
        <is>
          <t>https://www.linkedin.com/company/signorelli-company</t>
        </is>
      </c>
      <c r="Y241" s="6" t="inlineStr">
        <is>
          <t>https://www.signorellicompany.com/our-leadership</t>
        </is>
      </c>
      <c r="Z241" s="6" t="inlineStr"/>
      <c r="AA241" s="6" t="inlineStr">
        <is>
          <t>(713) 452-1700</t>
        </is>
      </c>
      <c r="AB241" s="6" t="inlineStr"/>
      <c r="AC241" s="6" t="inlineStr">
        <is>
          <t>https://www.signorellicompany.com/</t>
        </is>
      </c>
    </row>
    <row r="242">
      <c r="A242" s="12" t="inlineStr">
        <is>
          <t>Harry Dinham</t>
        </is>
      </c>
      <c r="B242" s="12" t="inlineStr">
        <is>
          <t>The Signorelli Company</t>
        </is>
      </c>
      <c r="C242" s="12" t="inlineStr">
        <is>
          <t>Chief Financial Officer</t>
        </is>
      </c>
      <c r="D242" s="13" t="inlineStr">
        <is>
          <t>Masterplan owner</t>
        </is>
      </c>
      <c r="E242" s="14" t="n">
        <v>2</v>
      </c>
      <c r="F242" s="12" t="inlineStr">
        <is>
          <t>Sells lots</t>
        </is>
      </c>
      <c r="G242" s="12" t="inlineStr">
        <is>
          <t>The Woodlands HQ / Fort Bend, Liberty</t>
        </is>
      </c>
      <c r="H242" s="12" t="inlineStr">
        <is>
          <t>23,000+ paper lots in pipeline</t>
        </is>
      </c>
      <c r="I242" s="14" t="inlineStr">
        <is>
          <t>Yes</t>
        </is>
      </c>
      <c r="J242" s="15" t="inlineStr">
        <is>
          <t>More than 16 masterplans and over 23,000 paper lots in pipeline.</t>
        </is>
      </c>
      <c r="K242" s="14" t="inlineStr">
        <is>
          <t>Partly</t>
        </is>
      </c>
      <c r="L242" s="15" t="inlineStr">
        <is>
          <t>It sells lots, but it owns First America Homes, and one president runs both.</t>
        </is>
      </c>
      <c r="M242" s="14" t="inlineStr">
        <is>
          <t>No</t>
        </is>
      </c>
      <c r="N242" s="15" t="inlineStr">
        <is>
          <t>Nothing on record about how anything inside its communities is built.</t>
        </is>
      </c>
      <c r="O242" s="14" t="inlineStr">
        <is>
          <t>Partly</t>
        </is>
      </c>
      <c r="P242" s="10" t="inlineStr"/>
      <c r="Q242" s="12">
        <f>HYPERLINK("https://www.linkedin.com/search/results/people/?keywords=Harry%20Dinham%20The%20Signorelli%20Company","search")</f>
        <v/>
      </c>
      <c r="R242" s="16">
        <f>IF(P242="","ADD LINKEDIN","ok")</f>
        <v/>
      </c>
      <c r="S242" s="12" t="inlineStr">
        <is>
          <t>https://www.signorellicompany.com/</t>
        </is>
      </c>
      <c r="T242" s="15" t="inlineStr">
        <is>
          <t>Sells lots, but owns First America Homes, which holds all three counts. One president runs both.</t>
        </is>
      </c>
      <c r="U242" s="12" t="inlineStr"/>
      <c r="V242" s="15" t="inlineStr">
        <is>
          <t>Signorelli's own bio page. Chief Financial Officer on the executive leadership team.</t>
        </is>
      </c>
      <c r="W242" s="12" t="inlineStr">
        <is>
          <t>https://www.signorellicompany.com/our-leadership/30/harry-dinham</t>
        </is>
      </c>
      <c r="X242" s="12" t="inlineStr">
        <is>
          <t>https://www.linkedin.com/company/signorelli-company</t>
        </is>
      </c>
      <c r="Y242" s="12" t="inlineStr">
        <is>
          <t>https://www.signorellicompany.com/our-leadership</t>
        </is>
      </c>
      <c r="Z242" s="12" t="inlineStr"/>
      <c r="AA242" s="12" t="inlineStr">
        <is>
          <t>(713) 452-1700</t>
        </is>
      </c>
      <c r="AB242" s="12" t="inlineStr"/>
      <c r="AC242" s="12" t="inlineStr">
        <is>
          <t>https://www.signorellicompany.com/</t>
        </is>
      </c>
    </row>
    <row r="243">
      <c r="A243" s="6" t="inlineStr">
        <is>
          <t>John Winniford</t>
        </is>
      </c>
      <c r="B243" s="6" t="inlineStr">
        <is>
          <t>The Signorelli Company</t>
        </is>
      </c>
      <c r="C243" s="6" t="inlineStr">
        <is>
          <t>President, Homebuilding, The Signorelli Company</t>
        </is>
      </c>
      <c r="D243" s="7" t="inlineStr">
        <is>
          <t>Masterplan owner</t>
        </is>
      </c>
      <c r="E243" s="8" t="n">
        <v>2</v>
      </c>
      <c r="F243" s="6" t="inlineStr">
        <is>
          <t>Sells lots</t>
        </is>
      </c>
      <c r="G243" s="6" t="inlineStr">
        <is>
          <t>The Woodlands HQ / Fort Bend, Liberty</t>
        </is>
      </c>
      <c r="H243" s="6" t="inlineStr">
        <is>
          <t>23,000+ paper lots in pipeline</t>
        </is>
      </c>
      <c r="I243" s="8" t="inlineStr">
        <is>
          <t>Yes</t>
        </is>
      </c>
      <c r="J243" s="9" t="inlineStr">
        <is>
          <t>More than 16 masterplans and over 23,000 paper lots in pipeline.</t>
        </is>
      </c>
      <c r="K243" s="8" t="inlineStr">
        <is>
          <t>Partly</t>
        </is>
      </c>
      <c r="L243" s="9" t="inlineStr">
        <is>
          <t>It sells lots, but it owns First America Homes, and one president runs both.</t>
        </is>
      </c>
      <c r="M243" s="8" t="inlineStr">
        <is>
          <t>No</t>
        </is>
      </c>
      <c r="N243" s="9" t="inlineStr">
        <is>
          <t>Nothing on record about how anything inside its communities is built.</t>
        </is>
      </c>
      <c r="O243" s="8" t="inlineStr">
        <is>
          <t>Partly</t>
        </is>
      </c>
      <c r="P243" s="10" t="inlineStr"/>
      <c r="Q243" s="6">
        <f>HYPERLINK("https://www.linkedin.com/search/results/people/?keywords=John%20Winniford%20The%20Signorelli%20Company","search")</f>
        <v/>
      </c>
      <c r="R243" s="11">
        <f>IF(P243="","ADD LINKEDIN","ok")</f>
        <v/>
      </c>
      <c r="S243" s="6" t="inlineStr">
        <is>
          <t>https://www.signorellicompany.com/</t>
        </is>
      </c>
      <c r="T243" s="9" t="inlineStr">
        <is>
          <t>Sells lots, but owns First America Homes, which holds all three counts. One president runs both.</t>
        </is>
      </c>
      <c r="U243" s="6" t="inlineStr"/>
      <c r="V243" s="9" t="inlineStr">
        <is>
          <t>President, Homebuilding. The same person who runs First America, which Signorelli owns, so a single approach reaches both the land position and the builder.</t>
        </is>
      </c>
      <c r="W243" s="6" t="inlineStr">
        <is>
          <t>https://www.signorellicompany.com/our-leadership/34/john-winniford</t>
        </is>
      </c>
      <c r="X243" s="6" t="inlineStr">
        <is>
          <t>https://www.linkedin.com/company/signorelli-company</t>
        </is>
      </c>
      <c r="Y243" s="6" t="inlineStr">
        <is>
          <t>https://www.signorellicompany.com/our-leadership</t>
        </is>
      </c>
      <c r="Z243" s="6" t="inlineStr"/>
      <c r="AA243" s="6" t="inlineStr">
        <is>
          <t>(713) 452-1700</t>
        </is>
      </c>
      <c r="AB243" s="6" t="inlineStr"/>
      <c r="AC243" s="6" t="inlineStr">
        <is>
          <t>https://www.signorellicompany.com/</t>
        </is>
      </c>
    </row>
    <row r="244">
      <c r="A244" s="12" t="inlineStr">
        <is>
          <t>Fred Caldwell</t>
        </is>
      </c>
      <c r="B244" s="12" t="inlineStr">
        <is>
          <t>Caldwell Companies</t>
        </is>
      </c>
      <c r="C244" s="12" t="inlineStr">
        <is>
          <t>Chief Executive Officer, Caldwell Companies</t>
        </is>
      </c>
      <c r="D244" s="13" t="inlineStr">
        <is>
          <t>Masterplan owner</t>
        </is>
      </c>
      <c r="E244" s="14" t="n">
        <v>2</v>
      </c>
      <c r="F244" s="12" t="inlineStr">
        <is>
          <t>Sells lots</t>
        </is>
      </c>
      <c r="G244" s="12" t="inlineStr">
        <is>
          <t>Cypress / Montgomery, Harris</t>
        </is>
      </c>
      <c r="H244" s="12" t="inlineStr">
        <is>
          <t>Towne Lake and The Highlands, more than 4,000 homes at The Highlands alone</t>
        </is>
      </c>
      <c r="I244" s="14" t="inlineStr">
        <is>
          <t>Yes</t>
        </is>
      </c>
      <c r="J244" s="15" t="inlineStr">
        <is>
          <t>The Highlands alone carries more than 4,000 planned homes across thirteen builders, and Towne Lake is a second community.</t>
        </is>
      </c>
      <c r="K244" s="14" t="inlineStr">
        <is>
          <t>Partly</t>
        </is>
      </c>
      <c r="L244" s="15" t="inlineStr">
        <is>
          <t>It sells lots, and through Caldwell Homes it also builds. The wall decision exists inside the group.</t>
        </is>
      </c>
      <c r="M244" s="14" t="inlineStr">
        <is>
          <t>No</t>
        </is>
      </c>
      <c r="N244" s="15" t="inlineStr">
        <is>
          <t>Caldwell Companies publishes no construction-method content. Caldwell Homes, its own division, is screened separately on this deck.</t>
        </is>
      </c>
      <c r="O244" s="14" t="inlineStr">
        <is>
          <t>No</t>
        </is>
      </c>
      <c r="P244" s="10" t="inlineStr"/>
      <c r="Q244" s="12">
        <f>HYPERLINK("https://www.linkedin.com/search/results/people/?keywords=Fred%20Caldwell%20Caldwell%20Companies","search")</f>
        <v/>
      </c>
      <c r="R244" s="16">
        <f>IF(P244="","ADD LINKEDIN","ok")</f>
        <v/>
      </c>
      <c r="S244" s="12" t="inlineStr">
        <is>
          <t>https://caldwellcos.com/</t>
        </is>
      </c>
      <c r="T244" s="15" t="inlineStr">
        <is>
          <t>Sells lots. Towne Lake and The Highlands carry 4,000 homes across 12 builders.</t>
        </is>
      </c>
      <c r="U244" s="12" t="inlineStr"/>
      <c r="V244" s="15" t="inlineStr"/>
      <c r="W244" s="12" t="inlineStr">
        <is>
          <t>https://caldwellcos.com/our-team</t>
        </is>
      </c>
      <c r="X244" s="12" t="inlineStr">
        <is>
          <t>https://www.linkedin.com/company/caldwell-companies</t>
        </is>
      </c>
      <c r="Y244" s="12" t="inlineStr">
        <is>
          <t>https://caldwellcos.com/our-team</t>
        </is>
      </c>
      <c r="Z244" s="12" t="inlineStr"/>
      <c r="AA244" s="12" t="inlineStr">
        <is>
          <t>(713) 690-0000</t>
        </is>
      </c>
      <c r="AB244" s="12" t="inlineStr">
        <is>
          <t>Houston and Cypress</t>
        </is>
      </c>
      <c r="AC244" s="12" t="inlineStr">
        <is>
          <t>https://caldwellcos.com/</t>
        </is>
      </c>
    </row>
    <row r="245">
      <c r="A245" s="6" t="inlineStr">
        <is>
          <t>Alan Brende</t>
        </is>
      </c>
      <c r="B245" s="6" t="inlineStr">
        <is>
          <t>Land Tejas</t>
        </is>
      </c>
      <c r="C245" s="6" t="inlineStr">
        <is>
          <t>Co-President, Land Tejas</t>
        </is>
      </c>
      <c r="D245" s="7" t="inlineStr">
        <is>
          <t>Masterplan owner</t>
        </is>
      </c>
      <c r="E245" s="8" t="n">
        <v>1</v>
      </c>
      <c r="F245" s="6" t="inlineStr">
        <is>
          <t>Sells lots</t>
        </is>
      </c>
      <c r="G245" s="6" t="inlineStr">
        <is>
          <t>Houston / Katy, Harris-Waller</t>
        </is>
      </c>
      <c r="H245" s="6" t="inlineStr">
        <is>
          <t>Sunterra in Katy, eighteen builders inside it</t>
        </is>
      </c>
      <c r="I245" s="8" t="inlineStr">
        <is>
          <t>Yes</t>
        </is>
      </c>
      <c r="J245" s="9" t="inlineStr">
        <is>
          <t>Sunterra carries eighteen builders inside one community.</t>
        </is>
      </c>
      <c r="K245" s="8" t="inlineStr">
        <is>
          <t>No</t>
        </is>
      </c>
      <c r="L245" s="9" t="inlineStr">
        <is>
          <t>It sells lots. Eighteen builders buy the wall.</t>
        </is>
      </c>
      <c r="M245" s="8" t="inlineStr">
        <is>
          <t>No</t>
        </is>
      </c>
      <c r="N245" s="9" t="inlineStr">
        <is>
          <t>Nothing on record about construction method.</t>
        </is>
      </c>
      <c r="O245" s="8" t="inlineStr">
        <is>
          <t>Yes</t>
        </is>
      </c>
      <c r="P245" s="10" t="inlineStr"/>
      <c r="Q245" s="6">
        <f>HYPERLINK("https://www.linkedin.com/search/results/people/?keywords=Alan%20Brende%20Land%20Tejas","search")</f>
        <v/>
      </c>
      <c r="R245" s="11">
        <f>IF(P245="","ADD LINKEDIN","ok")</f>
        <v/>
      </c>
      <c r="S245" s="6" t="inlineStr">
        <is>
          <t>https://landtejas.com/</t>
        </is>
      </c>
      <c r="T245" s="9" t="inlineStr">
        <is>
          <t>Sells lots. Sunterra carries 2,303 acres and 15 builders.</t>
        </is>
      </c>
      <c r="U245" s="6" t="inlineStr"/>
      <c r="V245" s="9" t="inlineStr"/>
      <c r="W245" s="6" t="inlineStr">
        <is>
          <t>https://landtejas.com/about-us/our-leadership/</t>
        </is>
      </c>
      <c r="X245" s="6" t="inlineStr">
        <is>
          <t>https://www.linkedin.com/company/land-tejas-companies</t>
        </is>
      </c>
      <c r="Y245" s="6" t="inlineStr">
        <is>
          <t>https://landtejas.com/about-us/our-leadership/</t>
        </is>
      </c>
      <c r="Z245" s="6" t="inlineStr"/>
      <c r="AA245" s="6" t="inlineStr">
        <is>
          <t>(713) 783-6702</t>
        </is>
      </c>
      <c r="AB245" s="6" t="inlineStr"/>
      <c r="AC245" s="6" t="inlineStr">
        <is>
          <t>https://landtejas.com/</t>
        </is>
      </c>
    </row>
    <row r="246">
      <c r="A246" s="12" t="inlineStr">
        <is>
          <t>Melanie Ohl</t>
        </is>
      </c>
      <c r="B246" s="12" t="inlineStr">
        <is>
          <t>Land Tejas</t>
        </is>
      </c>
      <c r="C246" s="12" t="inlineStr">
        <is>
          <t>Co-President, Land Tejas</t>
        </is>
      </c>
      <c r="D246" s="13" t="inlineStr">
        <is>
          <t>Masterplan owner</t>
        </is>
      </c>
      <c r="E246" s="14" t="n">
        <v>1</v>
      </c>
      <c r="F246" s="12" t="inlineStr">
        <is>
          <t>Sells lots</t>
        </is>
      </c>
      <c r="G246" s="12" t="inlineStr">
        <is>
          <t>Houston / Katy, Harris-Waller</t>
        </is>
      </c>
      <c r="H246" s="12" t="inlineStr">
        <is>
          <t>Sunterra in Katy, eighteen builders inside it</t>
        </is>
      </c>
      <c r="I246" s="14" t="inlineStr">
        <is>
          <t>Yes</t>
        </is>
      </c>
      <c r="J246" s="15" t="inlineStr">
        <is>
          <t>Sunterra carries eighteen builders inside one community.</t>
        </is>
      </c>
      <c r="K246" s="14" t="inlineStr">
        <is>
          <t>No</t>
        </is>
      </c>
      <c r="L246" s="15" t="inlineStr">
        <is>
          <t>It sells lots. Eighteen builders buy the wall.</t>
        </is>
      </c>
      <c r="M246" s="14" t="inlineStr">
        <is>
          <t>No</t>
        </is>
      </c>
      <c r="N246" s="15" t="inlineStr">
        <is>
          <t>Nothing on record about construction method.</t>
        </is>
      </c>
      <c r="O246" s="14" t="inlineStr">
        <is>
          <t>Yes</t>
        </is>
      </c>
      <c r="P246" s="10" t="inlineStr"/>
      <c r="Q246" s="12">
        <f>HYPERLINK("https://www.linkedin.com/search/results/people/?keywords=Melanie%20Ohl%20Land%20Tejas","search")</f>
        <v/>
      </c>
      <c r="R246" s="16">
        <f>IF(P246="","ADD LINKEDIN","ok")</f>
        <v/>
      </c>
      <c r="S246" s="12" t="inlineStr">
        <is>
          <t>https://landtejas.com/</t>
        </is>
      </c>
      <c r="T246" s="15" t="inlineStr">
        <is>
          <t>Sells lots. Sunterra carries 2,303 acres and 15 builders.</t>
        </is>
      </c>
      <c r="U246" s="12" t="inlineStr"/>
      <c r="V246" s="15" t="inlineStr"/>
      <c r="W246" s="12" t="inlineStr">
        <is>
          <t>https://landtejas.com/about-us/our-leadership/</t>
        </is>
      </c>
      <c r="X246" s="12" t="inlineStr">
        <is>
          <t>https://www.linkedin.com/company/land-tejas-companies</t>
        </is>
      </c>
      <c r="Y246" s="12" t="inlineStr">
        <is>
          <t>https://landtejas.com/about-us/our-leadership/</t>
        </is>
      </c>
      <c r="Z246" s="12" t="inlineStr"/>
      <c r="AA246" s="12" t="inlineStr">
        <is>
          <t>(713) 783-6702</t>
        </is>
      </c>
      <c r="AB246" s="12" t="inlineStr"/>
      <c r="AC246" s="12" t="inlineStr">
        <is>
          <t>https://landtejas.com/</t>
        </is>
      </c>
    </row>
    <row r="247">
      <c r="A247" s="6" t="inlineStr">
        <is>
          <t>Michael J. Smith</t>
        </is>
      </c>
      <c r="B247" s="6" t="inlineStr">
        <is>
          <t>Johnson Development Corp</t>
        </is>
      </c>
      <c r="C247" s="6" t="inlineStr">
        <is>
          <t>President and Chief Executive Officer, Johnson Development</t>
        </is>
      </c>
      <c r="D247" s="7" t="inlineStr">
        <is>
          <t>Masterplan owner</t>
        </is>
      </c>
      <c r="E247" s="8" t="n">
        <v>1</v>
      </c>
      <c r="F247" s="6" t="inlineStr">
        <is>
          <t>Sells lots</t>
        </is>
      </c>
      <c r="G247" s="6" t="inlineStr">
        <is>
          <t>Houston / Fort Bend, Montgomery</t>
        </is>
      </c>
      <c r="H247" s="6" t="inlineStr">
        <is>
          <t>Fifteen concurrent Houston masterplans</t>
        </is>
      </c>
      <c r="I247" s="8" t="inlineStr">
        <is>
          <t>Yes</t>
        </is>
      </c>
      <c r="J247" s="9" t="inlineStr">
        <is>
          <t>Fifteen concurrent Houston masterplans, by its own count.</t>
        </is>
      </c>
      <c r="K247" s="8" t="inlineStr">
        <is>
          <t>No</t>
        </is>
      </c>
      <c r="L247" s="9" t="inlineStr">
        <is>
          <t>It sells lots and does not pour walls.</t>
        </is>
      </c>
      <c r="M247" s="8" t="inlineStr">
        <is>
          <t>No</t>
        </is>
      </c>
      <c r="N247" s="9" t="inlineStr">
        <is>
          <t>Johnson Development publishes no construction-method content.</t>
        </is>
      </c>
      <c r="O247" s="8" t="inlineStr">
        <is>
          <t>No</t>
        </is>
      </c>
      <c r="P247" s="10" t="inlineStr"/>
      <c r="Q247" s="6">
        <f>HYPERLINK("https://www.linkedin.com/search/results/people/?keywords=Michael%20J.%20Smith%20Johnson%20Development%20Corp","search")</f>
        <v/>
      </c>
      <c r="R247" s="11">
        <f>IF(P247="","ADD LINKEDIN","ok")</f>
        <v/>
      </c>
      <c r="S247" s="6" t="inlineStr">
        <is>
          <t>https://www.johnsondevelopment.com/</t>
        </is>
      </c>
      <c r="T247" s="9" t="inlineStr">
        <is>
          <t>Sells lots across 14 Houston masterplans. Buys no walls.</t>
        </is>
      </c>
      <c r="U247" s="6" t="inlineStr"/>
      <c r="V247" s="9" t="inlineStr"/>
      <c r="W247" s="6" t="inlineStr">
        <is>
          <t>https://www.johnsondevelopment.com/our-leaders</t>
        </is>
      </c>
      <c r="X247" s="6" t="inlineStr">
        <is>
          <t>https://www.linkedin.com/company/the-johnson-development-corp</t>
        </is>
      </c>
      <c r="Y247" s="6" t="inlineStr">
        <is>
          <t>https://www.johnsondevelopment.com/our-leaders</t>
        </is>
      </c>
      <c r="Z247" s="6" t="inlineStr"/>
      <c r="AA247" s="6" t="inlineStr">
        <is>
          <t>(713) 960-9977</t>
        </is>
      </c>
      <c r="AB247" s="6" t="inlineStr"/>
      <c r="AC247" s="6" t="inlineStr">
        <is>
          <t>https://www.johnsondevelopment.com/</t>
        </is>
      </c>
    </row>
    <row r="248">
      <c r="A248" s="12" t="inlineStr">
        <is>
          <t>Alan Bauer</t>
        </is>
      </c>
      <c r="B248" s="12" t="inlineStr">
        <is>
          <t>Newland Communities</t>
        </is>
      </c>
      <c r="C248" s="12" t="inlineStr">
        <is>
          <t>Senior Vice President and Houston Division Manager, Newland (2019)</t>
        </is>
      </c>
      <c r="D248" s="13" t="inlineStr">
        <is>
          <t>Masterplan owner</t>
        </is>
      </c>
      <c r="E248" s="14" t="n">
        <v>1</v>
      </c>
      <c r="F248" s="12" t="inlineStr">
        <is>
          <t>Sells lots</t>
        </is>
      </c>
      <c r="G248" s="12" t="inlineStr">
        <is>
          <t>San Diego HQ / Katy, Harris</t>
        </is>
      </c>
      <c r="H248" s="12" t="inlineStr">
        <is>
          <t>Elyson, 3,600 acres in Katy</t>
        </is>
      </c>
      <c r="I248" s="14" t="inlineStr">
        <is>
          <t>Partly</t>
        </is>
      </c>
      <c r="J248" s="15" t="inlineStr">
        <is>
          <t>One Houston community, Elyson, at 3,600 acres in Katy.</t>
        </is>
      </c>
      <c r="K248" s="14" t="inlineStr">
        <is>
          <t>No</t>
        </is>
      </c>
      <c r="L248" s="15" t="inlineStr">
        <is>
          <t>It sells lots, and the platform now sits inside Brookfield Residential.</t>
        </is>
      </c>
      <c r="M248" s="14" t="inlineStr">
        <is>
          <t>No</t>
        </is>
      </c>
      <c r="N248" s="15" t="inlineStr">
        <is>
          <t>Nothing on record about construction method.</t>
        </is>
      </c>
      <c r="O248" s="14" t="inlineStr">
        <is>
          <t>No</t>
        </is>
      </c>
      <c r="P248" s="10" t="inlineStr"/>
      <c r="Q248" s="12">
        <f>HYPERLINK("https://www.linkedin.com/search/results/people/?keywords=Alan%20Bauer%20Newland%20Communities","search")</f>
        <v/>
      </c>
      <c r="R248" s="16">
        <f>IF(P248="","ADD LINKEDIN","ok")</f>
        <v/>
      </c>
      <c r="S248" s="12" t="inlineStr">
        <is>
          <t>https://newlandco.com/</t>
        </is>
      </c>
      <c r="T248" s="15" t="inlineStr">
        <is>
          <t>3,600-acre Elyson, but Newland has been absorbed into Brookfield Residential and no longer publishes its own leadership. The one Houston name on record is from 2019.</t>
        </is>
      </c>
      <c r="U248" s="12" t="inlineStr"/>
      <c r="V248" s="15" t="inlineStr">
        <is>
          <t>Senior Vice President and Division Manager for Newland's Houston division, per the West Houston Association board announcement. Dated 2019 and unconfirmed since, because Newland no longer publishes its own leadership.</t>
        </is>
      </c>
      <c r="W248" s="12" t="inlineStr">
        <is>
          <t>https://www.westhouston.org/2019/01/18/welcome-to-the-2019-board-or-directors/</t>
        </is>
      </c>
      <c r="X248" s="12" t="inlineStr">
        <is>
          <t>https://www.linkedin.com/company/newland-communities-llc</t>
        </is>
      </c>
      <c r="Y248" s="12" t="inlineStr"/>
      <c r="Z248" s="12" t="inlineStr"/>
      <c r="AA248" s="12" t="inlineStr"/>
      <c r="AB248" s="12" t="inlineStr"/>
      <c r="AC248" s="12" t="inlineStr"/>
    </row>
    <row r="249">
      <c r="A249" s="6" t="inlineStr">
        <is>
          <t>Michael Reamer</t>
        </is>
      </c>
      <c r="B249" s="6" t="inlineStr">
        <is>
          <t>Friendswood Development Company</t>
        </is>
      </c>
      <c r="C249" s="6" t="inlineStr">
        <is>
          <t>President, Friendswood Development Company</t>
        </is>
      </c>
      <c r="D249" s="7" t="inlineStr">
        <is>
          <t>Already working with ICON</t>
        </is>
      </c>
      <c r="E249" s="8" t="n">
        <v>2</v>
      </c>
      <c r="F249" s="6" t="inlineStr">
        <is>
          <t>Sells lots</t>
        </is>
      </c>
      <c r="G249" s="6" t="inlineStr">
        <is>
          <t>Houston / Montgomery, Galveston</t>
        </is>
      </c>
      <c r="H249" s="6" t="inlineStr">
        <is>
          <t>Sells lots inside its own masterplans; Lennar builds</t>
        </is>
      </c>
      <c r="I249" s="8" t="inlineStr">
        <is>
          <t>Partly</t>
        </is>
      </c>
      <c r="J249" s="9" t="inlineStr">
        <is>
          <t>Sells lots inside its own masterplans. Lennar builds the houses.</t>
        </is>
      </c>
      <c r="K249" s="8" t="inlineStr">
        <is>
          <t>No</t>
        </is>
      </c>
      <c r="L249" s="9" t="inlineStr">
        <is>
          <t>Sells lots, wholly owned by Lennar, so the route is Lennar.</t>
        </is>
      </c>
      <c r="M249" s="8" t="inlineStr">
        <is>
          <t>Partly</t>
        </is>
      </c>
      <c r="N249" s="9" t="inlineStr">
        <is>
          <t>The parent, Lennar, built a hundred printed homes with ICON at Wolf Ranch. Friendswood itself buys no walls.</t>
        </is>
      </c>
      <c r="O249" s="8" t="inlineStr">
        <is>
          <t>Partly</t>
        </is>
      </c>
      <c r="P249" s="10" t="inlineStr"/>
      <c r="Q249" s="6">
        <f>HYPERLINK("https://www.linkedin.com/search/results/people/?keywords=Michael%20Reamer%20Friendswood%20Development%20Company","search")</f>
        <v/>
      </c>
      <c r="R249" s="11">
        <f>IF(P249="","ADD LINKEDIN","ok")</f>
        <v/>
      </c>
      <c r="S249" s="6" t="inlineStr">
        <is>
          <t>https://friendswooddevelopment.com/</t>
        </is>
      </c>
      <c r="T249" s="9" t="inlineStr">
        <is>
          <t>Sells lots, wholly owned by Lennar since 2000. Lennar built a hundred printed homes with ICON at Wolf Ranch.</t>
        </is>
      </c>
      <c r="U249" s="6" t="inlineStr"/>
      <c r="V249" s="9" t="inlineStr"/>
      <c r="W249" s="6" t="inlineStr">
        <is>
          <t>https://friendswooddevelopment.com/people</t>
        </is>
      </c>
      <c r="X249" s="6" t="inlineStr">
        <is>
          <t>https://www.linkedin.com/company/friendswood-development-company</t>
        </is>
      </c>
      <c r="Y249" s="6" t="inlineStr">
        <is>
          <t>https://friendswooddevelopment.com/people</t>
        </is>
      </c>
      <c r="Z249" s="6" t="inlineStr"/>
      <c r="AA249" s="6" t="inlineStr">
        <is>
          <t>(281) 875-1552</t>
        </is>
      </c>
      <c r="AB249" s="6" t="inlineStr"/>
      <c r="AC249" s="6" t="inlineStr">
        <is>
          <t>https://friendswooddevelopment.com/contact-us</t>
        </is>
      </c>
    </row>
    <row r="250">
      <c r="A250" s="12" t="inlineStr">
        <is>
          <t>George Kopecky</t>
        </is>
      </c>
      <c r="B250" s="12" t="inlineStr">
        <is>
          <t>GreenEco Builders</t>
        </is>
      </c>
      <c r="C250" s="12" t="inlineStr">
        <is>
          <t>President</t>
        </is>
      </c>
      <c r="D250" s="13" t="inlineStr">
        <is>
          <t>Already working with ICON</t>
        </is>
      </c>
      <c r="E250" s="14" t="n">
        <v>2</v>
      </c>
      <c r="F250" s="12" t="inlineStr">
        <is>
          <t>Buys walls</t>
        </is>
      </c>
      <c r="G250" s="12" t="inlineStr">
        <is>
          <t>Tavola, New Caney</t>
        </is>
      </c>
      <c r="H250" s="12" t="inlineStr">
        <is>
          <t>Owned by Rausch Coleman, which Lennar bought in February 2025</t>
        </is>
      </c>
      <c r="I250" s="14" t="inlineStr">
        <is>
          <t>Partly</t>
        </is>
      </c>
      <c r="J250" s="15" t="inlineStr">
        <is>
          <t>One confirmed community, Tavola in New Caney. The footprint is small.</t>
        </is>
      </c>
      <c r="K250" s="14" t="inlineStr">
        <is>
          <t>Partly</t>
        </is>
      </c>
      <c r="L250" s="15" t="inlineStr">
        <is>
          <t>No volume figure is published for the Houston operation.</t>
        </is>
      </c>
      <c r="M250" s="14" t="inlineStr">
        <is>
          <t>No</t>
        </is>
      </c>
      <c r="N250" s="15" t="inlineStr">
        <is>
          <t>Nothing on record. The energy-product claims this card used to carry came from a page that no longer exists.</t>
        </is>
      </c>
      <c r="O250" s="14" t="inlineStr">
        <is>
          <t>No</t>
        </is>
      </c>
      <c r="P250" s="6" t="inlineStr">
        <is>
          <t>https://www.linkedin.com/in/george-kopecky-7ba08a26/</t>
        </is>
      </c>
      <c r="Q250" s="12" t="inlineStr"/>
      <c r="R250" s="16">
        <f>IF(P250="","ADD LINKEDIN","ok")</f>
        <v/>
      </c>
      <c r="S250" s="12" t="inlineStr">
        <is>
          <t>no website confirmed</t>
        </is>
      </c>
      <c r="T250" s="15" t="inlineStr">
        <is>
          <t>Orders windows per home rather than per community so it can adopt newer products. Owned by Rausch Coleman Homes, which Lennar bought in February 2025.</t>
        </is>
      </c>
      <c r="U250" s="12" t="inlineStr"/>
      <c r="V250" s="15" t="inlineStr">
        <is>
          <t>Indexed title reads George Kopecky, President at GreenEco Builders. Named as the firm's principal in trade coverage of the 2020 sale to Rausch Coleman.</t>
        </is>
      </c>
      <c r="W250" s="12" t="inlineStr"/>
      <c r="X250" s="12" t="inlineStr"/>
      <c r="Y250" s="12" t="inlineStr"/>
      <c r="Z250" s="12" t="inlineStr"/>
      <c r="AA250" s="12" t="inlineStr"/>
      <c r="AB250" s="12" t="inlineStr"/>
      <c r="AC250" s="12" t="inlineStr"/>
    </row>
    <row r="251">
      <c r="A251" s="6" t="inlineStr">
        <is>
          <t>Steven D. Alvis</t>
        </is>
      </c>
      <c r="B251" s="6" t="inlineStr">
        <is>
          <t>NewQuest Properties</t>
        </is>
      </c>
      <c r="C251" s="6" t="inlineStr">
        <is>
          <t>Co-Founder and Managing Partner</t>
        </is>
      </c>
      <c r="D251" s="7" t="inlineStr">
        <is>
          <t>Off deck, screened out</t>
        </is>
      </c>
      <c r="E251" s="8" t="n">
        <v>1</v>
      </c>
      <c r="F251" s="6" t="inlineStr">
        <is>
          <t>Buys walls</t>
        </is>
      </c>
      <c r="G251" s="6" t="inlineStr">
        <is>
          <t>Houston HQ / Fort Bend, Brazoria</t>
        </is>
      </c>
      <c r="H251" s="6" t="inlineStr">
        <is>
          <t>$3.1B portfolio, 12M sf managed</t>
        </is>
      </c>
      <c r="I251" s="8" t="inlineStr">
        <is>
          <t>Yes</t>
        </is>
      </c>
      <c r="J251" s="9" t="inlineStr"/>
      <c r="K251" s="8" t="inlineStr">
        <is>
          <t>No</t>
        </is>
      </c>
      <c r="L251" s="9" t="inlineStr"/>
      <c r="M251" s="8" t="inlineStr">
        <is>
          <t>No</t>
        </is>
      </c>
      <c r="N251" s="9" t="inlineStr"/>
      <c r="O251" s="8" t="inlineStr">
        <is>
          <t>Yes</t>
        </is>
      </c>
      <c r="P251" s="10" t="inlineStr"/>
      <c r="Q251" s="6">
        <f>HYPERLINK("https://www.linkedin.com/search/results/people/?keywords=Steven%20D.%20Alvis%20NewQuest%20Properties","search")</f>
        <v/>
      </c>
      <c r="R251" s="11">
        <f>IF(P251="","ADD LINKEDIN","ok")</f>
        <v/>
      </c>
      <c r="S251" s="6" t="inlineStr">
        <is>
          <t>https://www.newquest.com/</t>
        </is>
      </c>
      <c r="T251" s="9" t="inlineStr">
        <is>
          <t>$3.1B portfolio and a repeated Town Center format. Retail shells compete against tilt-wall, not stick framing.</t>
        </is>
      </c>
      <c r="U251" s="6" t="inlineStr"/>
      <c r="V251" s="9" t="inlineStr"/>
      <c r="W251" s="6" t="inlineStr">
        <is>
          <t>https://www.newquest.com/about-us/leadership/</t>
        </is>
      </c>
      <c r="X251" s="6" t="inlineStr">
        <is>
          <t>https://www.linkedin.com/company/newquest-properties</t>
        </is>
      </c>
      <c r="Y251" s="6" t="inlineStr">
        <is>
          <t>https://www.newquest.com/about-us/leadership/</t>
        </is>
      </c>
      <c r="Z251" s="6" t="inlineStr"/>
      <c r="AA251" s="6" t="inlineStr">
        <is>
          <t>(281) 477-4300</t>
        </is>
      </c>
      <c r="AB251" s="6" t="inlineStr">
        <is>
          <t>contact, corporate headquarters</t>
        </is>
      </c>
      <c r="AC251" s="6" t="inlineStr">
        <is>
          <t>https://www.newquest.com/contact-us/</t>
        </is>
      </c>
    </row>
    <row r="252">
      <c r="A252" s="12" t="inlineStr">
        <is>
          <t>Jay K. Sears</t>
        </is>
      </c>
      <c r="B252" s="12" t="inlineStr">
        <is>
          <t>NewQuest Properties</t>
        </is>
      </c>
      <c r="C252" s="12" t="inlineStr">
        <is>
          <t>Co-Founder and Managing Partner</t>
        </is>
      </c>
      <c r="D252" s="13" t="inlineStr">
        <is>
          <t>Off deck, screened out</t>
        </is>
      </c>
      <c r="E252" s="14" t="n">
        <v>1</v>
      </c>
      <c r="F252" s="12" t="inlineStr">
        <is>
          <t>Buys walls</t>
        </is>
      </c>
      <c r="G252" s="12" t="inlineStr">
        <is>
          <t>Houston HQ / Fort Bend, Brazoria</t>
        </is>
      </c>
      <c r="H252" s="12" t="inlineStr">
        <is>
          <t>$3.1B portfolio, 12M sf managed</t>
        </is>
      </c>
      <c r="I252" s="14" t="inlineStr">
        <is>
          <t>Yes</t>
        </is>
      </c>
      <c r="J252" s="15" t="inlineStr"/>
      <c r="K252" s="14" t="inlineStr">
        <is>
          <t>No</t>
        </is>
      </c>
      <c r="L252" s="15" t="inlineStr"/>
      <c r="M252" s="14" t="inlineStr">
        <is>
          <t>No</t>
        </is>
      </c>
      <c r="N252" s="15" t="inlineStr"/>
      <c r="O252" s="14" t="inlineStr">
        <is>
          <t>Yes</t>
        </is>
      </c>
      <c r="P252" s="10" t="inlineStr"/>
      <c r="Q252" s="12">
        <f>HYPERLINK("https://www.linkedin.com/search/results/people/?keywords=Jay%20K.%20Sears%20NewQuest%20Properties","search")</f>
        <v/>
      </c>
      <c r="R252" s="16">
        <f>IF(P252="","ADD LINKEDIN","ok")</f>
        <v/>
      </c>
      <c r="S252" s="12" t="inlineStr">
        <is>
          <t>https://www.newquest.com/</t>
        </is>
      </c>
      <c r="T252" s="15" t="inlineStr">
        <is>
          <t>$3.1B portfolio and a repeated Town Center format. Retail shells compete against tilt-wall, not stick framing.</t>
        </is>
      </c>
      <c r="U252" s="12" t="inlineStr"/>
      <c r="V252" s="15" t="inlineStr"/>
      <c r="W252" s="12" t="inlineStr">
        <is>
          <t>https://www.newquest.com/about-us/leadership/</t>
        </is>
      </c>
      <c r="X252" s="12" t="inlineStr">
        <is>
          <t>https://www.linkedin.com/company/newquest-properties</t>
        </is>
      </c>
      <c r="Y252" s="12" t="inlineStr">
        <is>
          <t>https://www.newquest.com/about-us/leadership/</t>
        </is>
      </c>
      <c r="Z252" s="12" t="inlineStr"/>
      <c r="AA252" s="12" t="inlineStr">
        <is>
          <t>(281) 477-4300</t>
        </is>
      </c>
      <c r="AB252" s="12" t="inlineStr">
        <is>
          <t>contact, corporate headquarters</t>
        </is>
      </c>
      <c r="AC252" s="12" t="inlineStr">
        <is>
          <t>https://www.newquest.com/contact-us/</t>
        </is>
      </c>
    </row>
    <row r="253">
      <c r="A253" s="6" t="inlineStr">
        <is>
          <t>Austin Alvis</t>
        </is>
      </c>
      <c r="B253" s="6" t="inlineStr">
        <is>
          <t>NewQuest Properties</t>
        </is>
      </c>
      <c r="C253" s="6" t="inlineStr">
        <is>
          <t>President and Chief Development Officer</t>
        </is>
      </c>
      <c r="D253" s="7" t="inlineStr">
        <is>
          <t>Off deck, screened out</t>
        </is>
      </c>
      <c r="E253" s="8" t="n">
        <v>1</v>
      </c>
      <c r="F253" s="6" t="inlineStr">
        <is>
          <t>Buys walls</t>
        </is>
      </c>
      <c r="G253" s="6" t="inlineStr">
        <is>
          <t>Houston HQ / Fort Bend, Brazoria</t>
        </is>
      </c>
      <c r="H253" s="6" t="inlineStr">
        <is>
          <t>$3.1B portfolio, 12M sf managed</t>
        </is>
      </c>
      <c r="I253" s="8" t="inlineStr">
        <is>
          <t>Yes</t>
        </is>
      </c>
      <c r="J253" s="9" t="inlineStr"/>
      <c r="K253" s="8" t="inlineStr">
        <is>
          <t>No</t>
        </is>
      </c>
      <c r="L253" s="9" t="inlineStr"/>
      <c r="M253" s="8" t="inlineStr">
        <is>
          <t>No</t>
        </is>
      </c>
      <c r="N253" s="9" t="inlineStr"/>
      <c r="O253" s="8" t="inlineStr">
        <is>
          <t>Yes</t>
        </is>
      </c>
      <c r="P253" s="10" t="inlineStr"/>
      <c r="Q253" s="6">
        <f>HYPERLINK("https://www.linkedin.com/search/results/people/?keywords=Austin%20Alvis%20NewQuest%20Properties","search")</f>
        <v/>
      </c>
      <c r="R253" s="11">
        <f>IF(P253="","ADD LINKEDIN","ok")</f>
        <v/>
      </c>
      <c r="S253" s="6" t="inlineStr">
        <is>
          <t>https://www.newquest.com/</t>
        </is>
      </c>
      <c r="T253" s="9" t="inlineStr">
        <is>
          <t>$3.1B portfolio and a repeated Town Center format. Retail shells compete against tilt-wall, not stick framing.</t>
        </is>
      </c>
      <c r="U253" s="6" t="inlineStr"/>
      <c r="V253" s="9" t="inlineStr"/>
      <c r="W253" s="6" t="inlineStr">
        <is>
          <t>https://www.newquest.com/about-us/leadership/</t>
        </is>
      </c>
      <c r="X253" s="6" t="inlineStr">
        <is>
          <t>https://www.linkedin.com/company/newquest-properties</t>
        </is>
      </c>
      <c r="Y253" s="6" t="inlineStr">
        <is>
          <t>https://www.newquest.com/about-us/leadership/</t>
        </is>
      </c>
      <c r="Z253" s="6" t="inlineStr"/>
      <c r="AA253" s="6" t="inlineStr">
        <is>
          <t>(281) 477-4300</t>
        </is>
      </c>
      <c r="AB253" s="6" t="inlineStr">
        <is>
          <t>contact, corporate headquarters</t>
        </is>
      </c>
      <c r="AC253" s="6" t="inlineStr">
        <is>
          <t>https://www.newquest.com/contact-us/</t>
        </is>
      </c>
    </row>
    <row r="254">
      <c r="A254" s="12" t="inlineStr">
        <is>
          <t>Jeff Horton</t>
        </is>
      </c>
      <c r="B254" s="12" t="inlineStr">
        <is>
          <t>NewQuest Properties</t>
        </is>
      </c>
      <c r="C254" s="12" t="inlineStr">
        <is>
          <t>Chief Operating Officer and Head of Capital Markets</t>
        </is>
      </c>
      <c r="D254" s="13" t="inlineStr">
        <is>
          <t>Off deck, screened out</t>
        </is>
      </c>
      <c r="E254" s="14" t="n">
        <v>1</v>
      </c>
      <c r="F254" s="12" t="inlineStr">
        <is>
          <t>Buys walls</t>
        </is>
      </c>
      <c r="G254" s="12" t="inlineStr">
        <is>
          <t>Houston HQ / Fort Bend, Brazoria</t>
        </is>
      </c>
      <c r="H254" s="12" t="inlineStr">
        <is>
          <t>$3.1B portfolio, 12M sf managed</t>
        </is>
      </c>
      <c r="I254" s="14" t="inlineStr">
        <is>
          <t>Yes</t>
        </is>
      </c>
      <c r="J254" s="15" t="inlineStr"/>
      <c r="K254" s="14" t="inlineStr">
        <is>
          <t>No</t>
        </is>
      </c>
      <c r="L254" s="15" t="inlineStr"/>
      <c r="M254" s="14" t="inlineStr">
        <is>
          <t>No</t>
        </is>
      </c>
      <c r="N254" s="15" t="inlineStr"/>
      <c r="O254" s="14" t="inlineStr">
        <is>
          <t>Yes</t>
        </is>
      </c>
      <c r="P254" s="10" t="inlineStr"/>
      <c r="Q254" s="12">
        <f>HYPERLINK("https://www.linkedin.com/search/results/people/?keywords=Jeff%20Horton%20NewQuest%20Properties","search")</f>
        <v/>
      </c>
      <c r="R254" s="16">
        <f>IF(P254="","ADD LINKEDIN","ok")</f>
        <v/>
      </c>
      <c r="S254" s="12" t="inlineStr">
        <is>
          <t>https://www.newquest.com/</t>
        </is>
      </c>
      <c r="T254" s="15" t="inlineStr">
        <is>
          <t>$3.1B portfolio and a repeated Town Center format. Retail shells compete against tilt-wall, not stick framing.</t>
        </is>
      </c>
      <c r="U254" s="12" t="inlineStr"/>
      <c r="V254" s="15" t="inlineStr"/>
      <c r="W254" s="12" t="inlineStr">
        <is>
          <t>https://www.newquest.com/about-us/leadership/</t>
        </is>
      </c>
      <c r="X254" s="12" t="inlineStr">
        <is>
          <t>https://www.linkedin.com/company/newquest-properties</t>
        </is>
      </c>
      <c r="Y254" s="12" t="inlineStr">
        <is>
          <t>https://www.newquest.com/about-us/leadership/</t>
        </is>
      </c>
      <c r="Z254" s="12" t="inlineStr"/>
      <c r="AA254" s="12" t="inlineStr">
        <is>
          <t>(281) 477-4300</t>
        </is>
      </c>
      <c r="AB254" s="12" t="inlineStr">
        <is>
          <t>contact, corporate headquarters</t>
        </is>
      </c>
      <c r="AC254" s="12" t="inlineStr">
        <is>
          <t>https://www.newquest.com/contact-us/</t>
        </is>
      </c>
    </row>
    <row r="255">
      <c r="A255" s="6" t="inlineStr">
        <is>
          <t>K. Alan Hassenflu</t>
        </is>
      </c>
      <c r="B255" s="6" t="inlineStr">
        <is>
          <t>Fidelis Realty Partners</t>
        </is>
      </c>
      <c r="C255" s="6" t="inlineStr">
        <is>
          <t>President and Chief Executive Officer</t>
        </is>
      </c>
      <c r="D255" s="7" t="inlineStr">
        <is>
          <t>Off deck, screened out</t>
        </is>
      </c>
      <c r="E255" s="8" t="n">
        <v>1</v>
      </c>
      <c r="F255" s="6" t="inlineStr">
        <is>
          <t>Buys walls</t>
        </is>
      </c>
      <c r="G255" s="6" t="inlineStr">
        <is>
          <t>Houston HQ / Brazoria, Montgomery</t>
        </is>
      </c>
      <c r="H255" s="6" t="inlineStr">
        <is>
          <t>26M sf, ~100 properties, 12 states</t>
        </is>
      </c>
      <c r="I255" s="8" t="inlineStr">
        <is>
          <t>Yes</t>
        </is>
      </c>
      <c r="J255" s="9" t="inlineStr"/>
      <c r="K255" s="8" t="inlineStr">
        <is>
          <t>No</t>
        </is>
      </c>
      <c r="L255" s="9" t="inlineStr"/>
      <c r="M255" s="8" t="inlineStr">
        <is>
          <t>No</t>
        </is>
      </c>
      <c r="N255" s="9" t="inlineStr"/>
      <c r="O255" s="8" t="inlineStr">
        <is>
          <t>Partly</t>
        </is>
      </c>
      <c r="P255" s="10" t="inlineStr"/>
      <c r="Q255" s="6">
        <f>HYPERLINK("https://www.linkedin.com/search/results/people/?keywords=K.%20Alan%20Hassenflu%20Fidelis%20Realty%20Partners","search")</f>
        <v/>
      </c>
      <c r="R255" s="11">
        <f>IF(P255="","ADD LINKEDIN","ok")</f>
        <v/>
      </c>
      <c r="S255" s="6" t="inlineStr">
        <is>
          <t>https://www.frpltd.com/</t>
        </is>
      </c>
      <c r="T255" s="9" t="inlineStr">
        <is>
          <t>Two land positions in target counties within 24 months. Every purchase price is undisclosed.</t>
        </is>
      </c>
      <c r="U255" s="6" t="inlineStr"/>
      <c r="V255" s="9" t="inlineStr">
        <is>
          <t>President and Chief Executive Officer, a founder in 2003, formerly senior managing director at Trammell Crow.</t>
        </is>
      </c>
      <c r="W255" s="6" t="inlineStr">
        <is>
          <t>https://www.frpltd.com/about-fidelis/mission-values</t>
        </is>
      </c>
      <c r="X255" s="6" t="inlineStr">
        <is>
          <t>https://www.linkedin.com/company/fidelis-realty-partners</t>
        </is>
      </c>
      <c r="Y255" s="6" t="inlineStr">
        <is>
          <t>https://www.frpltd.com/about-fidelis/mission-values</t>
        </is>
      </c>
      <c r="Z255" s="6" t="inlineStr"/>
      <c r="AA255" s="6" t="inlineStr">
        <is>
          <t>(713) 623-6800</t>
        </is>
      </c>
      <c r="AB255" s="6" t="inlineStr"/>
      <c r="AC255" s="6" t="inlineStr">
        <is>
          <t>https://www.frpltd.com/</t>
        </is>
      </c>
    </row>
    <row r="256">
      <c r="A256" s="12" t="inlineStr">
        <is>
          <t>Glenn Airola</t>
        </is>
      </c>
      <c r="B256" s="12" t="inlineStr">
        <is>
          <t>Fidelis Realty Partners</t>
        </is>
      </c>
      <c r="C256" s="12" t="inlineStr">
        <is>
          <t>Executive Vice President, General Counsel and Chief Administrative Officer</t>
        </is>
      </c>
      <c r="D256" s="13" t="inlineStr">
        <is>
          <t>Off deck, screened out</t>
        </is>
      </c>
      <c r="E256" s="14" t="n">
        <v>1</v>
      </c>
      <c r="F256" s="12" t="inlineStr">
        <is>
          <t>Buys walls</t>
        </is>
      </c>
      <c r="G256" s="12" t="inlineStr">
        <is>
          <t>Houston HQ / Brazoria, Montgomery</t>
        </is>
      </c>
      <c r="H256" s="12" t="inlineStr">
        <is>
          <t>26M sf, ~100 properties, 12 states</t>
        </is>
      </c>
      <c r="I256" s="14" t="inlineStr">
        <is>
          <t>Yes</t>
        </is>
      </c>
      <c r="J256" s="15" t="inlineStr"/>
      <c r="K256" s="14" t="inlineStr">
        <is>
          <t>No</t>
        </is>
      </c>
      <c r="L256" s="15" t="inlineStr"/>
      <c r="M256" s="14" t="inlineStr">
        <is>
          <t>No</t>
        </is>
      </c>
      <c r="N256" s="15" t="inlineStr"/>
      <c r="O256" s="14" t="inlineStr">
        <is>
          <t>Partly</t>
        </is>
      </c>
      <c r="P256" s="10" t="inlineStr"/>
      <c r="Q256" s="12">
        <f>HYPERLINK("https://www.linkedin.com/search/results/people/?keywords=Glenn%20Airola%20Fidelis%20Realty%20Partners","search")</f>
        <v/>
      </c>
      <c r="R256" s="16">
        <f>IF(P256="","ADD LINKEDIN","ok")</f>
        <v/>
      </c>
      <c r="S256" s="12" t="inlineStr">
        <is>
          <t>https://www.frpltd.com/</t>
        </is>
      </c>
      <c r="T256" s="15" t="inlineStr">
        <is>
          <t>Two land positions in target counties within 24 months. Every purchase price is undisclosed.</t>
        </is>
      </c>
      <c r="U256" s="12" t="inlineStr"/>
      <c r="V256" s="15" t="inlineStr"/>
      <c r="W256" s="12" t="inlineStr">
        <is>
          <t>https://www.frpltd.com/about-fidelis/mission-values</t>
        </is>
      </c>
      <c r="X256" s="12" t="inlineStr">
        <is>
          <t>https://www.linkedin.com/company/fidelis-realty-partners</t>
        </is>
      </c>
      <c r="Y256" s="12" t="inlineStr">
        <is>
          <t>https://www.frpltd.com/about-fidelis/mission-values</t>
        </is>
      </c>
      <c r="Z256" s="12" t="inlineStr"/>
      <c r="AA256" s="12" t="inlineStr">
        <is>
          <t>(713) 623-6800</t>
        </is>
      </c>
      <c r="AB256" s="12" t="inlineStr"/>
      <c r="AC256" s="12" t="inlineStr">
        <is>
          <t>https://www.frpltd.com/</t>
        </is>
      </c>
    </row>
    <row r="257">
      <c r="A257" s="6" t="inlineStr">
        <is>
          <t>R. Carson Wilson IV</t>
        </is>
      </c>
      <c r="B257" s="6" t="inlineStr">
        <is>
          <t>Fidelis Realty Partners</t>
        </is>
      </c>
      <c r="C257" s="6" t="inlineStr">
        <is>
          <t>Vice President, Leasing</t>
        </is>
      </c>
      <c r="D257" s="7" t="inlineStr">
        <is>
          <t>Off deck, screened out</t>
        </is>
      </c>
      <c r="E257" s="8" t="n">
        <v>1</v>
      </c>
      <c r="F257" s="6" t="inlineStr">
        <is>
          <t>Buys walls</t>
        </is>
      </c>
      <c r="G257" s="6" t="inlineStr">
        <is>
          <t>Houston HQ / Brazoria, Montgomery</t>
        </is>
      </c>
      <c r="H257" s="6" t="inlineStr">
        <is>
          <t>26M sf, ~100 properties, 12 states</t>
        </is>
      </c>
      <c r="I257" s="8" t="inlineStr">
        <is>
          <t>Yes</t>
        </is>
      </c>
      <c r="J257" s="9" t="inlineStr"/>
      <c r="K257" s="8" t="inlineStr">
        <is>
          <t>No</t>
        </is>
      </c>
      <c r="L257" s="9" t="inlineStr"/>
      <c r="M257" s="8" t="inlineStr">
        <is>
          <t>No</t>
        </is>
      </c>
      <c r="N257" s="9" t="inlineStr"/>
      <c r="O257" s="8" t="inlineStr">
        <is>
          <t>Partly</t>
        </is>
      </c>
      <c r="P257" s="6" t="inlineStr">
        <is>
          <t>https://www.linkedin.com/in/r-carson-wilson-iv-9b7525292/</t>
        </is>
      </c>
      <c r="Q257" s="6" t="inlineStr"/>
      <c r="R257" s="11">
        <f>IF(P257="","ADD LINKEDIN","ok")</f>
        <v/>
      </c>
      <c r="S257" s="6" t="inlineStr">
        <is>
          <t>https://www.frpltd.com/</t>
        </is>
      </c>
      <c r="T257" s="9" t="inlineStr">
        <is>
          <t>Two land positions in target counties within 24 months. Every purchase price is undisclosed.</t>
        </is>
      </c>
      <c r="U257" s="6" t="inlineStr">
        <is>
          <t>YES</t>
        </is>
      </c>
      <c r="V257" s="9" t="inlineStr">
        <is>
          <t>Executive Vice President - Leasing, Construction and Development at Fidelis Realty Partners. Greater Houston. One title covers all three, so the person who signs the lease also owns the build.</t>
        </is>
      </c>
      <c r="W257" s="6" t="inlineStr"/>
      <c r="X257" s="6" t="inlineStr">
        <is>
          <t>https://www.linkedin.com/company/fidelis-realty-partners</t>
        </is>
      </c>
      <c r="Y257" s="6" t="inlineStr">
        <is>
          <t>https://www.frpltd.com/about-fidelis/mission-values</t>
        </is>
      </c>
      <c r="Z257" s="6" t="inlineStr"/>
      <c r="AA257" s="6" t="inlineStr">
        <is>
          <t>(713) 623-6800</t>
        </is>
      </c>
      <c r="AB257" s="6" t="inlineStr"/>
      <c r="AC257" s="6" t="inlineStr">
        <is>
          <t>https://www.frpltd.com/</t>
        </is>
      </c>
    </row>
    <row r="258">
      <c r="A258" s="12" t="inlineStr">
        <is>
          <t>Brandt Bowden</t>
        </is>
      </c>
      <c r="B258" s="12" t="inlineStr">
        <is>
          <t>The Hanover Company</t>
        </is>
      </c>
      <c r="C258" s="12" t="inlineStr">
        <is>
          <t>Chief Executive Officer</t>
        </is>
      </c>
      <c r="D258" s="13" t="inlineStr">
        <is>
          <t>Off deck, screened out</t>
        </is>
      </c>
      <c r="E258" s="14" t="n">
        <v>1</v>
      </c>
      <c r="F258" s="12" t="inlineStr">
        <is>
          <t>Buys walls</t>
        </is>
      </c>
      <c r="G258" s="12" t="inlineStr">
        <is>
          <t>Houston HQ, Harris County</t>
        </is>
      </c>
      <c r="H258" s="12" t="inlineStr">
        <is>
          <t>19 markets, in-house construction arm</t>
        </is>
      </c>
      <c r="I258" s="14" t="inlineStr">
        <is>
          <t>Yes</t>
        </is>
      </c>
      <c r="J258" s="15" t="inlineStr"/>
      <c r="K258" s="14" t="inlineStr">
        <is>
          <t>No</t>
        </is>
      </c>
      <c r="L258" s="15" t="inlineStr"/>
      <c r="M258" s="14" t="inlineStr">
        <is>
          <t>No</t>
        </is>
      </c>
      <c r="N258" s="15" t="inlineStr"/>
      <c r="O258" s="14" t="inlineStr">
        <is>
          <t>Partly</t>
        </is>
      </c>
      <c r="P258" s="10" t="inlineStr"/>
      <c r="Q258" s="12">
        <f>HYPERLINK("https://www.linkedin.com/search/results/people/?keywords=Brandt%20Bowden%20The%20Hanover%20Company","search")</f>
        <v/>
      </c>
      <c r="R258" s="16">
        <f>IF(P258="","ADD LINKEDIN","ok")</f>
        <v/>
      </c>
      <c r="S258" s="12" t="inlineStr">
        <is>
          <t>https://www.hanoverco.com/</t>
        </is>
      </c>
      <c r="T258" s="15" t="inlineStr">
        <is>
          <t>An in-house construction arm and a Houston HQ since 1982, but no Houston project could be sourced.</t>
        </is>
      </c>
      <c r="U258" s="12" t="inlineStr"/>
      <c r="V258" s="15" t="inlineStr">
        <is>
          <t>Chief Executive Officer of Hanover, overseeing capital, development and construction, previously chief investment officer.</t>
        </is>
      </c>
      <c r="W258" s="12" t="inlineStr">
        <is>
          <t>https://knowledge.uli.org/en/people/b/b/brandt-bowden-f34f</t>
        </is>
      </c>
      <c r="X258" s="12" t="inlineStr"/>
      <c r="Y258" s="12" t="inlineStr">
        <is>
          <t>https://www.hanoverco.com/leadership</t>
        </is>
      </c>
      <c r="Z258" s="12" t="inlineStr"/>
      <c r="AA258" s="12" t="inlineStr">
        <is>
          <t>(713) 267-2100</t>
        </is>
      </c>
      <c r="AB258" s="12" t="inlineStr"/>
      <c r="AC258" s="12" t="inlineStr">
        <is>
          <t>https://www.hanoverco.com/</t>
        </is>
      </c>
    </row>
    <row r="259">
      <c r="A259" s="6" t="inlineStr">
        <is>
          <t>Murry Bowden</t>
        </is>
      </c>
      <c r="B259" s="6" t="inlineStr">
        <is>
          <t>The Hanover Company</t>
        </is>
      </c>
      <c r="C259" s="6" t="inlineStr">
        <is>
          <t>Founder and Executive Chairman</t>
        </is>
      </c>
      <c r="D259" s="7" t="inlineStr">
        <is>
          <t>Off deck, screened out</t>
        </is>
      </c>
      <c r="E259" s="8" t="n">
        <v>1</v>
      </c>
      <c r="F259" s="6" t="inlineStr">
        <is>
          <t>Buys walls</t>
        </is>
      </c>
      <c r="G259" s="6" t="inlineStr">
        <is>
          <t>Houston HQ, Harris County</t>
        </is>
      </c>
      <c r="H259" s="6" t="inlineStr">
        <is>
          <t>19 markets, in-house construction arm</t>
        </is>
      </c>
      <c r="I259" s="8" t="inlineStr">
        <is>
          <t>Yes</t>
        </is>
      </c>
      <c r="J259" s="9" t="inlineStr"/>
      <c r="K259" s="8" t="inlineStr">
        <is>
          <t>No</t>
        </is>
      </c>
      <c r="L259" s="9" t="inlineStr"/>
      <c r="M259" s="8" t="inlineStr">
        <is>
          <t>No</t>
        </is>
      </c>
      <c r="N259" s="9" t="inlineStr"/>
      <c r="O259" s="8" t="inlineStr">
        <is>
          <t>Partly</t>
        </is>
      </c>
      <c r="P259" s="10" t="inlineStr"/>
      <c r="Q259" s="6">
        <f>HYPERLINK("https://www.linkedin.com/search/results/people/?keywords=Murry%20Bowden%20The%20Hanover%20Company","search")</f>
        <v/>
      </c>
      <c r="R259" s="11">
        <f>IF(P259="","ADD LINKEDIN","ok")</f>
        <v/>
      </c>
      <c r="S259" s="6" t="inlineStr">
        <is>
          <t>https://www.hanoverco.com/</t>
        </is>
      </c>
      <c r="T259" s="9" t="inlineStr">
        <is>
          <t>An in-house construction arm and a Houston HQ since 1982, but no Houston project could be sourced.</t>
        </is>
      </c>
      <c r="U259" s="6" t="inlineStr"/>
      <c r="V259" s="9" t="inlineStr">
        <is>
          <t>Founder, Chairman and Chief Executive Officer, responsible for strategy and investment decisions.</t>
        </is>
      </c>
      <c r="W259" s="6" t="inlineStr">
        <is>
          <t>https://www.nmhc.org/meetings/meetings-pages/meeting-materials/j-murry-bowden-biography/</t>
        </is>
      </c>
      <c r="X259" s="6" t="inlineStr"/>
      <c r="Y259" s="6" t="inlineStr">
        <is>
          <t>https://www.hanoverco.com/leadership</t>
        </is>
      </c>
      <c r="Z259" s="6" t="inlineStr"/>
      <c r="AA259" s="6" t="inlineStr">
        <is>
          <t>(713) 267-2100</t>
        </is>
      </c>
      <c r="AB259" s="6" t="inlineStr"/>
      <c r="AC259" s="6" t="inlineStr">
        <is>
          <t>https://www.hanoverco.com/</t>
        </is>
      </c>
    </row>
    <row r="260">
      <c r="A260" s="12" t="inlineStr">
        <is>
          <t>John Nash</t>
        </is>
      </c>
      <c r="B260" s="12" t="inlineStr">
        <is>
          <t>The Hanover Company</t>
        </is>
      </c>
      <c r="C260" s="12" t="inlineStr">
        <is>
          <t>President</t>
        </is>
      </c>
      <c r="D260" s="13" t="inlineStr">
        <is>
          <t>Off deck, screened out</t>
        </is>
      </c>
      <c r="E260" s="14" t="n">
        <v>1</v>
      </c>
      <c r="F260" s="12" t="inlineStr">
        <is>
          <t>Buys walls</t>
        </is>
      </c>
      <c r="G260" s="12" t="inlineStr">
        <is>
          <t>Houston HQ, Harris County</t>
        </is>
      </c>
      <c r="H260" s="12" t="inlineStr">
        <is>
          <t>19 markets, in-house construction arm</t>
        </is>
      </c>
      <c r="I260" s="14" t="inlineStr">
        <is>
          <t>Yes</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HYPERLINK("https://www.linkedin.com/search/results/people/?keywords=John%20Nash%20The%20Hanover%20Company","search")</f>
        <v/>
      </c>
      <c r="R260" s="16">
        <f>IF(P260="","ADD LINKEDIN","ok")</f>
        <v/>
      </c>
      <c r="S260" s="12" t="inlineStr">
        <is>
          <t>https://www.hanoverco.com/</t>
        </is>
      </c>
      <c r="T260" s="15" t="inlineStr">
        <is>
          <t>An in-house construction arm and a Houston HQ since 1982, but no Houston project could be sourced.</t>
        </is>
      </c>
      <c r="U260" s="12" t="inlineStr"/>
      <c r="V260" s="15" t="inlineStr">
        <is>
          <t>President. Thirty-three years with Hanover, twenty-three of them as president, per the McCombs alumni network.</t>
        </is>
      </c>
      <c r="W260" s="12" t="inlineStr">
        <is>
          <t>https://www.hanoverco.com/leadership</t>
        </is>
      </c>
      <c r="X260" s="12" t="inlineStr"/>
      <c r="Y260" s="12" t="inlineStr">
        <is>
          <t>https://www.hanoverco.com/leadership</t>
        </is>
      </c>
      <c r="Z260" s="12" t="inlineStr"/>
      <c r="AA260" s="12" t="inlineStr">
        <is>
          <t>(713) 267-2100</t>
        </is>
      </c>
      <c r="AB260" s="12" t="inlineStr"/>
      <c r="AC260" s="12" t="inlineStr">
        <is>
          <t>https://www.hanoverco.com/</t>
        </is>
      </c>
    </row>
    <row r="261">
      <c r="A261" s="6" t="inlineStr">
        <is>
          <t>John Garibaldi</t>
        </is>
      </c>
      <c r="B261" s="6" t="inlineStr">
        <is>
          <t>The Hanover Company</t>
        </is>
      </c>
      <c r="C261" s="6" t="inlineStr">
        <is>
          <t>President, Multifamily</t>
        </is>
      </c>
      <c r="D261" s="7" t="inlineStr">
        <is>
          <t>Off deck, screened out</t>
        </is>
      </c>
      <c r="E261" s="8" t="n">
        <v>1</v>
      </c>
      <c r="F261" s="6" t="inlineStr">
        <is>
          <t>Buys walls</t>
        </is>
      </c>
      <c r="G261" s="6" t="inlineStr">
        <is>
          <t>Houston HQ, Harris County</t>
        </is>
      </c>
      <c r="H261" s="6" t="inlineStr">
        <is>
          <t>19 markets, in-house construction arm</t>
        </is>
      </c>
      <c r="I261" s="8" t="inlineStr">
        <is>
          <t>Yes</t>
        </is>
      </c>
      <c r="J261" s="9" t="inlineStr"/>
      <c r="K261" s="8" t="inlineStr">
        <is>
          <t>No</t>
        </is>
      </c>
      <c r="L261" s="9" t="inlineStr"/>
      <c r="M261" s="8" t="inlineStr">
        <is>
          <t>No</t>
        </is>
      </c>
      <c r="N261" s="9" t="inlineStr"/>
      <c r="O261" s="8" t="inlineStr">
        <is>
          <t>Partly</t>
        </is>
      </c>
      <c r="P261" s="10" t="inlineStr"/>
      <c r="Q261" s="6">
        <f>HYPERLINK("https://www.linkedin.com/search/results/people/?keywords=John%20Garibaldi%20The%20Hanover%20Company","search")</f>
        <v/>
      </c>
      <c r="R261" s="11">
        <f>IF(P261="","ADD LINKEDIN","ok")</f>
        <v/>
      </c>
      <c r="S261" s="6" t="inlineStr">
        <is>
          <t>https://www.hanoverco.com/</t>
        </is>
      </c>
      <c r="T261" s="9" t="inlineStr">
        <is>
          <t>An in-house construction arm and a Houston HQ since 1982, but no Houston project could be sourced.</t>
        </is>
      </c>
      <c r="U261" s="6" t="inlineStr"/>
      <c r="V261" s="9" t="inlineStr">
        <is>
          <t>President, Multifamily. Twenty-five years with the firm, starting as a development partner in Houston in 1999.</t>
        </is>
      </c>
      <c r="W261" s="6" t="inlineStr">
        <is>
          <t>https://www.hanoverco.com/leadership</t>
        </is>
      </c>
      <c r="X261" s="6" t="inlineStr"/>
      <c r="Y261" s="6" t="inlineStr">
        <is>
          <t>https://www.hanoverco.com/leadership</t>
        </is>
      </c>
      <c r="Z261" s="6" t="inlineStr"/>
      <c r="AA261" s="6" t="inlineStr">
        <is>
          <t>(713) 267-2100</t>
        </is>
      </c>
      <c r="AB261" s="6" t="inlineStr"/>
      <c r="AC261" s="6" t="inlineStr">
        <is>
          <t>https://www.hanoverco.com/</t>
        </is>
      </c>
    </row>
    <row r="262">
      <c r="A262" s="12" t="inlineStr">
        <is>
          <t>Thomas Knutson</t>
        </is>
      </c>
      <c r="B262" s="12" t="inlineStr">
        <is>
          <t>The Hanover Company</t>
        </is>
      </c>
      <c r="C262" s="12" t="inlineStr">
        <is>
          <t>President of Construction, The Hanover Company</t>
        </is>
      </c>
      <c r="D262" s="13" t="inlineStr">
        <is>
          <t>Off deck, screened out</t>
        </is>
      </c>
      <c r="E262" s="14" t="n">
        <v>1</v>
      </c>
      <c r="F262" s="12" t="inlineStr">
        <is>
          <t>Buys walls</t>
        </is>
      </c>
      <c r="G262" s="12" t="inlineStr">
        <is>
          <t>Houston HQ, Harris County</t>
        </is>
      </c>
      <c r="H262" s="12" t="inlineStr">
        <is>
          <t>19 markets, in-house construction arm</t>
        </is>
      </c>
      <c r="I262" s="14" t="inlineStr">
        <is>
          <t>Yes</t>
        </is>
      </c>
      <c r="J262" s="15" t="inlineStr"/>
      <c r="K262" s="14" t="inlineStr">
        <is>
          <t>No</t>
        </is>
      </c>
      <c r="L262" s="15" t="inlineStr"/>
      <c r="M262" s="14" t="inlineStr">
        <is>
          <t>No</t>
        </is>
      </c>
      <c r="N262" s="15" t="inlineStr"/>
      <c r="O262" s="14" t="inlineStr">
        <is>
          <t>Partly</t>
        </is>
      </c>
      <c r="P262" s="6" t="inlineStr">
        <is>
          <t>https://www.linkedin.com/in/thomas-knutson-a741898/</t>
        </is>
      </c>
      <c r="Q262" s="12" t="inlineStr"/>
      <c r="R262" s="16">
        <f>IF(P262="","ADD LINKEDIN","ok")</f>
        <v/>
      </c>
      <c r="S262" s="12" t="inlineStr">
        <is>
          <t>https://www.hanoverco.com/</t>
        </is>
      </c>
      <c r="T262" s="15" t="inlineStr">
        <is>
          <t>An in-house construction arm and a Houston HQ since 1982, but no Houston project could be sourced.</t>
        </is>
      </c>
      <c r="U262" s="12" t="inlineStr">
        <is>
          <t>YES</t>
        </is>
      </c>
      <c r="V262" s="15" t="inlineStr">
        <is>
          <t>President - Construction at The Hanover Company. Houston, Texas. Hanover builds its own work, so this is the head of the in-house contractor.</t>
        </is>
      </c>
      <c r="W262" s="12" t="inlineStr"/>
      <c r="X262" s="12" t="inlineStr"/>
      <c r="Y262" s="12" t="inlineStr">
        <is>
          <t>https://www.hanoverco.com/leadership</t>
        </is>
      </c>
      <c r="Z262" s="12" t="inlineStr"/>
      <c r="AA262" s="12" t="inlineStr">
        <is>
          <t>(713) 267-2100</t>
        </is>
      </c>
      <c r="AB262" s="12" t="inlineStr"/>
      <c r="AC262" s="12" t="inlineStr">
        <is>
          <t>https://www.hanoverco.com/</t>
        </is>
      </c>
    </row>
    <row r="263">
      <c r="A263" s="6" t="inlineStr">
        <is>
          <t>Mike Wright</t>
        </is>
      </c>
      <c r="B263" s="6" t="inlineStr">
        <is>
          <t>The Hanover Company</t>
        </is>
      </c>
      <c r="C263" s="6" t="inlineStr">
        <is>
          <t>Vice President of Preconstruction and Estimating, The Hanover Company</t>
        </is>
      </c>
      <c r="D263" s="7" t="inlineStr">
        <is>
          <t>Off deck, screened out</t>
        </is>
      </c>
      <c r="E263" s="8" t="n">
        <v>1</v>
      </c>
      <c r="F263" s="6" t="inlineStr">
        <is>
          <t>Buys walls</t>
        </is>
      </c>
      <c r="G263" s="6" t="inlineStr">
        <is>
          <t>Houston HQ, Harris County</t>
        </is>
      </c>
      <c r="H263" s="6" t="inlineStr">
        <is>
          <t>19 markets, in-house construction arm</t>
        </is>
      </c>
      <c r="I263" s="8" t="inlineStr">
        <is>
          <t>Yes</t>
        </is>
      </c>
      <c r="J263" s="9" t="inlineStr"/>
      <c r="K263" s="8" t="inlineStr">
        <is>
          <t>No</t>
        </is>
      </c>
      <c r="L263" s="9" t="inlineStr"/>
      <c r="M263" s="8" t="inlineStr">
        <is>
          <t>No</t>
        </is>
      </c>
      <c r="N263" s="9" t="inlineStr"/>
      <c r="O263" s="8" t="inlineStr">
        <is>
          <t>Partly</t>
        </is>
      </c>
      <c r="P263" s="6" t="inlineStr">
        <is>
          <t>https://www.linkedin.com/in/mike-wright-7795a8b/</t>
        </is>
      </c>
      <c r="Q263" s="6" t="inlineStr"/>
      <c r="R263" s="11">
        <f>IF(P263="","ADD LINKEDIN","ok")</f>
        <v/>
      </c>
      <c r="S263" s="6" t="inlineStr">
        <is>
          <t>https://www.hanoverco.com/</t>
        </is>
      </c>
      <c r="T263" s="9" t="inlineStr">
        <is>
          <t>An in-house construction arm and a Houston HQ since 1982, but no Houston project could be sourced.</t>
        </is>
      </c>
      <c r="U263" s="6" t="inlineStr">
        <is>
          <t>YES</t>
        </is>
      </c>
      <c r="V263" s="9" t="inlineStr">
        <is>
          <t>Vice President of Preconstruction &amp; Estimating at The Hanover Company. Katy, Texas. Preconstruction is where an unfamiliar wall system gets priced or dismissed, so this is the first real test of a printed assembly.</t>
        </is>
      </c>
      <c r="W263" s="6" t="inlineStr"/>
      <c r="X263" s="6" t="inlineStr"/>
      <c r="Y263" s="6" t="inlineStr">
        <is>
          <t>https://www.hanoverco.com/leadership</t>
        </is>
      </c>
      <c r="Z263" s="6" t="inlineStr"/>
      <c r="AA263" s="6" t="inlineStr">
        <is>
          <t>(713) 267-2100</t>
        </is>
      </c>
      <c r="AB263" s="6" t="inlineStr"/>
      <c r="AC263" s="6" t="inlineStr">
        <is>
          <t>https://www.hanoverco.com/</t>
        </is>
      </c>
    </row>
    <row r="264">
      <c r="A264" s="12" t="inlineStr">
        <is>
          <t>Jeff Read</t>
        </is>
      </c>
      <c r="B264" s="12" t="inlineStr">
        <is>
          <t>Read King</t>
        </is>
      </c>
      <c r="C264" s="12" t="inlineStr">
        <is>
          <t>Principal and Co-Founder</t>
        </is>
      </c>
      <c r="D264" s="13" t="inlineStr">
        <is>
          <t>Off deck, screened out</t>
        </is>
      </c>
      <c r="E264" s="14" t="n">
        <v>1</v>
      </c>
      <c r="F264" s="12" t="inlineStr">
        <is>
          <t>Buys walls</t>
        </is>
      </c>
      <c r="G264" s="12" t="inlineStr">
        <is>
          <t>Houston HQ / Fort Bend, Harris</t>
        </is>
      </c>
      <c r="H264" s="12" t="inlineStr">
        <is>
          <t>36 freestanding ER centres, 100+ build-to-suit</t>
        </is>
      </c>
      <c r="I264" s="14" t="inlineStr">
        <is>
          <t>Yes</t>
        </is>
      </c>
      <c r="J264" s="15" t="inlineStr"/>
      <c r="K264" s="14" t="inlineStr">
        <is>
          <t>No</t>
        </is>
      </c>
      <c r="L264" s="15" t="inlineStr"/>
      <c r="M264" s="14" t="inlineStr">
        <is>
          <t>No</t>
        </is>
      </c>
      <c r="N264" s="15" t="inlineStr"/>
      <c r="O264" s="14" t="inlineStr">
        <is>
          <t>No</t>
        </is>
      </c>
      <c r="P264" s="10" t="inlineStr"/>
      <c r="Q264" s="12">
        <f>HYPERLINK("https://www.linkedin.com/search/results/people/?keywords=Jeff%20Read%20Read%20King","search")</f>
        <v/>
      </c>
      <c r="R264" s="16">
        <f>IF(P264="","ADD LINKEDIN","ok")</f>
        <v/>
      </c>
      <c r="S264" s="12" t="inlineStr">
        <is>
          <t>https://read-king.com/</t>
        </is>
      </c>
      <c r="T264" s="15" t="inlineStr">
        <is>
          <t>36 freestanding emergency centres and over 100 build-to-suits, the most repeated small-commercial format screened.</t>
        </is>
      </c>
      <c r="U264" s="12" t="inlineStr"/>
      <c r="V264" s="15" t="inlineStr"/>
      <c r="W264" s="12" t="inlineStr">
        <is>
          <t>https://www.read-king.com/team</t>
        </is>
      </c>
      <c r="X264" s="12" t="inlineStr">
        <is>
          <t>https://www.linkedin.com/company/read-king-inc-</t>
        </is>
      </c>
      <c r="Y264" s="12" t="inlineStr">
        <is>
          <t>https://www.read-king.com/team</t>
        </is>
      </c>
      <c r="Z264" s="12" t="inlineStr"/>
      <c r="AA264" s="12" t="inlineStr">
        <is>
          <t>(713) 782-9000</t>
        </is>
      </c>
      <c r="AB264" s="12" t="inlineStr"/>
      <c r="AC264" s="12" t="inlineStr">
        <is>
          <t>https://read-king.com/</t>
        </is>
      </c>
    </row>
    <row r="265">
      <c r="A265" s="6" t="inlineStr">
        <is>
          <t>Ewing King</t>
        </is>
      </c>
      <c r="B265" s="6" t="inlineStr">
        <is>
          <t>Read King</t>
        </is>
      </c>
      <c r="C265" s="6" t="inlineStr">
        <is>
          <t>Principal</t>
        </is>
      </c>
      <c r="D265" s="7" t="inlineStr">
        <is>
          <t>Off deck, screened out</t>
        </is>
      </c>
      <c r="E265" s="8" t="n">
        <v>1</v>
      </c>
      <c r="F265" s="6" t="inlineStr">
        <is>
          <t>Buys walls</t>
        </is>
      </c>
      <c r="G265" s="6" t="inlineStr">
        <is>
          <t>Houston HQ / Fort Bend, Harris</t>
        </is>
      </c>
      <c r="H265" s="6" t="inlineStr">
        <is>
          <t>36 freestanding ER centres, 100+ build-to-suit</t>
        </is>
      </c>
      <c r="I265" s="8" t="inlineStr">
        <is>
          <t>Yes</t>
        </is>
      </c>
      <c r="J265" s="9" t="inlineStr"/>
      <c r="K265" s="8" t="inlineStr">
        <is>
          <t>No</t>
        </is>
      </c>
      <c r="L265" s="9" t="inlineStr"/>
      <c r="M265" s="8" t="inlineStr">
        <is>
          <t>No</t>
        </is>
      </c>
      <c r="N265" s="9" t="inlineStr"/>
      <c r="O265" s="8" t="inlineStr">
        <is>
          <t>No</t>
        </is>
      </c>
      <c r="P265" s="10" t="inlineStr"/>
      <c r="Q265" s="6">
        <f>HYPERLINK("https://www.linkedin.com/search/results/people/?keywords=Ewing%20King%20Read%20King","search")</f>
        <v/>
      </c>
      <c r="R265" s="11">
        <f>IF(P265="","ADD LINKEDIN","ok")</f>
        <v/>
      </c>
      <c r="S265" s="6" t="inlineStr">
        <is>
          <t>https://read-king.com/</t>
        </is>
      </c>
      <c r="T265" s="9" t="inlineStr">
        <is>
          <t>36 freestanding emergency centres and over 100 build-to-suits, the most repeated small-commercial format screened.</t>
        </is>
      </c>
      <c r="U265" s="6" t="inlineStr"/>
      <c r="V265" s="9" t="inlineStr"/>
      <c r="W265" s="6" t="inlineStr">
        <is>
          <t>https://www.read-king.com/team</t>
        </is>
      </c>
      <c r="X265" s="6" t="inlineStr">
        <is>
          <t>https://www.linkedin.com/company/read-king-inc-</t>
        </is>
      </c>
      <c r="Y265" s="6" t="inlineStr">
        <is>
          <t>https://www.read-king.com/team</t>
        </is>
      </c>
      <c r="Z265" s="6" t="inlineStr"/>
      <c r="AA265" s="6" t="inlineStr">
        <is>
          <t>(713) 782-9000</t>
        </is>
      </c>
      <c r="AB265" s="6" t="inlineStr"/>
      <c r="AC265" s="6" t="inlineStr">
        <is>
          <t>https://read-king.com/</t>
        </is>
      </c>
    </row>
    <row r="266">
      <c r="A266" s="12" t="inlineStr">
        <is>
          <t>Blake Allen</t>
        </is>
      </c>
      <c r="B266" s="12" t="inlineStr">
        <is>
          <t>Read King</t>
        </is>
      </c>
      <c r="C266" s="12" t="inlineStr">
        <is>
          <t>Chief Financial Officer</t>
        </is>
      </c>
      <c r="D266" s="13" t="inlineStr">
        <is>
          <t>Off deck, screened out</t>
        </is>
      </c>
      <c r="E266" s="14" t="n">
        <v>1</v>
      </c>
      <c r="F266" s="12" t="inlineStr">
        <is>
          <t>Buys walls</t>
        </is>
      </c>
      <c r="G266" s="12" t="inlineStr">
        <is>
          <t>Houston HQ / Fort Bend, Harris</t>
        </is>
      </c>
      <c r="H266" s="12" t="inlineStr">
        <is>
          <t>36 freestanding ER centres, 100+ build-to-suit</t>
        </is>
      </c>
      <c r="I266" s="14" t="inlineStr">
        <is>
          <t>Yes</t>
        </is>
      </c>
      <c r="J266" s="15" t="inlineStr"/>
      <c r="K266" s="14" t="inlineStr">
        <is>
          <t>No</t>
        </is>
      </c>
      <c r="L266" s="15" t="inlineStr"/>
      <c r="M266" s="14" t="inlineStr">
        <is>
          <t>No</t>
        </is>
      </c>
      <c r="N266" s="15" t="inlineStr"/>
      <c r="O266" s="14" t="inlineStr">
        <is>
          <t>No</t>
        </is>
      </c>
      <c r="P266" s="10" t="inlineStr"/>
      <c r="Q266" s="12">
        <f>HYPERLINK("https://www.linkedin.com/search/results/people/?keywords=Blake%20Allen%20Read%20King","search")</f>
        <v/>
      </c>
      <c r="R266" s="16">
        <f>IF(P266="","ADD LINKEDIN","ok")</f>
        <v/>
      </c>
      <c r="S266" s="12" t="inlineStr">
        <is>
          <t>https://read-king.com/</t>
        </is>
      </c>
      <c r="T266" s="15" t="inlineStr">
        <is>
          <t>36 freestanding emergency centres and over 100 build-to-suits, the most repeated small-commercial format screened.</t>
        </is>
      </c>
      <c r="U266" s="12" t="inlineStr"/>
      <c r="V266" s="15" t="inlineStr"/>
      <c r="W266" s="12" t="inlineStr">
        <is>
          <t>https://www.read-king.com/team</t>
        </is>
      </c>
      <c r="X266" s="12" t="inlineStr">
        <is>
          <t>https://www.linkedin.com/company/read-king-inc-</t>
        </is>
      </c>
      <c r="Y266" s="12" t="inlineStr">
        <is>
          <t>https://www.read-king.com/team</t>
        </is>
      </c>
      <c r="Z266" s="12" t="inlineStr"/>
      <c r="AA266" s="12" t="inlineStr">
        <is>
          <t>(713) 782-9000</t>
        </is>
      </c>
      <c r="AB266" s="12" t="inlineStr"/>
      <c r="AC266" s="12" t="inlineStr">
        <is>
          <t>https://read-king.com/</t>
        </is>
      </c>
    </row>
    <row r="267">
      <c r="A267" s="6" t="inlineStr">
        <is>
          <t>Telisia Amaning</t>
        </is>
      </c>
      <c r="B267" s="6" t="inlineStr">
        <is>
          <t>Read King</t>
        </is>
      </c>
      <c r="C267" s="6" t="inlineStr">
        <is>
          <t>Chief Operating Officer</t>
        </is>
      </c>
      <c r="D267" s="7" t="inlineStr">
        <is>
          <t>Off deck, screened out</t>
        </is>
      </c>
      <c r="E267" s="8" t="n">
        <v>1</v>
      </c>
      <c r="F267" s="6" t="inlineStr">
        <is>
          <t>Buys walls</t>
        </is>
      </c>
      <c r="G267" s="6" t="inlineStr">
        <is>
          <t>Houston HQ / Fort Bend, Harris</t>
        </is>
      </c>
      <c r="H267" s="6" t="inlineStr">
        <is>
          <t>36 freestanding ER centres, 100+ build-to-suit</t>
        </is>
      </c>
      <c r="I267" s="8" t="inlineStr">
        <is>
          <t>Yes</t>
        </is>
      </c>
      <c r="J267" s="9" t="inlineStr"/>
      <c r="K267" s="8" t="inlineStr">
        <is>
          <t>No</t>
        </is>
      </c>
      <c r="L267" s="9" t="inlineStr"/>
      <c r="M267" s="8" t="inlineStr">
        <is>
          <t>No</t>
        </is>
      </c>
      <c r="N267" s="9" t="inlineStr"/>
      <c r="O267" s="8" t="inlineStr">
        <is>
          <t>No</t>
        </is>
      </c>
      <c r="P267" s="6" t="inlineStr">
        <is>
          <t>https://www.linkedin.com/in/telisiaamaning/</t>
        </is>
      </c>
      <c r="Q267" s="6" t="inlineStr"/>
      <c r="R267" s="11">
        <f>IF(P267="","ADD LINKEDIN","ok")</f>
        <v/>
      </c>
      <c r="S267" s="6" t="inlineStr">
        <is>
          <t>https://read-king.com/</t>
        </is>
      </c>
      <c r="T267" s="9" t="inlineStr">
        <is>
          <t>36 freestanding emergency centres and over 100 build-to-suits, the most repeated small-commercial format screened.</t>
        </is>
      </c>
      <c r="U267" s="6" t="inlineStr"/>
      <c r="V267" s="9" t="inlineStr">
        <is>
          <t>Chief Operating Officer, READ KING. Houston, Texas.</t>
        </is>
      </c>
      <c r="W267" s="6" t="inlineStr"/>
      <c r="X267" s="6" t="inlineStr">
        <is>
          <t>https://www.linkedin.com/company/read-king-inc-</t>
        </is>
      </c>
      <c r="Y267" s="6" t="inlineStr">
        <is>
          <t>https://www.read-king.com/team</t>
        </is>
      </c>
      <c r="Z267" s="6" t="inlineStr"/>
      <c r="AA267" s="6" t="inlineStr">
        <is>
          <t>(713) 782-9000</t>
        </is>
      </c>
      <c r="AB267" s="6" t="inlineStr"/>
      <c r="AC267" s="6" t="inlineStr">
        <is>
          <t>https://read-king.com/</t>
        </is>
      </c>
    </row>
    <row r="268">
      <c r="A268" s="12" t="inlineStr">
        <is>
          <t>Alex Jessett</t>
        </is>
      </c>
      <c r="B268" s="12" t="inlineStr">
        <is>
          <t>Camden Property Trust</t>
        </is>
      </c>
      <c r="C268" s="12" t="inlineStr">
        <is>
          <t>Chief Executive Officer</t>
        </is>
      </c>
      <c r="D268" s="13" t="inlineStr">
        <is>
          <t>Off deck, screened out</t>
        </is>
      </c>
      <c r="E268" s="14" t="n">
        <v>1</v>
      </c>
      <c r="F268" s="12" t="inlineStr">
        <is>
          <t>Buys walls</t>
        </is>
      </c>
      <c r="G268" s="12" t="inlineStr">
        <is>
          <t>Houston HQ / Fort Bend, Montgomery</t>
        </is>
      </c>
      <c r="H268" s="12" t="inlineStr">
        <is>
          <t>$155M into 389 BTR homes</t>
        </is>
      </c>
      <c r="I268" s="14" t="inlineStr">
        <is>
          <t>Partly</t>
        </is>
      </c>
      <c r="J268" s="15" t="inlineStr"/>
      <c r="K268" s="14" t="inlineStr">
        <is>
          <t>No</t>
        </is>
      </c>
      <c r="L268" s="15" t="inlineStr"/>
      <c r="M268" s="14" t="inlineStr">
        <is>
          <t>No</t>
        </is>
      </c>
      <c r="N268" s="15" t="inlineStr"/>
      <c r="O268" s="14" t="inlineStr">
        <is>
          <t>Yes</t>
        </is>
      </c>
      <c r="P268" s="10" t="inlineStr"/>
      <c r="Q268" s="12">
        <f>HYPERLINK("https://www.linkedin.com/search/results/people/?keywords=Alex%20Jessett%20Camden%20Property%20Trust","search")</f>
        <v/>
      </c>
      <c r="R268" s="16">
        <f>IF(P268="","ADD LINKEDIN","ok")</f>
        <v/>
      </c>
      <c r="S268" s="12" t="inlineStr">
        <is>
          <t>https://www.camdenliving.com/</t>
        </is>
      </c>
      <c r="T268" s="15" t="inlineStr">
        <is>
          <t>$155M into 389 build-to-rent homes, Houston HQ, holds long term. Figures date to 2022.</t>
        </is>
      </c>
      <c r="U268" s="12" t="inlineStr"/>
      <c r="V268" s="15" t="inlineStr">
        <is>
          <t>Chief Executive Officer, previously President and Chief Financial Officer, at Camden since 1999.</t>
        </is>
      </c>
      <c r="W268" s="12" t="inlineStr">
        <is>
          <t>https://investors.camdenliving.com/investors/governance/board-of-directors/default.aspx</t>
        </is>
      </c>
      <c r="X268" s="12" t="inlineStr">
        <is>
          <t>https://www.linkedin.com/company/camden-property-trust</t>
        </is>
      </c>
      <c r="Y268" s="12" t="inlineStr">
        <is>
          <t>https://investors.camdenliving.com/investors/governance/board-of-directors/default.aspx</t>
        </is>
      </c>
      <c r="Z268" s="12" t="inlineStr"/>
      <c r="AA268" s="12" t="inlineStr">
        <is>
          <t>(713) 354-2500</t>
        </is>
      </c>
      <c r="AB268" s="12" t="inlineStr"/>
      <c r="AC268" s="12" t="inlineStr">
        <is>
          <t>https://www.camdenliving.com/</t>
        </is>
      </c>
    </row>
    <row r="269">
      <c r="A269" s="6" t="inlineStr">
        <is>
          <t>Richard J. Campo</t>
        </is>
      </c>
      <c r="B269" s="6" t="inlineStr">
        <is>
          <t>Camden Property Trust</t>
        </is>
      </c>
      <c r="C269" s="6" t="inlineStr">
        <is>
          <t>Executive Chairman of the Board of Trust Managers</t>
        </is>
      </c>
      <c r="D269" s="7" t="inlineStr">
        <is>
          <t>Off deck, screened out</t>
        </is>
      </c>
      <c r="E269" s="8" t="n">
        <v>1</v>
      </c>
      <c r="F269" s="6" t="inlineStr">
        <is>
          <t>Buys walls</t>
        </is>
      </c>
      <c r="G269" s="6" t="inlineStr">
        <is>
          <t>Houston HQ / Fort Bend, Montgomery</t>
        </is>
      </c>
      <c r="H269" s="6" t="inlineStr">
        <is>
          <t>$155M into 389 BTR homes</t>
        </is>
      </c>
      <c r="I269" s="8" t="inlineStr">
        <is>
          <t>Partly</t>
        </is>
      </c>
      <c r="J269" s="9" t="inlineStr"/>
      <c r="K269" s="8" t="inlineStr">
        <is>
          <t>No</t>
        </is>
      </c>
      <c r="L269" s="9" t="inlineStr"/>
      <c r="M269" s="8" t="inlineStr">
        <is>
          <t>No</t>
        </is>
      </c>
      <c r="N269" s="9" t="inlineStr"/>
      <c r="O269" s="8" t="inlineStr">
        <is>
          <t>Yes</t>
        </is>
      </c>
      <c r="P269" s="10" t="inlineStr"/>
      <c r="Q269" s="6">
        <f>HYPERLINK("https://www.linkedin.com/search/results/people/?keywords=Richard%20J.%20Campo%20Camden%20Property%20Trust","search")</f>
        <v/>
      </c>
      <c r="R269" s="11">
        <f>IF(P269="","ADD LINKEDIN","ok")</f>
        <v/>
      </c>
      <c r="S269" s="6" t="inlineStr">
        <is>
          <t>https://www.camdenliving.com/</t>
        </is>
      </c>
      <c r="T269" s="9" t="inlineStr">
        <is>
          <t>$155M into 389 build-to-rent homes, Houston HQ, holds long term. Figures date to 2022.</t>
        </is>
      </c>
      <c r="U269" s="6" t="inlineStr"/>
      <c r="V269" s="9" t="inlineStr">
        <is>
          <t>Executive Chairman, chief executive from the 1993 listing until 2026.</t>
        </is>
      </c>
      <c r="W269" s="6" t="inlineStr">
        <is>
          <t>https://investors.camdenliving.com/investors/governance/board-of-directors/default.aspx</t>
        </is>
      </c>
      <c r="X269" s="6" t="inlineStr">
        <is>
          <t>https://www.linkedin.com/company/camden-property-trust</t>
        </is>
      </c>
      <c r="Y269" s="6" t="inlineStr">
        <is>
          <t>https://investors.camdenliving.com/investors/governance/board-of-directors/default.aspx</t>
        </is>
      </c>
      <c r="Z269" s="6" t="inlineStr"/>
      <c r="AA269" s="6" t="inlineStr">
        <is>
          <t>(713) 354-2500</t>
        </is>
      </c>
      <c r="AB269" s="6" t="inlineStr"/>
      <c r="AC269" s="6" t="inlineStr">
        <is>
          <t>https://www.camdenliving.com/</t>
        </is>
      </c>
    </row>
    <row r="270">
      <c r="A270" s="12" t="inlineStr">
        <is>
          <t>Michael Eilertsen</t>
        </is>
      </c>
      <c r="B270" s="12" t="inlineStr">
        <is>
          <t>Camden Property Trust</t>
        </is>
      </c>
      <c r="C270" s="12" t="inlineStr">
        <is>
          <t>Vice President of Construction, Camden Property Trust</t>
        </is>
      </c>
      <c r="D270" s="13" t="inlineStr">
        <is>
          <t>Off deck, screened out</t>
        </is>
      </c>
      <c r="E270" s="14" t="n">
        <v>1</v>
      </c>
      <c r="F270" s="12" t="inlineStr">
        <is>
          <t>Buys walls</t>
        </is>
      </c>
      <c r="G270" s="12" t="inlineStr">
        <is>
          <t>Houston HQ / Fort Bend, Montgomery</t>
        </is>
      </c>
      <c r="H270" s="12" t="inlineStr">
        <is>
          <t>$155M into 389 BTR homes</t>
        </is>
      </c>
      <c r="I270" s="14" t="inlineStr">
        <is>
          <t>Partly</t>
        </is>
      </c>
      <c r="J270" s="15" t="inlineStr"/>
      <c r="K270" s="14" t="inlineStr">
        <is>
          <t>No</t>
        </is>
      </c>
      <c r="L270" s="15" t="inlineStr"/>
      <c r="M270" s="14" t="inlineStr">
        <is>
          <t>No</t>
        </is>
      </c>
      <c r="N270" s="15" t="inlineStr"/>
      <c r="O270" s="14" t="inlineStr">
        <is>
          <t>Yes</t>
        </is>
      </c>
      <c r="P270" s="6" t="inlineStr">
        <is>
          <t>https://www.linkedin.com/in/michael-eilertsen-68a59911/</t>
        </is>
      </c>
      <c r="Q270" s="12" t="inlineStr"/>
      <c r="R270" s="16">
        <f>IF(P270="","ADD LINKEDIN","ok")</f>
        <v/>
      </c>
      <c r="S270" s="12" t="inlineStr">
        <is>
          <t>https://www.camdenliving.com/</t>
        </is>
      </c>
      <c r="T270" s="15" t="inlineStr">
        <is>
          <t>$155M into 389 build-to-rent homes, Houston HQ, holds long term. Figures date to 2022.</t>
        </is>
      </c>
      <c r="U270" s="12" t="inlineStr">
        <is>
          <t>YES</t>
        </is>
      </c>
      <c r="V270" s="15" t="inlineStr"/>
      <c r="W270" s="12" t="inlineStr"/>
      <c r="X270" s="12" t="inlineStr">
        <is>
          <t>https://www.linkedin.com/company/camden-property-trust</t>
        </is>
      </c>
      <c r="Y270" s="12" t="inlineStr">
        <is>
          <t>https://investors.camdenliving.com/investors/governance/board-of-directors/default.aspx</t>
        </is>
      </c>
      <c r="Z270" s="12" t="inlineStr"/>
      <c r="AA270" s="12" t="inlineStr">
        <is>
          <t>(713) 354-2500</t>
        </is>
      </c>
      <c r="AB270" s="12" t="inlineStr"/>
      <c r="AC270" s="12" t="inlineStr">
        <is>
          <t>https://www.camdenliving.com/</t>
        </is>
      </c>
    </row>
    <row r="271">
      <c r="A271" s="6" t="inlineStr">
        <is>
          <t>Bob Faith</t>
        </is>
      </c>
      <c r="B271" s="6" t="inlineStr">
        <is>
          <t>Greystar (Summerwell)</t>
        </is>
      </c>
      <c r="C271" s="6" t="inlineStr">
        <is>
          <t>Founder, Chairman and Chief Executive Officer</t>
        </is>
      </c>
      <c r="D271" s="7" t="inlineStr">
        <is>
          <t>Off deck, screened out</t>
        </is>
      </c>
      <c r="E271" s="8" t="n">
        <v>1</v>
      </c>
      <c r="F271" s="6" t="inlineStr">
        <is>
          <t>Buys walls</t>
        </is>
      </c>
      <c r="G271" s="6" t="inlineStr">
        <is>
          <t>Charleston HQ / Katy, Harris-Waller</t>
        </is>
      </c>
      <c r="H271" s="6" t="inlineStr">
        <is>
          <t>Summerwell: 10,000+ homes, 50 properties</t>
        </is>
      </c>
      <c r="I271" s="8" t="inlineStr">
        <is>
          <t>Partly</t>
        </is>
      </c>
      <c r="J271" s="9" t="inlineStr"/>
      <c r="K271" s="8" t="inlineStr">
        <is>
          <t>No</t>
        </is>
      </c>
      <c r="L271" s="9" t="inlineStr"/>
      <c r="M271" s="8" t="inlineStr">
        <is>
          <t>No</t>
        </is>
      </c>
      <c r="N271" s="9" t="inlineStr"/>
      <c r="O271" s="8" t="inlineStr">
        <is>
          <t>Yes</t>
        </is>
      </c>
      <c r="P271" s="10" t="inlineStr"/>
      <c r="Q271" s="6">
        <f>HYPERLINK("https://www.linkedin.com/search/results/people/?keywords=Bob%20Faith%20Greystar","search")</f>
        <v/>
      </c>
      <c r="R271" s="11">
        <f>IF(P271="","ADD LINKEDIN","ok")</f>
        <v/>
      </c>
      <c r="S271" s="6" t="inlineStr">
        <is>
          <t>https://www.greystar.com/</t>
        </is>
      </c>
      <c r="T271" s="9" t="inlineStr">
        <is>
          <t>156 units inside Sunterra, a Houston-based development director, and a 10,000-home national brand. Costs withheld.</t>
        </is>
      </c>
      <c r="U271" s="6" t="inlineStr"/>
      <c r="V271" s="9" t="inlineStr"/>
      <c r="W271" s="6" t="inlineStr">
        <is>
          <t>https://www.greystar.com/contact-us/our-people/bob-faith</t>
        </is>
      </c>
      <c r="X271" s="6" t="inlineStr">
        <is>
          <t>https://www.linkedin.com/company/greystar</t>
        </is>
      </c>
      <c r="Y271" s="6" t="inlineStr">
        <is>
          <t>https://www.greystar.com/business/about-greystar/our-leadership</t>
        </is>
      </c>
      <c r="Z271" s="6" t="inlineStr"/>
      <c r="AA271" s="6" t="inlineStr"/>
      <c r="AB271" s="6" t="inlineStr"/>
      <c r="AC271" s="6" t="inlineStr"/>
    </row>
    <row r="272">
      <c r="A272" s="12" t="inlineStr">
        <is>
          <t>Brian Herwald</t>
        </is>
      </c>
      <c r="B272" s="12" t="inlineStr">
        <is>
          <t>Greystar (Summerwell)</t>
        </is>
      </c>
      <c r="C272" s="12" t="inlineStr">
        <is>
          <t>Managing Director of Development, Houston</t>
        </is>
      </c>
      <c r="D272" s="13" t="inlineStr">
        <is>
          <t>Off deck, screened out</t>
        </is>
      </c>
      <c r="E272" s="14" t="n">
        <v>1</v>
      </c>
      <c r="F272" s="12" t="inlineStr">
        <is>
          <t>Buys walls</t>
        </is>
      </c>
      <c r="G272" s="12" t="inlineStr">
        <is>
          <t>Charleston HQ / Katy, Harris-Waller</t>
        </is>
      </c>
      <c r="H272" s="12" t="inlineStr">
        <is>
          <t>Summerwell: 10,000+ homes, 50 properties</t>
        </is>
      </c>
      <c r="I272" s="14" t="inlineStr">
        <is>
          <t>Partly</t>
        </is>
      </c>
      <c r="J272" s="15" t="inlineStr"/>
      <c r="K272" s="14" t="inlineStr">
        <is>
          <t>No</t>
        </is>
      </c>
      <c r="L272" s="15" t="inlineStr"/>
      <c r="M272" s="14" t="inlineStr">
        <is>
          <t>No</t>
        </is>
      </c>
      <c r="N272" s="15" t="inlineStr"/>
      <c r="O272" s="14" t="inlineStr">
        <is>
          <t>Yes</t>
        </is>
      </c>
      <c r="P272" s="10" t="inlineStr"/>
      <c r="Q272" s="12">
        <f>HYPERLINK("https://www.linkedin.com/search/results/people/?keywords=Brian%20Herwald%20Greystar","search")</f>
        <v/>
      </c>
      <c r="R272" s="16">
        <f>IF(P272="","ADD LINKEDIN","ok")</f>
        <v/>
      </c>
      <c r="S272" s="12" t="inlineStr">
        <is>
          <t>https://www.greystar.com/</t>
        </is>
      </c>
      <c r="T272" s="15" t="inlineStr">
        <is>
          <t>156 units inside Sunterra, a Houston-based development director, and a 10,000-home national brand. Costs withheld.</t>
        </is>
      </c>
      <c r="U272" s="12" t="inlineStr"/>
      <c r="V272" s="15" t="inlineStr">
        <is>
          <t>Managing Director of Development, quoted on Greystar's first Houston logistics project.</t>
        </is>
      </c>
      <c r="W272" s="12" t="inlineStr">
        <is>
          <t>https://www.greystar.com/business/about-greystar/newsroom/greystar-completes-first-logistics-project-in-houston</t>
        </is>
      </c>
      <c r="X272" s="12" t="inlineStr">
        <is>
          <t>https://www.linkedin.com/company/greystar</t>
        </is>
      </c>
      <c r="Y272" s="12" t="inlineStr">
        <is>
          <t>https://www.greystar.com/business/about-greystar/our-leadership</t>
        </is>
      </c>
      <c r="Z272" s="12" t="inlineStr"/>
      <c r="AA272" s="12" t="inlineStr"/>
      <c r="AB272" s="12" t="inlineStr"/>
      <c r="AC272" s="12" t="inlineStr"/>
    </row>
    <row r="273">
      <c r="A273" s="6" t="inlineStr">
        <is>
          <t>Brian Dinerstein</t>
        </is>
      </c>
      <c r="B273" s="6" t="inlineStr">
        <is>
          <t>The Dinerstein Companies</t>
        </is>
      </c>
      <c r="C273" s="6" t="inlineStr">
        <is>
          <t>Chief Executive Officer</t>
        </is>
      </c>
      <c r="D273" s="7" t="inlineStr">
        <is>
          <t>Off deck, screened out</t>
        </is>
      </c>
      <c r="E273" s="8" t="n">
        <v>1</v>
      </c>
      <c r="F273" s="6" t="inlineStr">
        <is>
          <t>Buys walls</t>
        </is>
      </c>
      <c r="G273" s="6" t="inlineStr">
        <is>
          <t>Houston HQ / Fort Bend</t>
        </is>
      </c>
      <c r="H273" s="6" t="inlineStr">
        <is>
          <t>186 BTR homes, Harrison Street JV</t>
        </is>
      </c>
      <c r="I273" s="8" t="inlineStr">
        <is>
          <t>Partly</t>
        </is>
      </c>
      <c r="J273" s="9" t="inlineStr"/>
      <c r="K273" s="8" t="inlineStr">
        <is>
          <t>No</t>
        </is>
      </c>
      <c r="L273" s="9" t="inlineStr"/>
      <c r="M273" s="8" t="inlineStr">
        <is>
          <t>No</t>
        </is>
      </c>
      <c r="N273" s="9" t="inlineStr"/>
      <c r="O273" s="8" t="inlineStr">
        <is>
          <t>Yes</t>
        </is>
      </c>
      <c r="P273" s="10" t="inlineStr"/>
      <c r="Q273" s="6">
        <f>HYPERLINK("https://www.linkedin.com/search/results/people/?keywords=Brian%20Dinerstein%20The%20Dinerstein%20Companies","search")</f>
        <v/>
      </c>
      <c r="R273" s="11">
        <f>IF(P273="","ADD LINKEDIN","ok")</f>
        <v/>
      </c>
      <c r="S273" s="6" t="inlineStr">
        <is>
          <t>https://www.dinersteincos.com/</t>
        </is>
      </c>
      <c r="T273" s="9" t="inlineStr">
        <is>
          <t>186 build-to-rent homes with Harrison Street and 70 years in Houston. Launch coverage is amenities only.</t>
        </is>
      </c>
      <c r="U273" s="6" t="inlineStr"/>
      <c r="V273" s="9" t="inlineStr">
        <is>
          <t>The firm's own bio page. Chief Executive Officer of a developer and operator with $4.3 billion under management.</t>
        </is>
      </c>
      <c r="W273" s="6" t="inlineStr">
        <is>
          <t>https://www.dinersteincos.com/team/brian-dinerstein</t>
        </is>
      </c>
      <c r="X273" s="6" t="inlineStr">
        <is>
          <t>https://www.linkedin.com/company/the-dinerstein-companies/</t>
        </is>
      </c>
      <c r="Y273" s="6" t="inlineStr">
        <is>
          <t>https://www.dinersteincos.com/about-us</t>
        </is>
      </c>
      <c r="Z273" s="6" t="inlineStr"/>
      <c r="AA273" s="6" t="inlineStr"/>
      <c r="AB273" s="6" t="inlineStr"/>
      <c r="AC273" s="6" t="inlineStr"/>
    </row>
    <row r="274">
      <c r="A274" s="12" t="inlineStr">
        <is>
          <t>Jack Dinerstein</t>
        </is>
      </c>
      <c r="B274" s="12" t="inlineStr">
        <is>
          <t>The Dinerstein Companies</t>
        </is>
      </c>
      <c r="C274" s="12" t="inlineStr">
        <is>
          <t>Executive Chairman</t>
        </is>
      </c>
      <c r="D274" s="13" t="inlineStr">
        <is>
          <t>Off deck, screened out</t>
        </is>
      </c>
      <c r="E274" s="14" t="n">
        <v>1</v>
      </c>
      <c r="F274" s="12" t="inlineStr">
        <is>
          <t>Buys walls</t>
        </is>
      </c>
      <c r="G274" s="12" t="inlineStr">
        <is>
          <t>Houston HQ / Fort Bend</t>
        </is>
      </c>
      <c r="H274" s="12" t="inlineStr">
        <is>
          <t>186 BTR homes, Harrison Street JV</t>
        </is>
      </c>
      <c r="I274" s="14" t="inlineStr">
        <is>
          <t>Partly</t>
        </is>
      </c>
      <c r="J274" s="15" t="inlineStr"/>
      <c r="K274" s="14" t="inlineStr">
        <is>
          <t>No</t>
        </is>
      </c>
      <c r="L274" s="15" t="inlineStr"/>
      <c r="M274" s="14" t="inlineStr">
        <is>
          <t>No</t>
        </is>
      </c>
      <c r="N274" s="15" t="inlineStr"/>
      <c r="O274" s="14" t="inlineStr">
        <is>
          <t>Yes</t>
        </is>
      </c>
      <c r="P274" s="6" t="inlineStr">
        <is>
          <t>https://www.linkedin.com/in/jack-dinerstein-4215073/</t>
        </is>
      </c>
      <c r="Q274" s="12" t="inlineStr"/>
      <c r="R274" s="16">
        <f>IF(P274="","ADD LINKEDIN","ok")</f>
        <v/>
      </c>
      <c r="S274" s="12" t="inlineStr">
        <is>
          <t>https://www.dinersteincos.com/</t>
        </is>
      </c>
      <c r="T274" s="15" t="inlineStr">
        <is>
          <t>186 build-to-rent homes with Harrison Street and 70 years in Houston. Launch coverage is amenities only.</t>
        </is>
      </c>
      <c r="U274" s="12" t="inlineStr"/>
      <c r="V274" s="15" t="inlineStr">
        <is>
          <t>Owner, Dinerstein Companies. Houston, Texas.</t>
        </is>
      </c>
      <c r="W274" s="12" t="inlineStr"/>
      <c r="X274" s="12" t="inlineStr">
        <is>
          <t>https://www.linkedin.com/company/the-dinerstein-companies/</t>
        </is>
      </c>
      <c r="Y274" s="12" t="inlineStr">
        <is>
          <t>https://www.dinersteincos.com/about-us</t>
        </is>
      </c>
      <c r="Z274" s="12" t="inlineStr"/>
      <c r="AA274" s="12" t="inlineStr"/>
      <c r="AB274" s="12" t="inlineStr"/>
      <c r="AC274" s="12" t="inlineStr"/>
    </row>
    <row r="275">
      <c r="A275" s="6" t="inlineStr">
        <is>
          <t>Brad Dinerstein</t>
        </is>
      </c>
      <c r="B275" s="6" t="inlineStr">
        <is>
          <t>The Dinerstein Companies</t>
        </is>
      </c>
      <c r="C275" s="6" t="inlineStr">
        <is>
          <t>Managing Partner of Development and Design</t>
        </is>
      </c>
      <c r="D275" s="7" t="inlineStr">
        <is>
          <t>Off deck, screened out</t>
        </is>
      </c>
      <c r="E275" s="8" t="n">
        <v>1</v>
      </c>
      <c r="F275" s="6" t="inlineStr">
        <is>
          <t>Buys walls</t>
        </is>
      </c>
      <c r="G275" s="6" t="inlineStr">
        <is>
          <t>Houston HQ / Fort Bend</t>
        </is>
      </c>
      <c r="H275" s="6" t="inlineStr">
        <is>
          <t>186 BTR homes, Harrison Street JV</t>
        </is>
      </c>
      <c r="I275" s="8" t="inlineStr">
        <is>
          <t>Partly</t>
        </is>
      </c>
      <c r="J275" s="9" t="inlineStr"/>
      <c r="K275" s="8" t="inlineStr">
        <is>
          <t>No</t>
        </is>
      </c>
      <c r="L275" s="9" t="inlineStr"/>
      <c r="M275" s="8" t="inlineStr">
        <is>
          <t>No</t>
        </is>
      </c>
      <c r="N275" s="9" t="inlineStr"/>
      <c r="O275" s="8" t="inlineStr">
        <is>
          <t>Yes</t>
        </is>
      </c>
      <c r="P275" s="10" t="inlineStr"/>
      <c r="Q275" s="6">
        <f>HYPERLINK("https://www.linkedin.com/search/results/people/?keywords=Brad%20Dinerstein%20The%20Dinerstein%20Companies","search")</f>
        <v/>
      </c>
      <c r="R275" s="11">
        <f>IF(P275="","ADD LINKEDIN","ok")</f>
        <v/>
      </c>
      <c r="S275" s="6" t="inlineStr">
        <is>
          <t>https://www.dinersteincos.com/</t>
        </is>
      </c>
      <c r="T275" s="9" t="inlineStr">
        <is>
          <t>186 build-to-rent homes with Harrison Street and 70 years in Houston. Launch coverage is amenities only.</t>
        </is>
      </c>
      <c r="U275" s="6" t="inlineStr"/>
      <c r="V275" s="9" t="inlineStr"/>
      <c r="W275" s="6" t="inlineStr">
        <is>
          <t>https://www.dinersteincos.com/about-us</t>
        </is>
      </c>
      <c r="X275" s="6" t="inlineStr">
        <is>
          <t>https://www.linkedin.com/company/the-dinerstein-companies/</t>
        </is>
      </c>
      <c r="Y275" s="6" t="inlineStr">
        <is>
          <t>https://www.dinersteincos.com/about-us</t>
        </is>
      </c>
      <c r="Z275" s="6" t="inlineStr"/>
      <c r="AA275" s="6" t="inlineStr"/>
      <c r="AB275" s="6" t="inlineStr"/>
      <c r="AC275" s="6" t="inlineStr"/>
    </row>
    <row r="276">
      <c r="A276" s="12" t="inlineStr">
        <is>
          <t>John Caltagirone</t>
        </is>
      </c>
      <c r="B276" s="12" t="inlineStr">
        <is>
          <t>The Dinerstein Companies</t>
        </is>
      </c>
      <c r="C276" s="12" t="inlineStr">
        <is>
          <t>President and Partner</t>
        </is>
      </c>
      <c r="D276" s="13" t="inlineStr">
        <is>
          <t>Off deck, screened out</t>
        </is>
      </c>
      <c r="E276" s="14" t="n">
        <v>1</v>
      </c>
      <c r="F276" s="12" t="inlineStr">
        <is>
          <t>Buys walls</t>
        </is>
      </c>
      <c r="G276" s="12" t="inlineStr">
        <is>
          <t>Houston HQ / Fort Bend</t>
        </is>
      </c>
      <c r="H276" s="12" t="inlineStr">
        <is>
          <t>186 BTR homes, Harrison Street JV</t>
        </is>
      </c>
      <c r="I276" s="14" t="inlineStr">
        <is>
          <t>Partly</t>
        </is>
      </c>
      <c r="J276" s="15" t="inlineStr"/>
      <c r="K276" s="14" t="inlineStr">
        <is>
          <t>No</t>
        </is>
      </c>
      <c r="L276" s="15" t="inlineStr"/>
      <c r="M276" s="14" t="inlineStr">
        <is>
          <t>No</t>
        </is>
      </c>
      <c r="N276" s="15" t="inlineStr"/>
      <c r="O276" s="14" t="inlineStr">
        <is>
          <t>Yes</t>
        </is>
      </c>
      <c r="P276" s="10" t="inlineStr"/>
      <c r="Q276" s="12">
        <f>HYPERLINK("https://www.linkedin.com/search/results/people/?keywords=John%20Caltagirone%20The%20Dinerstein%20Companies","search")</f>
        <v/>
      </c>
      <c r="R276" s="16">
        <f>IF(P276="","ADD LINKEDIN","ok")</f>
        <v/>
      </c>
      <c r="S276" s="12" t="inlineStr">
        <is>
          <t>https://www.dinersteincos.com/</t>
        </is>
      </c>
      <c r="T276" s="15" t="inlineStr">
        <is>
          <t>186 build-to-rent homes with Harrison Street and 70 years in Houston. Launch coverage is amenities only.</t>
        </is>
      </c>
      <c r="U276" s="12" t="inlineStr"/>
      <c r="V276" s="15" t="inlineStr"/>
      <c r="W276" s="12" t="inlineStr">
        <is>
          <t>https://www.dinersteincos.com/about-us</t>
        </is>
      </c>
      <c r="X276" s="12" t="inlineStr">
        <is>
          <t>https://www.linkedin.com/company/the-dinerstein-companies/</t>
        </is>
      </c>
      <c r="Y276" s="12" t="inlineStr">
        <is>
          <t>https://www.dinersteincos.com/about-us</t>
        </is>
      </c>
      <c r="Z276" s="12" t="inlineStr"/>
      <c r="AA276" s="12" t="inlineStr"/>
      <c r="AB276" s="12" t="inlineStr"/>
      <c r="AC276" s="12" t="inlineStr"/>
    </row>
    <row r="277">
      <c r="A277" s="6" t="inlineStr">
        <is>
          <t>Jason Baker</t>
        </is>
      </c>
      <c r="B277" s="6" t="inlineStr">
        <is>
          <t>Baker Katz</t>
        </is>
      </c>
      <c r="C277" s="6" t="inlineStr">
        <is>
          <t>Leads the tenant representation team, Baker Katz</t>
        </is>
      </c>
      <c r="D277" s="7" t="inlineStr">
        <is>
          <t>Off deck, screened out</t>
        </is>
      </c>
      <c r="E277" s="8" t="n">
        <v>1</v>
      </c>
      <c r="F277" s="6" t="inlineStr">
        <is>
          <t>Buys walls</t>
        </is>
      </c>
      <c r="G277" s="6" t="inlineStr">
        <is>
          <t>Houston / Harris, Galveston</t>
        </is>
      </c>
      <c r="H277" s="6" t="inlineStr"/>
      <c r="I277" s="8" t="inlineStr">
        <is>
          <t>Partly</t>
        </is>
      </c>
      <c r="J277" s="9" t="inlineStr"/>
      <c r="K277" s="8" t="inlineStr">
        <is>
          <t>No</t>
        </is>
      </c>
      <c r="L277" s="9" t="inlineStr"/>
      <c r="M277" s="8" t="inlineStr">
        <is>
          <t>No</t>
        </is>
      </c>
      <c r="N277" s="9" t="inlineStr"/>
      <c r="O277" s="8" t="inlineStr">
        <is>
          <t>Partly</t>
        </is>
      </c>
      <c r="P277" s="10" t="inlineStr"/>
      <c r="Q277" s="6">
        <f>HYPERLINK("https://www.linkedin.com/search/results/people/?keywords=Jason%20Baker%20Baker%20Katz","search")</f>
        <v/>
      </c>
      <c r="R277" s="11">
        <f>IF(P277="","ADD LINKEDIN","ok")</f>
        <v/>
      </c>
      <c r="S277" s="6" t="inlineStr">
        <is>
          <t>https://bakerkatz.com/</t>
        </is>
      </c>
      <c r="T277" s="9" t="inlineStr">
        <is>
          <t>More than 80 retail projects, but recent Houston activity is buying existing centres rather than building.</t>
        </is>
      </c>
      <c r="U277" s="6" t="inlineStr"/>
      <c r="V277" s="9" t="inlineStr">
        <is>
          <t>Leads the tenant representation team, with more than twenty-five years in Houston retail. The page carries bios without formal titles.</t>
        </is>
      </c>
      <c r="W277" s="6" t="inlineStr">
        <is>
          <t>https://bakerkatz.com/about-us/</t>
        </is>
      </c>
      <c r="X277" s="6" t="inlineStr">
        <is>
          <t>https://www.linkedin.com/company/baker-katz</t>
        </is>
      </c>
      <c r="Y277" s="6" t="inlineStr">
        <is>
          <t>https://bakerkatz.com/about-us/</t>
        </is>
      </c>
      <c r="Z277" s="6" t="inlineStr"/>
      <c r="AA277" s="6" t="inlineStr">
        <is>
          <t>(713) 621-2900</t>
        </is>
      </c>
      <c r="AB277" s="6" t="inlineStr"/>
      <c r="AC277" s="6" t="inlineStr">
        <is>
          <t>https://bakerkatz.com/</t>
        </is>
      </c>
    </row>
    <row r="278">
      <c r="A278" s="12" t="inlineStr">
        <is>
          <t>Kenneth Katz</t>
        </is>
      </c>
      <c r="B278" s="12" t="inlineStr">
        <is>
          <t>Baker Katz</t>
        </is>
      </c>
      <c r="C278" s="12" t="inlineStr">
        <is>
          <t>Leads the investment and development practice, Baker Katz</t>
        </is>
      </c>
      <c r="D278" s="13" t="inlineStr">
        <is>
          <t>Off deck, screened out</t>
        </is>
      </c>
      <c r="E278" s="14" t="n">
        <v>1</v>
      </c>
      <c r="F278" s="12" t="inlineStr">
        <is>
          <t>Buys walls</t>
        </is>
      </c>
      <c r="G278" s="12" t="inlineStr">
        <is>
          <t>Houston / Harris, Galveston</t>
        </is>
      </c>
      <c r="H278" s="12" t="inlineStr"/>
      <c r="I278" s="14" t="inlineStr">
        <is>
          <t>Partly</t>
        </is>
      </c>
      <c r="J278" s="15" t="inlineStr"/>
      <c r="K278" s="14" t="inlineStr">
        <is>
          <t>No</t>
        </is>
      </c>
      <c r="L278" s="15" t="inlineStr"/>
      <c r="M278" s="14" t="inlineStr">
        <is>
          <t>No</t>
        </is>
      </c>
      <c r="N278" s="15" t="inlineStr"/>
      <c r="O278" s="14" t="inlineStr">
        <is>
          <t>Partly</t>
        </is>
      </c>
      <c r="P278" s="10" t="inlineStr"/>
      <c r="Q278" s="12">
        <f>HYPERLINK("https://www.linkedin.com/search/results/people/?keywords=Kenneth%20Katz%20Baker%20Katz","search")</f>
        <v/>
      </c>
      <c r="R278" s="16">
        <f>IF(P278="","ADD LINKEDIN","ok")</f>
        <v/>
      </c>
      <c r="S278" s="12" t="inlineStr">
        <is>
          <t>https://bakerkatz.com/</t>
        </is>
      </c>
      <c r="T278" s="15" t="inlineStr">
        <is>
          <t>More than 80 retail projects, but recent Houston activity is buying existing centres rather than building.</t>
        </is>
      </c>
      <c r="U278" s="12" t="inlineStr"/>
      <c r="V278" s="15" t="inlineStr">
        <is>
          <t>Leads the real estate investment and development practice, covering ground-up development and redevelopment.</t>
        </is>
      </c>
      <c r="W278" s="12" t="inlineStr">
        <is>
          <t>https://bakerkatz.com/about-us/</t>
        </is>
      </c>
      <c r="X278" s="12" t="inlineStr">
        <is>
          <t>https://www.linkedin.com/company/baker-katz</t>
        </is>
      </c>
      <c r="Y278" s="12" t="inlineStr">
        <is>
          <t>https://bakerkatz.com/about-us/</t>
        </is>
      </c>
      <c r="Z278" s="12" t="inlineStr"/>
      <c r="AA278" s="12" t="inlineStr">
        <is>
          <t>(713) 621-2900</t>
        </is>
      </c>
      <c r="AB278" s="12" t="inlineStr"/>
      <c r="AC278" s="12" t="inlineStr">
        <is>
          <t>https://bakerkatz.com/</t>
        </is>
      </c>
    </row>
    <row r="279">
      <c r="A279" s="6" t="inlineStr">
        <is>
          <t>Martin Mendoza</t>
        </is>
      </c>
      <c r="B279" s="6" t="inlineStr">
        <is>
          <t>Baker Katz</t>
        </is>
      </c>
      <c r="C279" s="6" t="inlineStr">
        <is>
          <t>Oversees design and construction, Baker Katz</t>
        </is>
      </c>
      <c r="D279" s="7" t="inlineStr">
        <is>
          <t>Off deck, screened out</t>
        </is>
      </c>
      <c r="E279" s="8" t="n">
        <v>1</v>
      </c>
      <c r="F279" s="6" t="inlineStr">
        <is>
          <t>Buys walls</t>
        </is>
      </c>
      <c r="G279" s="6" t="inlineStr">
        <is>
          <t>Houston / Harris, Galveston</t>
        </is>
      </c>
      <c r="H279" s="6" t="inlineStr"/>
      <c r="I279" s="8" t="inlineStr">
        <is>
          <t>Partly</t>
        </is>
      </c>
      <c r="J279" s="9" t="inlineStr"/>
      <c r="K279" s="8" t="inlineStr">
        <is>
          <t>No</t>
        </is>
      </c>
      <c r="L279" s="9" t="inlineStr"/>
      <c r="M279" s="8" t="inlineStr">
        <is>
          <t>No</t>
        </is>
      </c>
      <c r="N279" s="9" t="inlineStr"/>
      <c r="O279" s="8" t="inlineStr">
        <is>
          <t>Partly</t>
        </is>
      </c>
      <c r="P279" s="10" t="inlineStr"/>
      <c r="Q279" s="6">
        <f>HYPERLINK("https://www.linkedin.com/search/results/people/?keywords=Martin%20Mendoza%20Baker%20Katz","search")</f>
        <v/>
      </c>
      <c r="R279" s="11">
        <f>IF(P279="","ADD LINKEDIN","ok")</f>
        <v/>
      </c>
      <c r="S279" s="6" t="inlineStr">
        <is>
          <t>https://bakerkatz.com/</t>
        </is>
      </c>
      <c r="T279" s="9" t="inlineStr">
        <is>
          <t>More than 80 retail projects, but recent Houston activity is buying existing centres rather than building.</t>
        </is>
      </c>
      <c r="U279" s="6" t="inlineStr">
        <is>
          <t>YES</t>
        </is>
      </c>
      <c r="V279" s="9" t="inlineStr">
        <is>
          <t>Joined in August 2024 responsible for overseeing design and construction phases. The page gives no title, so the function rather than the rank is what places him here.</t>
        </is>
      </c>
      <c r="W279" s="6" t="inlineStr">
        <is>
          <t>https://bakerkatz.com/about-us/</t>
        </is>
      </c>
      <c r="X279" s="6" t="inlineStr">
        <is>
          <t>https://www.linkedin.com/company/baker-katz</t>
        </is>
      </c>
      <c r="Y279" s="6" t="inlineStr">
        <is>
          <t>https://bakerkatz.com/about-us/</t>
        </is>
      </c>
      <c r="Z279" s="6" t="inlineStr"/>
      <c r="AA279" s="6" t="inlineStr">
        <is>
          <t>(713) 621-2900</t>
        </is>
      </c>
      <c r="AB279" s="6" t="inlineStr"/>
      <c r="AC279" s="6" t="inlineStr">
        <is>
          <t>https://bakerkatz.com/</t>
        </is>
      </c>
    </row>
    <row r="280">
      <c r="A280" s="12" t="inlineStr">
        <is>
          <t>Bob Sellingsloh</t>
        </is>
      </c>
      <c r="B280" s="12" t="inlineStr">
        <is>
          <t>Wulfe &amp; Co.</t>
        </is>
      </c>
      <c r="C280" s="12" t="inlineStr">
        <is>
          <t>President and Principal, Wulfe &amp; Co.</t>
        </is>
      </c>
      <c r="D280" s="13" t="inlineStr">
        <is>
          <t>Off deck, screened out</t>
        </is>
      </c>
      <c r="E280" s="14" t="n">
        <v>1</v>
      </c>
      <c r="F280" s="12" t="inlineStr">
        <is>
          <t>Buys walls</t>
        </is>
      </c>
      <c r="G280" s="12" t="inlineStr">
        <is>
          <t>Post Oak / Harris, Galveston</t>
        </is>
      </c>
      <c r="H280" s="12" t="inlineStr"/>
      <c r="I280" s="14" t="inlineStr">
        <is>
          <t>Partly</t>
        </is>
      </c>
      <c r="J280" s="15" t="inlineStr"/>
      <c r="K280" s="14" t="inlineStr">
        <is>
          <t>No</t>
        </is>
      </c>
      <c r="L280" s="15" t="inlineStr"/>
      <c r="M280" s="14" t="inlineStr">
        <is>
          <t>No</t>
        </is>
      </c>
      <c r="N280" s="15" t="inlineStr"/>
      <c r="O280" s="14" t="inlineStr">
        <is>
          <t>No</t>
        </is>
      </c>
      <c r="P280" s="10" t="inlineStr"/>
      <c r="Q280" s="12">
        <f>HYPERLINK("https://www.linkedin.com/search/results/people/?keywords=Bob%20Sellingsloh%20Wulfe%20%26%20Co.","search")</f>
        <v/>
      </c>
      <c r="R280" s="16">
        <f>IF(P280="","ADD LINKEDIN","ok")</f>
        <v/>
      </c>
      <c r="S280" s="12" t="inlineStr">
        <is>
          <t>https://www.wulfe.com/</t>
        </is>
      </c>
      <c r="T280" s="15" t="inlineStr">
        <is>
          <t>7.2M sf across nine centres. Current activity is leasing and management, not ground-up.</t>
        </is>
      </c>
      <c r="U280" s="12" t="inlineStr"/>
      <c r="V280" s="15" t="inlineStr">
        <is>
          <t>President and Principal, listed first under leadership. Ed Wulfe no longer appears on the leadership page.</t>
        </is>
      </c>
      <c r="W280" s="12" t="inlineStr">
        <is>
          <t>https://www.wulfe.com/people</t>
        </is>
      </c>
      <c r="X280" s="12" t="inlineStr">
        <is>
          <t>https://www.linkedin.com/company/wulfe</t>
        </is>
      </c>
      <c r="Y280" s="12" t="inlineStr">
        <is>
          <t>https://www.wulfe.com/people</t>
        </is>
      </c>
      <c r="Z280" s="12" t="inlineStr"/>
      <c r="AA280" s="12" t="inlineStr">
        <is>
          <t>(713) 621-1700</t>
        </is>
      </c>
      <c r="AB280" s="12" t="inlineStr"/>
      <c r="AC280" s="12" t="inlineStr">
        <is>
          <t>https://www.wulfe.com/</t>
        </is>
      </c>
    </row>
    <row r="281">
      <c r="A281" s="6" t="inlineStr">
        <is>
          <t>Tammy Smith</t>
        </is>
      </c>
      <c r="B281" s="6" t="inlineStr">
        <is>
          <t>Wulfe &amp; Co.</t>
        </is>
      </c>
      <c r="C281" s="6" t="inlineStr">
        <is>
          <t>Director of Construction, Wulfe &amp; Co.</t>
        </is>
      </c>
      <c r="D281" s="7" t="inlineStr">
        <is>
          <t>Off deck, screened out</t>
        </is>
      </c>
      <c r="E281" s="8" t="n">
        <v>1</v>
      </c>
      <c r="F281" s="6" t="inlineStr">
        <is>
          <t>Buys walls</t>
        </is>
      </c>
      <c r="G281" s="6" t="inlineStr">
        <is>
          <t>Post Oak / Harris, Galveston</t>
        </is>
      </c>
      <c r="H281" s="6" t="inlineStr"/>
      <c r="I281" s="8" t="inlineStr">
        <is>
          <t>Partly</t>
        </is>
      </c>
      <c r="J281" s="9" t="inlineStr"/>
      <c r="K281" s="8" t="inlineStr">
        <is>
          <t>No</t>
        </is>
      </c>
      <c r="L281" s="9" t="inlineStr"/>
      <c r="M281" s="8" t="inlineStr">
        <is>
          <t>No</t>
        </is>
      </c>
      <c r="N281" s="9" t="inlineStr"/>
      <c r="O281" s="8" t="inlineStr">
        <is>
          <t>No</t>
        </is>
      </c>
      <c r="P281" s="10" t="inlineStr"/>
      <c r="Q281" s="6">
        <f>HYPERLINK("https://www.linkedin.com/search/results/people/?keywords=Tammy%20Smith%20Wulfe%20%26%20Co.","search")</f>
        <v/>
      </c>
      <c r="R281" s="11">
        <f>IF(P281="","ADD LINKEDIN","ok")</f>
        <v/>
      </c>
      <c r="S281" s="6" t="inlineStr">
        <is>
          <t>https://www.wulfe.com/</t>
        </is>
      </c>
      <c r="T281" s="9" t="inlineStr">
        <is>
          <t>7.2M sf across nine centres. Current activity is leasing and management, not ground-up.</t>
        </is>
      </c>
      <c r="U281" s="6" t="inlineStr">
        <is>
          <t>YES</t>
        </is>
      </c>
      <c r="V281" s="9" t="inlineStr"/>
      <c r="W281" s="6" t="inlineStr">
        <is>
          <t>https://www.wulfe.com/people</t>
        </is>
      </c>
      <c r="X281" s="6" t="inlineStr">
        <is>
          <t>https://www.linkedin.com/company/wulfe</t>
        </is>
      </c>
      <c r="Y281" s="6" t="inlineStr">
        <is>
          <t>https://www.wulfe.com/people</t>
        </is>
      </c>
      <c r="Z281" s="6" t="inlineStr"/>
      <c r="AA281" s="6" t="inlineStr">
        <is>
          <t>(713) 621-1700</t>
        </is>
      </c>
      <c r="AB281" s="6" t="inlineStr"/>
      <c r="AC281" s="6" t="inlineStr">
        <is>
          <t>https://www.wulfe.com/</t>
        </is>
      </c>
    </row>
    <row r="282">
      <c r="A282" s="12" t="inlineStr">
        <is>
          <t>Vinod Ramani</t>
        </is>
      </c>
      <c r="B282" s="12" t="inlineStr">
        <is>
          <t>Urban Living</t>
        </is>
      </c>
      <c r="C282" s="12" t="inlineStr">
        <is>
          <t>Owner</t>
        </is>
      </c>
      <c r="D282" s="13" t="inlineStr">
        <is>
          <t>Off deck, screened out</t>
        </is>
      </c>
      <c r="E282" s="14" t="n">
        <v>0</v>
      </c>
      <c r="F282" s="12" t="inlineStr">
        <is>
          <t>Buys walls</t>
        </is>
      </c>
      <c r="G282" s="12" t="inlineStr">
        <is>
          <t>Inner-loop Houston, Harris County</t>
        </is>
      </c>
      <c r="H282" s="12" t="inlineStr">
        <is>
          <t>Its own domain no longer resolves to a site</t>
        </is>
      </c>
      <c r="I282" s="14" t="inlineStr">
        <is>
          <t>No</t>
        </is>
      </c>
      <c r="J282" s="15" t="inlineStr">
        <is>
          <t>Nothing is published. The firm's own site is a parked domain.</t>
        </is>
      </c>
      <c r="K282" s="14" t="inlineStr">
        <is>
          <t>No</t>
        </is>
      </c>
      <c r="L282" s="15" t="inlineStr">
        <is>
          <t>No community, unit count or volume figure survives on any page the deck can cite.</t>
        </is>
      </c>
      <c r="M282" s="14" t="inlineStr">
        <is>
          <t>No</t>
        </is>
      </c>
      <c r="N282" s="15" t="inlineStr">
        <is>
          <t>Nothing on record.</t>
        </is>
      </c>
      <c r="O282" s="14" t="inlineStr">
        <is>
          <t>No</t>
        </is>
      </c>
      <c r="P282" s="6" t="inlineStr">
        <is>
          <t>https://www.linkedin.com/in/vinod-ramani-4a46788/</t>
        </is>
      </c>
      <c r="Q282" s="12" t="inlineStr"/>
      <c r="R282" s="16">
        <f>IF(P282="","ADD LINKEDIN","ok")</f>
        <v/>
      </c>
      <c r="S282" s="12" t="inlineStr">
        <is>
          <t>no website confirmed</t>
        </is>
      </c>
      <c r="T282" s="15" t="inlineStr">
        <is>
          <t>Attached townhome production, the product type a printed party wall serves. The owner is held on a LinkedIn headline alone; the firm's own site publishes nobody.</t>
        </is>
      </c>
      <c r="U282" s="12" t="inlineStr"/>
      <c r="V282" s="15" t="inlineStr">
        <is>
          <t>Indexed title reads Vinod Ramani, Urban Living.</t>
        </is>
      </c>
      <c r="W282" s="12" t="inlineStr"/>
      <c r="X282" s="12" t="inlineStr"/>
      <c r="Y282" s="12" t="inlineStr"/>
      <c r="Z282" s="12" t="inlineStr"/>
      <c r="AA282" s="12" t="inlineStr"/>
      <c r="AB282" s="12" t="inlineStr"/>
      <c r="AC282" s="12" t="inlineStr"/>
    </row>
    <row r="284">
      <c r="A284"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59, 2026-09-11.</t>
        </is>
      </c>
    </row>
  </sheetData>
  <autoFilter ref="A6:AC28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2026-09-14T02:22:36Z</dcterms:created>
  <dcterms:modified xmlns:dcterms="http://purl.org/dc/terms/" xmlns:xsi="http://www.w3.org/2001/XMLSchema-instance" xsi:type="dcterms:W3CDTF">2026-09-14T02:22:37Z</dcterms:modified>
</cp:coreProperties>
</file>