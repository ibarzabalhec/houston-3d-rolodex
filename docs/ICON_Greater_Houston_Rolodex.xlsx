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'Contacts'!$A$6:$AD$343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4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Contacts</t>
        </is>
      </c>
      <c r="B3" s="3">
        <f>COUNTA($A$7:$A$343)</f>
        <v/>
      </c>
      <c r="C3" s="2" t="inlineStr">
        <is>
          <t>LinkedIn held</t>
        </is>
      </c>
      <c r="D3" s="3">
        <f>COUNTIF($Q$7:$Q$343,"ok")</f>
        <v/>
      </c>
      <c r="E3" s="2" t="inlineStr">
        <is>
          <t>Still to add</t>
        </is>
      </c>
      <c r="F3" s="3">
        <f>COUNTIF($Q$7:$Q$343,"ADD LINKEDIN")</f>
        <v/>
      </c>
      <c r="G3" s="2" t="inlineStr">
        <is>
          <t>Holds all three counts</t>
        </is>
      </c>
      <c r="H3" s="3">
        <f>SUMPRODUCT((COUNTIF(OFFSET($B$7,ROW($B$7:$B$343)-ROW($B$7),0,1,1),$B$7:$B$343)&gt;0)*($D$7:$D$343="Holds all three counts")/COUNTIF($B$7:$B$343,$B$7:$B$343&amp;""))</f>
        <v/>
      </c>
      <c r="I3" s="2" t="inlineStr">
        <is>
          <t>Wall deciders</t>
        </is>
      </c>
      <c r="J3" s="3">
        <f>COUNTIF($T$7:$T$343,"YES")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The largest printed project in the metro. HiveASMBLD prints it.</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The largest printed project in the metro. HiveASMBLD prints it.</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 The only citable source: there is no company site and no LinkedIn page.</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 The only citable source: there is no company site and no LinkedIn page.</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Fred Caldwell</t>
        </is>
      </c>
      <c r="B15" s="6" t="inlineStr">
        <is>
          <t>Caldwell Homes</t>
        </is>
      </c>
      <c r="C15" s="6" t="inlineStr">
        <is>
          <t>Chief Executive Officer</t>
        </is>
      </c>
      <c r="D15" s="7" t="inlineStr">
        <is>
          <t>Holds all three counts</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10" t="inlineStr"/>
      <c r="P15" s="6">
        <f>HYPERLINK("https://www.linkedin.com/search/results/people/?keywords=Fred%20Caldwell%20Caldwell%20Homes","search")</f>
        <v/>
      </c>
      <c r="Q15" s="11">
        <f>IF(O15="","ADD LINKEDIN","ok")</f>
        <v/>
      </c>
      <c r="R15" s="6" t="inlineStr">
        <is>
          <t>https://www.caldwellhomes.com/</t>
        </is>
      </c>
      <c r="S15" s="9" t="inlineStr">
        <is>
          <t>One person holds construction and purchasing, the plan library repeats across all three communities.</t>
        </is>
      </c>
      <c r="T15" s="6" t="inlineStr"/>
      <c r="U15" s="9" t="inlineStr"/>
      <c r="V15" s="6" t="inlineStr">
        <is>
          <t>https://www.caldwellhomes.com/our-team</t>
        </is>
      </c>
      <c r="W15" s="6" t="inlineStr"/>
      <c r="X15" s="6" t="inlineStr"/>
      <c r="Y15" s="6" t="inlineStr"/>
      <c r="Z15" s="6" t="inlineStr"/>
      <c r="AA15" s="6" t="inlineStr"/>
      <c r="AB15" s="6" t="inlineStr">
        <is>
          <t>https://www.caldwellhomes.com/</t>
        </is>
      </c>
      <c r="AC15" s="6" t="inlineStr"/>
      <c r="AD15" s="6" t="inlineStr"/>
    </row>
    <row r="16">
      <c r="A16" s="12" t="inlineStr">
        <is>
          <t>Peter Barnhart</t>
        </is>
      </c>
      <c r="B16" s="12" t="inlineStr">
        <is>
          <t>Caldwell Homes</t>
        </is>
      </c>
      <c r="C16" s="12" t="inlineStr">
        <is>
          <t>President</t>
        </is>
      </c>
      <c r="D16" s="13" t="inlineStr">
        <is>
          <t>Holds all three counts</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0" t="inlineStr"/>
      <c r="P16" s="12">
        <f>HYPERLINK("https://www.linkedin.com/search/results/people/?keywords=Peter%20Barnhart%20Caldwell%20Homes","search")</f>
        <v/>
      </c>
      <c r="Q16" s="16">
        <f>IF(O16="","ADD LINKEDIN","ok")</f>
        <v/>
      </c>
      <c r="R16" s="12" t="inlineStr">
        <is>
          <t>https://www.caldwellhomes.com/</t>
        </is>
      </c>
      <c r="S16" s="15" t="inlineStr">
        <is>
          <t>One person holds construction and purchasing, the plan library repeats across all three communities.</t>
        </is>
      </c>
      <c r="T16" s="12" t="inlineStr"/>
      <c r="U16" s="15" t="inlineStr"/>
      <c r="V16" s="12" t="inlineStr">
        <is>
          <t>https://www.caldwellhomes.com/our-team</t>
        </is>
      </c>
      <c r="W16" s="12" t="inlineStr"/>
      <c r="X16" s="12" t="inlineStr"/>
      <c r="Y16" s="12" t="inlineStr"/>
      <c r="Z16" s="12" t="inlineStr"/>
      <c r="AA16" s="12" t="inlineStr"/>
      <c r="AB16" s="12" t="inlineStr">
        <is>
          <t>https://www.caldwellhomes.com/</t>
        </is>
      </c>
      <c r="AC16" s="12" t="inlineStr"/>
      <c r="AD16" s="12" t="inlineStr"/>
    </row>
    <row r="17">
      <c r="A17" s="6" t="inlineStr">
        <is>
          <t>Tim Mayo</t>
        </is>
      </c>
      <c r="B17" s="6" t="inlineStr">
        <is>
          <t>Caldwell Homes</t>
        </is>
      </c>
      <c r="C17" s="6" t="inlineStr">
        <is>
          <t>Senior Vice President of Operations</t>
        </is>
      </c>
      <c r="D17" s="7" t="inlineStr">
        <is>
          <t>Holds all three counts</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10" t="inlineStr"/>
      <c r="P17" s="6">
        <f>HYPERLINK("https://www.linkedin.com/search/results/people/?keywords=Tim%20Mayo%20Caldwell%20Homes","search")</f>
        <v/>
      </c>
      <c r="Q17" s="11">
        <f>IF(O17="","ADD LINKEDIN","ok")</f>
        <v/>
      </c>
      <c r="R17" s="6" t="inlineStr">
        <is>
          <t>https://www.caldwellhomes.com/</t>
        </is>
      </c>
      <c r="S17" s="9" t="inlineStr">
        <is>
          <t>One person holds construction and purchasing, the plan library repeats across all three communities.</t>
        </is>
      </c>
      <c r="T17" s="6" t="inlineStr"/>
      <c r="U17" s="9" t="inlineStr"/>
      <c r="V17" s="6" t="inlineStr">
        <is>
          <t>https://www.caldwellhomes.com/our-team</t>
        </is>
      </c>
      <c r="W17" s="6" t="inlineStr"/>
      <c r="X17" s="6" t="inlineStr"/>
      <c r="Y17" s="6" t="inlineStr"/>
      <c r="Z17" s="6" t="inlineStr"/>
      <c r="AA17" s="6" t="inlineStr"/>
      <c r="AB17" s="6" t="inlineStr">
        <is>
          <t>https://www.caldwellhomes.com/</t>
        </is>
      </c>
      <c r="AC17" s="6" t="inlineStr"/>
      <c r="AD17" s="6" t="inlineStr"/>
    </row>
    <row r="18">
      <c r="A18" s="12" t="inlineStr">
        <is>
          <t>Kevin Johnson</t>
        </is>
      </c>
      <c r="B18" s="12" t="inlineStr">
        <is>
          <t>Caldwell Homes</t>
        </is>
      </c>
      <c r="C18" s="12" t="inlineStr">
        <is>
          <t>Vice President of Construction and Purchasing</t>
        </is>
      </c>
      <c r="D18" s="13" t="inlineStr">
        <is>
          <t>Holds all three counts</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0" t="inlineStr"/>
      <c r="P18" s="12">
        <f>HYPERLINK("https://www.linkedin.com/search/results/people/?keywords=Kevin%20Johnson%20Caldwell%20Homes","search")</f>
        <v/>
      </c>
      <c r="Q18" s="16">
        <f>IF(O18="","ADD LINKEDIN","ok")</f>
        <v/>
      </c>
      <c r="R18" s="12" t="inlineStr">
        <is>
          <t>https://www.caldwellhomes.com/</t>
        </is>
      </c>
      <c r="S18" s="15" t="inlineStr">
        <is>
          <t>One person holds construction and purchasing, the plan library repeats across all three communities.</t>
        </is>
      </c>
      <c r="T18" s="12" t="inlineStr">
        <is>
          <t>YES</t>
        </is>
      </c>
      <c r="U18" s="15" t="inlineStr"/>
      <c r="V18" s="12" t="inlineStr">
        <is>
          <t>https://www.caldwellhomes.com/our-team</t>
        </is>
      </c>
      <c r="W18" s="12" t="inlineStr"/>
      <c r="X18" s="12" t="inlineStr"/>
      <c r="Y18" s="12" t="inlineStr"/>
      <c r="Z18" s="12" t="inlineStr"/>
      <c r="AA18" s="12" t="inlineStr"/>
      <c r="AB18" s="12" t="inlineStr">
        <is>
          <t>https://www.caldwellhomes.com/</t>
        </is>
      </c>
      <c r="AC18" s="12" t="inlineStr"/>
      <c r="AD18" s="12" t="inlineStr"/>
    </row>
    <row r="19">
      <c r="A19" s="6" t="inlineStr">
        <is>
          <t>Anthony Moreno</t>
        </is>
      </c>
      <c r="B19" s="6" t="inlineStr">
        <is>
          <t>Caldwell Homes</t>
        </is>
      </c>
      <c r="C19" s="6" t="inlineStr">
        <is>
          <t>Vice President of Sales</t>
        </is>
      </c>
      <c r="D19" s="7" t="inlineStr">
        <is>
          <t>Holds all three counts</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10" t="inlineStr"/>
      <c r="P19" s="6">
        <f>HYPERLINK("https://www.linkedin.com/search/results/people/?keywords=Anthony%20Moreno%20Caldwell%20Homes","search")</f>
        <v/>
      </c>
      <c r="Q19" s="11">
        <f>IF(O19="","ADD LINKEDIN","ok")</f>
        <v/>
      </c>
      <c r="R19" s="6" t="inlineStr">
        <is>
          <t>https://www.caldwellhomes.com/</t>
        </is>
      </c>
      <c r="S19" s="9" t="inlineStr">
        <is>
          <t>One person holds construction and purchasing, the plan library repeats across all three communities.</t>
        </is>
      </c>
      <c r="T19" s="6" t="inlineStr"/>
      <c r="U19" s="9" t="inlineStr"/>
      <c r="V19" s="6" t="inlineStr">
        <is>
          <t>https://www.caldwellhomes.com/our-team</t>
        </is>
      </c>
      <c r="W19" s="6" t="inlineStr"/>
      <c r="X19" s="6" t="inlineStr"/>
      <c r="Y19" s="6" t="inlineStr"/>
      <c r="Z19" s="6" t="inlineStr"/>
      <c r="AA19" s="6" t="inlineStr"/>
      <c r="AB19" s="6" t="inlineStr">
        <is>
          <t>https://www.caldwellhomes.com/</t>
        </is>
      </c>
      <c r="AC19" s="6" t="inlineStr"/>
      <c r="AD19" s="6" t="inlineStr"/>
    </row>
    <row r="20">
      <c r="A20" s="12" t="inlineStr">
        <is>
          <t>Andrew Segal</t>
        </is>
      </c>
      <c r="B20" s="12" t="inlineStr">
        <is>
          <t>Boxer Property</t>
        </is>
      </c>
      <c r="C20" s="12" t="inlineStr">
        <is>
          <t>Chairman and Chief Executive Officer</t>
        </is>
      </c>
      <c r="D20" s="13" t="inlineStr">
        <is>
          <t>Holds all three counts</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6" t="inlineStr">
        <is>
          <t>https://www.linkedin.com/in/andrew-segal-40049914/</t>
        </is>
      </c>
      <c r="P20" s="12" t="inlineStr"/>
      <c r="Q20" s="16">
        <f>IF(O20="","ADD LINKEDIN","ok")</f>
        <v/>
      </c>
      <c r="R20" s="12" t="inlineStr">
        <is>
          <t>https://www.boxerproperty.com/</t>
        </is>
      </c>
      <c r="S20" s="15" t="inlineStr">
        <is>
          <t>A Houston owner with 15 million square feet that has paid for a printed building, in Fort Worth, and said in print why.</t>
        </is>
      </c>
      <c r="T20" s="12" t="inlineStr">
        <is>
          <t>YES</t>
        </is>
      </c>
      <c r="U20" s="15" t="inlineStr">
        <is>
          <t>Headline reads Boxer Property. Houston, Texas. The title comes from the firm's own about page.</t>
        </is>
      </c>
      <c r="V20" s="12" t="inlineStr"/>
      <c r="W20" s="12" t="inlineStr"/>
      <c r="X20" s="12" t="inlineStr"/>
      <c r="Y20" s="12" t="inlineStr">
        <is>
          <t>2013-10-30 Boxer Property. Boxer Announces Executive Leadership Changes, which is where the current titles come from and which puts engineering and construction under the president  https://www.boxerproperty.com/blog/roles-responsibilities-evolve-executives/</t>
        </is>
      </c>
      <c r="Z20" s="12" t="inlineStr">
        <is>
          <t>(713) 777-7368</t>
        </is>
      </c>
      <c r="AA20" s="12" t="inlineStr"/>
      <c r="AB20" s="12" t="inlineStr">
        <is>
          <t>https://www.boxerproperty.com/</t>
        </is>
      </c>
      <c r="AC20" s="12" t="inlineStr"/>
      <c r="AD20" s="12" t="inlineStr"/>
    </row>
    <row r="21">
      <c r="A21" s="6" t="inlineStr">
        <is>
          <t>Justin Segal</t>
        </is>
      </c>
      <c r="B21" s="6" t="inlineStr">
        <is>
          <t>Boxer Property</t>
        </is>
      </c>
      <c r="C21" s="6" t="inlineStr">
        <is>
          <t>President</t>
        </is>
      </c>
      <c r="D21" s="7" t="inlineStr">
        <is>
          <t>Holds all three counts</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6" t="inlineStr">
        <is>
          <t>https://www.linkedin.com/in/segaljustin/</t>
        </is>
      </c>
      <c r="P21" s="6" t="inlineStr"/>
      <c r="Q21" s="11">
        <f>IF(O21="","ADD LINKEDIN","ok")</f>
        <v/>
      </c>
      <c r="R21" s="6" t="inlineStr">
        <is>
          <t>https://www.boxerproperty.com/</t>
        </is>
      </c>
      <c r="S21" s="9" t="inlineStr">
        <is>
          <t>A Houston owner with 15 million square feet that has paid for a printed building, in Fort Worth, and said in print why.</t>
        </is>
      </c>
      <c r="T21" s="6" t="inlineStr">
        <is>
          <t>YES</t>
        </is>
      </c>
      <c r="U21" s="9" t="inlineStr">
        <is>
          <t>Headline reads President - Boxer Property. Founder - Stemmons Enterprise. Houston, Texas.</t>
        </is>
      </c>
      <c r="V21" s="6" t="inlineStr"/>
      <c r="W21" s="6" t="inlineStr"/>
      <c r="X21" s="6" t="inlineStr"/>
      <c r="Y21" s="6" t="inlineStr">
        <is>
          <t>2013-10-30 Boxer Property. Boxer Announces Executive Leadership Changes, which is where the current titles come from and which puts engineering and construction under the president  https://www.boxerproperty.com/blog/roles-responsibilities-evolve-executives/</t>
        </is>
      </c>
      <c r="Z21" s="6" t="inlineStr">
        <is>
          <t>(713) 777-7368</t>
        </is>
      </c>
      <c r="AA21" s="6" t="inlineStr"/>
      <c r="AB21" s="6" t="inlineStr">
        <is>
          <t>https://www.boxerproperty.com/</t>
        </is>
      </c>
      <c r="AC21" s="6" t="inlineStr"/>
      <c r="AD21" s="6" t="inlineStr"/>
    </row>
    <row r="22">
      <c r="A22" s="12" t="inlineStr">
        <is>
          <t>Blake Morris</t>
        </is>
      </c>
      <c r="B22" s="12" t="inlineStr">
        <is>
          <t>Boxer Property</t>
        </is>
      </c>
      <c r="C22" s="12" t="inlineStr">
        <is>
          <t>Chief Financial Officer</t>
        </is>
      </c>
      <c r="D22" s="13" t="inlineStr">
        <is>
          <t>Holds all three counts</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0" t="inlineStr"/>
      <c r="P22" s="12">
        <f>HYPERLINK("https://www.linkedin.com/search/results/people/?keywords=Blake%20Morris%20Boxer%20Property","search")</f>
        <v/>
      </c>
      <c r="Q22" s="16">
        <f>IF(O22="","ADD LINKEDIN","ok")</f>
        <v/>
      </c>
      <c r="R22" s="12" t="inlineStr">
        <is>
          <t>https://www.boxerproperty.com/</t>
        </is>
      </c>
      <c r="S22" s="15" t="inlineStr">
        <is>
          <t>A Houston owner with 15 million square feet that has paid for a printed building, in Fort Worth, and said in print why.</t>
        </is>
      </c>
      <c r="T22" s="12" t="inlineStr"/>
      <c r="U22" s="15" t="inlineStr"/>
      <c r="V22" s="12" t="inlineStr"/>
      <c r="W22" s="12" t="inlineStr"/>
      <c r="X22" s="12" t="inlineStr"/>
      <c r="Y22" s="12" t="inlineStr">
        <is>
          <t>2013-10-30 Boxer Property. Boxer Announces Executive Leadership Changes, which is where the current titles come from and which puts engineering and construction under the president  https://www.boxerproperty.com/blog/roles-responsibilities-evolve-executives/</t>
        </is>
      </c>
      <c r="Z22" s="12" t="inlineStr">
        <is>
          <t>(713) 777-7368</t>
        </is>
      </c>
      <c r="AA22" s="12" t="inlineStr"/>
      <c r="AB22" s="12" t="inlineStr">
        <is>
          <t>https://www.boxerproperty.com/</t>
        </is>
      </c>
      <c r="AC22" s="12" t="inlineStr"/>
      <c r="AD22" s="12" t="inlineStr"/>
    </row>
    <row r="23">
      <c r="A23" s="6" t="inlineStr">
        <is>
          <t>John Rentz</t>
        </is>
      </c>
      <c r="B23" s="6" t="inlineStr">
        <is>
          <t>Boxer Property</t>
        </is>
      </c>
      <c r="C23" s="6" t="inlineStr">
        <is>
          <t>Vice President and General Counsel</t>
        </is>
      </c>
      <c r="D23" s="7" t="inlineStr">
        <is>
          <t>Holds all three counts</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10" t="inlineStr"/>
      <c r="P23" s="6">
        <f>HYPERLINK("https://www.linkedin.com/search/results/people/?keywords=John%20Rentz%20Boxer%20Property","search")</f>
        <v/>
      </c>
      <c r="Q23" s="11">
        <f>IF(O23="","ADD LINKEDIN","ok")</f>
        <v/>
      </c>
      <c r="R23" s="6" t="inlineStr">
        <is>
          <t>https://www.boxerproperty.com/</t>
        </is>
      </c>
      <c r="S23" s="9" t="inlineStr">
        <is>
          <t>A Houston owner with 15 million square feet that has paid for a printed building, in Fort Worth, and said in print why.</t>
        </is>
      </c>
      <c r="T23" s="6" t="inlineStr"/>
      <c r="U23" s="9" t="inlineStr"/>
      <c r="V23" s="6" t="inlineStr"/>
      <c r="W23" s="6" t="inlineStr"/>
      <c r="X23" s="6" t="inlineStr"/>
      <c r="Y23" s="6" t="inlineStr">
        <is>
          <t>2013-10-30 Boxer Property. Boxer Announces Executive Leadership Changes, which is where the current titles come from and which puts engineering and construction under the president  https://www.boxerproperty.com/blog/roles-responsibilities-evolve-executives/</t>
        </is>
      </c>
      <c r="Z23" s="6" t="inlineStr">
        <is>
          <t>(713) 777-7368</t>
        </is>
      </c>
      <c r="AA23" s="6" t="inlineStr"/>
      <c r="AB23" s="6" t="inlineStr">
        <is>
          <t>https://www.boxerproperty.com/</t>
        </is>
      </c>
      <c r="AC23" s="6" t="inlineStr"/>
      <c r="AD23" s="6" t="inlineStr"/>
    </row>
    <row r="24">
      <c r="A24" s="12" t="inlineStr">
        <is>
          <t>Roderick Flint</t>
        </is>
      </c>
      <c r="B24" s="12" t="inlineStr">
        <is>
          <t>Brohn Homes</t>
        </is>
      </c>
      <c r="C24" s="12" t="inlineStr">
        <is>
          <t>Division President, Houston</t>
        </is>
      </c>
      <c r="D24" s="13" t="inlineStr">
        <is>
          <t>Holds all three counts</t>
        </is>
      </c>
      <c r="E24" s="14" t="n">
        <v>3</v>
      </c>
      <c r="F24" s="12" t="inlineStr">
        <is>
          <t>Buys walls</t>
        </is>
      </c>
      <c r="G24" s="12" t="inlineStr">
        <is>
          <t>Austin, with a Houston division</t>
        </is>
      </c>
      <c r="H24" s="12" t="inlineStr">
        <is>
          <t>Average build time of 3.5 months, company-wide</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0" t="inlineStr"/>
      <c r="P24" s="12">
        <f>HYPERLINK("https://www.linkedin.com/search/results/people/?keywords=Roderick%20Flint%20Brohn%20Homes","search")</f>
        <v/>
      </c>
      <c r="Q24" s="16">
        <f>IF(O24="","ADD LINKEDIN","ok")</f>
        <v/>
      </c>
      <c r="R24" s="12" t="inlineStr">
        <is>
          <t>https://www.brohnhomes.com/</t>
        </is>
      </c>
      <c r="S24" s="15" t="inlineStr">
        <is>
          <t>A published average build time of three and a half months, and Berkshire Hathaway capital behind it. Purchasing may run through the parent.</t>
        </is>
      </c>
      <c r="T24" s="12" t="inlineStr"/>
      <c r="U24" s="15" t="inlineStr">
        <is>
          <t>The firm's own post on the Houston launch names him Division President and quotes him on folding existing plans into Brohn's line.</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Rob Francescon</t>
        </is>
      </c>
      <c r="B25" s="6" t="inlineStr">
        <is>
          <t>Century Communities, Inc.</t>
        </is>
      </c>
      <c r="C25" s="6" t="inlineStr">
        <is>
          <t>Chief Executive Officer</t>
        </is>
      </c>
      <c r="D25" s="7" t="inlineStr">
        <is>
          <t>Holds all three counts</t>
        </is>
      </c>
      <c r="E25" s="8" t="n">
        <v>3</v>
      </c>
      <c r="F25" s="6" t="inlineStr">
        <is>
          <t>Buys walls</t>
        </is>
      </c>
      <c r="G25" s="6" t="inlineStr">
        <is>
          <t>Greenwood Village HQ / Waller, Harris</t>
        </is>
      </c>
      <c r="H25" s="6" t="inlineStr">
        <is>
          <t>1,017 Houston closings in 2025, ninth in the metro</t>
        </is>
      </c>
      <c r="I25" s="8" t="inlineStr">
        <is>
          <t>Yes</t>
        </is>
      </c>
      <c r="J25" s="9" t="inlineStr">
        <is>
          <t>1,200 homes on 318 acres, built from only 18 floor plans.</t>
        </is>
      </c>
      <c r="K25" s="8" t="inlineStr">
        <is>
          <t>Partly</t>
        </is>
      </c>
      <c r="L25" s="9" t="inlineStr">
        <is>
          <t>1,017 Houston closings in 2025 sits inside the 400 to 1,500 band, and Mirabella puts 1,200 homes on one site.</t>
        </is>
      </c>
      <c r="M25" s="8" t="inlineStr">
        <is>
          <t>Partly</t>
        </is>
      </c>
      <c r="N25" s="9" t="inlineStr">
        <is>
          <t>Record 112-day cycle and a 5 percent direct-cost cut, but no change of method.</t>
        </is>
      </c>
      <c r="O25" s="10" t="inlineStr"/>
      <c r="P25" s="6">
        <f>HYPERLINK("https://www.linkedin.com/search/results/people/?keywords=Rob%20Francescon%20Century%20Communities%2C%20Inc.","search")</f>
        <v/>
      </c>
      <c r="Q25" s="11">
        <f>IF(O25="","ADD LINKEDIN","ok")</f>
        <v/>
      </c>
      <c r="R25" s="6" t="inlineStr">
        <is>
          <t>https://www.centurycommunities.com/</t>
        </is>
      </c>
      <c r="S25" s="9" t="inlineStr">
        <is>
          <t>1,200 homes across only 18 plans on one site, with a record 112-day cycle and a 5 percent direct-cost cut.</t>
        </is>
      </c>
      <c r="T25" s="6" t="inlineStr"/>
      <c r="U25" s="9" t="inlineStr">
        <is>
          <t>Century's own executive management page. He became sole Chief Executive Officer and President on 1 January 2025, having been co-chief executive.</t>
        </is>
      </c>
      <c r="V25" s="6" t="inlineStr">
        <is>
          <t>https://investors.centurycommunities.com/governance/executive-management/default.aspx</t>
        </is>
      </c>
      <c r="W25" s="6" t="inlineStr">
        <is>
          <t>https://www.linkedin.com/company/century-communities</t>
        </is>
      </c>
      <c r="X25" s="6" t="inlineStr">
        <is>
          <t>https://investors.centurycommunities.com/governance/executive-management/default.aspx</t>
        </is>
      </c>
      <c r="Y25" s="6" t="inlineStr"/>
      <c r="Z25" s="6" t="inlineStr">
        <is>
          <t>(888) 885-5653</t>
        </is>
      </c>
      <c r="AA25" s="6" t="inlineStr">
        <is>
          <t>warranty service</t>
        </is>
      </c>
      <c r="AB25" s="6" t="inlineStr">
        <is>
          <t>https://www.centurycommunities.com/</t>
        </is>
      </c>
      <c r="AC25" s="6" t="inlineStr"/>
      <c r="AD25" s="6" t="inlineStr"/>
    </row>
    <row r="26">
      <c r="A26" s="12" t="inlineStr">
        <is>
          <t>Tanya Rizzo</t>
        </is>
      </c>
      <c r="B26" s="12" t="inlineStr">
        <is>
          <t>Century Communities, Inc.</t>
        </is>
      </c>
      <c r="C26" s="12" t="inlineStr">
        <is>
          <t>Houston Division President</t>
        </is>
      </c>
      <c r="D26" s="13" t="inlineStr">
        <is>
          <t>Holds all three counts</t>
        </is>
      </c>
      <c r="E26" s="14" t="n">
        <v>3</v>
      </c>
      <c r="F26" s="12" t="inlineStr">
        <is>
          <t>Buys walls</t>
        </is>
      </c>
      <c r="G26" s="12" t="inlineStr">
        <is>
          <t>Greenwood Village HQ / Waller, Harris</t>
        </is>
      </c>
      <c r="H26" s="12" t="inlineStr">
        <is>
          <t>1,017 Houston closings in 2025, ninth in the metro</t>
        </is>
      </c>
      <c r="I26" s="14" t="inlineStr">
        <is>
          <t>Yes</t>
        </is>
      </c>
      <c r="J26" s="15" t="inlineStr">
        <is>
          <t>1,200 homes on 318 acres, built from only 18 floor plans.</t>
        </is>
      </c>
      <c r="K26" s="14" t="inlineStr">
        <is>
          <t>Partly</t>
        </is>
      </c>
      <c r="L26" s="15" t="inlineStr">
        <is>
          <t>1,017 Houston closings in 2025 sits inside the 400 to 1,500 band, and Mirabella puts 1,200 homes on one site.</t>
        </is>
      </c>
      <c r="M26" s="14" t="inlineStr">
        <is>
          <t>Partly</t>
        </is>
      </c>
      <c r="N26" s="15" t="inlineStr">
        <is>
          <t>Record 112-day cycle and a 5 percent direct-cost cut, but no change of method.</t>
        </is>
      </c>
      <c r="O26" s="6" t="inlineStr">
        <is>
          <t>https://www.linkedin.com/in/tanya-rizzo-75738016/</t>
        </is>
      </c>
      <c r="P26" s="12" t="inlineStr"/>
      <c r="Q26" s="16">
        <f>IF(O26="","ADD LINKEDIN","ok")</f>
        <v/>
      </c>
      <c r="R26" s="12" t="inlineStr">
        <is>
          <t>https://www.centurycommunities.com/</t>
        </is>
      </c>
      <c r="S26" s="15" t="inlineStr">
        <is>
          <t>1,200 homes across only 18 plans on one site, with a record 112-day cycle and a 5 percent direct-cost cut.</t>
        </is>
      </c>
      <c r="T26" s="12" t="inlineStr"/>
      <c r="U26" s="15" t="inlineStr">
        <is>
          <t>Profile opened. Activity shows her recruiting for Century Communities, Inc. (NYSE:CCS) in Houston. Title from September 2026 trade press.</t>
        </is>
      </c>
      <c r="V26" s="12" t="inlineStr"/>
      <c r="W26" s="12" t="inlineStr">
        <is>
          <t>https://www.linkedin.com/company/century-communities</t>
        </is>
      </c>
      <c r="X26" s="12" t="inlineStr">
        <is>
          <t>https://investors.centurycommunities.com/governance/executive-management/default.aspx</t>
        </is>
      </c>
      <c r="Y26" s="12" t="inlineStr"/>
      <c r="Z26" s="12" t="inlineStr">
        <is>
          <t>(888) 885-5653</t>
        </is>
      </c>
      <c r="AA26" s="12" t="inlineStr">
        <is>
          <t>warranty service</t>
        </is>
      </c>
      <c r="AB26" s="12" t="inlineStr">
        <is>
          <t>https://www.centurycommunities.com/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Frank Liu</t>
        </is>
      </c>
      <c r="B30" s="12" t="inlineStr">
        <is>
          <t>InTown Homes / Lovett Commercial (Frank Liu)</t>
        </is>
      </c>
      <c r="C30" s="12" t="inlineStr">
        <is>
          <t>Founder, InTown Homes; President, Lovett Commercial</t>
        </is>
      </c>
      <c r="D30" s="13" t="inlineStr">
        <is>
          <t>Holds all three counts</t>
        </is>
      </c>
      <c r="E30" s="14" t="n">
        <v>3</v>
      </c>
      <c r="F30" s="12" t="inlineStr">
        <is>
          <t>Buys walls</t>
        </is>
      </c>
      <c r="G30" s="12" t="inlineStr">
        <is>
          <t>Inner-loop Houston, Harris County</t>
        </is>
      </c>
      <c r="H30" s="12" t="inlineStr">
        <is>
          <t>3-story attached townhomes, citywide volume</t>
        </is>
      </c>
      <c r="I30" s="14" t="inlineStr">
        <is>
          <t>Yes</t>
        </is>
      </c>
      <c r="J30" s="15" t="inlineStr">
        <is>
          <t>Three-storey townhomes repeated across inner Houston.</t>
        </is>
      </c>
      <c r="K30" s="14" t="inlineStr">
        <is>
          <t>Partly</t>
        </is>
      </c>
      <c r="L30" s="15" t="inlineStr">
        <is>
          <t>No annual figure is published. On the bands, a firm with no published figure is a Partly.</t>
        </is>
      </c>
      <c r="M30" s="14" t="inlineStr">
        <is>
          <t>Partly</t>
        </is>
      </c>
      <c r="N30" s="15" t="inlineStr">
        <is>
          <t>Same owner commissioned OMA for POST Houston, on the commercial side of the business.</t>
        </is>
      </c>
      <c r="O30" s="6" t="inlineStr">
        <is>
          <t>https://www.linkedin.com/in/frank-liu-b33247a/</t>
        </is>
      </c>
      <c r="P30" s="12" t="inlineStr"/>
      <c r="Q30" s="16">
        <f>IF(O30="","ADD LINKEDIN","ok")</f>
        <v/>
      </c>
      <c r="R30" s="12" t="inlineStr">
        <is>
          <t>https://intownhomes.com/</t>
        </is>
      </c>
      <c r="S30" s="15" t="inlineStr">
        <is>
          <t>Three-storey attached townhomes at citywide volume. The same owner commissioned OMA for POST Houston.</t>
        </is>
      </c>
      <c r="T30" s="12" t="inlineStr"/>
      <c r="U3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V30" s="12" t="inlineStr"/>
      <c r="W30" s="12" t="inlineStr">
        <is>
          <t>https://www.linkedin.com/company/intown-homes</t>
        </is>
      </c>
      <c r="X30" s="12" t="inlineStr">
        <is>
          <t>https://www.lovettcommercial.com/about</t>
        </is>
      </c>
      <c r="Y30" s="12" t="inlineStr"/>
      <c r="Z30" s="12" t="inlineStr">
        <is>
          <t>(713) 961-3877</t>
        </is>
      </c>
      <c r="AA30" s="12" t="inlineStr"/>
      <c r="AB30" s="12" t="inlineStr">
        <is>
          <t>https://intownhomes.com/</t>
        </is>
      </c>
      <c r="AC30" s="12" t="inlineStr"/>
      <c r="AD30" s="12" t="inlineStr"/>
    </row>
    <row r="31">
      <c r="A31" s="6" t="inlineStr">
        <is>
          <t>Steve Ross</t>
        </is>
      </c>
      <c r="B31" s="6" t="inlineStr">
        <is>
          <t>Tiona Homes</t>
        </is>
      </c>
      <c r="C31" s="6" t="inlineStr">
        <is>
          <t>Founder and Chief Executive Officer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10" t="inlineStr"/>
      <c r="P31" s="6">
        <f>HYPERLINK("https://www.linkedin.com/search/results/people/?keywords=Steve%20Ross%20Tiona%20Homes","search")</f>
        <v/>
      </c>
      <c r="Q31" s="11">
        <f>IF(O31="","ADD LINKEDIN","ok")</f>
        <v/>
      </c>
      <c r="R31" s="6" t="inlineStr">
        <is>
          <t>https://www.tionahomes.com/</t>
        </is>
      </c>
      <c r="S31" s="9" t="inlineStr">
        <is>
          <t>Every house it builds has a concrete wall. It controls the forming material as well as the build, which is also the reason to check what it would be giving up.</t>
        </is>
      </c>
      <c r="T31" s="6" t="inlineStr">
        <is>
          <t>YES</t>
        </is>
      </c>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Jacob Ross</t>
        </is>
      </c>
      <c r="B32" s="12" t="inlineStr">
        <is>
          <t>Tiona Homes</t>
        </is>
      </c>
      <c r="C32" s="12" t="inlineStr">
        <is>
          <t>Product Manager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0" t="inlineStr"/>
      <c r="P32" s="12">
        <f>HYPERLINK("https://www.linkedin.com/search/results/people/?keywords=Jacob%20Ross%20Tiona%20Homes","search")</f>
        <v/>
      </c>
      <c r="Q32" s="16">
        <f>IF(O32="","ADD LINKEDIN","ok")</f>
        <v/>
      </c>
      <c r="R32" s="12" t="inlineStr">
        <is>
          <t>https://www.tionahomes.com/</t>
        </is>
      </c>
      <c r="S32" s="15" t="inlineStr">
        <is>
          <t>Every house it builds has a concrete wall. It controls the forming material as well as the build, which is also the reason to check what it would be giving up.</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Victor Ramos</t>
        </is>
      </c>
      <c r="B33" s="6" t="inlineStr">
        <is>
          <t>Tiona Homes</t>
        </is>
      </c>
      <c r="C33" s="6" t="inlineStr">
        <is>
          <t>Construction Leader</t>
        </is>
      </c>
      <c r="D33" s="7" t="inlineStr">
        <is>
          <t>Holds all three counts</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10" t="inlineStr"/>
      <c r="P33" s="6">
        <f>HYPERLINK("https://www.linkedin.com/search/results/people/?keywords=Victor%20Ramos%20Tiona%20Homes","search")</f>
        <v/>
      </c>
      <c r="Q33" s="11">
        <f>IF(O33="","ADD LINKEDIN","ok")</f>
        <v/>
      </c>
      <c r="R33" s="6" t="inlineStr">
        <is>
          <t>https://www.tionahomes.com/</t>
        </is>
      </c>
      <c r="S33" s="9" t="inlineStr">
        <is>
          <t>Every house it builds has a concrete wall. It controls the forming material as well as the build, which is also the reason to check what it would be giving up.</t>
        </is>
      </c>
      <c r="T33" s="6" t="inlineStr"/>
      <c r="U33" s="9" t="inlineStr"/>
      <c r="V33" s="6" t="inlineStr"/>
      <c r="W33" s="6" t="inlineStr"/>
      <c r="X33" s="6" t="inlineStr"/>
      <c r="Y33" s="6" t="inlineStr"/>
      <c r="Z33" s="6" t="inlineStr">
        <is>
          <t>(346) 212-2153</t>
        </is>
      </c>
      <c r="AA33" s="6" t="inlineStr"/>
      <c r="AB33" s="6" t="inlineStr">
        <is>
          <t>https://www.tionahomes.com/</t>
        </is>
      </c>
      <c r="AC33" s="6" t="inlineStr"/>
      <c r="AD33" s="6" t="inlineStr"/>
    </row>
    <row r="34">
      <c r="A34" s="12" t="inlineStr">
        <is>
          <t>Rame Hruska</t>
        </is>
      </c>
      <c r="B34" s="12" t="inlineStr">
        <is>
          <t>Aura Dwellings and Hospitality</t>
        </is>
      </c>
      <c r="C34" s="12" t="inlineStr">
        <is>
          <t>Co-founder and Chief Executive Officer</t>
        </is>
      </c>
      <c r="D34" s="13" t="inlineStr">
        <is>
          <t>Holds all three counts</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0" t="inlineStr"/>
      <c r="P34" s="12" t="inlineStr"/>
      <c r="Q34" s="16">
        <f>IF(O34="","ADD LINKEDIN","ok")</f>
        <v/>
      </c>
      <c r="R34" s="12" t="inlineStr">
        <is>
          <t>https://www.auradwellings.com/</t>
        </is>
      </c>
      <c r="S34" s="15" t="inlineStr">
        <is>
          <t>It moved its wall production into a factory and publishes the price list.</t>
        </is>
      </c>
      <c r="T34" s="12" t="inlineStr">
        <is>
          <t>YES</t>
        </is>
      </c>
      <c r="U34" s="15" t="inlineStr">
        <is>
          <t>Quoted in AGC Houston's Cornerstone for winter 2025 to 2026, reposted 25 February 2026, as a co-founder and chief executive of Aura Dwellings and Hospitality. The company's own site names no one.</t>
        </is>
      </c>
      <c r="V34" s="12" t="inlineStr">
        <is>
          <t>https://www.marekbros.com/the-future-is-factory-built/</t>
        </is>
      </c>
      <c r="W34" s="12" t="inlineStr"/>
      <c r="X34" s="12" t="inlineStr"/>
      <c r="Y34" s="12" t="inlineStr"/>
      <c r="Z34" s="12" t="inlineStr">
        <is>
          <t>(832) 224-3603</t>
        </is>
      </c>
      <c r="AA34" s="12" t="inlineStr"/>
      <c r="AB34" s="12" t="inlineStr">
        <is>
          <t>https://www.auradwellings.com/</t>
        </is>
      </c>
      <c r="AC34" s="12" t="inlineStr"/>
      <c r="AD34" s="12" t="inlineStr"/>
    </row>
    <row r="35">
      <c r="A35" s="6" t="inlineStr">
        <is>
          <t>Klaus Keller</t>
        </is>
      </c>
      <c r="B35" s="6" t="inlineStr">
        <is>
          <t>Sueba USA Corporation</t>
        </is>
      </c>
      <c r="C35" s="6" t="inlineStr">
        <is>
          <t>President and Chief Executive Officer</t>
        </is>
      </c>
      <c r="D35" s="7" t="inlineStr">
        <is>
          <t>Holds all three counts</t>
        </is>
      </c>
      <c r="E35" s="8" t="n">
        <v>3</v>
      </c>
      <c r="F35" s="6" t="inlineStr">
        <is>
          <t>Buys walls</t>
        </is>
      </c>
      <c r="G35" s="6" t="inlineStr">
        <is>
          <t>Houston HQ / Fort Bend</t>
        </is>
      </c>
      <c r="H35" s="6" t="inlineStr">
        <is>
          <t>346 units, in-house architect and GC</t>
        </is>
      </c>
      <c r="I35" s="8" t="inlineStr">
        <is>
          <t>Partly</t>
        </is>
      </c>
      <c r="J35" s="9" t="inlineStr">
        <is>
          <t>346 units on one site at Fort Bend Town Center.</t>
        </is>
      </c>
      <c r="K35" s="8" t="inlineStr">
        <is>
          <t>Yes</t>
        </is>
      </c>
      <c r="L35" s="9" t="inlineStr">
        <is>
          <t>346 units on one site.</t>
        </is>
      </c>
      <c r="M35" s="8" t="inlineStr">
        <is>
          <t>Partly</t>
        </is>
      </c>
      <c r="N35" s="9" t="inlineStr">
        <is>
          <t>Its own affiliates act as architect and general contractor, so nobody outside can veto a method.</t>
        </is>
      </c>
      <c r="O35" s="6" t="inlineStr">
        <is>
          <t>https://www.linkedin.com/in/klaus-keller-56151334/</t>
        </is>
      </c>
      <c r="P35" s="6" t="inlineStr"/>
      <c r="Q35" s="11">
        <f>IF(O35="","ADD LINKEDIN","ok")</f>
        <v/>
      </c>
      <c r="R35" s="6" t="inlineStr">
        <is>
          <t>https://suebausa.com/</t>
        </is>
      </c>
      <c r="S35" s="9" t="inlineStr">
        <is>
          <t>Its own affiliates were architect and general contractor at Fort Bend Town Center.</t>
        </is>
      </c>
      <c r="T35" s="6" t="inlineStr"/>
      <c r="U35" s="9" t="inlineStr">
        <is>
          <t>President at Sueba USA Corporation. Houston, Texas.</t>
        </is>
      </c>
      <c r="V35" s="6" t="inlineStr"/>
      <c r="W35" s="6" t="inlineStr">
        <is>
          <t>https://www.linkedin.com/company/sueba-usa-corporation</t>
        </is>
      </c>
      <c r="X35" s="6" t="inlineStr">
        <is>
          <t>https://suebausa.com/about-us/</t>
        </is>
      </c>
      <c r="Y35" s="6" t="inlineStr"/>
      <c r="Z35" s="6" t="inlineStr">
        <is>
          <t>(713) 961-3588</t>
        </is>
      </c>
      <c r="AA35" s="6" t="inlineStr"/>
      <c r="AB35" s="6" t="inlineStr">
        <is>
          <t>https://suebausa.com/</t>
        </is>
      </c>
      <c r="AC35" s="6" t="inlineStr"/>
      <c r="AD35" s="6" t="inlineStr"/>
    </row>
    <row r="36">
      <c r="A36" s="12" t="inlineStr">
        <is>
          <t>John Chiang</t>
        </is>
      </c>
      <c r="B36" s="12" t="inlineStr">
        <is>
          <t>Sueba USA Corporation</t>
        </is>
      </c>
      <c r="C36" s="12" t="inlineStr">
        <is>
          <t>Executive Vice President and Chief Operating Officer</t>
        </is>
      </c>
      <c r="D36" s="13" t="inlineStr">
        <is>
          <t>Holds all three counts</t>
        </is>
      </c>
      <c r="E36" s="14" t="n">
        <v>3</v>
      </c>
      <c r="F36" s="12" t="inlineStr">
        <is>
          <t>Buys walls</t>
        </is>
      </c>
      <c r="G36" s="12" t="inlineStr">
        <is>
          <t>Houston HQ / Fort Bend</t>
        </is>
      </c>
      <c r="H36" s="12" t="inlineStr">
        <is>
          <t>346 units, in-house architect and GC</t>
        </is>
      </c>
      <c r="I36" s="14" t="inlineStr">
        <is>
          <t>Partly</t>
        </is>
      </c>
      <c r="J36" s="15" t="inlineStr">
        <is>
          <t>346 units on one site at Fort Bend Town Center.</t>
        </is>
      </c>
      <c r="K36" s="14" t="inlineStr">
        <is>
          <t>Yes</t>
        </is>
      </c>
      <c r="L36" s="15" t="inlineStr">
        <is>
          <t>346 units on one site.</t>
        </is>
      </c>
      <c r="M36" s="14" t="inlineStr">
        <is>
          <t>Partly</t>
        </is>
      </c>
      <c r="N36" s="15" t="inlineStr">
        <is>
          <t>Its own affiliates act as architect and general contractor, so nobody outside can veto a method.</t>
        </is>
      </c>
      <c r="O36" s="10" t="inlineStr"/>
      <c r="P36" s="12">
        <f>HYPERLINK("https://www.linkedin.com/search/results/people/?keywords=John%20Chiang%20Sueba%20USA%20Corporation","search")</f>
        <v/>
      </c>
      <c r="Q36" s="16">
        <f>IF(O36="","ADD LINKEDIN","ok")</f>
        <v/>
      </c>
      <c r="R36" s="12" t="inlineStr">
        <is>
          <t>https://suebausa.com/</t>
        </is>
      </c>
      <c r="S36" s="15" t="inlineStr">
        <is>
          <t>Its own affiliates were architect and general contractor at Fort Bend Town Center.</t>
        </is>
      </c>
      <c r="T36" s="12" t="inlineStr"/>
      <c r="U36" s="15" t="inlineStr"/>
      <c r="V36" s="12" t="inlineStr">
        <is>
          <t>https://suebausa.com/about-us/</t>
        </is>
      </c>
      <c r="W36" s="12" t="inlineStr">
        <is>
          <t>https://www.linkedin.com/company/sueba-usa-corporation</t>
        </is>
      </c>
      <c r="X36" s="12" t="inlineStr">
        <is>
          <t>https://suebausa.com/about-us/</t>
        </is>
      </c>
      <c r="Y36" s="12" t="inlineStr"/>
      <c r="Z36" s="12" t="inlineStr">
        <is>
          <t>(713) 961-3588</t>
        </is>
      </c>
      <c r="AA36" s="12" t="inlineStr"/>
      <c r="AB36" s="12" t="inlineStr">
        <is>
          <t>https://suebausa.com/</t>
        </is>
      </c>
      <c r="AC36" s="12" t="inlineStr"/>
      <c r="AD36" s="12" t="inlineStr"/>
    </row>
    <row r="37">
      <c r="A37" s="6" t="inlineStr">
        <is>
          <t>Raymond Gabriele</t>
        </is>
      </c>
      <c r="B37" s="6" t="inlineStr">
        <is>
          <t>Sueba USA Corporation</t>
        </is>
      </c>
      <c r="C37" s="6" t="inlineStr">
        <is>
          <t>Vice President, Development</t>
        </is>
      </c>
      <c r="D37" s="7" t="inlineStr">
        <is>
          <t>Holds all three counts</t>
        </is>
      </c>
      <c r="E37" s="8" t="n">
        <v>3</v>
      </c>
      <c r="F37" s="6" t="inlineStr">
        <is>
          <t>Buys walls</t>
        </is>
      </c>
      <c r="G37" s="6" t="inlineStr">
        <is>
          <t>Houston HQ / Fort Bend</t>
        </is>
      </c>
      <c r="H37" s="6" t="inlineStr">
        <is>
          <t>346 units, in-house architect and GC</t>
        </is>
      </c>
      <c r="I37" s="8" t="inlineStr">
        <is>
          <t>Partly</t>
        </is>
      </c>
      <c r="J37" s="9" t="inlineStr">
        <is>
          <t>346 units on one site at Fort Bend Town Center.</t>
        </is>
      </c>
      <c r="K37" s="8" t="inlineStr">
        <is>
          <t>Yes</t>
        </is>
      </c>
      <c r="L37" s="9" t="inlineStr">
        <is>
          <t>346 units on one site.</t>
        </is>
      </c>
      <c r="M37" s="8" t="inlineStr">
        <is>
          <t>Partly</t>
        </is>
      </c>
      <c r="N37" s="9" t="inlineStr">
        <is>
          <t>Its own affiliates act as architect and general contractor, so nobody outside can veto a method.</t>
        </is>
      </c>
      <c r="O37" s="6" t="inlineStr">
        <is>
          <t>https://www.linkedin.com/in/raygabriele/</t>
        </is>
      </c>
      <c r="P37" s="6" t="inlineStr"/>
      <c r="Q37" s="11">
        <f>IF(O37="","ADD LINKEDIN","ok")</f>
        <v/>
      </c>
      <c r="R37" s="6" t="inlineStr">
        <is>
          <t>https://suebausa.com/</t>
        </is>
      </c>
      <c r="S37" s="9" t="inlineStr">
        <is>
          <t>Its own affiliates were architect and general contractor at Fort Bend Town Center.</t>
        </is>
      </c>
      <c r="T37" s="6" t="inlineStr">
        <is>
          <t>YES</t>
        </is>
      </c>
      <c r="U37" s="9" t="inlineStr">
        <is>
          <t>Real Estate Development, Sueba USA Corporation. Houston, Texas. Listed AIA, so he is the licensed architect inside the firm that designs and builds its own work.</t>
        </is>
      </c>
      <c r="V37" s="6" t="inlineStr"/>
      <c r="W37" s="6" t="inlineStr">
        <is>
          <t>https://www.linkedin.com/company/sueba-usa-corporation</t>
        </is>
      </c>
      <c r="X37" s="6" t="inlineStr">
        <is>
          <t>https://suebausa.com/about-us/</t>
        </is>
      </c>
      <c r="Y37" s="6" t="inlineStr"/>
      <c r="Z37" s="6" t="inlineStr">
        <is>
          <t>(713) 961-3588</t>
        </is>
      </c>
      <c r="AA37" s="6" t="inlineStr"/>
      <c r="AB37" s="6" t="inlineStr">
        <is>
          <t>https://suebausa.com/</t>
        </is>
      </c>
      <c r="AC37" s="6" t="inlineStr"/>
      <c r="AD37" s="6" t="inlineStr"/>
    </row>
    <row r="38">
      <c r="A38" s="12" t="inlineStr">
        <is>
          <t>Michael Hundl</t>
        </is>
      </c>
      <c r="B38" s="12" t="inlineStr">
        <is>
          <t>Chesmar Homes</t>
        </is>
      </c>
      <c r="C38" s="12" t="inlineStr">
        <is>
          <t>Vice President of Construction, Houston North,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Sekisui House U.S., the parent, closed 1,087 homes in Greater Houston in 2025, inside the 400 to 1,500 band. The parent is folding its US builders into one company, so purchasing may move.</t>
        </is>
      </c>
      <c r="M38" s="14" t="inlineStr">
        <is>
          <t>Partly</t>
        </is>
      </c>
      <c r="N38" s="15" t="inlineStr">
        <is>
          <t>Folded into Sekisui House U.S. in January 2026 under a stated mission to transfer Sekisui construction technology into the legacy brands.</t>
        </is>
      </c>
      <c r="O38" s="6" t="inlineStr">
        <is>
          <t>https://www.linkedin.com/in/michael-hundl-2a279025/</t>
        </is>
      </c>
      <c r="P38" s="12" t="inlineStr"/>
      <c r="Q38" s="16">
        <f>IF(O38="","ADD LINKEDIN","ok")</f>
        <v/>
      </c>
      <c r="R38" s="12" t="inlineStr">
        <is>
          <t>https://www.chesmar.com/</t>
        </is>
      </c>
      <c r="S38" s="15" t="inlineStr">
        <is>
          <t>Now part of Sekisui House U.S., whose stated mission is transferring Japanese construction technology into its US brands. Nothing has reached Texas yet.</t>
        </is>
      </c>
      <c r="T38" s="12" t="inlineStr">
        <is>
          <t>YES</t>
        </is>
      </c>
      <c r="U38" s="15" t="inlineStr">
        <is>
          <t>VP of Construction Houston North, Chesmar Homes. Spring, Texas.</t>
        </is>
      </c>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Dan Renaud</t>
        </is>
      </c>
      <c r="B39" s="6" t="inlineStr">
        <is>
          <t>Chesmar Homes</t>
        </is>
      </c>
      <c r="C39" s="6" t="inlineStr">
        <is>
          <t>Vice President of Construction Operations,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Sekisui House U.S., the parent, closed 1,087 homes in Greater Houston in 2025, inside the 400 to 1,500 band. The parent is folding its US builders into one company, so purchasing may move.</t>
        </is>
      </c>
      <c r="M39" s="8" t="inlineStr">
        <is>
          <t>Partly</t>
        </is>
      </c>
      <c r="N39" s="9" t="inlineStr">
        <is>
          <t>Folded into Sekisui House U.S. in January 2026 under a stated mission to transfer Sekisui construction technology into the legacy brands.</t>
        </is>
      </c>
      <c r="O39" s="6" t="inlineStr">
        <is>
          <t>https://www.linkedin.com/in/dan-renaud-8b244719/</t>
        </is>
      </c>
      <c r="P39" s="6" t="inlineStr"/>
      <c r="Q39" s="11">
        <f>IF(O39="","ADD LINKEDIN","ok")</f>
        <v/>
      </c>
      <c r="R39" s="6" t="inlineStr">
        <is>
          <t>https://www.chesmar.com/</t>
        </is>
      </c>
      <c r="S39" s="9" t="inlineStr">
        <is>
          <t>Now part of Sekisui House U.S., whose stated mission is transferring Japanese construction technology into its US brands. Nothing has reached Texas yet.</t>
        </is>
      </c>
      <c r="T39" s="6" t="inlineStr">
        <is>
          <t>YES</t>
        </is>
      </c>
      <c r="U39" s="9" t="inlineStr"/>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David Ebarb</t>
        </is>
      </c>
      <c r="B40" s="12" t="inlineStr">
        <is>
          <t>Chesmar Homes</t>
        </is>
      </c>
      <c r="C40" s="12" t="inlineStr">
        <is>
          <t>Vice President of Purchasing, Chesmar Homes</t>
        </is>
      </c>
      <c r="D40" s="13" t="inlineStr">
        <is>
          <t>Holds all three counts</t>
        </is>
      </c>
      <c r="E40" s="14" t="n">
        <v>3</v>
      </c>
      <c r="F40" s="12" t="inlineStr">
        <is>
          <t>Buys walls</t>
        </is>
      </c>
      <c r="G40" s="12" t="inlineStr">
        <is>
          <t>Spring, Harris-Montgomery</t>
        </is>
      </c>
      <c r="H40" s="12" t="inlineStr">
        <is>
          <t>1,087 Houston closings in 2025 across Sekisui House U.S., seventh in the metro</t>
        </is>
      </c>
      <c r="I40" s="14" t="inlineStr">
        <is>
          <t>Partly</t>
        </is>
      </c>
      <c r="J40" s="15" t="inlineStr">
        <is>
          <t>Builder at Sienna, selling across five Texas regions.</t>
        </is>
      </c>
      <c r="K40" s="14" t="inlineStr">
        <is>
          <t>Partly</t>
        </is>
      </c>
      <c r="L40" s="15" t="inlineStr">
        <is>
          <t>Sekisui House U.S., the parent, closed 1,087 homes in Greater Houston in 2025, inside the 400 to 1,500 band. The parent is folding its US builders into one company, so purchasing may move.</t>
        </is>
      </c>
      <c r="M40" s="14" t="inlineStr">
        <is>
          <t>Partly</t>
        </is>
      </c>
      <c r="N40" s="15" t="inlineStr">
        <is>
          <t>Folded into Sekisui House U.S. in January 2026 under a stated mission to transfer Sekisui construction technology into the legacy brands.</t>
        </is>
      </c>
      <c r="O40" s="6" t="inlineStr">
        <is>
          <t>https://www.linkedin.com/in/david-ebarb-73388541/</t>
        </is>
      </c>
      <c r="P40" s="12" t="inlineStr"/>
      <c r="Q40" s="16">
        <f>IF(O40="","ADD LINKEDIN","ok")</f>
        <v/>
      </c>
      <c r="R40" s="12" t="inlineStr">
        <is>
          <t>https://www.chesmar.com/</t>
        </is>
      </c>
      <c r="S40" s="15" t="inlineStr">
        <is>
          <t>Now part of Sekisui House U.S., whose stated mission is transferring Japanese construction technology into its US brands. Nothing has reached Texas yet.</t>
        </is>
      </c>
      <c r="T40" s="12" t="inlineStr">
        <is>
          <t>YES</t>
        </is>
      </c>
      <c r="U40" s="15" t="inlineStr">
        <is>
          <t>Vice President of Purchasing at Chesmar Home. Houston, Texas.</t>
        </is>
      </c>
      <c r="V40" s="12" t="inlineStr"/>
      <c r="W40" s="12" t="inlineStr">
        <is>
          <t>https://www.linkedin.com/company/chesmar-homes</t>
        </is>
      </c>
      <c r="X40" s="12" t="inlineStr"/>
      <c r="Y40" s="12" t="inlineStr">
        <is>
          <t>Builder Magazine. Chesmar Homes, with the note that Sekisui House U.S. is the 2026 Builder of the Year  https://www.builderonline.com/organization/chesmar-homes/</t>
        </is>
      </c>
      <c r="Z40" s="12" t="inlineStr"/>
      <c r="AA40" s="12" t="inlineStr"/>
      <c r="AB40" s="12" t="inlineStr"/>
      <c r="AC40" s="12" t="inlineStr"/>
      <c r="AD40" s="12" t="inlineStr"/>
    </row>
    <row r="41">
      <c r="A41" s="6" t="inlineStr">
        <is>
          <t>Tim Drone</t>
        </is>
      </c>
      <c r="B41" s="6" t="inlineStr">
        <is>
          <t>J. Patrick Homes</t>
        </is>
      </c>
      <c r="C41" s="6" t="inlineStr">
        <is>
          <t>President</t>
        </is>
      </c>
      <c r="D41" s="7" t="inlineStr">
        <is>
          <t>Holds all three counts</t>
        </is>
      </c>
      <c r="E41" s="8" t="n">
        <v>3</v>
      </c>
      <c r="F41" s="6" t="inlineStr">
        <is>
          <t>Buys walls</t>
        </is>
      </c>
      <c r="G41" s="6" t="inlineStr">
        <is>
          <t>Houston, 12 submarkets</t>
        </is>
      </c>
      <c r="H41" s="6" t="inlineStr">
        <is>
          <t>Volume Builder of the Year, ten communities</t>
        </is>
      </c>
      <c r="I41" s="8" t="inlineStr">
        <is>
          <t>Partly</t>
        </is>
      </c>
      <c r="J41" s="9" t="inlineStr">
        <is>
          <t>Ten communities spreads the plan set across many sites.</t>
        </is>
      </c>
      <c r="K41" s="8" t="inlineStr">
        <is>
          <t>Partly</t>
        </is>
      </c>
      <c r="L41" s="9" t="inlineStr">
        <is>
          <t>No closings figure is published anywhere, so the machine question cannot be sized.</t>
        </is>
      </c>
      <c r="M41" s="8" t="inlineStr">
        <is>
          <t>Partly</t>
        </is>
      </c>
      <c r="N41" s="9" t="inlineStr">
        <is>
          <t>It has paid for above-code performance, Energy Star and Environments for Living certification with whole-home dehumidifiers standard, but nothing structural.</t>
        </is>
      </c>
      <c r="O41" s="10" t="inlineStr"/>
      <c r="P41" s="6">
        <f>HYPERLINK("https://www.linkedin.com/search/results/people/?keywords=Tim%20Drone%20J.%20Patrick%20Homes","search")</f>
        <v/>
      </c>
      <c r="Q41" s="11">
        <f>IF(O41="","ADD LINKEDIN","ok")</f>
        <v/>
      </c>
      <c r="R41" s="6" t="inlineStr">
        <is>
          <t>https://www.jpatrickhomes.com/</t>
        </is>
      </c>
      <c r="S41" s="9" t="inlineStr">
        <is>
          <t>A semi-custom builder that won a volume award and publishes no volume. Named purchasing and construction managers.</t>
        </is>
      </c>
      <c r="T41" s="6" t="inlineStr"/>
      <c r="U41" s="9" t="inlineStr">
        <is>
          <t>Quoted as President Tim Drone in February 2026 coverage of the firm's small-lot product.</t>
        </is>
      </c>
      <c r="V41" s="6" t="inlineStr">
        <is>
          <t>https://houstonagentmagazine.com/2026/02/10/j-patrick-homes-small-lots-grange/</t>
        </is>
      </c>
      <c r="W41" s="6" t="inlineStr"/>
      <c r="X41" s="6" t="inlineStr"/>
      <c r="Y41" s="6" t="inlineStr"/>
      <c r="Z41" s="6" t="inlineStr">
        <is>
          <t>(713) 789-8004</t>
        </is>
      </c>
      <c r="AA41" s="6" t="inlineStr"/>
      <c r="AB41" s="6" t="inlineStr">
        <is>
          <t>https://www.jpatrickhomes.com/</t>
        </is>
      </c>
      <c r="AC41" s="6" t="inlineStr"/>
      <c r="AD41" s="6" t="inlineStr"/>
    </row>
    <row r="42">
      <c r="A42" s="12" t="inlineStr">
        <is>
          <t>Bo Banowsky</t>
        </is>
      </c>
      <c r="B42" s="12" t="inlineStr">
        <is>
          <t>J. Patrick Homes</t>
        </is>
      </c>
      <c r="C42" s="12" t="inlineStr">
        <is>
          <t>Purchasing Manager</t>
        </is>
      </c>
      <c r="D42" s="13" t="inlineStr">
        <is>
          <t>Holds all three counts</t>
        </is>
      </c>
      <c r="E42" s="14" t="n">
        <v>3</v>
      </c>
      <c r="F42" s="12" t="inlineStr">
        <is>
          <t>Buys walls</t>
        </is>
      </c>
      <c r="G42" s="12" t="inlineStr">
        <is>
          <t>Houston, 12 submarkets</t>
        </is>
      </c>
      <c r="H42" s="12" t="inlineStr">
        <is>
          <t>Volume Builder of the Year, ten communities</t>
        </is>
      </c>
      <c r="I42" s="14" t="inlineStr">
        <is>
          <t>Partly</t>
        </is>
      </c>
      <c r="J42" s="15" t="inlineStr">
        <is>
          <t>Ten communities spreads the plan set across many sites.</t>
        </is>
      </c>
      <c r="K42" s="14" t="inlineStr">
        <is>
          <t>Partly</t>
        </is>
      </c>
      <c r="L42" s="15" t="inlineStr">
        <is>
          <t>No closings figure is published anywhere, so the machine question cannot be sized.</t>
        </is>
      </c>
      <c r="M42" s="14" t="inlineStr">
        <is>
          <t>Partly</t>
        </is>
      </c>
      <c r="N42" s="15" t="inlineStr">
        <is>
          <t>It has paid for above-code performance, Energy Star and Environments for Living certification with whole-home dehumidifiers standard, but nothing structural.</t>
        </is>
      </c>
      <c r="O42" s="6" t="inlineStr">
        <is>
          <t>https://www.linkedin.com/in/bo-banowsky-3b11278/</t>
        </is>
      </c>
      <c r="P42" s="12" t="inlineStr"/>
      <c r="Q42" s="16">
        <f>IF(O42="","ADD LINKEDIN","ok")</f>
        <v/>
      </c>
      <c r="R42" s="12" t="inlineStr">
        <is>
          <t>https://www.jpatrickhomes.com/</t>
        </is>
      </c>
      <c r="S42" s="15" t="inlineStr">
        <is>
          <t>A semi-custom builder that won a volume award and publishes no volume. Named purchasing and construction managers.</t>
        </is>
      </c>
      <c r="T42" s="12" t="inlineStr">
        <is>
          <t>YES</t>
        </is>
      </c>
      <c r="U42" s="15" t="inlineStr">
        <is>
          <t>Indexed title reads Bo Banowsky, Purchasing Manager, J. Patrick Homes.</t>
        </is>
      </c>
      <c r="V42" s="12" t="inlineStr"/>
      <c r="W42" s="12" t="inlineStr"/>
      <c r="X42" s="12" t="inlineStr"/>
      <c r="Y42" s="12" t="inlineStr"/>
      <c r="Z42" s="12" t="inlineStr">
        <is>
          <t>(713) 789-8004</t>
        </is>
      </c>
      <c r="AA42" s="12" t="inlineStr"/>
      <c r="AB42" s="12" t="inlineStr">
        <is>
          <t>https://www.jpatrickhomes.com/</t>
        </is>
      </c>
      <c r="AC42" s="12" t="inlineStr"/>
      <c r="AD42" s="12" t="inlineStr"/>
    </row>
    <row r="43">
      <c r="A43" s="6" t="inlineStr">
        <is>
          <t>Kevin Holland</t>
        </is>
      </c>
      <c r="B43" s="6" t="inlineStr">
        <is>
          <t>Cervelle Homes</t>
        </is>
      </c>
      <c r="C43" s="6" t="inlineStr">
        <is>
          <t>Leads the firm with John Payson;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Between 150 and 200 homes a year, every year, in the same southeast Houston corridor.</t>
        </is>
      </c>
      <c r="K43" s="8" t="inlineStr">
        <is>
          <t>Yes</t>
        </is>
      </c>
      <c r="L43" s="9" t="inlineStr">
        <is>
          <t>At that volume one machine is a meaningful share of output rather than a pilot.</t>
        </is>
      </c>
      <c r="M43" s="8" t="inlineStr">
        <is>
          <t>No</t>
        </is>
      </c>
      <c r="N43" s="9" t="inlineStr">
        <is>
          <t>No method statement on record. The efficiency claim is about using the same trades since 1990.</t>
        </is>
      </c>
      <c r="O43" s="10" t="inlineStr"/>
      <c r="P43" s="6">
        <f>HYPERLINK("https://www.linkedin.com/search/results/people/?keywords=Kevin%20Holland%20Cervelle%20Homes","search")</f>
        <v/>
      </c>
      <c r="Q43" s="11">
        <f>IF(O43="","ADD LINKEDIN","ok")</f>
        <v/>
      </c>
      <c r="R43" s="6" t="inlineStr">
        <is>
          <t>https://www.cervellehomes.com/</t>
        </is>
      </c>
      <c r="S43" s="9" t="inlineStr">
        <is>
          <t>Two standing plan families in one corridor.</t>
        </is>
      </c>
      <c r="T43" s="6" t="inlineStr"/>
      <c r="U43" s="9" t="inlineStr">
        <is>
          <t>Homepage: the founder's standards carry forward under the guidance of Kevin Holland and John Payson. No title is published anywhere.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John Payson</t>
        </is>
      </c>
      <c r="B44" s="12" t="inlineStr">
        <is>
          <t>Cervelle Homes</t>
        </is>
      </c>
      <c r="C44" s="12" t="inlineStr">
        <is>
          <t>Leads the firm with Kevin Holland; no title published</t>
        </is>
      </c>
      <c r="D44" s="13" t="inlineStr">
        <is>
          <t>One gap</t>
        </is>
      </c>
      <c r="E44" s="14" t="n">
        <v>2</v>
      </c>
      <c r="F44" s="12" t="inlineStr">
        <is>
          <t>Buys walls</t>
        </is>
      </c>
      <c r="G44" s="12" t="inlineStr">
        <is>
          <t>Friendswood, Galveston-Harris</t>
        </is>
      </c>
      <c r="H44" s="12" t="inlineStr">
        <is>
          <t>150 to 200 homes a year since 1990</t>
        </is>
      </c>
      <c r="I44" s="14" t="inlineStr">
        <is>
          <t>Yes</t>
        </is>
      </c>
      <c r="J44" s="15" t="inlineStr">
        <is>
          <t>Between 150 and 200 homes a year, every year, in the same southeast Houston corridor.</t>
        </is>
      </c>
      <c r="K44" s="14" t="inlineStr">
        <is>
          <t>Yes</t>
        </is>
      </c>
      <c r="L44" s="15" t="inlineStr">
        <is>
          <t>At that volume one machine is a meaningful share of output rather than a pilot.</t>
        </is>
      </c>
      <c r="M44" s="14" t="inlineStr">
        <is>
          <t>No</t>
        </is>
      </c>
      <c r="N44" s="15" t="inlineStr">
        <is>
          <t>No method statement on record. The efficiency claim is about using the same trades since 1990.</t>
        </is>
      </c>
      <c r="O44" s="10" t="inlineStr"/>
      <c r="P44" s="12">
        <f>HYPERLINK("https://www.linkedin.com/search/results/people/?keywords=John%20Payson%20Cervelle%20Homes","search")</f>
        <v/>
      </c>
      <c r="Q44" s="16">
        <f>IF(O44="","ADD LINKEDIN","ok")</f>
        <v/>
      </c>
      <c r="R44" s="12" t="inlineStr">
        <is>
          <t>https://www.cervellehomes.com/</t>
        </is>
      </c>
      <c r="S44" s="15" t="inlineStr">
        <is>
          <t>Two standing plan families in one corridor.</t>
        </is>
      </c>
      <c r="T44" s="12" t="inlineStr"/>
      <c r="U44" s="15" t="inlineStr">
        <is>
          <t>Homepage names him alongside Kevin Holland as carrying the founder's standards forward. No title is published.</t>
        </is>
      </c>
      <c r="V44" s="12" t="inlineStr">
        <is>
          <t>https://www.cervellehomes.com/</t>
        </is>
      </c>
      <c r="W44" s="12" t="inlineStr"/>
      <c r="X44" s="12" t="inlineStr"/>
      <c r="Y44" s="12" t="inlineStr"/>
      <c r="Z44" s="12" t="inlineStr">
        <is>
          <t>(281) 482-5864</t>
        </is>
      </c>
      <c r="AA44" s="12" t="inlineStr">
        <is>
          <t>office</t>
        </is>
      </c>
      <c r="AB44" s="12" t="inlineStr">
        <is>
          <t>https://www.cervellehomes.com/</t>
        </is>
      </c>
      <c r="AC44" s="12" t="inlineStr"/>
      <c r="AD44" s="12" t="inlineStr"/>
    </row>
    <row r="45">
      <c r="A45" s="6" t="inlineStr">
        <is>
          <t>Samuel Sanders</t>
        </is>
      </c>
      <c r="B45" s="6" t="inlineStr">
        <is>
          <t>Clay Residential</t>
        </is>
      </c>
      <c r="C45" s="6" t="inlineStr">
        <is>
          <t>Vice President of Construction Operations</t>
        </is>
      </c>
      <c r="D45" s="7" t="inlineStr">
        <is>
          <t>One gap</t>
        </is>
      </c>
      <c r="E45" s="8" t="n">
        <v>2</v>
      </c>
      <c r="F45" s="6" t="inlineStr">
        <is>
          <t>Buys walls</t>
        </is>
      </c>
      <c r="G45" s="6" t="inlineStr">
        <is>
          <t>Houston / Cypress, Iowa Colony</t>
        </is>
      </c>
      <c r="H45" s="6" t="inlineStr">
        <is>
          <t>465 rental homes in two Houston communities, 368 and 97</t>
        </is>
      </c>
      <c r="I45" s="8" t="inlineStr">
        <is>
          <t>Yes</t>
        </is>
      </c>
      <c r="J45" s="9" t="inlineStr">
        <is>
          <t>465 homes across two communities on three, four and five bedroom plans.</t>
        </is>
      </c>
      <c r="K45" s="8" t="inlineStr">
        <is>
          <t>Yes</t>
        </is>
      </c>
      <c r="L45" s="9" t="inlineStr">
        <is>
          <t>Two communities and 465 homes sits inside the band one or two printers cover.</t>
        </is>
      </c>
      <c r="M45" s="8" t="inlineStr">
        <is>
          <t>No</t>
        </is>
      </c>
      <c r="N45" s="9" t="inlineStr">
        <is>
          <t>Nothing on record. Its construction page names craftsmen, subcontractors and suppliers and no method.</t>
        </is>
      </c>
      <c r="O45" s="10" t="inlineStr"/>
      <c r="P45" s="6">
        <f>HYPERLINK("https://www.linkedin.com/search/results/people/?keywords=Samuel%20Sanders%20Clay%20Residential","search")</f>
        <v/>
      </c>
      <c r="Q45" s="11">
        <f>IF(O45="","ADD LINKEDIN","ok")</f>
        <v/>
      </c>
      <c r="R45" s="6" t="inlineStr">
        <is>
          <t>https://www.clayresidential.com/</t>
        </is>
      </c>
      <c r="S45" s="9" t="inlineStr">
        <is>
          <t>The construction seat is named on the record.</t>
        </is>
      </c>
      <c r="T45" s="6" t="inlineStr">
        <is>
          <t>YES</t>
        </is>
      </c>
      <c r="U45" s="9" t="inlineStr">
        <is>
          <t>Listed as the primary contact on the association's own member record.</t>
        </is>
      </c>
      <c r="V45" s="6" t="inlineStr">
        <is>
          <t>https://members.ghba.org/memberdirectory/Details/clay-residential-2924528</t>
        </is>
      </c>
      <c r="W45" s="6" t="inlineStr"/>
      <c r="X45" s="6" t="inlineStr"/>
      <c r="Y45" s="6" t="inlineStr"/>
      <c r="Z45" s="6" t="inlineStr">
        <is>
          <t>(281) 407-6466</t>
        </is>
      </c>
      <c r="AA45" s="6" t="inlineStr"/>
      <c r="AB45" s="6" t="inlineStr">
        <is>
          <t>https://www.clayresidential.com/</t>
        </is>
      </c>
      <c r="AC45" s="6" t="inlineStr"/>
      <c r="AD45" s="6" t="inlineStr"/>
    </row>
    <row r="46">
      <c r="A46" s="12" t="inlineStr">
        <is>
          <t>Dru Kahlenberg</t>
        </is>
      </c>
      <c r="B46" s="12" t="inlineStr">
        <is>
          <t>Alta Homes</t>
        </is>
      </c>
      <c r="C46" s="12" t="inlineStr">
        <is>
          <t>Chief Executive Officer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inside a single county, with three more announced in the same corridor.</t>
        </is>
      </c>
      <c r="K46" s="14" t="inlineStr">
        <is>
          <t>Yes</t>
        </is>
      </c>
      <c r="L46" s="15" t="inlineStr">
        <is>
          <t>45 closings in 2025 and 70 planned for 2026. One machine would cover most of a year's walls.</t>
        </is>
      </c>
      <c r="M46" s="14" t="inlineStr">
        <is>
          <t>No</t>
        </is>
      </c>
      <c r="N46" s="15" t="inlineStr">
        <is>
          <t>No method evidence. Six people, so the decision sits with the two founders.</t>
        </is>
      </c>
      <c r="O46" s="10" t="inlineStr"/>
      <c r="P46" s="12">
        <f>HYPERLINK("https://www.linkedin.com/search/results/people/?keywords=Dru%20Kahlenberg%20Alta%20Homes","search")</f>
        <v/>
      </c>
      <c r="Q46" s="16">
        <f>IF(O46="","ADD LINKEDIN","ok")</f>
        <v/>
      </c>
      <c r="R46" s="12" t="inlineStr">
        <is>
          <t>https://www.myaltahomes.com/</t>
        </is>
      </c>
      <c r="S46" s="15" t="inlineStr">
        <is>
          <t>All four communities in one county, and six staff with no purchasing department.</t>
        </is>
      </c>
      <c r="T46" s="12" t="inlineStr"/>
      <c r="U46" s="15" t="inlineStr">
        <is>
          <t>About page: CEO, who signs off on every piece of land and secures the financing behind every community.</t>
        </is>
      </c>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Scott Gilbert</t>
        </is>
      </c>
      <c r="B47" s="6" t="inlineStr">
        <is>
          <t>Alta Homes</t>
        </is>
      </c>
      <c r="C47" s="6" t="inlineStr">
        <is>
          <t>President</t>
        </is>
      </c>
      <c r="D47" s="7" t="inlineStr">
        <is>
          <t>One gap</t>
        </is>
      </c>
      <c r="E47" s="8" t="n">
        <v>2</v>
      </c>
      <c r="F47" s="6" t="inlineStr">
        <is>
          <t>Buys walls</t>
        </is>
      </c>
      <c r="G47" s="6" t="inlineStr">
        <is>
          <t>Willis and Conroe, Montgomery</t>
        </is>
      </c>
      <c r="H47" s="6" t="inlineStr">
        <is>
          <t>45 closings in 2025, all in Montgomery County,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10" t="inlineStr"/>
      <c r="P47" s="6">
        <f>HYPERLINK("https://www.linkedin.com/search/results/people/?keywords=Scott%20Gilbert%20Alta%20Homes","search")</f>
        <v/>
      </c>
      <c r="Q47" s="11">
        <f>IF(O47="","ADD LINKEDIN","ok")</f>
        <v/>
      </c>
      <c r="R47" s="6" t="inlineStr">
        <is>
          <t>https://www.myaltahomes.com/</t>
        </is>
      </c>
      <c r="S47" s="9" t="inlineStr">
        <is>
          <t>All four communities in one county, and six staff with no purchasing department.</t>
        </is>
      </c>
      <c r="T47" s="6" t="inlineStr"/>
      <c r="U47" s="9" t="inlineStr">
        <is>
          <t>About page: President, focused on teams, vendor partnerships and efficient construction.</t>
        </is>
      </c>
      <c r="V47" s="6" t="inlineStr">
        <is>
          <t>https://www.myaltahomes.com/about</t>
        </is>
      </c>
      <c r="W47" s="6" t="inlineStr"/>
      <c r="X47" s="6" t="inlineStr"/>
      <c r="Y47" s="6" t="inlineStr"/>
      <c r="Z47" s="6" t="inlineStr">
        <is>
          <t>(936) 299-4373</t>
        </is>
      </c>
      <c r="AA47" s="6" t="inlineStr"/>
      <c r="AB47" s="6" t="inlineStr">
        <is>
          <t>https://www.myaltahomes.com/</t>
        </is>
      </c>
      <c r="AC47" s="6" t="inlineStr"/>
      <c r="AD47" s="6" t="inlineStr"/>
    </row>
    <row r="48">
      <c r="A48" s="12" t="inlineStr">
        <is>
          <t>Ashley Meinecke</t>
        </is>
      </c>
      <c r="B48" s="12" t="inlineStr">
        <is>
          <t>Alta Homes</t>
        </is>
      </c>
      <c r="C48" s="12" t="inlineStr">
        <is>
          <t>Accounts Payable and Purchasing Manager</t>
        </is>
      </c>
      <c r="D48" s="13" t="inlineStr">
        <is>
          <t>One gap</t>
        </is>
      </c>
      <c r="E48" s="14" t="n">
        <v>2</v>
      </c>
      <c r="F48" s="12" t="inlineStr">
        <is>
          <t>Buys walls</t>
        </is>
      </c>
      <c r="G48" s="12" t="inlineStr">
        <is>
          <t>Willis and Conroe, Montgomery</t>
        </is>
      </c>
      <c r="H48" s="12" t="inlineStr">
        <is>
          <t>45 closings in 2025, all in Montgomery County,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0" t="inlineStr"/>
      <c r="P48" s="12">
        <f>HYPERLINK("https://www.linkedin.com/search/results/people/?keywords=Ashley%20Meinecke%20Alta%20Homes","search")</f>
        <v/>
      </c>
      <c r="Q48" s="16">
        <f>IF(O48="","ADD LINKEDIN","ok")</f>
        <v/>
      </c>
      <c r="R48" s="12" t="inlineStr">
        <is>
          <t>https://www.myaltahomes.com/</t>
        </is>
      </c>
      <c r="S48" s="15" t="inlineStr">
        <is>
          <t>All four communities in one county, and six staff with no purchasing department.</t>
        </is>
      </c>
      <c r="T48" s="12" t="inlineStr">
        <is>
          <t>YES</t>
        </is>
      </c>
      <c r="U48" s="15" t="inlineStr"/>
      <c r="V48" s="12" t="inlineStr">
        <is>
          <t>https://www.myaltahomes.com/about</t>
        </is>
      </c>
      <c r="W48" s="12" t="inlineStr"/>
      <c r="X48" s="12" t="inlineStr"/>
      <c r="Y48" s="12" t="inlineStr"/>
      <c r="Z48" s="12" t="inlineStr">
        <is>
          <t>(936) 299-4373</t>
        </is>
      </c>
      <c r="AA48" s="12" t="inlineStr"/>
      <c r="AB48" s="12" t="inlineStr">
        <is>
          <t>https://www.myaltahomes.com/</t>
        </is>
      </c>
      <c r="AC48" s="12" t="inlineStr"/>
      <c r="AD48" s="12" t="inlineStr"/>
    </row>
    <row r="49">
      <c r="A49" s="6" t="inlineStr">
        <is>
          <t>Steve Sample</t>
        </is>
      </c>
      <c r="B49" s="6" t="inlineStr">
        <is>
          <t>Highland Homes / HHS Residential</t>
        </is>
      </c>
      <c r="C49" s="6" t="inlineStr">
        <is>
          <t>Head of Land, Houston</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build-to-rent communities for one owner, Tricon, in Richmond, Tomball and Katy, beside for-sale communities from Brookshire to Willis.</t>
        </is>
      </c>
      <c r="K49" s="8" t="inlineStr">
        <is>
          <t>Partly</t>
        </is>
      </c>
      <c r="L49" s="9" t="inlineStr">
        <is>
          <t>968 Houston closings in 2025 sits inside the 400 to 1,500 band, so a machine would be a line inside the business.</t>
        </is>
      </c>
      <c r="M49" s="8" t="inlineStr">
        <is>
          <t>No</t>
        </is>
      </c>
      <c r="N49" s="9" t="inlineStr">
        <is>
          <t>Nothing on record. Its own site describes energy features, not a change to the wall.</t>
        </is>
      </c>
      <c r="O49" s="10" t="inlineStr"/>
      <c r="P49" s="6" t="inlineStr"/>
      <c r="Q49" s="11">
        <f>IF(O49="","ADD LINKEDIN","ok")</f>
        <v/>
      </c>
      <c r="R49" s="6" t="inlineStr">
        <is>
          <t>https://www.highlandhomes.com/houston/</t>
        </is>
      </c>
      <c r="S49" s="9" t="inlineStr">
        <is>
          <t>Through HHS Residential it builds the same detached house for one rental owner, 90 to 175 homes a site.</t>
        </is>
      </c>
      <c r="T49" s="6" t="inlineStr"/>
      <c r="U49" s="9" t="inlineStr">
        <is>
          <t>Named to the role on 3 November 2022.</t>
        </is>
      </c>
      <c r="V49" s="6" t="inlineStr">
        <is>
          <t>https://chartwellpartners.com/real-estate/highland-homes-announces-steve-sample-as-head-of-land-houston/</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Matt McGhee</t>
        </is>
      </c>
      <c r="B50" s="12" t="inlineStr">
        <is>
          <t>Highland Homes / HHS Residential</t>
        </is>
      </c>
      <c r="C50" s="12" t="inlineStr">
        <is>
          <t>Vice President, HHS Residential</t>
        </is>
      </c>
      <c r="D50" s="13" t="inlineStr">
        <is>
          <t>One gap</t>
        </is>
      </c>
      <c r="E50" s="14" t="n">
        <v>2</v>
      </c>
      <c r="F50" s="12" t="inlineStr">
        <is>
          <t>Buys walls</t>
        </is>
      </c>
      <c r="G50" s="12" t="inlineStr">
        <is>
          <t>Houston / Brookshire to Willis</t>
        </is>
      </c>
      <c r="H50" s="12" t="inlineStr">
        <is>
          <t>968 Houston closings in 2025, tenth in the metro</t>
        </is>
      </c>
      <c r="I50" s="14" t="inlineStr">
        <is>
          <t>Yes</t>
        </is>
      </c>
      <c r="J50" s="15" t="inlineStr">
        <is>
          <t>Three build-to-rent communities for one owner, Tricon, in Richmond, Tomball and Katy, beside for-sale communities from Brookshire to Willis.</t>
        </is>
      </c>
      <c r="K50" s="14" t="inlineStr">
        <is>
          <t>Partly</t>
        </is>
      </c>
      <c r="L50" s="15" t="inlineStr">
        <is>
          <t>968 Houston closings in 2025 sits inside the 400 to 1,500 band, so a machine would be a line inside the business.</t>
        </is>
      </c>
      <c r="M50" s="14" t="inlineStr">
        <is>
          <t>No</t>
        </is>
      </c>
      <c r="N50" s="15" t="inlineStr">
        <is>
          <t>Nothing on record. Its own site describes energy features, not a change to the wall.</t>
        </is>
      </c>
      <c r="O50" s="10" t="inlineStr"/>
      <c r="P50" s="12" t="inlineStr"/>
      <c r="Q50" s="16">
        <f>IF(O50="","ADD LINKEDIN","ok")</f>
        <v/>
      </c>
      <c r="R50" s="12" t="inlineStr">
        <is>
          <t>https://www.highlandhomes.com/houston/</t>
        </is>
      </c>
      <c r="S50" s="15" t="inlineStr">
        <is>
          <t>Through HHS Residential it builds the same detached house for one rental owner, 90 to 175 homes a site.</t>
        </is>
      </c>
      <c r="T50" s="12" t="inlineStr"/>
      <c r="U50" s="15" t="inlineStr">
        <is>
          <t>Named in a HomeAid Houston release of June 2022.</t>
        </is>
      </c>
      <c r="V50" s="12" t="inlineStr">
        <is>
          <t>https://homeaidhouston.org/newsroom/homeaid-and-highland-homes-break-ground-on-transitional-housing-unit-in-conroe/</t>
        </is>
      </c>
      <c r="W50" s="12" t="inlineStr"/>
      <c r="X50" s="12" t="inlineStr"/>
      <c r="Y50" s="12" t="inlineStr"/>
      <c r="Z50" s="12" t="inlineStr">
        <is>
          <t>(281) 517-9800</t>
        </is>
      </c>
      <c r="AA50" s="12" t="inlineStr">
        <is>
          <t>Houston office</t>
        </is>
      </c>
      <c r="AB50" s="12" t="inlineStr">
        <is>
          <t>https://www.highlandhomes.com/contact</t>
        </is>
      </c>
      <c r="AC50" s="12" t="inlineStr">
        <is>
          <t>information@hhsresidential.com</t>
        </is>
      </c>
      <c r="AD50" s="12" t="inlineStr">
        <is>
          <t>https://hhsresidential.com/about/</t>
        </is>
      </c>
    </row>
    <row r="51">
      <c r="A51" s="6" t="inlineStr">
        <is>
          <t>Eddie Lin</t>
        </is>
      </c>
      <c r="B51" s="6" t="inlineStr">
        <is>
          <t>Highland Homes / HHS Residential</t>
        </is>
      </c>
      <c r="C51" s="6" t="inlineStr">
        <is>
          <t>Managing Director of Investments, HHS Residential</t>
        </is>
      </c>
      <c r="D51" s="7" t="inlineStr">
        <is>
          <t>One gap</t>
        </is>
      </c>
      <c r="E51" s="8" t="n">
        <v>2</v>
      </c>
      <c r="F51" s="6" t="inlineStr">
        <is>
          <t>Buys walls</t>
        </is>
      </c>
      <c r="G51" s="6" t="inlineStr">
        <is>
          <t>Houston / Brookshire to Willis</t>
        </is>
      </c>
      <c r="H51" s="6" t="inlineStr">
        <is>
          <t>968 Houston closings in 2025, tenth in the metro</t>
        </is>
      </c>
      <c r="I51" s="8" t="inlineStr">
        <is>
          <t>Yes</t>
        </is>
      </c>
      <c r="J51" s="9" t="inlineStr">
        <is>
          <t>Three build-to-rent communities for one owner, Tricon, in Richmond, Tomball and Katy, beside for-sale communities from Brookshire to Willis.</t>
        </is>
      </c>
      <c r="K51" s="8" t="inlineStr">
        <is>
          <t>Partly</t>
        </is>
      </c>
      <c r="L51" s="9" t="inlineStr">
        <is>
          <t>968 Houston closings in 2025 sits inside the 400 to 1,500 band, so a machine would be a line inside the business.</t>
        </is>
      </c>
      <c r="M51" s="8" t="inlineStr">
        <is>
          <t>No</t>
        </is>
      </c>
      <c r="N51" s="9" t="inlineStr">
        <is>
          <t>Nothing on record. Its own site describes energy features, not a change to the wall.</t>
        </is>
      </c>
      <c r="O51" s="10" t="inlineStr"/>
      <c r="P51" s="6" t="inlineStr"/>
      <c r="Q51" s="11">
        <f>IF(O51="","ADD LINKEDIN","ok")</f>
        <v/>
      </c>
      <c r="R51" s="6" t="inlineStr">
        <is>
          <t>https://www.highlandhomes.com/houston/</t>
        </is>
      </c>
      <c r="S51" s="9" t="inlineStr">
        <is>
          <t>Through HHS Residential it builds the same detached house for one rental owner, 90 to 175 homes a site.</t>
        </is>
      </c>
      <c r="T51" s="6" t="inlineStr"/>
      <c r="U51" s="9" t="inlineStr">
        <is>
          <t>Named to a newly created role running the build-to-rent portfolio.</t>
        </is>
      </c>
      <c r="V51" s="6" t="inlineStr">
        <is>
          <t>https://chartwellpartners.com/real-estate/highland-homes-names-eddie-lin-as-managing-director-of-investments-for-hhs-residential/</t>
        </is>
      </c>
      <c r="W51" s="6" t="inlineStr"/>
      <c r="X51" s="6" t="inlineStr"/>
      <c r="Y51" s="6" t="inlineStr"/>
      <c r="Z51" s="6" t="inlineStr">
        <is>
          <t>(281) 517-9800</t>
        </is>
      </c>
      <c r="AA51" s="6" t="inlineStr">
        <is>
          <t>Houston office</t>
        </is>
      </c>
      <c r="AB51" s="6" t="inlineStr">
        <is>
          <t>https://www.highlandhomes.com/contact</t>
        </is>
      </c>
      <c r="AC51" s="6" t="inlineStr">
        <is>
          <t>information@hhsresidential.com</t>
        </is>
      </c>
      <c r="AD51" s="6" t="inlineStr">
        <is>
          <t>https://hhsresidential.com/about/</t>
        </is>
      </c>
    </row>
    <row r="52">
      <c r="A52" s="12" t="inlineStr">
        <is>
          <t>Jamie Bryant</t>
        </is>
      </c>
      <c r="B52" s="12" t="inlineStr">
        <is>
          <t>Houston Housing Authority</t>
        </is>
      </c>
      <c r="C52" s="12" t="inlineStr">
        <is>
          <t>President and Chief Executive Officer, named February 2025</t>
        </is>
      </c>
      <c r="D52" s="13" t="inlineStr">
        <is>
          <t>One gap</t>
        </is>
      </c>
      <c r="E52" s="14" t="n">
        <v>2</v>
      </c>
      <c r="F52" s="12" t="inlineStr">
        <is>
          <t>Buys walls</t>
        </is>
      </c>
      <c r="G52" s="12" t="inlineStr">
        <is>
          <t>Third Ward / citywide, Harris County</t>
        </is>
      </c>
      <c r="H52" s="12" t="inlineStr">
        <is>
          <t>$600M+ programme, 5 phases, 2025-2032</t>
        </is>
      </c>
      <c r="I52" s="14" t="inlineStr">
        <is>
          <t>Yes</t>
        </is>
      </c>
      <c r="J52" s="15" t="inlineStr">
        <is>
          <t>Cuney Homes runs five phases from 2025 to 2032.</t>
        </is>
      </c>
      <c r="K52" s="14" t="inlineStr">
        <is>
          <t>Partly</t>
        </is>
      </c>
      <c r="L52" s="15" t="inlineStr">
        <is>
          <t>A $600 million programme in five phases, but the product is multifamily and the procurement is public.</t>
        </is>
      </c>
      <c r="M52" s="14" t="inlineStr">
        <is>
          <t>No</t>
        </is>
      </c>
      <c r="N52" s="15" t="inlineStr">
        <is>
          <t>No method statement on record. Federal procurement does reward cost and schedule.</t>
        </is>
      </c>
      <c r="O52" s="10" t="inlineStr"/>
      <c r="P52" s="12" t="inlineStr"/>
      <c r="Q52" s="16">
        <f>IF(O52="","ADD LINKEDIN","ok")</f>
        <v/>
      </c>
      <c r="R52" s="12" t="inlineStr">
        <is>
          <t>https://www.alliancehtx.org/</t>
        </is>
      </c>
      <c r="S52" s="15" t="inlineStr">
        <is>
          <t>Federal money and open procurement, and no method on record.</t>
        </is>
      </c>
      <c r="T52" s="12" t="inlineStr"/>
      <c r="U52" s="15" t="inlineStr">
        <is>
          <t>Her own bio page gives the title and the February 2025 appointment.</t>
        </is>
      </c>
      <c r="V52" s="12" t="inlineStr">
        <is>
          <t>https://www.alliancehtx.org/team-members/jamie-bryant</t>
        </is>
      </c>
      <c r="W52" s="12" t="inlineStr">
        <is>
          <t>https://www.linkedin.com/company/houston-housing-authority</t>
        </is>
      </c>
      <c r="X52" s="12" t="inlineStr">
        <is>
          <t>https://www.alliancehtx.org/leadership</t>
        </is>
      </c>
      <c r="Y52" s="12" t="inlineStr"/>
      <c r="Z52" s="12" t="inlineStr"/>
      <c r="AA52" s="12" t="inlineStr"/>
      <c r="AB52" s="12" t="inlineStr"/>
      <c r="AC52" s="12" t="inlineStr"/>
      <c r="AD52" s="12" t="inlineStr"/>
    </row>
    <row r="53">
      <c r="A53" s="6" t="inlineStr">
        <is>
          <t>Neal Rackleff</t>
        </is>
      </c>
      <c r="B53" s="6" t="inlineStr">
        <is>
          <t>Houston Housing Authority</t>
        </is>
      </c>
      <c r="C53" s="6" t="inlineStr">
        <is>
          <t>Executive Vice President and Chief Operating Officer, Houston Housing Authority</t>
        </is>
      </c>
      <c r="D53" s="7" t="inlineStr">
        <is>
          <t>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6" t="inlineStr">
        <is>
          <t>https://www.linkedin.com/in/nealrackleff/</t>
        </is>
      </c>
      <c r="P53" s="6" t="inlineStr"/>
      <c r="Q53" s="11">
        <f>IF(O53="","ADD LINKEDIN","ok")</f>
        <v/>
      </c>
      <c r="R53" s="6" t="inlineStr">
        <is>
          <t>https://www.alliancehtx.org/</t>
        </is>
      </c>
      <c r="S53" s="9" t="inlineStr">
        <is>
          <t>Federal money and open procurement, and no method on record.</t>
        </is>
      </c>
      <c r="T53" s="6" t="inlineStr">
        <is>
          <t>YES</t>
        </is>
      </c>
      <c r="U53" s="9" t="inlineStr">
        <is>
          <t>Executive VP and COO Houston Housing Authority. Houston, Texas. The operating officer over a $600 million five-phase programme, and the office that answers for delivery rather than policy. The leadership page carries the title.</t>
        </is>
      </c>
      <c r="V53" s="6" t="inlineStr">
        <is>
          <t>https://www.alliancehtx.org/leadership</t>
        </is>
      </c>
      <c r="W53" s="6" t="inlineStr">
        <is>
          <t>https://www.linkedin.com/company/houston-housing-authority</t>
        </is>
      </c>
      <c r="X53" s="6" t="inlineStr">
        <is>
          <t>https://www.alliancehtx.org/leadership</t>
        </is>
      </c>
      <c r="Y53" s="6" t="inlineStr"/>
      <c r="Z53" s="6" t="inlineStr"/>
      <c r="AA53" s="6" t="inlineStr"/>
      <c r="AB53" s="6" t="inlineStr"/>
      <c r="AC53" s="6" t="inlineStr"/>
      <c r="AD53" s="6" t="inlineStr"/>
    </row>
    <row r="54">
      <c r="A54" s="12" t="inlineStr">
        <is>
          <t>Craig Jones</t>
        </is>
      </c>
      <c r="B54" s="12" t="inlineStr">
        <is>
          <t>Long Lake, Ltd.</t>
        </is>
      </c>
      <c r="C54" s="12" t="inlineStr">
        <is>
          <t>Chief Executive Officer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sits in the 400 to 1,500 band, so the first order is a line inside the business.</t>
        </is>
      </c>
      <c r="M54" s="14" t="inlineStr">
        <is>
          <t>No</t>
        </is>
      </c>
      <c r="N54" s="15" t="inlineStr">
        <is>
          <t>Nothing on record. Its about page argues the other way, for job-built production methods as a control advantage.</t>
        </is>
      </c>
      <c r="O54" s="10" t="inlineStr"/>
      <c r="P54" s="12">
        <f>HYPERLINK("https://www.linkedin.com/search/results/people/?keywords=Craig%20Jones%20Long%20Lake%2C%20Ltd.","search")</f>
        <v/>
      </c>
      <c r="Q54" s="16">
        <f>IF(O54="","ADD LINKEDIN","ok")</f>
        <v/>
      </c>
      <c r="R54" s="12" t="inlineStr">
        <is>
          <t>https://www.longlakeltd.com/</t>
        </is>
      </c>
      <c r="S54" s="15" t="inlineStr">
        <is>
          <t>Numbered plans across 22 communities, and it develops its own land, so a pilot needs nobody else's permission.</t>
        </is>
      </c>
      <c r="T54" s="12" t="inlineStr"/>
      <c r="U54" s="15" t="inlineStr"/>
      <c r="V54" s="12" t="inlineStr">
        <is>
          <t>https://www.builderonline.com/firms/long-lake-limited/</t>
        </is>
      </c>
      <c r="W54" s="12" t="inlineStr"/>
      <c r="X54" s="12" t="inlineStr"/>
      <c r="Y54" s="12" t="inlineStr"/>
      <c r="Z54" s="12" t="inlineStr">
        <is>
          <t>(888) 498-6815</t>
        </is>
      </c>
      <c r="AA54" s="12" t="inlineStr"/>
      <c r="AB54" s="12" t="inlineStr">
        <is>
          <t>https://www.longlakeltd.com/</t>
        </is>
      </c>
      <c r="AC54" s="12" t="inlineStr"/>
      <c r="AD54" s="12" t="inlineStr"/>
    </row>
    <row r="55">
      <c r="A55" s="6" t="inlineStr">
        <is>
          <t>Dustin Rodgers</t>
        </is>
      </c>
      <c r="B55" s="6" t="inlineStr">
        <is>
          <t>Long Lake, Ltd.</t>
        </is>
      </c>
      <c r="C55" s="6" t="inlineStr">
        <is>
          <t>Vice President of Construction</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in the 400 to 1,500 band, so the first order is a line inside the business.</t>
        </is>
      </c>
      <c r="M55" s="8" t="inlineStr">
        <is>
          <t>No</t>
        </is>
      </c>
      <c r="N55" s="9" t="inlineStr">
        <is>
          <t>Nothing on record. Its about page argues the other way, for job-built production methods as a control advantage.</t>
        </is>
      </c>
      <c r="O55" s="6" t="inlineStr">
        <is>
          <t>https://www.linkedin.com/in/dustin-rodgers-61a9908a/</t>
        </is>
      </c>
      <c r="P55" s="6" t="inlineStr"/>
      <c r="Q55" s="11">
        <f>IF(O55="","ADD LINKEDIN","ok")</f>
        <v/>
      </c>
      <c r="R55" s="6" t="inlineStr">
        <is>
          <t>https://www.longlakeltd.com/</t>
        </is>
      </c>
      <c r="S55" s="9" t="inlineStr">
        <is>
          <t>Numbered plans across 22 communities, and it develops its own land, so a pilot needs nobody else's permission.</t>
        </is>
      </c>
      <c r="T55" s="6" t="inlineStr">
        <is>
          <t>YES</t>
        </is>
      </c>
      <c r="U55" s="9" t="inlineStr"/>
      <c r="V55" s="6" t="inlineStr"/>
      <c r="W55" s="6" t="inlineStr"/>
      <c r="X55" s="6" t="inlineStr"/>
      <c r="Y55" s="6" t="inlineStr"/>
      <c r="Z55" s="6" t="inlineStr">
        <is>
          <t>(888) 498-6815</t>
        </is>
      </c>
      <c r="AA55" s="6" t="inlineStr"/>
      <c r="AB55" s="6" t="inlineStr">
        <is>
          <t>https://www.longlakeltd.com/</t>
        </is>
      </c>
      <c r="AC55" s="6" t="inlineStr"/>
      <c r="AD55" s="6" t="inlineStr"/>
    </row>
    <row r="56">
      <c r="A56" s="12" t="inlineStr">
        <is>
          <t>Dave Dronberger</t>
        </is>
      </c>
      <c r="B56" s="12" t="inlineStr">
        <is>
          <t>Long Lake, Ltd.</t>
        </is>
      </c>
      <c r="C56" s="12" t="inlineStr">
        <is>
          <t>Construction Manager</t>
        </is>
      </c>
      <c r="D56" s="13" t="inlineStr">
        <is>
          <t>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in the 400 to 1,500 band, so the first order is a line inside the business.</t>
        </is>
      </c>
      <c r="M56" s="14" t="inlineStr">
        <is>
          <t>No</t>
        </is>
      </c>
      <c r="N56" s="15" t="inlineStr">
        <is>
          <t>Nothing on record. Its about page argues the other way, for job-built production methods as a control advantage.</t>
        </is>
      </c>
      <c r="O56" s="6" t="inlineStr">
        <is>
          <t>https://www.linkedin.com/in/dave-dronberger-9b098315/</t>
        </is>
      </c>
      <c r="P56" s="12" t="inlineStr"/>
      <c r="Q56" s="16">
        <f>IF(O56="","ADD LINKEDIN","ok")</f>
        <v/>
      </c>
      <c r="R56" s="12" t="inlineStr">
        <is>
          <t>https://www.longlakeltd.com/</t>
        </is>
      </c>
      <c r="S56" s="15" t="inlineStr">
        <is>
          <t>Numbered plans across 22 communities, and it develops its own land, so a pilot needs nobody else's permission.</t>
        </is>
      </c>
      <c r="T56" s="12" t="inlineStr"/>
      <c r="U56" s="15" t="inlineStr"/>
      <c r="V56" s="12" t="inlineStr"/>
      <c r="W56" s="12" t="inlineStr"/>
      <c r="X56" s="12" t="inlineStr"/>
      <c r="Y56" s="12" t="inlineStr"/>
      <c r="Z56" s="12" t="inlineStr">
        <is>
          <t>(888) 498-6815</t>
        </is>
      </c>
      <c r="AA56" s="12" t="inlineStr"/>
      <c r="AB56" s="12" t="inlineStr">
        <is>
          <t>https://www.longlakeltd.com/</t>
        </is>
      </c>
      <c r="AC56" s="12" t="inlineStr"/>
      <c r="AD56" s="12" t="inlineStr"/>
    </row>
    <row r="57">
      <c r="A57" s="6" t="inlineStr">
        <is>
          <t>Aaron Alford</t>
        </is>
      </c>
      <c r="B57" s="6" t="inlineStr">
        <is>
          <t>Long Lake, Ltd.</t>
        </is>
      </c>
      <c r="C57" s="6" t="inlineStr">
        <is>
          <t>Executive Vice President, Woodmere Development Co.</t>
        </is>
      </c>
      <c r="D57" s="7" t="inlineStr">
        <is>
          <t>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in the 400 to 1,500 band, so the first order is a line inside the business.</t>
        </is>
      </c>
      <c r="M57" s="8" t="inlineStr">
        <is>
          <t>No</t>
        </is>
      </c>
      <c r="N57" s="9" t="inlineStr">
        <is>
          <t>Nothing on record. Its about page argues the other way, for job-built production methods as a control advantage.</t>
        </is>
      </c>
      <c r="O57" s="10" t="inlineStr"/>
      <c r="P57" s="6">
        <f>HYPERLINK("https://www.linkedin.com/search/results/people/?keywords=Aaron%20Alford%20Long%20Lake%2C%20Ltd.","search")</f>
        <v/>
      </c>
      <c r="Q57" s="11">
        <f>IF(O57="","ADD LINKEDIN","ok")</f>
        <v/>
      </c>
      <c r="R57" s="6" t="inlineStr">
        <is>
          <t>https://www.longlakeltd.com/</t>
        </is>
      </c>
      <c r="S57" s="9" t="inlineStr">
        <is>
          <t>Numbered plans across 22 communities, and it develops its own land, so a pilot needs nobody else's permission.</t>
        </is>
      </c>
      <c r="T57" s="6" t="inlineStr"/>
      <c r="U57" s="9" t="inlineStr">
        <is>
          <t>Woodmere is Long Lake's own land arm, so this seat buys the ground the plans go on.</t>
        </is>
      </c>
      <c r="V57" s="6" t="inlineStr">
        <is>
          <t>https://wolffcompanies.com/news/in-off-market-deal-long-lake-buys-494-acres-next-to-bridgeland-for-new-community/</t>
        </is>
      </c>
      <c r="W57" s="6" t="inlineStr"/>
      <c r="X57" s="6" t="inlineStr"/>
      <c r="Y57" s="6" t="inlineStr"/>
      <c r="Z57" s="6" t="inlineStr">
        <is>
          <t>(888) 498-6815</t>
        </is>
      </c>
      <c r="AA57" s="6" t="inlineStr"/>
      <c r="AB57" s="6" t="inlineStr">
        <is>
          <t>https://www.longlakeltd.com/</t>
        </is>
      </c>
      <c r="AC57" s="6" t="inlineStr"/>
      <c r="AD57" s="6" t="inlineStr"/>
    </row>
    <row r="58">
      <c r="A58" s="12" t="inlineStr">
        <is>
          <t>Phillippe Lord</t>
        </is>
      </c>
      <c r="B58" s="12" t="inlineStr">
        <is>
          <t>Meritage Homes Corporation</t>
        </is>
      </c>
      <c r="C58" s="12" t="inlineStr">
        <is>
          <t>Chief Executive Officer</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1,000 homes at Trinity Landing on 45 to 60 foot lots.</t>
        </is>
      </c>
      <c r="K58" s="14" t="inlineStr">
        <is>
          <t>No</t>
        </is>
      </c>
      <c r="L58" s="15" t="inlineStr">
        <is>
          <t>1,428 Houston closings in 2025 sits inside the 400 to 1,500 band, but a national builder buys through a corporate purchasing desk.</t>
        </is>
      </c>
      <c r="M58" s="14" t="inlineStr">
        <is>
          <t>Partly</t>
        </is>
      </c>
      <c r="N58" s="15" t="inlineStr">
        <is>
          <t>A sub-110-day construction cycle held for four quarters. Nothing on wall systems.</t>
        </is>
      </c>
      <c r="O58" s="6" t="inlineStr">
        <is>
          <t>https://www.linkedin.com/in/phillippe-lord-72924012/</t>
        </is>
      </c>
      <c r="P58" s="12" t="inlineStr"/>
      <c r="Q58" s="16">
        <f>IF(O58="","ADD LINKEDIN","ok")</f>
        <v/>
      </c>
      <c r="R58" s="12" t="inlineStr">
        <is>
          <t>https://www.meritagehomes.com/</t>
        </is>
      </c>
      <c r="S58" s="15" t="inlineStr">
        <is>
          <t>1,000 homes at Trinity Landing and a sub-110-day cycle held four quarters.</t>
        </is>
      </c>
      <c r="T58" s="12" t="inlineStr"/>
      <c r="U58" s="15" t="inlineStr">
        <is>
          <t>CEO, EVP at Meritage Homes.</t>
        </is>
      </c>
      <c r="V58" s="12" t="inlineStr"/>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Hilla Sferruzza</t>
        </is>
      </c>
      <c r="B59" s="6" t="inlineStr">
        <is>
          <t>Meritage Homes Corporation</t>
        </is>
      </c>
      <c r="C59" s="6" t="inlineStr">
        <is>
          <t>Executive Vice President and Chief Financial Officer</t>
        </is>
      </c>
      <c r="D59" s="7" t="inlineStr">
        <is>
          <t>One gap</t>
        </is>
      </c>
      <c r="E59" s="8" t="n">
        <v>2</v>
      </c>
      <c r="F59" s="6" t="inlineStr">
        <is>
          <t>Buys walls</t>
        </is>
      </c>
      <c r="G59" s="6" t="inlineStr">
        <is>
          <t>Scottsdale HQ / Liberty, Harris</t>
        </is>
      </c>
      <c r="H59" s="6" t="inlineStr">
        <is>
          <t>1,428 Houston closings in 2025, fourth in the metro</t>
        </is>
      </c>
      <c r="I59" s="8" t="inlineStr">
        <is>
          <t>Yes</t>
        </is>
      </c>
      <c r="J59" s="9" t="inlineStr">
        <is>
          <t>1,000 homes at Trinity Landing on 45 to 60 foot lots.</t>
        </is>
      </c>
      <c r="K59" s="8" t="inlineStr">
        <is>
          <t>No</t>
        </is>
      </c>
      <c r="L59" s="9" t="inlineStr">
        <is>
          <t>1,428 Houston closings in 2025 sits inside the 400 to 1,500 band, but a national builder buys through a corporate purchasing desk.</t>
        </is>
      </c>
      <c r="M59" s="8" t="inlineStr">
        <is>
          <t>Partly</t>
        </is>
      </c>
      <c r="N59" s="9" t="inlineStr">
        <is>
          <t>A sub-110-day construction cycle held for four quarters. Nothing on wall systems.</t>
        </is>
      </c>
      <c r="O59" s="10" t="inlineStr"/>
      <c r="P59" s="6">
        <f>HYPERLINK("https://www.linkedin.com/search/results/people/?keywords=Hilla%20Sferruzza%20Meritage%20Homes%20Corporation","search")</f>
        <v/>
      </c>
      <c r="Q59" s="11">
        <f>IF(O59="","ADD LINKEDIN","ok")</f>
        <v/>
      </c>
      <c r="R59" s="6" t="inlineStr">
        <is>
          <t>https://www.meritagehomes.com/</t>
        </is>
      </c>
      <c r="S59" s="9" t="inlineStr">
        <is>
          <t>1,000 homes at Trinity Landing and a sub-110-day cycle held four quarters.</t>
        </is>
      </c>
      <c r="T59" s="6" t="inlineStr"/>
      <c r="U59" s="9" t="inlineStr"/>
      <c r="V59" s="6" t="inlineStr">
        <is>
          <t>https://investors.meritagehomes.com/company-information/management-team</t>
        </is>
      </c>
      <c r="W59" s="6" t="inlineStr">
        <is>
          <t>https://www.linkedin.com/company/meritage-homes</t>
        </is>
      </c>
      <c r="X59" s="6" t="inlineStr">
        <is>
          <t>https://investors.meritagehomes.com/company-information/management-team</t>
        </is>
      </c>
      <c r="Y59" s="6" t="inlineStr"/>
      <c r="Z59" s="6" t="inlineStr">
        <is>
          <t>(833) 684-6527</t>
        </is>
      </c>
      <c r="AA59" s="6" t="inlineStr">
        <is>
          <t>warranty</t>
        </is>
      </c>
      <c r="AB59" s="6" t="inlineStr">
        <is>
          <t>https://www.meritagehomes.com/company/contact</t>
        </is>
      </c>
      <c r="AC59" s="6" t="inlineStr"/>
      <c r="AD59" s="6" t="inlineStr"/>
    </row>
    <row r="60">
      <c r="A60" s="12" t="inlineStr">
        <is>
          <t>Steven J. Hilton</t>
        </is>
      </c>
      <c r="B60" s="12" t="inlineStr">
        <is>
          <t>Meritage Homes Corporation</t>
        </is>
      </c>
      <c r="C60" s="12" t="inlineStr">
        <is>
          <t>Executive Chairman of the Board</t>
        </is>
      </c>
      <c r="D60" s="13" t="inlineStr">
        <is>
          <t>One gap</t>
        </is>
      </c>
      <c r="E60" s="14" t="n">
        <v>2</v>
      </c>
      <c r="F60" s="12" t="inlineStr">
        <is>
          <t>Buys walls</t>
        </is>
      </c>
      <c r="G60" s="12" t="inlineStr">
        <is>
          <t>Scottsdale HQ / Liberty, Harris</t>
        </is>
      </c>
      <c r="H60" s="12" t="inlineStr">
        <is>
          <t>1,428 Houston closings in 2025, fourth in the metro</t>
        </is>
      </c>
      <c r="I60" s="14" t="inlineStr">
        <is>
          <t>Yes</t>
        </is>
      </c>
      <c r="J60" s="15" t="inlineStr">
        <is>
          <t>1,000 homes at Trinity Landing on 45 to 60 foot lots.</t>
        </is>
      </c>
      <c r="K60" s="14" t="inlineStr">
        <is>
          <t>No</t>
        </is>
      </c>
      <c r="L60" s="15" t="inlineStr">
        <is>
          <t>1,428 Houston closings in 2025 sits inside the 400 to 1,500 band, but a national builder buys through a corporate purchasing desk.</t>
        </is>
      </c>
      <c r="M60" s="14" t="inlineStr">
        <is>
          <t>Partly</t>
        </is>
      </c>
      <c r="N60" s="15" t="inlineStr">
        <is>
          <t>A sub-110-day construction cycle held for four quarters. Nothing on wall systems.</t>
        </is>
      </c>
      <c r="O60" s="10" t="inlineStr"/>
      <c r="P60" s="12">
        <f>HYPERLINK("https://www.linkedin.com/search/results/people/?keywords=Steven%20J.%20Hilton%20Meritage%20Homes%20Corporation","search")</f>
        <v/>
      </c>
      <c r="Q60" s="16">
        <f>IF(O60="","ADD LINKEDIN","ok")</f>
        <v/>
      </c>
      <c r="R60" s="12" t="inlineStr">
        <is>
          <t>https://www.meritagehomes.com/</t>
        </is>
      </c>
      <c r="S60" s="15" t="inlineStr">
        <is>
          <t>1,000 homes at Trinity Landing and a sub-110-day cycle held four quarters.</t>
        </is>
      </c>
      <c r="T60" s="12" t="inlineStr"/>
      <c r="U60" s="15" t="inlineStr"/>
      <c r="V60" s="12" t="inlineStr">
        <is>
          <t>https://investors.meritagehomes.com/company-information/management-team</t>
        </is>
      </c>
      <c r="W60" s="12" t="inlineStr">
        <is>
          <t>https://www.linkedin.com/company/meritage-homes</t>
        </is>
      </c>
      <c r="X60" s="12" t="inlineStr">
        <is>
          <t>https://investors.meritagehomes.com/company-information/management-team</t>
        </is>
      </c>
      <c r="Y60" s="12" t="inlineStr"/>
      <c r="Z60" s="12" t="inlineStr">
        <is>
          <t>(833) 684-6527</t>
        </is>
      </c>
      <c r="AA60" s="12" t="inlineStr">
        <is>
          <t>warranty</t>
        </is>
      </c>
      <c r="AB60" s="12" t="inlineStr">
        <is>
          <t>https://www.meritagehomes.com/company/contact</t>
        </is>
      </c>
      <c r="AC60" s="12" t="inlineStr"/>
      <c r="AD60" s="12" t="inlineStr"/>
    </row>
    <row r="61">
      <c r="A61" s="6" t="inlineStr">
        <is>
          <t>no contact identified</t>
        </is>
      </c>
      <c r="B61" s="6" t="inlineStr">
        <is>
          <t>Smith Douglas Homes</t>
        </is>
      </c>
      <c r="C61" s="6" t="inlineStr"/>
      <c r="D61" s="7" t="inlineStr">
        <is>
          <t>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10" t="inlineStr"/>
      <c r="P61" s="6" t="inlineStr"/>
      <c r="Q61" s="11">
        <f>IF(O61="","ADD LINKEDIN","ok")</f>
        <v/>
      </c>
      <c r="R61" s="6" t="inlineStr">
        <is>
          <t>https://www.smithdouglas.com/</t>
        </is>
      </c>
      <c r="S61" s="9" t="inlineStr">
        <is>
          <t>Fifteen communities of standardised entry-level product, now inside a listed builder. The Houston purchasing structure is not published.</t>
        </is>
      </c>
      <c r="T61" s="6" t="inlineStr"/>
      <c r="U61" s="9" t="inlineStr"/>
      <c r="V61" s="6" t="inlineStr"/>
      <c r="W61" s="6" t="inlineStr"/>
      <c r="X61" s="6" t="inlineStr"/>
      <c r="Y61" s="6" t="inlineStr"/>
      <c r="Z61" s="6" t="inlineStr">
        <is>
          <t>(877) 552-3727</t>
        </is>
      </c>
      <c r="AA61" s="6" t="inlineStr"/>
      <c r="AB61" s="6" t="inlineStr">
        <is>
          <t>https://www.smithdouglas.com/</t>
        </is>
      </c>
      <c r="AC61" s="6" t="inlineStr"/>
      <c r="AD61" s="6" t="inlineStr"/>
    </row>
    <row r="62">
      <c r="A62" s="12" t="inlineStr">
        <is>
          <t>Dan Miller</t>
        </is>
      </c>
      <c r="B62" s="12" t="inlineStr">
        <is>
          <t>Camillo Companies (SimplyHome / Legend Homes)</t>
        </is>
      </c>
      <c r="C62" s="12" t="inlineStr">
        <is>
          <t>Chief Executive Officer</t>
        </is>
      </c>
      <c r="D62" s="13" t="inlineStr">
        <is>
          <t>One gap</t>
        </is>
      </c>
      <c r="E62" s="14" t="n">
        <v>2</v>
      </c>
      <c r="F62" s="12" t="inlineStr">
        <is>
          <t>Buys walls</t>
        </is>
      </c>
      <c r="G62" s="12" t="inlineStr">
        <is>
          <t>Houston HQ, Harris County</t>
        </is>
      </c>
      <c r="H62" s="12" t="inlineStr">
        <is>
          <t>10,000th rental home, May 2023</t>
        </is>
      </c>
      <c r="I62" s="14" t="inlineStr">
        <is>
          <t>Yes</t>
        </is>
      </c>
      <c r="J62" s="15" t="inlineStr">
        <is>
          <t>Three brands and a lot bank of 25,000 to 35,000 residential lots held at any time.</t>
        </is>
      </c>
      <c r="K62" s="14" t="inlineStr">
        <is>
          <t>Partly</t>
        </is>
      </c>
      <c r="L62" s="15" t="inlineStr">
        <is>
          <t>The rental portfolio passed its ten thousandth home in May 2023, far above one machine, though the build-and-hold model is the right shape.</t>
        </is>
      </c>
      <c r="M62" s="14" t="inlineStr">
        <is>
          <t>No</t>
        </is>
      </c>
      <c r="N62" s="15" t="inlineStr">
        <is>
          <t>No construction-method statement found anywhere.</t>
        </is>
      </c>
      <c r="O62" s="10" t="inlineStr"/>
      <c r="P62" s="12">
        <f>HYPERLINK("https://www.linkedin.com/search/results/people/?keywords=Dan%20Miller%20Camillo%20Companies","search")</f>
        <v/>
      </c>
      <c r="Q62" s="16">
        <f>IF(O62="","ADD LINKEDIN","ok")</f>
        <v/>
      </c>
      <c r="R62" s="12" t="inlineStr">
        <is>
          <t>https://www.camillocompanies.com/</t>
        </is>
      </c>
      <c r="S62" s="15" t="inlineStr">
        <is>
          <t>10,800 rental homes across 115 communities, built and held.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Lee Darnold</t>
        </is>
      </c>
      <c r="B63" s="6" t="inlineStr">
        <is>
          <t>Camillo Companies (SimplyHome / Legend Homes)</t>
        </is>
      </c>
      <c r="C63" s="6" t="inlineStr">
        <is>
          <t>President, Legend Homes by Camillo</t>
        </is>
      </c>
      <c r="D63" s="7" t="inlineStr">
        <is>
          <t>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10" t="inlineStr"/>
      <c r="P63" s="6">
        <f>HYPERLINK("https://www.linkedin.com/search/results/people/?keywords=Lee%20Darnold%20Camillo%20Companies","search")</f>
        <v/>
      </c>
      <c r="Q63" s="11">
        <f>IF(O63="","ADD LINKEDIN","ok")</f>
        <v/>
      </c>
      <c r="R63" s="6" t="inlineStr">
        <is>
          <t>https://www.camillocompanies.com/</t>
        </is>
      </c>
      <c r="S63" s="9" t="inlineStr">
        <is>
          <t>10,800 rental homes across 115 communities, built and held.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Sean Mulroony</t>
        </is>
      </c>
      <c r="B64" s="12" t="inlineStr">
        <is>
          <t>Camillo Companies (SimplyHome / Legend Homes)</t>
        </is>
      </c>
      <c r="C64" s="12" t="inlineStr">
        <is>
          <t>President, Academy Development by Camillo</t>
        </is>
      </c>
      <c r="D64" s="13" t="inlineStr">
        <is>
          <t>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0" t="inlineStr"/>
      <c r="P64" s="12">
        <f>HYPERLINK("https://www.linkedin.com/search/results/people/?keywords=Sean%20Mulroony%20Camillo%20Companies","search")</f>
        <v/>
      </c>
      <c r="Q64" s="16">
        <f>IF(O64="","ADD LINKEDIN","ok")</f>
        <v/>
      </c>
      <c r="R64" s="12" t="inlineStr">
        <is>
          <t>https://www.camillocompanies.com/</t>
        </is>
      </c>
      <c r="S64" s="15" t="inlineStr">
        <is>
          <t>10,800 rental homes across 115 communities, built and held.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Jomar Ereso</t>
        </is>
      </c>
      <c r="B65" s="6" t="inlineStr">
        <is>
          <t>Camillo Companies (SimplyHome / Legend Homes)</t>
        </is>
      </c>
      <c r="C65" s="6" t="inlineStr">
        <is>
          <t>Chief Financial Officer</t>
        </is>
      </c>
      <c r="D65" s="7" t="inlineStr">
        <is>
          <t>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10" t="inlineStr"/>
      <c r="P65" s="6">
        <f>HYPERLINK("https://www.linkedin.com/search/results/people/?keywords=Jomar%20Ereso%20Camillo%20Companies","search")</f>
        <v/>
      </c>
      <c r="Q65" s="11">
        <f>IF(O65="","ADD LINKEDIN","ok")</f>
        <v/>
      </c>
      <c r="R65" s="6" t="inlineStr">
        <is>
          <t>https://www.camillocompanies.com/</t>
        </is>
      </c>
      <c r="S65" s="9" t="inlineStr">
        <is>
          <t>10,800 rental homes across 115 communities, built and held.</t>
        </is>
      </c>
      <c r="T65" s="6" t="inlineStr"/>
      <c r="U65" s="9" t="inlineStr"/>
      <c r="V65" s="6" t="inlineStr">
        <is>
          <t>https://www.camillocompanies.com/about-us</t>
        </is>
      </c>
      <c r="W65" s="6" t="inlineStr">
        <is>
          <t>https://www.linkedin.com/company/camillo-companies</t>
        </is>
      </c>
      <c r="X65" s="6" t="inlineStr">
        <is>
          <t>https://www.camillocompanies.com/about-us</t>
        </is>
      </c>
      <c r="Y65" s="6" t="inlineStr"/>
      <c r="Z65" s="6" t="inlineStr">
        <is>
          <t>(888) 234-9451</t>
        </is>
      </c>
      <c r="AA65" s="6" t="inlineStr"/>
      <c r="AB65" s="6" t="inlineStr">
        <is>
          <t>https://www.camillocompanies.com/</t>
        </is>
      </c>
      <c r="AC65" s="6" t="inlineStr"/>
      <c r="AD65" s="6" t="inlineStr"/>
    </row>
    <row r="66">
      <c r="A66" s="12" t="inlineStr">
        <is>
          <t>Lance Wright</t>
        </is>
      </c>
      <c r="B66" s="12" t="inlineStr">
        <is>
          <t>CastleRock Communities</t>
        </is>
      </c>
      <c r="C66" s="12" t="inlineStr">
        <is>
          <t>Chief Executive Officer and Founding Partner</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 homes since 2004, 1,600 closed in a single year.</t>
        </is>
      </c>
      <c r="K66" s="14" t="inlineStr">
        <is>
          <t>Partly</t>
        </is>
      </c>
      <c r="L66" s="15" t="inlineStr">
        <is>
          <t>1,465 closings in 2025 on the Builder 100 sits inside the 400 to 1,500 band.</t>
        </is>
      </c>
      <c r="M66" s="14" t="inlineStr">
        <is>
          <t>No</t>
        </is>
      </c>
      <c r="N66" s="15" t="inlineStr">
        <is>
          <t>Daiwa House holds the majority and is an industrialised builder in Japan. Nothing published connects that to CastleRock's own method.</t>
        </is>
      </c>
      <c r="O66" s="10" t="inlineStr"/>
      <c r="P66" s="12">
        <f>HYPERLINK("https://www.linkedin.com/search/results/people/?keywords=Lance%20Wright%20CastleRock%20Communities","search")</f>
        <v/>
      </c>
      <c r="Q66" s="16">
        <f>IF(O66="","ADD LINKEDIN","ok")</f>
        <v/>
      </c>
      <c r="R66" s="12" t="inlineStr">
        <is>
          <t>https://www.c-rock.com/</t>
        </is>
      </c>
      <c r="S66" s="15" t="inlineStr">
        <is>
          <t>Daiwa House holds 80 percent, and CastleRock publishes no method content.</t>
        </is>
      </c>
      <c r="T66" s="12" t="inlineStr"/>
      <c r="U66" s="15" t="inlineStr"/>
      <c r="V66" s="12" t="inlineStr">
        <is>
          <t>https://www.c-rock.com/about</t>
        </is>
      </c>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Kirk Breitenwischer</t>
        </is>
      </c>
      <c r="B67" s="6" t="inlineStr">
        <is>
          <t>CastleRock Communities</t>
        </is>
      </c>
      <c r="C67" s="6" t="inlineStr">
        <is>
          <t>Senior Executive Vice President</t>
        </is>
      </c>
      <c r="D67" s="7" t="inlineStr">
        <is>
          <t>One gap</t>
        </is>
      </c>
      <c r="E67" s="8" t="n">
        <v>2</v>
      </c>
      <c r="F67" s="6" t="inlineStr">
        <is>
          <t>Buys walls</t>
        </is>
      </c>
      <c r="G67" s="6" t="inlineStr">
        <is>
          <t>Houston HQ / Fort Bend</t>
        </is>
      </c>
      <c r="H67" s="6" t="inlineStr">
        <is>
          <t>1,465 closings company-wide in 2025</t>
        </is>
      </c>
      <c r="I67" s="8" t="inlineStr">
        <is>
          <t>Yes</t>
        </is>
      </c>
      <c r="J67" s="9" t="inlineStr">
        <is>
          <t>20,000 homes since 2004, 1,600 closed in a single year.</t>
        </is>
      </c>
      <c r="K67" s="8" t="inlineStr">
        <is>
          <t>Partly</t>
        </is>
      </c>
      <c r="L67" s="9" t="inlineStr">
        <is>
          <t>1,465 closings in 2025 on the Builder 100 sits inside the 400 to 1,500 band.</t>
        </is>
      </c>
      <c r="M67" s="8" t="inlineStr">
        <is>
          <t>No</t>
        </is>
      </c>
      <c r="N67" s="9" t="inlineStr">
        <is>
          <t>Daiwa House holds the majority and is an industrialised builder in Japan. Nothing published connects that to CastleRock's own method.</t>
        </is>
      </c>
      <c r="O67" s="6" t="inlineStr">
        <is>
          <t>https://www.linkedin.com/in/kirk-breitenwischer-32778312/</t>
        </is>
      </c>
      <c r="P67" s="6" t="inlineStr"/>
      <c r="Q67" s="11">
        <f>IF(O67="","ADD LINKEDIN","ok")</f>
        <v/>
      </c>
      <c r="R67" s="6" t="inlineStr">
        <is>
          <t>https://www.c-rock.com/</t>
        </is>
      </c>
      <c r="S67" s="9" t="inlineStr">
        <is>
          <t>Daiwa House holds 80 percent, and CastleRock publishes no method content.</t>
        </is>
      </c>
      <c r="T67" s="6" t="inlineStr"/>
      <c r="U67" s="9" t="inlineStr">
        <is>
          <t>VP at Castlerock Communities. Houston, Texas. The headline gives no function.</t>
        </is>
      </c>
      <c r="V67" s="6" t="inlineStr"/>
      <c r="W67" s="6" t="inlineStr">
        <is>
          <t>https://www.linkedin.com/company/castlerock-communities</t>
        </is>
      </c>
      <c r="X67" s="6" t="inlineStr">
        <is>
          <t>https://www.c-rock.com/about</t>
        </is>
      </c>
      <c r="Y67" s="6" t="inlineStr"/>
      <c r="Z67" s="6" t="inlineStr">
        <is>
          <t>(713) 600-7000</t>
        </is>
      </c>
      <c r="AA67" s="6" t="inlineStr"/>
      <c r="AB67" s="6" t="inlineStr">
        <is>
          <t>https://www.c-rock.com/</t>
        </is>
      </c>
      <c r="AC67" s="6" t="inlineStr"/>
      <c r="AD67" s="6" t="inlineStr"/>
    </row>
    <row r="68">
      <c r="A68" s="12" t="inlineStr">
        <is>
          <t>Todd Wood</t>
        </is>
      </c>
      <c r="B68" s="12" t="inlineStr">
        <is>
          <t>Christopher Todd Communities</t>
        </is>
      </c>
      <c r="C68" s="12" t="inlineStr">
        <is>
          <t>Chief Executive Officer and Founder</t>
        </is>
      </c>
      <c r="D68" s="13" t="inlineStr">
        <is>
          <t>One gap</t>
        </is>
      </c>
      <c r="E68" s="14" t="n">
        <v>2</v>
      </c>
      <c r="F68" s="12" t="inlineStr">
        <is>
          <t>Buys walls</t>
        </is>
      </c>
      <c r="G68" s="12" t="inlineStr">
        <is>
          <t>Mesa HQ / Montgomery, Harris</t>
        </is>
      </c>
      <c r="H68" s="12" t="inlineStr">
        <is>
          <t>314 homes Conroe, 240 homes Cypress</t>
        </is>
      </c>
      <c r="I68" s="14" t="inlineStr">
        <is>
          <t>Partly</t>
        </is>
      </c>
      <c r="J68" s="15" t="inlineStr">
        <is>
          <t>314 homes in Conroe and 240 in Cypress.</t>
        </is>
      </c>
      <c r="K68" s="14" t="inlineStr">
        <is>
          <t>Yes</t>
        </is>
      </c>
      <c r="L68" s="15" t="inlineStr">
        <is>
          <t>240 homes on nineteen acres in Cypress, built to hold. One machine covers a community at a time.</t>
        </is>
      </c>
      <c r="M68" s="14" t="inlineStr">
        <is>
          <t>No</t>
        </is>
      </c>
      <c r="N68" s="15" t="inlineStr">
        <is>
          <t>Its stated technology package is smart-home fittings, not structure.</t>
        </is>
      </c>
      <c r="O68" s="10" t="inlineStr"/>
      <c r="P68" s="12">
        <f>HYPERLINK("https://www.linkedin.com/search/results/people/?keywords=Todd%20Wood%20Christopher%20Todd%20Communities","search")</f>
        <v/>
      </c>
      <c r="Q68" s="16">
        <f>IF(O68="","ADD LINKEDIN","ok")</f>
        <v/>
      </c>
      <c r="R68" s="12" t="inlineStr">
        <is>
          <t>https://www.christophertodd.com/</t>
        </is>
      </c>
      <c r="S68" s="15" t="inlineStr">
        <is>
          <t>A stated shift to self-development. Its declared technology is smart-home fittings.</t>
        </is>
      </c>
      <c r="T68" s="12" t="inlineStr"/>
      <c r="U68" s="15" t="inlineStr">
        <is>
          <t>Founded Christopher Todd Communities in 2016, after selling an organic bakery.</t>
        </is>
      </c>
      <c r="V68" s="12" t="inlineStr">
        <is>
          <t>https://www.christophertodd.com/our-story/</t>
        </is>
      </c>
      <c r="W68" s="12" t="inlineStr">
        <is>
          <t>https://www.linkedin.com/company/christopher-todd-communities</t>
        </is>
      </c>
      <c r="X68" s="12" t="inlineStr">
        <is>
          <t>https://www.christophertodd.com/our-story/</t>
        </is>
      </c>
      <c r="Y68" s="12" t="inlineStr"/>
      <c r="Z68" s="12" t="inlineStr">
        <is>
          <t>(480) 428-8994</t>
        </is>
      </c>
      <c r="AA68" s="12" t="inlineStr">
        <is>
          <t>published in the privacy notice</t>
        </is>
      </c>
      <c r="AB68" s="12" t="inlineStr">
        <is>
          <t>https://www.christophertodd.com/</t>
        </is>
      </c>
      <c r="AC68" s="12" t="inlineStr"/>
      <c r="AD68" s="12" t="inlineStr"/>
    </row>
    <row r="69">
      <c r="A69" s="6" t="inlineStr">
        <is>
          <t>Brent Long</t>
        </is>
      </c>
      <c r="B69" s="6" t="inlineStr">
        <is>
          <t>Christopher Todd Communities</t>
        </is>
      </c>
      <c r="C69" s="6" t="inlineStr">
        <is>
          <t>President, Christopher Todd Capital</t>
        </is>
      </c>
      <c r="D69" s="7" t="inlineStr">
        <is>
          <t>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10" t="inlineStr"/>
      <c r="P69" s="6">
        <f>HYPERLINK("https://www.linkedin.com/search/results/people/?keywords=Brent%20Long%20Christopher%20Todd%20Communities","search")</f>
        <v/>
      </c>
      <c r="Q69" s="11">
        <f>IF(O69="","ADD LINKEDIN","ok")</f>
        <v/>
      </c>
      <c r="R69" s="6" t="inlineStr">
        <is>
          <t>https://www.christophertodd.com/</t>
        </is>
      </c>
      <c r="S69" s="9" t="inlineStr">
        <is>
          <t>A stated shift to self-development. Its declared technology is smart-home fittings.</t>
        </is>
      </c>
      <c r="T69" s="6" t="inlineStr"/>
      <c r="U69" s="9" t="inlineStr">
        <is>
          <t>Joined as Director of Investment and Land with twenty-five years in multifamily.</t>
        </is>
      </c>
      <c r="V69" s="6" t="inlineStr">
        <is>
          <t>https://www.christophertodd.com/press-releases/brent-long-joins-christopher-todd-as-director-of-investment-and-land/</t>
        </is>
      </c>
      <c r="W69" s="6" t="inlineStr">
        <is>
          <t>https://www.linkedin.com/company/christopher-todd-communities</t>
        </is>
      </c>
      <c r="X69" s="6" t="inlineStr">
        <is>
          <t>https://www.christophertodd.com/our-story/</t>
        </is>
      </c>
      <c r="Y69" s="6" t="inlineStr"/>
      <c r="Z69" s="6" t="inlineStr">
        <is>
          <t>(480) 428-8994</t>
        </is>
      </c>
      <c r="AA69" s="6" t="inlineStr">
        <is>
          <t>published in the privacy notice</t>
        </is>
      </c>
      <c r="AB69" s="6" t="inlineStr">
        <is>
          <t>https://www.christophertodd.com/</t>
        </is>
      </c>
      <c r="AC69" s="6" t="inlineStr"/>
      <c r="AD69" s="6" t="inlineStr"/>
    </row>
    <row r="70">
      <c r="A70" s="12" t="inlineStr">
        <is>
          <t>Franck Boursier</t>
        </is>
      </c>
      <c r="B70" s="12" t="inlineStr">
        <is>
          <t>Everlasting Homes Building Group</t>
        </is>
      </c>
      <c r="C70" s="12" t="inlineStr">
        <is>
          <t>Chief Executive Officer and co-founder</t>
        </is>
      </c>
      <c r="D70" s="13" t="inlineStr">
        <is>
          <t>One gap</t>
        </is>
      </c>
      <c r="E70" s="14" t="n">
        <v>2</v>
      </c>
      <c r="F70" s="12" t="inlineStr">
        <is>
          <t>Buys walls</t>
        </is>
      </c>
      <c r="G70" s="12" t="inlineStr">
        <is>
          <t>Houston, Harris</t>
        </is>
      </c>
      <c r="H70" s="12" t="inlineStr">
        <is>
          <t>Six Houston homes on structural concrete insulated panels</t>
        </is>
      </c>
      <c r="I70" s="14" t="inlineStr">
        <is>
          <t>No</t>
        </is>
      </c>
      <c r="J70" s="15" t="inlineStr">
        <is>
          <t>Custom luxury houses, each designed for its site. Nothing repeats.</t>
        </is>
      </c>
      <c r="K70" s="14" t="inlineStr">
        <is>
          <t>Partly</t>
        </is>
      </c>
      <c r="L70" s="15" t="inlineStr">
        <is>
          <t>No annual volume is published. On the bands, a firm with no published figure is a Partly.</t>
        </is>
      </c>
      <c r="M70" s="14" t="inlineStr">
        <is>
          <t>Yes</t>
        </is>
      </c>
      <c r="N70" s="15" t="inlineStr">
        <is>
          <t>Its entire product is a concrete wall system that was new to this market when it adopted it. It has paid for the method, promoted it on television, and had a house recognised for it.</t>
        </is>
      </c>
      <c r="O70" s="10" t="inlineStr"/>
      <c r="P70" s="12" t="inlineStr"/>
      <c r="Q70" s="16">
        <f>IF(O70="","ADD LINKEDIN","ok")</f>
        <v/>
      </c>
      <c r="R70" s="12" t="inlineStr">
        <is>
          <t>https://www.everlastinghomesgroup.com/</t>
        </is>
      </c>
      <c r="S70" s="15" t="inlineStr">
        <is>
          <t>It already builds every wall out of concrete instead of wood, and has six Houston houses to show for it. The work is custom, so no two plans repeat.</t>
        </is>
      </c>
      <c r="T70" s="12" t="inlineStr">
        <is>
          <t>YES</t>
        </is>
      </c>
      <c r="U70" s="15" t="inlineStr">
        <is>
          <t>The firm's own site carries him as chief executive and a founder in the business record it publishes.</t>
        </is>
      </c>
      <c r="V70" s="12" t="inlineStr">
        <is>
          <t>https://www.everlastinghomesgroup.com/</t>
        </is>
      </c>
      <c r="W70" s="12" t="inlineStr"/>
      <c r="X70" s="12" t="inlineStr"/>
      <c r="Y70" s="12" t="inlineStr"/>
      <c r="Z70" s="12" t="inlineStr">
        <is>
          <t>(281) 915-9791</t>
        </is>
      </c>
      <c r="AA70" s="12" t="inlineStr">
        <is>
          <t>Greater Houston</t>
        </is>
      </c>
      <c r="AB70" s="12" t="inlineStr">
        <is>
          <t>https://www.everlastinghomesgroup.com/</t>
        </is>
      </c>
      <c r="AC70" s="12" t="inlineStr"/>
      <c r="AD70" s="12" t="inlineStr"/>
    </row>
    <row r="71">
      <c r="A71" s="6" t="inlineStr">
        <is>
          <t>George Mock</t>
        </is>
      </c>
      <c r="B71" s="6" t="inlineStr">
        <is>
          <t>Everlasting Homes Building Group</t>
        </is>
      </c>
      <c r="C71" s="6" t="inlineStr">
        <is>
          <t>General Manager</t>
        </is>
      </c>
      <c r="D71" s="7" t="inlineStr">
        <is>
          <t>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10" t="inlineStr"/>
      <c r="P71" s="6" t="inlineStr"/>
      <c r="Q71" s="11">
        <f>IF(O71="","ADD LINKEDIN","ok")</f>
        <v/>
      </c>
      <c r="R71" s="6" t="inlineStr">
        <is>
          <t>https://www.everlastinghomesgroup.com/</t>
        </is>
      </c>
      <c r="S71" s="9" t="inlineStr">
        <is>
          <t>It already builds every wall out of concrete instead of wood, and has six Houston houses to show for it. The work is custom, so no two plans repeat.</t>
        </is>
      </c>
      <c r="T71" s="6" t="inlineStr">
        <is>
          <t>YES</t>
        </is>
      </c>
      <c r="U71" s="9" t="inlineStr">
        <is>
          <t>The firm's own site carries him as general manager and a founder in the business record it publishes.</t>
        </is>
      </c>
      <c r="V71" s="6" t="inlineStr">
        <is>
          <t>https://www.everlastinghomesgroup.com/</t>
        </is>
      </c>
      <c r="W71" s="6" t="inlineStr"/>
      <c r="X71" s="6" t="inlineStr"/>
      <c r="Y71" s="6" t="inlineStr"/>
      <c r="Z71" s="6" t="inlineStr">
        <is>
          <t>(281) 915-9791</t>
        </is>
      </c>
      <c r="AA71" s="6" t="inlineStr">
        <is>
          <t>Greater Houston</t>
        </is>
      </c>
      <c r="AB71" s="6" t="inlineStr">
        <is>
          <t>https://www.everlastinghomesgroup.com/</t>
        </is>
      </c>
      <c r="AC71" s="6" t="inlineStr"/>
      <c r="AD71" s="6" t="inlineStr"/>
    </row>
    <row r="72">
      <c r="A72" s="12" t="inlineStr">
        <is>
          <t>no contact identified</t>
        </is>
      </c>
      <c r="B72" s="12" t="inlineStr">
        <is>
          <t>Live Lone Star</t>
        </is>
      </c>
      <c r="C72" s="12" t="inlineStr"/>
      <c r="D72" s="13" t="inlineStr">
        <is>
          <t>One gap</t>
        </is>
      </c>
      <c r="E72" s="14" t="n">
        <v>2</v>
      </c>
      <c r="F72" s="12" t="inlineStr">
        <is>
          <t>Buys walls</t>
        </is>
      </c>
      <c r="G72" s="12" t="inlineStr">
        <is>
          <t>Houston, working Harris and Brazoria</t>
        </is>
      </c>
      <c r="H72" s="12" t="inlineStr">
        <is>
          <t>Seven communities and about 3,000 lots in development</t>
        </is>
      </c>
      <c r="I72" s="14" t="inlineStr">
        <is>
          <t>Yes</t>
        </is>
      </c>
      <c r="J72" s="15" t="inlineStr">
        <is>
          <t>Seven communities and about 3,000 lots taking the same factory product.</t>
        </is>
      </c>
      <c r="K72" s="14" t="inlineStr">
        <is>
          <t>No</t>
        </is>
      </c>
      <c r="L72" s="15" t="inlineStr">
        <is>
          <t>The homes are bought finished from manufacturers and set on a lot. A site printer does not serve that, whatever the volume.</t>
        </is>
      </c>
      <c r="M72" s="14" t="inlineStr">
        <is>
          <t>Partly</t>
        </is>
      </c>
      <c r="N72" s="15" t="inlineStr">
        <is>
          <t>It built a business on factory-produced housing rather than site-built housing, though it buys the homes rather than making them.</t>
        </is>
      </c>
      <c r="O72" s="10" t="inlineStr"/>
      <c r="P72" s="12" t="inlineStr"/>
      <c r="Q72" s="16">
        <f>IF(O72="","ADD LINKEDIN","ok")</f>
        <v/>
      </c>
      <c r="R72" s="12" t="inlineStr">
        <is>
          <t>no website confirmed</t>
        </is>
      </c>
      <c r="S72" s="15" t="inlineStr">
        <is>
          <t>Its entire model is factory-built housing on land it controls. The product is delivered to the lot rather than built on it.</t>
        </is>
      </c>
      <c r="T72" s="12" t="inlineStr"/>
      <c r="U72" s="15" t="inlineStr"/>
      <c r="V72" s="12" t="inlineStr"/>
      <c r="W72" s="12" t="inlineStr"/>
      <c r="X72" s="12" t="inlineStr"/>
      <c r="Y72" s="12" t="inlineStr"/>
      <c r="Z72" s="12" t="inlineStr"/>
      <c r="AA72" s="12" t="inlineStr"/>
      <c r="AB72" s="12" t="inlineStr"/>
      <c r="AC72" s="12" t="inlineStr"/>
      <c r="AD72" s="12" t="inlineStr"/>
    </row>
    <row r="73">
      <c r="A73" s="6" t="inlineStr">
        <is>
          <t>Ker Thomson</t>
        </is>
      </c>
      <c r="B73" s="6" t="inlineStr">
        <is>
          <t>Nautilus Custom Homes</t>
        </is>
      </c>
      <c r="C73" s="6" t="inlineStr">
        <is>
          <t>Founder and Designer</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is published. On the bands, a firm with no published figure is a Partly.</t>
        </is>
      </c>
      <c r="M73" s="8" t="inlineStr">
        <is>
          <t>Yes</t>
        </is>
      </c>
      <c r="N73" s="9" t="inlineStr">
        <is>
          <t>The predecessor firm examined around 300 products and at least seven wall systems before selecting insulated concrete form, and the resulting Houston house was certified three ways and won Best Large Residential at the 2014 national awards.</t>
        </is>
      </c>
      <c r="O73" s="10" t="inlineStr"/>
      <c r="P73" s="6" t="inlineStr"/>
      <c r="Q73" s="11">
        <f>IF(O73="","ADD LINKEDIN","ok")</f>
        <v/>
      </c>
      <c r="R73" s="6" t="inlineStr">
        <is>
          <t>https://www.nautiluscustomhomes.com/</t>
        </is>
      </c>
      <c r="S73" s="9" t="inlineStr">
        <is>
          <t>Its predecessor firm compared seven wall systems before choosing one, and won a national award for the house that came out of it. The award evidence is a decade old.</t>
        </is>
      </c>
      <c r="T73" s="6" t="inlineStr">
        <is>
          <t>YES</t>
        </is>
      </c>
      <c r="U73" s="9" t="inlineStr">
        <is>
          <t>The firm's own about page: in design and layout since the late 1990s, and in 2007 formed Nautilus's predecessor, Durable Residential Builders, out of a building-systems project with Texas A&amp;M.</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Jim Kuchenbrod</t>
        </is>
      </c>
      <c r="B74" s="12" t="inlineStr">
        <is>
          <t>Nautilus Custom Homes</t>
        </is>
      </c>
      <c r="C74" s="12" t="inlineStr">
        <is>
          <t>Construction lead</t>
        </is>
      </c>
      <c r="D74" s="13" t="inlineStr">
        <is>
          <t>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0" t="inlineStr"/>
      <c r="P74" s="12" t="inlineStr"/>
      <c r="Q74" s="16">
        <f>IF(O74="","ADD LINKEDIN","ok")</f>
        <v/>
      </c>
      <c r="R74" s="12" t="inlineStr">
        <is>
          <t>https://www.nautiluscustomhomes.com/</t>
        </is>
      </c>
      <c r="S74" s="15" t="inlineStr">
        <is>
          <t>Its predecessor firm compared seven wall systems before choosing one, and won a national award for the house that came out of it. The award evidence is a decade old.</t>
        </is>
      </c>
      <c r="T74" s="12" t="inlineStr"/>
      <c r="U74" s="15" t="inlineStr">
        <is>
          <t>The firm's own about page: a navy veteran, in all aspects of residential construction for more than thirty-five years.</t>
        </is>
      </c>
      <c r="V74" s="12" t="inlineStr">
        <is>
          <t>https://www.nautiluscustomhomes.com/about-us</t>
        </is>
      </c>
      <c r="W74" s="12" t="inlineStr"/>
      <c r="X74" s="12" t="inlineStr">
        <is>
          <t>https://www.nautiluscustomhomes.com/about-us</t>
        </is>
      </c>
      <c r="Y74" s="12" t="inlineStr"/>
      <c r="Z74" s="12" t="inlineStr">
        <is>
          <t>(832) 265-7353</t>
        </is>
      </c>
      <c r="AA74" s="12" t="inlineStr"/>
      <c r="AB74" s="12" t="inlineStr">
        <is>
          <t>https://www.nautiluscustomhomes.com/</t>
        </is>
      </c>
      <c r="AC74" s="12" t="inlineStr"/>
      <c r="AD74" s="12" t="inlineStr"/>
    </row>
    <row r="75">
      <c r="A75" s="6" t="inlineStr">
        <is>
          <t>no contact identified</t>
        </is>
      </c>
      <c r="B75" s="6" t="inlineStr">
        <is>
          <t>Seaside Construction</t>
        </is>
      </c>
      <c r="C75" s="6" t="inlineStr"/>
      <c r="D75" s="7" t="inlineStr">
        <is>
          <t>One gap</t>
        </is>
      </c>
      <c r="E75" s="8" t="n">
        <v>2</v>
      </c>
      <c r="F75" s="6" t="inlineStr">
        <is>
          <t>Buys walls</t>
        </is>
      </c>
      <c r="G75" s="6" t="inlineStr">
        <is>
          <t>Galveston, Galveston County</t>
        </is>
      </c>
      <c r="H75" s="6" t="inlineStr">
        <is>
          <t>Adopted insulated concrete form in 2019 for coastal work</t>
        </is>
      </c>
      <c r="I75" s="8" t="inlineStr">
        <is>
          <t>No</t>
        </is>
      </c>
      <c r="J75" s="9" t="inlineStr">
        <is>
          <t>Custom beach houses, each one different.</t>
        </is>
      </c>
      <c r="K75" s="8" t="inlineStr">
        <is>
          <t>Partly</t>
        </is>
      </c>
      <c r="L75" s="9" t="inlineStr">
        <is>
          <t>No annual volume is published. On the bands, a firm with no published figure is a Partly.</t>
        </is>
      </c>
      <c r="M75" s="8" t="inlineStr">
        <is>
          <t>Yes</t>
        </is>
      </c>
      <c r="N75" s="9" t="inlineStr">
        <is>
          <t>It adopted insulated concrete form in 2019 and states the coastal reasons for the change on its own site.</t>
        </is>
      </c>
      <c r="O75" s="10" t="inlineStr"/>
      <c r="P75" s="6" t="inlineStr"/>
      <c r="Q75" s="11">
        <f>IF(O75="","ADD LINKEDIN","ok")</f>
        <v/>
      </c>
      <c r="R75" s="6" t="inlineStr">
        <is>
          <t>https://seaside-construction.com/</t>
        </is>
      </c>
      <c r="S75" s="9" t="inlineStr">
        <is>
          <t>It changed its wall method seven years ago, on purpose, because of the coast. Custom work, so no plan repeats.</t>
        </is>
      </c>
      <c r="T75" s="6" t="inlineStr"/>
      <c r="U75" s="9" t="inlineStr"/>
      <c r="V75" s="6" t="inlineStr"/>
      <c r="W75" s="6" t="inlineStr"/>
      <c r="X75" s="6" t="inlineStr"/>
      <c r="Y75" s="6" t="inlineStr"/>
      <c r="Z75" s="6" t="inlineStr">
        <is>
          <t>(409) 256-4888</t>
        </is>
      </c>
      <c r="AA75" s="6" t="inlineStr">
        <is>
          <t>office</t>
        </is>
      </c>
      <c r="AB75" s="6" t="inlineStr">
        <is>
          <t>https://seaside-construction.com/</t>
        </is>
      </c>
      <c r="AC75" s="6" t="inlineStr"/>
      <c r="AD75" s="6" t="inlineStr"/>
    </row>
    <row r="76">
      <c r="A76" s="12" t="inlineStr">
        <is>
          <t>Edward E. Martin Jr.</t>
        </is>
      </c>
      <c r="B76" s="12" t="inlineStr">
        <is>
          <t>Tilson Home Corporation</t>
        </is>
      </c>
      <c r="C76" s="12" t="inlineStr">
        <is>
          <t>Chief Executive Officer</t>
        </is>
      </c>
      <c r="D76" s="13" t="inlineStr">
        <is>
          <t>One gap</t>
        </is>
      </c>
      <c r="E76" s="14" t="n">
        <v>2</v>
      </c>
      <c r="F76" s="12" t="inlineStr">
        <is>
          <t>Buys walls</t>
        </is>
      </c>
      <c r="G76" s="12" t="inlineStr">
        <is>
          <t>Houston / Spring, Katy, Willis, Angleton</t>
        </is>
      </c>
      <c r="H76" s="12" t="inlineStr">
        <is>
          <t>425 closings in 2024 across Texas, 12 design centers</t>
        </is>
      </c>
      <c r="I76" s="14" t="inlineStr">
        <is>
          <t>Yes</t>
        </is>
      </c>
      <c r="J76" s="15" t="inlineStr">
        <is>
          <t>One plan set sold from twelve design centers and built on lots the buyer already owns.</t>
        </is>
      </c>
      <c r="K76" s="14" t="inlineStr">
        <is>
          <t>Partly</t>
        </is>
      </c>
      <c r="L76" s="15" t="inlineStr">
        <is>
          <t>425 closings a year sits inside the band one or two printers cover. The lots are scattered, so every house is a separate set-up.</t>
        </is>
      </c>
      <c r="M76" s="14" t="inlineStr">
        <is>
          <t>No</t>
        </is>
      </c>
      <c r="N76" s="15" t="inlineStr">
        <is>
          <t>Nothing on record. It publishes its wall specification and it is stick frame.</t>
        </is>
      </c>
      <c r="O76" s="10" t="inlineStr"/>
      <c r="P76" s="12">
        <f>HYPERLINK("https://www.linkedin.com/search/results/people/?keywords=Edward%20E.%20Martin%20Jr.%20Tilson%20Home%20Corporation","search")</f>
        <v/>
      </c>
      <c r="Q76" s="16">
        <f>IF(O76="","ADD LINKEDIN","ok")</f>
        <v/>
      </c>
      <c r="R76" s="12" t="inlineStr">
        <is>
          <t>https://www.tilsonhomes.com/</t>
        </is>
      </c>
      <c r="S76" s="15" t="inlineStr">
        <is>
          <t>One plan set repeated on scattered lots, and it funds its own construction, so a method change needs no lender.</t>
        </is>
      </c>
      <c r="T76" s="12" t="inlineStr"/>
      <c r="U76" s="15" t="inlineStr"/>
      <c r="V76" s="12" t="inlineStr">
        <is>
          <t>https://www.builderonline.com/firms/tilson-homes/</t>
        </is>
      </c>
      <c r="W76" s="12" t="inlineStr"/>
      <c r="X76" s="12" t="inlineStr"/>
      <c r="Y76" s="12" t="inlineStr"/>
      <c r="Z76" s="12" t="inlineStr">
        <is>
          <t>(346) 263-0547</t>
        </is>
      </c>
      <c r="AA76" s="12" t="inlineStr"/>
      <c r="AB76" s="12" t="inlineStr">
        <is>
          <t>https://www.tilsonhomes.com/</t>
        </is>
      </c>
      <c r="AC76" s="12" t="inlineStr"/>
      <c r="AD76" s="12" t="inlineStr"/>
    </row>
    <row r="77">
      <c r="A77" s="6" t="inlineStr">
        <is>
          <t>Jason Golan</t>
        </is>
      </c>
      <c r="B77" s="6" t="inlineStr">
        <is>
          <t>Westin Homes</t>
        </is>
      </c>
      <c r="C77" s="6" t="inlineStr">
        <is>
          <t>President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6" t="inlineStr">
        <is>
          <t>https://www.linkedin.com/in/jason-golan-0874a241/</t>
        </is>
      </c>
      <c r="P77" s="6" t="inlineStr"/>
      <c r="Q77" s="11">
        <f>IF(O77="","ADD LINKEDIN","ok")</f>
        <v/>
      </c>
      <c r="R77" s="6" t="inlineStr">
        <is>
          <t>https://www.westin-homes.com/</t>
        </is>
      </c>
      <c r="S77" s="9" t="inlineStr">
        <is>
          <t>Across the south suburban masterplans, with a named vice president of construction.</t>
        </is>
      </c>
      <c r="T77" s="6" t="inlineStr"/>
      <c r="U77" s="9" t="inlineStr">
        <is>
          <t>Indexed title reads Jason Golan, President at Westin Homes. The firm's own twentieth-anniversary release calls him Founder and Owner.</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Diane Danilov</t>
        </is>
      </c>
      <c r="B78" s="12" t="inlineStr">
        <is>
          <t>Westin Homes</t>
        </is>
      </c>
      <c r="C78" s="12" t="inlineStr">
        <is>
          <t>Vice President of Land and Business Development</t>
        </is>
      </c>
      <c r="D78" s="13" t="inlineStr">
        <is>
          <t>One gap</t>
        </is>
      </c>
      <c r="E78" s="14" t="n">
        <v>2</v>
      </c>
      <c r="F78" s="12" t="inlineStr">
        <is>
          <t>Buys walls</t>
        </is>
      </c>
      <c r="G78" s="12" t="inlineStr">
        <is>
          <t>Sugar Land</t>
        </is>
      </c>
      <c r="H78" s="12" t="inlineStr">
        <is>
          <t>1,062 closings and $621 million in 2025, Houston and Austin together</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6" t="inlineStr">
        <is>
          <t>https://www.linkedin.com/in/diane-danilov-2431a212/</t>
        </is>
      </c>
      <c r="P78" s="12" t="inlineStr"/>
      <c r="Q78" s="16">
        <f>IF(O78="","ADD LINKEDIN","ok")</f>
        <v/>
      </c>
      <c r="R78" s="12" t="inlineStr">
        <is>
          <t>https://www.westin-homes.com/</t>
        </is>
      </c>
      <c r="S78" s="15" t="inlineStr">
        <is>
          <t>Across the south suburban masterplans, with a named vice president of construction.</t>
        </is>
      </c>
      <c r="T78" s="12" t="inlineStr">
        <is>
          <t>YES</t>
        </is>
      </c>
      <c r="U78" s="15" t="inlineStr">
        <is>
          <t>Headline reads VP of Land &amp; Business Development at Westin Homes. Houston, Texas.</t>
        </is>
      </c>
      <c r="V78" s="12" t="inlineStr"/>
      <c r="W78" s="12" t="inlineStr"/>
      <c r="X78" s="12" t="inlineStr"/>
      <c r="Y78" s="12" t="inlineStr"/>
      <c r="Z78" s="12" t="inlineStr">
        <is>
          <t>(281) 240-1551</t>
        </is>
      </c>
      <c r="AA78" s="12" t="inlineStr"/>
      <c r="AB78" s="12" t="inlineStr">
        <is>
          <t>https://www.westin-homes.com/</t>
        </is>
      </c>
      <c r="AC78" s="12" t="inlineStr"/>
      <c r="AD78" s="12" t="inlineStr"/>
    </row>
    <row r="79">
      <c r="A79" s="6" t="inlineStr">
        <is>
          <t>Mary Lawler</t>
        </is>
      </c>
      <c r="B79" s="6" t="inlineStr">
        <is>
          <t>Avenue CDC</t>
        </is>
      </c>
      <c r="C79" s="6" t="inlineStr">
        <is>
          <t>Chief Executive Officer</t>
        </is>
      </c>
      <c r="D79" s="7" t="inlineStr">
        <is>
          <t>One gap</t>
        </is>
      </c>
      <c r="E79" s="8" t="n">
        <v>2</v>
      </c>
      <c r="F79" s="6" t="inlineStr">
        <is>
          <t>Buys walls</t>
        </is>
      </c>
      <c r="G79" s="6" t="inlineStr">
        <is>
          <t>Near Northside, Harris County</t>
        </is>
      </c>
      <c r="H79" s="6" t="inlineStr">
        <is>
          <t>5 named Near Northside developments</t>
        </is>
      </c>
      <c r="I79" s="8" t="inlineStr">
        <is>
          <t>Partly</t>
        </is>
      </c>
      <c r="J79" s="9" t="inlineStr">
        <is>
          <t>Five developments in one neighbourhood since 2002.</t>
        </is>
      </c>
      <c r="K79" s="8" t="inlineStr">
        <is>
          <t>Yes</t>
        </is>
      </c>
      <c r="L79" s="9" t="inlineStr">
        <is>
          <t>Five affordable developments in one neighbourhood, at a scale one machine covers.</t>
        </is>
      </c>
      <c r="M79" s="8" t="inlineStr">
        <is>
          <t>No</t>
        </is>
      </c>
      <c r="N79" s="9" t="inlineStr">
        <is>
          <t>Nothing on record. The resilience reading came from a 2017 Rice Kinder Institute piece about transit-oriented development, which says nothing about how anything is built.</t>
        </is>
      </c>
      <c r="O79" s="10" t="inlineStr"/>
      <c r="P79" s="6">
        <f>HYPERLINK("https://www.linkedin.com/search/results/people/?keywords=Mary%20Lawler%20Avenue%20CDC","search")</f>
        <v/>
      </c>
      <c r="Q79" s="11">
        <f>IF(O79="","ADD LINKEDIN","ok")</f>
        <v/>
      </c>
      <c r="R79" s="6" t="inlineStr">
        <is>
          <t>https://avenuecdc.org/</t>
        </is>
      </c>
      <c r="S79" s="9" t="inlineStr">
        <is>
          <t>Five affordable developments in one neighbourhood, framed post-Harvey by Rice's Kinder Institute. $3.4M is the only figure.</t>
        </is>
      </c>
      <c r="T79" s="6" t="inlineStr"/>
      <c r="U79" s="9" t="inlineStr">
        <is>
          <t>Chief Executive Officer on Avenue's own board and staff page, marking twenty-five years of leadership.</t>
        </is>
      </c>
      <c r="V79" s="6" t="inlineStr">
        <is>
          <t>https://avenuecdc.org/about-us/board-staff/</t>
        </is>
      </c>
      <c r="W79" s="6" t="inlineStr">
        <is>
          <t>https://www.linkedin.com/company/avenue-community-development-coporation</t>
        </is>
      </c>
      <c r="X79" s="6" t="inlineStr">
        <is>
          <t>https://avenuecdc.org/about-us/board-staff/</t>
        </is>
      </c>
      <c r="Y79" s="6" t="inlineStr"/>
      <c r="Z79" s="6" t="inlineStr">
        <is>
          <t>(713) 864-8099</t>
        </is>
      </c>
      <c r="AA79" s="6" t="inlineStr"/>
      <c r="AB79" s="6" t="inlineStr">
        <is>
          <t>https://avenuecdc.org/</t>
        </is>
      </c>
      <c r="AC79" s="6" t="inlineStr"/>
      <c r="AD79" s="6" t="inlineStr"/>
    </row>
    <row r="80">
      <c r="A80" s="12" t="inlineStr">
        <is>
          <t>Nicole Cassier</t>
        </is>
      </c>
      <c r="B80" s="12" t="inlineStr">
        <is>
          <t>Avenue CDC</t>
        </is>
      </c>
      <c r="C80" s="12" t="inlineStr">
        <is>
          <t>Chief Strategy Officer</t>
        </is>
      </c>
      <c r="D80" s="13" t="inlineStr">
        <is>
          <t>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6" t="inlineStr">
        <is>
          <t>https://www.linkedin.com/in/nicolecassier/</t>
        </is>
      </c>
      <c r="P80" s="12" t="inlineStr"/>
      <c r="Q80" s="16">
        <f>IF(O80="","ADD LINKEDIN","ok")</f>
        <v/>
      </c>
      <c r="R80" s="12" t="inlineStr">
        <is>
          <t>https://avenuecdc.org/</t>
        </is>
      </c>
      <c r="S80" s="15" t="inlineStr">
        <is>
          <t>Five affordable developments in one neighbourhood, framed post-Harvey by Rice's Kinder Institute. $3.4M is the only figure.</t>
        </is>
      </c>
      <c r="T80" s="12" t="inlineStr"/>
      <c r="U80" s="15" t="inlineStr">
        <is>
          <t>Chief Strategy Officer, Housing &amp; Community Development. Surfaced on an Avenue CDC search. Nicole Cassier's LinkedIn headline gives her title but not her employer.</t>
        </is>
      </c>
      <c r="V80" s="12" t="inlineStr"/>
      <c r="W80" s="12" t="inlineStr">
        <is>
          <t>https://www.linkedin.com/company/avenue-community-development-coporation</t>
        </is>
      </c>
      <c r="X80" s="12" t="inlineStr">
        <is>
          <t>https://avenuecdc.org/about-us/board-staff/</t>
        </is>
      </c>
      <c r="Y80" s="12" t="inlineStr"/>
      <c r="Z80" s="12" t="inlineStr">
        <is>
          <t>(713) 864-8099</t>
        </is>
      </c>
      <c r="AA80" s="12" t="inlineStr"/>
      <c r="AB80" s="12" t="inlineStr">
        <is>
          <t>https://avenuecdc.org/</t>
        </is>
      </c>
      <c r="AC80" s="12" t="inlineStr"/>
      <c r="AD80" s="12" t="inlineStr"/>
    </row>
    <row r="81">
      <c r="A81" s="6" t="inlineStr">
        <is>
          <t>Karen Briggs Gwin</t>
        </is>
      </c>
      <c r="B81" s="6" t="inlineStr">
        <is>
          <t>Avenue CDC</t>
        </is>
      </c>
      <c r="C81" s="6" t="inlineStr">
        <is>
          <t>Chief Financial Officer</t>
        </is>
      </c>
      <c r="D81" s="7" t="inlineStr">
        <is>
          <t>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6" t="inlineStr">
        <is>
          <t>https://www.linkedin.com/in/karen-briggs-gwin-02106614/</t>
        </is>
      </c>
      <c r="P81" s="6" t="inlineStr"/>
      <c r="Q81" s="11">
        <f>IF(O81="","ADD LINKEDIN","ok")</f>
        <v/>
      </c>
      <c r="R81" s="6" t="inlineStr">
        <is>
          <t>https://avenuecdc.org/</t>
        </is>
      </c>
      <c r="S81" s="9" t="inlineStr">
        <is>
          <t>Five affordable developments in one neighbourhood, framed post-Harvey by Rice's Kinder Institute. $3.4M is the only figure.</t>
        </is>
      </c>
      <c r="T81" s="6" t="inlineStr"/>
      <c r="U81" s="9" t="inlineStr">
        <is>
          <t>Chief Financial Officer, Avenue CDC. Greater Houston.</t>
        </is>
      </c>
      <c r="V81" s="6" t="inlineStr"/>
      <c r="W81" s="6" t="inlineStr">
        <is>
          <t>https://www.linkedin.com/company/avenue-community-development-coporation</t>
        </is>
      </c>
      <c r="X81" s="6" t="inlineStr">
        <is>
          <t>https://avenuecdc.org/about-us/board-staff/</t>
        </is>
      </c>
      <c r="Y81" s="6" t="inlineStr"/>
      <c r="Z81" s="6" t="inlineStr">
        <is>
          <t>(713) 864-8099</t>
        </is>
      </c>
      <c r="AA81" s="6" t="inlineStr"/>
      <c r="AB81" s="6" t="inlineStr">
        <is>
          <t>https://avenuecdc.org/</t>
        </is>
      </c>
      <c r="AC81" s="6" t="inlineStr"/>
      <c r="AD81" s="6" t="inlineStr"/>
    </row>
    <row r="82">
      <c r="A82" s="12" t="inlineStr">
        <is>
          <t>Kionta Carter</t>
        </is>
      </c>
      <c r="B82" s="12" t="inlineStr">
        <is>
          <t>Avenue CDC</t>
        </is>
      </c>
      <c r="C82" s="12" t="inlineStr">
        <is>
          <t>Chief Programs Officer</t>
        </is>
      </c>
      <c r="D82" s="13" t="inlineStr">
        <is>
          <t>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0" t="inlineStr"/>
      <c r="P82" s="12" t="inlineStr"/>
      <c r="Q82" s="16">
        <f>IF(O82="","ADD LINKEDIN","ok")</f>
        <v/>
      </c>
      <c r="R82" s="12" t="inlineStr">
        <is>
          <t>https://avenuecdc.org/</t>
        </is>
      </c>
      <c r="S82" s="15" t="inlineStr">
        <is>
          <t>Five affordable developments in one neighbourhood, framed post-Harvey by Rice's Kinder Institute. $3.4M is the only figure.</t>
        </is>
      </c>
      <c r="T82" s="12" t="inlineStr"/>
      <c r="U82" s="15" t="inlineStr"/>
      <c r="V82" s="12" t="inlineStr">
        <is>
          <t>https://avenuecdc.org/about-us/board-staff/</t>
        </is>
      </c>
      <c r="W82" s="12" t="inlineStr">
        <is>
          <t>https://www.linkedin.com/company/avenue-community-development-coporation</t>
        </is>
      </c>
      <c r="X82" s="12" t="inlineStr">
        <is>
          <t>https://avenuecdc.org/about-us/board-staff/</t>
        </is>
      </c>
      <c r="Y82" s="12" t="inlineStr"/>
      <c r="Z82" s="12" t="inlineStr">
        <is>
          <t>(713) 864-8099</t>
        </is>
      </c>
      <c r="AA82" s="12" t="inlineStr"/>
      <c r="AB82" s="12" t="inlineStr">
        <is>
          <t>https://avenuecdc.org/</t>
        </is>
      </c>
      <c r="AC82" s="12" t="inlineStr"/>
      <c r="AD82" s="12" t="inlineStr"/>
    </row>
    <row r="83">
      <c r="A83" s="6" t="inlineStr">
        <is>
          <t>Angela Guerrero</t>
        </is>
      </c>
      <c r="B83" s="6" t="inlineStr">
        <is>
          <t>Avenue CDC</t>
        </is>
      </c>
      <c r="C83" s="6" t="inlineStr">
        <is>
          <t>Director, Asset Management and Realty Services</t>
        </is>
      </c>
      <c r="D83" s="7" t="inlineStr">
        <is>
          <t>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10" t="inlineStr"/>
      <c r="P83" s="6" t="inlineStr"/>
      <c r="Q83" s="11">
        <f>IF(O83="","ADD LINKEDIN","ok")</f>
        <v/>
      </c>
      <c r="R83" s="6" t="inlineStr">
        <is>
          <t>https://avenuecdc.org/</t>
        </is>
      </c>
      <c r="S83" s="9" t="inlineStr">
        <is>
          <t>Five affordable developments in one neighbourhood, framed post-Harvey by Rice's Kinder Institute. $3.4M is the only figure.</t>
        </is>
      </c>
      <c r="T83" s="6" t="inlineStr"/>
      <c r="U83" s="9" t="inlineStr">
        <is>
          <t>Avenue names no construction officer on its staff page.</t>
        </is>
      </c>
      <c r="V83" s="6" t="inlineStr">
        <is>
          <t>https://avenuecdc.org/about-us/board-staff/</t>
        </is>
      </c>
      <c r="W83" s="6" t="inlineStr">
        <is>
          <t>https://www.linkedin.com/company/avenue-community-development-coporation</t>
        </is>
      </c>
      <c r="X83" s="6" t="inlineStr">
        <is>
          <t>https://avenuecdc.org/about-us/board-staff/</t>
        </is>
      </c>
      <c r="Y83" s="6" t="inlineStr"/>
      <c r="Z83" s="6" t="inlineStr">
        <is>
          <t>(713) 864-8099</t>
        </is>
      </c>
      <c r="AA83" s="6" t="inlineStr"/>
      <c r="AB83" s="6" t="inlineStr">
        <is>
          <t>https://avenuecdc.org/</t>
        </is>
      </c>
      <c r="AC83" s="6" t="inlineStr"/>
      <c r="AD83" s="6" t="inlineStr"/>
    </row>
    <row r="84">
      <c r="A84" s="12" t="inlineStr">
        <is>
          <t>Ken Williams</t>
        </is>
      </c>
      <c r="B84" s="12" t="inlineStr">
        <is>
          <t>Colina Homes</t>
        </is>
      </c>
      <c r="C84" s="12" t="inlineStr">
        <is>
          <t>Founder</t>
        </is>
      </c>
      <c r="D84" s="13" t="inlineStr">
        <is>
          <t>One gap</t>
        </is>
      </c>
      <c r="E84" s="14" t="n">
        <v>2</v>
      </c>
      <c r="F84" s="12" t="inlineStr">
        <is>
          <t>Buys walls</t>
        </is>
      </c>
      <c r="G84" s="12" t="inlineStr">
        <is>
          <t>Houston, 20 communities</t>
        </is>
      </c>
      <c r="H84" s="12" t="inlineStr">
        <is>
          <t>540 closings in 2025, fourteen communities published</t>
        </is>
      </c>
      <c r="I84" s="14" t="inlineStr">
        <is>
          <t>Yes</t>
        </is>
      </c>
      <c r="J84" s="15" t="inlineStr">
        <is>
          <t>Fourteen communities on its own communities page, all inside Greater Houston, taking a standard plan set.</t>
        </is>
      </c>
      <c r="K84" s="14" t="inlineStr">
        <is>
          <t>Partly</t>
        </is>
      </c>
      <c r="L84" s="15" t="inlineStr">
        <is>
          <t>540 closings in 2025 and 552 in 2024 across fourteen published communities. Two machines would carry a fifth of output at most.</t>
        </is>
      </c>
      <c r="M84" s="14" t="inlineStr">
        <is>
          <t>No</t>
        </is>
      </c>
      <c r="N84" s="15" t="inlineStr">
        <is>
          <t>No method evidence. The published positioning is price and floor plan, not construction.</t>
        </is>
      </c>
      <c r="O84" s="10" t="inlineStr"/>
      <c r="P84" s="12">
        <f>HYPERLINK("https://www.linkedin.com/search/results/people/?keywords=Ken%20Williams%20Colina%20Homes","search")</f>
        <v/>
      </c>
      <c r="Q84" s="16">
        <f>IF(O84="","ADD LINKEDIN","ok")</f>
        <v/>
      </c>
      <c r="R84" s="12" t="inlineStr">
        <is>
          <t>https://www.colinahomes.com/</t>
        </is>
      </c>
      <c r="S84" s="15" t="inlineStr">
        <is>
          <t>552 closings in 2024 on a no-haggle affordable model. A named director of construction.</t>
        </is>
      </c>
      <c r="T84" s="12" t="inlineStr"/>
      <c r="U84" s="15" t="inlineStr">
        <is>
          <t>About page: Founder. Since 2007 he has helped over 4,500 families.</t>
        </is>
      </c>
      <c r="V84" s="12" t="inlineStr">
        <is>
          <t>https://www.colinahomes.com/about</t>
        </is>
      </c>
      <c r="W84" s="12" t="inlineStr"/>
      <c r="X84" s="12" t="inlineStr"/>
      <c r="Y84" s="12" t="inlineStr"/>
      <c r="Z84" s="12" t="inlineStr"/>
      <c r="AA84" s="12" t="inlineStr"/>
      <c r="AB84" s="12" t="inlineStr"/>
      <c r="AC84" s="12" t="inlineStr">
        <is>
          <t>info@colinahomes.com</t>
        </is>
      </c>
      <c r="AD84" s="12" t="inlineStr">
        <is>
          <t>https://www.colinahomes.com/contact</t>
        </is>
      </c>
    </row>
    <row r="85">
      <c r="A85" s="6" t="inlineStr">
        <is>
          <t>Robert Davis</t>
        </is>
      </c>
      <c r="B85" s="6" t="inlineStr">
        <is>
          <t>Colina Homes</t>
        </is>
      </c>
      <c r="C85" s="6" t="inlineStr">
        <is>
          <t>Director of Construction</t>
        </is>
      </c>
      <c r="D85" s="7" t="inlineStr">
        <is>
          <t>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6" t="inlineStr">
        <is>
          <t>https://www.linkedin.com/in/robert-davis-684517136/</t>
        </is>
      </c>
      <c r="P85" s="6" t="inlineStr"/>
      <c r="Q85" s="11">
        <f>IF(O85="","ADD LINKEDIN","ok")</f>
        <v/>
      </c>
      <c r="R85" s="6" t="inlineStr">
        <is>
          <t>https://www.colinahomes.com/</t>
        </is>
      </c>
      <c r="S85" s="9" t="inlineStr">
        <is>
          <t>552 closings in 2024 on a no-haggle affordable model. A named director of construction.</t>
        </is>
      </c>
      <c r="T85" s="6" t="inlineStr">
        <is>
          <t>YES</t>
        </is>
      </c>
      <c r="U85" s="9" t="inlineStr">
        <is>
          <t>Indexed title reads Robert Davis, Director of Construction, Colina Homes.</t>
        </is>
      </c>
      <c r="V85" s="6" t="inlineStr"/>
      <c r="W85" s="6" t="inlineStr"/>
      <c r="X85" s="6" t="inlineStr"/>
      <c r="Y85" s="6" t="inlineStr"/>
      <c r="Z85" s="6" t="inlineStr"/>
      <c r="AA85" s="6" t="inlineStr"/>
      <c r="AB85" s="6" t="inlineStr"/>
      <c r="AC85" s="6" t="inlineStr">
        <is>
          <t>info@colinahomes.com</t>
        </is>
      </c>
      <c r="AD85" s="6" t="inlineStr">
        <is>
          <t>https://www.colinahomes.com/contact</t>
        </is>
      </c>
    </row>
    <row r="86">
      <c r="A86" s="12" t="inlineStr">
        <is>
          <t>Greg Grahmann</t>
        </is>
      </c>
      <c r="B86" s="12" t="inlineStr">
        <is>
          <t>Imagination Homes</t>
        </is>
      </c>
      <c r="C86" s="12" t="inlineStr">
        <is>
          <t>Director, Imagination Homes</t>
        </is>
      </c>
      <c r="D86" s="13" t="inlineStr">
        <is>
          <t>One gap</t>
        </is>
      </c>
      <c r="E86" s="14" t="n">
        <v>2</v>
      </c>
      <c r="F86" s="12" t="inlineStr">
        <is>
          <t>Buys walls</t>
        </is>
      </c>
      <c r="G86" s="12" t="inlineStr">
        <is>
          <t>Meridiana, Rosharon</t>
        </is>
      </c>
      <c r="H86" s="12" t="inlineStr">
        <is>
          <t>Entry-level, launched 2025</t>
        </is>
      </c>
      <c r="I86" s="14" t="inlineStr">
        <is>
          <t>Yes</t>
        </is>
      </c>
      <c r="J86" s="15" t="inlineStr">
        <is>
          <t>A deliberately narrow curated plan set aimed at first-time buyers and right-sizers.</t>
        </is>
      </c>
      <c r="K86" s="14" t="inlineStr">
        <is>
          <t>Partly</t>
        </is>
      </c>
      <c r="L86" s="15" t="inlineStr">
        <is>
          <t>A David Weekley Homes line, so purchasing sits with a national builder. One machine would cover the brand's output; the decision would not be the brand's alone.</t>
        </is>
      </c>
      <c r="M86" s="14" t="inlineStr">
        <is>
          <t>No</t>
        </is>
      </c>
      <c r="N86" s="15" t="inlineStr">
        <is>
          <t>No method on record. Its stated strategy is attainable entry-level product.</t>
        </is>
      </c>
      <c r="O86" s="10" t="inlineStr"/>
      <c r="P86" s="12">
        <f>HYPERLINK("https://www.linkedin.com/search/results/people/?keywords=Greg%20Grahmann%20Imagination%20Homes","search")</f>
        <v/>
      </c>
      <c r="Q86" s="16">
        <f>IF(O86="","ADD LINKEDIN","ok")</f>
        <v/>
      </c>
      <c r="R86" s="12" t="inlineStr">
        <is>
          <t>https://imaginationhomes.com/</t>
        </is>
      </c>
      <c r="S86" s="15" t="inlineStr">
        <is>
          <t>A 2025 David Weekley Homes line built around attainable entry-level product with a curated plan set, selling at Meridiana.</t>
        </is>
      </c>
      <c r="T86" s="12" t="inlineStr"/>
      <c r="U86" s="15" t="inlineStr">
        <is>
          <t>Builder names him director at Imagination Homes. He joined David Weekley Homes in 2013 and is separately listed as a division president there.</t>
        </is>
      </c>
      <c r="V86" s="12" t="inlineStr">
        <is>
          <t>https://www.builderonline.com/builder-100/strategy/imagination-homes-targets-attainable-entry-level-housing-in-texas/</t>
        </is>
      </c>
      <c r="W86" s="12" t="inlineStr"/>
      <c r="X86" s="12" t="inlineStr"/>
      <c r="Y86" s="12" t="inlineStr"/>
      <c r="Z86" s="12" t="inlineStr">
        <is>
          <t>(866) 510-2449</t>
        </is>
      </c>
      <c r="AA86" s="12" t="inlineStr"/>
      <c r="AB86" s="12" t="inlineStr">
        <is>
          <t>https://imaginationhomes.com/</t>
        </is>
      </c>
      <c r="AC86" s="12" t="inlineStr"/>
      <c r="AD86" s="12" t="inlineStr"/>
    </row>
    <row r="87">
      <c r="A87" s="6" t="inlineStr">
        <is>
          <t>Greg Hawes</t>
        </is>
      </c>
      <c r="B87" s="6" t="inlineStr">
        <is>
          <t>Jamestown Estate Homes</t>
        </is>
      </c>
      <c r="C87" s="6" t="inlineStr">
        <is>
          <t>Founder; Manager on the firm's own page, President on LinkedIn</t>
        </is>
      </c>
      <c r="D87" s="7" t="inlineStr">
        <is>
          <t>One gap</t>
        </is>
      </c>
      <c r="E87" s="8" t="n">
        <v>2</v>
      </c>
      <c r="F87" s="6" t="inlineStr">
        <is>
          <t>Buys walls</t>
        </is>
      </c>
      <c r="G87" s="6" t="inlineStr">
        <is>
          <t>Houston, 16 communities</t>
        </is>
      </c>
      <c r="H87" s="6" t="inlineStr">
        <is>
          <t>About 75 homes a year on the firm's own count</t>
        </is>
      </c>
      <c r="I87" s="8" t="inlineStr">
        <is>
          <t>Partly</t>
        </is>
      </c>
      <c r="J87" s="9" t="inlineStr">
        <is>
          <t>About seventy-five houses a year across sixteen communities.</t>
        </is>
      </c>
      <c r="K87" s="8" t="inlineStr">
        <is>
          <t>Yes</t>
        </is>
      </c>
      <c r="L87" s="9" t="inlineStr">
        <is>
          <t>About seventy-five homes a year, stated by the firm. One machine would carry most of it.</t>
        </is>
      </c>
      <c r="M87" s="8" t="inlineStr">
        <is>
          <t>No</t>
        </is>
      </c>
      <c r="N87" s="9" t="inlineStr">
        <is>
          <t>No method evidence. The published build time is eight to ten months, which is the number a printed wall argument would have to move.</t>
        </is>
      </c>
      <c r="O87" s="6" t="inlineStr">
        <is>
          <t>https://www.linkedin.com/in/greg-hawes-86423023/</t>
        </is>
      </c>
      <c r="P87" s="6" t="inlineStr"/>
      <c r="Q87" s="11">
        <f>IF(O87="","ADD LINKEDIN","ok")</f>
        <v/>
      </c>
      <c r="R87" s="6" t="inlineStr">
        <is>
          <t>https://jamestownestatehomes.com/</t>
        </is>
      </c>
      <c r="S87" s="9" t="inlineStr">
        <is>
          <t>About seventy-five homes a year against eighty-two floor plans, which is close to one plan per house. Volume fits a machine; the catalogue does not.</t>
        </is>
      </c>
      <c r="T87" s="6" t="inlineStr"/>
      <c r="U87"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87" s="6" t="inlineStr">
        <is>
          <t>https://jamestownestatehomes.com/team/greg-hawes/</t>
        </is>
      </c>
      <c r="W87" s="6" t="inlineStr"/>
      <c r="X87" s="6" t="inlineStr"/>
      <c r="Y87" s="6" t="inlineStr"/>
      <c r="Z87" s="6" t="inlineStr">
        <is>
          <t>(832) 858-0755</t>
        </is>
      </c>
      <c r="AA87" s="6" t="inlineStr"/>
      <c r="AB87" s="6" t="inlineStr">
        <is>
          <t>https://jamestownestatehomes.com/</t>
        </is>
      </c>
      <c r="AC87" s="6" t="inlineStr"/>
      <c r="AD87" s="6" t="inlineStr"/>
    </row>
    <row r="88">
      <c r="A88" s="12" t="inlineStr">
        <is>
          <t>Katy Hawes</t>
        </is>
      </c>
      <c r="B88" s="12" t="inlineStr">
        <is>
          <t>Jamestown Estate Homes</t>
        </is>
      </c>
      <c r="C88" s="12" t="inlineStr">
        <is>
          <t>Co-President</t>
        </is>
      </c>
      <c r="D88" s="13" t="inlineStr">
        <is>
          <t>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0" t="inlineStr"/>
      <c r="P88" s="12">
        <f>HYPERLINK("https://www.linkedin.com/search/results/people/?keywords=Katy%20Hawes%20Jamestown%20Estate%20Homes","search")</f>
        <v/>
      </c>
      <c r="Q88" s="16">
        <f>IF(O88="","ADD LINKEDIN","ok")</f>
        <v/>
      </c>
      <c r="R88" s="12" t="inlineStr">
        <is>
          <t>https://jamestownestatehomes.com/</t>
        </is>
      </c>
      <c r="S88" s="15" t="inlineStr">
        <is>
          <t>About seventy-five homes a year against eighty-two floor plans, which is close to one plan per house. Volume fits a machine; the catalogue does not.</t>
        </is>
      </c>
      <c r="T88" s="12" t="inlineStr"/>
      <c r="U88" s="15" t="inlineStr"/>
      <c r="V88" s="12" t="inlineStr">
        <is>
          <t>https://jamestownestatehomes.com/team/katy-hawes/</t>
        </is>
      </c>
      <c r="W88" s="12" t="inlineStr"/>
      <c r="X88" s="12" t="inlineStr"/>
      <c r="Y88" s="12" t="inlineStr"/>
      <c r="Z88" s="12" t="inlineStr">
        <is>
          <t>(832) 858-0755</t>
        </is>
      </c>
      <c r="AA88" s="12" t="inlineStr"/>
      <c r="AB88" s="12" t="inlineStr">
        <is>
          <t>https://jamestownestatehomes.com/</t>
        </is>
      </c>
      <c r="AC88" s="12" t="inlineStr"/>
      <c r="AD88" s="12" t="inlineStr"/>
    </row>
    <row r="89">
      <c r="A89" s="6" t="inlineStr">
        <is>
          <t>Matt Norris</t>
        </is>
      </c>
      <c r="B89" s="6" t="inlineStr">
        <is>
          <t>Jamestown Estate Homes</t>
        </is>
      </c>
      <c r="C89" s="6" t="inlineStr">
        <is>
          <t>Co-President</t>
        </is>
      </c>
      <c r="D89" s="7" t="inlineStr">
        <is>
          <t>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10" t="inlineStr"/>
      <c r="P89" s="6">
        <f>HYPERLINK("https://www.linkedin.com/search/results/people/?keywords=Matt%20Norris%20Jamestown%20Estate%20Homes","search")</f>
        <v/>
      </c>
      <c r="Q89" s="11">
        <f>IF(O89="","ADD LINKEDIN","ok")</f>
        <v/>
      </c>
      <c r="R89" s="6" t="inlineStr">
        <is>
          <t>https://jamestownestatehomes.com/</t>
        </is>
      </c>
      <c r="S89" s="9" t="inlineStr">
        <is>
          <t>About seventy-five homes a year against eighty-two floor plans, which is close to one plan per house. Volume fits a machine; the catalogue does not.</t>
        </is>
      </c>
      <c r="T89" s="6" t="inlineStr"/>
      <c r="U89" s="9" t="inlineStr"/>
      <c r="V89" s="6" t="inlineStr">
        <is>
          <t>https://jamestownestatehomes.com/team/matt-norris/</t>
        </is>
      </c>
      <c r="W89" s="6" t="inlineStr"/>
      <c r="X89" s="6" t="inlineStr"/>
      <c r="Y89" s="6" t="inlineStr"/>
      <c r="Z89" s="6" t="inlineStr">
        <is>
          <t>(832) 858-0755</t>
        </is>
      </c>
      <c r="AA89" s="6" t="inlineStr"/>
      <c r="AB89" s="6" t="inlineStr">
        <is>
          <t>https://jamestownestatehomes.com/</t>
        </is>
      </c>
      <c r="AC89" s="6" t="inlineStr"/>
      <c r="AD89" s="6" t="inlineStr"/>
    </row>
    <row r="90">
      <c r="A90" s="12" t="inlineStr">
        <is>
          <t>David Wickens</t>
        </is>
      </c>
      <c r="B90" s="12" t="inlineStr">
        <is>
          <t>Kendall Homes</t>
        </is>
      </c>
      <c r="C90" s="12" t="inlineStr">
        <is>
          <t>Founder</t>
        </is>
      </c>
      <c r="D90" s="13" t="inlineStr">
        <is>
          <t>One gap</t>
        </is>
      </c>
      <c r="E90" s="14" t="n">
        <v>2</v>
      </c>
      <c r="F90" s="12" t="inlineStr">
        <is>
          <t>Buys walls</t>
        </is>
      </c>
      <c r="G90" s="12" t="inlineStr">
        <is>
          <t>Katy, with communities in Conroe, Willis and New Caney</t>
        </is>
      </c>
      <c r="H90" s="12" t="inlineStr">
        <is>
          <t>Founded 1993, more than 4,000 homes on the firm's own count</t>
        </is>
      </c>
      <c r="I90" s="14" t="inlineStr">
        <is>
          <t>Yes</t>
        </is>
      </c>
      <c r="J90" s="15" t="inlineStr">
        <is>
          <t>Communities clustered on the Lake Conroe corridor, with outliers at Bay City and West Columbia.</t>
        </is>
      </c>
      <c r="K90" s="14" t="inlineStr">
        <is>
          <t>Partly</t>
        </is>
      </c>
      <c r="L90" s="15" t="inlineStr">
        <is>
          <t>No annual closings figure is published. On the bands, a firm with no published figure is a Partly.</t>
        </is>
      </c>
      <c r="M90" s="14" t="inlineStr">
        <is>
          <t>No</t>
        </is>
      </c>
      <c r="N90" s="15" t="inlineStr">
        <is>
          <t>No method on record. Its published positioning is against speed and cost cutting.</t>
        </is>
      </c>
      <c r="O90" s="10" t="inlineStr"/>
      <c r="P90" s="12" t="inlineStr"/>
      <c r="Q90" s="16">
        <f>IF(O90="","ADD LINKEDIN","ok")</f>
        <v/>
      </c>
      <c r="R90" s="12" t="inlineStr">
        <is>
          <t>https://kendallhomes.net/</t>
        </is>
      </c>
      <c r="S90" s="15" t="inlineStr">
        <is>
          <t>Above 100 homes a year on average, across a small set of communities in one corridor. A named vice president of construction.</t>
        </is>
      </c>
      <c r="T90" s="12" t="inlineStr"/>
      <c r="U90" s="15" t="inlineStr">
        <is>
          <t>The only executive the firm publishes.</t>
        </is>
      </c>
      <c r="V90" s="12" t="inlineStr">
        <is>
          <t>https://kendallhomes.net/</t>
        </is>
      </c>
      <c r="W90" s="12" t="inlineStr"/>
      <c r="X90" s="12" t="inlineStr"/>
      <c r="Y90" s="12" t="inlineStr"/>
      <c r="Z90" s="12" t="inlineStr">
        <is>
          <t>(281) 609-8310</t>
        </is>
      </c>
      <c r="AA90" s="12" t="inlineStr"/>
      <c r="AB90" s="12" t="inlineStr">
        <is>
          <t>https://kendallhomes.net/</t>
        </is>
      </c>
      <c r="AC90" s="12" t="inlineStr"/>
      <c r="AD90" s="12" t="inlineStr"/>
    </row>
    <row r="91">
      <c r="A91" s="6" t="inlineStr">
        <is>
          <t>Mike Dishberger</t>
        </is>
      </c>
      <c r="B91" s="6" t="inlineStr">
        <is>
          <t>Sandcastle Homes</t>
        </is>
      </c>
      <c r="C91" s="6" t="inlineStr">
        <is>
          <t>Chief Executive Officer and Co-Owner</t>
        </is>
      </c>
      <c r="D91" s="7" t="inlineStr">
        <is>
          <t>One gap</t>
        </is>
      </c>
      <c r="E91" s="8" t="n">
        <v>2</v>
      </c>
      <c r="F91" s="6" t="inlineStr">
        <is>
          <t>Buys walls</t>
        </is>
      </c>
      <c r="G91" s="6" t="inlineStr">
        <is>
          <t>Inner Loop Houston</t>
        </is>
      </c>
      <c r="H91" s="6" t="inlineStr">
        <is>
          <t>40 to 60 homes a year on the firm's own count</t>
        </is>
      </c>
      <c r="I91" s="8" t="inlineStr">
        <is>
          <t>Partly</t>
        </is>
      </c>
      <c r="J91" s="9" t="inlineStr">
        <is>
          <t>Infill lots scattered across six inner-loop neighbourhoods rather than one site.</t>
        </is>
      </c>
      <c r="K91" s="8" t="inlineStr">
        <is>
          <t>Yes</t>
        </is>
      </c>
      <c r="L91" s="9" t="inlineStr">
        <is>
          <t>About fifty closings a year. One machine covers most of that, if it can be moved economically.</t>
        </is>
      </c>
      <c r="M91" s="8" t="inlineStr">
        <is>
          <t>No</t>
        </is>
      </c>
      <c r="N91" s="9" t="inlineStr">
        <is>
          <t>No method on record. It runs land through final inspection in house.</t>
        </is>
      </c>
      <c r="O91" s="6" t="inlineStr">
        <is>
          <t>https://www.linkedin.com/in/mike-dishberger-01b66b9/</t>
        </is>
      </c>
      <c r="P91" s="6" t="inlineStr"/>
      <c r="Q91" s="11">
        <f>IF(O91="","ADD LINKEDIN","ok")</f>
        <v/>
      </c>
      <c r="R91" s="6" t="inlineStr">
        <is>
          <t>https://www.sandcastlehouston.com/</t>
        </is>
      </c>
      <c r="S91" s="9" t="inlineStr">
        <is>
          <t>About fifty homes a year, stated by the firm, on small infill sites rather than in one community. The volume fits a machine; the sites are scattered.</t>
        </is>
      </c>
      <c r="T91" s="6" t="inlineStr">
        <is>
          <t>YES</t>
        </is>
      </c>
      <c r="U91"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91" s="6" t="inlineStr">
        <is>
          <t>https://www.sandcastlehouston.com/about-sandcastle/meet-our-team/</t>
        </is>
      </c>
      <c r="W91" s="6" t="inlineStr"/>
      <c r="X91" s="6" t="inlineStr"/>
      <c r="Y91" s="6" t="inlineStr"/>
      <c r="Z91" s="6" t="inlineStr">
        <is>
          <t>(713) 864-9190</t>
        </is>
      </c>
      <c r="AA91" s="6" t="inlineStr">
        <is>
          <t>main</t>
        </is>
      </c>
      <c r="AB91" s="6" t="inlineStr">
        <is>
          <t>https://www.sandcastlehouston.com/</t>
        </is>
      </c>
      <c r="AC91" s="6" t="inlineStr"/>
      <c r="AD91" s="6" t="inlineStr"/>
    </row>
    <row r="92">
      <c r="A92" s="12" t="inlineStr">
        <is>
          <t>Mike Salomon</t>
        </is>
      </c>
      <c r="B92" s="12" t="inlineStr">
        <is>
          <t>Sandcastle Homes</t>
        </is>
      </c>
      <c r="C92" s="12" t="inlineStr">
        <is>
          <t>President and Co-Owner</t>
        </is>
      </c>
      <c r="D92" s="13" t="inlineStr">
        <is>
          <t>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No method on record. It runs land through final inspection in house.</t>
        </is>
      </c>
      <c r="O92" s="6" t="inlineStr">
        <is>
          <t>https://www.linkedin.com/in/mike-salomon-389b902a/</t>
        </is>
      </c>
      <c r="P92" s="12" t="inlineStr"/>
      <c r="Q92" s="16">
        <f>IF(O92="","ADD LINKEDIN","ok")</f>
        <v/>
      </c>
      <c r="R92" s="12" t="inlineStr">
        <is>
          <t>https://www.sandcastlehouston.com/</t>
        </is>
      </c>
      <c r="S92" s="15" t="inlineStr">
        <is>
          <t>About fifty homes a year, stated by the firm, on small infill sites rather than in one community. The volume fits a machine; the sites are scattered.</t>
        </is>
      </c>
      <c r="T92" s="12" t="inlineStr"/>
      <c r="U92" s="15" t="inlineStr">
        <is>
          <t>Indexed title reads Mike Salomon, Owner, Sandcastle Homes, Inc. The firm's team page: President and Co-Owner, over land, sales and business development. Team page: President and Co-Owner, managing land acquisition, sales and business development.</t>
        </is>
      </c>
      <c r="V92" s="12" t="inlineStr">
        <is>
          <t>https://www.sandcastlehouston.com/about-sandcastle/meet-our-team/</t>
        </is>
      </c>
      <c r="W92" s="12" t="inlineStr"/>
      <c r="X92" s="12" t="inlineStr"/>
      <c r="Y92" s="12" t="inlineStr"/>
      <c r="Z92" s="12" t="inlineStr">
        <is>
          <t>(713) 864-9190</t>
        </is>
      </c>
      <c r="AA92" s="12" t="inlineStr">
        <is>
          <t>main</t>
        </is>
      </c>
      <c r="AB92" s="12" t="inlineStr">
        <is>
          <t>https://www.sandcastlehouston.com/</t>
        </is>
      </c>
      <c r="AC92" s="12" t="inlineStr"/>
      <c r="AD92" s="12" t="inlineStr"/>
    </row>
    <row r="93">
      <c r="A93" s="6" t="inlineStr">
        <is>
          <t>Jo Dunham</t>
        </is>
      </c>
      <c r="B93" s="6" t="inlineStr">
        <is>
          <t>Sandcastle Homes</t>
        </is>
      </c>
      <c r="C93" s="6" t="inlineStr">
        <is>
          <t>Vice President of Construction</t>
        </is>
      </c>
      <c r="D93" s="7" t="inlineStr">
        <is>
          <t>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No method on record. It runs land through final inspection in house.</t>
        </is>
      </c>
      <c r="O93" s="10" t="inlineStr"/>
      <c r="P93" s="6" t="inlineStr"/>
      <c r="Q93" s="11">
        <f>IF(O93="","ADD LINKEDIN","ok")</f>
        <v/>
      </c>
      <c r="R93" s="6" t="inlineStr">
        <is>
          <t>https://www.sandcastlehouston.com/</t>
        </is>
      </c>
      <c r="S93" s="9" t="inlineStr">
        <is>
          <t>About fifty homes a year, stated by the firm, on small infill sites rather than in one community. The volume fits a machine; the sites are scattered.</t>
        </is>
      </c>
      <c r="T93" s="6" t="inlineStr">
        <is>
          <t>YES</t>
        </is>
      </c>
      <c r="U93" s="9" t="inlineStr"/>
      <c r="V93" s="6" t="inlineStr">
        <is>
          <t>https://www.sandcastlehouston.com/about-sandcastle/meet-our-team/</t>
        </is>
      </c>
      <c r="W93" s="6" t="inlineStr"/>
      <c r="X93" s="6" t="inlineStr"/>
      <c r="Y93" s="6" t="inlineStr"/>
      <c r="Z93" s="6" t="inlineStr">
        <is>
          <t>(713) 864-9190</t>
        </is>
      </c>
      <c r="AA93" s="6" t="inlineStr">
        <is>
          <t>main</t>
        </is>
      </c>
      <c r="AB93" s="6" t="inlineStr">
        <is>
          <t>https://www.sandcastlehouston.com/</t>
        </is>
      </c>
      <c r="AC93" s="6" t="inlineStr"/>
      <c r="AD93" s="6" t="inlineStr"/>
    </row>
    <row r="94">
      <c r="A94" s="12" t="inlineStr">
        <is>
          <t>Katie Pritchard</t>
        </is>
      </c>
      <c r="B94" s="12" t="inlineStr">
        <is>
          <t>Sandcastle Homes</t>
        </is>
      </c>
      <c r="C94" s="12" t="inlineStr">
        <is>
          <t>Purchasing Manager</t>
        </is>
      </c>
      <c r="D94" s="13" t="inlineStr">
        <is>
          <t>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No method on record. It runs land through final inspection in house.</t>
        </is>
      </c>
      <c r="O94" s="10" t="inlineStr"/>
      <c r="P94" s="12" t="inlineStr"/>
      <c r="Q94" s="16">
        <f>IF(O94="","ADD LINKEDIN","ok")</f>
        <v/>
      </c>
      <c r="R94" s="12" t="inlineStr">
        <is>
          <t>https://www.sandcastlehouston.com/</t>
        </is>
      </c>
      <c r="S94" s="15" t="inlineStr">
        <is>
          <t>About fifty homes a year, stated by the firm, on small infill sites rather than in one community. The volume fits a machine; the sites are scattered.</t>
        </is>
      </c>
      <c r="T94" s="12" t="inlineStr"/>
      <c r="U94" s="15" t="inlineStr"/>
      <c r="V94" s="12" t="inlineStr">
        <is>
          <t>https://www.sandcastlehouston.com/about-sandcastle/meet-our-team/</t>
        </is>
      </c>
      <c r="W94" s="12" t="inlineStr"/>
      <c r="X94" s="12" t="inlineStr"/>
      <c r="Y94" s="12" t="inlineStr"/>
      <c r="Z94" s="12" t="inlineStr">
        <is>
          <t>(713) 864-9190</t>
        </is>
      </c>
      <c r="AA94" s="12" t="inlineStr">
        <is>
          <t>main</t>
        </is>
      </c>
      <c r="AB94" s="12" t="inlineStr">
        <is>
          <t>https://www.sandcastlehouston.com/</t>
        </is>
      </c>
      <c r="AC94" s="12" t="inlineStr"/>
      <c r="AD94" s="12" t="inlineStr"/>
    </row>
    <row r="95">
      <c r="A95" s="6" t="inlineStr">
        <is>
          <t>Christian Sommer</t>
        </is>
      </c>
      <c r="B95" s="6" t="inlineStr">
        <is>
          <t>Tricoast Homes</t>
        </is>
      </c>
      <c r="C95" s="6" t="inlineStr">
        <is>
          <t>President and Chief Executive Officer</t>
        </is>
      </c>
      <c r="D95" s="7" t="inlineStr">
        <is>
          <t>One gap</t>
        </is>
      </c>
      <c r="E95" s="8" t="n">
        <v>2</v>
      </c>
      <c r="F95" s="6" t="inlineStr">
        <is>
          <t>Buys walls</t>
        </is>
      </c>
      <c r="G95" s="6" t="inlineStr">
        <is>
          <t>Houston, multi-county</t>
        </is>
      </c>
      <c r="H95" s="6" t="inlineStr">
        <is>
          <t>Nine floor plans across nine communities</t>
        </is>
      </c>
      <c r="I95" s="8" t="inlineStr">
        <is>
          <t>Yes</t>
        </is>
      </c>
      <c r="J95" s="9" t="inlineStr">
        <is>
          <t>Nine floor plans carried across nine communities. Plan repetition is the operating model.</t>
        </is>
      </c>
      <c r="K95" s="8" t="inlineStr">
        <is>
          <t>Partly</t>
        </is>
      </c>
      <c r="L95" s="9" t="inlineStr">
        <is>
          <t>No closings figure is published. A 2020 startup may not yet be at machine scale.</t>
        </is>
      </c>
      <c r="M95" s="8" t="inlineStr">
        <is>
          <t>No</t>
        </is>
      </c>
      <c r="N95" s="9" t="inlineStr">
        <is>
          <t>Every home gets internal and third-party energy verification, which is a process discipline rather than a method change.</t>
        </is>
      </c>
      <c r="O95" s="10" t="inlineStr"/>
      <c r="P95" s="6">
        <f>HYPERLINK("https://www.linkedin.com/search/results/people/?keywords=Christian%20Sommer%20Tricoast%20Homes","search")</f>
        <v/>
      </c>
      <c r="Q95" s="11">
        <f>IF(O95="","ADD LINKEDIN","ok")</f>
        <v/>
      </c>
      <c r="R95" s="6" t="inlineStr">
        <is>
          <t>https://www.tricoasthomes.com/</t>
        </is>
      </c>
      <c r="S95" s="9" t="inlineStr">
        <is>
          <t>Founded 2020 by builders from Taylor Morrison, Toll Brothers and Ryland. No closings figure yet.</t>
        </is>
      </c>
      <c r="T95" s="6" t="inlineStr"/>
      <c r="U95" s="9" t="inlineStr"/>
      <c r="V95" s="6" t="inlineStr"/>
      <c r="W95" s="6" t="inlineStr"/>
      <c r="X95" s="6" t="inlineStr"/>
      <c r="Y95" s="6" t="inlineStr"/>
      <c r="Z95" s="6" t="inlineStr">
        <is>
          <t>(713) 489-7738</t>
        </is>
      </c>
      <c r="AA95" s="6" t="inlineStr">
        <is>
          <t>the Westway Park office</t>
        </is>
      </c>
      <c r="AB95" s="6" t="inlineStr">
        <is>
          <t>https://www.tricoasthomes.com/</t>
        </is>
      </c>
      <c r="AC95" s="6" t="inlineStr"/>
      <c r="AD95" s="6" t="inlineStr"/>
    </row>
    <row r="96">
      <c r="A96" s="12" t="inlineStr">
        <is>
          <t>Keith Blum</t>
        </is>
      </c>
      <c r="B96" s="12" t="inlineStr">
        <is>
          <t>Tricoast Homes</t>
        </is>
      </c>
      <c r="C96" s="12" t="inlineStr">
        <is>
          <t>Executive Vice President and Chief Operating Officer</t>
        </is>
      </c>
      <c r="D96" s="13" t="inlineStr">
        <is>
          <t>One gap</t>
        </is>
      </c>
      <c r="E96" s="14" t="n">
        <v>2</v>
      </c>
      <c r="F96" s="12" t="inlineStr">
        <is>
          <t>Buys walls</t>
        </is>
      </c>
      <c r="G96" s="12" t="inlineStr">
        <is>
          <t>Houston, multi-county</t>
        </is>
      </c>
      <c r="H96" s="12" t="inlineStr">
        <is>
          <t>Nine floor plans across nine communities</t>
        </is>
      </c>
      <c r="I96" s="14" t="inlineStr">
        <is>
          <t>Yes</t>
        </is>
      </c>
      <c r="J96" s="15" t="inlineStr">
        <is>
          <t>Nine floor plans carried across nine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0" t="inlineStr"/>
      <c r="P96" s="12">
        <f>HYPERLINK("https://www.linkedin.com/search/results/people/?keywords=Keith%20Blum%20Tricoast%20Homes","search")</f>
        <v/>
      </c>
      <c r="Q96" s="16">
        <f>IF(O96="","ADD LINKEDIN","ok")</f>
        <v/>
      </c>
      <c r="R96" s="12" t="inlineStr">
        <is>
          <t>https://www.tricoasthomes.com/</t>
        </is>
      </c>
      <c r="S96" s="15" t="inlineStr">
        <is>
          <t>Founded 2020 by builders from Taylor Morrison, Toll Brothers and Ryland. No closings figure yet.</t>
        </is>
      </c>
      <c r="T96" s="12" t="inlineStr"/>
      <c r="U96" s="15" t="inlineStr"/>
      <c r="V96" s="12" t="inlineStr"/>
      <c r="W96" s="12" t="inlineStr"/>
      <c r="X96" s="12" t="inlineStr"/>
      <c r="Y96" s="12" t="inlineStr"/>
      <c r="Z96" s="12" t="inlineStr">
        <is>
          <t>(713) 489-7738</t>
        </is>
      </c>
      <c r="AA96" s="12" t="inlineStr">
        <is>
          <t>the Westway Park office</t>
        </is>
      </c>
      <c r="AB96" s="12" t="inlineStr">
        <is>
          <t>https://www.tricoasthomes.com/</t>
        </is>
      </c>
      <c r="AC96" s="12" t="inlineStr"/>
      <c r="AD96" s="12" t="inlineStr"/>
    </row>
    <row r="97">
      <c r="A97" s="6" t="inlineStr">
        <is>
          <t>Christina Wright</t>
        </is>
      </c>
      <c r="B97" s="6" t="inlineStr">
        <is>
          <t>Tricoast Homes</t>
        </is>
      </c>
      <c r="C97" s="6" t="inlineStr">
        <is>
          <t>Director of Purchasing</t>
        </is>
      </c>
      <c r="D97" s="7" t="inlineStr">
        <is>
          <t>One gap</t>
        </is>
      </c>
      <c r="E97" s="8" t="n">
        <v>2</v>
      </c>
      <c r="F97" s="6" t="inlineStr">
        <is>
          <t>Buys walls</t>
        </is>
      </c>
      <c r="G97" s="6" t="inlineStr">
        <is>
          <t>Houston, multi-county</t>
        </is>
      </c>
      <c r="H97" s="6" t="inlineStr">
        <is>
          <t>Nine floor plans across nine communities</t>
        </is>
      </c>
      <c r="I97" s="8" t="inlineStr">
        <is>
          <t>Yes</t>
        </is>
      </c>
      <c r="J97" s="9" t="inlineStr">
        <is>
          <t>Nine floor plans carried across nine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6" t="inlineStr">
        <is>
          <t>https://www.linkedin.com/in/christina-wright-4786b223/</t>
        </is>
      </c>
      <c r="P97" s="6" t="inlineStr"/>
      <c r="Q97" s="11">
        <f>IF(O97="","ADD LINKEDIN","ok")</f>
        <v/>
      </c>
      <c r="R97" s="6" t="inlineStr">
        <is>
          <t>https://www.tricoasthomes.com/</t>
        </is>
      </c>
      <c r="S97" s="9" t="inlineStr">
        <is>
          <t>Founded 2020 by builders from Taylor Morrison, Toll Brothers and Ryland. No closings figure yet.</t>
        </is>
      </c>
      <c r="T97" s="6" t="inlineStr">
        <is>
          <t>YES</t>
        </is>
      </c>
      <c r="U97" s="9" t="inlineStr">
        <is>
          <t>Indexed title reads Christina Wright, Director of Purchasing at Tricoast Homes.</t>
        </is>
      </c>
      <c r="V97" s="6" t="inlineStr"/>
      <c r="W97" s="6" t="inlineStr"/>
      <c r="X97" s="6" t="inlineStr"/>
      <c r="Y97" s="6" t="inlineStr"/>
      <c r="Z97" s="6" t="inlineStr">
        <is>
          <t>(713) 489-7738</t>
        </is>
      </c>
      <c r="AA97" s="6" t="inlineStr">
        <is>
          <t>the Westway Park office</t>
        </is>
      </c>
      <c r="AB97" s="6" t="inlineStr">
        <is>
          <t>https://www.tricoasthomes.com/</t>
        </is>
      </c>
      <c r="AC97" s="6" t="inlineStr"/>
      <c r="AD97" s="6" t="inlineStr"/>
    </row>
    <row r="98">
      <c r="A98" s="12" t="inlineStr">
        <is>
          <t>Leon J. Backes</t>
        </is>
      </c>
      <c r="B98" s="12" t="inlineStr">
        <is>
          <t>Provident Realty Advisors</t>
        </is>
      </c>
      <c r="C98" s="12" t="inlineStr">
        <is>
          <t>Founder and Chief Executive Officer</t>
        </is>
      </c>
      <c r="D98" s="13" t="inlineStr">
        <is>
          <t>One gap</t>
        </is>
      </c>
      <c r="E98" s="14" t="n">
        <v>2</v>
      </c>
      <c r="F98" s="12" t="inlineStr">
        <is>
          <t>Funds it</t>
        </is>
      </c>
      <c r="G98" s="12" t="inlineStr">
        <is>
          <t>Dallas HQ / Baytown, Harris-Chambers</t>
        </is>
      </c>
      <c r="H98" s="12" t="inlineStr">
        <is>
          <t>$7.5B invested company-wide since 1991</t>
        </is>
      </c>
      <c r="I98" s="14" t="inlineStr">
        <is>
          <t>Partly</t>
        </is>
      </c>
      <c r="J98" s="15" t="inlineStr">
        <is>
          <t>parcHAUS funds seven single-family rental communities across Texas.</t>
        </is>
      </c>
      <c r="K98" s="14" t="inlineStr">
        <is>
          <t>Partly</t>
        </is>
      </c>
      <c r="L98" s="15" t="inlineStr">
        <is>
          <t>Seven rental communities funded under one Houston director. The firm is run from Dallas.</t>
        </is>
      </c>
      <c r="M98" s="14" t="inlineStr">
        <is>
          <t>No</t>
        </is>
      </c>
      <c r="N98" s="15" t="inlineStr">
        <is>
          <t>No method evidence found.</t>
        </is>
      </c>
      <c r="O98" s="10" t="inlineStr"/>
      <c r="P98" s="12">
        <f>HYPERLINK("https://www.linkedin.com/search/results/people/?keywords=Leon%20J.%20Backes%20Provident%20Realty%20Advisors","search")</f>
        <v/>
      </c>
      <c r="Q98" s="16">
        <f>IF(O98="","ADD LINKEDIN","ok")</f>
        <v/>
      </c>
      <c r="R98" s="12" t="inlineStr">
        <is>
          <t>https://provident.net/</t>
        </is>
      </c>
      <c r="S98" s="15" t="inlineStr">
        <is>
          <t>parcHAUS funds seven rental communities under a named Houston director. No Houston site named.</t>
        </is>
      </c>
      <c r="T98" s="12" t="inlineStr"/>
      <c r="U98" s="15" t="inlineStr"/>
      <c r="V98" s="12" t="inlineStr">
        <is>
          <t>https://provident.net/our-team/</t>
        </is>
      </c>
      <c r="W98" s="12" t="inlineStr">
        <is>
          <t>https://www.linkedin.com/company/provident-realty-advisors</t>
        </is>
      </c>
      <c r="X98" s="12" t="inlineStr">
        <is>
          <t>https://provident.net/our-team/</t>
        </is>
      </c>
      <c r="Y98" s="12" t="inlineStr"/>
      <c r="Z98" s="12" t="inlineStr">
        <is>
          <t>(972) 385-4100</t>
        </is>
      </c>
      <c r="AA98" s="12" t="inlineStr">
        <is>
          <t>Dallas office</t>
        </is>
      </c>
      <c r="AB98" s="12" t="inlineStr">
        <is>
          <t>https://provident.net/</t>
        </is>
      </c>
      <c r="AC98" s="12" t="inlineStr"/>
      <c r="AD98" s="12" t="inlineStr"/>
    </row>
    <row r="99">
      <c r="A99" s="6" t="inlineStr">
        <is>
          <t>Christen Vestal</t>
        </is>
      </c>
      <c r="B99" s="6" t="inlineStr">
        <is>
          <t>Provident Realty Advisors</t>
        </is>
      </c>
      <c r="C99" s="6" t="inlineStr">
        <is>
          <t>Director of Development and Acquisitions, Houston</t>
        </is>
      </c>
      <c r="D99" s="7" t="inlineStr">
        <is>
          <t>One gap</t>
        </is>
      </c>
      <c r="E99" s="8" t="n">
        <v>2</v>
      </c>
      <c r="F99" s="6" t="inlineStr">
        <is>
          <t>Funds it</t>
        </is>
      </c>
      <c r="G99" s="6" t="inlineStr">
        <is>
          <t>Dallas HQ / Baytown, Harris-Chambers</t>
        </is>
      </c>
      <c r="H99" s="6" t="inlineStr">
        <is>
          <t>$7.5B invested company-wide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10" t="inlineStr"/>
      <c r="P99" s="6">
        <f>HYPERLINK("https://www.linkedin.com/search/results/people/?keywords=Christen%20Vestal%20Provident%20Realty%20Advisors","search")</f>
        <v/>
      </c>
      <c r="Q99" s="11">
        <f>IF(O99="","ADD LINKEDIN","ok")</f>
        <v/>
      </c>
      <c r="R99" s="6" t="inlineStr">
        <is>
          <t>https://provident.net/</t>
        </is>
      </c>
      <c r="S99" s="9" t="inlineStr">
        <is>
          <t>parcHAUS funds seven rental communities under a named Houston director. No Houston site named.</t>
        </is>
      </c>
      <c r="T99" s="6" t="inlineStr"/>
      <c r="U99" s="9" t="inlineStr">
        <is>
          <t>Hired to lead Provident's new Houston office as its first female development partner. She does not appear on the firm's current team page, so treat the role as needing confirmation.</t>
        </is>
      </c>
      <c r="V99" s="6" t="inlineStr">
        <is>
          <t>https://www.bisnow.com/houston/news/industrial/provident-realty-advisors-hires-christen-vestal-to-lead-forthcoming-houston-office-116393</t>
        </is>
      </c>
      <c r="W99" s="6" t="inlineStr">
        <is>
          <t>https://www.linkedin.com/company/provident-realty-advisors</t>
        </is>
      </c>
      <c r="X99" s="6" t="inlineStr">
        <is>
          <t>https://provident.net/our-team/</t>
        </is>
      </c>
      <c r="Y99" s="6" t="inlineStr"/>
      <c r="Z99" s="6" t="inlineStr">
        <is>
          <t>(972) 385-4100</t>
        </is>
      </c>
      <c r="AA99" s="6" t="inlineStr">
        <is>
          <t>Dallas office</t>
        </is>
      </c>
      <c r="AB99" s="6" t="inlineStr">
        <is>
          <t>https://provident.net/</t>
        </is>
      </c>
      <c r="AC99" s="6" t="inlineStr"/>
      <c r="AD99" s="6" t="inlineStr"/>
    </row>
    <row r="100">
      <c r="A100" s="12" t="inlineStr">
        <is>
          <t>Jennifer Keller, P.E.</t>
        </is>
      </c>
      <c r="B100" s="12" t="inlineStr">
        <is>
          <t>Risewell Homes</t>
        </is>
      </c>
      <c r="C100" s="12" t="inlineStr">
        <is>
          <t>Division President</t>
        </is>
      </c>
      <c r="D100" s="13" t="inlineStr">
        <is>
          <t>One gap</t>
        </is>
      </c>
      <c r="E100" s="14" t="n">
        <v>2</v>
      </c>
      <c r="F100" s="12" t="inlineStr">
        <is>
          <t>Buys walls</t>
        </is>
      </c>
      <c r="G100" s="12" t="inlineStr">
        <is>
          <t>Sunterra, Katy</t>
        </is>
      </c>
      <c r="H100" s="12" t="inlineStr">
        <is>
          <t>The 2025 merger of Landsea Homes and The New Home Company</t>
        </is>
      </c>
      <c r="I100" s="14" t="inlineStr">
        <is>
          <t>Partly</t>
        </is>
      </c>
      <c r="J100" s="15" t="inlineStr">
        <is>
          <t>One Houston community confirmed, Sunterra. Too early to read the plan strategy.</t>
        </is>
      </c>
      <c r="K100" s="14" t="inlineStr">
        <is>
          <t>Partly</t>
        </is>
      </c>
      <c r="L100" s="15" t="inlineStr">
        <is>
          <t>Ten divisions on its team page means purchasing scale above the band a single machine serves.</t>
        </is>
      </c>
      <c r="M100" s="14" t="inlineStr">
        <is>
          <t>No</t>
        </is>
      </c>
      <c r="N100" s="15" t="inlineStr">
        <is>
          <t>No method on record.</t>
        </is>
      </c>
      <c r="O100" s="6" t="inlineStr">
        <is>
          <t>https://www.linkedin.com/in/jenniferkeller/</t>
        </is>
      </c>
      <c r="P100" s="12" t="inlineStr"/>
      <c r="Q100" s="16">
        <f>IF(O100="","ADD LINKEDIN","ok")</f>
        <v/>
      </c>
      <c r="R100" s="12" t="inlineStr">
        <is>
          <t>https://risewellhomes.com/</t>
        </is>
      </c>
      <c r="S100" s="15" t="inlineStr">
        <is>
          <t>A national builder selling at Sunterra. Its team page lists no Houston division president.</t>
        </is>
      </c>
      <c r="T100" s="12" t="inlineStr"/>
      <c r="U100" s="15" t="inlineStr">
        <is>
          <t>Indexed title reads Jennifer Keller, P.E., Division President, Risewell Homes. The firm's team page listed her as Houston Division President on 12 September 2026, and on 24 September lists ten division presidents and no Houston division.</t>
        </is>
      </c>
      <c r="V100" s="12" t="inlineStr"/>
      <c r="W100" s="12" t="inlineStr"/>
      <c r="X100" s="12" t="inlineStr"/>
      <c r="Y100" s="12" t="inlineStr"/>
      <c r="Z100" s="12" t="inlineStr">
        <is>
          <t>(888) 827-4421</t>
        </is>
      </c>
      <c r="AA100" s="12" t="inlineStr"/>
      <c r="AB100" s="12" t="inlineStr">
        <is>
          <t>https://risewellhomes.com/</t>
        </is>
      </c>
      <c r="AC100" s="12" t="inlineStr"/>
      <c r="AD100" s="12" t="inlineStr"/>
    </row>
    <row r="101">
      <c r="A101" s="6" t="inlineStr">
        <is>
          <t>Matthew R. Zaist</t>
        </is>
      </c>
      <c r="B101" s="6" t="inlineStr">
        <is>
          <t>Risewell Homes</t>
        </is>
      </c>
      <c r="C101" s="6" t="inlineStr">
        <is>
          <t>President and Chief Executive Officer</t>
        </is>
      </c>
      <c r="D101" s="7" t="inlineStr">
        <is>
          <t>One gap</t>
        </is>
      </c>
      <c r="E101" s="8" t="n">
        <v>2</v>
      </c>
      <c r="F101" s="6" t="inlineStr">
        <is>
          <t>Buys walls</t>
        </is>
      </c>
      <c r="G101" s="6" t="inlineStr">
        <is>
          <t>Sunterra, Katy</t>
        </is>
      </c>
      <c r="H101" s="6" t="inlineStr">
        <is>
          <t>The 2025 merger of Landsea Homes and The New Home Company</t>
        </is>
      </c>
      <c r="I101" s="8" t="inlineStr">
        <is>
          <t>Partly</t>
        </is>
      </c>
      <c r="J101" s="9" t="inlineStr">
        <is>
          <t>One Houston community confirmed, Sunterra. Too early to read the plan strategy.</t>
        </is>
      </c>
      <c r="K101" s="8" t="inlineStr">
        <is>
          <t>Partly</t>
        </is>
      </c>
      <c r="L101" s="9" t="inlineStr">
        <is>
          <t>Ten divisions on its team page means purchasing scale above the band a single machine serves.</t>
        </is>
      </c>
      <c r="M101" s="8" t="inlineStr">
        <is>
          <t>No</t>
        </is>
      </c>
      <c r="N101" s="9" t="inlineStr">
        <is>
          <t>No method on record.</t>
        </is>
      </c>
      <c r="O101" s="6" t="inlineStr">
        <is>
          <t>https://www.linkedin.com/in/matthew-zaist-01949696/</t>
        </is>
      </c>
      <c r="P101" s="6" t="inlineStr"/>
      <c r="Q101" s="11">
        <f>IF(O101="","ADD LINKEDIN","ok")</f>
        <v/>
      </c>
      <c r="R101" s="6" t="inlineStr">
        <is>
          <t>https://risewellhomes.com/</t>
        </is>
      </c>
      <c r="S101" s="9" t="inlineStr">
        <is>
          <t>A national builder selling at Sunterra. Its team page lists no Houston division president.</t>
        </is>
      </c>
      <c r="T101" s="6" t="inlineStr"/>
      <c r="U101" s="9" t="inlineStr">
        <is>
          <t>Indexed title reads Matthew Zaist, President and CEO at Risewell Homes. Confirmed on the firm's team page.</t>
        </is>
      </c>
      <c r="V101" s="6" t="inlineStr">
        <is>
          <t>https://www.risewellhomes.com/team</t>
        </is>
      </c>
      <c r="W101" s="6" t="inlineStr"/>
      <c r="X101" s="6" t="inlineStr"/>
      <c r="Y101" s="6" t="inlineStr"/>
      <c r="Z101" s="6" t="inlineStr">
        <is>
          <t>(888) 827-4421</t>
        </is>
      </c>
      <c r="AA101" s="6" t="inlineStr"/>
      <c r="AB101" s="6" t="inlineStr">
        <is>
          <t>https://risewellhomes.com/</t>
        </is>
      </c>
      <c r="AC101" s="6" t="inlineStr"/>
      <c r="AD101" s="6" t="inlineStr"/>
    </row>
    <row r="102">
      <c r="A102" s="12" t="inlineStr">
        <is>
          <t>James Kotzur</t>
        </is>
      </c>
      <c r="B102" s="12" t="inlineStr">
        <is>
          <t>Coventry Homes</t>
        </is>
      </c>
      <c r="C102" s="12" t="inlineStr">
        <is>
          <t>Division President, Coventry Homes (Dream Finders Homes)</t>
        </is>
      </c>
      <c r="D102" s="13" t="inlineStr">
        <is>
          <t>One gap</t>
        </is>
      </c>
      <c r="E102" s="14" t="n">
        <v>2</v>
      </c>
      <c r="F102" s="12" t="inlineStr">
        <is>
          <t>Buys walls</t>
        </is>
      </c>
      <c r="G102" s="12" t="inlineStr">
        <is>
          <t>Houston HQ, Harris County</t>
        </is>
      </c>
      <c r="H102" s="12" t="inlineStr">
        <is>
          <t>1,048 Houston closings in 2025 under Dream Finders, eighth in the metro</t>
        </is>
      </c>
      <c r="I102" s="14" t="inlineStr">
        <is>
          <t>Partly</t>
        </is>
      </c>
      <c r="J102" s="15" t="inlineStr">
        <is>
          <t>Close to 100 communities, 55,000 homes company-wide.</t>
        </is>
      </c>
      <c r="K102" s="14" t="inlineStr">
        <is>
          <t>Partly</t>
        </is>
      </c>
      <c r="L102" s="15" t="inlineStr">
        <is>
          <t>Dream Finders, the parent, closed 1,048 homes in Greater Houston in 2025, inside the 400 to 1,500 band. Purchasing may sit at the parent.</t>
        </is>
      </c>
      <c r="M102" s="14" t="inlineStr">
        <is>
          <t>No</t>
        </is>
      </c>
      <c r="N102" s="15" t="inlineStr">
        <is>
          <t>No method evidence on record.</t>
        </is>
      </c>
      <c r="O102" s="6" t="inlineStr">
        <is>
          <t>https://www.linkedin.com/in/james-kotzur-748107224/</t>
        </is>
      </c>
      <c r="P102" s="12" t="inlineStr"/>
      <c r="Q102" s="16">
        <f>IF(O102="","ADD LINKEDIN","ok")</f>
        <v/>
      </c>
      <c r="R102" s="12" t="inlineStr">
        <is>
          <t>https://www.coventryhomes.com/</t>
        </is>
      </c>
      <c r="S102" s="15" t="inlineStr">
        <is>
          <t>Close to 100 communities inside Dream Finders, which bought parent MHI in 2021.</t>
        </is>
      </c>
      <c r="T102" s="12" t="inlineStr"/>
      <c r="U102" s="15" t="inlineStr">
        <is>
          <t>Division President at DFH - Coventry Homes. Houston, Texas. First named executive found for this firm, and the DFH prefix identifies the parent.</t>
        </is>
      </c>
      <c r="V102" s="12" t="inlineStr"/>
      <c r="W102" s="12" t="inlineStr">
        <is>
          <t>https://www.linkedin.com/company/coventryhomes</t>
        </is>
      </c>
      <c r="X102" s="12" t="inlineStr"/>
      <c r="Y102" s="12" t="inlineStr"/>
      <c r="Z102" s="12" t="inlineStr">
        <is>
          <t>(713) 903-2596</t>
        </is>
      </c>
      <c r="AA102" s="12" t="inlineStr">
        <is>
          <t>Houston</t>
        </is>
      </c>
      <c r="AB102" s="12" t="inlineStr">
        <is>
          <t>https://www.coventryhomes.com/connect/</t>
        </is>
      </c>
      <c r="AC102" s="12" t="inlineStr"/>
      <c r="AD102" s="12" t="inlineStr"/>
    </row>
    <row r="103">
      <c r="A103" s="6" t="inlineStr">
        <is>
          <t>Jeff Dye</t>
        </is>
      </c>
      <c r="B103" s="6" t="inlineStr">
        <is>
          <t>Newmark Homes</t>
        </is>
      </c>
      <c r="C103" s="6" t="inlineStr">
        <is>
          <t>President</t>
        </is>
      </c>
      <c r="D103" s="7" t="inlineStr">
        <is>
          <t>One gap</t>
        </is>
      </c>
      <c r="E103" s="8" t="n">
        <v>2</v>
      </c>
      <c r="F103" s="6" t="inlineStr">
        <is>
          <t>Buys walls</t>
        </is>
      </c>
      <c r="G103" s="6" t="inlineStr">
        <is>
          <t>Katy</t>
        </is>
      </c>
      <c r="H103" s="6" t="inlineStr">
        <is>
          <t>483 closings and $306 million in 2025, Houston and Austin together</t>
        </is>
      </c>
      <c r="I103" s="8" t="inlineStr">
        <is>
          <t>Partly</t>
        </is>
      </c>
      <c r="J103" s="9" t="inlineStr">
        <is>
          <t>97 floor plans on its own site, across Houston and Austin. The plan set is the problem here.</t>
        </is>
      </c>
      <c r="K103" s="8" t="inlineStr">
        <is>
          <t>Partly</t>
        </is>
      </c>
      <c r="L103" s="9" t="inlineStr">
        <is>
          <t>483 closings in 2025 and 511 in 2024. The volume supports machines; the dispersion does not.</t>
        </is>
      </c>
      <c r="M103" s="8" t="inlineStr">
        <is>
          <t>No</t>
        </is>
      </c>
      <c r="N103" s="9" t="inlineStr">
        <is>
          <t>It runs a proprietary energy programme under its own name, and a separate custom division for one-off work, so the production line is deliberately kept separate.</t>
        </is>
      </c>
      <c r="O103" s="10" t="inlineStr"/>
      <c r="P103" s="6">
        <f>HYPERLINK("https://www.linkedin.com/search/results/people/?keywords=Jeff%20Dye%20Newmark%20Homes","search")</f>
        <v/>
      </c>
      <c r="Q103" s="11">
        <f>IF(O103="","ADD LINKEDIN","ok")</f>
        <v/>
      </c>
      <c r="R103" s="6" t="inlineStr">
        <is>
          <t>https://newmarkhomes.com/</t>
        </is>
      </c>
      <c r="S103" s="9" t="inlineStr">
        <is>
          <t>97 floor plans on its own site, and a proprietary energy programme under its own name.</t>
        </is>
      </c>
      <c r="T103" s="6" t="inlineStr"/>
      <c r="U103" s="9" t="inlineStr">
        <is>
          <t>Houston Agent, February 2020: Jeff Dye assumed the position of president after 21 years with the firm.</t>
        </is>
      </c>
      <c r="V103" s="6" t="inlineStr">
        <is>
          <t>https://houstonagentmagazine.com/2020/02/06/making-moves-newmark-homes-appoints-top-leaders-edward-jones-becomes-latest-tenant-bridgeland/</t>
        </is>
      </c>
      <c r="W103" s="6" t="inlineStr"/>
      <c r="X103" s="6" t="inlineStr"/>
      <c r="Y103" s="6" t="inlineStr"/>
      <c r="Z103" s="6" t="inlineStr">
        <is>
          <t>(713) 346-0200</t>
        </is>
      </c>
      <c r="AA103" s="6" t="inlineStr">
        <is>
          <t>office</t>
        </is>
      </c>
      <c r="AB103" s="6" t="inlineStr">
        <is>
          <t>https://newmarkhomes.com/</t>
        </is>
      </c>
      <c r="AC103" s="6" t="inlineStr"/>
      <c r="AD103" s="6" t="inlineStr"/>
    </row>
    <row r="104">
      <c r="A104" s="12" t="inlineStr">
        <is>
          <t>Frank Sitterle, Jr.</t>
        </is>
      </c>
      <c r="B104" s="12" t="inlineStr">
        <is>
          <t>Sitterle Homes</t>
        </is>
      </c>
      <c r="C104" s="12" t="inlineStr">
        <is>
          <t>Co-owner</t>
        </is>
      </c>
      <c r="D104" s="13" t="inlineStr">
        <is>
          <t>One gap</t>
        </is>
      </c>
      <c r="E104" s="14" t="n">
        <v>2</v>
      </c>
      <c r="F104" s="12" t="inlineStr">
        <is>
          <t>Buys walls</t>
        </is>
      </c>
      <c r="G104" s="12" t="inlineStr">
        <is>
          <t>San Antonio, building in Houston</t>
        </is>
      </c>
      <c r="H104" s="12" t="inlineStr">
        <is>
          <t>372 closings company-wide in 2022, no Houston figure</t>
        </is>
      </c>
      <c r="I104" s="14" t="inlineStr">
        <is>
          <t>Partly</t>
        </is>
      </c>
      <c r="J104" s="15" t="inlineStr">
        <is>
          <t>Four Houston communities out of a four-market footprint. The plan catalogue is shared across all four.</t>
        </is>
      </c>
      <c r="K104" s="14" t="inlineStr">
        <is>
          <t>Partly</t>
        </is>
      </c>
      <c r="L104" s="15" t="inlineStr">
        <is>
          <t>No volume figure. Houston is secondary to San Antonio, so the local share is small.</t>
        </is>
      </c>
      <c r="M104" s="14" t="inlineStr">
        <is>
          <t>No</t>
        </is>
      </c>
      <c r="N104" s="15" t="inlineStr">
        <is>
          <t>No method evidence.</t>
        </is>
      </c>
      <c r="O104" s="6" t="inlineStr">
        <is>
          <t>https://www.linkedin.com/in/frank-sitterle-071b8246/</t>
        </is>
      </c>
      <c r="P104" s="12" t="inlineStr"/>
      <c r="Q104" s="16">
        <f>IF(O104="","ADD LINKEDIN","ok")</f>
        <v/>
      </c>
      <c r="R104" s="12" t="inlineStr">
        <is>
          <t>https://www.sitterlehomes.com/</t>
        </is>
      </c>
      <c r="S104" s="15" t="inlineStr">
        <is>
          <t>Four Houston communities from a San Antonio base, with a named director of purchasing. Houston is the secondary market.</t>
        </is>
      </c>
      <c r="T104" s="12" t="inlineStr"/>
      <c r="U104" s="15" t="inlineStr">
        <is>
          <t>Indexed title reads Frank Sitterle, President, Sitterle Homes. The firm's about page has him acquiring the company in 2005 with Jeff Buell.</t>
        </is>
      </c>
      <c r="V104" s="12" t="inlineStr"/>
      <c r="W104" s="12" t="inlineStr"/>
      <c r="X104" s="12" t="inlineStr"/>
      <c r="Y104" s="12" t="inlineStr"/>
      <c r="Z104" s="12" t="inlineStr">
        <is>
          <t>(281) 664-7255</t>
        </is>
      </c>
      <c r="AA104" s="12" t="inlineStr">
        <is>
          <t>Houston design studio</t>
        </is>
      </c>
      <c r="AB104" s="12" t="inlineStr">
        <is>
          <t>https://sitterlehomes.com/contact/</t>
        </is>
      </c>
      <c r="AC104" s="12" t="inlineStr"/>
      <c r="AD104" s="12" t="inlineStr"/>
    </row>
    <row r="105">
      <c r="A105" s="6" t="inlineStr">
        <is>
          <t>Chris Hightower</t>
        </is>
      </c>
      <c r="B105" s="6" t="inlineStr">
        <is>
          <t>Sitterle Homes</t>
        </is>
      </c>
      <c r="C105" s="6" t="inlineStr">
        <is>
          <t>Division President, Houston</t>
        </is>
      </c>
      <c r="D105" s="7" t="inlineStr">
        <is>
          <t>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6" t="inlineStr">
        <is>
          <t>https://www.linkedin.com/in/chris-hightower-029b45112/</t>
        </is>
      </c>
      <c r="P105" s="6" t="inlineStr"/>
      <c r="Q105" s="11">
        <f>IF(O105="","ADD LINKEDIN","ok")</f>
        <v/>
      </c>
      <c r="R105" s="6" t="inlineStr">
        <is>
          <t>https://www.sitterlehomes.com/</t>
        </is>
      </c>
      <c r="S105" s="9" t="inlineStr">
        <is>
          <t>Four Houston communities from a San Antonio base, with a named director of purchasing. Houston is the secondary market.</t>
        </is>
      </c>
      <c r="T105" s="6" t="inlineStr"/>
      <c r="U105" s="9" t="inlineStr">
        <is>
          <t>Indexed title reads Chris Hightower, Division President at Sitterle Homes. The GHBA member directory lists him as Division President, Houston.</t>
        </is>
      </c>
      <c r="V105" s="6" t="inlineStr"/>
      <c r="W105" s="6" t="inlineStr"/>
      <c r="X105" s="6" t="inlineStr"/>
      <c r="Y105" s="6" t="inlineStr"/>
      <c r="Z105" s="6" t="inlineStr">
        <is>
          <t>(281) 664-7255</t>
        </is>
      </c>
      <c r="AA105" s="6" t="inlineStr">
        <is>
          <t>Houston design studio</t>
        </is>
      </c>
      <c r="AB105" s="6" t="inlineStr">
        <is>
          <t>https://sitterlehomes.com/contact/</t>
        </is>
      </c>
      <c r="AC105" s="6" t="inlineStr"/>
      <c r="AD105" s="6" t="inlineStr"/>
    </row>
    <row r="106">
      <c r="A106" s="12" t="inlineStr">
        <is>
          <t>Jeff Buell</t>
        </is>
      </c>
      <c r="B106" s="12" t="inlineStr">
        <is>
          <t>Sitterle Homes</t>
        </is>
      </c>
      <c r="C106" s="12" t="inlineStr">
        <is>
          <t>Co-owner</t>
        </is>
      </c>
      <c r="D106" s="13" t="inlineStr">
        <is>
          <t>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0" t="inlineStr"/>
      <c r="P106" s="12" t="inlineStr"/>
      <c r="Q106" s="16">
        <f>IF(O106="","ADD LINKEDIN","ok")</f>
        <v/>
      </c>
      <c r="R106" s="12" t="inlineStr">
        <is>
          <t>https://www.sitterlehomes.com/</t>
        </is>
      </c>
      <c r="S106" s="15" t="inlineStr">
        <is>
          <t>Four Houston communities from a San Antonio base, with a named director of purchasing. Houston is the secondary market.</t>
        </is>
      </c>
      <c r="T106" s="12" t="inlineStr"/>
      <c r="U106" s="15" t="inlineStr">
        <is>
          <t>The about page records the two of them acquiring the company in 2005 and assigns neither a title.</t>
        </is>
      </c>
      <c r="V106" s="12" t="inlineStr">
        <is>
          <t>https://sitterlehomes.com/about-us/</t>
        </is>
      </c>
      <c r="W106" s="12" t="inlineStr"/>
      <c r="X106" s="12" t="inlineStr"/>
      <c r="Y106" s="12" t="inlineStr"/>
      <c r="Z106" s="12" t="inlineStr">
        <is>
          <t>(281) 664-7255</t>
        </is>
      </c>
      <c r="AA106" s="12" t="inlineStr">
        <is>
          <t>Houston design studio</t>
        </is>
      </c>
      <c r="AB106" s="12" t="inlineStr">
        <is>
          <t>https://sitterlehomes.com/contact/</t>
        </is>
      </c>
      <c r="AC106" s="12" t="inlineStr"/>
      <c r="AD106" s="12" t="inlineStr"/>
    </row>
    <row r="107">
      <c r="A107" s="6" t="inlineStr">
        <is>
          <t>Neil Joshi</t>
        </is>
      </c>
      <c r="B107" s="6" t="inlineStr">
        <is>
          <t>RSK Real Estate Partners</t>
        </is>
      </c>
      <c r="C107" s="6" t="inlineStr">
        <is>
          <t>Managing Member, RSK Real Estate Partners</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Two projects and no published unit count beyond them. The firm publishes three construction directors and a purchasing manager.</t>
        </is>
      </c>
      <c r="M107" s="8" t="inlineStr">
        <is>
          <t>No</t>
        </is>
      </c>
      <c r="N107" s="9" t="inlineStr">
        <is>
          <t>No method evidence found.</t>
        </is>
      </c>
      <c r="O107" s="10" t="inlineStr"/>
      <c r="P107" s="6">
        <f>HYPERLINK("https://www.linkedin.com/search/results/people/?keywords=Neil%20Joshi%20RSK%20Real%20Estate%20Partners","search")</f>
        <v/>
      </c>
      <c r="Q107" s="11">
        <f>IF(O107="","ADD LINKEDIN","ok")</f>
        <v/>
      </c>
      <c r="R107" s="6" t="inlineStr">
        <is>
          <t>https://rskrealestatepartners.com/</t>
        </is>
      </c>
      <c r="S107" s="9" t="inlineStr">
        <is>
          <t>Two Katy duplex projects, one on Galileo Way and one at Katy Pointe Boulevard.</t>
        </is>
      </c>
      <c r="T107" s="6" t="inlineStr"/>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Hannah Ripkey</t>
        </is>
      </c>
      <c r="B108" s="12" t="inlineStr">
        <is>
          <t>RSK Real Estate Partners</t>
        </is>
      </c>
      <c r="C108" s="12" t="inlineStr">
        <is>
          <t>Vice President of Development, RSK Real Estate Partners</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0" t="inlineStr"/>
      <c r="P108" s="12">
        <f>HYPERLINK("https://www.linkedin.com/search/results/people/?keywords=Hannah%20Ripkey%20RSK%20Real%20Estate%20Partners","search")</f>
        <v/>
      </c>
      <c r="Q108" s="16">
        <f>IF(O108="","ADD LINKEDIN","ok")</f>
        <v/>
      </c>
      <c r="R108" s="12" t="inlineStr">
        <is>
          <t>https://rskrealestatepartners.com/</t>
        </is>
      </c>
      <c r="S108" s="15" t="inlineStr">
        <is>
          <t>Two Katy duplex projects, one on Galileo Way and one at Katy Pointe Boulevard.</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Jim Foy</t>
        </is>
      </c>
      <c r="B109" s="6" t="inlineStr">
        <is>
          <t>RSK Real Estate Partners</t>
        </is>
      </c>
      <c r="C109" s="6" t="inlineStr">
        <is>
          <t>Houston Director of Construction</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10" t="inlineStr"/>
      <c r="P109" s="6" t="inlineStr"/>
      <c r="Q109" s="11">
        <f>IF(O109="","ADD LINKEDIN","ok")</f>
        <v/>
      </c>
      <c r="R109" s="6" t="inlineStr">
        <is>
          <t>https://rskrealestatepartners.com/</t>
        </is>
      </c>
      <c r="S109" s="9" t="inlineStr">
        <is>
          <t>Two Katy duplex projects, one on Galileo Way and one at Katy Pointe Boulevard.</t>
        </is>
      </c>
      <c r="T109" s="6" t="inlineStr">
        <is>
          <t>YES</t>
        </is>
      </c>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Corey Wilson</t>
        </is>
      </c>
      <c r="B110" s="12" t="inlineStr">
        <is>
          <t>RSK Real Estate Partners</t>
        </is>
      </c>
      <c r="C110" s="12" t="inlineStr">
        <is>
          <t>Regional Director of Construction</t>
        </is>
      </c>
      <c r="D110" s="13" t="inlineStr">
        <is>
          <t>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duplexes on two Katy sites.</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0" t="inlineStr"/>
      <c r="P110" s="12" t="inlineStr"/>
      <c r="Q110" s="16">
        <f>IF(O110="","ADD LINKEDIN","ok")</f>
        <v/>
      </c>
      <c r="R110" s="12" t="inlineStr">
        <is>
          <t>https://rskrealestatepartners.com/</t>
        </is>
      </c>
      <c r="S110" s="15" t="inlineStr">
        <is>
          <t>Two Katy duplex projects, one on Galileo Way and one at Katy Pointe Boulevard.</t>
        </is>
      </c>
      <c r="T110" s="12" t="inlineStr"/>
      <c r="U110" s="15" t="inlineStr"/>
      <c r="V110" s="12" t="inlineStr">
        <is>
          <t>https://rskrealestatepartners.com/our-team/</t>
        </is>
      </c>
      <c r="W110" s="12" t="inlineStr">
        <is>
          <t>https://www.linkedin.com/company/rsk-real-estate-partners</t>
        </is>
      </c>
      <c r="X110" s="12" t="inlineStr">
        <is>
          <t>https://rskrealestatepartners.com/our-team/</t>
        </is>
      </c>
      <c r="Y110" s="12" t="inlineStr"/>
      <c r="Z110" s="12" t="inlineStr"/>
      <c r="AA110" s="12" t="inlineStr"/>
      <c r="AB110" s="12" t="inlineStr"/>
      <c r="AC110" s="12" t="inlineStr"/>
      <c r="AD110" s="12" t="inlineStr"/>
    </row>
    <row r="111">
      <c r="A111" s="6" t="inlineStr">
        <is>
          <t>Kevin Calderon</t>
        </is>
      </c>
      <c r="B111" s="6" t="inlineStr">
        <is>
          <t>RSK Real Estate Partners</t>
        </is>
      </c>
      <c r="C111" s="6" t="inlineStr">
        <is>
          <t>Purchasing Manager</t>
        </is>
      </c>
      <c r="D111" s="7" t="inlineStr">
        <is>
          <t>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duplexes on two Katy sites.</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10" t="inlineStr"/>
      <c r="P111" s="6" t="inlineStr"/>
      <c r="Q111" s="11">
        <f>IF(O111="","ADD LINKEDIN","ok")</f>
        <v/>
      </c>
      <c r="R111" s="6" t="inlineStr">
        <is>
          <t>https://rskrealestatepartners.com/</t>
        </is>
      </c>
      <c r="S111" s="9" t="inlineStr">
        <is>
          <t>Two Katy duplex projects, one on Galileo Way and one at Katy Pointe Boulevard.</t>
        </is>
      </c>
      <c r="T111" s="6" t="inlineStr"/>
      <c r="U111" s="9" t="inlineStr"/>
      <c r="V111" s="6" t="inlineStr">
        <is>
          <t>https://rskrealestatepartners.com/our-team/</t>
        </is>
      </c>
      <c r="W111" s="6" t="inlineStr">
        <is>
          <t>https://www.linkedin.com/company/rsk-real-estate-partners</t>
        </is>
      </c>
      <c r="X111" s="6" t="inlineStr">
        <is>
          <t>https://rskrealestatepartners.com/our-team/</t>
        </is>
      </c>
      <c r="Y111" s="6" t="inlineStr"/>
      <c r="Z111" s="6" t="inlineStr"/>
      <c r="AA111" s="6" t="inlineStr"/>
      <c r="AB111" s="6" t="inlineStr"/>
      <c r="AC111" s="6" t="inlineStr"/>
      <c r="AD111" s="6" t="inlineStr"/>
    </row>
    <row r="112">
      <c r="A112" s="12" t="inlineStr">
        <is>
          <t>Stephen Najvar</t>
        </is>
      </c>
      <c r="B112" s="12" t="inlineStr">
        <is>
          <t>Ravenna Homes</t>
        </is>
      </c>
      <c r="C112" s="12" t="inlineStr">
        <is>
          <t>President</t>
        </is>
      </c>
      <c r="D112" s="13" t="inlineStr">
        <is>
          <t>One gap</t>
        </is>
      </c>
      <c r="E112" s="14" t="n">
        <v>2</v>
      </c>
      <c r="F112" s="12" t="inlineStr">
        <is>
          <t>Buys walls</t>
        </is>
      </c>
      <c r="G112" s="12" t="inlineStr">
        <is>
          <t>Cypress</t>
        </is>
      </c>
      <c r="H112" s="12" t="inlineStr">
        <is>
          <t>Seven communities, from the $500,000s</t>
        </is>
      </c>
      <c r="I112" s="14" t="inlineStr">
        <is>
          <t>Partly</t>
        </is>
      </c>
      <c r="J112" s="15" t="inlineStr">
        <is>
          <t>Seven communities, all in the north and northwest corridor, which keeps the plan set together.</t>
        </is>
      </c>
      <c r="K112" s="14" t="inlineStr">
        <is>
          <t>Partly</t>
        </is>
      </c>
      <c r="L112" s="15" t="inlineStr">
        <is>
          <t>No closings figure is published. Price point above $500,000 implies volume below the machine band.</t>
        </is>
      </c>
      <c r="M112" s="14" t="inlineStr">
        <is>
          <t>No</t>
        </is>
      </c>
      <c r="N112" s="15" t="inlineStr">
        <is>
          <t>No method evidence beyond energy efficiency and smart home options.</t>
        </is>
      </c>
      <c r="O112" s="6" t="inlineStr">
        <is>
          <t>https://www.linkedin.com/in/stephennajvar/</t>
        </is>
      </c>
      <c r="P112" s="12" t="inlineStr"/>
      <c r="Q112" s="16">
        <f>IF(O112="","ADD LINKEDIN","ok")</f>
        <v/>
      </c>
      <c r="R112" s="12" t="inlineStr">
        <is>
          <t>https://ravennahomes.com/</t>
        </is>
      </c>
      <c r="S112" s="15" t="inlineStr">
        <is>
          <t>The north and northwest growth corridor, with a named president and no published volume.</t>
        </is>
      </c>
      <c r="T112" s="12" t="inlineStr"/>
      <c r="U112" s="15" t="inlineStr">
        <is>
          <t>Indexed title reads Stephen Najvar, President at Ravenna Homes. A 2013 company release names him co-founder alongside his brother Kenneth Najvar, both formerly Perry Homes division presidents.</t>
        </is>
      </c>
      <c r="V112" s="12" t="inlineStr"/>
      <c r="W112" s="12" t="inlineStr"/>
      <c r="X112" s="12" t="inlineStr"/>
      <c r="Y112" s="12" t="inlineStr"/>
      <c r="Z112" s="12" t="inlineStr">
        <is>
          <t>(832) 653-3600</t>
        </is>
      </c>
      <c r="AA112" s="12" t="inlineStr"/>
      <c r="AB112" s="12" t="inlineStr">
        <is>
          <t>https://www.ravennahomes.com/</t>
        </is>
      </c>
      <c r="AC112" s="12" t="inlineStr"/>
      <c r="AD112" s="12" t="inlineStr"/>
    </row>
    <row r="113">
      <c r="A113" s="6" t="inlineStr">
        <is>
          <t>Dean Shultis</t>
        </is>
      </c>
      <c r="B113" s="6" t="inlineStr">
        <is>
          <t>DSRS Steel</t>
        </is>
      </c>
      <c r="C113" s="6" t="inlineStr">
        <is>
          <t>Co-founder</t>
        </is>
      </c>
      <c r="D113" s="7" t="inlineStr">
        <is>
          <t>Builds the wall, not the house</t>
        </is>
      </c>
      <c r="E113" s="8" t="n">
        <v>3</v>
      </c>
      <c r="F113" s="6" t="inlineStr">
        <is>
          <t>Builds the wall</t>
        </is>
      </c>
      <c r="G113" s="6" t="inlineStr">
        <is>
          <t>Houston, Pleasantville Drive, plus San Antonio and Central Texas</t>
        </is>
      </c>
      <c r="H113" s="6" t="inlineStr">
        <is>
          <t>A 150-home development on cold-formed steel</t>
        </is>
      </c>
      <c r="I113" s="8" t="inlineStr">
        <is>
          <t>Yes</t>
        </is>
      </c>
      <c r="J113" s="9" t="inlineStr">
        <is>
          <t>A manufactured wall system installed repeatedly across Houston subdivisions and custom work in one metro.</t>
        </is>
      </c>
      <c r="K113" s="8" t="inlineStr">
        <is>
          <t>Yes</t>
        </is>
      </c>
      <c r="L113" s="9" t="inlineStr">
        <is>
          <t>A firm framing subdivisions of this size, self-performing, is the scale where one or two machines would cover a real share of the wall it puts up.</t>
        </is>
      </c>
      <c r="M113" s="8" t="inlineStr">
        <is>
          <t>Yes</t>
        </is>
      </c>
      <c r="N113"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3" s="10" t="inlineStr"/>
      <c r="P113" s="6" t="inlineStr"/>
      <c r="Q113" s="11">
        <f>IF(O113="","ADD LINKEDIN","ok")</f>
        <v/>
      </c>
      <c r="R113" s="6" t="inlineStr">
        <is>
          <t>https://dsrssteel.com/</t>
        </is>
      </c>
      <c r="S113" s="9" t="inlineStr">
        <is>
          <t>Sold a Houston production builder a subdivision framed in something other than wood, and self-performs the installation.</t>
        </is>
      </c>
      <c r="T113" s="6" t="inlineStr">
        <is>
          <t>YES</t>
        </is>
      </c>
      <c r="U113" s="9" t="inlineStr">
        <is>
          <t>The development company that shares this firm's telephone line names Dean Shultis and Ralph Sharp as its founders, and the contact address published in the steel firm's own footer is dshultis@dsrssteel.com. DSRS is the two surnames.</t>
        </is>
      </c>
      <c r="V113" s="6" t="inlineStr">
        <is>
          <t>https://www.mccannpark.com/about</t>
        </is>
      </c>
      <c r="W113" s="6" t="inlineStr"/>
      <c r="X113" s="6" t="inlineStr"/>
      <c r="Y113" s="6" t="inlineStr"/>
      <c r="Z113" s="6" t="inlineStr">
        <is>
          <t>(512) 964-9960</t>
        </is>
      </c>
      <c r="AA113" s="6" t="inlineStr">
        <is>
          <t>the only number published</t>
        </is>
      </c>
      <c r="AB113" s="6" t="inlineStr">
        <is>
          <t>https://dsrssteel.com/</t>
        </is>
      </c>
      <c r="AC113" s="6" t="inlineStr"/>
      <c r="AD113" s="6" t="inlineStr"/>
    </row>
    <row r="114">
      <c r="A114" s="12" t="inlineStr">
        <is>
          <t>Ralph Sharp</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0" t="inlineStr"/>
      <c r="P114" s="12" t="inlineStr"/>
      <c r="Q114" s="16">
        <f>IF(O114="","ADD LINKEDIN","ok")</f>
        <v/>
      </c>
      <c r="R114" s="12" t="inlineStr">
        <is>
          <t>https://dsrssteel.com/</t>
        </is>
      </c>
      <c r="S114" s="15" t="inlineStr">
        <is>
          <t>Sold a Houston production builder a subdivision framed in something other than wood, and self-performs the installation.</t>
        </is>
      </c>
      <c r="T114" s="12" t="inlineStr"/>
      <c r="U114" s="15" t="inlineStr">
        <is>
          <t>Named as co-founder on the same page.</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Shane McCullough</t>
        </is>
      </c>
      <c r="B115" s="6" t="inlineStr">
        <is>
          <t>Future Frame USA</t>
        </is>
      </c>
      <c r="C115" s="6" t="inlineStr">
        <is>
          <t>President</t>
        </is>
      </c>
      <c r="D115" s="7" t="inlineStr">
        <is>
          <t>Builds the wall, not the house</t>
        </is>
      </c>
      <c r="E115" s="8" t="n">
        <v>3</v>
      </c>
      <c r="F115" s="6" t="inlineStr">
        <is>
          <t>Builds the wall</t>
        </is>
      </c>
      <c r="G115" s="6" t="inlineStr">
        <is>
          <t>New Caney plant, Conroe office, Montgomery County</t>
        </is>
      </c>
      <c r="H115" s="6" t="inlineStr">
        <is>
          <t>Automated wall panel line, 17,000 square feet</t>
        </is>
      </c>
      <c r="I115" s="8" t="inlineStr">
        <is>
          <t>Yes</t>
        </is>
      </c>
      <c r="J115" s="9" t="inlineStr">
        <is>
          <t>Wall panels made repeatedly for production builders inside one metro, from one plant.</t>
        </is>
      </c>
      <c r="K115" s="8" t="inlineStr">
        <is>
          <t>Yes</t>
        </is>
      </c>
      <c r="L115" s="9" t="inlineStr">
        <is>
          <t>A 17,000 square foot plant serving Texas production builders is the scale where one or two machines would cover a real share of the wall it ships.</t>
        </is>
      </c>
      <c r="M115" s="8" t="inlineStr">
        <is>
          <t>Yes</t>
        </is>
      </c>
      <c r="N115" s="9" t="inlineStr">
        <is>
          <t>It converted a plant to automated CNC panel production and sells the method itself as the product, against stick framing. Paying to replace a building method with a manufactured one is exactly what this count asks.</t>
        </is>
      </c>
      <c r="O115" s="10" t="inlineStr"/>
      <c r="P115" s="6" t="inlineStr"/>
      <c r="Q115" s="11">
        <f>IF(O115="","ADD LINKEDIN","ok")</f>
        <v/>
      </c>
      <c r="R115" s="6" t="inlineStr">
        <is>
          <t>https://futureframeusa.com/</t>
        </is>
      </c>
      <c r="S115" s="9" t="inlineStr">
        <is>
          <t>An automated plant making wall for Houston production builders, at a size one or two machines would cover.</t>
        </is>
      </c>
      <c r="T115" s="6" t="inlineStr">
        <is>
          <t>YES</t>
        </is>
      </c>
      <c r="U115" s="9" t="inlineStr">
        <is>
          <t>The firm's own team page. Top officer of a single-plant manufacturer.</t>
        </is>
      </c>
      <c r="V115" s="6" t="inlineStr">
        <is>
          <t>https://futureframeusa.com/meet-our-team/</t>
        </is>
      </c>
      <c r="W115" s="6" t="inlineStr"/>
      <c r="X115" s="6" t="inlineStr"/>
      <c r="Y115" s="6" t="inlineStr"/>
      <c r="Z115" s="6" t="inlineStr">
        <is>
          <t>(281) 231-9200</t>
        </is>
      </c>
      <c r="AA115" s="6" t="inlineStr">
        <is>
          <t>Conroe office</t>
        </is>
      </c>
      <c r="AB115" s="6" t="inlineStr">
        <is>
          <t>https://futureframeusa.com/contact/</t>
        </is>
      </c>
      <c r="AC115" s="6" t="inlineStr"/>
      <c r="AD115" s="6" t="inlineStr"/>
    </row>
    <row r="116">
      <c r="A116" s="12" t="inlineStr">
        <is>
          <t>Glen Gilbert</t>
        </is>
      </c>
      <c r="B116" s="12" t="inlineStr">
        <is>
          <t>Future Frame USA</t>
        </is>
      </c>
      <c r="C116" s="12" t="inlineStr">
        <is>
          <t>General Manager</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0" t="inlineStr"/>
      <c r="P116" s="12" t="inlineStr"/>
      <c r="Q116" s="16">
        <f>IF(O116="","ADD LINKEDIN","ok")</f>
        <v/>
      </c>
      <c r="R116" s="12" t="inlineStr">
        <is>
          <t>https://futureframeusa.com/</t>
        </is>
      </c>
      <c r="S116" s="15" t="inlineStr">
        <is>
          <t>An automated plant making wall for Houston production builders, at a size one or two machines would cover.</t>
        </is>
      </c>
      <c r="T116" s="12" t="inlineStr">
        <is>
          <t>YES</t>
        </is>
      </c>
      <c r="U116" s="15" t="inlineStr">
        <is>
          <t>The firm's own team page. He runs the New Caney plant, which is the asset a machine would land in.</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Brent Wheat</t>
        </is>
      </c>
      <c r="B117" s="6" t="inlineStr">
        <is>
          <t>Future Frame USA</t>
        </is>
      </c>
      <c r="C117" s="6" t="inlineStr">
        <is>
          <t>Design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10" t="inlineStr"/>
      <c r="P117" s="6" t="inlineStr"/>
      <c r="Q117" s="11">
        <f>IF(O117="","ADD LINKEDIN","ok")</f>
        <v/>
      </c>
      <c r="R117" s="6" t="inlineStr">
        <is>
          <t>https://futureframeusa.com/</t>
        </is>
      </c>
      <c r="S117" s="9" t="inlineStr">
        <is>
          <t>An automated plant making wall for Houston production builders, at a size one or two machines would cover.</t>
        </is>
      </c>
      <c r="T117" s="6" t="inlineStr"/>
      <c r="U117" s="9" t="inlineStr"/>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Larry Howard</t>
        </is>
      </c>
      <c r="B118" s="12" t="inlineStr">
        <is>
          <t>Future Frame USA</t>
        </is>
      </c>
      <c r="C118" s="12" t="inlineStr">
        <is>
          <t>Senior Account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6" t="inlineStr">
        <is>
          <t>https://www.linkedin.com/in/larry-howard-ab995b92/</t>
        </is>
      </c>
      <c r="P118" s="12" t="inlineStr"/>
      <c r="Q118" s="16">
        <f>IF(O118="","ADD LINKEDIN","ok")</f>
        <v/>
      </c>
      <c r="R118" s="12" t="inlineStr">
        <is>
          <t>https://futureframeusa.com/</t>
        </is>
      </c>
      <c r="S118" s="15" t="inlineStr">
        <is>
          <t>An automated plant making wall for Houston production builders, at a size one or two machines would cover.</t>
        </is>
      </c>
      <c r="T118" s="12" t="inlineStr"/>
      <c r="U118" s="15" t="inlineStr">
        <is>
          <t>The firm's own team page gives this title. His profile headline reads general manager, so one of the two is out of date.</t>
        </is>
      </c>
      <c r="V118" s="12" t="inlineStr"/>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Asher Kazmann, P.E.</t>
        </is>
      </c>
      <c r="B119" s="6" t="inlineStr">
        <is>
          <t>Locke Solutions</t>
        </is>
      </c>
      <c r="C119" s="6" t="inlineStr">
        <is>
          <t>President</t>
        </is>
      </c>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6" t="inlineStr">
        <is>
          <t>https://www.linkedin.com/in/asherkazmann/</t>
        </is>
      </c>
      <c r="P119" s="6" t="inlineStr"/>
      <c r="Q119" s="11">
        <f>IF(O119="","ADD LINKEDIN","ok")</f>
        <v/>
      </c>
      <c r="R119" s="6" t="inlineStr">
        <is>
          <t>https://lockesolutions.com/</t>
        </is>
      </c>
      <c r="S119" s="9" t="inlineStr">
        <is>
          <t>A producer that already moves production to the point of use is solving the same problem a printer solves, from a Houston plant with cranes and bays.</t>
        </is>
      </c>
      <c r="T119" s="6" t="inlineStr">
        <is>
          <t>YES</t>
        </is>
      </c>
      <c r="U119" s="9" t="inlineStr">
        <is>
          <t>The firm's own leadership page, and its own post of 10 September 2025 naming him a Houston Business Journal Most Admired CEO honoree.</t>
        </is>
      </c>
      <c r="V119" s="6" t="inlineStr"/>
      <c r="W119" s="6" t="inlineStr"/>
      <c r="X119" s="6" t="inlineStr"/>
      <c r="Y119" s="6" t="inlineStr"/>
      <c r="Z119" s="6" t="inlineStr">
        <is>
          <t>(832) 804-7062</t>
        </is>
      </c>
      <c r="AA119" s="6" t="inlineStr">
        <is>
          <t>the only number published</t>
        </is>
      </c>
      <c r="AB119" s="6" t="inlineStr">
        <is>
          <t>https://lockesolutions.com/contact-us/</t>
        </is>
      </c>
      <c r="AC119" s="6" t="inlineStr"/>
      <c r="AD119" s="6" t="inlineStr"/>
    </row>
    <row r="120">
      <c r="A120" s="12" t="inlineStr">
        <is>
          <t>Ivan Garcia</t>
        </is>
      </c>
      <c r="B120" s="12" t="inlineStr">
        <is>
          <t>Locke Solutions</t>
        </is>
      </c>
      <c r="C120" s="12" t="inlineStr">
        <is>
          <t>Chief Financial Officer</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0" t="inlineStr"/>
      <c r="P120" s="12" t="inlineStr"/>
      <c r="Q120" s="16">
        <f>IF(O120="","ADD LINKEDIN","ok")</f>
        <v/>
      </c>
      <c r="R120" s="12" t="inlineStr">
        <is>
          <t>https://lockesolutions.com/</t>
        </is>
      </c>
      <c r="S120" s="15" t="inlineStr">
        <is>
          <t>A producer that already moves production to the point of use is solving the same problem a printer solves, from a Houston plant with cranes and bays.</t>
        </is>
      </c>
      <c r="T120" s="12" t="inlineStr"/>
      <c r="U120" s="15" t="inlineStr">
        <is>
          <t>The firm's own leadership page. The second signature on a capital purchase.</t>
        </is>
      </c>
      <c r="V120" s="12" t="inlineStr">
        <is>
          <t>https://lockesolutions.com/people/</t>
        </is>
      </c>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David Espino</t>
        </is>
      </c>
      <c r="B121" s="6" t="inlineStr">
        <is>
          <t>Locke Solutions</t>
        </is>
      </c>
      <c r="C121" s="6" t="inlineStr">
        <is>
          <t>Director of Operations</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10" t="inlineStr"/>
      <c r="P121" s="6" t="inlineStr"/>
      <c r="Q121" s="11">
        <f>IF(O121="","ADD LINKEDIN","ok")</f>
        <v/>
      </c>
      <c r="R121" s="6" t="inlineStr">
        <is>
          <t>https://lockesolutions.com/</t>
        </is>
      </c>
      <c r="S121" s="9" t="inlineStr">
        <is>
          <t>A producer that already moves production to the point of use is solving the same problem a printer solves, from a Houston plant with cranes and bays.</t>
        </is>
      </c>
      <c r="T121" s="6" t="inlineStr"/>
      <c r="U121" s="9" t="inlineStr"/>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Chad Arpe</t>
        </is>
      </c>
      <c r="B122" s="12" t="inlineStr">
        <is>
          <t>Locke Solutions</t>
        </is>
      </c>
      <c r="C122" s="12" t="inlineStr">
        <is>
          <t>Director of Sales and Marketing</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6" t="inlineStr">
        <is>
          <t>https://www.linkedin.com/in/chad-arpe-b1981050/</t>
        </is>
      </c>
      <c r="P122" s="12" t="inlineStr"/>
      <c r="Q122" s="16">
        <f>IF(O122="","ADD LINKEDIN","ok")</f>
        <v/>
      </c>
      <c r="R122" s="12" t="inlineStr">
        <is>
          <t>https://lockesolutions.com/</t>
        </is>
      </c>
      <c r="S122" s="15" t="inlineStr">
        <is>
          <t>A producer that already moves production to the point of use is solving the same problem a printer solves, from a Houston plant with cranes and bays.</t>
        </is>
      </c>
      <c r="T122" s="12" t="inlineStr"/>
      <c r="U122" s="15" t="inlineStr">
        <is>
          <t>The firm's own leadership page. He is the name the precast trade directory lists as Locke's contact, and the title resolves him as sales.</t>
        </is>
      </c>
      <c r="V122" s="12" t="inlineStr"/>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Matt Zetlmeisl</t>
        </is>
      </c>
      <c r="B123" s="6" t="inlineStr">
        <is>
          <t>ICF Constructors</t>
        </is>
      </c>
      <c r="C123" s="6" t="inlineStr">
        <is>
          <t>Owner</t>
        </is>
      </c>
      <c r="D123" s="7" t="inlineStr">
        <is>
          <t>Builds the wall, not the house</t>
        </is>
      </c>
      <c r="E123" s="8" t="n">
        <v>3</v>
      </c>
      <c r="F123" s="6" t="inlineStr">
        <is>
          <t>Builds the wall</t>
        </is>
      </c>
      <c r="G123" s="6" t="inlineStr">
        <is>
          <t>Katy, Harris and Fort Bend, and the Texas coast</t>
        </is>
      </c>
      <c r="H123" s="6" t="inlineStr">
        <is>
          <t>Crews trained on 12 form systems, ICF since 2002</t>
        </is>
      </c>
      <c r="I123" s="8" t="inlineStr">
        <is>
          <t>Yes</t>
        </is>
      </c>
      <c r="J123" s="9" t="inlineStr">
        <is>
          <t>The same wall system, installed again and again across Houston and the coast since 2002.</t>
        </is>
      </c>
      <c r="K123" s="8" t="inlineStr">
        <is>
          <t>Partly</t>
        </is>
      </c>
      <c r="L123" s="9" t="inlineStr">
        <is>
          <t>No crew count or homes-a-year figure is published. On the bands, a firm with no published figure is a Partly, and that is the first thing to establish on the call.</t>
        </is>
      </c>
      <c r="M123" s="8" t="inlineStr">
        <is>
          <t>Yes</t>
        </is>
      </c>
      <c r="N123" s="9" t="inlineStr">
        <is>
          <t>Its entire business is a wall method that was new when it adopted it. The crews are trained on twelve form systems and run a twenty-step checklist before every placement.</t>
        </is>
      </c>
      <c r="O123" s="10" t="inlineStr"/>
      <c r="P123" s="6" t="inlineStr"/>
      <c r="Q123" s="11">
        <f>IF(O123="","ADD LINKEDIN","ok")</f>
        <v/>
      </c>
      <c r="R123" s="6" t="inlineStr">
        <is>
          <t>https://icfconstructors.com/</t>
        </is>
      </c>
      <c r="S123" s="9" t="inlineStr">
        <is>
          <t>Twenty-four years building concrete walls instead of wood ones, with its own crews.</t>
        </is>
      </c>
      <c r="T123" s="6" t="inlineStr">
        <is>
          <t>YES</t>
        </is>
      </c>
      <c r="U123" s="9" t="inlineStr">
        <is>
          <t>The firm's own about page: owned and operated by Matt Zetlmeisl since 2002.</t>
        </is>
      </c>
      <c r="V123" s="6" t="inlineStr">
        <is>
          <t>https://icfconstructors.com/about/</t>
        </is>
      </c>
      <c r="W123" s="6" t="inlineStr"/>
      <c r="X123" s="6" t="inlineStr"/>
      <c r="Y123" s="6" t="inlineStr"/>
      <c r="Z123" s="6" t="inlineStr">
        <is>
          <t>(832) 264-6282</t>
        </is>
      </c>
      <c r="AA123" s="6" t="inlineStr">
        <is>
          <t>office</t>
        </is>
      </c>
      <c r="AB123" s="6" t="inlineStr">
        <is>
          <t>https://icfconstructors.com/</t>
        </is>
      </c>
      <c r="AC123" s="6" t="inlineStr"/>
      <c r="AD123" s="6" t="inlineStr"/>
    </row>
    <row r="124">
      <c r="A124" s="12" t="inlineStr">
        <is>
          <t>Eleazar Botello</t>
        </is>
      </c>
      <c r="B124" s="12" t="inlineStr">
        <is>
          <t>Botello Builders</t>
        </is>
      </c>
      <c r="C124" s="12" t="inlineStr">
        <is>
          <t>Founder</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At that size one or two printers would cover part of a year's wall.</t>
        </is>
      </c>
      <c r="M124" s="14" t="inlineStr">
        <is>
          <t>No</t>
        </is>
      </c>
      <c r="N124" s="15" t="inlineStr">
        <is>
          <t>No method statement on record. Its published work is conventional tilt-up and foundations.</t>
        </is>
      </c>
      <c r="O124" s="6" t="inlineStr">
        <is>
          <t>https://www.linkedin.com/in/eleazarbotello/</t>
        </is>
      </c>
      <c r="P124" s="12" t="inlineStr"/>
      <c r="Q124" s="16">
        <f>IF(O124="","ADD LINKEDIN","ok")</f>
        <v/>
      </c>
      <c r="R124" s="12" t="inlineStr">
        <is>
          <t>https://www.botellobuilders.com/</t>
        </is>
      </c>
      <c r="S124" s="15" t="inlineStr">
        <is>
          <t>A self-performing concrete sub, still owned by the three brothers who started it.</t>
        </is>
      </c>
      <c r="T124" s="12" t="inlineStr">
        <is>
          <t>YES</t>
        </is>
      </c>
      <c r="U124" s="15" t="inlineStr">
        <is>
          <t>Headline reads President at Botello Builders Corporation. Houston, Texas. The firm's own site calls him a founder and gives no title. The firm's own site: founded in early 2007 by Eleazar, Eden and Jose Botello, starting in residential work.</t>
        </is>
      </c>
      <c r="V124" s="12" t="inlineStr">
        <is>
          <t>https://www.botellobuilders.com/</t>
        </is>
      </c>
      <c r="W124" s="12" t="inlineStr"/>
      <c r="X124" s="12" t="inlineStr">
        <is>
          <t>https://www.botellobuilders.com/</t>
        </is>
      </c>
      <c r="Y124" s="12" t="inlineStr"/>
      <c r="Z124" s="12" t="inlineStr">
        <is>
          <t>(281) 784-3070</t>
        </is>
      </c>
      <c r="AA124" s="12" t="inlineStr"/>
      <c r="AB124" s="12" t="inlineStr">
        <is>
          <t>https://www.botellobuilders.com/contact-us/</t>
        </is>
      </c>
      <c r="AC124" s="12" t="inlineStr"/>
      <c r="AD124" s="12" t="inlineStr"/>
    </row>
    <row r="125">
      <c r="A125" s="6" t="inlineStr">
        <is>
          <t>Eden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At that size one or two printers would cover part of a year's wall.</t>
        </is>
      </c>
      <c r="M125" s="8" t="inlineStr">
        <is>
          <t>No</t>
        </is>
      </c>
      <c r="N125" s="9" t="inlineStr">
        <is>
          <t>No method statement on record. Its published work is conventional tilt-up and foundations.</t>
        </is>
      </c>
      <c r="O125" s="6" t="inlineStr">
        <is>
          <t>https://www.linkedin.com/in/eden-botello-28a5691b5/</t>
        </is>
      </c>
      <c r="P125" s="6" t="inlineStr"/>
      <c r="Q125" s="11">
        <f>IF(O125="","ADD LINKEDIN","ok")</f>
        <v/>
      </c>
      <c r="R125" s="6" t="inlineStr">
        <is>
          <t>https://www.botellobuilders.com/</t>
        </is>
      </c>
      <c r="S125" s="9" t="inlineStr">
        <is>
          <t>A self-performing concrete sub, still owned by the three brothers who started it.</t>
        </is>
      </c>
      <c r="T125" s="6" t="inlineStr">
        <is>
          <t>YES</t>
        </is>
      </c>
      <c r="U125" s="9" t="inlineStr">
        <is>
          <t>Headline reads Operations Manager at Botello Builders Corporation. Houston, Texas. The firm's own site: founded in early 2007 by Eleazar, Eden and Jose Botello, starting in residential work.</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Jose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At that size one or two printers would cover part of a year's wall.</t>
        </is>
      </c>
      <c r="M126" s="14" t="inlineStr">
        <is>
          <t>No</t>
        </is>
      </c>
      <c r="N126" s="15" t="inlineStr">
        <is>
          <t>No method statement on record. Its published work is conventional tilt-up and foundations.</t>
        </is>
      </c>
      <c r="O126" s="10" t="inlineStr"/>
      <c r="P126" s="12" t="inlineStr"/>
      <c r="Q126" s="16">
        <f>IF(O126="","ADD LINKEDIN","ok")</f>
        <v/>
      </c>
      <c r="R126" s="12" t="inlineStr">
        <is>
          <t>https://www.botellobuilders.com/</t>
        </is>
      </c>
      <c r="S126" s="15" t="inlineStr">
        <is>
          <t>A self-performing concrete sub, still owned by the three brothers who started it.</t>
        </is>
      </c>
      <c r="T126" s="12" t="inlineStr">
        <is>
          <t>YES</t>
        </is>
      </c>
      <c r="U126" s="15" t="inlineStr">
        <is>
          <t>The firm's own site: founded in early 2007 by Eleazar, Eden and Jose Botello, starting in residential work.</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Nathan Frazier</t>
        </is>
      </c>
      <c r="B127" s="6" t="inlineStr">
        <is>
          <t>All About Concrete</t>
        </is>
      </c>
      <c r="C127" s="6" t="inlineStr">
        <is>
          <t>Founder and Chief Executive Officer</t>
        </is>
      </c>
      <c r="D127" s="7" t="inlineStr">
        <is>
          <t>Builds the wall, not the house</t>
        </is>
      </c>
      <c r="E127" s="8" t="n">
        <v>2</v>
      </c>
      <c r="F127" s="6" t="inlineStr">
        <is>
          <t>Builds the wall</t>
        </is>
      </c>
      <c r="G127" s="6" t="inlineStr">
        <is>
          <t>Tomball, Houston primary, also Dallas-Fort Worth, Austin and San Antonio</t>
        </is>
      </c>
      <c r="H127" s="6" t="inlineStr">
        <is>
          <t>Turn-key concrete for production builders</t>
        </is>
      </c>
      <c r="I127" s="8" t="inlineStr">
        <is>
          <t>Yes</t>
        </is>
      </c>
      <c r="J127" s="9" t="inlineStr">
        <is>
          <t>Turn-key concrete repeated for production builders across the same Houston submarkets.</t>
        </is>
      </c>
      <c r="K127" s="8" t="inlineStr">
        <is>
          <t>Yes</t>
        </is>
      </c>
      <c r="L127" s="9" t="inlineStr">
        <is>
          <t>A single-office contractor serving production builders is the scale where one or two machines would cover a real share of the work it takes on.</t>
        </is>
      </c>
      <c r="M127" s="8" t="inlineStr">
        <is>
          <t>No</t>
        </is>
      </c>
      <c r="N127" s="9" t="inlineStr">
        <is>
          <t>No record of paying for an unproven method, and no method content on the site at all.</t>
        </is>
      </c>
      <c r="O127" s="6" t="inlineStr">
        <is>
          <t>https://www.linkedin.com/in/nathan-frazier-frazier-528106104</t>
        </is>
      </c>
      <c r="P127" s="6" t="inlineStr"/>
      <c r="Q127" s="11">
        <f>IF(O127="","ADD LINKEDIN","ok")</f>
        <v/>
      </c>
      <c r="R127" s="6" t="inlineStr">
        <is>
          <t>https://allaboutconcretellc.net/</t>
        </is>
      </c>
      <c r="S127" s="9" t="inlineStr">
        <is>
          <t>Turn-key concrete for residential production builders in Houston, in the firm's own words.</t>
        </is>
      </c>
      <c r="T127" s="6" t="inlineStr">
        <is>
          <t>YES</t>
        </is>
      </c>
      <c r="U127" s="9" t="inlineStr">
        <is>
          <t>High Street Capital's announcement of its investment, August 2026, names him as founder and confirms him continuing as chief executive. The firm's own site has a Leadership heading that names nobody.</t>
        </is>
      </c>
      <c r="V127" s="6" t="inlineStr"/>
      <c r="W127" s="6" t="inlineStr"/>
      <c r="X127" s="6" t="inlineStr"/>
      <c r="Y127" s="6" t="inlineStr"/>
      <c r="Z127" s="6" t="inlineStr">
        <is>
          <t>(281) 370-4470</t>
        </is>
      </c>
      <c r="AA127" s="6" t="inlineStr">
        <is>
          <t>Tomball</t>
        </is>
      </c>
      <c r="AB127" s="6" t="inlineStr">
        <is>
          <t>https://allaboutconcretellc.net/partner-with-us/</t>
        </is>
      </c>
      <c r="AC127" s="6" t="inlineStr"/>
      <c r="AD127" s="6" t="inlineStr"/>
    </row>
    <row r="128">
      <c r="A128" s="12" t="inlineStr">
        <is>
          <t>Don Edwards</t>
        </is>
      </c>
      <c r="B128" s="12" t="inlineStr">
        <is>
          <t>All About Concrete</t>
        </is>
      </c>
      <c r="C128" s="12" t="inlineStr">
        <is>
          <t>Chief Operating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0" t="inlineStr"/>
      <c r="P128" s="12" t="inlineStr"/>
      <c r="Q128" s="16">
        <f>IF(O128="","ADD LINKEDIN","ok")</f>
        <v/>
      </c>
      <c r="R128" s="12" t="inlineStr">
        <is>
          <t>https://allaboutconcretellc.net/</t>
        </is>
      </c>
      <c r="S128" s="15" t="inlineStr">
        <is>
          <t>Turn-key concrete for residential production builders in Houston, in the firm's own words.</t>
        </is>
      </c>
      <c r="T128" s="12" t="inlineStr"/>
      <c r="U128" s="15" t="inlineStr">
        <is>
          <t>Named in the same announcement as continuing chief operating officer.</t>
        </is>
      </c>
      <c r="V128" s="12" t="inlineStr">
        <is>
          <t>https://www.highstreetcapital.com/news/high-street-capital-invests-in-all-about-concrete/</t>
        </is>
      </c>
      <c r="W128" s="12" t="inlineStr"/>
      <c r="X128" s="12" t="inlineStr"/>
      <c r="Y128" s="12" t="inlineStr"/>
      <c r="Z128" s="12" t="inlineStr">
        <is>
          <t>(281) 370-4470</t>
        </is>
      </c>
      <c r="AA128" s="12" t="inlineStr">
        <is>
          <t>Tomball</t>
        </is>
      </c>
      <c r="AB128" s="12" t="inlineStr">
        <is>
          <t>https://allaboutconcretellc.net/partner-with-us/</t>
        </is>
      </c>
      <c r="AC128" s="12" t="inlineStr"/>
      <c r="AD128" s="12" t="inlineStr"/>
    </row>
    <row r="129">
      <c r="A129" s="6" t="inlineStr">
        <is>
          <t>Robert V. Barnes III</t>
        </is>
      </c>
      <c r="B129" s="6" t="inlineStr">
        <is>
          <t>Dee Brown</t>
        </is>
      </c>
      <c r="C129" s="6" t="inlineStr">
        <is>
          <t>President and Chief Executive Officer</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Load-bearing and veneer masonry laid repeatedly across one region for seven decades.</t>
        </is>
      </c>
      <c r="K129" s="8" t="inlineStr">
        <is>
          <t>Partly</t>
        </is>
      </c>
      <c r="L129" s="9" t="inlineStr">
        <is>
          <t>A firm of this age and reach puts up more wall than one or two printers would cover, and the prefabricated line is one product among many.</t>
        </is>
      </c>
      <c r="M129" s="8" t="inlineStr">
        <is>
          <t>Partly</t>
        </is>
      </c>
      <c r="N129" s="9" t="inlineStr">
        <is>
          <t>It runs a 7,700 square foot fabrication facility producing prefabricated stone and masonry wall systems, which is capital spent to move wall production off the scaffold. It states an interest in prefabricated materials on its own site.</t>
        </is>
      </c>
      <c r="O129" s="10" t="inlineStr"/>
      <c r="P129" s="6" t="inlineStr"/>
      <c r="Q129" s="11">
        <f>IF(O129="","ADD LINKEDIN","ok")</f>
        <v/>
      </c>
      <c r="R129" s="6" t="inlineStr">
        <is>
          <t>https://www.deebrowncompanies.com/</t>
        </is>
      </c>
      <c r="S129" s="9" t="inlineStr">
        <is>
          <t>It already sells a prefabricated masonry wall system and says on its own site that it is looking for new ones.</t>
        </is>
      </c>
      <c r="T129" s="6" t="inlineStr">
        <is>
          <t>YES</t>
        </is>
      </c>
      <c r="U129"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29" s="6" t="inlineStr">
        <is>
          <t>https://www.dmagazine.com/publications/d-ceo/2023/august/third-generation-family-run-company-dee-brown-inc-has-had-a-hand-in-some-of-north-texas-most-iconic-buildings/</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Tim Hughes</t>
        </is>
      </c>
      <c r="B130" s="12" t="inlineStr">
        <is>
          <t>Dee Brown</t>
        </is>
      </c>
      <c r="C130" s="12" t="inlineStr">
        <is>
          <t>Senior Vice President, Construction Management</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0" t="inlineStr"/>
      <c r="P130" s="12" t="inlineStr"/>
      <c r="Q130" s="16">
        <f>IF(O130="","ADD LINKEDIN","ok")</f>
        <v/>
      </c>
      <c r="R130" s="12" t="inlineStr">
        <is>
          <t>https://www.deebrowncompanies.com/</t>
        </is>
      </c>
      <c r="S130" s="15" t="inlineStr">
        <is>
          <t>It already sells a prefabricated masonry wall system and says on its own site that it is looking for new ones.</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David Barnes</t>
        </is>
      </c>
      <c r="B131" s="6" t="inlineStr">
        <is>
          <t>Dee Brown</t>
        </is>
      </c>
      <c r="C131" s="6" t="inlineStr">
        <is>
          <t>Senior Vice President, Operations</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10" t="inlineStr"/>
      <c r="P131" s="6" t="inlineStr"/>
      <c r="Q131" s="11">
        <f>IF(O131="","ADD LINKEDIN","ok")</f>
        <v/>
      </c>
      <c r="R131" s="6" t="inlineStr">
        <is>
          <t>https://www.deebrowncompanies.com/</t>
        </is>
      </c>
      <c r="S131" s="9" t="inlineStr">
        <is>
          <t>It already sells a prefabricated masonry wall system and says on its own site that it is looking for new ones.</t>
        </is>
      </c>
      <c r="T131" s="6" t="inlineStr"/>
      <c r="U131" s="9" t="inlineStr"/>
      <c r="V131" s="6" t="inlineStr">
        <is>
          <t>https://www.deebrowncompanies.com/about</t>
        </is>
      </c>
      <c r="W131" s="6" t="inlineStr"/>
      <c r="X131" s="6" t="inlineStr"/>
      <c r="Y131" s="6" t="inlineStr"/>
      <c r="Z131" s="6" t="inlineStr">
        <is>
          <t>(281) 547-0030</t>
        </is>
      </c>
      <c r="AA131" s="6" t="inlineStr">
        <is>
          <t>Houston office</t>
        </is>
      </c>
      <c r="AB131" s="6" t="inlineStr">
        <is>
          <t>https://www.deebrowncompanies.com/contact</t>
        </is>
      </c>
      <c r="AC131" s="6" t="inlineStr"/>
      <c r="AD131" s="6" t="inlineStr"/>
    </row>
    <row r="132">
      <c r="A132" s="12" t="inlineStr">
        <is>
          <t>Scott Anderson</t>
        </is>
      </c>
      <c r="B132" s="12" t="inlineStr">
        <is>
          <t>Keystone Concrete Placement</t>
        </is>
      </c>
      <c r="C132" s="12" t="inlineStr">
        <is>
          <t>Vice President and General Manager, Keystone Structural Concrete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Three standing placement divisions in one metro, so the same work recurs rather than arriving one project at a time.</t>
        </is>
      </c>
      <c r="K132" s="14" t="inlineStr">
        <is>
          <t>Partly</t>
        </is>
      </c>
      <c r="L132" s="15" t="inlineStr">
        <is>
          <t>1,500 craftsmen and 975,000 cubic yards a year on the firm's own count. One or two printers would be a line inside the business rather than the business.</t>
        </is>
      </c>
      <c r="M132" s="14" t="inlineStr">
        <is>
          <t>Partly</t>
        </is>
      </c>
      <c r="N13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2" s="6" t="inlineStr">
        <is>
          <t>https://www.linkedin.com/in/scott-anderson-266878141/</t>
        </is>
      </c>
      <c r="P132" s="12" t="inlineStr"/>
      <c r="Q132" s="16">
        <f>IF(O132="","ADD LINKEDIN","ok")</f>
        <v/>
      </c>
      <c r="R132" s="12" t="inlineStr">
        <is>
          <t>https://www.keystoneconcrete.com/</t>
        </is>
      </c>
      <c r="S132" s="15" t="inlineStr">
        <is>
          <t>A standing residential division beside structural and commercial, and it owns its formwork systems and placing booms.</t>
        </is>
      </c>
      <c r="T132" s="12" t="inlineStr">
        <is>
          <t>YES</t>
        </is>
      </c>
      <c r="U132" s="15" t="inlineStr">
        <is>
          <t>Headline reads Vice President at Keystone Structural Concrete. Houston, Texas.</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Rodney Horn</t>
        </is>
      </c>
      <c r="B133" s="6" t="inlineStr">
        <is>
          <t>Keystone Concrete Placement</t>
        </is>
      </c>
      <c r="C133" s="6" t="inlineStr">
        <is>
          <t>Vice President, Keystone Concrete and Key-Scape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6" t="inlineStr">
        <is>
          <t>https://www.linkedin.com/in/rodney-horn-963a8048/</t>
        </is>
      </c>
      <c r="P133" s="6" t="inlineStr"/>
      <c r="Q133" s="11">
        <f>IF(O133="","ADD LINKEDIN","ok")</f>
        <v/>
      </c>
      <c r="R133" s="6" t="inlineStr">
        <is>
          <t>https://www.keystoneconcrete.com/</t>
        </is>
      </c>
      <c r="S133" s="9" t="inlineStr">
        <is>
          <t>A standing residential division beside structural and commercial, and it owns its formwork systems and placing booms.</t>
        </is>
      </c>
      <c r="T133" s="6" t="inlineStr">
        <is>
          <t>YES</t>
        </is>
      </c>
      <c r="U133" s="9" t="inlineStr">
        <is>
          <t>Headline reads Vice President at Keystone Concrete, LLC/Key-Scape Landscaping. Houston, Texas. Keyscape is the landscaping arm named on the firm's own site.</t>
        </is>
      </c>
      <c r="V133" s="6" t="inlineStr"/>
      <c r="W133" s="6" t="inlineStr"/>
      <c r="X133" s="6" t="inlineStr"/>
      <c r="Y133" s="6" t="inlineStr"/>
      <c r="Z133" s="6" t="inlineStr">
        <is>
          <t>(713) 983-8002</t>
        </is>
      </c>
      <c r="AA133" s="6" t="inlineStr">
        <is>
          <t>Houston</t>
        </is>
      </c>
      <c r="AB133" s="6" t="inlineStr">
        <is>
          <t>https://www.keystoneconcrete.com/</t>
        </is>
      </c>
      <c r="AC133" s="6" t="inlineStr"/>
      <c r="AD133" s="6" t="inlineStr"/>
    </row>
    <row r="134">
      <c r="A134" s="12" t="inlineStr">
        <is>
          <t>Phil Nevlud</t>
        </is>
      </c>
      <c r="B134" s="12" t="inlineStr">
        <is>
          <t>MAREK</t>
        </is>
      </c>
      <c r="C134" s="12" t="inlineStr">
        <is>
          <t>Division President</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Interior wall and ceiling packages repeating across multifamily and single family work in one metro.</t>
        </is>
      </c>
      <c r="K134" s="14" t="inlineStr">
        <is>
          <t>Partly</t>
        </is>
      </c>
      <c r="L134" s="15" t="inlineStr">
        <is>
          <t>No employee count or annual unit figure is published. On the bands, a firm with no published figure is a Partly.</t>
        </is>
      </c>
      <c r="M134" s="14" t="inlineStr">
        <is>
          <t>Partly</t>
        </is>
      </c>
      <c r="N134" s="15" t="inlineStr">
        <is>
          <t>It built and staffed a prefabrication plant producing wall panels and interior components offsite, and publishes what that saved on a hospital project. That is paying to move wall work into a factory.</t>
        </is>
      </c>
      <c r="O134" s="6" t="inlineStr">
        <is>
          <t>https://www.linkedin.com/in/phil-nevlud-843a391a/</t>
        </is>
      </c>
      <c r="P134" s="12" t="inlineStr"/>
      <c r="Q134" s="16">
        <f>IF(O134="","ADD LINKEDIN","ok")</f>
        <v/>
      </c>
      <c r="R134" s="12" t="inlineStr">
        <is>
          <t>https://www.marekbros.com/houston/</t>
        </is>
      </c>
      <c r="S134" s="15" t="inlineStr">
        <is>
          <t>It already owns a prefabrication plant and runs separate multifamily and single family divisions, with a named leader on each. The walls it builds are interior, not structural.</t>
        </is>
      </c>
      <c r="T134" s="12" t="inlineStr">
        <is>
          <t>YES</t>
        </is>
      </c>
      <c r="U134" s="15" t="inlineStr">
        <is>
          <t>Headline reads Division President - Houston and does not name the firm. A search for his name with MAREK returns him and nobody else, and MAREK's own site names him Division President.</t>
        </is>
      </c>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Ronald Marek</t>
        </is>
      </c>
      <c r="B135" s="6" t="inlineStr">
        <is>
          <t>MAREK</t>
        </is>
      </c>
      <c r="C135" s="6" t="inlineStr">
        <is>
          <t>Multifamily Director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10" t="inlineStr"/>
      <c r="P135" s="6">
        <f>HYPERLINK("https://www.linkedin.com/search/results/people/?keywords=Ronald%20Marek%20MAREK","search")</f>
        <v/>
      </c>
      <c r="Q135" s="11">
        <f>IF(O135="","ADD LINKEDIN","ok")</f>
        <v/>
      </c>
      <c r="R135" s="6" t="inlineStr">
        <is>
          <t>https://www.marekbros.com/houston/</t>
        </is>
      </c>
      <c r="S135" s="9" t="inlineStr">
        <is>
          <t>It already owns a prefabrication plant and runs separate multifamily and single family divisions, with a named leader on each. The walls it builds are interior, not 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Chris Trojanowsky</t>
        </is>
      </c>
      <c r="B136" s="12" t="inlineStr">
        <is>
          <t>MAREK</t>
        </is>
      </c>
      <c r="C136" s="12" t="inlineStr">
        <is>
          <t>Single Family Division Manager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t>
        </is>
      </c>
      <c r="O136" s="10" t="inlineStr"/>
      <c r="P136" s="12">
        <f>HYPERLINK("https://www.linkedin.com/search/results/people/?keywords=Chris%20Trojanowsky%20MAREK","search")</f>
        <v/>
      </c>
      <c r="Q136" s="16">
        <f>IF(O136="","ADD LINKEDIN","ok")</f>
        <v/>
      </c>
      <c r="R136" s="12" t="inlineStr">
        <is>
          <t>https://www.marekbros.com/houston/</t>
        </is>
      </c>
      <c r="S136" s="15" t="inlineStr">
        <is>
          <t>It already owns a prefabrication plant and runs separate multifamily and single family divisions, with a named leader on each. The walls it builds are interior, not structural.</t>
        </is>
      </c>
      <c r="T136" s="12" t="inlineStr">
        <is>
          <t>YES</t>
        </is>
      </c>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Jorge Rodriguez</t>
        </is>
      </c>
      <c r="B137" s="6" t="inlineStr">
        <is>
          <t>MAREK</t>
        </is>
      </c>
      <c r="C137" s="6" t="inlineStr">
        <is>
          <t>Managing Director, Field Operations</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t>
        </is>
      </c>
      <c r="O137" s="10" t="inlineStr"/>
      <c r="P137" s="6">
        <f>HYPERLINK("https://www.linkedin.com/search/results/people/?keywords=Jorge%20Rodriguez%20MAREK","search")</f>
        <v/>
      </c>
      <c r="Q137" s="11">
        <f>IF(O137="","ADD LINKEDIN","ok")</f>
        <v/>
      </c>
      <c r="R137" s="6" t="inlineStr">
        <is>
          <t>https://www.marekbros.com/houston/</t>
        </is>
      </c>
      <c r="S137" s="9" t="inlineStr">
        <is>
          <t>It already owns a prefabrication plant and runs separate multifamily and single family divisions, with a named leader on each. The walls it builds are interior, not structural.</t>
        </is>
      </c>
      <c r="T137" s="6" t="inlineStr"/>
      <c r="U137" s="9" t="inlineStr"/>
      <c r="V137" s="6" t="inlineStr"/>
      <c r="W137" s="6" t="inlineStr"/>
      <c r="X137" s="6" t="inlineStr"/>
      <c r="Y137" s="6" t="inlineStr"/>
      <c r="Z137" s="6" t="inlineStr">
        <is>
          <t>(713) 681-2626</t>
        </is>
      </c>
      <c r="AA137" s="6" t="inlineStr">
        <is>
          <t>commercial, Judiway Street</t>
        </is>
      </c>
      <c r="AB137" s="6" t="inlineStr">
        <is>
          <t>https://www.marekbros.com/houston/</t>
        </is>
      </c>
      <c r="AC137" s="6" t="inlineStr"/>
      <c r="AD137" s="6" t="inlineStr"/>
    </row>
    <row r="138">
      <c r="A138" s="12" t="inlineStr">
        <is>
          <t>no contact identified</t>
        </is>
      </c>
      <c r="B138" s="12" t="inlineStr">
        <is>
          <t>Omega Industries</t>
        </is>
      </c>
      <c r="C138" s="12" t="inlineStr"/>
      <c r="D138" s="13" t="inlineStr">
        <is>
          <t>Builds the wall, not the house</t>
        </is>
      </c>
      <c r="E138" s="14" t="n">
        <v>3</v>
      </c>
      <c r="F138" s="12" t="inlineStr">
        <is>
          <t>Builds the wall</t>
        </is>
      </c>
      <c r="G138" s="12" t="inlineStr">
        <is>
          <t>Houston, within a footprint including Dallas, Austin, San Antonio and Los Angeles</t>
        </is>
      </c>
      <c r="H138" s="12" t="inlineStr">
        <is>
          <t>$30 million bonding capacity, 1,200-plus projects</t>
        </is>
      </c>
      <c r="I138" s="14" t="inlineStr">
        <is>
          <t>Yes</t>
        </is>
      </c>
      <c r="J138" s="15" t="inlineStr">
        <is>
          <t>Shotcrete and gunite placed repeatedly across a multi-city footprint including Houston.</t>
        </is>
      </c>
      <c r="K138" s="14" t="inlineStr">
        <is>
          <t>Partly</t>
        </is>
      </c>
      <c r="L138" s="15" t="inlineStr">
        <is>
          <t>A contractor bonded at 30 million dollars across four cities places more material than one or two printers would cover.</t>
        </is>
      </c>
      <c r="M138" s="14" t="inlineStr">
        <is>
          <t>Partly</t>
        </is>
      </c>
      <c r="N138" s="15" t="inlineStr">
        <is>
          <t>It runs four distinct placement methods including fibre-reinforced shotcrete, each requiring different equipment and crew training. Carrying four methods rather than one is capital committed to how material gets placed.</t>
        </is>
      </c>
      <c r="O138" s="10" t="inlineStr"/>
      <c r="P138" s="12" t="inlineStr"/>
      <c r="Q138" s="16">
        <f>IF(O138="","ADD LINKEDIN","ok")</f>
        <v/>
      </c>
      <c r="R138" s="12" t="inlineStr">
        <is>
          <t>https://omegaindinc.com/houston/service/gunite-shotcrete/</t>
        </is>
      </c>
      <c r="S138" s="15" t="inlineStr">
        <is>
          <t>It shoots gunite and shotcrete through a nozzle to a profile, and carries an audited balance sheet.</t>
        </is>
      </c>
      <c r="T138" s="12" t="inlineStr"/>
      <c r="U138" s="15" t="inlineStr"/>
      <c r="V138" s="12" t="inlineStr"/>
      <c r="W138" s="12" t="inlineStr"/>
      <c r="X138" s="12" t="inlineStr"/>
      <c r="Y138" s="12" t="inlineStr"/>
      <c r="Z138" s="12" t="inlineStr">
        <is>
          <t>(972) 532-3340</t>
        </is>
      </c>
      <c r="AA138" s="12" t="inlineStr">
        <is>
          <t>Dallas, the only number published</t>
        </is>
      </c>
      <c r="AB138" s="12" t="inlineStr">
        <is>
          <t>https://omegaindinc.com/houston/contact-us/</t>
        </is>
      </c>
      <c r="AC138" s="12" t="inlineStr"/>
      <c r="AD138" s="12" t="inlineStr"/>
    </row>
    <row r="139">
      <c r="A139" s="6" t="inlineStr">
        <is>
          <t>Greg Elliott</t>
        </is>
      </c>
      <c r="B139" s="6" t="inlineStr">
        <is>
          <t>Tindall Corporation, Texas division</t>
        </is>
      </c>
      <c r="C139" s="6" t="inlineStr">
        <is>
          <t>Vice President, and the outgoing Texas general manager</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Structural elements and modular cells cast repeatedly from one plant for one region.</t>
        </is>
      </c>
      <c r="K139" s="8" t="inlineStr">
        <is>
          <t>Partly</t>
        </is>
      </c>
      <c r="L139" s="9" t="inlineStr">
        <is>
          <t>Forty acres and 190 people is more capacity than one or two printers would cover, and the plant's product is commercial and data centre rather than house wall.</t>
        </is>
      </c>
      <c r="M139" s="8" t="inlineStr">
        <is>
          <t>Partly</t>
        </is>
      </c>
      <c r="N139"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9" s="6" t="inlineStr">
        <is>
          <t>https://www.linkedin.com/in/greg-elliott-824a1458/</t>
        </is>
      </c>
      <c r="P139" s="6" t="inlineStr"/>
      <c r="Q139" s="11">
        <f>IF(O139="","ADD LINKEDIN","ok")</f>
        <v/>
      </c>
      <c r="R139" s="6" t="inlineStr">
        <is>
          <t>https://tindallcorp.com/</t>
        </is>
      </c>
      <c r="S139" s="9" t="inlineStr">
        <is>
          <t>A precast producer running a volumetric modular line, with a general manager on record wanting to widen what the plant makes.</t>
        </is>
      </c>
      <c r="T139" s="6" t="inlineStr"/>
      <c r="U139" s="9" t="inlineStr">
        <is>
          <t>The same release identifies him as vice president and the outgoing general manager. His own profile headline still carries the general manager title, so a reader searching him will find the old seat.</t>
        </is>
      </c>
      <c r="V139" s="6" t="inlineStr"/>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Cecil Casinger</t>
        </is>
      </c>
      <c r="B140" s="12" t="inlineStr">
        <is>
          <t>Tindall Corporation, Texas division</t>
        </is>
      </c>
      <c r="C140" s="12" t="inlineStr">
        <is>
          <t>General Manager, Tindall Building Systems Texas</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0" t="inlineStr"/>
      <c r="P140" s="12" t="inlineStr"/>
      <c r="Q140" s="16">
        <f>IF(O140="","ADD LINKEDIN","ok")</f>
        <v/>
      </c>
      <c r="R140" s="12" t="inlineStr">
        <is>
          <t>https://tindallcorp.com/</t>
        </is>
      </c>
      <c r="S140" s="15" t="inlineStr">
        <is>
          <t>A precast producer running a volumetric modular line, with a general manager on record wanting to widen what the plant makes.</t>
        </is>
      </c>
      <c r="T140" s="12" t="inlineStr">
        <is>
          <t>YES</t>
        </is>
      </c>
      <c r="U140" s="15" t="inlineStr">
        <is>
          <t>The firm's own release of 5 August 2025 welcoming him as general manager of the Texas division, with eighteen years in precast.</t>
        </is>
      </c>
      <c r="V140" s="12" t="inlineStr">
        <is>
          <t>https://tindallcorp.com/tindall-corporation-welcomes-new-general-manager/</t>
        </is>
      </c>
      <c r="W140" s="12" t="inlineStr"/>
      <c r="X140" s="12" t="inlineStr"/>
      <c r="Y140" s="12" t="inlineStr"/>
      <c r="Z140" s="12" t="inlineStr">
        <is>
          <t>(800) 280-1215</t>
        </is>
      </c>
      <c r="AA140" s="12" t="inlineStr">
        <is>
          <t>Texas division main</t>
        </is>
      </c>
      <c r="AB140" s="12" t="inlineStr">
        <is>
          <t>https://tindallcorp.com/contact/</t>
        </is>
      </c>
      <c r="AC140" s="12" t="inlineStr"/>
      <c r="AD140" s="12" t="inlineStr"/>
    </row>
    <row r="141">
      <c r="A141" s="6" t="inlineStr">
        <is>
          <t>Hachem Domloj</t>
        </is>
      </c>
      <c r="B141" s="6" t="inlineStr">
        <is>
          <t>CIVE</t>
        </is>
      </c>
      <c r="C141" s="6" t="inlineStr">
        <is>
          <t>Founder and Chief Executive Officer</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is published. On the bands, a firm with no published figure is a Partly.</t>
        </is>
      </c>
      <c r="M141" s="8" t="inlineStr">
        <is>
          <t>Yes</t>
        </is>
      </c>
      <c r="N141" s="9" t="inlineStr">
        <is>
          <t>It engineered and delivered a printed house in Houston in collaboration with a printing contractor, and publishes the project on its own site.</t>
        </is>
      </c>
      <c r="O141" s="6" t="inlineStr">
        <is>
          <t>https://www.linkedin.com/in/hachem-domloj/</t>
        </is>
      </c>
      <c r="P141" s="6" t="inlineStr"/>
      <c r="Q141" s="11">
        <f>IF(O141="","ADD LINKEDIN","ok")</f>
        <v/>
      </c>
      <c r="R141" s="6" t="inlineStr">
        <is>
          <t>https://cive.com/</t>
        </is>
      </c>
      <c r="S141" s="9" t="inlineStr">
        <is>
          <t>A Houston design-build firm that has already engineered and delivered a printed building. The technical staff to run a machine is already inside it.</t>
        </is>
      </c>
      <c r="T141" s="6" t="inlineStr">
        <is>
          <t>YES</t>
        </is>
      </c>
      <c r="U141" s="9" t="inlineStr">
        <is>
          <t>Headline reads Founder &amp; CEO at CIVE, Inc. Houston, Texas.</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Hikmat Zerbe</t>
        </is>
      </c>
      <c r="B142" s="12" t="inlineStr">
        <is>
          <t>CIVE</t>
        </is>
      </c>
      <c r="C142" s="12" t="inlineStr">
        <is>
          <t>Head of Structural Engineering</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6" t="inlineStr">
        <is>
          <t>https://www.linkedin.com/in/hikmat-zerbe-b3139669/</t>
        </is>
      </c>
      <c r="P142" s="12" t="inlineStr"/>
      <c r="Q142" s="16">
        <f>IF(O142="","ADD LINKEDIN","ok")</f>
        <v/>
      </c>
      <c r="R142" s="12" t="inlineStr">
        <is>
          <t>https://cive.com/</t>
        </is>
      </c>
      <c r="S142" s="15" t="inlineStr">
        <is>
          <t>A Houston design-build firm that has already engineered and delivered a printed building. The technical staff to run a machine is already inside it.</t>
        </is>
      </c>
      <c r="T142" s="12" t="inlineStr">
        <is>
          <t>YES</t>
        </is>
      </c>
      <c r="U142" s="15" t="inlineStr">
        <is>
          <t>Headline reads Head of Structural Engineering at CIVE. Houston, Texas. He is the person broadcast coverage quoted on the printed house in Spring Branch.</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Clemente Barrera</t>
        </is>
      </c>
      <c r="B143" s="6" t="inlineStr">
        <is>
          <t>CIVE</t>
        </is>
      </c>
      <c r="C143" s="6" t="inlineStr">
        <is>
          <t>Vice President of Construction</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10" t="inlineStr"/>
      <c r="P143" s="6">
        <f>HYPERLINK("https://www.linkedin.com/search/results/people/?keywords=Clemente%20Barrera%20CIVE","search")</f>
        <v/>
      </c>
      <c r="Q143" s="11">
        <f>IF(O143="","ADD LINKEDIN","ok")</f>
        <v/>
      </c>
      <c r="R143" s="6" t="inlineStr">
        <is>
          <t>https://cive.com/</t>
        </is>
      </c>
      <c r="S143" s="9" t="inlineStr">
        <is>
          <t>A Houston design-build firm that has already engineered and delivered a printed building. The technical staff to run a machine is already inside it.</t>
        </is>
      </c>
      <c r="T143" s="6" t="inlineStr"/>
      <c r="U143" s="9" t="inlineStr">
        <is>
          <t>Headline reads Vice President of Construction at CIVE. Houston, Texas. No profile URL was captured in the pass.</t>
        </is>
      </c>
      <c r="V143" s="6" t="inlineStr"/>
      <c r="W143" s="6" t="inlineStr"/>
      <c r="X143" s="6" t="inlineStr"/>
      <c r="Y143" s="6" t="inlineStr">
        <is>
          <t>2025-03 Construction In Focus. CIVE, Construction and Design at their Finest  https://constructioninfocus.com/2025/03/cive-construction-and-design-at-their-finest/</t>
        </is>
      </c>
      <c r="Z143" s="6" t="inlineStr">
        <is>
          <t>(281) 870-8727</t>
        </is>
      </c>
      <c r="AA143" s="6" t="inlineStr"/>
      <c r="AB143" s="6" t="inlineStr">
        <is>
          <t>https://cive.com/</t>
        </is>
      </c>
      <c r="AC143" s="6" t="inlineStr"/>
      <c r="AD143" s="6" t="inlineStr"/>
    </row>
    <row r="144">
      <c r="A144" s="12" t="inlineStr">
        <is>
          <t>Kevin M. Camarata</t>
        </is>
      </c>
      <c r="B144" s="12" t="inlineStr">
        <is>
          <t>Camarata Masonry Systems</t>
        </is>
      </c>
      <c r="C144" s="12" t="inlineStr">
        <is>
          <t>Founder and Chief Executive Officer</t>
        </is>
      </c>
      <c r="D144" s="13" t="inlineStr">
        <is>
          <t>Builds the wall, not the house</t>
        </is>
      </c>
      <c r="E144" s="14" t="n">
        <v>3</v>
      </c>
      <c r="F144" s="12" t="inlineStr">
        <is>
          <t>Builds the wall</t>
        </is>
      </c>
      <c r="G144" s="12" t="inlineStr">
        <is>
          <t>Houston, West Hardy Road, with offices in Florida and North Carolina</t>
        </is>
      </c>
      <c r="H144" s="12" t="inlineStr">
        <is>
          <t>Publishes panelisation of stone and masonry</t>
        </is>
      </c>
      <c r="I144" s="14" t="inlineStr">
        <is>
          <t>Yes</t>
        </is>
      </c>
      <c r="J144" s="15" t="inlineStr">
        <is>
          <t>Masonry and stone laid repeatedly across one metro on large institutional and commercial work.</t>
        </is>
      </c>
      <c r="K144" s="14" t="inlineStr">
        <is>
          <t>Partly</t>
        </is>
      </c>
      <c r="L144" s="15" t="inlineStr">
        <is>
          <t>A firm of this reach puts up more wall than one or two printers would cover, and multi-family is one sector among eight.</t>
        </is>
      </c>
      <c r="M144" s="14" t="inlineStr">
        <is>
          <t>Partly</t>
        </is>
      </c>
      <c r="N144" s="15" t="inlineStr">
        <is>
          <t>It publishes panelisation of natural stone and masonry as a capability, which is production moved off the scaffold and into a shop. There is no record of adopting a new material.</t>
        </is>
      </c>
      <c r="O144" s="6" t="inlineStr">
        <is>
          <t>https://www.linkedin.com/in/kevin-camarata-6883731b9/</t>
        </is>
      </c>
      <c r="P144" s="12" t="inlineStr"/>
      <c r="Q144" s="16">
        <f>IF(O144="","ADD LINKEDIN","ok")</f>
        <v/>
      </c>
      <c r="R144" s="12" t="inlineStr">
        <is>
          <t>http://www.camaratamasonry.com/</t>
        </is>
      </c>
      <c r="S144" s="15" t="inlineStr">
        <is>
          <t>A Houston-headquartered masonry contractor that already panelises stone and masonry, on a project list that runs to stadiums and a corporate campus.</t>
        </is>
      </c>
      <c r="T144" s="12" t="inlineStr">
        <is>
          <t>YES</t>
        </is>
      </c>
      <c r="U144" s="15" t="inlineStr">
        <is>
          <t>The firm's own about page gives him as founder, dated 1 August 2004. AGC Houston and his own profile headline both carry the chief executive title. He also chairs the Natural Stone Foundation.</t>
        </is>
      </c>
      <c r="V144" s="12" t="inlineStr"/>
      <c r="W144" s="12" t="inlineStr"/>
      <c r="X144" s="12" t="inlineStr"/>
      <c r="Y144" s="12" t="inlineStr"/>
      <c r="Z144" s="12" t="inlineStr">
        <is>
          <t>(281) 876-1111</t>
        </is>
      </c>
      <c r="AA144" s="12" t="inlineStr">
        <is>
          <t>main</t>
        </is>
      </c>
      <c r="AB144" s="12" t="inlineStr">
        <is>
          <t>http://www.camaratamasonry.com/</t>
        </is>
      </c>
      <c r="AC144" s="12" t="inlineStr"/>
      <c r="AD144" s="12" t="inlineStr"/>
    </row>
    <row r="145">
      <c r="A145" s="6" t="inlineStr">
        <is>
          <t>Hussein Sinjari</t>
        </is>
      </c>
      <c r="B145" s="6" t="inlineStr">
        <is>
          <t>Legacy Precast</t>
        </is>
      </c>
      <c r="C145" s="6" t="inlineStr">
        <is>
          <t>Vice President</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structural product lines cast repeatedly on the same beds, in one plant, for one region.</t>
        </is>
      </c>
      <c r="K145" s="8" t="inlineStr">
        <is>
          <t>Partly</t>
        </is>
      </c>
      <c r="L145" s="9" t="inlineStr">
        <is>
          <t>A plant batching well over 100 yards an hour is larger than one or two printers would cover. A machine would be a line inside it, not the business, which is the same reading a large builder gets.</t>
        </is>
      </c>
      <c r="M145" s="8" t="inlineStr">
        <is>
          <t>Partly</t>
        </is>
      </c>
      <c r="N145"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5" s="6" t="inlineStr">
        <is>
          <t>https://www.linkedin.com/in/hussein-sinjari-53376545</t>
        </is>
      </c>
      <c r="P145" s="6" t="inlineStr"/>
      <c r="Q145" s="11">
        <f>IF(O145="","ADD LINKEDIN","ok")</f>
        <v/>
      </c>
      <c r="R145" s="6" t="inlineStr">
        <is>
          <t>https://www.legacyprecast.com/</t>
        </is>
      </c>
      <c r="S145" s="9" t="inlineStr">
        <is>
          <t>A batch plant, casting beds, a quality regime, and a business built on making structural wall somewhere other than the site.</t>
        </is>
      </c>
      <c r="T145" s="6" t="inlineStr">
        <is>
          <t>YES</t>
        </is>
      </c>
      <c r="U145" s="9" t="inlineStr">
        <is>
          <t>The firm's own contact page carries him as vice president. It publishes no president, owner or founder, so this is the highest rank Legacy discloses.</t>
        </is>
      </c>
      <c r="V145" s="6" t="inlineStr"/>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Charles Franke</t>
        </is>
      </c>
      <c r="B146" s="12" t="inlineStr">
        <is>
          <t>Legacy Precast</t>
        </is>
      </c>
      <c r="C146" s="12" t="inlineStr">
        <is>
          <t>Chief of Estimating</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0" t="inlineStr"/>
      <c r="P146" s="12" t="inlineStr"/>
      <c r="Q146" s="16">
        <f>IF(O146="","ADD LINKEDIN","ok")</f>
        <v/>
      </c>
      <c r="R146" s="12" t="inlineStr">
        <is>
          <t>https://www.legacyprecast.com/</t>
        </is>
      </c>
      <c r="S146" s="15" t="inlineStr">
        <is>
          <t>A batch plant, casting beds, a quality regime, and a business built on making structural wall somewhere other than the site.</t>
        </is>
      </c>
      <c r="T146" s="12" t="inlineStr"/>
      <c r="U146" s="15" t="inlineStr">
        <is>
          <t>The firm's own contact page. Estimating prices a method rather than choosing one.</t>
        </is>
      </c>
      <c r="V146" s="12" t="inlineStr">
        <is>
          <t>https://www.legacyprecast.com/contact-us</t>
        </is>
      </c>
      <c r="W146" s="12" t="inlineStr"/>
      <c r="X146" s="12" t="inlineStr"/>
      <c r="Y146" s="12" t="inlineStr"/>
      <c r="Z146" s="12" t="inlineStr">
        <is>
          <t>(281) 375-2050</t>
        </is>
      </c>
      <c r="AA146" s="12" t="inlineStr">
        <is>
          <t>direct line</t>
        </is>
      </c>
      <c r="AB146" s="12" t="inlineStr">
        <is>
          <t>https://www.legacyprecast.com/contact-us</t>
        </is>
      </c>
      <c r="AC146" s="12" t="inlineStr"/>
      <c r="AD146" s="12" t="inlineStr"/>
    </row>
    <row r="147">
      <c r="A147" s="6" t="inlineStr">
        <is>
          <t>Chris Richardson</t>
        </is>
      </c>
      <c r="B147" s="6" t="inlineStr">
        <is>
          <t>Blazer Building</t>
        </is>
      </c>
      <c r="C147" s="6" t="inlineStr">
        <is>
          <t>Founder</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apartment buildings repeating across Texas markets from a Houston office.</t>
        </is>
      </c>
      <c r="K147" s="8" t="inlineStr">
        <is>
          <t>Partly</t>
        </is>
      </c>
      <c r="L147" s="9" t="inlineStr">
        <is>
          <t>Over 44,000 apartment homes in 45 years, so the wall volume is there. It states that it works through trade partners rather than self-performing, so the machine would sit with a subcontractor rather than with Blazer.</t>
        </is>
      </c>
      <c r="M147" s="8" t="inlineStr">
        <is>
          <t>No</t>
        </is>
      </c>
      <c r="N147" s="9" t="inlineStr">
        <is>
          <t>No method statement on record. The only construction-method language on the site is the list of building types it builds.</t>
        </is>
      </c>
      <c r="O147" s="10" t="inlineStr"/>
      <c r="P147" s="6" t="inlineStr"/>
      <c r="Q147" s="11">
        <f>IF(O147="","ADD LINKEDIN","ok")</f>
        <v/>
      </c>
      <c r="R147" s="6" t="inlineStr">
        <is>
          <t>https://www.blazerbuilding.com/</t>
        </is>
      </c>
      <c r="S147" s="9" t="inlineStr">
        <is>
          <t>Built through trade partners, across 200-plus projects.</t>
        </is>
      </c>
      <c r="T147" s="6" t="inlineStr"/>
      <c r="U147" s="9" t="inlineStr">
        <is>
          <t>His own bio page on the firm's site: founded the company in 1978. The Who We Are page lists him under Senior Leadership.</t>
        </is>
      </c>
      <c r="V147" s="6" t="inlineStr">
        <is>
          <t>https://www.blazerbuilding.com/team/chris-richardson/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Chad Hillman</t>
        </is>
      </c>
      <c r="B148" s="12" t="inlineStr">
        <is>
          <t>Blazer Building</t>
        </is>
      </c>
      <c r="C148" s="12" t="inlineStr">
        <is>
          <t>President, Blazer Building Southwest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0" t="inlineStr"/>
      <c r="P148" s="12" t="inlineStr"/>
      <c r="Q148" s="16">
        <f>IF(O148="","ADD LINKEDIN","ok")</f>
        <v/>
      </c>
      <c r="R148" s="12" t="inlineStr">
        <is>
          <t>https://www.blazerbuilding.com/</t>
        </is>
      </c>
      <c r="S148" s="15" t="inlineStr">
        <is>
          <t>Built through trade partners, across 200-plus projects.</t>
        </is>
      </c>
      <c r="T148" s="12" t="inlineStr"/>
      <c r="U14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48" s="12" t="inlineStr">
        <is>
          <t>https://www.blazerbuilding.com/team/chad-hillman/</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Matt Fuqua</t>
        </is>
      </c>
      <c r="B149" s="6" t="inlineStr">
        <is>
          <t>Blazer Building</t>
        </is>
      </c>
      <c r="C149" s="6" t="inlineStr">
        <is>
          <t>Business Development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10" t="inlineStr"/>
      <c r="P149" s="6" t="inlineStr"/>
      <c r="Q149" s="11">
        <f>IF(O149="","ADD LINKEDIN","ok")</f>
        <v/>
      </c>
      <c r="R149" s="6" t="inlineStr">
        <is>
          <t>https://www.blazerbuilding.com/</t>
        </is>
      </c>
      <c r="S149" s="9" t="inlineStr">
        <is>
          <t>Built through trade partners, across 200-plus projects.</t>
        </is>
      </c>
      <c r="T149" s="6" t="inlineStr"/>
      <c r="U149" s="9" t="inlineStr">
        <is>
          <t>His own bio page: business development, affordable and conventional multi-family and active adult housing, over twenty years with Blazer.</t>
        </is>
      </c>
      <c r="V149" s="6" t="inlineStr">
        <is>
          <t>https://www.blazerbuilding.com/team/matt-fuqua/</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Brian Henderson</t>
        </is>
      </c>
      <c r="B150" s="12" t="inlineStr">
        <is>
          <t>Blazer Building</t>
        </is>
      </c>
      <c r="C150" s="12" t="inlineStr">
        <is>
          <t>Vice President of Construction</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0" t="inlineStr"/>
      <c r="P150" s="12" t="inlineStr"/>
      <c r="Q150" s="16">
        <f>IF(O150="","ADD LINKEDIN","ok")</f>
        <v/>
      </c>
      <c r="R150" s="12" t="inlineStr">
        <is>
          <t>https://www.blazerbuilding.com/</t>
        </is>
      </c>
      <c r="S150" s="15" t="inlineStr">
        <is>
          <t>Built through trade partners, across 200-plus projects.</t>
        </is>
      </c>
      <c r="T150" s="12" t="inlineStr"/>
      <c r="U150" s="15" t="inlineStr">
        <is>
          <t>His own bio page: joined in 2014, served as assistant superintendent and superintendent, now vice president of construction. The Who We Are page lists him under both Senior Leadership and Construction Supervision.</t>
        </is>
      </c>
      <c r="V150" s="12" t="inlineStr">
        <is>
          <t>https://www.blazerbuilding.com/team/brian-henderson/</t>
        </is>
      </c>
      <c r="W150" s="12" t="inlineStr"/>
      <c r="X150" s="12" t="inlineStr">
        <is>
          <t>https://www.blazerbuilding.com/who-we-are/</t>
        </is>
      </c>
      <c r="Y150" s="12" t="inlineStr"/>
      <c r="Z150" s="12" t="inlineStr">
        <is>
          <t>(713) 914-9200</t>
        </is>
      </c>
      <c r="AA150" s="12" t="inlineStr"/>
      <c r="AB150" s="12" t="inlineStr">
        <is>
          <t>https://www.blazerbuilding.com/</t>
        </is>
      </c>
      <c r="AC150" s="12" t="inlineStr"/>
      <c r="AD150" s="12" t="inlineStr"/>
    </row>
    <row r="151">
      <c r="A151" s="6" t="inlineStr">
        <is>
          <t>Jonas Barboza</t>
        </is>
      </c>
      <c r="B151" s="6" t="inlineStr">
        <is>
          <t>Brundage-Bone Concrete Pumping</t>
        </is>
      </c>
      <c r="C151" s="6" t="inlineStr">
        <is>
          <t>Regional Director South, Texas</t>
        </is>
      </c>
      <c r="D151" s="7" t="inlineStr">
        <is>
          <t>Builds the wall, not the house</t>
        </is>
      </c>
      <c r="E151" s="8" t="n">
        <v>2</v>
      </c>
      <c r="F151" s="6" t="inlineStr">
        <is>
          <t>Builds the wall</t>
        </is>
      </c>
      <c r="G151" s="6" t="inlineStr">
        <is>
          <t>Houston, two yards on West Old Spanish Trail and Sellers Road</t>
        </is>
      </c>
      <c r="H151" s="6" t="inlineStr">
        <is>
          <t>Boom pumps from 17 to 65 metres, plus placing booms</t>
        </is>
      </c>
      <c r="I151" s="8" t="inlineStr">
        <is>
          <t>Yes</t>
        </is>
      </c>
      <c r="J151" s="9" t="inlineStr">
        <is>
          <t>Placement work repeated daily across one metro from two standing yards.</t>
        </is>
      </c>
      <c r="K151" s="8" t="inlineStr">
        <is>
          <t>Partly</t>
        </is>
      </c>
      <c r="L151" s="9" t="inlineStr">
        <is>
          <t>A fleet spanning 17 to 65 metre booms across two yards is more placement capacity than one or two printers would cover.</t>
        </is>
      </c>
      <c r="M151" s="8" t="inlineStr">
        <is>
          <t>No</t>
        </is>
      </c>
      <c r="N151" s="9" t="inlineStr">
        <is>
          <t>No record of paying for an unproven method. It advertises low carbon and pervious concrete pumping, and advertising a capability is not the same as having bought one.</t>
        </is>
      </c>
      <c r="O151" s="6" t="inlineStr">
        <is>
          <t>https://www.linkedin.com/in/jonas-barboza-9794a1136/</t>
        </is>
      </c>
      <c r="P151" s="6" t="inlineStr"/>
      <c r="Q151" s="11">
        <f>IF(O151="","ADD LINKEDIN","ok")</f>
        <v/>
      </c>
      <c r="R151" s="6" t="inlineStr">
        <is>
          <t>https://brundagebone.com/locations/houston/</t>
        </is>
      </c>
      <c r="S151" s="9" t="inlineStr">
        <is>
          <t>A firm whose entire business is placing somebody else's concrete with owned capital equipment, which is the commercial shape of operating a printer for a builder.</t>
        </is>
      </c>
      <c r="T151" s="6" t="inlineStr">
        <is>
          <t>YES</t>
        </is>
      </c>
      <c r="U151" s="9"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151" s="6" t="inlineStr"/>
      <c r="W151" s="6" t="inlineStr"/>
      <c r="X151" s="6" t="inlineStr"/>
      <c r="Y151" s="6" t="inlineStr"/>
      <c r="Z151" s="6" t="inlineStr">
        <is>
          <t>(713) 455-1464</t>
        </is>
      </c>
      <c r="AA151" s="6" t="inlineStr">
        <is>
          <t>West Old Spanish Trail yard</t>
        </is>
      </c>
      <c r="AB151" s="6" t="inlineStr">
        <is>
          <t>https://brundagebone.com/locations/houston/</t>
        </is>
      </c>
      <c r="AC151" s="6" t="inlineStr"/>
      <c r="AD151" s="6" t="inlineStr"/>
    </row>
    <row r="152">
      <c r="A152" s="12" t="inlineStr">
        <is>
          <t>Mark Young</t>
        </is>
      </c>
      <c r="B152" s="12" t="inlineStr">
        <is>
          <t>Brundage-Bone Concrete Pumping</t>
        </is>
      </c>
      <c r="C152" s="12" t="inlineStr">
        <is>
          <t>President, US Concrete Pumping</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0" t="inlineStr"/>
      <c r="P152" s="12" t="inlineStr"/>
      <c r="Q152" s="16">
        <f>IF(O152="","ADD LINKEDIN","ok")</f>
        <v/>
      </c>
      <c r="R152" s="12" t="inlineStr">
        <is>
          <t>https://brundagebone.com/locations/houston/</t>
        </is>
      </c>
      <c r="S152" s="15" t="inlineStr">
        <is>
          <t>A firm whose entire business is placing somebody else's concrete with owned capital equipment, which is the commercial shape of operating a printer for a builder.</t>
        </is>
      </c>
      <c r="T152" s="12" t="inlineStr"/>
      <c r="U152" s="15" t="inlineStr">
        <is>
          <t>The firm's own management page, and the parent's investor page. The division president above the Texas region, and not the public parent's chief executive.</t>
        </is>
      </c>
      <c r="V152" s="12" t="inlineStr">
        <is>
          <t>https://brundagebone.com/about/</t>
        </is>
      </c>
      <c r="W152" s="12" t="inlineStr"/>
      <c r="X152" s="12" t="inlineStr"/>
      <c r="Y152" s="12" t="inlineStr"/>
      <c r="Z152" s="12" t="inlineStr">
        <is>
          <t>(713) 455-1464</t>
        </is>
      </c>
      <c r="AA152" s="12" t="inlineStr">
        <is>
          <t>West Old Spanish Trail yard</t>
        </is>
      </c>
      <c r="AB152" s="12" t="inlineStr">
        <is>
          <t>https://brundagebone.com/locations/houston/</t>
        </is>
      </c>
      <c r="AC152" s="12" t="inlineStr"/>
      <c r="AD152" s="12" t="inlineStr"/>
    </row>
    <row r="153">
      <c r="A153" s="6" t="inlineStr">
        <is>
          <t>Jeff Oliver</t>
        </is>
      </c>
      <c r="B153" s="6" t="inlineStr">
        <is>
          <t>Builders FirstSource</t>
        </is>
      </c>
      <c r="C153" s="6" t="inlineStr">
        <is>
          <t>Director of Truss and Wall Panels</t>
        </is>
      </c>
      <c r="D153" s="7" t="inlineStr">
        <is>
          <t>Builds the wall, not the house</t>
        </is>
      </c>
      <c r="E153" s="8" t="n">
        <v>2</v>
      </c>
      <c r="F153" s="6" t="inlineStr">
        <is>
          <t>Builds the wall</t>
        </is>
      </c>
      <c r="G153" s="6" t="inlineStr">
        <is>
          <t>Four Houston-area component plants: Conroe, Cut N Shoot, East Houston and Houston</t>
        </is>
      </c>
      <c r="H153" s="6" t="inlineStr">
        <is>
          <t>Four Houston-area component plants</t>
        </is>
      </c>
      <c r="I153" s="8" t="inlineStr">
        <is>
          <t>Yes</t>
        </is>
      </c>
      <c r="J153" s="9" t="inlineStr">
        <is>
          <t>Wall panels and components made repeatedly across four Houston-area plants for production builders in the same metro.</t>
        </is>
      </c>
      <c r="K153" s="8" t="inlineStr">
        <is>
          <t>No</t>
        </is>
      </c>
      <c r="L153" s="9" t="inlineStr">
        <is>
          <t>Four plants inside a network of 570 locations is far beyond what one or two printers would cover, and purchasing at this scale sits at a national desk.</t>
        </is>
      </c>
      <c r="M153" s="8" t="inlineStr">
        <is>
          <t>Partly</t>
        </is>
      </c>
      <c r="N153"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3" s="6" t="inlineStr">
        <is>
          <t>https://www.linkedin.com/in/jeff-oliver-ab686814/</t>
        </is>
      </c>
      <c r="P153" s="6" t="inlineStr"/>
      <c r="Q153" s="11">
        <f>IF(O153="","ADD LINKEDIN","ok")</f>
        <v/>
      </c>
      <c r="R153" s="6" t="inlineStr">
        <is>
          <t>https://www.bldr.com/</t>
        </is>
      </c>
      <c r="S153" s="9" t="inlineStr">
        <is>
          <t>The one counterparty in Houston already treating offsite prefabrication and robotic production as stated strategy in a filing.</t>
        </is>
      </c>
      <c r="T153" s="6" t="inlineStr"/>
      <c r="U153"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53" s="6" t="inlineStr"/>
      <c r="W153" s="6" t="inlineStr"/>
      <c r="X153" s="6" t="inlineStr"/>
      <c r="Y153" s="6" t="inlineStr"/>
      <c r="Z153" s="6" t="inlineStr">
        <is>
          <t>(936) 703-2950</t>
        </is>
      </c>
      <c r="AA153" s="6" t="inlineStr">
        <is>
          <t>Cut N Shoot plant</t>
        </is>
      </c>
      <c r="AB153" s="6" t="inlineStr">
        <is>
          <t>https://www.bldr.com/location/cut-n-shoot-tx-truss/CUTNTXMF</t>
        </is>
      </c>
      <c r="AC153" s="6" t="inlineStr"/>
      <c r="AD153" s="6" t="inlineStr"/>
    </row>
    <row r="154">
      <c r="A154" s="12" t="inlineStr">
        <is>
          <t>Paul McCurdy</t>
        </is>
      </c>
      <c r="B154" s="12" t="inlineStr">
        <is>
          <t>City Masonry</t>
        </is>
      </c>
      <c r="C154" s="12" t="inlineStr">
        <is>
          <t>Chief Executive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the past year</t>
        </is>
      </c>
      <c r="I154" s="14" t="inlineStr">
        <is>
          <t>Yes</t>
        </is>
      </c>
      <c r="J154" s="15" t="inlineStr">
        <is>
          <t>Four million square feet of the same trade laid repeatedly across one region, on commercial and institutional work.</t>
        </is>
      </c>
      <c r="K154" s="14" t="inlineStr">
        <is>
          <t>Partly</t>
        </is>
      </c>
      <c r="L154" s="15" t="inlineStr">
        <is>
          <t>Four million square feet a year is more wall than one or two printers would cover. A machine would be a line inside the business.</t>
        </is>
      </c>
      <c r="M154" s="14" t="inlineStr">
        <is>
          <t>No</t>
        </is>
      </c>
      <c r="N154" s="15" t="inlineStr">
        <is>
          <t>No record of paying for an unproven method. The published position is craft and workforce training.</t>
        </is>
      </c>
      <c r="O154" s="10" t="inlineStr"/>
      <c r="P154" s="12" t="inlineStr"/>
      <c r="Q154" s="16">
        <f>IF(O154="","ADD LINKEDIN","ok")</f>
        <v/>
      </c>
      <c r="R154" s="12" t="inlineStr">
        <is>
          <t>https://www.citymasonry.com/</t>
        </is>
      </c>
      <c r="S154" s="15" t="inlineStr">
        <is>
          <t>The largest published masonry throughput in the metro, on load-bearing as well as veneer work, which is the wall a printer would replace.</t>
        </is>
      </c>
      <c r="T154" s="12" t="inlineStr">
        <is>
          <t>YES</t>
        </is>
      </c>
      <c r="U154" s="15" t="inlineStr">
        <is>
          <t>The firm's own team page, and the Associated Masonry Contractors of Houston names him as the firm's principal contact with the same main line.</t>
        </is>
      </c>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Glenn Whitehead</t>
        </is>
      </c>
      <c r="B155" s="6" t="inlineStr">
        <is>
          <t>City Masonry</t>
        </is>
      </c>
      <c r="C155" s="6" t="inlineStr">
        <is>
          <t>Chief Operating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the past year</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10" t="inlineStr"/>
      <c r="P155" s="6" t="inlineStr"/>
      <c r="Q155" s="11">
        <f>IF(O155="","ADD LINKEDIN","ok")</f>
        <v/>
      </c>
      <c r="R155" s="6" t="inlineStr">
        <is>
          <t>https://www.citymasonry.com/</t>
        </is>
      </c>
      <c r="S155" s="9" t="inlineStr">
        <is>
          <t>The largest published masonry throughput in the metro, on load-bearing as well as veneer work, which is the wall a printer would replace.</t>
        </is>
      </c>
      <c r="T155" s="6" t="inlineStr"/>
      <c r="U155" s="9" t="inlineStr"/>
      <c r="V155" s="6" t="inlineStr">
        <is>
          <t>https://www.citymasonry.com/team/</t>
        </is>
      </c>
      <c r="W155" s="6" t="inlineStr"/>
      <c r="X155" s="6" t="inlineStr"/>
      <c r="Y155" s="6" t="inlineStr"/>
      <c r="Z155" s="6" t="inlineStr">
        <is>
          <t>(713) 691-1000</t>
        </is>
      </c>
      <c r="AA155" s="6" t="inlineStr">
        <is>
          <t>main office</t>
        </is>
      </c>
      <c r="AB155" s="6" t="inlineStr">
        <is>
          <t>https://www.citymasonry.com/contact-us/</t>
        </is>
      </c>
      <c r="AC155" s="6" t="inlineStr"/>
      <c r="AD155" s="6" t="inlineStr"/>
    </row>
    <row r="156">
      <c r="A156" s="12" t="inlineStr">
        <is>
          <t>Edwin Rosales</t>
        </is>
      </c>
      <c r="B156" s="12" t="inlineStr">
        <is>
          <t>City Masonry</t>
        </is>
      </c>
      <c r="C156" s="12" t="inlineStr">
        <is>
          <t>Vice President of Operations</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the past year</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0" t="inlineStr"/>
      <c r="P156" s="12" t="inlineStr"/>
      <c r="Q156" s="16">
        <f>IF(O156="","ADD LINKEDIN","ok")</f>
        <v/>
      </c>
      <c r="R156" s="12" t="inlineStr">
        <is>
          <t>https://www.citymasonry.com/</t>
        </is>
      </c>
      <c r="S156" s="15" t="inlineStr">
        <is>
          <t>The largest published masonry throughput in the metro, on load-bearing as well as veneer work, which is the wall a printer would replace.</t>
        </is>
      </c>
      <c r="T156" s="12" t="inlineStr"/>
      <c r="U156" s="15" t="inlineStr"/>
      <c r="V156" s="12" t="inlineStr">
        <is>
          <t>https://www.citymasonry.com/team/</t>
        </is>
      </c>
      <c r="W156" s="12" t="inlineStr"/>
      <c r="X156" s="12" t="inlineStr"/>
      <c r="Y156" s="12" t="inlineStr"/>
      <c r="Z156" s="12" t="inlineStr">
        <is>
          <t>(713) 691-1000</t>
        </is>
      </c>
      <c r="AA156" s="12" t="inlineStr">
        <is>
          <t>main office</t>
        </is>
      </c>
      <c r="AB156" s="12" t="inlineStr">
        <is>
          <t>https://www.citymasonry.com/contact-us/</t>
        </is>
      </c>
      <c r="AC156" s="12" t="inlineStr"/>
      <c r="AD156" s="12" t="inlineStr"/>
    </row>
    <row r="157">
      <c r="A157" s="6" t="inlineStr">
        <is>
          <t>Brad Burrows</t>
        </is>
      </c>
      <c r="B157" s="6" t="inlineStr">
        <is>
          <t>City Masonry</t>
        </is>
      </c>
      <c r="C157" s="6" t="inlineStr">
        <is>
          <t>Chief Financial Officer</t>
        </is>
      </c>
      <c r="D157" s="7" t="inlineStr">
        <is>
          <t>Builds the wall, not the house</t>
        </is>
      </c>
      <c r="E157" s="8" t="n">
        <v>2</v>
      </c>
      <c r="F157" s="6" t="inlineStr">
        <is>
          <t>Builds the wall</t>
        </is>
      </c>
      <c r="G157" s="6" t="inlineStr">
        <is>
          <t>Tomball, serving Texas and the Gulf Coast</t>
        </is>
      </c>
      <c r="H157" s="6" t="inlineStr">
        <is>
          <t>Over 4 million square feet of masonry in the past year</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10" t="inlineStr"/>
      <c r="P157" s="6" t="inlineStr"/>
      <c r="Q157" s="11">
        <f>IF(O157="","ADD LINKEDIN","ok")</f>
        <v/>
      </c>
      <c r="R157" s="6" t="inlineStr">
        <is>
          <t>https://www.citymasonry.com/</t>
        </is>
      </c>
      <c r="S157" s="9" t="inlineStr">
        <is>
          <t>The largest published masonry throughput in the metro, on load-bearing as well as veneer work, which is the wall a printer would replace.</t>
        </is>
      </c>
      <c r="T157" s="6" t="inlineStr"/>
      <c r="U157" s="9" t="inlineStr"/>
      <c r="V157" s="6" t="inlineStr">
        <is>
          <t>https://www.citymasonry.com/team/</t>
        </is>
      </c>
      <c r="W157" s="6" t="inlineStr"/>
      <c r="X157" s="6" t="inlineStr"/>
      <c r="Y157" s="6" t="inlineStr"/>
      <c r="Z157" s="6" t="inlineStr">
        <is>
          <t>(713) 691-1000</t>
        </is>
      </c>
      <c r="AA157" s="6" t="inlineStr">
        <is>
          <t>main office</t>
        </is>
      </c>
      <c r="AB157" s="6" t="inlineStr">
        <is>
          <t>https://www.citymasonry.com/contact-us/</t>
        </is>
      </c>
      <c r="AC157" s="6" t="inlineStr"/>
      <c r="AD157" s="6" t="inlineStr"/>
    </row>
    <row r="158">
      <c r="A158" s="12" t="inlineStr">
        <is>
          <t>Bruce Wardlaw</t>
        </is>
      </c>
      <c r="B158" s="12" t="inlineStr">
        <is>
          <t>Coreslab Structures (Texas)</t>
        </is>
      </c>
      <c r="C158" s="12" t="inlineStr">
        <is>
          <t>Project Consultant, Houston, East Texas and Multifamily</t>
        </is>
      </c>
      <c r="D158" s="13" t="inlineStr">
        <is>
          <t>Builds the wall, not the house</t>
        </is>
      </c>
      <c r="E158" s="14" t="n">
        <v>2</v>
      </c>
      <c r="F158" s="12" t="inlineStr">
        <is>
          <t>Builds the wall</t>
        </is>
      </c>
      <c r="G158" s="12" t="inlineStr">
        <is>
          <t>Cedar Park plant, with a project consultant covering Houston</t>
        </is>
      </c>
      <c r="H158" s="12" t="inlineStr">
        <is>
          <t>The group's only Texas plant</t>
        </is>
      </c>
      <c r="I158" s="14" t="inlineStr">
        <is>
          <t>Yes</t>
        </is>
      </c>
      <c r="J158" s="15" t="inlineStr">
        <is>
          <t>A complete line of architectural and structural products cast repeatedly from one Texas plant since 1988.</t>
        </is>
      </c>
      <c r="K158" s="14" t="inlineStr">
        <is>
          <t>Partly</t>
        </is>
      </c>
      <c r="L158" s="15" t="inlineStr">
        <is>
          <t>A plant serving the whole state from Cedar Park is larger than one or two printers would cover, and Houston is a sales territory rather than a production location.</t>
        </is>
      </c>
      <c r="M158" s="14" t="inlineStr">
        <is>
          <t>No</t>
        </is>
      </c>
      <c r="N158" s="15" t="inlineStr">
        <is>
          <t>No record of paying for an unproven method.</t>
        </is>
      </c>
      <c r="O158" s="10" t="inlineStr"/>
      <c r="P158" s="12" t="inlineStr"/>
      <c r="Q158" s="16">
        <f>IF(O158="","ADD LINKEDIN","ok")</f>
        <v/>
      </c>
      <c r="R158" s="12" t="inlineStr">
        <is>
          <t>https://www.coreslab.com/locations/austin-texas-precast-concrete/</t>
        </is>
      </c>
      <c r="S158" s="15" t="inlineStr">
        <is>
          <t>Its own staffing page names Houston and multifamily in one title.</t>
        </is>
      </c>
      <c r="T158" s="12" t="inlineStr"/>
      <c r="U158" s="15" t="inlineStr">
        <is>
          <t>The plant's own page, which names Houston and multifamily in the one title.</t>
        </is>
      </c>
      <c r="V158" s="12" t="inlineStr">
        <is>
          <t>https://www.coreslab.com/locations/austin-texas-precast-concrete/</t>
        </is>
      </c>
      <c r="W158" s="12" t="inlineStr"/>
      <c r="X158" s="12" t="inlineStr"/>
      <c r="Y158" s="12" t="inlineStr"/>
      <c r="Z158" s="12" t="inlineStr">
        <is>
          <t>(512) 250-0755</t>
        </is>
      </c>
      <c r="AA158" s="12" t="inlineStr">
        <is>
          <t>main</t>
        </is>
      </c>
      <c r="AB158" s="12" t="inlineStr">
        <is>
          <t>https://www.coreslab.com/locations/austin-texas-precast-concrete/</t>
        </is>
      </c>
      <c r="AC158" s="12" t="inlineStr"/>
      <c r="AD158" s="12" t="inlineStr"/>
    </row>
    <row r="159">
      <c r="A159" s="6" t="inlineStr">
        <is>
          <t>Garrett Weidman</t>
        </is>
      </c>
      <c r="B159" s="6" t="inlineStr">
        <is>
          <t>Coreslab Structures (Texas)</t>
        </is>
      </c>
      <c r="C159" s="6" t="inlineStr">
        <is>
          <t>Sales Manager</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10" t="inlineStr"/>
      <c r="P159" s="6">
        <f>HYPERLINK("https://www.linkedin.com/search/results/people/?keywords=Garrett%20Weidman%20Coreslab%20Structures","search")</f>
        <v/>
      </c>
      <c r="Q159" s="11">
        <f>IF(O159="","ADD LINKEDIN","ok")</f>
        <v/>
      </c>
      <c r="R159" s="6" t="inlineStr">
        <is>
          <t>https://www.coreslab.com/locations/austin-texas-precast-concrete/</t>
        </is>
      </c>
      <c r="S159" s="9" t="inlineStr">
        <is>
          <t>Its own staffing page names Houston and multifamily in one title.</t>
        </is>
      </c>
      <c r="T159" s="6" t="inlineStr"/>
      <c r="U159" s="9" t="inlineStr"/>
      <c r="V159" s="6" t="inlineStr"/>
      <c r="W159" s="6" t="inlineStr"/>
      <c r="X159" s="6" t="inlineStr"/>
      <c r="Y159" s="6" t="inlineStr"/>
      <c r="Z159" s="6" t="inlineStr">
        <is>
          <t>(512) 250-0755</t>
        </is>
      </c>
      <c r="AA159" s="6" t="inlineStr">
        <is>
          <t>main</t>
        </is>
      </c>
      <c r="AB159" s="6" t="inlineStr">
        <is>
          <t>https://www.coreslab.com/locations/austin-texas-precast-concrete/</t>
        </is>
      </c>
      <c r="AC159" s="6" t="inlineStr"/>
      <c r="AD159" s="6" t="inlineStr"/>
    </row>
    <row r="160">
      <c r="A160" s="12" t="inlineStr">
        <is>
          <t>Garrett Weidman, P.E.</t>
        </is>
      </c>
      <c r="B160" s="12" t="inlineStr">
        <is>
          <t>Coreslab Structures (Texas)</t>
        </is>
      </c>
      <c r="C160" s="12" t="inlineStr">
        <is>
          <t>Sales Manager</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0" t="inlineStr"/>
      <c r="P160" s="12" t="inlineStr"/>
      <c r="Q160" s="16">
        <f>IF(O160="","ADD LINKEDIN","ok")</f>
        <v/>
      </c>
      <c r="R160" s="12" t="inlineStr">
        <is>
          <t>https://www.coreslab.com/locations/austin-texas-precast-concrete/</t>
        </is>
      </c>
      <c r="S160" s="15" t="inlineStr">
        <is>
          <t>Its own staffing page names Houston and multifamily in one title.</t>
        </is>
      </c>
      <c r="T160" s="12" t="inlineStr"/>
      <c r="U160" s="15" t="inlineStr">
        <is>
          <t>The plant's own page, with a direct line.</t>
        </is>
      </c>
      <c r="V160" s="12" t="inlineStr">
        <is>
          <t>https://www.coreslab.com/locations/austin-texas-precast-concrete/</t>
        </is>
      </c>
      <c r="W160" s="12" t="inlineStr"/>
      <c r="X160" s="12" t="inlineStr"/>
      <c r="Y160" s="12" t="inlineStr"/>
      <c r="Z160" s="12" t="inlineStr">
        <is>
          <t>(512) 250-0755</t>
        </is>
      </c>
      <c r="AA160" s="12" t="inlineStr">
        <is>
          <t>main</t>
        </is>
      </c>
      <c r="AB160" s="12" t="inlineStr">
        <is>
          <t>https://www.coreslab.com/locations/austin-texas-precast-concrete/</t>
        </is>
      </c>
      <c r="AC160" s="12" t="inlineStr"/>
      <c r="AD160" s="12" t="inlineStr"/>
    </row>
    <row r="161">
      <c r="A161" s="6" t="inlineStr">
        <is>
          <t>Robb Harrington</t>
        </is>
      </c>
      <c r="B161" s="6" t="inlineStr">
        <is>
          <t>Coreslab Structures (Texas)</t>
        </is>
      </c>
      <c r="C161" s="6" t="inlineStr">
        <is>
          <t>Project Consultant, Dallas-Fort Worth and North Texas</t>
        </is>
      </c>
      <c r="D161" s="7" t="inlineStr">
        <is>
          <t>Builds the wall, not the house</t>
        </is>
      </c>
      <c r="E161" s="8" t="n">
        <v>2</v>
      </c>
      <c r="F161" s="6" t="inlineStr">
        <is>
          <t>Builds the wall</t>
        </is>
      </c>
      <c r="G161" s="6" t="inlineStr">
        <is>
          <t>Cedar Park plant, with a project consultant covering Houston</t>
        </is>
      </c>
      <c r="H161" s="6" t="inlineStr">
        <is>
          <t>The group's only Texas plant</t>
        </is>
      </c>
      <c r="I161" s="8" t="inlineStr">
        <is>
          <t>Yes</t>
        </is>
      </c>
      <c r="J161" s="9" t="inlineStr">
        <is>
          <t>A complete line of architectural and structural products cast repeatedly from one Texas plant since 1988.</t>
        </is>
      </c>
      <c r="K161" s="8" t="inlineStr">
        <is>
          <t>Partly</t>
        </is>
      </c>
      <c r="L161" s="9" t="inlineStr">
        <is>
          <t>A plant serving the whole state from Cedar Park is larger than one or two printers would cover, and Houston is a sales territory rather than a production location.</t>
        </is>
      </c>
      <c r="M161" s="8" t="inlineStr">
        <is>
          <t>No</t>
        </is>
      </c>
      <c r="N161" s="9" t="inlineStr">
        <is>
          <t>No record of paying for an unproven method.</t>
        </is>
      </c>
      <c r="O161" s="10" t="inlineStr"/>
      <c r="P161" s="6" t="inlineStr"/>
      <c r="Q161" s="11">
        <f>IF(O161="","ADD LINKEDIN","ok")</f>
        <v/>
      </c>
      <c r="R161" s="6" t="inlineStr">
        <is>
          <t>https://www.coreslab.com/locations/austin-texas-precast-concrete/</t>
        </is>
      </c>
      <c r="S161" s="9" t="inlineStr">
        <is>
          <t>Its own staffing page names Houston and multifamily in one title.</t>
        </is>
      </c>
      <c r="T161" s="6" t="inlineStr"/>
      <c r="U161" s="9" t="inlineStr">
        <is>
          <t>The plant's own page, which completes the Texas coverage map.</t>
        </is>
      </c>
      <c r="V161" s="6" t="inlineStr">
        <is>
          <t>https://www.coreslab.com/locations/austin-texas-precast-concrete/</t>
        </is>
      </c>
      <c r="W161" s="6" t="inlineStr"/>
      <c r="X161" s="6" t="inlineStr"/>
      <c r="Y161" s="6" t="inlineStr"/>
      <c r="Z161" s="6" t="inlineStr">
        <is>
          <t>(512) 250-0755</t>
        </is>
      </c>
      <c r="AA161" s="6" t="inlineStr">
        <is>
          <t>main</t>
        </is>
      </c>
      <c r="AB161" s="6" t="inlineStr">
        <is>
          <t>https://www.coreslab.com/locations/austin-texas-precast-concrete/</t>
        </is>
      </c>
      <c r="AC161" s="6" t="inlineStr"/>
      <c r="AD161" s="6" t="inlineStr"/>
    </row>
    <row r="162">
      <c r="A162" s="12" t="inlineStr">
        <is>
          <t>Trey Green</t>
        </is>
      </c>
      <c r="B162" s="12" t="inlineStr">
        <is>
          <t>Greco Structures</t>
        </is>
      </c>
      <c r="C162" s="12" t="inlineStr">
        <is>
          <t>Senior Vice President, Self Perform Group, Satterfield and Pontikes</t>
        </is>
      </c>
      <c r="D162" s="13" t="inlineStr">
        <is>
          <t>Builds the wall, not the house</t>
        </is>
      </c>
      <c r="E162" s="14" t="n">
        <v>2</v>
      </c>
      <c r="F162" s="12" t="inlineStr">
        <is>
          <t>Builds the wall</t>
        </is>
      </c>
      <c r="G162" s="12" t="inlineStr">
        <is>
          <t>Houston, working Harris and Fort Bend</t>
        </is>
      </c>
      <c r="H162" s="12" t="inlineStr">
        <is>
          <t>49 panels, tallest 52 feet 7 inches, on one job</t>
        </is>
      </c>
      <c r="I162" s="14" t="inlineStr">
        <is>
          <t>Yes</t>
        </is>
      </c>
      <c r="J162" s="15" t="inlineStr">
        <is>
          <t>Panel and deck work recurring across Houston projects for a standing set of general contractors.</t>
        </is>
      </c>
      <c r="K162" s="14" t="inlineStr">
        <is>
          <t>Partly</t>
        </is>
      </c>
      <c r="L162" s="15" t="inlineStr">
        <is>
          <t>No crew count or annual volume is published, and the purchase would clear through the parent's self-perform group rather than through Greco. On the bands, both of those are a Partly.</t>
        </is>
      </c>
      <c r="M162" s="14" t="inlineStr">
        <is>
          <t>No</t>
        </is>
      </c>
      <c r="N162" s="15" t="inlineStr">
        <is>
          <t>No method statement on record.</t>
        </is>
      </c>
      <c r="O162" s="10" t="inlineStr"/>
      <c r="P162" s="12" t="inlineStr"/>
      <c r="Q162" s="16">
        <f>IF(O162="","ADD LINKEDIN","ok")</f>
        <v/>
      </c>
      <c r="R162" s="12" t="inlineStr">
        <is>
          <t>https://grecostructures.com/</t>
        </is>
      </c>
      <c r="S162" s="15" t="inlineStr">
        <is>
          <t>Elevated post-tensioned decks beside the panels. The work repeats inside one metro and is bought by general contractors rather than by owners.</t>
        </is>
      </c>
      <c r="T162" s="12" t="inlineStr">
        <is>
          <t>YES</t>
        </is>
      </c>
      <c r="U162" s="15" t="inlineStr">
        <is>
          <t>The parent's own team page: he oversees the Self Perform group of Greco Structures, Rollcon, Rocket Pumping and Westway Construction.</t>
        </is>
      </c>
      <c r="V162" s="12" t="inlineStr">
        <is>
          <t>https://www.satpon.com/about/team/</t>
        </is>
      </c>
      <c r="W162" s="12" t="inlineStr"/>
      <c r="X162" s="12" t="inlineStr">
        <is>
          <t>https://www.satpon.com/about/team/</t>
        </is>
      </c>
      <c r="Y162" s="12" t="inlineStr"/>
      <c r="Z162" s="12" t="inlineStr">
        <is>
          <t>(713) 375-2380</t>
        </is>
      </c>
      <c r="AA162" s="12" t="inlineStr"/>
      <c r="AB162" s="12" t="inlineStr">
        <is>
          <t>https://grecostructures.com/contact/</t>
        </is>
      </c>
      <c r="AC162" s="12" t="inlineStr"/>
      <c r="AD162" s="12" t="inlineStr"/>
    </row>
    <row r="163">
      <c r="A163" s="6" t="inlineStr">
        <is>
          <t>George A. Pontikes Jr.</t>
        </is>
      </c>
      <c r="B163" s="6" t="inlineStr">
        <is>
          <t>Greco Structures</t>
        </is>
      </c>
      <c r="C163" s="6" t="inlineStr">
        <is>
          <t>Chief Executive Officer and Chairman, Satterfield and Pontikes</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10" t="inlineStr"/>
      <c r="P163" s="6" t="inlineStr"/>
      <c r="Q163" s="11">
        <f>IF(O163="","ADD LINKEDIN","ok")</f>
        <v/>
      </c>
      <c r="R163" s="6" t="inlineStr">
        <is>
          <t>https://grecostructures.com/</t>
        </is>
      </c>
      <c r="S163" s="9" t="inlineStr">
        <is>
          <t>Elevated post-tensioned decks beside the panels. The work repeats inside one metro and is bought by general contractors rather than by owners.</t>
        </is>
      </c>
      <c r="T163" s="6" t="inlineStr"/>
      <c r="U163" s="9" t="inlineStr">
        <is>
          <t>The parent's own team page: he founded Satterfield and Pontikes with Tommy Satterfield in 1989.</t>
        </is>
      </c>
      <c r="V163" s="6" t="inlineStr">
        <is>
          <t>https://www.satpon.com/about/team/</t>
        </is>
      </c>
      <c r="W163" s="6" t="inlineStr"/>
      <c r="X163" s="6" t="inlineStr">
        <is>
          <t>https://www.satpon.com/about/team/</t>
        </is>
      </c>
      <c r="Y163" s="6" t="inlineStr"/>
      <c r="Z163" s="6" t="inlineStr">
        <is>
          <t>(713) 375-2380</t>
        </is>
      </c>
      <c r="AA163" s="6" t="inlineStr"/>
      <c r="AB163" s="6" t="inlineStr">
        <is>
          <t>https://grecostructures.com/contact/</t>
        </is>
      </c>
      <c r="AC163" s="6" t="inlineStr"/>
      <c r="AD163" s="6" t="inlineStr"/>
    </row>
    <row r="164">
      <c r="A164" s="12" t="inlineStr">
        <is>
          <t>Thomas Valentine</t>
        </is>
      </c>
      <c r="B164" s="12" t="inlineStr">
        <is>
          <t>Greco Structures</t>
        </is>
      </c>
      <c r="C164" s="12" t="inlineStr">
        <is>
          <t>Operations Manager</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6" t="inlineStr">
        <is>
          <t>https://www.linkedin.com/in/thomas-valentine-6b1a7b117/</t>
        </is>
      </c>
      <c r="P164" s="12" t="inlineStr"/>
      <c r="Q164" s="16">
        <f>IF(O164="","ADD LINKEDIN","ok")</f>
        <v/>
      </c>
      <c r="R164" s="12" t="inlineStr">
        <is>
          <t>https://grecostructures.com/</t>
        </is>
      </c>
      <c r="S164" s="15" t="inlineStr">
        <is>
          <t>Elevated post-tensioned decks beside the panels. The work repeats inside one metro and is bought by general contractors rather than by owners.</t>
        </is>
      </c>
      <c r="T164" s="12" t="inlineStr"/>
      <c r="U164" s="15" t="inlineStr">
        <is>
          <t>Headline reads Operations Manager at Greco Structures. Spring, Texas.</t>
        </is>
      </c>
      <c r="V164" s="12" t="inlineStr"/>
      <c r="W164" s="12" t="inlineStr"/>
      <c r="X164" s="12" t="inlineStr">
        <is>
          <t>https://www.satpon.com/about/team/</t>
        </is>
      </c>
      <c r="Y164" s="12" t="inlineStr"/>
      <c r="Z164" s="12" t="inlineStr">
        <is>
          <t>(713) 375-2380</t>
        </is>
      </c>
      <c r="AA164" s="12" t="inlineStr"/>
      <c r="AB164" s="12" t="inlineStr">
        <is>
          <t>https://grecostructures.com/contact/</t>
        </is>
      </c>
      <c r="AC164" s="12" t="inlineStr"/>
      <c r="AD164" s="12" t="inlineStr"/>
    </row>
    <row r="165">
      <c r="A165" s="6" t="inlineStr">
        <is>
          <t>Jordan Lopez</t>
        </is>
      </c>
      <c r="B165" s="6" t="inlineStr">
        <is>
          <t>Greco Structures</t>
        </is>
      </c>
      <c r="C165" s="6" t="inlineStr">
        <is>
          <t>Business Development, Greco Structures and Rollcon</t>
        </is>
      </c>
      <c r="D165" s="7" t="inlineStr">
        <is>
          <t>Builds the wall, not the house</t>
        </is>
      </c>
      <c r="E165" s="8" t="n">
        <v>2</v>
      </c>
      <c r="F165" s="6" t="inlineStr">
        <is>
          <t>Builds the wall</t>
        </is>
      </c>
      <c r="G165" s="6" t="inlineStr">
        <is>
          <t>Houston, working Harris and Fort Bend</t>
        </is>
      </c>
      <c r="H165" s="6" t="inlineStr">
        <is>
          <t>49 panels, tallest 52 feet 7 inches, on one job</t>
        </is>
      </c>
      <c r="I165" s="8" t="inlineStr">
        <is>
          <t>Yes</t>
        </is>
      </c>
      <c r="J165" s="9" t="inlineStr">
        <is>
          <t>Panel and deck work recurring across Houston projects for a standing set of general contractors.</t>
        </is>
      </c>
      <c r="K165" s="8" t="inlineStr">
        <is>
          <t>Partly</t>
        </is>
      </c>
      <c r="L165" s="9" t="inlineStr">
        <is>
          <t>No crew count or annual volume is published, and the purchase would clear through the parent's self-perform group rather than through Greco. On the bands, both of those are a Partly.</t>
        </is>
      </c>
      <c r="M165" s="8" t="inlineStr">
        <is>
          <t>No</t>
        </is>
      </c>
      <c r="N165" s="9" t="inlineStr">
        <is>
          <t>No method statement on record.</t>
        </is>
      </c>
      <c r="O165" s="6" t="inlineStr">
        <is>
          <t>https://www.linkedin.com/in/jordan-lopez-528225229/</t>
        </is>
      </c>
      <c r="P165" s="6" t="inlineStr"/>
      <c r="Q165" s="11">
        <f>IF(O165="","ADD LINKEDIN","ok")</f>
        <v/>
      </c>
      <c r="R165" s="6" t="inlineStr">
        <is>
          <t>https://grecostructures.com/</t>
        </is>
      </c>
      <c r="S165" s="9" t="inlineStr">
        <is>
          <t>Elevated post-tensioned decks beside the panels. The work repeats inside one metro and is bought by general contractors rather than by owners.</t>
        </is>
      </c>
      <c r="T165" s="6" t="inlineStr"/>
      <c r="U165" s="9" t="inlineStr">
        <is>
          <t>Headline reads Business Development Specialist for Greco Structures &amp; Rollcon. Houston, Texas.</t>
        </is>
      </c>
      <c r="V165" s="6" t="inlineStr"/>
      <c r="W165" s="6" t="inlineStr"/>
      <c r="X165" s="6" t="inlineStr">
        <is>
          <t>https://www.satpon.com/about/team/</t>
        </is>
      </c>
      <c r="Y165" s="6" t="inlineStr"/>
      <c r="Z165" s="6" t="inlineStr">
        <is>
          <t>(713) 375-2380</t>
        </is>
      </c>
      <c r="AA165" s="6" t="inlineStr"/>
      <c r="AB165" s="6" t="inlineStr">
        <is>
          <t>https://grecostructures.com/contact/</t>
        </is>
      </c>
      <c r="AC165" s="6" t="inlineStr"/>
      <c r="AD165" s="6" t="inlineStr"/>
    </row>
    <row r="166">
      <c r="A166" s="12" t="inlineStr">
        <is>
          <t>David E. Harvey Sr.</t>
        </is>
      </c>
      <c r="B166" s="12" t="inlineStr">
        <is>
          <t>Harvey Cleary</t>
        </is>
      </c>
      <c r="C166" s="12" t="inlineStr">
        <is>
          <t>Founder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A standing residential market inside the firm, with multifamily buildings delivered repeatedly alongside the commercial work.</t>
        </is>
      </c>
      <c r="K166" s="14" t="inlineStr">
        <is>
          <t>Partly</t>
        </is>
      </c>
      <c r="L166" s="15" t="inlineStr">
        <is>
          <t>$2 billion in construction volume and more than 700 employees on the firm's own count. One or two printers would be a line inside a business that size rather than the business.</t>
        </is>
      </c>
      <c r="M166" s="14" t="inlineStr">
        <is>
          <t>No</t>
        </is>
      </c>
      <c r="N166" s="15" t="inlineStr">
        <is>
          <t>No method statement on record. Owning the equipment and the crews is not the same as having paid for a method that was new at the time.</t>
        </is>
      </c>
      <c r="O166" s="10" t="inlineStr"/>
      <c r="P166" s="12" t="inlineStr"/>
      <c r="Q166" s="16">
        <f>IF(O166="","ADD LINKEDIN","ok")</f>
        <v/>
      </c>
      <c r="R166" s="12" t="inlineStr">
        <is>
          <t>https://www.harveycleary.com/</t>
        </is>
      </c>
      <c r="S166" s="15" t="inlineStr">
        <is>
          <t>It owns formwork, rebar, place and finish, tiltwall erection, architectural precast and tower crane erection, and it builds apartments. No other firm screened discloses that much owned trade.</t>
        </is>
      </c>
      <c r="T166" s="12" t="inlineStr"/>
      <c r="U166" s="15" t="inlineStr">
        <is>
          <t>The firm's own about page: David E. Harvey, Sr. and Gerald D. Hines founded it in 1957, and Harvey was already a proponent of tiltwall.</t>
        </is>
      </c>
      <c r="V166" s="12" t="inlineStr">
        <is>
          <t>https://www.harveycleary.com/about-us/</t>
        </is>
      </c>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David Harvey Jr.</t>
        </is>
      </c>
      <c r="B167" s="6" t="inlineStr">
        <is>
          <t>Harvey Cleary</t>
        </is>
      </c>
      <c r="C167" s="6" t="inlineStr">
        <is>
          <t>Took ownership in 1987</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10" t="inlineStr"/>
      <c r="P167" s="6" t="inlineStr"/>
      <c r="Q167" s="11">
        <f>IF(O167="","ADD LINKEDIN","ok")</f>
        <v/>
      </c>
      <c r="R167" s="6" t="inlineStr">
        <is>
          <t>https://www.harveycleary.com/</t>
        </is>
      </c>
      <c r="S167" s="9" t="inlineStr">
        <is>
          <t>It owns formwork, rebar, place and finish, tiltwall erection, architectural precast and tower crane erection, and it builds apartments. No other firm screened discloses that much owned trade.</t>
        </is>
      </c>
      <c r="T167" s="6" t="inlineStr"/>
      <c r="U167" s="9" t="inlineStr">
        <is>
          <t>The firm's own about page: he and Joseph Cleary both started at Harvey, in 1977 and 1976, and both took ownership in 1987, renaming it Harvey Cleary.</t>
        </is>
      </c>
      <c r="V167" s="6" t="inlineStr">
        <is>
          <t>https://www.harveycleary.com/about-us/</t>
        </is>
      </c>
      <c r="W167" s="6" t="inlineStr"/>
      <c r="X167" s="6" t="inlineStr">
        <is>
          <t>https://www.harveycleary.com/about-us/</t>
        </is>
      </c>
      <c r="Y167" s="6" t="inlineStr">
        <is>
          <t>2026 Engineering News-Record. ENR 2026 Top 400 Contractors, where the firm is ranked 72  https://www.enr.com/toplists/2026-Top-400-Contractors-1</t>
        </is>
      </c>
      <c r="Z167" s="6" t="inlineStr"/>
      <c r="AA167" s="6" t="inlineStr"/>
      <c r="AB167" s="6" t="inlineStr"/>
      <c r="AC167" s="6" t="inlineStr"/>
      <c r="AD167" s="6" t="inlineStr"/>
    </row>
    <row r="168">
      <c r="A168" s="12" t="inlineStr">
        <is>
          <t>Joseph Cleary</t>
        </is>
      </c>
      <c r="B168" s="12" t="inlineStr">
        <is>
          <t>Harvey Cleary</t>
        </is>
      </c>
      <c r="C168" s="12" t="inlineStr">
        <is>
          <t>Took ownership in 1987</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10" t="inlineStr"/>
      <c r="P168" s="12" t="inlineStr"/>
      <c r="Q168" s="16">
        <f>IF(O168="","ADD LINKEDIN","ok")</f>
        <v/>
      </c>
      <c r="R168" s="12" t="inlineStr">
        <is>
          <t>https://www.harveycleary.com/</t>
        </is>
      </c>
      <c r="S168" s="15" t="inlineStr">
        <is>
          <t>It owns formwork, rebar, place and finish, tiltwall erection, architectural precast and tower crane erection, and it builds apartments. No other firm screened discloses that much owned trade.</t>
        </is>
      </c>
      <c r="T168" s="12" t="inlineStr"/>
      <c r="U168" s="15" t="inlineStr">
        <is>
          <t>The firm's own about page: he and David Harvey, Jr. both took ownership in 1987, renaming Harvey Builders to Harvey Cleary.</t>
        </is>
      </c>
      <c r="V168" s="12" t="inlineStr">
        <is>
          <t>https://www.harveycleary.com/about-us/</t>
        </is>
      </c>
      <c r="W168" s="12" t="inlineStr"/>
      <c r="X168" s="12" t="inlineStr">
        <is>
          <t>https://www.harveycleary.com/about-us/</t>
        </is>
      </c>
      <c r="Y168" s="12" t="inlineStr">
        <is>
          <t>2026 Engineering News-Record. ENR 2026 Top 400 Contractors, where the firm is ranked 72  https://www.enr.com/toplists/2026-Top-400-Contractors-1</t>
        </is>
      </c>
      <c r="Z168" s="12" t="inlineStr"/>
      <c r="AA168" s="12" t="inlineStr"/>
      <c r="AB168" s="12" t="inlineStr"/>
      <c r="AC168" s="12" t="inlineStr"/>
      <c r="AD168" s="12" t="inlineStr"/>
    </row>
    <row r="169">
      <c r="A169" s="6" t="inlineStr">
        <is>
          <t>Scott Clarke</t>
        </is>
      </c>
      <c r="B169" s="6" t="inlineStr">
        <is>
          <t>Harvey Cleary</t>
        </is>
      </c>
      <c r="C169" s="6" t="inlineStr">
        <is>
          <t>Chief Operating Officer</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6" t="inlineStr">
        <is>
          <t>https://www.linkedin.com/in/scott-clarke-a2a1a521/</t>
        </is>
      </c>
      <c r="P169" s="6" t="inlineStr"/>
      <c r="Q169" s="11">
        <f>IF(O169="","ADD LINKEDIN","ok")</f>
        <v/>
      </c>
      <c r="R169" s="6" t="inlineStr">
        <is>
          <t>https://www.harveycleary.com/</t>
        </is>
      </c>
      <c r="S169" s="9" t="inlineStr">
        <is>
          <t>It owns formwork, rebar, place and finish, tiltwall erection, architectural precast and tower crane erection, and it builds apartments. No other firm screened discloses that much owned trade.</t>
        </is>
      </c>
      <c r="T169" s="6" t="inlineStr">
        <is>
          <t>YES</t>
        </is>
      </c>
      <c r="U169" s="9" t="inlineStr">
        <is>
          <t>Headline reads Chief Operating Officer at Harvey | Harvey-Cleary Builders. Houston, Texas.</t>
        </is>
      </c>
      <c r="V169" s="6" t="inlineStr"/>
      <c r="W169" s="6" t="inlineStr"/>
      <c r="X169" s="6" t="inlineStr">
        <is>
          <t>https://www.harveycleary.com/about-us/</t>
        </is>
      </c>
      <c r="Y169" s="6" t="inlineStr">
        <is>
          <t>2026 Engineering News-Record. ENR 2026 Top 400 Contractors, where the firm is ranked 72  https://www.enr.com/toplists/2026-Top-400-Contractors-1</t>
        </is>
      </c>
      <c r="Z169" s="6" t="inlineStr"/>
      <c r="AA169" s="6" t="inlineStr"/>
      <c r="AB169" s="6" t="inlineStr"/>
      <c r="AC169" s="6" t="inlineStr"/>
      <c r="AD169" s="6" t="inlineStr"/>
    </row>
    <row r="170">
      <c r="A170" s="12" t="inlineStr">
        <is>
          <t>Jarrod Portelance</t>
        </is>
      </c>
      <c r="B170" s="12" t="inlineStr">
        <is>
          <t>Harvey Cleary</t>
        </is>
      </c>
      <c r="C170" s="12" t="inlineStr">
        <is>
          <t>Project Director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6" t="inlineStr">
        <is>
          <t>https://www.linkedin.com/in/jarrodportelance/</t>
        </is>
      </c>
      <c r="P170" s="12" t="inlineStr"/>
      <c r="Q170" s="16">
        <f>IF(O170="","ADD LINKEDIN","ok")</f>
        <v/>
      </c>
      <c r="R170" s="12" t="inlineStr">
        <is>
          <t>https://www.harveycleary.com/</t>
        </is>
      </c>
      <c r="S170" s="15" t="inlineStr">
        <is>
          <t>It owns formwork, rebar, place and finish, tiltwall erection, architectural precast and tower crane erection, and it builds apartments. No other firm screened discloses that much owned trade.</t>
        </is>
      </c>
      <c r="T170" s="12" t="inlineStr"/>
      <c r="U170" s="15" t="inlineStr">
        <is>
          <t>Headline reads Project Director at Harvey | Harvey-Cleary Builders. Houston, Texas.</t>
        </is>
      </c>
      <c r="V170" s="12" t="inlineStr"/>
      <c r="W170" s="12" t="inlineStr"/>
      <c r="X170" s="12" t="inlineStr">
        <is>
          <t>https://www.harveycleary.com/about-us/</t>
        </is>
      </c>
      <c r="Y170" s="12" t="inlineStr">
        <is>
          <t>2026 Engineering News-Record. ENR 2026 Top 400 Contractors, where the firm is ranked 72  https://www.enr.com/toplists/2026-Top-400-Contractors-1</t>
        </is>
      </c>
      <c r="Z170" s="12" t="inlineStr"/>
      <c r="AA170" s="12" t="inlineStr"/>
      <c r="AB170" s="12" t="inlineStr"/>
      <c r="AC170" s="12" t="inlineStr"/>
      <c r="AD170" s="12" t="inlineStr"/>
    </row>
    <row r="171">
      <c r="A171" s="6" t="inlineStr">
        <is>
          <t>Chad Petro</t>
        </is>
      </c>
      <c r="B171" s="6" t="inlineStr">
        <is>
          <t>Heldenfels Enterprises, a Metromont company</t>
        </is>
      </c>
      <c r="C171" s="6" t="inlineStr">
        <is>
          <t>President and Chief Executive Officer</t>
        </is>
      </c>
      <c r="D171" s="7" t="inlineStr">
        <is>
          <t>Builds the wall, not the house</t>
        </is>
      </c>
      <c r="E171" s="8" t="n">
        <v>2</v>
      </c>
      <c r="F171" s="6" t="inlineStr">
        <is>
          <t>Builds the wall</t>
        </is>
      </c>
      <c r="G171" s="6" t="inlineStr">
        <is>
          <t>San Marcos and Corpus Christi plants</t>
        </is>
      </c>
      <c r="H171" s="6" t="inlineStr">
        <is>
          <t>85-acre plant in San Marcos</t>
        </is>
      </c>
      <c r="I171" s="8" t="inlineStr">
        <is>
          <t>Yes</t>
        </is>
      </c>
      <c r="J171" s="9" t="inlineStr">
        <is>
          <t>Prestressed elements cast repeatedly from an 85-acre yard for one region.</t>
        </is>
      </c>
      <c r="K171" s="8" t="inlineStr">
        <is>
          <t>Partly</t>
        </is>
      </c>
      <c r="L171" s="9" t="inlineStr">
        <is>
          <t>Eighty-five acres of casting is well beyond what one or two printers would cover, and the product is infrastructure and stadium work rather than house wall.</t>
        </is>
      </c>
      <c r="M171" s="8" t="inlineStr">
        <is>
          <t>No</t>
        </is>
      </c>
      <c r="N171" s="9" t="inlineStr">
        <is>
          <t>No record of paying for an unproven method on its own account.</t>
        </is>
      </c>
      <c r="O171" s="6" t="inlineStr">
        <is>
          <t>https://www.linkedin.com/in/chad-petro-89b7a913/</t>
        </is>
      </c>
      <c r="P171" s="6" t="inlineStr"/>
      <c r="Q171" s="11">
        <f>IF(O171="","ADD LINKEDIN","ok")</f>
        <v/>
      </c>
      <c r="R171" s="6" t="inlineStr">
        <is>
          <t>https://heldenfels.com/</t>
        </is>
      </c>
      <c r="S171" s="9" t="inlineStr">
        <is>
          <t>Metromont bought it on 15 December 2025 and kept its president, Chad Petro.</t>
        </is>
      </c>
      <c r="T171" s="6" t="inlineStr">
        <is>
          <t>YES</t>
        </is>
      </c>
      <c r="U171" s="9" t="inlineStr">
        <is>
          <t>Metromont's chief executive names him as the continuing president and chief executive in the acquisition coverage of 9 February 2026. The firm's own about page still says Senior Vice President and General Manager and has not been updated.</t>
        </is>
      </c>
      <c r="V171" s="6" t="inlineStr"/>
      <c r="W171" s="6" t="inlineStr"/>
      <c r="X171" s="6" t="inlineStr"/>
      <c r="Y171" s="6" t="inlineStr"/>
      <c r="Z171" s="6" t="inlineStr">
        <is>
          <t>(512) 396-2376</t>
        </is>
      </c>
      <c r="AA171" s="6" t="inlineStr">
        <is>
          <t>San Marcos main</t>
        </is>
      </c>
      <c r="AB171" s="6" t="inlineStr">
        <is>
          <t>https://heldenfels.com/contact/</t>
        </is>
      </c>
      <c r="AC171" s="6" t="inlineStr"/>
      <c r="AD171" s="6" t="inlineStr"/>
    </row>
    <row r="172">
      <c r="A172" s="12" t="inlineStr">
        <is>
          <t>Larry Miller, P.E.</t>
        </is>
      </c>
      <c r="B172" s="12" t="inlineStr">
        <is>
          <t>Heldenfels Enterprises, a Metromont company</t>
        </is>
      </c>
      <c r="C172" s="12" t="inlineStr">
        <is>
          <t>Vice President, Preconstruction and Business Development</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0" t="inlineStr"/>
      <c r="P172" s="12" t="inlineStr"/>
      <c r="Q172" s="16">
        <f>IF(O172="","ADD LINKEDIN","ok")</f>
        <v/>
      </c>
      <c r="R172" s="12" t="inlineStr">
        <is>
          <t>https://heldenfels.com/</t>
        </is>
      </c>
      <c r="S172" s="15" t="inlineStr">
        <is>
          <t>Metromont bought it on 15 December 2025 and kept its president, Chad Petro.</t>
        </is>
      </c>
      <c r="T172" s="12" t="inlineStr"/>
      <c r="U172" s="15" t="inlineStr"/>
      <c r="V172" s="12" t="inlineStr">
        <is>
          <t>https://heldenfels.com/contact/</t>
        </is>
      </c>
      <c r="W172" s="12" t="inlineStr"/>
      <c r="X172" s="12" t="inlineStr"/>
      <c r="Y172" s="12" t="inlineStr"/>
      <c r="Z172" s="12" t="inlineStr">
        <is>
          <t>(512) 396-2376</t>
        </is>
      </c>
      <c r="AA172" s="12" t="inlineStr">
        <is>
          <t>San Marcos main</t>
        </is>
      </c>
      <c r="AB172" s="12" t="inlineStr">
        <is>
          <t>https://heldenfels.com/contact/</t>
        </is>
      </c>
      <c r="AC172" s="12" t="inlineStr"/>
      <c r="AD172" s="12" t="inlineStr"/>
    </row>
    <row r="173">
      <c r="A173" s="6" t="inlineStr">
        <is>
          <t>Fred W. Heldenfels IV</t>
        </is>
      </c>
      <c r="B173" s="6" t="inlineStr">
        <is>
          <t>Heldenfels Enterprises, a Metromont company</t>
        </is>
      </c>
      <c r="C173" s="6" t="inlineStr">
        <is>
          <t>Founder</t>
        </is>
      </c>
      <c r="D173" s="7" t="inlineStr">
        <is>
          <t>Builds the wall, not the house</t>
        </is>
      </c>
      <c r="E173" s="8" t="n">
        <v>2</v>
      </c>
      <c r="F173" s="6" t="inlineStr">
        <is>
          <t>Builds the wall</t>
        </is>
      </c>
      <c r="G173" s="6" t="inlineStr">
        <is>
          <t>San Marcos and Corpus Christi plants</t>
        </is>
      </c>
      <c r="H173" s="6" t="inlineStr">
        <is>
          <t>85-acre plant in San Marcos</t>
        </is>
      </c>
      <c r="I173" s="8" t="inlineStr">
        <is>
          <t>Yes</t>
        </is>
      </c>
      <c r="J173" s="9" t="inlineStr">
        <is>
          <t>Prestressed elements cast repeatedly from an 85-acre yard for one region.</t>
        </is>
      </c>
      <c r="K173" s="8" t="inlineStr">
        <is>
          <t>Partly</t>
        </is>
      </c>
      <c r="L173" s="9" t="inlineStr">
        <is>
          <t>Eighty-five acres of casting is well beyond what one or two printers would cover, and the product is infrastructure and stadium work rather than house wall.</t>
        </is>
      </c>
      <c r="M173" s="8" t="inlineStr">
        <is>
          <t>No</t>
        </is>
      </c>
      <c r="N173" s="9" t="inlineStr">
        <is>
          <t>No record of paying for an unproven method on its own account.</t>
        </is>
      </c>
      <c r="O173" s="10" t="inlineStr"/>
      <c r="P173" s="6" t="inlineStr"/>
      <c r="Q173" s="11">
        <f>IF(O173="","ADD LINKEDIN","ok")</f>
        <v/>
      </c>
      <c r="R173" s="6" t="inlineStr">
        <is>
          <t>https://heldenfels.com/</t>
        </is>
      </c>
      <c r="S173" s="9" t="inlineStr">
        <is>
          <t>Metromont bought it on 15 December 2025 and kept its president, Chad Petro.</t>
        </is>
      </c>
      <c r="T173" s="6" t="inlineStr"/>
      <c r="U173" s="9" t="inlineStr">
        <is>
          <t>The firm's own about page: he formed the company in 1995 and bought the precast and prestressed division assets. He sold to Metromont in December 2025 and is likely exiting.</t>
        </is>
      </c>
      <c r="V173" s="6" t="inlineStr">
        <is>
          <t>https://heldenfels.com/about-us/</t>
        </is>
      </c>
      <c r="W173" s="6" t="inlineStr"/>
      <c r="X173" s="6" t="inlineStr"/>
      <c r="Y173" s="6" t="inlineStr"/>
      <c r="Z173" s="6" t="inlineStr">
        <is>
          <t>(512) 396-2376</t>
        </is>
      </c>
      <c r="AA173" s="6" t="inlineStr">
        <is>
          <t>San Marcos main</t>
        </is>
      </c>
      <c r="AB173" s="6" t="inlineStr">
        <is>
          <t>https://heldenfels.com/contact/</t>
        </is>
      </c>
      <c r="AC173" s="6" t="inlineStr"/>
      <c r="AD173" s="6" t="inlineStr"/>
    </row>
    <row r="174">
      <c r="A174" s="12" t="inlineStr">
        <is>
          <t>Travis Boone</t>
        </is>
      </c>
      <c r="B174" s="12" t="inlineStr">
        <is>
          <t>ORION</t>
        </is>
      </c>
      <c r="C174" s="12" t="inlineStr">
        <is>
          <t>Chief Executive Officer, Orion Group Holdings</t>
        </is>
      </c>
      <c r="D174" s="13" t="inlineStr">
        <is>
          <t>Builds the wall, not the house</t>
        </is>
      </c>
      <c r="E174" s="14" t="n">
        <v>2</v>
      </c>
      <c r="F174" s="12" t="inlineStr">
        <is>
          <t>Builds the wall</t>
        </is>
      </c>
      <c r="G174" s="12" t="inlineStr">
        <is>
          <t>Houston, Harris</t>
        </is>
      </c>
      <c r="H174" s="12" t="inlineStr">
        <is>
          <t>257 panels and 175,820 square feet of wall on one job</t>
        </is>
      </c>
      <c r="I174" s="14" t="inlineStr">
        <is>
          <t>Yes</t>
        </is>
      </c>
      <c r="J174" s="15" t="inlineStr">
        <is>
          <t>Panel production at the top of the metro's range, recurring across institutional and commercial work.</t>
        </is>
      </c>
      <c r="K174" s="14" t="inlineStr">
        <is>
          <t>Partly</t>
        </is>
      </c>
      <c r="L174" s="15" t="inlineStr">
        <is>
          <t>The concrete business is large enough that a printer is a line item, and the capital decision sits with a listed parent rather than in Houston.</t>
        </is>
      </c>
      <c r="M174" s="14" t="inlineStr">
        <is>
          <t>No</t>
        </is>
      </c>
      <c r="N174" s="15" t="inlineStr">
        <is>
          <t>No method statement on record.</t>
        </is>
      </c>
      <c r="O174" s="10" t="inlineStr"/>
      <c r="P174" s="12" t="inlineStr"/>
      <c r="Q174" s="16">
        <f>IF(O174="","ADD LINKEDIN","ok")</f>
        <v/>
      </c>
      <c r="R174" s="12" t="inlineStr">
        <is>
          <t>https://www.oriongroupholdingsinc.com/</t>
        </is>
      </c>
      <c r="S174" s="15" t="inlineStr">
        <is>
          <t>Purchasing now runs through a listed parent.</t>
        </is>
      </c>
      <c r="T174" s="12" t="inlineStr">
        <is>
          <t>YES</t>
        </is>
      </c>
      <c r="U174" s="15" t="inlineStr">
        <is>
          <t>Quoted as chief executive in the firm's own release of 29 January 2024, announcing that TAS Concrete Construction would trade as Orion.</t>
        </is>
      </c>
      <c r="V174" s="12" t="inlineStr">
        <is>
          <t>https://www.oriongroupholdingsinc.com/investors/press-release/2024/29-01-2024-120203346</t>
        </is>
      </c>
      <c r="W174" s="12" t="inlineStr"/>
      <c r="X174" s="12" t="inlineStr"/>
      <c r="Y174" s="12" t="inlineStr"/>
      <c r="Z174" s="12" t="inlineStr">
        <is>
          <t>(713) 852-6500</t>
        </is>
      </c>
      <c r="AA174" s="12" t="inlineStr"/>
      <c r="AB174" s="12" t="inlineStr">
        <is>
          <t>https://www.oriongroupholdingsinc.com/</t>
        </is>
      </c>
      <c r="AC174" s="12" t="inlineStr"/>
      <c r="AD174" s="12" t="inlineStr"/>
    </row>
    <row r="175">
      <c r="A175" s="6" t="inlineStr">
        <is>
          <t>Mark Furse</t>
        </is>
      </c>
      <c r="B175" s="6" t="inlineStr">
        <is>
          <t>Texas Building Supply, a US LBM company</t>
        </is>
      </c>
      <c r="C175" s="6" t="inlineStr">
        <is>
          <t>Market President</t>
        </is>
      </c>
      <c r="D175" s="7" t="inlineStr">
        <is>
          <t>Builds the wall, not the house</t>
        </is>
      </c>
      <c r="E175" s="8" t="n">
        <v>2</v>
      </c>
      <c r="F175" s="6" t="inlineStr">
        <is>
          <t>Builds the wall</t>
        </is>
      </c>
      <c r="G175" s="6" t="inlineStr">
        <is>
          <t>Houston branch on Railhead Lane, panel plants in San Antonio, Taylor and Van Alstyne</t>
        </is>
      </c>
      <c r="H175" s="6" t="inlineStr">
        <is>
          <t>Wall panels trucked into a Houston branch</t>
        </is>
      </c>
      <c r="I175" s="8" t="inlineStr">
        <is>
          <t>Yes</t>
        </is>
      </c>
      <c r="J175" s="9" t="inlineStr">
        <is>
          <t>Wall panels made repeatedly across three Texas plants and delivered into Houston.</t>
        </is>
      </c>
      <c r="K175" s="8" t="inlineStr">
        <is>
          <t>Partly</t>
        </is>
      </c>
      <c r="L175" s="9" t="inlineStr">
        <is>
          <t>Three panel plants inside a national parent is more capacity than one or two printers would cover, and Houston is distribution rather than production.</t>
        </is>
      </c>
      <c r="M175" s="8" t="inlineStr">
        <is>
          <t>No</t>
        </is>
      </c>
      <c r="N175" s="9" t="inlineStr">
        <is>
          <t>No record of paying for an unproven method.</t>
        </is>
      </c>
      <c r="O175" s="6" t="inlineStr">
        <is>
          <t>https://www.linkedin.com/in/mark-furse-02b1b717/</t>
        </is>
      </c>
      <c r="P175" s="6" t="inlineStr"/>
      <c r="Q175" s="11">
        <f>IF(O175="","ADD LINKEDIN","ok")</f>
        <v/>
      </c>
      <c r="R175" s="6" t="inlineStr">
        <is>
          <t>https://texasbuildingsupply.com/</t>
        </is>
      </c>
      <c r="S175" s="9" t="inlineStr">
        <is>
          <t>Already trucks manufactured wall into Houston from plants elsewhere, which is the logistics problem a local machine removes.</t>
        </is>
      </c>
      <c r="T175" s="6" t="inlineStr"/>
      <c r="U175" s="9"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5" s="6" t="inlineStr"/>
      <c r="W175" s="6" t="inlineStr"/>
      <c r="X175" s="6" t="inlineStr"/>
      <c r="Y175" s="6" t="inlineStr"/>
      <c r="Z175" s="6" t="inlineStr">
        <is>
          <t>(281) 447-0384</t>
        </is>
      </c>
      <c r="AA175" s="6" t="inlineStr">
        <is>
          <t>Houston branch</t>
        </is>
      </c>
      <c r="AB175" s="6" t="inlineStr">
        <is>
          <t>https://texasbuildingsupply.com/locations</t>
        </is>
      </c>
      <c r="AC175" s="6" t="inlineStr"/>
      <c r="AD175" s="6" t="inlineStr"/>
    </row>
    <row r="176">
      <c r="A176" s="12" t="inlineStr">
        <is>
          <t>Dwain Hutton</t>
        </is>
      </c>
      <c r="B176" s="12" t="inlineStr">
        <is>
          <t>UFP Site Built</t>
        </is>
      </c>
      <c r="C176" s="12" t="inlineStr">
        <is>
          <t>Executive Vice President, UFP Site Built</t>
        </is>
      </c>
      <c r="D176" s="13" t="inlineStr">
        <is>
          <t>Builds the wall, not the house</t>
        </is>
      </c>
      <c r="E176" s="14" t="n">
        <v>2</v>
      </c>
      <c r="F176" s="12" t="inlineStr">
        <is>
          <t>Builds the wall</t>
        </is>
      </c>
      <c r="G176" s="12" t="inlineStr">
        <is>
          <t>Huntsville plant, about 70 miles north, within five Texas plants</t>
        </is>
      </c>
      <c r="H176" s="12" t="inlineStr">
        <is>
          <t>Five Texas plants, wall panels at Huntsville</t>
        </is>
      </c>
      <c r="I176" s="14" t="inlineStr">
        <is>
          <t>Yes</t>
        </is>
      </c>
      <c r="J176" s="15" t="inlineStr">
        <is>
          <t>Wall panels and cassettes made repeatedly from one Texas plant for builders across the region.</t>
        </is>
      </c>
      <c r="K176" s="14" t="inlineStr">
        <is>
          <t>Partly</t>
        </is>
      </c>
      <c r="L176" s="15" t="inlineStr">
        <is>
          <t>One plant within five Texas plants is more capacity than one or two printers would cover, though a single plant is the closer end of that range.</t>
        </is>
      </c>
      <c r="M176" s="14" t="inlineStr">
        <is>
          <t>No</t>
        </is>
      </c>
      <c r="N176" s="15" t="inlineStr">
        <is>
          <t>No record of paying for an unproven method. Manufacturing wall panels is this industry's ordinary business rather than an adoption, and the offsite argument on its site is marketing for the product it already sells.</t>
        </is>
      </c>
      <c r="O176" s="10" t="inlineStr"/>
      <c r="P176" s="12" t="inlineStr"/>
      <c r="Q176" s="16">
        <f>IF(O176="","ADD LINKEDIN","ok")</f>
        <v/>
      </c>
      <c r="R176" s="12" t="inlineStr">
        <is>
          <t>https://ufpsitebuilt.com/</t>
        </is>
      </c>
      <c r="S176" s="15" t="inlineStr">
        <is>
          <t>A wall panel plant 70 miles from Houston inside a parent that publishes offsite manufacturing as its stated argument.</t>
        </is>
      </c>
      <c r="T176" s="12" t="inlineStr">
        <is>
          <t>YES</t>
        </is>
      </c>
      <c r="U176" s="15"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76" s="12" t="inlineStr">
        <is>
          <t>https://ufpsitebuilt.com/leadershipteam</t>
        </is>
      </c>
      <c r="W176" s="12" t="inlineStr"/>
      <c r="X176" s="12" t="inlineStr"/>
      <c r="Y176" s="12" t="inlineStr"/>
      <c r="Z176" s="12" t="inlineStr">
        <is>
          <t>(936) 295-3411</t>
        </is>
      </c>
      <c r="AA176" s="12" t="inlineStr">
        <is>
          <t>Huntsville plant</t>
        </is>
      </c>
      <c r="AB176" s="12" t="inlineStr">
        <is>
          <t>https://ufpsitebuilt.com/our-locations/huntsville-tx</t>
        </is>
      </c>
      <c r="AC176" s="12" t="inlineStr"/>
      <c r="AD176" s="12" t="inlineStr"/>
    </row>
    <row r="177">
      <c r="A177" s="6" t="inlineStr">
        <is>
          <t>Dan Juntunen</t>
        </is>
      </c>
      <c r="B177" s="6" t="inlineStr">
        <is>
          <t>Wells, Hillsboro plants</t>
        </is>
      </c>
      <c r="C177" s="6" t="inlineStr">
        <is>
          <t>Chief Executive Officer, Wells</t>
        </is>
      </c>
      <c r="D177" s="7" t="inlineStr">
        <is>
          <t>Builds the wall, not the house</t>
        </is>
      </c>
      <c r="E177" s="8" t="n">
        <v>2</v>
      </c>
      <c r="F177" s="6" t="inlineStr">
        <is>
          <t>Builds the wall</t>
        </is>
      </c>
      <c r="G177" s="6" t="inlineStr">
        <is>
          <t>Hillsboro, two plants on North Waco Street</t>
        </is>
      </c>
      <c r="H177" s="6" t="inlineStr">
        <is>
          <t>102,000 combined square feet, 320-plus people</t>
        </is>
      </c>
      <c r="I177" s="8" t="inlineStr">
        <is>
          <t>Yes</t>
        </is>
      </c>
      <c r="J177" s="9" t="inlineStr">
        <is>
          <t>Wall and structural elements cast repeatedly across two dedicated plants.</t>
        </is>
      </c>
      <c r="K177" s="8" t="inlineStr">
        <is>
          <t>Partly</t>
        </is>
      </c>
      <c r="L177" s="9" t="inlineStr">
        <is>
          <t>102,000 square feet across two plants is beyond what one or two printers would cover.</t>
        </is>
      </c>
      <c r="M177" s="8" t="inlineStr">
        <is>
          <t>No</t>
        </is>
      </c>
      <c r="N177" s="9" t="inlineStr">
        <is>
          <t>No record of paying for an unproven method.</t>
        </is>
      </c>
      <c r="O177" s="6" t="inlineStr">
        <is>
          <t>https://www.linkedin.com/in/dan-juntunen-b2765a14/</t>
        </is>
      </c>
      <c r="P177" s="6" t="inlineStr"/>
      <c r="Q177" s="11">
        <f>IF(O177="","ADD LINKEDIN","ok")</f>
        <v/>
      </c>
      <c r="R177" s="6" t="inlineStr">
        <is>
          <t>https://wells.build/contact/locations/hillsboro-texas/</t>
        </is>
      </c>
      <c r="S177" s="9" t="inlineStr">
        <is>
          <t>A two-plant campus making both architectural and structural wall.</t>
        </is>
      </c>
      <c r="T177" s="6" t="inlineStr">
        <is>
          <t>YES</t>
        </is>
      </c>
      <c r="U177" s="9" t="inlineStr">
        <is>
          <t>The Hillsboro page names nobody, and this plant is the former Gate Precast architectural yard whose own leadership pages went when gateprecast.com started redirecting to wells.build. Corporate is the only published authority for either Texas site.</t>
        </is>
      </c>
      <c r="V177" s="6" t="inlineStr"/>
      <c r="W177" s="6" t="inlineStr"/>
      <c r="X177" s="6" t="inlineStr"/>
      <c r="Y177" s="6" t="inlineStr"/>
      <c r="Z177" s="6" t="inlineStr">
        <is>
          <t>(254) 582-7200</t>
        </is>
      </c>
      <c r="AA177" s="6" t="inlineStr">
        <is>
          <t>Hillsboro plant</t>
        </is>
      </c>
      <c r="AB177" s="6" t="inlineStr">
        <is>
          <t>https://wells.build/contact/locations/hillsboro-texas/</t>
        </is>
      </c>
      <c r="AC177" s="6" t="inlineStr"/>
      <c r="AD177" s="6" t="inlineStr"/>
    </row>
    <row r="178">
      <c r="A178" s="12" t="inlineStr">
        <is>
          <t>Dan Juntunen</t>
        </is>
      </c>
      <c r="B178" s="12" t="inlineStr">
        <is>
          <t>Wells, Pearland plant</t>
        </is>
      </c>
      <c r="C178" s="12" t="inlineStr">
        <is>
          <t>Chief Executive Officer, Wells</t>
        </is>
      </c>
      <c r="D178" s="13" t="inlineStr">
        <is>
          <t>Builds the wall, not the house</t>
        </is>
      </c>
      <c r="E178" s="14" t="n">
        <v>2</v>
      </c>
      <c r="F178" s="12" t="inlineStr">
        <is>
          <t>Builds the wall</t>
        </is>
      </c>
      <c r="G178" s="12" t="inlineStr">
        <is>
          <t>Pearland, Brazoria County</t>
        </is>
      </c>
      <c r="H178" s="12" t="inlineStr">
        <is>
          <t>32,000 square foot plant, 125-plus projects a year</t>
        </is>
      </c>
      <c r="I178" s="14" t="inlineStr">
        <is>
          <t>Yes</t>
        </is>
      </c>
      <c r="J178" s="15" t="inlineStr">
        <is>
          <t>One product made repeatedly in one plant for one region.</t>
        </is>
      </c>
      <c r="K178" s="14" t="inlineStr">
        <is>
          <t>Partly</t>
        </is>
      </c>
      <c r="L178" s="15" t="inlineStr">
        <is>
          <t>A plant turning 125-plus projects a year is bigger than one or two machines would cover, and hollowcore is a plank product rather than a wall product, so a printer would serve a line the plant does not currently run.</t>
        </is>
      </c>
      <c r="M178" s="14" t="inlineStr">
        <is>
          <t>No</t>
        </is>
      </c>
      <c r="N178" s="15" t="inlineStr">
        <is>
          <t>No record of paying for an unproven method. The published history is consolidation and certification, not experiment.</t>
        </is>
      </c>
      <c r="O178" s="6" t="inlineStr">
        <is>
          <t>https://www.linkedin.com/in/dan-juntunen-b2765a14/</t>
        </is>
      </c>
      <c r="P178" s="12" t="inlineStr"/>
      <c r="Q178" s="16">
        <f>IF(O178="","ADD LINKEDIN","ok")</f>
        <v/>
      </c>
      <c r="R178" s="12" t="inlineStr">
        <is>
          <t>https://wells.build/contact/locations/pearland-texas/</t>
        </is>
      </c>
      <c r="S178" s="15" t="inlineStr">
        <is>
          <t>A hollowcore plant in Pearland. Hollowcore is one product line, a floor and roof plank.</t>
        </is>
      </c>
      <c r="T178" s="12" t="inlineStr">
        <is>
          <t>YES</t>
        </is>
      </c>
      <c r="U178" s="15"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78" s="12" t="inlineStr"/>
      <c r="W178" s="12" t="inlineStr"/>
      <c r="X178" s="12" t="inlineStr"/>
      <c r="Y178" s="12" t="inlineStr"/>
      <c r="Z178" s="12" t="inlineStr">
        <is>
          <t>(281) 485-3273</t>
        </is>
      </c>
      <c r="AA178" s="12" t="inlineStr">
        <is>
          <t>Pearland plant</t>
        </is>
      </c>
      <c r="AB178" s="12" t="inlineStr">
        <is>
          <t>https://wells.build/contact/locations/pearland-texas/</t>
        </is>
      </c>
      <c r="AC178" s="12" t="inlineStr"/>
      <c r="AD178" s="12" t="inlineStr"/>
    </row>
    <row r="179">
      <c r="A179" s="6" t="inlineStr">
        <is>
          <t>Mark Scully</t>
        </is>
      </c>
      <c r="B179" s="6" t="inlineStr">
        <is>
          <t>Encore Concrete Construction</t>
        </is>
      </c>
      <c r="C179" s="6" t="inlineStr">
        <is>
          <t>President</t>
        </is>
      </c>
      <c r="D179" s="7" t="inlineStr">
        <is>
          <t>Builds the wall, not the house</t>
        </is>
      </c>
      <c r="E179" s="8" t="n">
        <v>2</v>
      </c>
      <c r="F179" s="6" t="inlineStr">
        <is>
          <t>Builds the wall</t>
        </is>
      </c>
      <c r="G179" s="6" t="inlineStr">
        <is>
          <t>Spring, Harris and Montgomery</t>
        </is>
      </c>
      <c r="H179" s="6" t="inlineStr">
        <is>
          <t>Employee-owned, and lists elevated multifamily as a project type</t>
        </is>
      </c>
      <c r="I179" s="8" t="inlineStr">
        <is>
          <t>Yes</t>
        </is>
      </c>
      <c r="J179" s="9" t="inlineStr">
        <is>
          <t>Tilt-up warehouses, retail centres and schools repeating inside the Houston market.</t>
        </is>
      </c>
      <c r="K179" s="8" t="inlineStr">
        <is>
          <t>Partly</t>
        </is>
      </c>
      <c r="L179" s="9" t="inlineStr">
        <is>
          <t>No crew count or annual volume is published. The one published job runs to 32 panels across four floors. On the bands, a firm with no annual figure is a Partly.</t>
        </is>
      </c>
      <c r="M179" s="8" t="inlineStr">
        <is>
          <t>No</t>
        </is>
      </c>
      <c r="N179" s="9" t="inlineStr">
        <is>
          <t>No method statement on record. The 2025 tilt-up award is for execution, not for a new method.</t>
        </is>
      </c>
      <c r="O179" s="6" t="inlineStr">
        <is>
          <t>https://www.linkedin.com/in/mark-scully-596648201/</t>
        </is>
      </c>
      <c r="P179" s="6" t="inlineStr"/>
      <c r="Q179" s="11">
        <f>IF(O179="","ADD LINKEDIN","ok")</f>
        <v/>
      </c>
      <c r="R179" s="6" t="inlineStr">
        <is>
          <t>https://www.encoreconcrete.com/</t>
        </is>
      </c>
      <c r="S179" s="9" t="inlineStr">
        <is>
          <t>Employee-owned, so the capital decision is made inside the company. Elevated multifamily is one of the seven project types it publishes.</t>
        </is>
      </c>
      <c r="T179" s="6" t="inlineStr">
        <is>
          <t>YES</t>
        </is>
      </c>
      <c r="U179" s="9" t="inlineStr">
        <is>
          <t>Headline reads President at Encore Concrete Construction. Spring, Texas.</t>
        </is>
      </c>
      <c r="V179" s="6" t="inlineStr"/>
      <c r="W179" s="6" t="inlineStr"/>
      <c r="X179" s="6" t="inlineStr"/>
      <c r="Y179" s="6" t="inlineStr"/>
      <c r="Z179" s="6" t="inlineStr">
        <is>
          <t>(832) 663-6800</t>
        </is>
      </c>
      <c r="AA179" s="6" t="inlineStr"/>
      <c r="AB179" s="6" t="inlineStr">
        <is>
          <t>https://www.encoreconcrete.com/</t>
        </is>
      </c>
      <c r="AC179" s="6" t="inlineStr"/>
      <c r="AD179" s="6" t="inlineStr"/>
    </row>
    <row r="180">
      <c r="A180" s="12" t="inlineStr">
        <is>
          <t>Tim Manherz</t>
        </is>
      </c>
      <c r="B180" s="12" t="inlineStr">
        <is>
          <t>Encore Concrete Construction</t>
        </is>
      </c>
      <c r="C180" s="12" t="inlineStr">
        <is>
          <t>Vice President</t>
        </is>
      </c>
      <c r="D180" s="13" t="inlineStr">
        <is>
          <t>Builds the wall, not the house</t>
        </is>
      </c>
      <c r="E180" s="14" t="n">
        <v>2</v>
      </c>
      <c r="F180" s="12" t="inlineStr">
        <is>
          <t>Builds the wall</t>
        </is>
      </c>
      <c r="G180" s="12" t="inlineStr">
        <is>
          <t>Spring, Harris and Montgomery</t>
        </is>
      </c>
      <c r="H180" s="12" t="inlineStr">
        <is>
          <t>Employee-owned, and lists elevated multifamily as a project type</t>
        </is>
      </c>
      <c r="I180" s="14" t="inlineStr">
        <is>
          <t>Yes</t>
        </is>
      </c>
      <c r="J180" s="15" t="inlineStr">
        <is>
          <t>Tilt-up warehouses, retail centres and schools repeating inside the Houston market.</t>
        </is>
      </c>
      <c r="K180" s="14" t="inlineStr">
        <is>
          <t>Partly</t>
        </is>
      </c>
      <c r="L180" s="15" t="inlineStr">
        <is>
          <t>No crew count or annual volume is published. The one published job runs to 32 panels across four floors. On the bands, a firm with no annual figure is a Partly.</t>
        </is>
      </c>
      <c r="M180" s="14" t="inlineStr">
        <is>
          <t>No</t>
        </is>
      </c>
      <c r="N180" s="15" t="inlineStr">
        <is>
          <t>No method statement on record. The 2025 tilt-up award is for execution, not for a new method.</t>
        </is>
      </c>
      <c r="O180" s="6" t="inlineStr">
        <is>
          <t>https://www.linkedin.com/in/tim-manherz-9a2b62148/</t>
        </is>
      </c>
      <c r="P180" s="12" t="inlineStr"/>
      <c r="Q180" s="16">
        <f>IF(O180="","ADD LINKEDIN","ok")</f>
        <v/>
      </c>
      <c r="R180" s="12" t="inlineStr">
        <is>
          <t>https://www.encoreconcrete.com/</t>
        </is>
      </c>
      <c r="S180" s="15" t="inlineStr">
        <is>
          <t>Employee-owned, so the capital decision is made inside the company. Elevated multifamily is one of the seven project types it publishes.</t>
        </is>
      </c>
      <c r="T180" s="12" t="inlineStr">
        <is>
          <t>YES</t>
        </is>
      </c>
      <c r="U180" s="15" t="inlineStr">
        <is>
          <t>Headline reads Vice President at Encore Concrete Construction. Greater Houston.</t>
        </is>
      </c>
      <c r="V180" s="12" t="inlineStr"/>
      <c r="W180" s="12" t="inlineStr"/>
      <c r="X180" s="12" t="inlineStr"/>
      <c r="Y180" s="12" t="inlineStr"/>
      <c r="Z180" s="12" t="inlineStr">
        <is>
          <t>(832) 663-6800</t>
        </is>
      </c>
      <c r="AA180" s="12" t="inlineStr"/>
      <c r="AB180" s="12" t="inlineStr">
        <is>
          <t>https://www.encoreconcrete.com/</t>
        </is>
      </c>
      <c r="AC180" s="12" t="inlineStr"/>
      <c r="AD180" s="12" t="inlineStr"/>
    </row>
    <row r="181">
      <c r="A181" s="6" t="inlineStr">
        <is>
          <t>Kevin Medlin</t>
        </is>
      </c>
      <c r="B181" s="6" t="inlineStr">
        <is>
          <t>NAPCO Precast</t>
        </is>
      </c>
      <c r="C181" s="6" t="inlineStr">
        <is>
          <t>President</t>
        </is>
      </c>
      <c r="D181" s="7" t="inlineStr">
        <is>
          <t>Builds the wall, not the house</t>
        </is>
      </c>
      <c r="E181" s="8" t="n">
        <v>2</v>
      </c>
      <c r="F181" s="6" t="inlineStr">
        <is>
          <t>Builds the wall</t>
        </is>
      </c>
      <c r="G181" s="6" t="inlineStr">
        <is>
          <t>San Antonio, Low Bid Lane</t>
        </is>
      </c>
      <c r="H181" s="6" t="inlineStr">
        <is>
          <t>500-plus projects since 1994</t>
        </is>
      </c>
      <c r="I181" s="8" t="inlineStr">
        <is>
          <t>Yes</t>
        </is>
      </c>
      <c r="J181" s="9" t="inlineStr">
        <is>
          <t>Parking structures and multi-family elements cast repeatedly from one plant since 1994.</t>
        </is>
      </c>
      <c r="K181" s="8" t="inlineStr">
        <is>
          <t>Partly</t>
        </is>
      </c>
      <c r="L181" s="9" t="inlineStr">
        <is>
          <t>A single plant serving the whole state is larger than one or two printers would cover, though smaller than the multi-plant producers on this deck.</t>
        </is>
      </c>
      <c r="M181" s="8" t="inlineStr">
        <is>
          <t>No</t>
        </is>
      </c>
      <c r="N181" s="9" t="inlineStr">
        <is>
          <t>No record of paying for an unproven method.</t>
        </is>
      </c>
      <c r="O181" s="6" t="inlineStr">
        <is>
          <t>https://www.linkedin.com/in/kevin-medlin-8693832b/</t>
        </is>
      </c>
      <c r="P181" s="6" t="inlineStr"/>
      <c r="Q181" s="11">
        <f>IF(O181="","ADD LINKEDIN","ok")</f>
        <v/>
      </c>
      <c r="R181" s="6" t="inlineStr">
        <is>
          <t>https://www.napcoprecast.com/</t>
        </is>
      </c>
      <c r="S181" s="9" t="inlineStr">
        <is>
          <t>One of only two precast producers screened whose published markets include multi-family residential.</t>
        </is>
      </c>
      <c r="T181" s="6" t="inlineStr">
        <is>
          <t>YES</t>
        </is>
      </c>
      <c r="U181" s="9" t="inlineStr">
        <is>
          <t>The firm's own history, in the present tense: with president Kevin Medlin leading the company, NAPCO is expanding its portfolio and additional product lines.</t>
        </is>
      </c>
      <c r="V181" s="6" t="inlineStr"/>
      <c r="W181" s="6" t="inlineStr"/>
      <c r="X181" s="6" t="inlineStr"/>
      <c r="Y181" s="6" t="inlineStr"/>
      <c r="Z181" s="6" t="inlineStr">
        <is>
          <t>(210) 509-9100</t>
        </is>
      </c>
      <c r="AA181" s="6" t="inlineStr">
        <is>
          <t>the only number published</t>
        </is>
      </c>
      <c r="AB181" s="6" t="inlineStr">
        <is>
          <t>https://www.napcoprecast.com/contact</t>
        </is>
      </c>
      <c r="AC181" s="6" t="inlineStr"/>
      <c r="AD181" s="6" t="inlineStr"/>
    </row>
    <row r="182">
      <c r="A182" s="12" t="inlineStr">
        <is>
          <t>Jaime Iragorri</t>
        </is>
      </c>
      <c r="B182" s="12" t="inlineStr">
        <is>
          <t>NAPCO Precast</t>
        </is>
      </c>
      <c r="C182" s="12" t="inlineStr">
        <is>
          <t>Founder</t>
        </is>
      </c>
      <c r="D182" s="13" t="inlineStr">
        <is>
          <t>Builds the wall, not the house</t>
        </is>
      </c>
      <c r="E182" s="14" t="n">
        <v>2</v>
      </c>
      <c r="F182" s="12" t="inlineStr">
        <is>
          <t>Builds the wall</t>
        </is>
      </c>
      <c r="G182" s="12" t="inlineStr">
        <is>
          <t>San Antonio, Low Bid Lane</t>
        </is>
      </c>
      <c r="H182" s="12" t="inlineStr">
        <is>
          <t>500-plus projects since 1994</t>
        </is>
      </c>
      <c r="I182" s="14" t="inlineStr">
        <is>
          <t>Yes</t>
        </is>
      </c>
      <c r="J182" s="15" t="inlineStr">
        <is>
          <t>Parking structures and multi-family elements cast repeatedly from one plant since 1994.</t>
        </is>
      </c>
      <c r="K182" s="14" t="inlineStr">
        <is>
          <t>Partly</t>
        </is>
      </c>
      <c r="L182" s="15" t="inlineStr">
        <is>
          <t>A single plant serving the whole state is larger than one or two printers would cover, though smaller than the multi-plant producers on this deck.</t>
        </is>
      </c>
      <c r="M182" s="14" t="inlineStr">
        <is>
          <t>No</t>
        </is>
      </c>
      <c r="N182" s="15" t="inlineStr">
        <is>
          <t>No record of paying for an unproven method.</t>
        </is>
      </c>
      <c r="O182" s="10" t="inlineStr"/>
      <c r="P182" s="12" t="inlineStr"/>
      <c r="Q182" s="16">
        <f>IF(O182="","ADD LINKEDIN","ok")</f>
        <v/>
      </c>
      <c r="R182" s="12" t="inlineStr">
        <is>
          <t>https://www.napcoprecast.com/</t>
        </is>
      </c>
      <c r="S182" s="15" t="inlineStr">
        <is>
          <t>One of only two precast producers screened whose published markets include multi-family residential.</t>
        </is>
      </c>
      <c r="T182" s="12" t="inlineStr"/>
      <c r="U182" s="15" t="inlineStr">
        <is>
          <t>The firm's own history: established NAPCO in 1995.</t>
        </is>
      </c>
      <c r="V182" s="12" t="inlineStr">
        <is>
          <t>https://www.napcoprecast.com/the-company/our-story</t>
        </is>
      </c>
      <c r="W182" s="12" t="inlineStr"/>
      <c r="X182" s="12" t="inlineStr"/>
      <c r="Y182" s="12" t="inlineStr"/>
      <c r="Z182" s="12" t="inlineStr">
        <is>
          <t>(210) 509-9100</t>
        </is>
      </c>
      <c r="AA182" s="12" t="inlineStr">
        <is>
          <t>the only number published</t>
        </is>
      </c>
      <c r="AB182" s="12" t="inlineStr">
        <is>
          <t>https://www.napcoprecast.com/contact</t>
        </is>
      </c>
      <c r="AC182" s="12" t="inlineStr"/>
      <c r="AD182" s="12" t="inlineStr"/>
    </row>
    <row r="183">
      <c r="A183" s="6" t="inlineStr">
        <is>
          <t>Steve Salverino</t>
        </is>
      </c>
      <c r="B183" s="6" t="inlineStr">
        <is>
          <t>Rino Construction</t>
        </is>
      </c>
      <c r="C183" s="6" t="inlineStr">
        <is>
          <t>Chief Executive Officer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Tilt-up buildings recurring across two Texas metros since 1991, at 48 million square feet on its own count.</t>
        </is>
      </c>
      <c r="K183" s="8" t="inlineStr">
        <is>
          <t>Partly</t>
        </is>
      </c>
      <c r="L183" s="9" t="inlineStr">
        <is>
          <t>48 million square feet since 1991 on the firm's own homepage. A second page still carries an older 38 million. No annual figure is published, so this sits at a Partly.</t>
        </is>
      </c>
      <c r="M183" s="8" t="inlineStr">
        <is>
          <t>No</t>
        </is>
      </c>
      <c r="N183" s="9" t="inlineStr">
        <is>
          <t>No method statement on record.</t>
        </is>
      </c>
      <c r="O183" s="10" t="inlineStr"/>
      <c r="P183" s="6" t="inlineStr"/>
      <c r="Q183" s="11">
        <f>IF(O183="","ADD LINKEDIN","ok")</f>
        <v/>
      </c>
      <c r="R183" s="6" t="inlineStr">
        <is>
          <t>https://rino-con.com/</t>
        </is>
      </c>
      <c r="S183" s="9" t="inlineStr">
        <is>
          <t>Thirty-five years of tilt-up as the stated specialty. Its own site puts the self-performed concrete in the past tense.</t>
        </is>
      </c>
      <c r="T183" s="6" t="inlineStr"/>
      <c r="U183" s="9" t="inlineStr">
        <is>
          <t>The firm's own leadership page carries the title.</t>
        </is>
      </c>
      <c r="V183" s="6" t="inlineStr">
        <is>
          <t>https://rino-con.com/leadership/</t>
        </is>
      </c>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Jacob Aswad</t>
        </is>
      </c>
      <c r="B184" s="12" t="inlineStr">
        <is>
          <t>Rino Construction</t>
        </is>
      </c>
      <c r="C184" s="12" t="inlineStr">
        <is>
          <t>President</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0" t="inlineStr"/>
      <c r="P184" s="12" t="inlineStr"/>
      <c r="Q184" s="16">
        <f>IF(O184="","ADD LINKEDIN","ok")</f>
        <v/>
      </c>
      <c r="R184" s="12" t="inlineStr">
        <is>
          <t>https://rino-con.com/</t>
        </is>
      </c>
      <c r="S184" s="15" t="inlineStr">
        <is>
          <t>Thirty-five years of tilt-up as the stated specialty. Its own site puts the self-performed concrete in the past tense.</t>
        </is>
      </c>
      <c r="T184" s="12" t="inlineStr"/>
      <c r="U184" s="15" t="inlineStr">
        <is>
          <t>The firm's own leadership page carries the title.</t>
        </is>
      </c>
      <c r="V184" s="12" t="inlineStr">
        <is>
          <t>https://rino-con.com/leadership/</t>
        </is>
      </c>
      <c r="W184" s="12" t="inlineStr"/>
      <c r="X184" s="12" t="inlineStr">
        <is>
          <t>https://rino-con.com/leadership/</t>
        </is>
      </c>
      <c r="Y184" s="12" t="inlineStr"/>
      <c r="Z184" s="12" t="inlineStr">
        <is>
          <t>(281) 207-0700</t>
        </is>
      </c>
      <c r="AA184" s="12" t="inlineStr">
        <is>
          <t>Houston, at Katy</t>
        </is>
      </c>
      <c r="AB184" s="12" t="inlineStr">
        <is>
          <t>https://rino-con.com/</t>
        </is>
      </c>
      <c r="AC184" s="12" t="inlineStr"/>
      <c r="AD184" s="12" t="inlineStr"/>
    </row>
    <row r="185">
      <c r="A185" s="6" t="inlineStr">
        <is>
          <t>Justin Henderson</t>
        </is>
      </c>
      <c r="B185" s="6" t="inlineStr">
        <is>
          <t>Rino Construction</t>
        </is>
      </c>
      <c r="C185" s="6" t="inlineStr">
        <is>
          <t>Vice President</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10" t="inlineStr"/>
      <c r="P185" s="6" t="inlineStr"/>
      <c r="Q185" s="11">
        <f>IF(O185="","ADD LINKEDIN","ok")</f>
        <v/>
      </c>
      <c r="R185" s="6" t="inlineStr">
        <is>
          <t>https://rino-con.com/</t>
        </is>
      </c>
      <c r="S185" s="9" t="inlineStr">
        <is>
          <t>Thirty-five years of tilt-up as the stated specialty. Its own site puts the self-performed concrete in the past tense.</t>
        </is>
      </c>
      <c r="T185" s="6" t="inlineStr"/>
      <c r="U185" s="9" t="inlineStr">
        <is>
          <t>The firm's own leadership page carries the title.</t>
        </is>
      </c>
      <c r="V185" s="6" t="inlineStr">
        <is>
          <t>https://rino-con.com/leadership/</t>
        </is>
      </c>
      <c r="W185" s="6" t="inlineStr"/>
      <c r="X185" s="6" t="inlineStr">
        <is>
          <t>https://rino-con.com/leadership/</t>
        </is>
      </c>
      <c r="Y185" s="6" t="inlineStr"/>
      <c r="Z185" s="6" t="inlineStr">
        <is>
          <t>(281) 207-0700</t>
        </is>
      </c>
      <c r="AA185" s="6" t="inlineStr">
        <is>
          <t>Houston, at Katy</t>
        </is>
      </c>
      <c r="AB185" s="6" t="inlineStr">
        <is>
          <t>https://rino-con.com/</t>
        </is>
      </c>
      <c r="AC185" s="6" t="inlineStr"/>
      <c r="AD185" s="6" t="inlineStr"/>
    </row>
    <row r="186">
      <c r="A186" s="12" t="inlineStr">
        <is>
          <t>Jeff Rager</t>
        </is>
      </c>
      <c r="B186" s="12" t="inlineStr">
        <is>
          <t>Rino Construction</t>
        </is>
      </c>
      <c r="C186" s="12" t="inlineStr">
        <is>
          <t>Senior Project Manager</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6" t="inlineStr">
        <is>
          <t>https://www.linkedin.com/in/jeff-rager-b0ab6a380/</t>
        </is>
      </c>
      <c r="P186" s="12" t="inlineStr"/>
      <c r="Q186" s="16">
        <f>IF(O186="","ADD LINKEDIN","ok")</f>
        <v/>
      </c>
      <c r="R186" s="12" t="inlineStr">
        <is>
          <t>https://rino-con.com/</t>
        </is>
      </c>
      <c r="S186" s="15" t="inlineStr">
        <is>
          <t>Thirty-five years of tilt-up as the stated specialty. Its own site puts the self-performed concrete in the past tense.</t>
        </is>
      </c>
      <c r="T186" s="12" t="inlineStr"/>
      <c r="U186" s="15" t="inlineStr">
        <is>
          <t>Headline reads Senior Project Manager, Rino (Rosenberger) Construction. Spring, Texas, and it carries both names, which confirms the rename.</t>
        </is>
      </c>
      <c r="V186" s="12" t="inlineStr"/>
      <c r="W186" s="12" t="inlineStr"/>
      <c r="X186" s="12" t="inlineStr">
        <is>
          <t>https://rino-con.com/leadership/</t>
        </is>
      </c>
      <c r="Y186" s="12" t="inlineStr"/>
      <c r="Z186" s="12" t="inlineStr">
        <is>
          <t>(281) 207-0700</t>
        </is>
      </c>
      <c r="AA186" s="12" t="inlineStr">
        <is>
          <t>Houston, at Katy</t>
        </is>
      </c>
      <c r="AB186" s="12" t="inlineStr">
        <is>
          <t>https://rino-con.com/</t>
        </is>
      </c>
      <c r="AC186" s="12" t="inlineStr"/>
      <c r="AD186" s="12" t="inlineStr"/>
    </row>
    <row r="187">
      <c r="A187" s="6" t="inlineStr">
        <is>
          <t>James Abbate</t>
        </is>
      </c>
      <c r="B187" s="6" t="inlineStr">
        <is>
          <t>Rino Construction</t>
        </is>
      </c>
      <c r="C187" s="6" t="inlineStr">
        <is>
          <t>Controller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6" t="inlineStr">
        <is>
          <t>https://www.linkedin.com/in/james-abbate/</t>
        </is>
      </c>
      <c r="P187" s="6" t="inlineStr"/>
      <c r="Q187" s="11">
        <f>IF(O187="","ADD LINKEDIN","ok")</f>
        <v/>
      </c>
      <c r="R187" s="6" t="inlineStr">
        <is>
          <t>https://rino-con.com/</t>
        </is>
      </c>
      <c r="S187" s="9" t="inlineStr">
        <is>
          <t>Thirty-five years of tilt-up as the stated specialty. Its own site puts the self-performed concrete in the past tense.</t>
        </is>
      </c>
      <c r="T187" s="6" t="inlineStr"/>
      <c r="U187" s="9" t="inlineStr">
        <is>
          <t>Headline reads Controller at Rosenberger Construction. Katy, Texas.</t>
        </is>
      </c>
      <c r="V187" s="6" t="inlineStr"/>
      <c r="W187" s="6" t="inlineStr"/>
      <c r="X187" s="6" t="inlineStr">
        <is>
          <t>https://rino-con.com/leadership/</t>
        </is>
      </c>
      <c r="Y187" s="6" t="inlineStr"/>
      <c r="Z187" s="6" t="inlineStr">
        <is>
          <t>(281) 207-0700</t>
        </is>
      </c>
      <c r="AA187" s="6" t="inlineStr">
        <is>
          <t>Houston, at Katy</t>
        </is>
      </c>
      <c r="AB187" s="6" t="inlineStr">
        <is>
          <t>https://rino-con.com/</t>
        </is>
      </c>
      <c r="AC187" s="6" t="inlineStr"/>
      <c r="AD187" s="6" t="inlineStr"/>
    </row>
    <row r="188">
      <c r="A188" s="12" t="inlineStr">
        <is>
          <t>Don Jackson</t>
        </is>
      </c>
      <c r="B188" s="12" t="inlineStr">
        <is>
          <t>Solid Foundations</t>
        </is>
      </c>
      <c r="C188" s="12" t="inlineStr">
        <is>
          <t>Owner and President</t>
        </is>
      </c>
      <c r="D188" s="13" t="inlineStr">
        <is>
          <t>Builds the wall, not the house</t>
        </is>
      </c>
      <c r="E188" s="14" t="n">
        <v>2</v>
      </c>
      <c r="F188" s="12" t="inlineStr">
        <is>
          <t>Builds the wall</t>
        </is>
      </c>
      <c r="G188" s="12" t="inlineStr">
        <is>
          <t>Conroe, Montgomery County, and across the state</t>
        </is>
      </c>
      <c r="H188" s="12" t="inlineStr">
        <is>
          <t>Founded 1999, rebar and post-tension foundations</t>
        </is>
      </c>
      <c r="I188" s="14" t="inlineStr">
        <is>
          <t>Partly</t>
        </is>
      </c>
      <c r="J188" s="15" t="inlineStr">
        <is>
          <t>A standing post-tension foundation line repeated across the region, though the published project list is commercial rather than production residential.</t>
        </is>
      </c>
      <c r="K188" s="14" t="inlineStr">
        <is>
          <t>Yes</t>
        </is>
      </c>
      <c r="L188" s="15" t="inlineStr">
        <is>
          <t>A single-office contractor of this size is the scale where one or two machines would cover a real share of the work it takes on.</t>
        </is>
      </c>
      <c r="M188" s="14" t="inlineStr">
        <is>
          <t>No</t>
        </is>
      </c>
      <c r="N188" s="15" t="inlineStr">
        <is>
          <t>No record of paying for an unproven method.</t>
        </is>
      </c>
      <c r="O188" s="6" t="inlineStr">
        <is>
          <t>https://www.linkedin.com/in/don-jackson-2366351a/</t>
        </is>
      </c>
      <c r="P188" s="12" t="inlineStr"/>
      <c r="Q188" s="16">
        <f>IF(O188="","ADD LINKEDIN","ok")</f>
        <v/>
      </c>
      <c r="R188" s="12" t="inlineStr">
        <is>
          <t>https://solidfoundationsltd.com/about.php</t>
        </is>
      </c>
      <c r="S188" s="15" t="inlineStr">
        <is>
          <t>A Conroe contractor with a standing post-tension line, positioned in the north Houston growth corridor where the production communities are.</t>
        </is>
      </c>
      <c r="T188" s="12" t="inlineStr">
        <is>
          <t>YES</t>
        </is>
      </c>
      <c r="U188" s="15" t="inlineStr">
        <is>
          <t>The firm's own about page: started in 1999 by its owner and president. His profile headline carries the firm, which matters because the name is a common one. The only person this firm publishes.</t>
        </is>
      </c>
      <c r="V188" s="12" t="inlineStr"/>
      <c r="W188" s="12" t="inlineStr"/>
      <c r="X188" s="12" t="inlineStr"/>
      <c r="Y188" s="12" t="inlineStr"/>
      <c r="Z188" s="12" t="inlineStr">
        <is>
          <t>(281) 798-4821</t>
        </is>
      </c>
      <c r="AA188" s="12" t="inlineStr">
        <is>
          <t>main</t>
        </is>
      </c>
      <c r="AB188" s="12" t="inlineStr">
        <is>
          <t>https://solidfoundationsltd.com/about.php</t>
        </is>
      </c>
      <c r="AC188" s="12" t="inlineStr"/>
      <c r="AD188" s="12" t="inlineStr"/>
    </row>
    <row r="189">
      <c r="A189" s="6" t="inlineStr">
        <is>
          <t>Francisco Trevino</t>
        </is>
      </c>
      <c r="B189" s="6" t="inlineStr">
        <is>
          <t>Texan Pumpers Company</t>
        </is>
      </c>
      <c r="C189" s="6" t="inlineStr"/>
      <c r="D189" s="7" t="inlineStr">
        <is>
          <t>Builds the wall, not the house</t>
        </is>
      </c>
      <c r="E189" s="8" t="n">
        <v>2</v>
      </c>
      <c r="F189" s="6" t="inlineStr">
        <is>
          <t>Builds the wall</t>
        </is>
      </c>
      <c r="G189" s="6" t="inlineStr">
        <is>
          <t>Kingwood, serving a 150-mile radius</t>
        </is>
      </c>
      <c r="H189" s="6" t="inlineStr">
        <is>
          <t>Over 30 pump trucks, 45 to 50 percent annual growth</t>
        </is>
      </c>
      <c r="I189" s="8" t="inlineStr">
        <is>
          <t>Yes</t>
        </is>
      </c>
      <c r="J189" s="9" t="inlineStr">
        <is>
          <t>Placement repeated daily for home builders and contractors across one region from one yard.</t>
        </is>
      </c>
      <c r="K189" s="8" t="inlineStr">
        <is>
          <t>Partly</t>
        </is>
      </c>
      <c r="L189" s="9" t="inlineStr">
        <is>
          <t>Thirty-plus trucks is more placement capacity than one or two printers would cover, though a single-yard operation is the closer end of that range.</t>
        </is>
      </c>
      <c r="M189" s="8" t="inlineStr">
        <is>
          <t>No</t>
        </is>
      </c>
      <c r="N189" s="9" t="inlineStr">
        <is>
          <t>No record of paying for an unproven method. The published position is fleet growth and service.</t>
        </is>
      </c>
      <c r="O189" s="6" t="inlineStr">
        <is>
          <t>https://www.linkedin.com/in/francisco-trevino-3b122822b/</t>
        </is>
      </c>
      <c r="P189" s="6" t="inlineStr"/>
      <c r="Q189" s="11">
        <f>IF(O189="","ADD LINKEDIN","ok")</f>
        <v/>
      </c>
      <c r="R189" s="6" t="inlineStr">
        <is>
          <t>https://texconpumping.com/</t>
        </is>
      </c>
      <c r="S189" s="9" t="inlineStr">
        <is>
          <t>The fastest-growing pumping fleet in the metro, already selling placement to home builders, and still buying equipment.</t>
        </is>
      </c>
      <c r="T189" s="6" t="inlineStr"/>
      <c r="U189" s="9"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V189" s="6" t="inlineStr"/>
      <c r="W189" s="6" t="inlineStr"/>
      <c r="X189" s="6" t="inlineStr"/>
      <c r="Y189" s="6" t="inlineStr"/>
      <c r="Z189" s="6" t="inlineStr">
        <is>
          <t>(713) 588-3500</t>
        </is>
      </c>
      <c r="AA189" s="6" t="inlineStr">
        <is>
          <t>the only number published</t>
        </is>
      </c>
      <c r="AB189" s="6" t="inlineStr">
        <is>
          <t>https://texconpumping.com/</t>
        </is>
      </c>
      <c r="AC189" s="6" t="inlineStr"/>
      <c r="AD189" s="6" t="inlineStr"/>
    </row>
    <row r="190">
      <c r="A190" s="12" t="inlineStr">
        <is>
          <t>David Buzzelli</t>
        </is>
      </c>
      <c r="B190" s="12" t="inlineStr">
        <is>
          <t>Texas A&amp;M Concrete</t>
        </is>
      </c>
      <c r="C190" s="12" t="inlineStr">
        <is>
          <t>Vice President</t>
        </is>
      </c>
      <c r="D190" s="13" t="inlineStr">
        <is>
          <t>Builds the wall, not the house</t>
        </is>
      </c>
      <c r="E190" s="14" t="n">
        <v>2</v>
      </c>
      <c r="F190" s="12" t="inlineStr">
        <is>
          <t>Builds the wall</t>
        </is>
      </c>
      <c r="G190" s="12" t="inlineStr">
        <is>
          <t>Houston, Harris</t>
        </is>
      </c>
      <c r="H190" s="12" t="inlineStr">
        <is>
          <t>79 panels and 52,116 square feet of tilt-up wall on one job</t>
        </is>
      </c>
      <c r="I190" s="14" t="inlineStr">
        <is>
          <t>Yes</t>
        </is>
      </c>
      <c r="J190" s="15" t="inlineStr">
        <is>
          <t>Tilt-up panel production repeats inside one metro even when the buildings differ.</t>
        </is>
      </c>
      <c r="K190" s="14" t="inlineStr">
        <is>
          <t>Partly</t>
        </is>
      </c>
      <c r="L190" s="15" t="inlineStr">
        <is>
          <t>The firm's own site gives a job range of $500,000 to $15 million. A printer would be one line in a book that size.</t>
        </is>
      </c>
      <c r="M190" s="14" t="inlineStr">
        <is>
          <t>No</t>
        </is>
      </c>
      <c r="N190" s="15" t="inlineStr">
        <is>
          <t>No method statement on record. Its published involvement is in concrete standards committees, not in new methods.</t>
        </is>
      </c>
      <c r="O190" s="6" t="inlineStr">
        <is>
          <t>https://www.linkedin.com/in/david-buzzelli-faci-77109b29/</t>
        </is>
      </c>
      <c r="P190" s="12" t="inlineStr"/>
      <c r="Q190" s="16">
        <f>IF(O190="","ADD LINKEDIN","ok")</f>
        <v/>
      </c>
      <c r="R190" s="12" t="inlineStr">
        <is>
          <t>https://www.texasamconcrete.com/</t>
        </is>
      </c>
      <c r="S190" s="15" t="inlineStr">
        <is>
          <t>Two award-listed tilt-up jobs in Houston. Panels repeat; the buildings behind them do not.</t>
        </is>
      </c>
      <c r="T190" s="12" t="inlineStr">
        <is>
          <t>YES</t>
        </is>
      </c>
      <c r="U190" s="15" t="inlineStr">
        <is>
          <t>Headline reads Vice President of Texas A&amp;M Concrete, LLC. Houston, Texas. He is also named as a founder in the firm's own dated news post.</t>
        </is>
      </c>
      <c r="V190" s="12" t="inlineStr"/>
      <c r="W190" s="12" t="inlineStr"/>
      <c r="X190" s="12" t="inlineStr"/>
      <c r="Y190" s="12" t="inlineStr"/>
      <c r="Z190" s="12" t="inlineStr">
        <is>
          <t>(281) 405-9557</t>
        </is>
      </c>
      <c r="AA190" s="12" t="inlineStr">
        <is>
          <t>office</t>
        </is>
      </c>
      <c r="AB190" s="12" t="inlineStr">
        <is>
          <t>https://www.texasamconcrete.com/</t>
        </is>
      </c>
      <c r="AC190" s="12" t="inlineStr"/>
      <c r="AD190" s="12" t="inlineStr"/>
    </row>
    <row r="191">
      <c r="A191" s="6" t="inlineStr">
        <is>
          <t>Adrian Villarreal</t>
        </is>
      </c>
      <c r="B191" s="6" t="inlineStr">
        <is>
          <t>Texas A&amp;M Concrete</t>
        </is>
      </c>
      <c r="C191" s="6" t="inlineStr">
        <is>
          <t>Co-founder</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10" t="inlineStr"/>
      <c r="P191" s="6" t="inlineStr"/>
      <c r="Q191" s="11">
        <f>IF(O191="","ADD LINKEDIN","ok")</f>
        <v/>
      </c>
      <c r="R191" s="6" t="inlineStr">
        <is>
          <t>https://www.texasamconcrete.com/</t>
        </is>
      </c>
      <c r="S191" s="9" t="inlineStr">
        <is>
          <t>Two award-listed tilt-up jobs in Houston. Panels repeat; the buildings behind them do not.</t>
        </is>
      </c>
      <c r="T191" s="6" t="inlineStr"/>
      <c r="U191" s="9" t="inlineStr"/>
      <c r="V191" s="6" t="inlineStr">
        <is>
          <t>https://www.texasamconcrete.com/blogs/news/texas-concrete-contractor-makes-it-big</t>
        </is>
      </c>
      <c r="W191" s="6" t="inlineStr"/>
      <c r="X191" s="6" t="inlineStr"/>
      <c r="Y191" s="6" t="inlineStr"/>
      <c r="Z191" s="6" t="inlineStr">
        <is>
          <t>(281) 405-9557</t>
        </is>
      </c>
      <c r="AA191" s="6" t="inlineStr">
        <is>
          <t>office</t>
        </is>
      </c>
      <c r="AB191" s="6" t="inlineStr">
        <is>
          <t>https://www.texasamconcrete.com/</t>
        </is>
      </c>
      <c r="AC191" s="6" t="inlineStr"/>
      <c r="AD191" s="6" t="inlineStr"/>
    </row>
    <row r="192">
      <c r="A192" s="12" t="inlineStr">
        <is>
          <t>Marcos Chavez</t>
        </is>
      </c>
      <c r="B192" s="12" t="inlineStr">
        <is>
          <t>Texas A&amp;M Concrete</t>
        </is>
      </c>
      <c r="C192" s="12" t="inlineStr">
        <is>
          <t>Co-founder</t>
        </is>
      </c>
      <c r="D192" s="13" t="inlineStr">
        <is>
          <t>Builds the wall, not the house</t>
        </is>
      </c>
      <c r="E192" s="14" t="n">
        <v>2</v>
      </c>
      <c r="F192" s="12" t="inlineStr">
        <is>
          <t>Builds the wall</t>
        </is>
      </c>
      <c r="G192" s="12" t="inlineStr">
        <is>
          <t>Houston, Harris</t>
        </is>
      </c>
      <c r="H192" s="12" t="inlineStr">
        <is>
          <t>79 panels and 52,116 square feet of tilt-up wall on one job</t>
        </is>
      </c>
      <c r="I192" s="14" t="inlineStr">
        <is>
          <t>Yes</t>
        </is>
      </c>
      <c r="J192" s="15" t="inlineStr">
        <is>
          <t>Tilt-up panel production repeats inside one metro even when the buildings differ.</t>
        </is>
      </c>
      <c r="K192" s="14" t="inlineStr">
        <is>
          <t>Partly</t>
        </is>
      </c>
      <c r="L192" s="15" t="inlineStr">
        <is>
          <t>The firm's own site gives a job range of $500,000 to $15 million. A printer would be one line in a book that size.</t>
        </is>
      </c>
      <c r="M192" s="14" t="inlineStr">
        <is>
          <t>No</t>
        </is>
      </c>
      <c r="N192" s="15" t="inlineStr">
        <is>
          <t>No method statement on record. Its published involvement is in concrete standards committees, not in new methods.</t>
        </is>
      </c>
      <c r="O192" s="10" t="inlineStr"/>
      <c r="P192" s="12" t="inlineStr"/>
      <c r="Q192" s="16">
        <f>IF(O192="","ADD LINKEDIN","ok")</f>
        <v/>
      </c>
      <c r="R192" s="12" t="inlineStr">
        <is>
          <t>https://www.texasamconcrete.com/</t>
        </is>
      </c>
      <c r="S192" s="15" t="inlineStr">
        <is>
          <t>Two award-listed tilt-up jobs in Houston. Panels repeat; the buildings behind them do not.</t>
        </is>
      </c>
      <c r="T192" s="12" t="inlineStr"/>
      <c r="U192" s="15" t="inlineStr"/>
      <c r="V192" s="12" t="inlineStr">
        <is>
          <t>https://www.texasamconcrete.com/blogs/news/texas-concrete-contractor-makes-it-big</t>
        </is>
      </c>
      <c r="W192" s="12" t="inlineStr"/>
      <c r="X192" s="12" t="inlineStr"/>
      <c r="Y192" s="12" t="inlineStr"/>
      <c r="Z192" s="12" t="inlineStr">
        <is>
          <t>(281) 405-9557</t>
        </is>
      </c>
      <c r="AA192" s="12" t="inlineStr">
        <is>
          <t>office</t>
        </is>
      </c>
      <c r="AB192" s="12" t="inlineStr">
        <is>
          <t>https://www.texasamconcrete.com/</t>
        </is>
      </c>
      <c r="AC192" s="12" t="inlineStr"/>
      <c r="AD192" s="12" t="inlineStr"/>
    </row>
    <row r="193">
      <c r="A193" s="6" t="inlineStr">
        <is>
          <t>Robert May</t>
        </is>
      </c>
      <c r="B193" s="6" t="inlineStr">
        <is>
          <t>Tricon Precast</t>
        </is>
      </c>
      <c r="C193" s="6" t="inlineStr">
        <is>
          <t>Business Development</t>
        </is>
      </c>
      <c r="D193" s="7" t="inlineStr">
        <is>
          <t>Builds the wall, not the house</t>
        </is>
      </c>
      <c r="E193" s="8" t="n">
        <v>2</v>
      </c>
      <c r="F193" s="6" t="inlineStr">
        <is>
          <t>Builds the wall</t>
        </is>
      </c>
      <c r="G193" s="6" t="inlineStr">
        <is>
          <t>Houston, Henry Road, with a second Texas plant</t>
        </is>
      </c>
      <c r="H193" s="6" t="inlineStr">
        <is>
          <t>ACI and PCI Level 1 certified quality control</t>
        </is>
      </c>
      <c r="I193" s="8" t="inlineStr">
        <is>
          <t>Yes</t>
        </is>
      </c>
      <c r="J193" s="9" t="inlineStr">
        <is>
          <t>Bridge and substructure elements cast repeatedly from two Texas plants.</t>
        </is>
      </c>
      <c r="K193" s="8" t="inlineStr">
        <is>
          <t>Partly</t>
        </is>
      </c>
      <c r="L193" s="9" t="inlineStr">
        <is>
          <t>Two plants running certified batching is more capacity than one or two printers would cover, and none of the published product is building wall.</t>
        </is>
      </c>
      <c r="M193" s="8" t="inlineStr">
        <is>
          <t>No</t>
        </is>
      </c>
      <c r="N193" s="9" t="inlineStr">
        <is>
          <t>No record of paying for an unproven method. The published position is certification and quality control.</t>
        </is>
      </c>
      <c r="O193" s="6" t="inlineStr">
        <is>
          <t>https://www.linkedin.com/in/robert-may-18560560</t>
        </is>
      </c>
      <c r="P193" s="6" t="inlineStr"/>
      <c r="Q193" s="11">
        <f>IF(O193="","ADD LINKEDIN","ok")</f>
        <v/>
      </c>
      <c r="R193" s="6" t="inlineStr">
        <is>
          <t>https://www.triconprecast.com</t>
        </is>
      </c>
      <c r="S193" s="9" t="inlineStr">
        <is>
          <t>A Houston precast plant with a certified QC regime and a batching line, on a product mix that is infrastructure rather than building wall.</t>
        </is>
      </c>
      <c r="T193" s="6" t="inlineStr"/>
      <c r="U193" s="9" t="inlineStr">
        <is>
          <t>The Texas precast association names him as Tricon's contact and his own profile headline gives the function. Tricon publishes no leadership of any kind on any page that could be read, so there is no decision-maker to mark.</t>
        </is>
      </c>
      <c r="V193" s="6" t="inlineStr"/>
      <c r="W193" s="6" t="inlineStr"/>
      <c r="X193" s="6" t="inlineStr"/>
      <c r="Y193" s="6" t="inlineStr"/>
      <c r="Z193" s="6" t="inlineStr">
        <is>
          <t>(281) 931-9832</t>
        </is>
      </c>
      <c r="AA193" s="6" t="inlineStr">
        <is>
          <t>Houston, Henry Road</t>
        </is>
      </c>
      <c r="AB193" s="6" t="inlineStr">
        <is>
          <t>https://tricon-industrial.com/contact</t>
        </is>
      </c>
      <c r="AC193" s="6" t="inlineStr"/>
      <c r="AD193" s="6" t="inlineStr"/>
    </row>
    <row r="194">
      <c r="A194" s="12" t="inlineStr">
        <is>
          <t>Don Groom</t>
        </is>
      </c>
      <c r="B194" s="12" t="inlineStr">
        <is>
          <t>Trussworks Operations</t>
        </is>
      </c>
      <c r="C194" s="12" t="inlineStr">
        <is>
          <t>President, Chief Executive Officer and Managing Partner</t>
        </is>
      </c>
      <c r="D194" s="13" t="inlineStr">
        <is>
          <t>Builds the wall, not the house</t>
        </is>
      </c>
      <c r="E194" s="14" t="n">
        <v>2</v>
      </c>
      <c r="F194" s="12" t="inlineStr">
        <is>
          <t>Builds the wall</t>
        </is>
      </c>
      <c r="G194" s="12" t="inlineStr">
        <is>
          <t>Caldwell plant, about 90 minutes from Houston</t>
        </is>
      </c>
      <c r="H194" s="12" t="inlineStr">
        <is>
          <t>Wall panels for production builder projects</t>
        </is>
      </c>
      <c r="I194" s="14" t="inlineStr">
        <is>
          <t>Yes</t>
        </is>
      </c>
      <c r="J194" s="15" t="inlineStr">
        <is>
          <t>Wall panels made repeatedly from one plant for production builders across the region.</t>
        </is>
      </c>
      <c r="K194" s="14" t="inlineStr">
        <is>
          <t>Partly</t>
        </is>
      </c>
      <c r="L194" s="15" t="inlineStr">
        <is>
          <t>Two Texas plants inside a seven-plant group is more than one or two printers would cover, and Caldwell is a regional plant rather than a Houston one.</t>
        </is>
      </c>
      <c r="M194" s="14" t="inlineStr">
        <is>
          <t>No</t>
        </is>
      </c>
      <c r="N194" s="15" t="inlineStr">
        <is>
          <t>No record of paying for an unproven method.</t>
        </is>
      </c>
      <c r="O194" s="6" t="inlineStr">
        <is>
          <t>https://www.linkedin.com/in/don-groom-a60811147</t>
        </is>
      </c>
      <c r="P194" s="12" t="inlineStr"/>
      <c r="Q194" s="16">
        <f>IF(O194="","ADD LINKEDIN","ok")</f>
        <v/>
      </c>
      <c r="R194" s="12" t="inlineStr">
        <is>
          <t>https://www.trussworksllc.net/</t>
        </is>
      </c>
      <c r="S194" s="15" t="inlineStr">
        <is>
          <t>A wall panel plant inside Houston's trucking radius whose own stated customer segment is production builders and multifamily.</t>
        </is>
      </c>
      <c r="T194" s="12" t="inlineStr">
        <is>
          <t>YES</t>
        </is>
      </c>
      <c r="U194" s="15" t="inlineStr">
        <is>
          <t>His own staff page on the firm's site. Managing partner is ownership, not just office.</t>
        </is>
      </c>
      <c r="V194" s="12" t="inlineStr"/>
      <c r="W194" s="12" t="inlineStr"/>
      <c r="X194" s="12" t="inlineStr"/>
      <c r="Y194" s="12" t="inlineStr"/>
      <c r="Z194" s="12" t="inlineStr">
        <is>
          <t>(979) 567-0400</t>
        </is>
      </c>
      <c r="AA194" s="12" t="inlineStr">
        <is>
          <t>the line published against every location</t>
        </is>
      </c>
      <c r="AB194" s="12" t="inlineStr">
        <is>
          <t>https://www.trussworksllc.net/locations</t>
        </is>
      </c>
      <c r="AC194" s="12" t="inlineStr"/>
      <c r="AD194" s="12" t="inlineStr"/>
    </row>
    <row r="195">
      <c r="A195" s="6" t="inlineStr">
        <is>
          <t>Justin Groom</t>
        </is>
      </c>
      <c r="B195" s="6" t="inlineStr">
        <is>
          <t>Trussworks Operations</t>
        </is>
      </c>
      <c r="C195" s="6" t="inlineStr">
        <is>
          <t>Executive Vice President, Manufacturing and Distribution</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10" t="inlineStr"/>
      <c r="P195" s="6" t="inlineStr"/>
      <c r="Q195" s="11">
        <f>IF(O195="","ADD LINKEDIN","ok")</f>
        <v/>
      </c>
      <c r="R195" s="6" t="inlineStr">
        <is>
          <t>https://www.trussworksllc.net/</t>
        </is>
      </c>
      <c r="S195" s="9" t="inlineStr">
        <is>
          <t>A wall panel plant inside Houston's trucking radius whose own stated customer segment is production builders and multifamily.</t>
        </is>
      </c>
      <c r="T195" s="6" t="inlineStr">
        <is>
          <t>YES</t>
        </is>
      </c>
      <c r="U195" s="9" t="inlineStr">
        <is>
          <t>The firm's own team page. He owns the plant floor.</t>
        </is>
      </c>
      <c r="V195" s="6" t="inlineStr">
        <is>
          <t>https://www.trussworksllc.net/our-team</t>
        </is>
      </c>
      <c r="W195" s="6" t="inlineStr"/>
      <c r="X195" s="6" t="inlineStr"/>
      <c r="Y195" s="6" t="inlineStr"/>
      <c r="Z195" s="6" t="inlineStr">
        <is>
          <t>(979) 567-0400</t>
        </is>
      </c>
      <c r="AA195" s="6" t="inlineStr">
        <is>
          <t>the line published against every location</t>
        </is>
      </c>
      <c r="AB195" s="6" t="inlineStr">
        <is>
          <t>https://www.trussworksllc.net/locations</t>
        </is>
      </c>
      <c r="AC195" s="6" t="inlineStr"/>
      <c r="AD195" s="6" t="inlineStr"/>
    </row>
    <row r="196">
      <c r="A196" s="12" t="inlineStr">
        <is>
          <t>Mike Bellows</t>
        </is>
      </c>
      <c r="B196" s="12" t="inlineStr">
        <is>
          <t>Trussworks Operations</t>
        </is>
      </c>
      <c r="C196" s="12" t="inlineStr">
        <is>
          <t>Partner</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0" t="inlineStr"/>
      <c r="P196" s="12" t="inlineStr"/>
      <c r="Q196" s="16">
        <f>IF(O196="","ADD LINKEDIN","ok")</f>
        <v/>
      </c>
      <c r="R196" s="12" t="inlineStr">
        <is>
          <t>https://www.trussworksllc.net/</t>
        </is>
      </c>
      <c r="S196" s="15" t="inlineStr">
        <is>
          <t>A wall panel plant inside Houston's trucking radius whose own stated customer segment is production builders and multifamily.</t>
        </is>
      </c>
      <c r="T196" s="12" t="inlineStr"/>
      <c r="U196" s="15" t="inlineStr"/>
      <c r="V196" s="12" t="inlineStr">
        <is>
          <t>https://www.trussworksllc.net/our-team</t>
        </is>
      </c>
      <c r="W196" s="12" t="inlineStr"/>
      <c r="X196" s="12" t="inlineStr"/>
      <c r="Y196" s="12" t="inlineStr"/>
      <c r="Z196" s="12" t="inlineStr">
        <is>
          <t>(979) 567-0400</t>
        </is>
      </c>
      <c r="AA196" s="12" t="inlineStr">
        <is>
          <t>the line published against every location</t>
        </is>
      </c>
      <c r="AB196" s="12" t="inlineStr">
        <is>
          <t>https://www.trussworksllc.net/locations</t>
        </is>
      </c>
      <c r="AC196" s="12" t="inlineStr"/>
      <c r="AD196" s="12" t="inlineStr"/>
    </row>
    <row r="197">
      <c r="A197" s="6" t="inlineStr">
        <is>
          <t>Tony Urban</t>
        </is>
      </c>
      <c r="B197" s="6" t="inlineStr">
        <is>
          <t>Trussworks Operations</t>
        </is>
      </c>
      <c r="C197" s="6" t="inlineStr">
        <is>
          <t>Partner</t>
        </is>
      </c>
      <c r="D197" s="7" t="inlineStr">
        <is>
          <t>Builds the wall, not the house</t>
        </is>
      </c>
      <c r="E197" s="8" t="n">
        <v>2</v>
      </c>
      <c r="F197" s="6" t="inlineStr">
        <is>
          <t>Builds the wall</t>
        </is>
      </c>
      <c r="G197" s="6" t="inlineStr">
        <is>
          <t>Caldwell plant, about 90 minutes from Houston</t>
        </is>
      </c>
      <c r="H197" s="6" t="inlineStr">
        <is>
          <t>Wall panels for production builder projects</t>
        </is>
      </c>
      <c r="I197" s="8" t="inlineStr">
        <is>
          <t>Yes</t>
        </is>
      </c>
      <c r="J197" s="9" t="inlineStr">
        <is>
          <t>Wall panels made repeatedly from one plant for production builders across the region.</t>
        </is>
      </c>
      <c r="K197" s="8" t="inlineStr">
        <is>
          <t>Partly</t>
        </is>
      </c>
      <c r="L197" s="9" t="inlineStr">
        <is>
          <t>Two Texas plants inside a seven-plant group is more than one or two printers would cover, and Caldwell is a regional plant rather than a Houston one.</t>
        </is>
      </c>
      <c r="M197" s="8" t="inlineStr">
        <is>
          <t>No</t>
        </is>
      </c>
      <c r="N197" s="9" t="inlineStr">
        <is>
          <t>No record of paying for an unproven method.</t>
        </is>
      </c>
      <c r="O197" s="10" t="inlineStr"/>
      <c r="P197" s="6" t="inlineStr"/>
      <c r="Q197" s="11">
        <f>IF(O197="","ADD LINKEDIN","ok")</f>
        <v/>
      </c>
      <c r="R197" s="6" t="inlineStr">
        <is>
          <t>https://www.trussworksllc.net/</t>
        </is>
      </c>
      <c r="S197" s="9" t="inlineStr">
        <is>
          <t>A wall panel plant inside Houston's trucking radius whose own stated customer segment is production builders and multifamily.</t>
        </is>
      </c>
      <c r="T197" s="6" t="inlineStr"/>
      <c r="U197" s="9" t="inlineStr"/>
      <c r="V197" s="6" t="inlineStr">
        <is>
          <t>https://www.trussworksllc.net/our-team</t>
        </is>
      </c>
      <c r="W197" s="6" t="inlineStr"/>
      <c r="X197" s="6" t="inlineStr"/>
      <c r="Y197" s="6" t="inlineStr"/>
      <c r="Z197" s="6" t="inlineStr">
        <is>
          <t>(979) 567-0400</t>
        </is>
      </c>
      <c r="AA197" s="6" t="inlineStr">
        <is>
          <t>the line published against every location</t>
        </is>
      </c>
      <c r="AB197" s="6" t="inlineStr">
        <is>
          <t>https://www.trussworksllc.net/locations</t>
        </is>
      </c>
      <c r="AC197" s="6" t="inlineStr"/>
      <c r="AD197" s="6" t="inlineStr"/>
    </row>
    <row r="198">
      <c r="A198" s="12" t="inlineStr">
        <is>
          <t>David Veazey</t>
        </is>
      </c>
      <c r="B198" s="12" t="inlineStr">
        <is>
          <t>Veazey Enterprises</t>
        </is>
      </c>
      <c r="C198" s="12" t="inlineStr">
        <is>
          <t>President</t>
        </is>
      </c>
      <c r="D198" s="13" t="inlineStr">
        <is>
          <t>Builds the wall, not the house</t>
        </is>
      </c>
      <c r="E198" s="14" t="n">
        <v>2</v>
      </c>
      <c r="F198" s="12" t="inlineStr">
        <is>
          <t>Builds the wall</t>
        </is>
      </c>
      <c r="G198" s="12" t="inlineStr">
        <is>
          <t>Houston, Appleton Street, serving Greater Houston and Galveston</t>
        </is>
      </c>
      <c r="H198" s="12" t="inlineStr">
        <is>
          <t>Four generations, operating since the early 1960s</t>
        </is>
      </c>
      <c r="I198" s="14" t="inlineStr">
        <is>
          <t>Yes</t>
        </is>
      </c>
      <c r="J198" s="15" t="inlineStr">
        <is>
          <t>Commercial masonry laid repeatedly across one metro for four generations.</t>
        </is>
      </c>
      <c r="K198" s="14" t="inlineStr">
        <is>
          <t>Partly</t>
        </is>
      </c>
      <c r="L198" s="15" t="inlineStr">
        <is>
          <t>A firm running its own superintendents across hospitals, colleges and hotels puts up more wall than one or two printers would cover.</t>
        </is>
      </c>
      <c r="M198" s="14" t="inlineStr">
        <is>
          <t>No</t>
        </is>
      </c>
      <c r="N198" s="15" t="inlineStr">
        <is>
          <t>No record of paying for an unproven method.</t>
        </is>
      </c>
      <c r="O198" s="6" t="inlineStr">
        <is>
          <t>https://www.linkedin.com/in/david-veazey-0b585b17/</t>
        </is>
      </c>
      <c r="P198" s="12" t="inlineStr"/>
      <c r="Q198" s="16">
        <f>IF(O198="","ADD LINKEDIN","ok")</f>
        <v/>
      </c>
      <c r="R198" s="12" t="inlineStr">
        <is>
          <t>https://vzmasonry.com/</t>
        </is>
      </c>
      <c r="S198" s="15" t="inlineStr">
        <is>
          <t>Four generations of commercial masonry inside the metro, on the institutional work where load-bearing block is still specified.</t>
        </is>
      </c>
      <c r="T198" s="12" t="inlineStr">
        <is>
          <t>YES</t>
        </is>
      </c>
      <c r="U198" s="15" t="inlineStr">
        <is>
          <t>His profile headline carries the title, and he writes the Mason Contractors Association interview under his own byline. The firm's own site names nobody.</t>
        </is>
      </c>
      <c r="V198" s="12" t="inlineStr"/>
      <c r="W198" s="12" t="inlineStr"/>
      <c r="X198" s="12" t="inlineStr"/>
      <c r="Y198" s="12" t="inlineStr"/>
      <c r="Z198" s="12" t="inlineStr">
        <is>
          <t>(713) 695-6500</t>
        </is>
      </c>
      <c r="AA198" s="12" t="inlineStr">
        <is>
          <t>main line</t>
        </is>
      </c>
      <c r="AB198" s="12" t="inlineStr">
        <is>
          <t>https://vzmasonry.com/</t>
        </is>
      </c>
      <c r="AC198" s="12" t="inlineStr"/>
      <c r="AD198" s="12" t="inlineStr"/>
    </row>
    <row r="199">
      <c r="A199" s="6" t="inlineStr">
        <is>
          <t>Sharon Stelter</t>
        </is>
      </c>
      <c r="B199" s="6" t="inlineStr">
        <is>
          <t>Veazey Enterprises</t>
        </is>
      </c>
      <c r="C199" s="6" t="inlineStr">
        <is>
          <t>Vice President</t>
        </is>
      </c>
      <c r="D199" s="7" t="inlineStr">
        <is>
          <t>Builds the wall, not the house</t>
        </is>
      </c>
      <c r="E199" s="8" t="n">
        <v>2</v>
      </c>
      <c r="F199" s="6" t="inlineStr">
        <is>
          <t>Builds the wall</t>
        </is>
      </c>
      <c r="G199" s="6" t="inlineStr">
        <is>
          <t>Houston, Appleton Street, serving Greater Houston and Galveston</t>
        </is>
      </c>
      <c r="H199" s="6" t="inlineStr">
        <is>
          <t>Four generations, operating since the early 1960s</t>
        </is>
      </c>
      <c r="I199" s="8" t="inlineStr">
        <is>
          <t>Yes</t>
        </is>
      </c>
      <c r="J199" s="9" t="inlineStr">
        <is>
          <t>Commercial masonry laid repeatedly across one metro for four generations.</t>
        </is>
      </c>
      <c r="K199" s="8" t="inlineStr">
        <is>
          <t>Partly</t>
        </is>
      </c>
      <c r="L199" s="9" t="inlineStr">
        <is>
          <t>A firm running its own superintendents across hospitals, colleges and hotels puts up more wall than one or two printers would cover.</t>
        </is>
      </c>
      <c r="M199" s="8" t="inlineStr">
        <is>
          <t>No</t>
        </is>
      </c>
      <c r="N199" s="9" t="inlineStr">
        <is>
          <t>No record of paying for an unproven method.</t>
        </is>
      </c>
      <c r="O199" s="10" t="inlineStr"/>
      <c r="P199" s="6" t="inlineStr"/>
      <c r="Q199" s="11">
        <f>IF(O199="","ADD LINKEDIN","ok")</f>
        <v/>
      </c>
      <c r="R199" s="6" t="inlineStr">
        <is>
          <t>https://vzmasonry.com/</t>
        </is>
      </c>
      <c r="S199" s="9" t="inlineStr">
        <is>
          <t>Four generations of commercial masonry inside the metro, on the institutional work where load-bearing block is still specified.</t>
        </is>
      </c>
      <c r="T199" s="6" t="inlineStr"/>
      <c r="U199" s="9" t="inlineStr">
        <is>
          <t>The American Subcontractors Association directory.</t>
        </is>
      </c>
      <c r="V199" s="6" t="inlineStr">
        <is>
          <t>https://members.asaonline.com/directory/Details/veazey-enterprises-inc-542938</t>
        </is>
      </c>
      <c r="W199" s="6" t="inlineStr"/>
      <c r="X199" s="6" t="inlineStr"/>
      <c r="Y199" s="6" t="inlineStr"/>
      <c r="Z199" s="6" t="inlineStr">
        <is>
          <t>(713) 695-6500</t>
        </is>
      </c>
      <c r="AA199" s="6" t="inlineStr">
        <is>
          <t>main line</t>
        </is>
      </c>
      <c r="AB199" s="6" t="inlineStr">
        <is>
          <t>https://vzmasonry.com/</t>
        </is>
      </c>
      <c r="AC199" s="6" t="inlineStr"/>
      <c r="AD199" s="6" t="inlineStr"/>
    </row>
    <row r="200">
      <c r="A200" s="12" t="inlineStr">
        <is>
          <t>Gerald Guzman</t>
        </is>
      </c>
      <c r="B200" s="12" t="inlineStr">
        <is>
          <t>Winco Masonry</t>
        </is>
      </c>
      <c r="C200" s="12" t="inlineStr">
        <is>
          <t>President</t>
        </is>
      </c>
      <c r="D200" s="13" t="inlineStr">
        <is>
          <t>Builds the wall, not the house</t>
        </is>
      </c>
      <c r="E200" s="14" t="n">
        <v>2</v>
      </c>
      <c r="F200" s="12" t="inlineStr">
        <is>
          <t>Builds the wall</t>
        </is>
      </c>
      <c r="G200" s="12" t="inlineStr">
        <is>
          <t>Porter, Montgomery County</t>
        </is>
      </c>
      <c r="H200" s="12" t="inlineStr">
        <is>
          <t>Serving Texas for over 52 years</t>
        </is>
      </c>
      <c r="I200" s="14" t="inlineStr">
        <is>
          <t>Yes</t>
        </is>
      </c>
      <c r="J200" s="15" t="inlineStr">
        <is>
          <t>Brick, block and cast stone laid repeatedly across one region for more than half a century.</t>
        </is>
      </c>
      <c r="K200" s="14" t="inlineStr">
        <is>
          <t>Partly</t>
        </is>
      </c>
      <c r="L200" s="15" t="inlineStr">
        <is>
          <t>A firm with projects running all over town at once puts up more wall than one or two printers would cover.</t>
        </is>
      </c>
      <c r="M200" s="14" t="inlineStr">
        <is>
          <t>No</t>
        </is>
      </c>
      <c r="N200" s="15" t="inlineStr">
        <is>
          <t>No record of paying for an unproven method. The published position is envelope certification and schedule reliability.</t>
        </is>
      </c>
      <c r="O200" s="10" t="inlineStr"/>
      <c r="P200" s="12" t="inlineStr"/>
      <c r="Q200" s="16">
        <f>IF(O200="","ADD LINKEDIN","ok")</f>
        <v/>
      </c>
      <c r="R200" s="12" t="inlineStr">
        <is>
          <t>http://www.wincomasonry.com/</t>
        </is>
      </c>
      <c r="S200" s="15" t="inlineStr">
        <is>
          <t>Fifty-two years of commercial masonry from Montgomery County, with an envelope certification that required an audit.</t>
        </is>
      </c>
      <c r="T200" s="12" t="inlineStr">
        <is>
          <t>YES</t>
        </is>
      </c>
      <c r="U200" s="15" t="inlineStr">
        <is>
          <t>The AGC Houston member directory, which is the only non-aggregator source naming him. Winco's own site publishes no leadership at all: the only people on it are three clients in testimonials.</t>
        </is>
      </c>
      <c r="V200" s="12" t="inlineStr">
        <is>
          <t>https://members.agchouston.org/directory/Details/winco-masonry-inc-2123266</t>
        </is>
      </c>
      <c r="W200" s="12" t="inlineStr"/>
      <c r="X200" s="12" t="inlineStr"/>
      <c r="Y200" s="12" t="inlineStr"/>
      <c r="Z200" s="12" t="inlineStr">
        <is>
          <t>(281) 354-2515</t>
        </is>
      </c>
      <c r="AA200" s="12" t="inlineStr">
        <is>
          <t>the only number on the firm's own site</t>
        </is>
      </c>
      <c r="AB200" s="12" t="inlineStr">
        <is>
          <t>http://www.wincomasonry.com/</t>
        </is>
      </c>
      <c r="AC200" s="12" t="inlineStr"/>
      <c r="AD200" s="12" t="inlineStr"/>
    </row>
    <row r="201">
      <c r="A201" s="6" t="inlineStr">
        <is>
          <t>no contact identified</t>
        </is>
      </c>
      <c r="B201" s="6" t="inlineStr">
        <is>
          <t>Texas Lite Gauge Steel MFG</t>
        </is>
      </c>
      <c r="C201" s="6" t="inlineStr"/>
      <c r="D201" s="7" t="inlineStr">
        <is>
          <t>Builds the wall, not the house</t>
        </is>
      </c>
      <c r="E201" s="8" t="n">
        <v>2</v>
      </c>
      <c r="F201" s="6" t="inlineStr">
        <is>
          <t>Builds the wall</t>
        </is>
      </c>
      <c r="G201" s="6" t="inlineStr">
        <is>
          <t>Texas, Houston telephone exchange</t>
        </is>
      </c>
      <c r="H201" s="6" t="inlineStr">
        <is>
          <t>Prefab walls to plus or minus 0.3mm</t>
        </is>
      </c>
      <c r="I201" s="8" t="inlineStr">
        <is>
          <t>Partly</t>
        </is>
      </c>
      <c r="J201" s="9" t="inlineStr">
        <is>
          <t>Prefabricated wall made and installed repeatedly, though the site names no market, no city and no repeat customer.</t>
        </is>
      </c>
      <c r="K201" s="8" t="inlineStr">
        <is>
          <t>Yes</t>
        </is>
      </c>
      <c r="L201" s="9" t="inlineStr">
        <is>
          <t>A single-line steel fabricator is the scale where one or two machines would cover a real share of what it ships.</t>
        </is>
      </c>
      <c r="M201" s="8" t="inlineStr">
        <is>
          <t>No</t>
        </is>
      </c>
      <c r="N201" s="9" t="inlineStr">
        <is>
          <t>No record of paying for an unproven method. A published factory tolerance is a manufacturing specification, not a change of method.</t>
        </is>
      </c>
      <c r="O201" s="10" t="inlineStr"/>
      <c r="P201" s="6" t="inlineStr"/>
      <c r="Q201" s="11">
        <f>IF(O201="","ADD LINKEDIN","ok")</f>
        <v/>
      </c>
      <c r="R201" s="6" t="inlineStr">
        <is>
          <t>https://txlitegaugesteel.com/</t>
        </is>
      </c>
      <c r="S201" s="9" t="inlineStr">
        <is>
          <t>Manufactures and installs prefabricated wall to a published tolerance, at a size where a machine would be a real share of the business.</t>
        </is>
      </c>
      <c r="T201" s="6" t="inlineStr"/>
      <c r="U201" s="9" t="inlineStr"/>
      <c r="V201" s="6" t="inlineStr"/>
      <c r="W201" s="6" t="inlineStr"/>
      <c r="X201" s="6" t="inlineStr"/>
      <c r="Y201" s="6" t="inlineStr"/>
      <c r="Z201" s="6" t="inlineStr">
        <is>
          <t>(281) 799-1501</t>
        </is>
      </c>
      <c r="AA201" s="6" t="inlineStr">
        <is>
          <t>call or text</t>
        </is>
      </c>
      <c r="AB201" s="6" t="inlineStr">
        <is>
          <t>https://txlitegaugesteel.com/</t>
        </is>
      </c>
      <c r="AC201" s="6" t="inlineStr"/>
      <c r="AD201" s="6" t="inlineStr"/>
    </row>
    <row r="202">
      <c r="A202" s="12" t="inlineStr">
        <is>
          <t>Martin Jordana</t>
        </is>
      </c>
      <c r="B202" s="12" t="inlineStr">
        <is>
          <t>Baker Construction</t>
        </is>
      </c>
      <c r="C202" s="12" t="inlineStr">
        <is>
          <t>President, Central and Great West Region</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work recurring across the Houston market.</t>
        </is>
      </c>
      <c r="K202" s="14" t="inlineStr">
        <is>
          <t>No</t>
        </is>
      </c>
      <c r="L202" s="15" t="inlineStr">
        <is>
          <t>More than 12,500 people across the United States on the firm's own count, and first on a national ranking of concrete specialty contractors. A machine purchase at that size runs through a national desk, which the bands score as a No.</t>
        </is>
      </c>
      <c r="M202" s="14" t="inlineStr">
        <is>
          <t>No</t>
        </is>
      </c>
      <c r="N202" s="15" t="inlineStr">
        <is>
          <t>No method statement on record. Working at the top of the panel size range is difficulty, not a new method.</t>
        </is>
      </c>
      <c r="O202" s="10" t="inlineStr"/>
      <c r="P202" s="12" t="inlineStr"/>
      <c r="Q202" s="16">
        <f>IF(O202="","ADD LINKEDIN","ok")</f>
        <v/>
      </c>
      <c r="R202" s="12" t="inlineStr">
        <is>
          <t>https://bakerconstruction.com/</t>
        </is>
      </c>
      <c r="S202" s="15" t="inlineStr">
        <is>
          <t>The top of what the trade attempts here. The firm is national.</t>
        </is>
      </c>
      <c r="T202" s="12" t="inlineStr">
        <is>
          <t>YES</t>
        </is>
      </c>
      <c r="U202" s="15" t="inlineStr">
        <is>
          <t>The regional seat that covers Texas.</t>
        </is>
      </c>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Karl Watson</t>
        </is>
      </c>
      <c r="B203" s="6" t="inlineStr">
        <is>
          <t>Baker Construction</t>
        </is>
      </c>
      <c r="C203" s="6" t="inlineStr">
        <is>
          <t>Chief Executive Officer, Baker Construction Enterprises</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and first on a national ranking of concrete specialty contractors. A machine purchase at that size runs through a national desk, which the bands score as a No.</t>
        </is>
      </c>
      <c r="M203" s="8" t="inlineStr">
        <is>
          <t>No</t>
        </is>
      </c>
      <c r="N203" s="9" t="inlineStr">
        <is>
          <t>No method statement on record. Working at the top of the panel size range is difficulty, not a new method.</t>
        </is>
      </c>
      <c r="O203" s="10" t="inlineStr"/>
      <c r="P203" s="6" t="inlineStr"/>
      <c r="Q203" s="11">
        <f>IF(O203="","ADD LINKEDIN","ok")</f>
        <v/>
      </c>
      <c r="R203" s="6" t="inlineStr">
        <is>
          <t>https://bakerconstruction.com/</t>
        </is>
      </c>
      <c r="S203" s="9" t="inlineStr">
        <is>
          <t>The top of what the trade attempts here. The firm is national.</t>
        </is>
      </c>
      <c r="T203" s="6" t="inlineStr"/>
      <c r="U203" s="9" t="inlineStr"/>
      <c r="V203" s="6" t="inlineStr">
        <is>
          <t>https://bakerconstruction.com/leadership/</t>
        </is>
      </c>
      <c r="W203" s="6" t="inlineStr"/>
      <c r="X203" s="6" t="inlineStr"/>
      <c r="Y203" s="6" t="inlineStr"/>
      <c r="Z203" s="6" t="inlineStr">
        <is>
          <t>(800) 539-2224</t>
        </is>
      </c>
      <c r="AA203" s="6" t="inlineStr">
        <is>
          <t>headquarters</t>
        </is>
      </c>
      <c r="AB203" s="6" t="inlineStr">
        <is>
          <t>https://bakerconstruction.com/</t>
        </is>
      </c>
      <c r="AC203" s="6" t="inlineStr"/>
      <c r="AD203" s="6" t="inlineStr"/>
    </row>
    <row r="204">
      <c r="A204" s="12" t="inlineStr">
        <is>
          <t>Dan T. Baker</t>
        </is>
      </c>
      <c r="B204" s="12" t="inlineStr">
        <is>
          <t>Baker Construction</t>
        </is>
      </c>
      <c r="C204" s="12" t="inlineStr">
        <is>
          <t>Executive Vice Chair and President</t>
        </is>
      </c>
      <c r="D204" s="13" t="inlineStr">
        <is>
          <t>Builds the wall, not the house</t>
        </is>
      </c>
      <c r="E204" s="14" t="n">
        <v>1</v>
      </c>
      <c r="F204" s="12" t="inlineStr">
        <is>
          <t>Builds the wall</t>
        </is>
      </c>
      <c r="G204" s="12" t="inlineStr">
        <is>
          <t>Houston industrial office, Harris, inside a national firm</t>
        </is>
      </c>
      <c r="H204" s="12" t="inlineStr">
        <is>
          <t>61 panels at 70 feet, the heaviest about 87 tons</t>
        </is>
      </c>
      <c r="I204" s="14" t="inlineStr">
        <is>
          <t>Yes</t>
        </is>
      </c>
      <c r="J204" s="15" t="inlineStr">
        <is>
          <t>Panel and structural concrete work recurring across the Houston market.</t>
        </is>
      </c>
      <c r="K204" s="14" t="inlineStr">
        <is>
          <t>No</t>
        </is>
      </c>
      <c r="L204" s="15" t="inlineStr">
        <is>
          <t>More than 12,500 people across the United States on the firm's own count, and first on a national ranking of concrete specialty contractors. A machine purchase at that size runs through a national desk, which the bands score as a No.</t>
        </is>
      </c>
      <c r="M204" s="14" t="inlineStr">
        <is>
          <t>No</t>
        </is>
      </c>
      <c r="N204" s="15" t="inlineStr">
        <is>
          <t>No method statement on record. Working at the top of the panel size range is difficulty, not a new method.</t>
        </is>
      </c>
      <c r="O204" s="10" t="inlineStr"/>
      <c r="P204" s="12" t="inlineStr"/>
      <c r="Q204" s="16">
        <f>IF(O204="","ADD LINKEDIN","ok")</f>
        <v/>
      </c>
      <c r="R204" s="12" t="inlineStr">
        <is>
          <t>https://bakerconstruction.com/</t>
        </is>
      </c>
      <c r="S204" s="15" t="inlineStr">
        <is>
          <t>The top of what the trade attempts here. The firm is national.</t>
        </is>
      </c>
      <c r="T204" s="12" t="inlineStr"/>
      <c r="U204" s="15" t="inlineStr"/>
      <c r="V204" s="12" t="inlineStr">
        <is>
          <t>https://bakerconstruction.com/leadership/</t>
        </is>
      </c>
      <c r="W204" s="12" t="inlineStr"/>
      <c r="X204" s="12" t="inlineStr"/>
      <c r="Y204" s="12" t="inlineStr"/>
      <c r="Z204" s="12" t="inlineStr">
        <is>
          <t>(800) 539-2224</t>
        </is>
      </c>
      <c r="AA204" s="12" t="inlineStr">
        <is>
          <t>headquarters</t>
        </is>
      </c>
      <c r="AB204" s="12" t="inlineStr">
        <is>
          <t>https://bakerconstruction.com/</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repeated across the same communities in the same metros.</t>
        </is>
      </c>
      <c r="K205" s="8" t="inlineStr">
        <is>
          <t>No</t>
        </is>
      </c>
      <c r="L205" s="9" t="inlineStr">
        <is>
          <t>Ten thousand slabs a year is far beyond what one or two printers would cover. A machine would be a pilot line, not a replacement for the slab business.</t>
        </is>
      </c>
      <c r="M205" s="8" t="inlineStr">
        <is>
          <t>No</t>
        </is>
      </c>
      <c r="N205" s="9" t="inlineStr">
        <is>
          <t>No record of paying for an unproven method. The published position is scale, bonding and builder relationships.</t>
        </is>
      </c>
      <c r="O205" s="6" t="inlineStr">
        <is>
          <t>https://www.linkedin.com/in/gary-engasser-1b39b219/</t>
        </is>
      </c>
      <c r="P205" s="6" t="inlineStr"/>
      <c r="Q205" s="11">
        <f>IF(O205="","ADD LINKEDIN","ok")</f>
        <v/>
      </c>
      <c r="R205" s="6" t="inlineStr">
        <is>
          <t>https://www.tealstonelp.com/</t>
        </is>
      </c>
      <c r="S205" s="9" t="inlineStr">
        <is>
          <t>A residential slab contractor owned by a public infrastructure group, and it publishes which builder it pours for.</t>
        </is>
      </c>
      <c r="T205" s="6" t="inlineStr">
        <is>
          <t>YES</t>
        </is>
      </c>
      <c r="U205" s="9"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0" t="inlineStr"/>
      <c r="P206" s="12" t="inlineStr"/>
      <c r="Q206" s="16">
        <f>IF(O206="","ADD LINKEDIN","ok")</f>
        <v/>
      </c>
      <c r="R206" s="12" t="inlineStr">
        <is>
          <t>https://www.tealstonelp.com/</t>
        </is>
      </c>
      <c r="S206" s="15" t="inlineStr">
        <is>
          <t>A residential slab contractor owned by a public infrastructure group, and it publishes which builder it pours for.</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repeated across the same communities in the same metros.</t>
        </is>
      </c>
      <c r="K207" s="8" t="inlineStr">
        <is>
          <t>No</t>
        </is>
      </c>
      <c r="L207" s="9" t="inlineStr">
        <is>
          <t>Ten thousand slabs a year is far beyond what one or two printers would cover. A machine would be a pilot line, not a replacement for the slab business.</t>
        </is>
      </c>
      <c r="M207" s="8" t="inlineStr">
        <is>
          <t>No</t>
        </is>
      </c>
      <c r="N207" s="9" t="inlineStr">
        <is>
          <t>No record of paying for an unproven method. The published position is scale, bonding and builder relationships.</t>
        </is>
      </c>
      <c r="O207" s="10" t="inlineStr"/>
      <c r="P207" s="6" t="inlineStr"/>
      <c r="Q207" s="11">
        <f>IF(O207="","ADD LINKEDIN","ok")</f>
        <v/>
      </c>
      <c r="R207" s="6" t="inlineStr">
        <is>
          <t>https://www.tealstonelp.com/</t>
        </is>
      </c>
      <c r="S207" s="9" t="inlineStr">
        <is>
          <t>A residential slab contractor owned by a public infrastructure group, and it publishes which builder it pours for.</t>
        </is>
      </c>
      <c r="T207" s="6" t="inlineStr"/>
      <c r="U207" s="9"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t>
        </is>
      </c>
      <c r="I208" s="14" t="inlineStr">
        <is>
          <t>Yes</t>
        </is>
      </c>
      <c r="J208" s="15" t="inlineStr">
        <is>
          <t>Wall panels made repeatedly from a Houston plant for multifamily builders in the same metro.</t>
        </is>
      </c>
      <c r="K208" s="14" t="inlineStr">
        <is>
          <t>No</t>
        </is>
      </c>
      <c r="L208" s="15" t="inlineStr">
        <is>
          <t>Six plants and $340 million of sales is beyond what one or two printers would cover, and purchasing now sits with a national parent.</t>
        </is>
      </c>
      <c r="M208" s="14" t="inlineStr">
        <is>
          <t>No</t>
        </is>
      </c>
      <c r="N208" s="15" t="inlineStr">
        <is>
          <t>No record of paying for an unproven method on its own account.</t>
        </is>
      </c>
      <c r="O208" s="6" t="inlineStr">
        <is>
          <t>https://www.linkedin.com/in/brandon-buskohl-40649a75/</t>
        </is>
      </c>
      <c r="P208" s="12" t="inlineStr"/>
      <c r="Q208" s="16">
        <f>IF(O208="","ADD LINKEDIN","ok")</f>
        <v/>
      </c>
      <c r="R208" s="12" t="inlineStr">
        <is>
          <t>https://trussway.com/products/</t>
        </is>
      </c>
      <c r="S208" s="15" t="inlineStr">
        <is>
          <t>A wall panel manufacturer headquartered in Houston, selling into the multifamily builders on this deck, now inside a national parent.</t>
        </is>
      </c>
      <c r="T208" s="12" t="inlineStr"/>
      <c r="U208" s="15" t="inlineStr">
        <is>
          <t>His profile headline names Trussway Manufacturing as a Builders FirstSource company, so it is current. An assistant general manager is below the bar this deck sets for a decision-maker. He is also the only plant-level leader the firm could be shown to have. trussway.com presents a certificate chain that fails verification through every route, so nothing on it could be read.</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Single family and townhome communities across the north and west of the metro, taking the same wall package community after community.</t>
        </is>
      </c>
      <c r="K209" s="8" t="inlineStr">
        <is>
          <t>No</t>
        </is>
      </c>
      <c r="L209" s="9" t="inlineStr">
        <is>
          <t>9,900 homes a year on the firm's own count, company-wide across Florida and Texas, far above what one or two printers cover.</t>
        </is>
      </c>
      <c r="M209" s="8" t="inlineStr">
        <is>
          <t>No</t>
        </is>
      </c>
      <c r="N209" s="9" t="inlineStr">
        <is>
          <t>No method statement on record.</t>
        </is>
      </c>
      <c r="O209" s="6" t="inlineStr">
        <is>
          <t>https://www.linkedin.com/in/chris-vogler-56239a52/</t>
        </is>
      </c>
      <c r="P209" s="6" t="inlineStr"/>
      <c r="Q209" s="11">
        <f>IF(O209="","ADD LINKEDIN","ok")</f>
        <v/>
      </c>
      <c r="R209" s="6" t="inlineStr">
        <is>
          <t>https://leolaconstruction.com/houston/</t>
        </is>
      </c>
      <c r="S209" s="9" t="inlineStr">
        <is>
          <t>It sells the entire wall package to production builders, which is the procurement a printed wall would displace. It owns almost no direct field labour.</t>
        </is>
      </c>
      <c r="T209" s="6" t="inlineStr"/>
      <c r="U209" s="9" t="inlineStr">
        <is>
          <t>Headline reads Business Development Manager at Leola Construction. Spring, Texas. He is the only Leola person in Greater Houston that a search returns.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The buildings differ project to project.</t>
        </is>
      </c>
      <c r="K210" s="14" t="inlineStr">
        <is>
          <t>Partly</t>
        </is>
      </c>
      <c r="L210" s="15" t="inlineStr">
        <is>
          <t>No annual volume is published. The one published job runs to 770,640 square feet, and the panels on it were poured by somebody else.</t>
        </is>
      </c>
      <c r="M210" s="14" t="inlineStr">
        <is>
          <t>Partly</t>
        </is>
      </c>
      <c r="N210" s="15" t="inlineStr">
        <is>
          <t>It reordered the standard tilt-wall sequence on a 770,640 square foot job, setting a 275-ton lattice boom crane on the perimeter to avoid the slab, and published the result. That is method appetite rather than the purchase of a new method.</t>
        </is>
      </c>
      <c r="O210" s="6" t="inlineStr">
        <is>
          <t>https://www.linkedin.com/in/michael-scheurich-07811331/</t>
        </is>
      </c>
      <c r="P210" s="12" t="inlineStr"/>
      <c r="Q210" s="16">
        <f>IF(O210="","ADD LINKEDIN","ok")</f>
        <v/>
      </c>
      <c r="R210" s="12" t="inlineStr">
        <is>
          <t>https://www.arch-con.com/</t>
        </is>
      </c>
      <c r="S210" s="15" t="inlineStr">
        <is>
          <t>It published how it reordered a standard method to win a month of schedule. It buys its concrete rather than pouring it.</t>
        </is>
      </c>
      <c r="T210" s="12" t="inlineStr">
        <is>
          <t>YES</t>
        </is>
      </c>
      <c r="U210" s="15" t="inlineStr">
        <is>
          <t>Headline reads Chief Executive Officer at Arch-Con Corporation. Houston, Texas.</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10" t="inlineStr"/>
      <c r="P211" s="6">
        <f>HYPERLINK("https://www.linkedin.com/search/results/people/?keywords=Jason%20M.%20Cooper%20Arch-Con%20Corporation","search")</f>
        <v/>
      </c>
      <c r="Q211" s="11">
        <f>IF(O211="","ADD LINKEDIN","ok")</f>
        <v/>
      </c>
      <c r="R211" s="6" t="inlineStr">
        <is>
          <t>https://www.arch-con.com/</t>
        </is>
      </c>
      <c r="S211" s="9" t="inlineStr">
        <is>
          <t>It published how it reordered a standard method to win a month of schedule. It buys its concrete rather than pouring it.</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0" t="inlineStr"/>
      <c r="P212" s="12">
        <f>HYPERLINK("https://www.linkedin.com/search/results/people/?keywords=Daniel%20J.%20O%27Hare%20Arch-Con%20Corporation","search")</f>
        <v/>
      </c>
      <c r="Q212" s="16">
        <f>IF(O212="","ADD LINKEDIN","ok")</f>
        <v/>
      </c>
      <c r="R212" s="12" t="inlineStr">
        <is>
          <t>https://www.arch-con.com/</t>
        </is>
      </c>
      <c r="S212" s="15" t="inlineStr">
        <is>
          <t>It published how it reordered a standard method to win a month of schedule. It buys its concrete rather than pouring it.</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The buildings differ project to project.</t>
        </is>
      </c>
      <c r="K213" s="8" t="inlineStr">
        <is>
          <t>Partly</t>
        </is>
      </c>
      <c r="L213" s="9" t="inlineStr">
        <is>
          <t>No annual volume is published. The one published job runs to 770,640 square feet, and the panels on it were poured by somebody else.</t>
        </is>
      </c>
      <c r="M213" s="8" t="inlineStr">
        <is>
          <t>Partly</t>
        </is>
      </c>
      <c r="N213" s="9" t="inlineStr">
        <is>
          <t>It reordered the standard tilt-wall sequence on a 770,640 square foot job, setting a 275-ton lattice boom crane on the perimeter to avoid the slab, and published the result. That is method appetite rather than the purchase of a new method.</t>
        </is>
      </c>
      <c r="O213" s="10" t="inlineStr"/>
      <c r="P213" s="6">
        <f>HYPERLINK("https://www.linkedin.com/search/results/people/?keywords=Christopher%20Scheurich%20Arch-Con%20Corporation","search")</f>
        <v/>
      </c>
      <c r="Q213" s="11">
        <f>IF(O213="","ADD LINKEDIN","ok")</f>
        <v/>
      </c>
      <c r="R213" s="6" t="inlineStr">
        <is>
          <t>https://www.arch-con.com/</t>
        </is>
      </c>
      <c r="S213" s="9" t="inlineStr">
        <is>
          <t>It published how it reordered a standard method to win a month of schedule. It buys its concrete rather than pouring it.</t>
        </is>
      </c>
      <c r="T213" s="6" t="inlineStr"/>
      <c r="U213" s="9" t="inlineStr">
        <is>
          <t>Headline reads General Counsel at Arch-Con Corporation. Houston, Texas.</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recurring across Houston projects under both delivery models.</t>
        </is>
      </c>
      <c r="K214" s="14" t="inlineStr">
        <is>
          <t>Partly</t>
        </is>
      </c>
      <c r="L214" s="15" t="inlineStr">
        <is>
          <t>No crew count, revenue or project size is published. Nothing on the site sizes the work, so on the bands this is a Partly.</t>
        </is>
      </c>
      <c r="M214" s="14" t="inlineStr">
        <is>
          <t>Partly</t>
        </is>
      </c>
      <c r="N214" s="15" t="inlineStr">
        <is>
          <t>It bought and staffed a modelling stack, Revit, Tekla, AutoCAD and Navisworks, to plan its pours. A printed wall arrives as a model first, so the habit transfers, though modelling is not itself a building method.</t>
        </is>
      </c>
      <c r="O214" s="6" t="inlineStr">
        <is>
          <t>https://www.linkedin.com/in/trent-tellepsen-b8608024/</t>
        </is>
      </c>
      <c r="P214" s="12" t="inlineStr"/>
      <c r="Q214" s="16">
        <f>IF(O214="","ADD LINKEDIN","ok")</f>
        <v/>
      </c>
      <c r="R214" s="12" t="inlineStr">
        <is>
          <t>https://www.bcshouston.com/</t>
        </is>
      </c>
      <c r="S214" s="15" t="inlineStr">
        <is>
          <t>A concrete subcontractor that models its own work in three dimensions before pouring it. A printed wall arrives as a model too.</t>
        </is>
      </c>
      <c r="T214" s="12" t="inlineStr">
        <is>
          <t>YES</t>
        </is>
      </c>
      <c r="U214" s="15" t="inlineStr">
        <is>
          <t>Headline reads President at Building Concrete Solutions. Houston, Texas.</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6" t="inlineStr">
        <is>
          <t>https://www.linkedin.com/in/daniel-lara-24329570/</t>
        </is>
      </c>
      <c r="P215" s="6" t="inlineStr"/>
      <c r="Q215" s="11">
        <f>IF(O215="","ADD LINKEDIN","ok")</f>
        <v/>
      </c>
      <c r="R215" s="6" t="inlineStr">
        <is>
          <t>https://www.bcshouston.com/</t>
        </is>
      </c>
      <c r="S215" s="9" t="inlineStr">
        <is>
          <t>A concrete subcontractor that models its own work in three dimensions before pouring it. A printed wall arrives as a model too.</t>
        </is>
      </c>
      <c r="T215" s="6" t="inlineStr">
        <is>
          <t>YES</t>
        </is>
      </c>
      <c r="U215" s="9" t="inlineStr">
        <is>
          <t>Headline reads Vice President at Building Concrete Solutions. Houston, Texas.</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recurring across Houston projects under both delivery models.</t>
        </is>
      </c>
      <c r="K216" s="14" t="inlineStr">
        <is>
          <t>Partly</t>
        </is>
      </c>
      <c r="L216" s="15" t="inlineStr">
        <is>
          <t>No crew count, revenue or project size is published. Nothing on the site sizes the work, so on the bands this is a Partly.</t>
        </is>
      </c>
      <c r="M216" s="14" t="inlineStr">
        <is>
          <t>Partly</t>
        </is>
      </c>
      <c r="N216" s="15" t="inlineStr">
        <is>
          <t>It bought and staffed a modelling stack, Revit, Tekla, AutoCAD and Navisworks, to plan its pours. A printed wall arrives as a model first, so the habit transfers, though modelling is not itself a building method.</t>
        </is>
      </c>
      <c r="O216" s="6" t="inlineStr">
        <is>
          <t>https://www.linkedin.com/in/jorge-hern%C3%A1ndez-614616204/</t>
        </is>
      </c>
      <c r="P216" s="12" t="inlineStr"/>
      <c r="Q216" s="16">
        <f>IF(O216="","ADD LINKEDIN","ok")</f>
        <v/>
      </c>
      <c r="R216" s="12" t="inlineStr">
        <is>
          <t>https://www.bcshouston.com/</t>
        </is>
      </c>
      <c r="S216" s="15" t="inlineStr">
        <is>
          <t>A concrete subcontractor that models its own work in three dimensions before pouring it. A printed wall arrives as a model too.</t>
        </is>
      </c>
      <c r="T216" s="12" t="inlineStr"/>
      <c r="U216" s="15" t="inlineStr">
        <is>
          <t>Headline reads Manager of Operations at Building Concrete Solutions. Houston, Texas.</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Commercial buildings across the Gulf Coast. The structures differ project to project.</t>
        </is>
      </c>
      <c r="K217" s="8" t="inlineStr">
        <is>
          <t>Partly</t>
        </is>
      </c>
      <c r="L217" s="9" t="inlineStr">
        <is>
          <t>No revenue, crew count or project count is published. On the bands, a firm with no published figure is a Partly.</t>
        </is>
      </c>
      <c r="M217" s="8" t="inlineStr">
        <is>
          <t>Partly</t>
        </is>
      </c>
      <c r="N217" s="9" t="inlineStr">
        <is>
          <t>It carries insulated concrete form construction in its standard menu alongside tilt-wall and masonry, so it has sold and built a concrete wall system rather than only a wood one. No named project is published to date it.</t>
        </is>
      </c>
      <c r="O217" s="10" t="inlineStr"/>
      <c r="P217" s="6" t="inlineStr"/>
      <c r="Q217" s="11">
        <f>IF(O217="","ADD LINKEDIN","ok")</f>
        <v/>
      </c>
      <c r="R217" s="6" t="inlineStr">
        <is>
          <t>https://www.mldeer.com/</t>
        </is>
      </c>
      <c r="S217" s="9" t="inlineStr">
        <is>
          <t>It already sells a concrete wall system to commercial clients, and it installs gantry cranes.</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0" t="inlineStr"/>
      <c r="P218" s="12" t="inlineStr"/>
      <c r="Q218" s="16">
        <f>IF(O218="","ADD LINKEDIN","ok")</f>
        <v/>
      </c>
      <c r="R218" s="12" t="inlineStr">
        <is>
          <t>https://www.mldeer.com/</t>
        </is>
      </c>
      <c r="S218" s="15" t="inlineStr">
        <is>
          <t>It already sells a concrete wall system to commercial clients, and it installs gantry cranes.</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Commercial buildings across the Gulf Coast. The structures differ project to project.</t>
        </is>
      </c>
      <c r="K219" s="8" t="inlineStr">
        <is>
          <t>Partly</t>
        </is>
      </c>
      <c r="L219" s="9" t="inlineStr">
        <is>
          <t>No revenue, crew count or project count is published. On the bands, a firm with no published figure is a Partly.</t>
        </is>
      </c>
      <c r="M219" s="8" t="inlineStr">
        <is>
          <t>Partly</t>
        </is>
      </c>
      <c r="N219" s="9" t="inlineStr">
        <is>
          <t>It carries insulated concrete form construction in its standard menu alongside tilt-wall and masonry, so it has sold and built a concrete wall system rather than only a wood one. No named project is published to date it.</t>
        </is>
      </c>
      <c r="O219" s="10" t="inlineStr"/>
      <c r="P219" s="6" t="inlineStr"/>
      <c r="Q219" s="11">
        <f>IF(O219="","ADD LINKEDIN","ok")</f>
        <v/>
      </c>
      <c r="R219" s="6" t="inlineStr">
        <is>
          <t>https://www.mldeer.com/</t>
        </is>
      </c>
      <c r="S219" s="9" t="inlineStr">
        <is>
          <t>It already sells a concrete wall system to commercial clients, and it installs gantry cranes.</t>
        </is>
      </c>
      <c r="T219" s="6" t="inlineStr"/>
      <c r="U219" s="9" t="inlineStr">
        <is>
          <t>The only construction-side name the firm publishes.</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recurring across the east side of the metro.</t>
        </is>
      </c>
      <c r="K220" s="14" t="inlineStr">
        <is>
          <t>Partly</t>
        </is>
      </c>
      <c r="L220" s="15" t="inlineStr">
        <is>
          <t>65 employees on average and more than 1,000 Greater Houston projects since 1969, on the firm's own count. No annual wall figure is published, so this sits at a Partly.</t>
        </is>
      </c>
      <c r="M220" s="14" t="inlineStr">
        <is>
          <t>Partly</t>
        </is>
      </c>
      <c r="N220" s="15" t="inlineStr">
        <is>
          <t>It bought volumetric mixers and stood up its own delivery arm rather than buying ready-mix from a plant. That is paying for a different way to get concrete to a site, though it is not a wall method.</t>
        </is>
      </c>
      <c r="O220" s="10" t="inlineStr"/>
      <c r="P220" s="12" t="inlineStr"/>
      <c r="Q220" s="16">
        <f>IF(O220="","ADD LINKEDIN","ok")</f>
        <v/>
      </c>
      <c r="R220" s="12" t="inlineStr">
        <is>
          <t>https://tandtconstruction.com/</t>
        </is>
      </c>
      <c r="S220" s="15" t="inlineStr">
        <is>
          <t>It owns the mix as well as the placing. A printer is fed concrete continuously, and this firm delivers its own.</t>
        </is>
      </c>
      <c r="T220" s="12" t="inlineStr"/>
      <c r="U220" s="15"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10" t="inlineStr"/>
      <c r="P221" s="6" t="inlineStr"/>
      <c r="Q221" s="11">
        <f>IF(O221="","ADD LINKEDIN","ok")</f>
        <v/>
      </c>
      <c r="R221" s="6" t="inlineStr">
        <is>
          <t>https://tandtconstruction.com/</t>
        </is>
      </c>
      <c r="S221" s="9" t="inlineStr">
        <is>
          <t>It owns the mix as well as the placing. A printer is fed concrete continuously, and this firm delivers its own.</t>
        </is>
      </c>
      <c r="T221" s="6" t="inlineStr"/>
      <c r="U221" s="9" t="inlineStr">
        <is>
          <t>The firm's own about page: Jeff and his wife Dianna continued the family business as co-owners. The page uses first names after the founder.</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recurring across the east side of the metro.</t>
        </is>
      </c>
      <c r="K222" s="14" t="inlineStr">
        <is>
          <t>Partly</t>
        </is>
      </c>
      <c r="L222" s="15" t="inlineStr">
        <is>
          <t>65 employees on average and more than 1,000 Greater Houston projects since 1969, on the firm's own count. No annual wall figure is published, so this sits at a Partly.</t>
        </is>
      </c>
      <c r="M222" s="14" t="inlineStr">
        <is>
          <t>Partly</t>
        </is>
      </c>
      <c r="N222" s="15" t="inlineStr">
        <is>
          <t>It bought volumetric mixers and stood up its own delivery arm rather than buying ready-mix from a plant. That is paying for a different way to get concrete to a site, though it is not a wall method.</t>
        </is>
      </c>
      <c r="O222" s="10" t="inlineStr"/>
      <c r="P222" s="12" t="inlineStr"/>
      <c r="Q222" s="16">
        <f>IF(O222="","ADD LINKEDIN","ok")</f>
        <v/>
      </c>
      <c r="R222" s="12" t="inlineStr">
        <is>
          <t>https://tandtconstruction.com/</t>
        </is>
      </c>
      <c r="S222" s="15" t="inlineStr">
        <is>
          <t>It owns the mix as well as the placing. A printer is fed concrete continuously, and this firm delivers its own.</t>
        </is>
      </c>
      <c r="T222" s="12" t="inlineStr"/>
      <c r="U222" s="15" t="inlineStr">
        <is>
          <t>The firm's own about page: Jeff and his wife Dianna continued the family business as co-owners. The page uses first names after the founder.</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recurring across Houston jobs, though the buildings themselves differ.</t>
        </is>
      </c>
      <c r="K223" s="8" t="inlineStr">
        <is>
          <t>Partly</t>
        </is>
      </c>
      <c r="L223" s="9" t="inlineStr">
        <is>
          <t>No crew count, revenue or annual volume is published. On the bands, a firm with no published figure is a Partly.</t>
        </is>
      </c>
      <c r="M223" s="8" t="inlineStr">
        <is>
          <t>No</t>
        </is>
      </c>
      <c r="N223" s="9" t="inlineStr">
        <is>
          <t>No method statement on record.</t>
        </is>
      </c>
      <c r="O223" s="10" t="inlineStr"/>
      <c r="P223" s="6" t="inlineStr"/>
      <c r="Q223" s="11">
        <f>IF(O223="","ADD LINKEDIN","ok")</f>
        <v/>
      </c>
      <c r="R223" s="6" t="inlineStr">
        <is>
          <t>https://andradeconstructioncompanies.com/</t>
        </is>
      </c>
      <c r="S223" s="9" t="inlineStr">
        <is>
          <t>It owns the earthwork, the utilities and the concrete on the same site, so a printer would stand on a slab its own crews poured.</t>
        </is>
      </c>
      <c r="T223" s="6" t="inlineStr"/>
      <c r="U223" s="9" t="inlineStr">
        <is>
          <t>The firm's own about page: founded by Victor Andrade in 2003 in residential construction, into commercial in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6" t="inlineStr">
        <is>
          <t>https://www.linkedin.com/in/eric-rice-177124352/</t>
        </is>
      </c>
      <c r="P224" s="12" t="inlineStr"/>
      <c r="Q224" s="16">
        <f>IF(O224="","ADD LINKEDIN","ok")</f>
        <v/>
      </c>
      <c r="R224" s="12" t="inlineStr">
        <is>
          <t>https://andradeconstructioncompanies.com/</t>
        </is>
      </c>
      <c r="S224" s="15" t="inlineStr">
        <is>
          <t>It owns the earthwork, the utilities and the concrete on the same site, so a printer would stand on a slab its own crews poured.</t>
        </is>
      </c>
      <c r="T224" s="12" t="inlineStr"/>
      <c r="U224" s="15" t="inlineStr">
        <is>
          <t>Headline reads Business Development Manager at Andrade Construction Companies. Houston, Texas.</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recurring across Houston jobs, though the buildings themselves differ.</t>
        </is>
      </c>
      <c r="K225" s="8" t="inlineStr">
        <is>
          <t>Partly</t>
        </is>
      </c>
      <c r="L225" s="9" t="inlineStr">
        <is>
          <t>No crew count, revenue or annual volume is published. On the bands, a firm with no published figure is a Partly.</t>
        </is>
      </c>
      <c r="M225" s="8" t="inlineStr">
        <is>
          <t>No</t>
        </is>
      </c>
      <c r="N225" s="9" t="inlineStr">
        <is>
          <t>No method statement on record.</t>
        </is>
      </c>
      <c r="O225" s="6" t="inlineStr">
        <is>
          <t>https://www.linkedin.com/in/luis-andrade-128317159/</t>
        </is>
      </c>
      <c r="P225" s="6" t="inlineStr"/>
      <c r="Q225" s="11">
        <f>IF(O225="","ADD LINKEDIN","ok")</f>
        <v/>
      </c>
      <c r="R225" s="6" t="inlineStr">
        <is>
          <t>https://andradeconstructioncompanies.com/</t>
        </is>
      </c>
      <c r="S225" s="9" t="inlineStr">
        <is>
          <t>It owns the earthwork, the utilities and the concrete on the same site, so a printer would stand on a slab its own crews poured.</t>
        </is>
      </c>
      <c r="T225" s="6" t="inlineStr"/>
      <c r="U225" s="9" t="inlineStr">
        <is>
          <t>Headline reads COO at Andrade Concrete &amp; Construction Inc., which is a different registered name from Andrade Construction Companies. Confirm the two are the same business.</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Commercial and multifamily work across four metros. The buildings differ project to project.</t>
        </is>
      </c>
      <c r="K226" s="14" t="inlineStr">
        <is>
          <t>Partly</t>
        </is>
      </c>
      <c r="L226" s="15" t="inlineStr">
        <is>
          <t>No revenue, crew count or project size is published. On the bands, a firm with no published figure is a Partly.</t>
        </is>
      </c>
      <c r="M226" s="14" t="inlineStr">
        <is>
          <t>No</t>
        </is>
      </c>
      <c r="N226" s="15" t="inlineStr">
        <is>
          <t>No method statement on record. The tilt-up award is for execution.</t>
        </is>
      </c>
      <c r="O226" s="6" t="inlineStr">
        <is>
          <t>https://www.linkedin.com/in/shawn-mcalpin-b1260312/</t>
        </is>
      </c>
      <c r="P226" s="12" t="inlineStr"/>
      <c r="Q226" s="16">
        <f>IF(O226="","ADD LINKEDIN","ok")</f>
        <v/>
      </c>
      <c r="R226" s="12" t="inlineStr">
        <is>
          <t>https://burtonconstruction.com/</t>
        </is>
      </c>
      <c r="S226" s="15" t="inlineStr">
        <is>
          <t>Twenty-two years old, a tilt-up award in 2024 and multifamily in the published portfolio. The founder is on the firm's own page; the chief executive is not.</t>
        </is>
      </c>
      <c r="T226" s="12" t="inlineStr">
        <is>
          <t>YES</t>
        </is>
      </c>
      <c r="U226" s="15" t="inlineStr">
        <is>
          <t>Headline reads CEO at Burton Construction. Katy, Texas. The firm's own about page names only its founder, so this is the current chief executive and the founder is not.</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Commercial and multifamily work across four metros. The buildings differ project to project.</t>
        </is>
      </c>
      <c r="K227" s="8" t="inlineStr">
        <is>
          <t>Partly</t>
        </is>
      </c>
      <c r="L227" s="9" t="inlineStr">
        <is>
          <t>No revenue, crew count or project size is published. On the bands, a firm with no published figure is a Partly.</t>
        </is>
      </c>
      <c r="M227" s="8" t="inlineStr">
        <is>
          <t>No</t>
        </is>
      </c>
      <c r="N227" s="9" t="inlineStr">
        <is>
          <t>No method statement on record. The tilt-up award is for execution.</t>
        </is>
      </c>
      <c r="O227" s="10" t="inlineStr"/>
      <c r="P227" s="6" t="inlineStr"/>
      <c r="Q227" s="11">
        <f>IF(O227="","ADD LINKEDIN","ok")</f>
        <v/>
      </c>
      <c r="R227" s="6" t="inlineStr">
        <is>
          <t>https://burtonconstruction.com/</t>
        </is>
      </c>
      <c r="S227" s="9" t="inlineStr">
        <is>
          <t>Twenty-two years old, a tilt-up award in 2024 and multifamily in the published portfolio. The founder is on the firm's own page; the chief executive is not.</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across the metro. The published square footages are weighted to paving rather than to wall.</t>
        </is>
      </c>
      <c r="K228" s="14" t="inlineStr">
        <is>
          <t>Partly</t>
        </is>
      </c>
      <c r="L228" s="15" t="inlineStr">
        <is>
          <t>No annual volume is published. The one published wall figure is 12,000 square feet of tilt wall against 155,000 gross square feet of paving on the same job.</t>
        </is>
      </c>
      <c r="M228" s="14" t="inlineStr">
        <is>
          <t>No</t>
        </is>
      </c>
      <c r="N228" s="15" t="inlineStr">
        <is>
          <t>No method statement on record.</t>
        </is>
      </c>
      <c r="O228" s="6" t="inlineStr">
        <is>
          <t>https://www.linkedin.com/in/j-cameron-guinn-2047686/</t>
        </is>
      </c>
      <c r="P228" s="12" t="inlineStr"/>
      <c r="Q228" s="16">
        <f>IF(O228="","ADD LINKEDIN","ok")</f>
        <v/>
      </c>
      <c r="R228" s="12" t="inlineStr">
        <is>
          <t>https://htxconcrete.com/</t>
        </is>
      </c>
      <c r="S228" s="15" t="inlineStr">
        <is>
          <t>Names a garden-style apartment project on its own site. The published work is mostly paving.</t>
        </is>
      </c>
      <c r="T228" s="12" t="inlineStr"/>
      <c r="U228" s="15" t="inlineStr">
        <is>
          <t>Headline reads Vice President Business Development at HTX Concrete. Houston, Texas.</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across the metro. The published square footages are weighted to paving rather than to wall.</t>
        </is>
      </c>
      <c r="K229" s="8" t="inlineStr">
        <is>
          <t>Partly</t>
        </is>
      </c>
      <c r="L229" s="9" t="inlineStr">
        <is>
          <t>No annual volume is published. The one published wall figure is 12,000 square feet of tilt wall against 155,000 gross square feet of paving on the same job.</t>
        </is>
      </c>
      <c r="M229" s="8" t="inlineStr">
        <is>
          <t>No</t>
        </is>
      </c>
      <c r="N229" s="9" t="inlineStr">
        <is>
          <t>No method statement on record.</t>
        </is>
      </c>
      <c r="O229" s="6" t="inlineStr">
        <is>
          <t>https://www.linkedin.com/in/tony-le-81ba0032/</t>
        </is>
      </c>
      <c r="P229" s="6" t="inlineStr"/>
      <c r="Q229" s="11">
        <f>IF(O229="","ADD LINKEDIN","ok")</f>
        <v/>
      </c>
      <c r="R229" s="6" t="inlineStr">
        <is>
          <t>https://htxconcrete.com/</t>
        </is>
      </c>
      <c r="S229" s="9" t="inlineStr">
        <is>
          <t>Names a garden-style apartment project on its own site. The published work is mostly paving.</t>
        </is>
      </c>
      <c r="T229" s="6" t="inlineStr"/>
      <c r="U229" s="9" t="inlineStr">
        <is>
          <t>Headline reads Chief Estimator at HTX Concrete. Houston, Texas.</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recurring across the north side of the metro.</t>
        </is>
      </c>
      <c r="K230" s="14" t="inlineStr">
        <is>
          <t>Partly</t>
        </is>
      </c>
      <c r="L230" s="15" t="inlineStr">
        <is>
          <t>No crew count, revenue or project size is published anywhere on the site. On the bands, a firm with no published figure is a Partly.</t>
        </is>
      </c>
      <c r="M230" s="14" t="inlineStr">
        <is>
          <t>No</t>
        </is>
      </c>
      <c r="N230" s="15" t="inlineStr">
        <is>
          <t>No method statement on record.</t>
        </is>
      </c>
      <c r="O230" s="10" t="inlineStr"/>
      <c r="P230" s="12" t="inlineStr"/>
      <c r="Q230" s="16">
        <f>IF(O230="","ADD LINKEDIN","ok")</f>
        <v/>
      </c>
      <c r="R230" s="12" t="inlineStr">
        <is>
          <t>https://silverspurconcrete.com/</t>
        </is>
      </c>
      <c r="S230" s="15" t="inlineStr">
        <is>
          <t>Tilt-wall beside a published residential concrete line, including engineered slabs.</t>
        </is>
      </c>
      <c r="T230" s="12" t="inlineStr">
        <is>
          <t>YES</t>
        </is>
      </c>
      <c r="U230" s="15" t="inlineStr">
        <is>
          <t>The firm's own about page names him as owner and lists ExxonMobil World Headquarters, the Texas Children's maternity ward and Baylor College of Medicine among his commercial and industrial work.</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at The Mill, 294 more under construction at Aliana.</t>
        </is>
      </c>
      <c r="K231" s="8" t="inlineStr">
        <is>
          <t>Partly</t>
        </is>
      </c>
      <c r="L231" s="9" t="inlineStr">
        <is>
          <t>The Landing at Aliana is 294 units of three-storey garden-style housing on one Fort Bend site. That is the repeating low-rise the band covers.</t>
        </is>
      </c>
      <c r="M231" s="8" t="inlineStr">
        <is>
          <t>Partly</t>
        </is>
      </c>
      <c r="N231" s="9" t="inlineStr">
        <is>
          <t>It expected to use cross-laminated timber on a six-storey office building at The Mill in 2021, contingent on retail leasing. The building is not in its own portfolio entry and no source shows it was built.</t>
        </is>
      </c>
      <c r="O231" s="6" t="inlineStr">
        <is>
          <t>https://www.linkedin.com/in/scottarnoldy/</t>
        </is>
      </c>
      <c r="P231" s="6" t="inlineStr"/>
      <c r="Q231" s="11">
        <f>IF(O231="","ADD LINKEDIN","ok")</f>
        <v/>
      </c>
      <c r="R231" s="6" t="inlineStr">
        <is>
          <t>https://www.tritenre.com/</t>
        </is>
      </c>
      <c r="S231" s="9" t="inlineStr">
        <is>
          <t>Planned a cross-laminated timber office at The Mill in 2021, and no source shows it was built. 294 units at Aliana open in summer 2027.</t>
        </is>
      </c>
      <c r="T231" s="6" t="inlineStr"/>
      <c r="U231" s="9" t="inlineStr">
        <is>
          <t>Founder and CEO, Triten Real Estate Partners. Houston, Texas.</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6" t="inlineStr">
        <is>
          <t>https://www.linkedin.com/in/larry-sloan-894204b/</t>
        </is>
      </c>
      <c r="P232" s="12" t="inlineStr"/>
      <c r="Q232" s="16">
        <f>IF(O232="","ADD LINKEDIN","ok")</f>
        <v/>
      </c>
      <c r="R232" s="12" t="inlineStr">
        <is>
          <t>https://www.tritenre.com/</t>
        </is>
      </c>
      <c r="S232" s="15" t="inlineStr">
        <is>
          <t>Planned a cross-laminated timber office at The Mill in 2021, and no source shows it was built. 294 units at Aliana open in summer 2027.</t>
        </is>
      </c>
      <c r="T232" s="12" t="inlineStr"/>
      <c r="U232" s="15" t="inlineStr">
        <is>
          <t>Chief Development Officer (CDO) at Triten Real Estate Partners. Houston, Texas. The same person who left Midway as EVP of investment and development in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6" t="inlineStr">
        <is>
          <t>https://www.linkedin.com/in/brent-ozenbaugh-b99872/</t>
        </is>
      </c>
      <c r="P233" s="6" t="inlineStr"/>
      <c r="Q233" s="11">
        <f>IF(O233="","ADD LINKEDIN","ok")</f>
        <v/>
      </c>
      <c r="R233" s="6" t="inlineStr">
        <is>
          <t>https://www.tritenre.com/</t>
        </is>
      </c>
      <c r="S233" s="9" t="inlineStr">
        <is>
          <t>Planned a cross-laminated timber office at The Mill in 2021, and no source shows it was built. 294 units at Aliana open in summer 2027.</t>
        </is>
      </c>
      <c r="T233" s="6" t="inlineStr"/>
      <c r="U233" s="9" t="inlineStr">
        <is>
          <t>COO at Triten Real Estate Partners.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at The Mill, 294 more under construction at Aliana.</t>
        </is>
      </c>
      <c r="K234" s="14" t="inlineStr">
        <is>
          <t>Partly</t>
        </is>
      </c>
      <c r="L234" s="15" t="inlineStr">
        <is>
          <t>The Landing at Aliana is 294 units of three-storey garden-style housing on one Fort Bend site. That is the repeating low-rise the band covers.</t>
        </is>
      </c>
      <c r="M234" s="14" t="inlineStr">
        <is>
          <t>Partly</t>
        </is>
      </c>
      <c r="N234" s="15" t="inlineStr">
        <is>
          <t>It expected to use cross-laminated timber on a six-storey office building at The Mill in 2021, contingent on retail leasing. The building is not in its own portfolio entry and no source shows it was built.</t>
        </is>
      </c>
      <c r="O234" s="10" t="inlineStr"/>
      <c r="P234" s="12">
        <f>HYPERLINK("https://www.linkedin.com/search/results/people/?keywords=Carter%20Bechtol%20Triten%20Real%20Estate%20Partners","search")</f>
        <v/>
      </c>
      <c r="Q234" s="16">
        <f>IF(O234="","ADD LINKEDIN","ok")</f>
        <v/>
      </c>
      <c r="R234" s="12" t="inlineStr">
        <is>
          <t>https://www.tritenre.com/</t>
        </is>
      </c>
      <c r="S234" s="15" t="inlineStr">
        <is>
          <t>Planned a cross-laminated timber office at The Mill in 2021, and no source shows it was built. 294 units at Aliana open in summer 2027.</t>
        </is>
      </c>
      <c r="T234" s="12" t="inlineStr"/>
      <c r="U234" s="15" t="inlineStr">
        <is>
          <t>Triten's own bio page. Partner, Head of Triten Residential. The residential platform is the part of Triten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There is no plan set to repeat.</t>
        </is>
      </c>
      <c r="K235" s="8" t="inlineStr">
        <is>
          <t>Yes</t>
        </is>
      </c>
      <c r="L235" s="9" t="inlineStr">
        <is>
          <t>More than 300 homes a year on the firm's own count, across Texas and Tennessee.</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A vice president of purchasing, and every house is one-of-a-kind. The presidency passed from Jim to Chris Lemming in June 2026.</t>
        </is>
      </c>
      <c r="T235" s="6" t="inlineStr"/>
      <c r="U235" s="9" t="inlineStr">
        <is>
          <t>HousingWire, 15 June 2026: President and CEO Jim Lemming will transition to chairman, and his son Chris Lemming will assume the presidency.</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There is no plan set to repeat.</t>
        </is>
      </c>
      <c r="K236" s="14" t="inlineStr">
        <is>
          <t>Yes</t>
        </is>
      </c>
      <c r="L236" s="15" t="inlineStr">
        <is>
          <t>More than 300 homes a year on the firm's own count, across Texas and Tennessee.</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A vice president of purchasing, and every house is one-of-a-kind. The presidency passed from Jim to Chris Lemming in June 2026.</t>
        </is>
      </c>
      <c r="T236" s="12" t="inlineStr">
        <is>
          <t>YES</t>
        </is>
      </c>
      <c r="U236" s="15" t="inlineStr">
        <is>
          <t>Indexed title reads Dewey Hennessee GMB CAPS CGP, Partners in Building. The title on file comes from the first pass and is not repeated in the index entry.</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There is no plan set to repeat.</t>
        </is>
      </c>
      <c r="K237" s="8" t="inlineStr">
        <is>
          <t>Yes</t>
        </is>
      </c>
      <c r="L237" s="9" t="inlineStr">
        <is>
          <t>More than 300 homes a year on the firm's own count, across Texas and Tennessee.</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A vice president of purchasing, and every house is one-of-a-kind. The presidency passed from Jim to Chris Lemming in June 2026.</t>
        </is>
      </c>
      <c r="T237" s="6" t="inlineStr"/>
      <c r="U237" s="9" t="inlineStr">
        <is>
          <t>HousingWire, 15 June 2026: Chris Lemming assumes the presidency after an eighteen-month succession.</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Its one published building is 24,000 square feet. A printed wall competes with tilt-wall here, not with stick framing.</t>
        </is>
      </c>
      <c r="M238" s="14" t="inlineStr">
        <is>
          <t>No</t>
        </is>
      </c>
      <c r="N238" s="15" t="inlineStr">
        <is>
          <t>No method evidence on record.</t>
        </is>
      </c>
      <c r="O238" s="6" t="inlineStr">
        <is>
          <t>https://www.linkedin.com/in/dan-braun-36451a15/</t>
        </is>
      </c>
      <c r="P238" s="12" t="inlineStr"/>
      <c r="Q238" s="16">
        <f>IF(O238="","ADD LINKEDIN","ok")</f>
        <v/>
      </c>
      <c r="R238" s="12" t="inlineStr">
        <is>
          <t>https://braunenterprises.com/</t>
        </is>
      </c>
      <c r="S238" s="15" t="inlineStr">
        <is>
          <t>Ground-up retail in the Heights, and an adaptive reuse project in Timbergrove.</t>
        </is>
      </c>
      <c r="T238" s="12" t="inlineStr"/>
      <c r="U238" s="15" t="inlineStr">
        <is>
          <t>Indexed title reads Dan Braun, President at Braun Enterprises. The firm's team page returns a 404, so this is the only link.</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Bradley Freels</t>
        </is>
      </c>
      <c r="B239" s="6" t="inlineStr">
        <is>
          <t>Midway</t>
        </is>
      </c>
      <c r="C239" s="6" t="inlineStr">
        <is>
          <t>Chairman and Chief Executive Officer</t>
        </is>
      </c>
      <c r="D239" s="7" t="inlineStr">
        <is>
          <t>Custom and hybrid job</t>
        </is>
      </c>
      <c r="E239" s="8" t="n">
        <v>2</v>
      </c>
      <c r="F239" s="6" t="inlineStr">
        <is>
          <t>Buys walls</t>
        </is>
      </c>
      <c r="G239" s="6" t="inlineStr">
        <is>
          <t>Houston HQ / East End, Harris County</t>
        </is>
      </c>
      <c r="H239" s="6" t="inlineStr">
        <is>
          <t>East River: 150 acres, 60 city blocks</t>
        </is>
      </c>
      <c r="I239" s="8" t="inlineStr">
        <is>
          <t>Partly</t>
        </is>
      </c>
      <c r="J239" s="9" t="inlineStr">
        <is>
          <t>East River is 60 city blocks on one site, phased over decades.</t>
        </is>
      </c>
      <c r="K239" s="8" t="inlineStr">
        <is>
          <t>No</t>
        </is>
      </c>
      <c r="L239" s="9" t="inlineStr">
        <is>
          <t>Sixty blocks of mixed-use. The buildings are one-offs, whatever the acreage.</t>
        </is>
      </c>
      <c r="M239" s="8" t="inlineStr">
        <is>
          <t>Partly</t>
        </is>
      </c>
      <c r="N239" s="9" t="inlineStr">
        <is>
          <t>District-scale design ambition, but no specific method precedent was found.</t>
        </is>
      </c>
      <c r="O239" s="10" t="inlineStr"/>
      <c r="P239" s="6">
        <f>HYPERLINK("https://www.linkedin.com/search/results/people/?keywords=Bradley%20Freels%20Midway","search")</f>
        <v/>
      </c>
      <c r="Q239" s="11">
        <f>IF(O239="","ADD LINKEDIN","ok")</f>
        <v/>
      </c>
      <c r="R239" s="6" t="inlineStr">
        <is>
          <t>https://www.midway.team/</t>
        </is>
      </c>
      <c r="S239" s="9" t="inlineStr">
        <is>
          <t>Midway kept sole development control after selling out of the Parkway joint venture in December 2024.</t>
        </is>
      </c>
      <c r="T239" s="6" t="inlineStr"/>
      <c r="U239" s="9" t="inlineStr">
        <is>
          <t>Chairman and Chief Executive Officer on Midway's own people page. He has no findable LinkedIn profile, so this is the citation.</t>
        </is>
      </c>
      <c r="V239" s="6" t="inlineStr">
        <is>
          <t>https://www.midway.team/our-people</t>
        </is>
      </c>
      <c r="W239" s="6" t="inlineStr">
        <is>
          <t>https://www.linkedin.com/company/midway</t>
        </is>
      </c>
      <c r="X239" s="6" t="inlineStr">
        <is>
          <t>https://www.midway.team/our-people</t>
        </is>
      </c>
      <c r="Y239" s="6" t="inlineStr"/>
      <c r="Z239" s="6" t="inlineStr">
        <is>
          <t>(713) 629-5200</t>
        </is>
      </c>
      <c r="AA239" s="6" t="inlineStr"/>
      <c r="AB239" s="6" t="inlineStr">
        <is>
          <t>https://www.midway.team/contact</t>
        </is>
      </c>
      <c r="AC239" s="6" t="inlineStr"/>
      <c r="AD239" s="6" t="inlineStr"/>
    </row>
    <row r="240">
      <c r="A240" s="12" t="inlineStr">
        <is>
          <t>David Hightower</t>
        </is>
      </c>
      <c r="B240" s="12" t="inlineStr">
        <is>
          <t>Midway</t>
        </is>
      </c>
      <c r="C240" s="12" t="inlineStr">
        <is>
          <t>Executive Vice President</t>
        </is>
      </c>
      <c r="D240" s="13" t="inlineStr">
        <is>
          <t>Custom and hybrid job</t>
        </is>
      </c>
      <c r="E240" s="14" t="n">
        <v>2</v>
      </c>
      <c r="F240" s="12" t="inlineStr">
        <is>
          <t>Buys walls</t>
        </is>
      </c>
      <c r="G240" s="12" t="inlineStr">
        <is>
          <t>Houston HQ / East End, Harris County</t>
        </is>
      </c>
      <c r="H240" s="12" t="inlineStr">
        <is>
          <t>East River: 150 acres, 60 city blocks</t>
        </is>
      </c>
      <c r="I240" s="14" t="inlineStr">
        <is>
          <t>Partly</t>
        </is>
      </c>
      <c r="J240" s="15" t="inlineStr">
        <is>
          <t>East River is 60 city blocks on one site, phased over decades.</t>
        </is>
      </c>
      <c r="K240" s="14" t="inlineStr">
        <is>
          <t>No</t>
        </is>
      </c>
      <c r="L240" s="15" t="inlineStr">
        <is>
          <t>Sixty blocks of mixed-use. The buildings are one-offs, whatever the acreage.</t>
        </is>
      </c>
      <c r="M240" s="14" t="inlineStr">
        <is>
          <t>Partly</t>
        </is>
      </c>
      <c r="N240" s="15" t="inlineStr">
        <is>
          <t>District-scale design ambition, but no specific method precedent was found.</t>
        </is>
      </c>
      <c r="O240" s="6" t="inlineStr">
        <is>
          <t>https://www.linkedin.com/in/dahightower/</t>
        </is>
      </c>
      <c r="P240" s="12" t="inlineStr"/>
      <c r="Q240" s="16">
        <f>IF(O240="","ADD LINKEDIN","ok")</f>
        <v/>
      </c>
      <c r="R240" s="12" t="inlineStr">
        <is>
          <t>https://www.midway.team/</t>
        </is>
      </c>
      <c r="S240" s="15" t="inlineStr">
        <is>
          <t>Midway kept sole development control after selling out of the Parkway joint venture in December 2024.</t>
        </is>
      </c>
      <c r="T240" s="12" t="inlineStr"/>
      <c r="U240" s="15" t="inlineStr">
        <is>
          <t>Executive Vice President, Development at Midway Companies. Houston, Texas.</t>
        </is>
      </c>
      <c r="V240" s="12" t="inlineStr"/>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Clark Thompson</t>
        </is>
      </c>
      <c r="B241" s="6" t="inlineStr">
        <is>
          <t>Midway</t>
        </is>
      </c>
      <c r="C241" s="6" t="inlineStr">
        <is>
          <t>Executive Vice President and General Counsel</t>
        </is>
      </c>
      <c r="D241" s="7" t="inlineStr">
        <is>
          <t>Custom and hybrid job</t>
        </is>
      </c>
      <c r="E241" s="8" t="n">
        <v>2</v>
      </c>
      <c r="F241" s="6" t="inlineStr">
        <is>
          <t>Buys walls</t>
        </is>
      </c>
      <c r="G241" s="6" t="inlineStr">
        <is>
          <t>Houston HQ / East End, Harris County</t>
        </is>
      </c>
      <c r="H241" s="6" t="inlineStr">
        <is>
          <t>East River: 150 acres, 60 city blocks</t>
        </is>
      </c>
      <c r="I241" s="8" t="inlineStr">
        <is>
          <t>Partly</t>
        </is>
      </c>
      <c r="J241" s="9" t="inlineStr">
        <is>
          <t>East River is 60 city blocks on one site, phased over decades.</t>
        </is>
      </c>
      <c r="K241" s="8" t="inlineStr">
        <is>
          <t>No</t>
        </is>
      </c>
      <c r="L241" s="9" t="inlineStr">
        <is>
          <t>Sixty blocks of mixed-use. The buildings are one-offs, whatever the acreage.</t>
        </is>
      </c>
      <c r="M241" s="8" t="inlineStr">
        <is>
          <t>Partly</t>
        </is>
      </c>
      <c r="N241" s="9" t="inlineStr">
        <is>
          <t>District-scale design ambition, but no specific method precedent was found.</t>
        </is>
      </c>
      <c r="O241" s="10" t="inlineStr"/>
      <c r="P241" s="6">
        <f>HYPERLINK("https://www.linkedin.com/search/results/people/?keywords=Clark%20Thompson%20Midway","search")</f>
        <v/>
      </c>
      <c r="Q241" s="11">
        <f>IF(O241="","ADD LINKEDIN","ok")</f>
        <v/>
      </c>
      <c r="R241" s="6" t="inlineStr">
        <is>
          <t>https://www.midway.team/</t>
        </is>
      </c>
      <c r="S241" s="9" t="inlineStr">
        <is>
          <t>Midway kept sole development control after selling out of the Parkway joint venture in December 2024.</t>
        </is>
      </c>
      <c r="T241" s="6" t="inlineStr"/>
      <c r="U241" s="9" t="inlineStr"/>
      <c r="V241" s="6" t="inlineStr">
        <is>
          <t>https://www.midway.team/our-people</t>
        </is>
      </c>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Rob Sigler</t>
        </is>
      </c>
      <c r="B242" s="12" t="inlineStr">
        <is>
          <t>Midway</t>
        </is>
      </c>
      <c r="C242" s="12" t="inlineStr">
        <is>
          <t>Executive Vice President, Construction, Investment and Development, Midway</t>
        </is>
      </c>
      <c r="D242" s="13" t="inlineStr">
        <is>
          <t>Custom and hybrid job</t>
        </is>
      </c>
      <c r="E242" s="14" t="n">
        <v>2</v>
      </c>
      <c r="F242" s="12" t="inlineStr">
        <is>
          <t>Buys walls</t>
        </is>
      </c>
      <c r="G242" s="12" t="inlineStr">
        <is>
          <t>Houston HQ / East End, Harris County</t>
        </is>
      </c>
      <c r="H242" s="12" t="inlineStr">
        <is>
          <t>East River: 150 acres, 60 city blocks</t>
        </is>
      </c>
      <c r="I242" s="14" t="inlineStr">
        <is>
          <t>Partly</t>
        </is>
      </c>
      <c r="J242" s="15" t="inlineStr">
        <is>
          <t>East River is 60 city blocks on one site, phased over decades.</t>
        </is>
      </c>
      <c r="K242" s="14" t="inlineStr">
        <is>
          <t>No</t>
        </is>
      </c>
      <c r="L242" s="15" t="inlineStr">
        <is>
          <t>Sixty blocks of mixed-use. The buildings are one-offs, whatever the acreage.</t>
        </is>
      </c>
      <c r="M242" s="14" t="inlineStr">
        <is>
          <t>Partly</t>
        </is>
      </c>
      <c r="N242" s="15" t="inlineStr">
        <is>
          <t>District-scale design ambition, but no specific method precedent was found.</t>
        </is>
      </c>
      <c r="O242" s="6" t="inlineStr">
        <is>
          <t>https://www.linkedin.com/in/robsigler/</t>
        </is>
      </c>
      <c r="P242" s="12" t="inlineStr"/>
      <c r="Q242" s="16">
        <f>IF(O242="","ADD LINKEDIN","ok")</f>
        <v/>
      </c>
      <c r="R242" s="12" t="inlineStr">
        <is>
          <t>https://www.midway.team/</t>
        </is>
      </c>
      <c r="S242" s="15" t="inlineStr">
        <is>
          <t>Midway kept sole development control after selling out of the Parkway joint venture in December 2024.</t>
        </is>
      </c>
      <c r="T242" s="12" t="inlineStr">
        <is>
          <t>YES</t>
        </is>
      </c>
      <c r="U242"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V242" s="12" t="inlineStr"/>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Anna Deans</t>
        </is>
      </c>
      <c r="B243" s="6" t="inlineStr">
        <is>
          <t>Midway</t>
        </is>
      </c>
      <c r="C243" s="6" t="inlineStr">
        <is>
          <t>Executive Vice President, Midway</t>
        </is>
      </c>
      <c r="D243" s="7" t="inlineStr">
        <is>
          <t>Custom and hybrid job</t>
        </is>
      </c>
      <c r="E243" s="8" t="n">
        <v>2</v>
      </c>
      <c r="F243" s="6" t="inlineStr">
        <is>
          <t>Buys walls</t>
        </is>
      </c>
      <c r="G243" s="6" t="inlineStr">
        <is>
          <t>Houston HQ / East End, Harris County</t>
        </is>
      </c>
      <c r="H243" s="6" t="inlineStr">
        <is>
          <t>East River: 150 acres, 60 city blocks</t>
        </is>
      </c>
      <c r="I243" s="8" t="inlineStr">
        <is>
          <t>Partly</t>
        </is>
      </c>
      <c r="J243" s="9" t="inlineStr">
        <is>
          <t>East River is 60 city blocks on one site, phased over decades.</t>
        </is>
      </c>
      <c r="K243" s="8" t="inlineStr">
        <is>
          <t>No</t>
        </is>
      </c>
      <c r="L243" s="9" t="inlineStr">
        <is>
          <t>Sixty blocks of mixed-use. The buildings are one-offs, whatever the acreage.</t>
        </is>
      </c>
      <c r="M243" s="8" t="inlineStr">
        <is>
          <t>Partly</t>
        </is>
      </c>
      <c r="N243" s="9" t="inlineStr">
        <is>
          <t>District-scale design ambition, but no specific method precedent was found.</t>
        </is>
      </c>
      <c r="O243" s="6" t="inlineStr">
        <is>
          <t>https://www.linkedin.com/in/anna-deans-bbbab03/</t>
        </is>
      </c>
      <c r="P243" s="6" t="inlineStr"/>
      <c r="Q243" s="11">
        <f>IF(O243="","ADD LINKEDIN","ok")</f>
        <v/>
      </c>
      <c r="R243" s="6" t="inlineStr">
        <is>
          <t>https://www.midway.team/</t>
        </is>
      </c>
      <c r="S243" s="9" t="inlineStr">
        <is>
          <t>Midway kept sole development control after selling out of the Parkway joint venture in December 2024.</t>
        </is>
      </c>
      <c r="T243" s="6" t="inlineStr"/>
      <c r="U243" s="9" t="inlineStr"/>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Steve Radom</t>
        </is>
      </c>
      <c r="B244" s="12" t="inlineStr">
        <is>
          <t>Radom Capital</t>
        </is>
      </c>
      <c r="C244" s="12" t="inlineStr">
        <is>
          <t>Managing Principal</t>
        </is>
      </c>
      <c r="D244" s="13" t="inlineStr">
        <is>
          <t>Custom and hybrid job</t>
        </is>
      </c>
      <c r="E244" s="14" t="n">
        <v>1</v>
      </c>
      <c r="F244" s="12" t="inlineStr">
        <is>
          <t>Buys walls</t>
        </is>
      </c>
      <c r="G244" s="12" t="inlineStr">
        <is>
          <t>Heights / Montrose, Harris County</t>
        </is>
      </c>
      <c r="H244" s="12" t="inlineStr">
        <is>
          <t>$104.75M Montrose Collective financing</t>
        </is>
      </c>
      <c r="I244" s="14" t="inlineStr">
        <is>
          <t>Partly</t>
        </is>
      </c>
      <c r="J244" s="15" t="inlineStr">
        <is>
          <t>Fifteen projects in one district, 218 units at Clock Tower.</t>
        </is>
      </c>
      <c r="K244" s="14" t="inlineStr">
        <is>
          <t>No</t>
        </is>
      </c>
      <c r="L244" s="15" t="inlineStr">
        <is>
          <t>Adaptive reuse and retail. Every project is its own building.</t>
        </is>
      </c>
      <c r="M244" s="14" t="inlineStr">
        <is>
          <t>No</t>
        </is>
      </c>
      <c r="N244" s="15" t="inlineStr">
        <is>
          <t>No method on record. Its architect, Michael Hsu, also drew ICON's homes at Mueller in Austin.</t>
        </is>
      </c>
      <c r="O244" s="6" t="inlineStr">
        <is>
          <t>https://www.linkedin.com/in/steveradom/</t>
        </is>
      </c>
      <c r="P244" s="12" t="inlineStr"/>
      <c r="Q244" s="16">
        <f>IF(O244="","ADD LINKEDIN","ok")</f>
        <v/>
      </c>
      <c r="R244" s="12" t="inlineStr">
        <is>
          <t>https://www.radomcapital.com/</t>
        </is>
      </c>
      <c r="S244" s="15" t="inlineStr">
        <is>
          <t>Michael Hsu designed Montrose Collective. Fifteen projects in one district.</t>
        </is>
      </c>
      <c r="T244" s="12" t="inlineStr"/>
      <c r="U244" s="15" t="inlineStr"/>
      <c r="V244" s="12" t="inlineStr"/>
      <c r="W244" s="12" t="inlineStr">
        <is>
          <t>https://www.linkedin.com/company/radom-capital-llc</t>
        </is>
      </c>
      <c r="X244" s="12" t="inlineStr">
        <is>
          <t>https://www.radomcapital.com/team</t>
        </is>
      </c>
      <c r="Y244" s="12" t="inlineStr"/>
      <c r="Z244" s="12" t="inlineStr">
        <is>
          <t>(713) 783-4444</t>
        </is>
      </c>
      <c r="AA244" s="12" t="inlineStr"/>
      <c r="AB244" s="12" t="inlineStr">
        <is>
          <t>https://www.radomcapital.com/</t>
        </is>
      </c>
      <c r="AC244" s="12" t="inlineStr"/>
      <c r="AD244" s="12" t="inlineStr"/>
    </row>
    <row r="245">
      <c r="A245" s="6" t="inlineStr">
        <is>
          <t>Barton Kelly</t>
        </is>
      </c>
      <c r="B245" s="6" t="inlineStr">
        <is>
          <t>Radom Capital</t>
        </is>
      </c>
      <c r="C245" s="6" t="inlineStr">
        <is>
          <t>Principal</t>
        </is>
      </c>
      <c r="D245" s="7" t="inlineStr">
        <is>
          <t>Custom and hybrid job</t>
        </is>
      </c>
      <c r="E245" s="8" t="n">
        <v>1</v>
      </c>
      <c r="F245" s="6" t="inlineStr">
        <is>
          <t>Buys walls</t>
        </is>
      </c>
      <c r="G245" s="6" t="inlineStr">
        <is>
          <t>Heights / Montrose, Harris County</t>
        </is>
      </c>
      <c r="H245" s="6" t="inlineStr">
        <is>
          <t>$104.75M Montrose Collective financing</t>
        </is>
      </c>
      <c r="I245" s="8" t="inlineStr">
        <is>
          <t>Partly</t>
        </is>
      </c>
      <c r="J245" s="9" t="inlineStr">
        <is>
          <t>Fifteen projects in one district, 218 units at Clock Tower.</t>
        </is>
      </c>
      <c r="K245" s="8" t="inlineStr">
        <is>
          <t>No</t>
        </is>
      </c>
      <c r="L245" s="9" t="inlineStr">
        <is>
          <t>Adaptive reuse and retail. Every project is its own building.</t>
        </is>
      </c>
      <c r="M245" s="8" t="inlineStr">
        <is>
          <t>No</t>
        </is>
      </c>
      <c r="N245" s="9" t="inlineStr">
        <is>
          <t>No method on record. Its architect, Michael Hsu, also drew ICON's homes at Mueller in Austin.</t>
        </is>
      </c>
      <c r="O245" s="6" t="inlineStr">
        <is>
          <t>https://www.linkedin.com/in/bartonk/</t>
        </is>
      </c>
      <c r="P245" s="6" t="inlineStr"/>
      <c r="Q245" s="11">
        <f>IF(O245="","ADD LINKEDIN","ok")</f>
        <v/>
      </c>
      <c r="R245" s="6" t="inlineStr">
        <is>
          <t>https://www.radomcapital.com/</t>
        </is>
      </c>
      <c r="S245" s="9" t="inlineStr">
        <is>
          <t>Michael Hsu designed Montrose Collective. Fifteen projects in one district.</t>
        </is>
      </c>
      <c r="T245" s="6" t="inlineStr"/>
      <c r="U245" s="9" t="inlineStr">
        <is>
          <t>Vice President at Radom Capital LLC, Houston. Barton Kelly's LinkedIn headline reads Vice President at Radom Capital; the firm's own team page lists him as Principal. The titles conflict.</t>
        </is>
      </c>
      <c r="V245" s="6" t="inlineStr"/>
      <c r="W245" s="6" t="inlineStr">
        <is>
          <t>https://www.linkedin.com/company/radom-capital-llc</t>
        </is>
      </c>
      <c r="X245" s="6" t="inlineStr">
        <is>
          <t>https://www.radomcapital.com/team</t>
        </is>
      </c>
      <c r="Y245" s="6" t="inlineStr"/>
      <c r="Z245" s="6" t="inlineStr">
        <is>
          <t>(713) 783-4444</t>
        </is>
      </c>
      <c r="AA245" s="6" t="inlineStr"/>
      <c r="AB245" s="6" t="inlineStr">
        <is>
          <t>https://www.radomcapital.com/</t>
        </is>
      </c>
      <c r="AC245" s="6" t="inlineStr"/>
      <c r="AD245" s="6" t="inlineStr"/>
    </row>
    <row r="246">
      <c r="A246" s="12" t="inlineStr">
        <is>
          <t>Evan Peterson</t>
        </is>
      </c>
      <c r="B246" s="12" t="inlineStr">
        <is>
          <t>Radom Capital</t>
        </is>
      </c>
      <c r="C246" s="12" t="inlineStr">
        <is>
          <t>Principal</t>
        </is>
      </c>
      <c r="D246" s="13" t="inlineStr">
        <is>
          <t>Custom and hybrid job</t>
        </is>
      </c>
      <c r="E246" s="14" t="n">
        <v>1</v>
      </c>
      <c r="F246" s="12" t="inlineStr">
        <is>
          <t>Buys walls</t>
        </is>
      </c>
      <c r="G246" s="12" t="inlineStr">
        <is>
          <t>Heights / Montrose, Harris County</t>
        </is>
      </c>
      <c r="H246" s="12" t="inlineStr">
        <is>
          <t>$104.75M Montrose Collective financing</t>
        </is>
      </c>
      <c r="I246" s="14" t="inlineStr">
        <is>
          <t>Partly</t>
        </is>
      </c>
      <c r="J246" s="15" t="inlineStr">
        <is>
          <t>Fifteen projects in one district, 218 units at Clock Tower.</t>
        </is>
      </c>
      <c r="K246" s="14" t="inlineStr">
        <is>
          <t>No</t>
        </is>
      </c>
      <c r="L246" s="15" t="inlineStr">
        <is>
          <t>Adaptive reuse and retail. Every project is its own building.</t>
        </is>
      </c>
      <c r="M246" s="14" t="inlineStr">
        <is>
          <t>No</t>
        </is>
      </c>
      <c r="N246" s="15" t="inlineStr">
        <is>
          <t>No method on record. Its architect, Michael Hsu, also drew ICON's homes at Mueller in Austin.</t>
        </is>
      </c>
      <c r="O246" s="6" t="inlineStr">
        <is>
          <t>https://www.linkedin.com/in/evan-peterson-19656548/</t>
        </is>
      </c>
      <c r="P246" s="12" t="inlineStr"/>
      <c r="Q246" s="16">
        <f>IF(O246="","ADD LINKEDIN","ok")</f>
        <v/>
      </c>
      <c r="R246" s="12" t="inlineStr">
        <is>
          <t>https://www.radomcapital.com/</t>
        </is>
      </c>
      <c r="S246" s="15" t="inlineStr">
        <is>
          <t>Michael Hsu designed Montrose Collective. Fifteen projects in one district.</t>
        </is>
      </c>
      <c r="T246" s="12" t="inlineStr"/>
      <c r="U246" s="15" t="inlineStr">
        <is>
          <t>Principal at Radom Capital LLC. Houston, Texas.</t>
        </is>
      </c>
      <c r="V246" s="12" t="inlineStr"/>
      <c r="W246" s="12" t="inlineStr">
        <is>
          <t>https://www.linkedin.com/company/radom-capital-llc</t>
        </is>
      </c>
      <c r="X246" s="12" t="inlineStr">
        <is>
          <t>https://www.radomcapital.com/team</t>
        </is>
      </c>
      <c r="Y246" s="12" t="inlineStr"/>
      <c r="Z246" s="12" t="inlineStr">
        <is>
          <t>(713) 783-4444</t>
        </is>
      </c>
      <c r="AA246" s="12" t="inlineStr"/>
      <c r="AB246" s="12" t="inlineStr">
        <is>
          <t>https://www.radomcapital.com/</t>
        </is>
      </c>
      <c r="AC246" s="12" t="inlineStr"/>
      <c r="AD246" s="12" t="inlineStr"/>
    </row>
    <row r="247">
      <c r="A247" s="6" t="inlineStr">
        <is>
          <t>Paul Coonrod</t>
        </is>
      </c>
      <c r="B247" s="6" t="inlineStr">
        <is>
          <t>Pagewood</t>
        </is>
      </c>
      <c r="C247" s="6" t="inlineStr">
        <is>
          <t>Founder and Managing Principal</t>
        </is>
      </c>
      <c r="D247" s="7" t="inlineStr">
        <is>
          <t>Custom and hybrid job</t>
        </is>
      </c>
      <c r="E247" s="8" t="n">
        <v>1</v>
      </c>
      <c r="F247" s="6" t="inlineStr">
        <is>
          <t>Buys walls</t>
        </is>
      </c>
      <c r="G247" s="6" t="inlineStr">
        <is>
          <t>Houston</t>
        </is>
      </c>
      <c r="H247" s="6" t="inlineStr">
        <is>
          <t>East Blocks phase one, 30,000 sf across two warehouses</t>
        </is>
      </c>
      <c r="I247" s="8" t="inlineStr">
        <is>
          <t>Partly</t>
        </is>
      </c>
      <c r="J247" s="9" t="inlineStr">
        <is>
          <t>Ten blocks under one plan is concentration, but every building is its own problem.</t>
        </is>
      </c>
      <c r="K247" s="8" t="inlineStr">
        <is>
          <t>No</t>
        </is>
      </c>
      <c r="L247" s="9" t="inlineStr">
        <is>
          <t>Phase one is two warehouses of the same size, done twice. The rest of the district is one-offs, and the build-to-rent line is not in Houston.</t>
        </is>
      </c>
      <c r="M247" s="8" t="inlineStr">
        <is>
          <t>No</t>
        </is>
      </c>
      <c r="N247" s="9" t="inlineStr">
        <is>
          <t>It chose to keep eighty-year-old warehouses that would have been cheaper to demolish. The partner said so on the record.</t>
        </is>
      </c>
      <c r="O247" s="10" t="inlineStr"/>
      <c r="P247" s="6">
        <f>HYPERLINK("https://www.linkedin.com/search/results/people/?keywords=Paul%20Coonrod%20Pagewood","search")</f>
        <v/>
      </c>
      <c r="Q247" s="11">
        <f>IF(O247="","ADD LINKEDIN","ok")</f>
        <v/>
      </c>
      <c r="R247" s="6" t="inlineStr">
        <is>
          <t>https://www.pagewood.com/</t>
        </is>
      </c>
      <c r="S247" s="9" t="inlineStr">
        <is>
          <t>Ten contiguous EaDo blocks and 513,000 square feet planned, with Gensler on design and SWA on landscape. It builds ground-up industrial elsewhere, so it is not conversion-only.</t>
        </is>
      </c>
      <c r="T247" s="6" t="inlineStr"/>
      <c r="U247" s="9" t="inlineStr"/>
      <c r="V247" s="6" t="inlineStr">
        <is>
          <t>https://www.pagewood.com/team</t>
        </is>
      </c>
      <c r="W247" s="6" t="inlineStr"/>
      <c r="X247" s="6" t="inlineStr"/>
      <c r="Y247" s="6" t="inlineStr"/>
      <c r="Z247" s="6" t="inlineStr">
        <is>
          <t>(713) 804-4000</t>
        </is>
      </c>
      <c r="AA247" s="6" t="inlineStr"/>
      <c r="AB247" s="6" t="inlineStr">
        <is>
          <t>https://www.pagewood.com/</t>
        </is>
      </c>
      <c r="AC247" s="6" t="inlineStr"/>
      <c r="AD247" s="6" t="inlineStr"/>
    </row>
    <row r="248">
      <c r="A248" s="12" t="inlineStr">
        <is>
          <t>Mat Volz</t>
        </is>
      </c>
      <c r="B248" s="12" t="inlineStr">
        <is>
          <t>Pagewood</t>
        </is>
      </c>
      <c r="C248" s="12" t="inlineStr">
        <is>
          <t>Managing Principal</t>
        </is>
      </c>
      <c r="D248" s="13" t="inlineStr">
        <is>
          <t>Custom and hybrid job</t>
        </is>
      </c>
      <c r="E248" s="14" t="n">
        <v>1</v>
      </c>
      <c r="F248" s="12" t="inlineStr">
        <is>
          <t>Buys walls</t>
        </is>
      </c>
      <c r="G248" s="12" t="inlineStr">
        <is>
          <t>Houston</t>
        </is>
      </c>
      <c r="H248" s="12" t="inlineStr">
        <is>
          <t>East Blocks phase one, 30,000 sf across two warehouses</t>
        </is>
      </c>
      <c r="I248" s="14" t="inlineStr">
        <is>
          <t>Partly</t>
        </is>
      </c>
      <c r="J248" s="15" t="inlineStr">
        <is>
          <t>Ten blocks under one plan is concentration, but every building is its own problem.</t>
        </is>
      </c>
      <c r="K248" s="14" t="inlineStr">
        <is>
          <t>No</t>
        </is>
      </c>
      <c r="L248" s="15" t="inlineStr">
        <is>
          <t>Phase one is two warehouses of the same size, done twice. The rest of the district is one-offs, and the build-to-rent line is not in Houston.</t>
        </is>
      </c>
      <c r="M248" s="14" t="inlineStr">
        <is>
          <t>No</t>
        </is>
      </c>
      <c r="N248" s="15" t="inlineStr">
        <is>
          <t>It chose to keep eighty-year-old warehouses that would have been cheaper to demolish. The partner said so on the record.</t>
        </is>
      </c>
      <c r="O248" s="6" t="inlineStr">
        <is>
          <t>https://www.linkedin.com/in/mathew-volz-14684850/</t>
        </is>
      </c>
      <c r="P248" s="12" t="inlineStr"/>
      <c r="Q248" s="16">
        <f>IF(O248="","ADD LINKEDIN","ok")</f>
        <v/>
      </c>
      <c r="R248" s="12" t="inlineStr">
        <is>
          <t>https://www.pagewood.com/</t>
        </is>
      </c>
      <c r="S248" s="15" t="inlineStr">
        <is>
          <t>Ten contiguous EaDo blocks and 513,000 square feet planned, with Gensler on design and SWA on landscape. It builds ground-up industrial elsewhere, so it is not conversion-only.</t>
        </is>
      </c>
      <c r="T248" s="12" t="inlineStr"/>
      <c r="U248" s="15" t="inlineStr">
        <is>
          <t>Indexed title reads Mathew Volz, Managing Principal at Pagewood. The firm's team page spells the name Mat.</t>
        </is>
      </c>
      <c r="V248" s="12" t="inlineStr">
        <is>
          <t>https://www.pagewood.com/team</t>
        </is>
      </c>
      <c r="W248" s="12" t="inlineStr"/>
      <c r="X248" s="12" t="inlineStr"/>
      <c r="Y248" s="12" t="inlineStr"/>
      <c r="Z248" s="12" t="inlineStr">
        <is>
          <t>(713) 804-4000</t>
        </is>
      </c>
      <c r="AA248" s="12" t="inlineStr"/>
      <c r="AB248" s="12" t="inlineStr">
        <is>
          <t>https://www.pagewood.com/</t>
        </is>
      </c>
      <c r="AC248" s="12" t="inlineStr"/>
      <c r="AD248" s="12" t="inlineStr"/>
    </row>
    <row r="249">
      <c r="A249" s="6" t="inlineStr">
        <is>
          <t>Preston Luster</t>
        </is>
      </c>
      <c r="B249" s="6" t="inlineStr">
        <is>
          <t>Pagewood</t>
        </is>
      </c>
      <c r="C249" s="6" t="inlineStr">
        <is>
          <t>Senior Construction Manager</t>
        </is>
      </c>
      <c r="D249" s="7" t="inlineStr">
        <is>
          <t>Custom and hybrid job</t>
        </is>
      </c>
      <c r="E249" s="8" t="n">
        <v>1</v>
      </c>
      <c r="F249" s="6" t="inlineStr">
        <is>
          <t>Buys walls</t>
        </is>
      </c>
      <c r="G249" s="6" t="inlineStr">
        <is>
          <t>Houston</t>
        </is>
      </c>
      <c r="H249" s="6" t="inlineStr">
        <is>
          <t>East Blocks phase one, 30,000 sf across two warehouses</t>
        </is>
      </c>
      <c r="I249" s="8" t="inlineStr">
        <is>
          <t>Partly</t>
        </is>
      </c>
      <c r="J249" s="9" t="inlineStr">
        <is>
          <t>Ten blocks under one plan is concentration, but every building is its own problem.</t>
        </is>
      </c>
      <c r="K249" s="8" t="inlineStr">
        <is>
          <t>No</t>
        </is>
      </c>
      <c r="L249" s="9" t="inlineStr">
        <is>
          <t>Phase one is two warehouses of the same size, done twice. The rest of the district is one-offs, and the build-to-rent line is not in Houston.</t>
        </is>
      </c>
      <c r="M249" s="8" t="inlineStr">
        <is>
          <t>No</t>
        </is>
      </c>
      <c r="N249" s="9" t="inlineStr">
        <is>
          <t>It chose to keep eighty-year-old warehouses that would have been cheaper to demolish. The partner said so on the record.</t>
        </is>
      </c>
      <c r="O249" s="10" t="inlineStr"/>
      <c r="P249" s="6">
        <f>HYPERLINK("https://www.linkedin.com/search/results/people/?keywords=Preston%20Luster%20Pagewood","search")</f>
        <v/>
      </c>
      <c r="Q249" s="11">
        <f>IF(O249="","ADD LINKEDIN","ok")</f>
        <v/>
      </c>
      <c r="R249" s="6" t="inlineStr">
        <is>
          <t>https://www.pagewood.com/</t>
        </is>
      </c>
      <c r="S249" s="9" t="inlineStr">
        <is>
          <t>Ten contiguous EaDo blocks and 513,000 square feet planned, with Gensler on design and SWA on landscape. It builds ground-up industrial elsewhere, so it is not conversion-only.</t>
        </is>
      </c>
      <c r="T249" s="6" t="inlineStr"/>
      <c r="U249" s="9" t="inlineStr"/>
      <c r="V249" s="6" t="inlineStr">
        <is>
          <t>https://www.pagewood.com/team</t>
        </is>
      </c>
      <c r="W249" s="6" t="inlineStr"/>
      <c r="X249" s="6" t="inlineStr"/>
      <c r="Y249" s="6" t="inlineStr"/>
      <c r="Z249" s="6" t="inlineStr">
        <is>
          <t>(713) 804-4000</t>
        </is>
      </c>
      <c r="AA249" s="6" t="inlineStr"/>
      <c r="AB249" s="6" t="inlineStr">
        <is>
          <t>https://www.pagewood.com/</t>
        </is>
      </c>
      <c r="AC249" s="6" t="inlineStr"/>
      <c r="AD249" s="6" t="inlineStr"/>
    </row>
    <row r="250">
      <c r="A250" s="12" t="inlineStr">
        <is>
          <t>David Kelley</t>
        </is>
      </c>
      <c r="B250" s="12" t="inlineStr">
        <is>
          <t>Concept Neighborhood</t>
        </is>
      </c>
      <c r="C250" s="12" t="inlineStr">
        <is>
          <t>Managing Partner, Projects and Finance</t>
        </is>
      </c>
      <c r="D250" s="13" t="inlineStr">
        <is>
          <t>Custom and hybrid job</t>
        </is>
      </c>
      <c r="E250" s="14" t="n">
        <v>1</v>
      </c>
      <c r="F250" s="12" t="inlineStr">
        <is>
          <t>Buys walls</t>
        </is>
      </c>
      <c r="G250" s="12" t="inlineStr">
        <is>
          <t>East End, Harris</t>
        </is>
      </c>
      <c r="H250" s="12" t="inlineStr">
        <is>
          <t>17 acres at The Plant, Second Ward</t>
        </is>
      </c>
      <c r="I250" s="14" t="inlineStr">
        <is>
          <t>No</t>
        </is>
      </c>
      <c r="J250" s="15" t="inlineStr">
        <is>
          <t>Four blocks of eighty-year-old industrial buildings, each one different. There is no plan to repeat.</t>
        </is>
      </c>
      <c r="K250" s="14" t="inlineStr">
        <is>
          <t>No</t>
        </is>
      </c>
      <c r="L250" s="15" t="inlineStr">
        <is>
          <t>Conversion work leaves little new wall. A printed element would have to be an addition rather than the building.</t>
        </is>
      </c>
      <c r="M250" s="14" t="inlineStr">
        <is>
          <t>Partly</t>
        </is>
      </c>
      <c r="N250" s="15" t="inlineStr">
        <is>
          <t>They restored an 1890s building to open Axelrad and took a National Register industrial basilica on at The Factory. This is a team that chooses the harder build on purpose.</t>
        </is>
      </c>
      <c r="O250" s="6" t="inlineStr">
        <is>
          <t>https://www.linkedin.com/in/david-kelley-275240105/</t>
        </is>
      </c>
      <c r="P250" s="12" t="inlineStr"/>
      <c r="Q250" s="16">
        <f>IF(O250="","ADD LINKEDIN","ok")</f>
        <v/>
      </c>
      <c r="R250" s="12" t="inlineStr">
        <is>
          <t>https://www.conceptneighborhood.com/</t>
        </is>
      </c>
      <c r="S250" s="15" t="inlineStr">
        <is>
          <t>Its founders operate hospitality themselves rather than leasing to operators. Seventeen acres of industrial conversion in the East End.</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Jeffrey Kaplan</t>
        </is>
      </c>
      <c r="B251" s="6" t="inlineStr">
        <is>
          <t>Concept Neighborhood</t>
        </is>
      </c>
      <c r="C251" s="6" t="inlineStr">
        <is>
          <t>Managing Partner, Brokerage and Placemaking, co-founder of Axelrad</t>
        </is>
      </c>
      <c r="D251" s="7" t="inlineStr">
        <is>
          <t>Custom and hybrid job</t>
        </is>
      </c>
      <c r="E251" s="8" t="n">
        <v>1</v>
      </c>
      <c r="F251" s="6" t="inlineStr">
        <is>
          <t>Buys walls</t>
        </is>
      </c>
      <c r="G251" s="6" t="inlineStr">
        <is>
          <t>East End, Harris</t>
        </is>
      </c>
      <c r="H251" s="6" t="inlineStr">
        <is>
          <t>17 acres at The Plant, Second Ward</t>
        </is>
      </c>
      <c r="I251" s="8" t="inlineStr">
        <is>
          <t>No</t>
        </is>
      </c>
      <c r="J251" s="9" t="inlineStr">
        <is>
          <t>Four blocks of eighty-year-old industrial buildings, each one different. There is no plan to repeat.</t>
        </is>
      </c>
      <c r="K251" s="8" t="inlineStr">
        <is>
          <t>No</t>
        </is>
      </c>
      <c r="L251" s="9" t="inlineStr">
        <is>
          <t>Conversion work leaves little new wall. A printed element would have to be an addition rather than the building.</t>
        </is>
      </c>
      <c r="M251" s="8" t="inlineStr">
        <is>
          <t>Partly</t>
        </is>
      </c>
      <c r="N251" s="9" t="inlineStr">
        <is>
          <t>They restored an 1890s building to open Axelrad and took a National Register industrial basilica on at The Factory. This is a team that chooses the harder build on purpose.</t>
        </is>
      </c>
      <c r="O251" s="6" t="inlineStr">
        <is>
          <t>https://www.linkedin.com/in/jeffrey-kaplan-71190150/</t>
        </is>
      </c>
      <c r="P251" s="6" t="inlineStr"/>
      <c r="Q251" s="11">
        <f>IF(O251="","ADD LINKEDIN","ok")</f>
        <v/>
      </c>
      <c r="R251" s="6" t="inlineStr">
        <is>
          <t>https://www.conceptneighborhood.com/</t>
        </is>
      </c>
      <c r="S251" s="9" t="inlineStr">
        <is>
          <t>Its founders operate hospitality themselves rather than leasing to operators. Seventeen acres of industrial conversion in the East End.</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Monte Large</t>
        </is>
      </c>
      <c r="B252" s="12" t="inlineStr">
        <is>
          <t>Concept Neighborhood</t>
        </is>
      </c>
      <c r="C252" s="12" t="inlineStr">
        <is>
          <t>Partner, Design and Placemaking</t>
        </is>
      </c>
      <c r="D252" s="13" t="inlineStr">
        <is>
          <t>Custom and hybrid job</t>
        </is>
      </c>
      <c r="E252" s="14" t="n">
        <v>1</v>
      </c>
      <c r="F252" s="12" t="inlineStr">
        <is>
          <t>Buys walls</t>
        </is>
      </c>
      <c r="G252" s="12" t="inlineStr">
        <is>
          <t>East End, Harris</t>
        </is>
      </c>
      <c r="H252" s="12" t="inlineStr">
        <is>
          <t>17 acres at The Plant, Second Ward</t>
        </is>
      </c>
      <c r="I252" s="14" t="inlineStr">
        <is>
          <t>No</t>
        </is>
      </c>
      <c r="J252" s="15" t="inlineStr">
        <is>
          <t>Four blocks of eighty-year-old industrial buildings, each one different. There is no plan to repeat.</t>
        </is>
      </c>
      <c r="K252" s="14" t="inlineStr">
        <is>
          <t>No</t>
        </is>
      </c>
      <c r="L252" s="15" t="inlineStr">
        <is>
          <t>Conversion work leaves little new wall. A printed element would have to be an addition rather than the building.</t>
        </is>
      </c>
      <c r="M252" s="14" t="inlineStr">
        <is>
          <t>Partly</t>
        </is>
      </c>
      <c r="N252" s="15" t="inlineStr">
        <is>
          <t>They restored an 1890s building to open Axelrad and took a National Register industrial basilica on at The Factory. This is a team that chooses the harder build on purpose.</t>
        </is>
      </c>
      <c r="O252" s="6" t="inlineStr">
        <is>
          <t>https://www.linkedin.com/in/montelarge/</t>
        </is>
      </c>
      <c r="P252" s="12" t="inlineStr"/>
      <c r="Q252" s="16">
        <f>IF(O252="","ADD LINKEDIN","ok")</f>
        <v/>
      </c>
      <c r="R252" s="12" t="inlineStr">
        <is>
          <t>https://www.conceptneighborhood.com/</t>
        </is>
      </c>
      <c r="S252" s="15" t="inlineStr">
        <is>
          <t>Its founders operate hospitality themselves rather than leasing to operators. Seventeen acres of industrial conversion in the East End.</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Jeremy Roberts</t>
        </is>
      </c>
      <c r="B253" s="6" t="inlineStr">
        <is>
          <t>Concept Neighborhood</t>
        </is>
      </c>
      <c r="C253" s="6" t="inlineStr">
        <is>
          <t>Managing Partner, Projects and Legal</t>
        </is>
      </c>
      <c r="D253" s="7" t="inlineStr">
        <is>
          <t>Custom and hybrid job</t>
        </is>
      </c>
      <c r="E253" s="8" t="n">
        <v>1</v>
      </c>
      <c r="F253" s="6" t="inlineStr">
        <is>
          <t>Buys walls</t>
        </is>
      </c>
      <c r="G253" s="6" t="inlineStr">
        <is>
          <t>East End, Harris</t>
        </is>
      </c>
      <c r="H253" s="6" t="inlineStr">
        <is>
          <t>17 acres at The Plant, Second Ward</t>
        </is>
      </c>
      <c r="I253" s="8" t="inlineStr">
        <is>
          <t>No</t>
        </is>
      </c>
      <c r="J253" s="9" t="inlineStr">
        <is>
          <t>Four blocks of eighty-year-old industrial buildings, each one different. There is no plan to repeat.</t>
        </is>
      </c>
      <c r="K253" s="8" t="inlineStr">
        <is>
          <t>No</t>
        </is>
      </c>
      <c r="L253" s="9" t="inlineStr">
        <is>
          <t>Conversion work leaves little new wall. A printed element would have to be an addition rather than the building.</t>
        </is>
      </c>
      <c r="M253" s="8" t="inlineStr">
        <is>
          <t>Partly</t>
        </is>
      </c>
      <c r="N253" s="9" t="inlineStr">
        <is>
          <t>They restored an 1890s building to open Axelrad and took a National Register industrial basilica on at The Factory. This is a team that chooses the harder build on purpose.</t>
        </is>
      </c>
      <c r="O253" s="6" t="inlineStr">
        <is>
          <t>https://www.linkedin.com/in/jeremyaaronroberts/</t>
        </is>
      </c>
      <c r="P253" s="6" t="inlineStr"/>
      <c r="Q253" s="11">
        <f>IF(O253="","ADD LINKEDIN","ok")</f>
        <v/>
      </c>
      <c r="R253" s="6" t="inlineStr">
        <is>
          <t>https://www.conceptneighborhood.com/</t>
        </is>
      </c>
      <c r="S253" s="9" t="inlineStr">
        <is>
          <t>Its founders operate hospitality themselves rather than leasing to operators. Seventeen acres of industrial conversion in the East End.</t>
        </is>
      </c>
      <c r="T253" s="6" t="inlineStr"/>
      <c r="U253" s="9" t="inlineStr"/>
      <c r="V253" s="6" t="inlineStr">
        <is>
          <t>https://www.conceptneighborhood.com/team</t>
        </is>
      </c>
      <c r="W253" s="6" t="inlineStr"/>
      <c r="X253" s="6" t="inlineStr"/>
      <c r="Y253" s="6" t="inlineStr"/>
      <c r="Z253" s="6" t="inlineStr">
        <is>
          <t>(713) 821-7052</t>
        </is>
      </c>
      <c r="AA253" s="6" t="inlineStr"/>
      <c r="AB253" s="6" t="inlineStr">
        <is>
          <t>https://www.conceptneighborhood.com/</t>
        </is>
      </c>
      <c r="AC253" s="6" t="inlineStr"/>
      <c r="AD253" s="6" t="inlineStr"/>
    </row>
    <row r="254">
      <c r="A254" s="12" t="inlineStr">
        <is>
          <t>Jon Deal</t>
        </is>
      </c>
      <c r="B254" s="12" t="inlineStr">
        <is>
          <t>The Deal Company (Sawyer Yards)</t>
        </is>
      </c>
      <c r="C254" s="12" t="inlineStr">
        <is>
          <t>Founder and Chief Executive Officer</t>
        </is>
      </c>
      <c r="D254" s="13" t="inlineStr">
        <is>
          <t>Custom and hybrid job</t>
        </is>
      </c>
      <c r="E254" s="14" t="n">
        <v>1</v>
      </c>
      <c r="F254" s="12" t="inlineStr">
        <is>
          <t>Buys walls</t>
        </is>
      </c>
      <c r="G254" s="12" t="inlineStr">
        <is>
          <t>Washington Corridor, Harris County</t>
        </is>
      </c>
      <c r="H254" s="12" t="inlineStr">
        <is>
          <t>55 acres, 27 buildings, 2M+ sf</t>
        </is>
      </c>
      <c r="I254" s="14" t="inlineStr">
        <is>
          <t>Partly</t>
        </is>
      </c>
      <c r="J254" s="15" t="inlineStr">
        <is>
          <t>27 buildings across 55 acres since 2005.</t>
        </is>
      </c>
      <c r="K254" s="14" t="inlineStr">
        <is>
          <t>No</t>
        </is>
      </c>
      <c r="L254" s="15" t="inlineStr">
        <is>
          <t>Converting industrial buildings leaves almost no new wall to print.</t>
        </is>
      </c>
      <c r="M254" s="14" t="inlineStr">
        <is>
          <t>No</t>
        </is>
      </c>
      <c r="N254" s="15" t="inlineStr">
        <is>
          <t>No method on record. Every project is a conversion of an industrial building.</t>
        </is>
      </c>
      <c r="O254" s="10" t="inlineStr"/>
      <c r="P254" s="12">
        <f>HYPERLINK("https://www.linkedin.com/search/results/people/?keywords=Jon%20Deal%20The%20Deal%20Company","search")</f>
        <v/>
      </c>
      <c r="Q254" s="16">
        <f>IF(O254="","ADD LINKEDIN","ok")</f>
        <v/>
      </c>
      <c r="R254" s="12" t="inlineStr">
        <is>
          <t>https://www.dealco.net/</t>
        </is>
      </c>
      <c r="S254" s="15" t="inlineStr">
        <is>
          <t>Every project a conversion of an industrial building.</t>
        </is>
      </c>
      <c r="T254" s="12" t="inlineStr"/>
      <c r="U254" s="15" t="inlineStr">
        <is>
          <t>Founder and Chief Executive Officer, and co-developer of Sawyer Yards.</t>
        </is>
      </c>
      <c r="V254" s="12" t="inlineStr">
        <is>
          <t>https://www.dealco.net/about/</t>
        </is>
      </c>
      <c r="W254" s="12" t="inlineStr"/>
      <c r="X254" s="12" t="inlineStr">
        <is>
          <t>https://www.dealco.net/about/</t>
        </is>
      </c>
      <c r="Y254" s="12" t="inlineStr"/>
      <c r="Z254" s="12" t="inlineStr">
        <is>
          <t>(713) 993-9823</t>
        </is>
      </c>
      <c r="AA254" s="12" t="inlineStr">
        <is>
          <t>office</t>
        </is>
      </c>
      <c r="AB254" s="12" t="inlineStr">
        <is>
          <t>https://www.dealco.net/</t>
        </is>
      </c>
      <c r="AC254" s="12" t="inlineStr"/>
      <c r="AD254" s="12" t="inlineStr"/>
    </row>
    <row r="255">
      <c r="A255" s="6" t="inlineStr">
        <is>
          <t>Randolph Wile</t>
        </is>
      </c>
      <c r="B255" s="6" t="inlineStr">
        <is>
          <t>Wile Interests</t>
        </is>
      </c>
      <c r="C255" s="6" t="inlineStr">
        <is>
          <t>Founder and President</t>
        </is>
      </c>
      <c r="D255" s="7" t="inlineStr">
        <is>
          <t>Custom and hybrid job</t>
        </is>
      </c>
      <c r="E255" s="8" t="n">
        <v>1</v>
      </c>
      <c r="F255" s="6" t="inlineStr">
        <is>
          <t>Buys walls</t>
        </is>
      </c>
      <c r="G255" s="6" t="inlineStr">
        <is>
          <t>Houston and Katy</t>
        </is>
      </c>
      <c r="H255" s="6" t="inlineStr">
        <is>
          <t>Ground-up in Katy, adaptive reuse in EaDo</t>
        </is>
      </c>
      <c r="I255" s="8" t="inlineStr">
        <is>
          <t>Partly</t>
        </is>
      </c>
      <c r="J255" s="9" t="inlineStr">
        <is>
          <t>Two quite different programmes in two submarkets. No repeated unit.</t>
        </is>
      </c>
      <c r="K255" s="8" t="inlineStr">
        <is>
          <t>No</t>
        </is>
      </c>
      <c r="L255" s="9" t="inlineStr">
        <is>
          <t>Medical office and retail shells rather than houses.</t>
        </is>
      </c>
      <c r="M255" s="8" t="inlineStr">
        <is>
          <t>No</t>
        </is>
      </c>
      <c r="N255" s="9" t="inlineStr">
        <is>
          <t>Its president is the one quoted explaining why the firm kept the old warehouses instead of clearing the site.</t>
        </is>
      </c>
      <c r="O255" s="6" t="inlineStr">
        <is>
          <t>https://www.linkedin.com/in/randolph-wile/</t>
        </is>
      </c>
      <c r="P255" s="6" t="inlineStr"/>
      <c r="Q255" s="11">
        <f>IF(O255="","ADD LINKEDIN","ok")</f>
        <v/>
      </c>
      <c r="R255" s="6" t="inlineStr">
        <is>
          <t>https://www.wileinterests.com/</t>
        </is>
      </c>
      <c r="S255" s="9" t="inlineStr">
        <is>
          <t>Ground-up medical and retail in Katy, conversion in EaDo.</t>
        </is>
      </c>
      <c r="T255" s="6" t="inlineStr"/>
      <c r="U255" s="9" t="inlineStr">
        <is>
          <t>Indexed title reads Randolph Wile, Wile Interests, Inc. The Real Deal, November 2023, quotes Wile Interests president Randolph Wile.</t>
        </is>
      </c>
      <c r="V255" s="6" t="inlineStr">
        <is>
          <t>https://therealdeal.com/texas/houston/2023/11/13/pagewood-wile-to-convert-eado-houston-warehouses/</t>
        </is>
      </c>
      <c r="W255" s="6" t="inlineStr"/>
      <c r="X255" s="6" t="inlineStr"/>
      <c r="Y255" s="6" t="inlineStr"/>
      <c r="Z255" s="6" t="inlineStr"/>
      <c r="AA255" s="6" t="inlineStr"/>
      <c r="AB255" s="6" t="inlineStr"/>
      <c r="AC255" s="6" t="inlineStr"/>
      <c r="AD255" s="6" t="inlineStr"/>
    </row>
    <row r="256">
      <c r="A256" s="12" t="inlineStr">
        <is>
          <t>Dougal A. Cameron</t>
        </is>
      </c>
      <c r="B256" s="12" t="inlineStr">
        <is>
          <t>Cameron Management</t>
        </is>
      </c>
      <c r="C256" s="12" t="inlineStr">
        <is>
          <t>President and Owner</t>
        </is>
      </c>
      <c r="D256" s="13" t="inlineStr">
        <is>
          <t>Custom and hybrid job</t>
        </is>
      </c>
      <c r="E256" s="14" t="n">
        <v>0</v>
      </c>
      <c r="F256" s="12" t="inlineStr">
        <is>
          <t>Buys walls</t>
        </is>
      </c>
      <c r="G256" s="12" t="inlineStr">
        <is>
          <t>Downtown Houston, Harris County</t>
        </is>
      </c>
      <c r="H256" s="12" t="inlineStr">
        <is>
          <t>$50M conversion, up to 100 units</t>
        </is>
      </c>
      <c r="I256" s="14" t="inlineStr">
        <is>
          <t>No</t>
        </is>
      </c>
      <c r="J256" s="15" t="inlineStr">
        <is>
          <t>Two towers, one conversion each. Nothing repeats.</t>
        </is>
      </c>
      <c r="K256" s="14" t="inlineStr">
        <is>
          <t>No</t>
        </is>
      </c>
      <c r="L256" s="15" t="inlineStr">
        <is>
          <t>Converting two 1927 and 1941 office towers to residential. No new exterior wall.</t>
        </is>
      </c>
      <c r="M256" s="14" t="inlineStr">
        <is>
          <t>No</t>
        </is>
      </c>
      <c r="N256" s="15" t="inlineStr">
        <is>
          <t>No method on record. The planned $50 million conversion of two towers from 1927 and 1941 is not shown surviving the 2024 sale.</t>
        </is>
      </c>
      <c r="O256" s="10" t="inlineStr"/>
      <c r="P256" s="12">
        <f>HYPERLINK("https://www.linkedin.com/search/results/people/?keywords=Dougal%20A.%20Cameron%20Cameron%20Management","search")</f>
        <v/>
      </c>
      <c r="Q256" s="16">
        <f>IF(O256="","ADD LINKEDIN","ok")</f>
        <v/>
      </c>
      <c r="R256" s="12" t="inlineStr">
        <is>
          <t>https://cameronmanagement.com/</t>
        </is>
      </c>
      <c r="S256" s="15" t="inlineStr">
        <is>
          <t>Interior conversion of a 1927 tower. Almost no new exterior wall.</t>
        </is>
      </c>
      <c r="T256" s="12" t="inlineStr"/>
      <c r="U256" s="15" t="inlineStr">
        <is>
          <t>President. Founded the firm in 1995 after asset and project management at Hines.</t>
        </is>
      </c>
      <c r="V256" s="12" t="inlineStr">
        <is>
          <t>https://cameronmanagement.com/team_member/dougal-a-cameron</t>
        </is>
      </c>
      <c r="W256" s="12" t="inlineStr">
        <is>
          <t>https://www.linkedin.com/company/cameron-management</t>
        </is>
      </c>
      <c r="X256" s="12" t="inlineStr">
        <is>
          <t>https://cameronmanagement.com/about</t>
        </is>
      </c>
      <c r="Y256" s="12" t="inlineStr"/>
      <c r="Z256" s="12" t="inlineStr">
        <is>
          <t>(713) 224-1663</t>
        </is>
      </c>
      <c r="AA256" s="12" t="inlineStr"/>
      <c r="AB256" s="12" t="inlineStr">
        <is>
          <t>https://cameronmanagement.com/contact</t>
        </is>
      </c>
      <c r="AC256" s="12" t="inlineStr"/>
      <c r="AD256" s="12" t="inlineStr"/>
    </row>
    <row r="257">
      <c r="A257" s="6" t="inlineStr">
        <is>
          <t>William T. Dom</t>
        </is>
      </c>
      <c r="B257" s="6" t="inlineStr">
        <is>
          <t>Cameron Management</t>
        </is>
      </c>
      <c r="C257" s="6" t="inlineStr">
        <is>
          <t>Chief Operating Officer</t>
        </is>
      </c>
      <c r="D257" s="7" t="inlineStr">
        <is>
          <t>Custom and hybrid job</t>
        </is>
      </c>
      <c r="E257" s="8" t="n">
        <v>0</v>
      </c>
      <c r="F257" s="6" t="inlineStr">
        <is>
          <t>Buys walls</t>
        </is>
      </c>
      <c r="G257" s="6" t="inlineStr">
        <is>
          <t>Downtown Houston, Harris County</t>
        </is>
      </c>
      <c r="H257" s="6" t="inlineStr">
        <is>
          <t>$50M conversion, up to 100 units</t>
        </is>
      </c>
      <c r="I257" s="8" t="inlineStr">
        <is>
          <t>No</t>
        </is>
      </c>
      <c r="J257" s="9" t="inlineStr">
        <is>
          <t>Two towers, one conversion each. Nothing repeats.</t>
        </is>
      </c>
      <c r="K257" s="8" t="inlineStr">
        <is>
          <t>No</t>
        </is>
      </c>
      <c r="L257" s="9" t="inlineStr">
        <is>
          <t>Converting two 1927 and 1941 office towers to residential. No new exterior wall.</t>
        </is>
      </c>
      <c r="M257" s="8" t="inlineStr">
        <is>
          <t>No</t>
        </is>
      </c>
      <c r="N257" s="9" t="inlineStr">
        <is>
          <t>No method on record. The planned $50 million conversion of two towers from 1927 and 1941 is not shown surviving the 2024 sale.</t>
        </is>
      </c>
      <c r="O257" s="10" t="inlineStr"/>
      <c r="P257" s="6">
        <f>HYPERLINK("https://www.linkedin.com/search/results/people/?keywords=William%20T.%20Dom%20Cameron%20Management","search")</f>
        <v/>
      </c>
      <c r="Q257" s="11">
        <f>IF(O257="","ADD LINKEDIN","ok")</f>
        <v/>
      </c>
      <c r="R257" s="6" t="inlineStr">
        <is>
          <t>https://cameronmanagement.com/</t>
        </is>
      </c>
      <c r="S257" s="9" t="inlineStr">
        <is>
          <t>Interior conversion of a 1927 tower. Almost no new exterior wall.</t>
        </is>
      </c>
      <c r="T257" s="6" t="inlineStr"/>
      <c r="U257" s="9" t="inlineStr">
        <is>
          <t>Chief Operating Officer and partner since 2000, formerly an asset manager at Hines.</t>
        </is>
      </c>
      <c r="V257" s="6" t="inlineStr">
        <is>
          <t>https://cameronmanagement.com/team_member/william-t-ted-dom</t>
        </is>
      </c>
      <c r="W257" s="6" t="inlineStr">
        <is>
          <t>https://www.linkedin.com/company/cameron-management</t>
        </is>
      </c>
      <c r="X257" s="6" t="inlineStr">
        <is>
          <t>https://cameronmanagement.com/about</t>
        </is>
      </c>
      <c r="Y257" s="6" t="inlineStr"/>
      <c r="Z257" s="6" t="inlineStr">
        <is>
          <t>(713) 224-1663</t>
        </is>
      </c>
      <c r="AA257" s="6" t="inlineStr"/>
      <c r="AB257" s="6" t="inlineStr">
        <is>
          <t>https://cameronmanagement.com/contact</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and 668 standing homes at one time, on a national plan library.</t>
        </is>
      </c>
      <c r="K258" s="14" t="inlineStr">
        <is>
          <t>No</t>
        </is>
      </c>
      <c r="L258" s="15" t="inlineStr">
        <is>
          <t>4,925 Houston closings in 2025, and 84,863 company-wide, are far above the band one or two printers cover, so the first order is a pilot inside one division rather than a purchase.</t>
        </is>
      </c>
      <c r="M258" s="14" t="inlineStr">
        <is>
          <t>Yes</t>
        </is>
      </c>
      <c r="N258" s="15" t="inlineStr">
        <is>
          <t>Strategic investment in Apis Cor, March 2024, amount undisclosed. Apis Cor makes construction 3D printers.</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has already bought equity in a maker of construction 3D printers, and it pulled more Houston permits in August 2026 than any other builder.</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and 668 standing homes at one time, on a national plan library.</t>
        </is>
      </c>
      <c r="K259" s="8" t="inlineStr">
        <is>
          <t>No</t>
        </is>
      </c>
      <c r="L259" s="9" t="inlineStr">
        <is>
          <t>4,925 Houston closings in 2025, and 84,863 company-wide, are far above the band one or two printers cover, so the first order is a pilot inside one division rather than a purchase.</t>
        </is>
      </c>
      <c r="M259" s="8" t="inlineStr">
        <is>
          <t>Yes</t>
        </is>
      </c>
      <c r="N259" s="9" t="inlineStr">
        <is>
          <t>Strategic investment in Apis Cor, March 2024, amount undisclosed. Apis Cor makes construction 3D printers.</t>
        </is>
      </c>
      <c r="O259" s="10" t="inlineStr"/>
      <c r="P259" s="6">
        <f>HYPERLINK("https://www.linkedin.com/search/results/people/?keywords=Michael%20J.%20Murray%20D.R.%20Horton%2C%20Inc.","search")</f>
        <v/>
      </c>
      <c r="Q259" s="11">
        <f>IF(O259="","ADD LINKEDIN","ok")</f>
        <v/>
      </c>
      <c r="R259" s="6" t="inlineStr">
        <is>
          <t>https://www.drhorton.com/texas/houston</t>
        </is>
      </c>
      <c r="S259" s="9" t="inlineStr">
        <is>
          <t>It has already bought equity in a maker of construction 3D printers, and it pulled more Houston permits in August 2026 than any other builder.</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and 668 standing homes at one time, on a national plan library.</t>
        </is>
      </c>
      <c r="K260" s="14" t="inlineStr">
        <is>
          <t>No</t>
        </is>
      </c>
      <c r="L260" s="15" t="inlineStr">
        <is>
          <t>4,925 Houston closings in 2025, and 84,863 company-wide, are far above the band one or two printers cover, so the first order is a pilot inside one division rather than a purchase.</t>
        </is>
      </c>
      <c r="M260" s="14" t="inlineStr">
        <is>
          <t>Yes</t>
        </is>
      </c>
      <c r="N260" s="15" t="inlineStr">
        <is>
          <t>Strategic investment in Apis Cor, March 2024, amount undisclosed. Apis Cor makes construction 3D printers.</t>
        </is>
      </c>
      <c r="O260" s="10" t="inlineStr"/>
      <c r="P260" s="12">
        <f>HYPERLINK("https://www.linkedin.com/search/results/people/?keywords=Brad%20Conlon%20D.R.%20Horton%2C%20Inc.","search")</f>
        <v/>
      </c>
      <c r="Q260" s="16">
        <f>IF(O260="","ADD LINKEDIN","ok")</f>
        <v/>
      </c>
      <c r="R260" s="12" t="inlineStr">
        <is>
          <t>https://www.drhorton.com/texas/houston</t>
        </is>
      </c>
      <c r="S260" s="15" t="inlineStr">
        <is>
          <t>It has already bought equity in a maker of construction 3D printers, and it pulled more Houston permits in August 2026 than any other builder.</t>
        </is>
      </c>
      <c r="T260" s="12" t="inlineStr">
        <is>
          <t>YES</t>
        </is>
      </c>
      <c r="U260" s="15" t="inlineStr">
        <is>
          <t>The seat that spoke for the company on the Apis Cor investment. He is not one of the four executive officers, so this sits below the officer tier.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Pulte, Centex and Del Webb communities across Greater Houston, from Conroe to Fulshear and Sugar Land.</t>
        </is>
      </c>
      <c r="K261" s="8" t="inlineStr">
        <is>
          <t>No</t>
        </is>
      </c>
      <c r="L261" s="9" t="inlineStr">
        <is>
          <t>1,146 Houston closings in 2025 sits inside the 400 to 1,500 band, but certain materials are negotiated nationally or regionally, so a method change is a corporate pilot.</t>
        </is>
      </c>
      <c r="M261" s="8" t="inlineStr">
        <is>
          <t>Yes</t>
        </is>
      </c>
      <c r="N261" s="9" t="inlineStr">
        <is>
          <t>Owned an off-site framing producer from 2020 until 2026, and piloted FBR's Hadrian X robotic wall system in Florida in February 2025.</t>
        </is>
      </c>
      <c r="O261" s="10" t="inlineStr"/>
      <c r="P261" s="6" t="inlineStr"/>
      <c r="Q261" s="11">
        <f>IF(O261="","ADD LINKEDIN","ok")</f>
        <v/>
      </c>
      <c r="R261" s="6" t="inlineStr">
        <is>
          <t>https://www.pulte.com/homes/texas/houston</t>
        </is>
      </c>
      <c r="S261" s="9" t="inlineStr">
        <is>
          <t>Its chief executive said in July 2026 that it wants to use new building methods and not operate them, and it sold its off-site framing plant the same year.</t>
        </is>
      </c>
      <c r="T261" s="6" t="inlineStr">
        <is>
          <t>YES</t>
        </is>
      </c>
      <c r="U261" s="9" t="inlineStr">
        <is>
          <t>Titled Houston Division President in the Ryehill release of 3 July 2024, and President of the Houston Division in the Fulshear release of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Houston is the firm's home market and it builds across the metro.</t>
        </is>
      </c>
      <c r="K262" s="14" t="inlineStr">
        <is>
          <t>No</t>
        </is>
      </c>
      <c r="L262" s="15" t="inlineStr">
        <is>
          <t>A national builder with a national supply chain.</t>
        </is>
      </c>
      <c r="M262" s="14" t="inlineStr">
        <is>
          <t>Partly</t>
        </is>
      </c>
      <c r="N262" s="15" t="inlineStr">
        <is>
          <t>Its 2026 preferred-partner list names cladding, roofing, weather barrier, structural connectors and engineered framing. That is the envelope, and it is a supply-chain commitment rather than a method.</t>
        </is>
      </c>
      <c r="O262" s="6" t="inlineStr">
        <is>
          <t>https://www.linkedin.com/in/jay-brown-14305a12/</t>
        </is>
      </c>
      <c r="P262" s="12" t="inlineStr"/>
      <c r="Q262" s="16">
        <f>IF(O262="","ADD LINKEDIN","ok")</f>
        <v/>
      </c>
      <c r="R262" s="12" t="inlineStr">
        <is>
          <t>https://www.davidweekleyhomes.com/</t>
        </is>
      </c>
      <c r="S262" s="15" t="inlineStr">
        <is>
          <t>John Schiegg, Vice President of Purchasing and Supply Chain Services, is quoted on its 2026 preferred-partner list.</t>
        </is>
      </c>
      <c r="T262" s="12" t="inlineStr"/>
      <c r="U262" s="15" t="inlineStr">
        <is>
          <t>Chief Executive Officer at David Weekley Homes. Houston, Texas.</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10" t="inlineStr"/>
      <c r="P263" s="6">
        <f>HYPERLINK("https://www.linkedin.com/search/results/people/?keywords=Chris%20Weekley%20David%20Weekley%20Homes","search")</f>
        <v/>
      </c>
      <c r="Q263" s="11">
        <f>IF(O263="","ADD LINKEDIN","ok")</f>
        <v/>
      </c>
      <c r="R263" s="6" t="inlineStr">
        <is>
          <t>https://www.davidweekleyhomes.com/</t>
        </is>
      </c>
      <c r="S263" s="9" t="inlineStr">
        <is>
          <t>John Schiegg, Vice President of Purchasing and Supply Chain Services, is quoted on its 2026 preferred-partner list.</t>
        </is>
      </c>
      <c r="T263" s="6" t="inlineStr"/>
      <c r="U263" s="9" t="inlineStr">
        <is>
          <t>President and Vice Chairman. The firm's own page credits him with innovation and developer relationships, which is the brief a printed wall would land in.</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John Schiegg, Vice President of Purchasing and Supply Chain Services, is quoted on its 2026 preferred-partner list.</t>
        </is>
      </c>
      <c r="T264" s="12" t="inlineStr"/>
      <c r="U264" s="15" t="inlineStr">
        <is>
          <t>Chairman, who 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6" t="inlineStr">
        <is>
          <t>https://www.linkedin.com/in/john-schiegg-7593996/</t>
        </is>
      </c>
      <c r="P265" s="6" t="inlineStr"/>
      <c r="Q265" s="11">
        <f>IF(O265="","ADD LINKEDIN","ok")</f>
        <v/>
      </c>
      <c r="R265" s="6" t="inlineStr">
        <is>
          <t>https://www.davidweekleyhomes.com/</t>
        </is>
      </c>
      <c r="S265" s="9" t="inlineStr">
        <is>
          <t>John Schiegg, Vice President of Purchasing and Supply Chain Services, is quoted on its 2026 preferred-partner list.</t>
        </is>
      </c>
      <c r="T265" s="6" t="inlineStr">
        <is>
          <t>YES</t>
        </is>
      </c>
      <c r="U265" s="9" t="inlineStr">
        <is>
          <t>Profile opened. Company line reads David Weekley Homes, Houston, Texas. He owns purchasing and supply chain for the largest privately held builder in the country.</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6" t="inlineStr">
        <is>
          <t>https://www.linkedin.com/in/ladd-fargo-241a47259/</t>
        </is>
      </c>
      <c r="P266" s="12" t="inlineStr"/>
      <c r="Q266" s="16">
        <f>IF(O266="","ADD LINKEDIN","ok")</f>
        <v/>
      </c>
      <c r="R266" s="12" t="inlineStr">
        <is>
          <t>https://www.davidweekleyhomes.com/</t>
        </is>
      </c>
      <c r="S266" s="15" t="inlineStr">
        <is>
          <t>John Schiegg, Vice President of Purchasing and Supply Chain Services, is quoted on its 2026 preferred-partner list.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Three Houston communities drawn from a plan library that runs across six states.</t>
        </is>
      </c>
      <c r="K267" s="8" t="inlineStr">
        <is>
          <t>No</t>
        </is>
      </c>
      <c r="L267" s="9" t="inlineStr">
        <is>
          <t>3,989 closings a year sits above the band one or two printers cover. The Houston division is three communities of it.</t>
        </is>
      </c>
      <c r="M267" s="8" t="inlineStr">
        <is>
          <t>No</t>
        </is>
      </c>
      <c r="N267" s="9" t="inlineStr">
        <is>
          <t>Nothing on record. Its about page names energy efficiency and structural excellence and no method.</t>
        </is>
      </c>
      <c r="O267" s="10" t="inlineStr"/>
      <c r="P267" s="6">
        <f>HYPERLINK("https://www.linkedin.com/search/results/people/?keywords=Saun%20Sullivan%20DSLD%20Homes","search")</f>
        <v/>
      </c>
      <c r="Q267" s="11">
        <f>IF(O267="","ADD LINKEDIN","ok")</f>
        <v/>
      </c>
      <c r="R267" s="6" t="inlineStr">
        <is>
          <t>https://www.dsldhomes.com/</t>
        </is>
      </c>
      <c r="S267" s="9" t="inlineStr">
        <is>
          <t>Three Houston communities opened by a builder active in more than 120, and a build-to-rent line inside it.</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The most standardised product here, headquartered in the metro. Its Q2 2026 call mentions method, labour and cycle time zero times.</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The most standardised product here, headquartered in the metro. Its Q2 2026 call mentions method, labour and cycle time zero times.</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The most standardised product here, headquartered in the metro. Its Q2 2026 call mentions method, labour and cycle time zero times.</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The most standardised product here, headquartered in the metro. Its Q2 2026 call mentions method, labour and cycle time zero times.</t>
        </is>
      </c>
      <c r="T271" s="6" t="inlineStr">
        <is>
          <t>YES</t>
        </is>
      </c>
      <c r="U271" s="9" t="inlineStr">
        <is>
          <t>VP of Construction, Houston, LGI Homes, stated in his own headline.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The most standardised product here, headquartered in the metro. Its Q2 2026 call mentions method, labour and cycle time zero times.</t>
        </is>
      </c>
      <c r="T272" s="12" t="inlineStr">
        <is>
          <t>YES</t>
        </is>
      </c>
      <c r="U272" s="15" t="inlineStr">
        <is>
          <t>Vice President of Purchasing at LGI Homes. Conroe, Texas, which is the head office. The construction vice presidents sit in the markets, Austin, San Antonio, Nashville, Denver, Seattle; purchasing is the one that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 however good the Houston division is.</t>
        </is>
      </c>
      <c r="M273" s="8" t="inlineStr">
        <is>
          <t>No</t>
        </is>
      </c>
      <c r="N273" s="9" t="inlineStr">
        <is>
          <t>The CEO cites shorter cycle time but not what enabled it.</t>
        </is>
      </c>
      <c r="O273" s="10" t="inlineStr"/>
      <c r="P273" s="6">
        <f>HYPERLINK("https://www.linkedin.com/search/results/people/?keywords=Bob%20Schottenstein%20M/I%20Homes%2C%20Inc.","search")</f>
        <v/>
      </c>
      <c r="Q273" s="11">
        <f>IF(O273="","ADD LINKEDIN","ok")</f>
        <v/>
      </c>
      <c r="R273" s="6" t="inlineStr">
        <is>
          <t>https://www.mihomes.com/</t>
        </is>
      </c>
      <c r="S273" s="9" t="inlineStr">
        <is>
          <t>1,000 homes at Trinity Landing and three Houston land deals in six months under a named division president.</t>
        </is>
      </c>
      <c r="T273" s="6" t="inlineStr"/>
      <c r="U273" s="9" t="inlineStr">
        <is>
          <t>Chairman, and Chief Executive Officer since January 2004, on M/I's own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 however good the Houston division is.</t>
        </is>
      </c>
      <c r="M274" s="14" t="inlineStr">
        <is>
          <t>No</t>
        </is>
      </c>
      <c r="N274" s="15" t="inlineStr">
        <is>
          <t>The CEO cites shorter cycle time but not what enabled it.</t>
        </is>
      </c>
      <c r="O274" s="10" t="inlineStr"/>
      <c r="P274" s="12">
        <f>HYPERLINK("https://www.linkedin.com/search/results/people/?keywords=Jay%20McManus%20M/I%20Homes%2C%20Inc.","search")</f>
        <v/>
      </c>
      <c r="Q274" s="16">
        <f>IF(O274="","ADD LINKEDIN","ok")</f>
        <v/>
      </c>
      <c r="R274" s="12" t="inlineStr">
        <is>
          <t>https://www.mihomes.com/</t>
        </is>
      </c>
      <c r="S274" s="15" t="inlineStr">
        <is>
          <t>1,000 homes at Trinity Landing and three Houston land deals in six months under a named division president.</t>
        </is>
      </c>
      <c r="T274" s="12" t="inlineStr"/>
      <c r="U274" s="15" t="inlineStr">
        <is>
          <t>Named Houston division president for M/I Homes in trade coverage of the division's expansion. M/I's own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 however good the Houston division is.</t>
        </is>
      </c>
      <c r="M275" s="8" t="inlineStr">
        <is>
          <t>No</t>
        </is>
      </c>
      <c r="N275" s="9" t="inlineStr">
        <is>
          <t>The CEO cites shorter cycle time but not what enabled it.</t>
        </is>
      </c>
      <c r="O275" s="6" t="inlineStr">
        <is>
          <t>https://www.linkedin.com/in/patrick-mayhan-5591478/</t>
        </is>
      </c>
      <c r="P275" s="6" t="inlineStr"/>
      <c r="Q275" s="11">
        <f>IF(O275="","ADD LINKEDIN","ok")</f>
        <v/>
      </c>
      <c r="R275" s="6" t="inlineStr">
        <is>
          <t>https://www.mihomes.com/</t>
        </is>
      </c>
      <c r="S275" s="9" t="inlineStr">
        <is>
          <t>1,000 homes at Trinity Landing and three Houston land deals in six months under a named division president.</t>
        </is>
      </c>
      <c r="T275" s="6" t="inlineStr">
        <is>
          <t>YES</t>
        </is>
      </c>
      <c r="U275" s="9" t="inlineStr">
        <is>
          <t>Vice President of Purchasing at M/I Homes, Inc. Houston, Texas. M/I lists two purchasing vice presidents in Houston; his title carries the corporate entity and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 however good the Houston division is.</t>
        </is>
      </c>
      <c r="M276" s="14" t="inlineStr">
        <is>
          <t>No</t>
        </is>
      </c>
      <c r="N276" s="15" t="inlineStr">
        <is>
          <t>The CEO cites shorter cycle time but not what enabled it.</t>
        </is>
      </c>
      <c r="O276" s="6" t="inlineStr">
        <is>
          <t>https://www.linkedin.com/in/rbarras/</t>
        </is>
      </c>
      <c r="P276" s="12" t="inlineStr"/>
      <c r="Q276" s="16">
        <f>IF(O276="","ADD LINKEDIN","ok")</f>
        <v/>
      </c>
      <c r="R276" s="12" t="inlineStr">
        <is>
          <t>https://www.mihomes.com/</t>
        </is>
      </c>
      <c r="S276" s="15" t="inlineStr">
        <is>
          <t>1,000 homes at Trinity Landing and three Houston land deals in six months under a named division president.</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A dedicated build-to-rent brand. The division president role dates to 2018 and is unconfirmed.</t>
        </is>
      </c>
      <c r="T277" s="6" t="inlineStr"/>
      <c r="U277" s="9" t="inlineStr">
        <is>
          <t>Build-to-Rent President, quoted on the launch of the Yardly brand.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ex-Houston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A national builder with a national build-to-rent brand.</t>
        </is>
      </c>
      <c r="M278" s="14" t="inlineStr">
        <is>
          <t>No</t>
        </is>
      </c>
      <c r="N278" s="15" t="inlineStr">
        <is>
          <t>Its Yardly retrospective cites input costs with no method detail.</t>
        </is>
      </c>
      <c r="O278" s="6" t="inlineStr">
        <is>
          <t>https://www.linkedin.com/in/amy-rino-5152b111/</t>
        </is>
      </c>
      <c r="P278" s="12" t="inlineStr"/>
      <c r="Q278" s="16">
        <f>IF(O278="","ADD LINKEDIN","ok")</f>
        <v/>
      </c>
      <c r="R278" s="12" t="inlineStr">
        <is>
          <t>https://www.taylormorrison.com/</t>
        </is>
      </c>
      <c r="S278" s="15" t="inlineStr">
        <is>
          <t>A dedicated build-to-rent brand. The division president role dates to 2018 and is unconfirmed.</t>
        </is>
      </c>
      <c r="T278" s="12" t="inlineStr"/>
      <c r="U278" s="15" t="inlineStr">
        <is>
          <t>Amy Rino is now Chief Customer Officer at Taylor Morrison in Scottsdale, not Houston division president. No current Houston division leader is identified.</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found.</t>
        </is>
      </c>
      <c r="O279" s="10" t="inlineStr"/>
      <c r="P279" s="6">
        <f>HYPERLINK("https://www.linkedin.com/search/results/people/?keywords=Ken%20Balogh%20Ashton%20Woods%20Homes","search")</f>
        <v/>
      </c>
      <c r="Q279" s="11">
        <f>IF(O279="","ADD LINKEDIN","ok")</f>
        <v/>
      </c>
      <c r="R279" s="6" t="inlineStr">
        <is>
          <t>https://www.ashtonwoods.com/</t>
        </is>
      </c>
      <c r="S279" s="9" t="inlineStr">
        <is>
          <t>14 named Houston communities and a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found.</t>
        </is>
      </c>
      <c r="O280" s="10" t="inlineStr"/>
      <c r="P280" s="12">
        <f>HYPERLINK("https://www.linkedin.com/search/results/people/?keywords=Lindsay%20Motley%20Ashton%20Woods%20Homes","search")</f>
        <v/>
      </c>
      <c r="Q280" s="16">
        <f>IF(O280="","ADD LINKEDIN","ok")</f>
        <v/>
      </c>
      <c r="R280" s="12" t="inlineStr">
        <is>
          <t>https://www.ashtonwoods.com/</t>
        </is>
      </c>
      <c r="S280" s="15" t="inlineStr">
        <is>
          <t>14 named Houston communities and a Texas regional president.</t>
        </is>
      </c>
      <c r="T280" s="12" t="inlineStr"/>
      <c r="U280" s="15" t="inlineStr">
        <is>
          <t>Regional President. The firm's own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found.</t>
        </is>
      </c>
      <c r="O281" s="10" t="inlineStr"/>
      <c r="P281" s="6">
        <f>HYPERLINK("https://www.linkedin.com/search/results/people/?keywords=Ryan%20Lewis%20Ashton%20Woods%20Homes","search")</f>
        <v/>
      </c>
      <c r="Q281" s="11">
        <f>IF(O281="","ADD LINKEDIN","ok")</f>
        <v/>
      </c>
      <c r="R281" s="6" t="inlineStr">
        <is>
          <t>https://www.ashtonwoods.com/</t>
        </is>
      </c>
      <c r="S281" s="9" t="inlineStr">
        <is>
          <t>14 named Houston communities and a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found.</t>
        </is>
      </c>
      <c r="O282" s="10" t="inlineStr"/>
      <c r="P282" s="12" t="inlineStr"/>
      <c r="Q282" s="16">
        <f>IF(O282="","ADD LINKEDIN","ok")</f>
        <v/>
      </c>
      <c r="R282" s="12" t="inlineStr">
        <is>
          <t>https://www.ashtonwoods.com/</t>
        </is>
      </c>
      <c r="S282" s="15" t="inlineStr">
        <is>
          <t>14 named Houston communities and a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10" t="inlineStr"/>
      <c r="P283" s="6" t="inlineStr"/>
      <c r="Q283" s="11">
        <f>IF(O283="","ADD LINKEDIN","ok")</f>
        <v/>
      </c>
      <c r="R283" s="6" t="inlineStr">
        <is>
          <t>https://www.ashtonwoods.com/</t>
        </is>
      </c>
      <c r="S283" s="9" t="inlineStr">
        <is>
          <t>14 named Houston communities and a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Nine markets across two states on one plan library.</t>
        </is>
      </c>
      <c r="K284" s="14" t="inlineStr">
        <is>
          <t>No</t>
        </is>
      </c>
      <c r="L284" s="15" t="inlineStr">
        <is>
          <t>1,809 Houston closings in 2025, across nine markets in two states. The volume is above the band one or two printers cover, and it is bought centrally.</t>
        </is>
      </c>
      <c r="M284" s="14" t="inlineStr">
        <is>
          <t>No</t>
        </is>
      </c>
      <c r="N284" s="15" t="inlineStr">
        <is>
          <t>Its own published definition of innovation is smart-home features and floor plans.</t>
        </is>
      </c>
      <c r="O284" s="10" t="inlineStr"/>
      <c r="P284" s="12">
        <f>HYPERLINK("https://www.linkedin.com/search/results/people/?keywords=Kathy%20Britton%20Perry%20Homes","search")</f>
        <v/>
      </c>
      <c r="Q284" s="16">
        <f>IF(O284="","ADD LINKEDIN","ok")</f>
        <v/>
      </c>
      <c r="R284" s="12" t="inlineStr">
        <is>
          <t>https://www.perryhomes.com/</t>
        </is>
      </c>
      <c r="S284" s="15" t="inlineStr">
        <is>
          <t>Family-owned since 1967 and headquartered in Houston. Its published innovation page covers smart-home features and floor plans.</t>
        </is>
      </c>
      <c r="T284" s="12" t="inlineStr"/>
      <c r="U284" s="15" t="inlineStr">
        <is>
          <t>Perry's own page: Owner and Executive Chair, having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Nine markets across two states on one plan library.</t>
        </is>
      </c>
      <c r="K285" s="8" t="inlineStr">
        <is>
          <t>No</t>
        </is>
      </c>
      <c r="L285" s="9" t="inlineStr">
        <is>
          <t>1,809 Houston closings in 2025, across nine markets in two states. The volume is above the band one or two printers cover, and it is bought centrally.</t>
        </is>
      </c>
      <c r="M285" s="8" t="inlineStr">
        <is>
          <t>No</t>
        </is>
      </c>
      <c r="N285" s="9" t="inlineStr">
        <is>
          <t>Its own published definition of innovation is smart-home features and floor plans.</t>
        </is>
      </c>
      <c r="O285" s="10" t="inlineStr"/>
      <c r="P285" s="6">
        <f>HYPERLINK("https://www.linkedin.com/search/results/people/?keywords=Todd%20Chachere%20Perry%20Homes","search")</f>
        <v/>
      </c>
      <c r="Q285" s="11">
        <f>IF(O285="","ADD LINKEDIN","ok")</f>
        <v/>
      </c>
      <c r="R285" s="6" t="inlineStr">
        <is>
          <t>https://www.perryhomes.com/</t>
        </is>
      </c>
      <c r="S285" s="9" t="inlineStr">
        <is>
          <t>Family-owned since 1967 and headquartered in Houston. Its published innovation page covers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Nothing on record. Its owner, Sumitomo Forestry, is a timber group and bought a sawmill in 2025.</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the platform Brightland sits in.</t>
        </is>
      </c>
      <c r="T286" s="12" t="inlineStr"/>
      <c r="U286" s="15" t="inlineStr">
        <is>
          <t>President and Chief Executive Officer of The DRB Group, which has owned Brightland since April 2025.</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bought by a parent that has put capital into wood.</t>
        </is>
      </c>
      <c r="M287" s="8" t="inlineStr">
        <is>
          <t>No</t>
        </is>
      </c>
      <c r="N287" s="9" t="inlineStr">
        <is>
          <t>Nothing on record. Its owner, Sumitomo Forestry, is a timber group and bought a sawmill in 2025.</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the platform Brightland sits in.</t>
        </is>
      </c>
      <c r="T287" s="6" t="inlineStr">
        <is>
          <t>YES</t>
        </is>
      </c>
      <c r="U28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paid to put up Greater Houston's first mass timber office, and it sells lots, so the builder buys the wall.</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10" t="inlineStr"/>
      <c r="P289" s="6">
        <f>HYPERLINK("https://www.linkedin.com/search/results/people/?keywords=Bill%20Ackman%20Howard%20Hughes%20Holdings%20Inc.","search")</f>
        <v/>
      </c>
      <c r="Q289" s="11">
        <f>IF(O289="","ADD LINKEDIN","ok")</f>
        <v/>
      </c>
      <c r="R289" s="6" t="inlineStr">
        <is>
          <t>https://www.howardhughes.com/</t>
        </is>
      </c>
      <c r="S289" s="9" t="inlineStr">
        <is>
          <t>It paid to put up Greater Houston's first mass timber office, and it sells lots, so the builder buys the wall.</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10" t="inlineStr"/>
      <c r="P290" s="12">
        <f>HYPERLINK("https://www.linkedin.com/search/results/people/?keywords=Ryan%20Israel%20Howard%20Hughes%20Holdings%20Inc.","search")</f>
        <v/>
      </c>
      <c r="Q290" s="16">
        <f>IF(O290="","ADD LINKEDIN","ok")</f>
        <v/>
      </c>
      <c r="R290" s="12" t="inlineStr">
        <is>
          <t>https://www.howardhughes.com/</t>
        </is>
      </c>
      <c r="S290" s="15" t="inlineStr">
        <is>
          <t>It paid to put up Greater Houston's first mass timber office, and it sells lots, so the builder buys the wall.</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Three communities on one metro's edge, 1,802 residential acres still to sell.</t>
        </is>
      </c>
      <c r="K291" s="8" t="inlineStr">
        <is>
          <t>No</t>
        </is>
      </c>
      <c r="L291" s="9" t="inlineStr">
        <is>
          <t>It sells finished lots. The builder who buys them buys the wall.</t>
        </is>
      </c>
      <c r="M291" s="8" t="inlineStr">
        <is>
          <t>Yes</t>
        </is>
      </c>
      <c r="N291" s="9" t="inlineStr">
        <is>
          <t>It financed and opened Greater Houston's first mass timber office building, with low-carbon concrete in the same structure.</t>
        </is>
      </c>
      <c r="O291" s="6" t="inlineStr">
        <is>
          <t>https://www.linkedin.com/in/carmanjim/</t>
        </is>
      </c>
      <c r="P291" s="6" t="inlineStr"/>
      <c r="Q291" s="11">
        <f>IF(O291="","ADD LINKEDIN","ok")</f>
        <v/>
      </c>
      <c r="R291" s="6" t="inlineStr">
        <is>
          <t>https://www.howardhughes.com/</t>
        </is>
      </c>
      <c r="S291" s="9" t="inlineStr">
        <is>
          <t>It paid to put up Greater Houston's first mass timber office, and it sells lots, so the builder buys the wall.</t>
        </is>
      </c>
      <c r="T291" s="6" t="inlineStr"/>
      <c r="U291" s="9" t="inlineStr">
        <is>
          <t>Profile opened. President, Texas Region at Howard Hughes Communities. Greater Houston. His own feed carries Bridgeland's number nine national ranking at 500 home sales by mid-2026 and the 83-acre Toro District with the Houston Texans headquarters.</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Fred Balda</t>
        </is>
      </c>
      <c r="B292" s="12" t="inlineStr">
        <is>
          <t>Hillwood Communities</t>
        </is>
      </c>
      <c r="C292" s="12" t="inlineStr">
        <is>
          <t>President</t>
        </is>
      </c>
      <c r="D292" s="13" t="inlineStr">
        <is>
          <t>Land owner, not the buyer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0" t="inlineStr"/>
      <c r="P292" s="12">
        <f>HYPERLINK("https://www.linkedin.com/search/results/people/?keywords=Fred%20Balda%20Hillwood%20Communities","search")</f>
        <v/>
      </c>
      <c r="Q292" s="16">
        <f>IF(O292="","ADD LINKEDIN","ok")</f>
        <v/>
      </c>
      <c r="R292" s="12" t="inlineStr">
        <is>
          <t>https://www.hillwoodcommunities.com/</t>
        </is>
      </c>
      <c r="S292" s="15" t="inlineStr">
        <is>
          <t>It is the land developer of Wolf Ranch, and it runs three Houston masterplans with a Houston general manager named.</t>
        </is>
      </c>
      <c r="T292" s="12" t="inlineStr"/>
      <c r="U292" s="15" t="inlineStr"/>
      <c r="V292" s="12" t="inlineStr">
        <is>
          <t>https://www.hillwoodcommunities.com/leadership/</t>
        </is>
      </c>
      <c r="W292" s="12" t="inlineStr"/>
      <c r="X292" s="12" t="inlineStr"/>
      <c r="Y292" s="12" t="inlineStr"/>
      <c r="Z292" s="12" t="inlineStr">
        <is>
          <t>(214) 449-0914</t>
        </is>
      </c>
      <c r="AA292" s="12" t="inlineStr">
        <is>
          <t>Dallas office</t>
        </is>
      </c>
      <c r="AB292" s="12" t="inlineStr">
        <is>
          <t>https://www.hillwoodcommunities.com/</t>
        </is>
      </c>
      <c r="AC292" s="12" t="inlineStr"/>
      <c r="AD292" s="12" t="inlineStr"/>
    </row>
    <row r="293">
      <c r="A293" s="6" t="inlineStr">
        <is>
          <t>Russell Bynum</t>
        </is>
      </c>
      <c r="B293" s="6" t="inlineStr">
        <is>
          <t>Hillwood Communities</t>
        </is>
      </c>
      <c r="C293" s="6" t="inlineStr">
        <is>
          <t>Senior Vice President, General Manager, Houston MSA</t>
        </is>
      </c>
      <c r="D293" s="7" t="inlineStr">
        <is>
          <t>Land owner, not the buyer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10" t="inlineStr"/>
      <c r="P293" s="6">
        <f>HYPERLINK("https://www.linkedin.com/search/results/people/?keywords=Russell%20Bynum%20Hillwood%20Communities","search")</f>
        <v/>
      </c>
      <c r="Q293" s="11">
        <f>IF(O293="","ADD LINKEDIN","ok")</f>
        <v/>
      </c>
      <c r="R293" s="6" t="inlineStr">
        <is>
          <t>https://www.hillwoodcommunities.com/</t>
        </is>
      </c>
      <c r="S293" s="9" t="inlineStr">
        <is>
          <t>It is the land developer of Wolf Ranch, and it runs three Houston masterplans with a Houston general manager named.</t>
        </is>
      </c>
      <c r="T293" s="6" t="inlineStr">
        <is>
          <t>YES</t>
        </is>
      </c>
      <c r="U293" s="9" t="inlineStr"/>
      <c r="V293" s="6" t="inlineStr">
        <is>
          <t>https://www.hillwoodcommunities.com/leadership/</t>
        </is>
      </c>
      <c r="W293" s="6" t="inlineStr"/>
      <c r="X293" s="6" t="inlineStr"/>
      <c r="Y293" s="6" t="inlineStr"/>
      <c r="Z293" s="6" t="inlineStr">
        <is>
          <t>(214) 449-0914</t>
        </is>
      </c>
      <c r="AA293" s="6" t="inlineStr">
        <is>
          <t>Dallas office</t>
        </is>
      </c>
      <c r="AB293" s="6" t="inlineStr">
        <is>
          <t>https://www.hillwoodcommunities.com/</t>
        </is>
      </c>
      <c r="AC293" s="6" t="inlineStr"/>
      <c r="AD293" s="6" t="inlineStr"/>
    </row>
    <row r="294">
      <c r="A294" s="12" t="inlineStr">
        <is>
          <t>Mark Meyer</t>
        </is>
      </c>
      <c r="B294" s="12" t="inlineStr">
        <is>
          <t>Hillwood Communities</t>
        </is>
      </c>
      <c r="C294" s="12" t="inlineStr">
        <is>
          <t>Senior Vice President, Planning and Innovation</t>
        </is>
      </c>
      <c r="D294" s="13" t="inlineStr">
        <is>
          <t>Land owner, not the buyer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0" t="inlineStr"/>
      <c r="P294" s="12">
        <f>HYPERLINK("https://www.linkedin.com/search/results/people/?keywords=Mark%20Meyer%20Hillwood%20Communities","search")</f>
        <v/>
      </c>
      <c r="Q294" s="16">
        <f>IF(O294="","ADD LINKEDIN","ok")</f>
        <v/>
      </c>
      <c r="R294" s="12" t="inlineStr">
        <is>
          <t>https://www.hillwoodcommunities.com/</t>
        </is>
      </c>
      <c r="S294" s="15" t="inlineStr">
        <is>
          <t>It is the land developer of Wolf Ranch, and it runs three Houston masterplans with a Houston general manager named.</t>
        </is>
      </c>
      <c r="T294" s="12" t="inlineStr"/>
      <c r="U294" s="15" t="inlineStr"/>
      <c r="V294" s="12" t="inlineStr">
        <is>
          <t>https://www.hillwoodcommunities.com/leadership/</t>
        </is>
      </c>
      <c r="W294" s="12" t="inlineStr"/>
      <c r="X294" s="12" t="inlineStr"/>
      <c r="Y294" s="12" t="inlineStr"/>
      <c r="Z294" s="12" t="inlineStr">
        <is>
          <t>(214) 449-0914</t>
        </is>
      </c>
      <c r="AA294" s="12" t="inlineStr">
        <is>
          <t>Dallas office</t>
        </is>
      </c>
      <c r="AB294" s="12" t="inlineStr">
        <is>
          <t>https://www.hillwoodcommunities.com/</t>
        </is>
      </c>
      <c r="AC294" s="12" t="inlineStr"/>
      <c r="AD294" s="12" t="inlineStr"/>
    </row>
    <row r="295">
      <c r="A295" s="6" t="inlineStr">
        <is>
          <t>Patrick Cowden</t>
        </is>
      </c>
      <c r="B295" s="6" t="inlineStr">
        <is>
          <t>Hillwood Communities</t>
        </is>
      </c>
      <c r="C295" s="6" t="inlineStr">
        <is>
          <t>Senior Vice President, Development</t>
        </is>
      </c>
      <c r="D295" s="7" t="inlineStr">
        <is>
          <t>Land owner, not the buyer</t>
        </is>
      </c>
      <c r="E295" s="8" t="n">
        <v>2</v>
      </c>
      <c r="F295" s="6" t="inlineStr">
        <is>
          <t>Sells lots</t>
        </is>
      </c>
      <c r="G295" s="6" t="inlineStr">
        <is>
          <t>Dallas HQ / Manvel, Pearland, League City</t>
        </is>
      </c>
      <c r="H295" s="6" t="inlineStr">
        <is>
          <t>Three Houston masterplans, 700 acres at Legacy alone</t>
        </is>
      </c>
      <c r="I295" s="8" t="inlineStr">
        <is>
          <t>Yes</t>
        </is>
      </c>
      <c r="J295" s="9" t="inlineStr">
        <is>
          <t>Three concurrent Houston masterplans, 700 acres at Legacy alone.</t>
        </is>
      </c>
      <c r="K295" s="8" t="inlineStr">
        <is>
          <t>No</t>
        </is>
      </c>
      <c r="L295" s="9" t="inlineStr">
        <is>
          <t>It develops lots and sells them to vertical builders. It does not pour walls.</t>
        </is>
      </c>
      <c r="M295" s="8" t="inlineStr">
        <is>
          <t>Partly</t>
        </is>
      </c>
      <c r="N295" s="9" t="inlineStr">
        <is>
          <t>A hundred printed homes were built inside one of its own communities. Hillwood developed the ground. Lennar bought the printing.</t>
        </is>
      </c>
      <c r="O295" s="10" t="inlineStr"/>
      <c r="P295" s="6">
        <f>HYPERLINK("https://www.linkedin.com/search/results/people/?keywords=Patrick%20Cowden%20Hillwood%20Communities","search")</f>
        <v/>
      </c>
      <c r="Q295" s="11">
        <f>IF(O295="","ADD LINKEDIN","ok")</f>
        <v/>
      </c>
      <c r="R295" s="6" t="inlineStr">
        <is>
          <t>https://www.hillwoodcommunities.com/</t>
        </is>
      </c>
      <c r="S295" s="9" t="inlineStr">
        <is>
          <t>It is the land developer of Wolf Ranch, and it runs three Houston masterplans with a Houston general manager named.</t>
        </is>
      </c>
      <c r="T295" s="6" t="inlineStr"/>
      <c r="U295" s="9" t="inlineStr"/>
      <c r="V295" s="6" t="inlineStr">
        <is>
          <t>https://www.hillwoodcommunities.com/leadership/</t>
        </is>
      </c>
      <c r="W295" s="6" t="inlineStr"/>
      <c r="X295" s="6" t="inlineStr"/>
      <c r="Y295" s="6" t="inlineStr"/>
      <c r="Z295" s="6" t="inlineStr">
        <is>
          <t>(214) 449-0914</t>
        </is>
      </c>
      <c r="AA295" s="6" t="inlineStr">
        <is>
          <t>Dallas office</t>
        </is>
      </c>
      <c r="AB295" s="6" t="inlineStr">
        <is>
          <t>https://www.hillwoodcommunities.com/</t>
        </is>
      </c>
      <c r="AC295" s="6" t="inlineStr"/>
      <c r="AD295" s="6" t="inlineStr"/>
    </row>
    <row r="296">
      <c r="A296" s="12" t="inlineStr">
        <is>
          <t>Danny Signorelli</t>
        </is>
      </c>
      <c r="B296" s="12" t="inlineStr">
        <is>
          <t>The Signorelli Company</t>
        </is>
      </c>
      <c r="C296" s="12" t="inlineStr">
        <is>
          <t>Founder and Chief Executive Officer</t>
        </is>
      </c>
      <c r="D296" s="13" t="inlineStr">
        <is>
          <t>Land owner, not the buyer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6" t="inlineStr">
        <is>
          <t>https://www.linkedin.com/in/danny-signorelli-6284461b/</t>
        </is>
      </c>
      <c r="P296" s="12" t="inlineStr"/>
      <c r="Q296" s="16">
        <f>IF(O296="","ADD LINKEDIN","ok")</f>
        <v/>
      </c>
      <c r="R296" s="12" t="inlineStr">
        <is>
          <t>https://www.signorellicompany.com/</t>
        </is>
      </c>
      <c r="S296" s="15" t="inlineStr">
        <is>
          <t>Sells lots, but owns First America Homes, which holds all three counts. One president runs both.</t>
        </is>
      </c>
      <c r="T296" s="12" t="inlineStr"/>
      <c r="U296" s="15" t="inlineStr">
        <is>
          <t>CEO, President, The Signorelli Company. Greater Houston.</t>
        </is>
      </c>
      <c r="V296" s="12" t="inlineStr"/>
      <c r="W296" s="12" t="inlineStr">
        <is>
          <t>https://www.linkedin.com/company/signorelli-company</t>
        </is>
      </c>
      <c r="X296" s="12" t="inlineStr">
        <is>
          <t>https://www.signorellicompany.com/our-leadership</t>
        </is>
      </c>
      <c r="Y296" s="12" t="inlineStr"/>
      <c r="Z296" s="12" t="inlineStr">
        <is>
          <t>(713) 452-1700</t>
        </is>
      </c>
      <c r="AA296" s="12" t="inlineStr"/>
      <c r="AB296" s="12" t="inlineStr">
        <is>
          <t>https://www.signorellicompany.com/</t>
        </is>
      </c>
      <c r="AC296" s="12" t="inlineStr"/>
      <c r="AD296" s="12" t="inlineStr"/>
    </row>
    <row r="297">
      <c r="A297" s="6" t="inlineStr">
        <is>
          <t>Jeff Dewese</t>
        </is>
      </c>
      <c r="B297" s="6" t="inlineStr">
        <is>
          <t>The Signorelli Company</t>
        </is>
      </c>
      <c r="C297" s="6" t="inlineStr">
        <is>
          <t>President, Land Division</t>
        </is>
      </c>
      <c r="D297" s="7" t="inlineStr">
        <is>
          <t>Land owner, not the buyer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10" t="inlineStr"/>
      <c r="P297" s="6">
        <f>HYPERLINK("https://www.linkedin.com/search/results/people/?keywords=Jeff%20Dewese%20The%20Signorelli%20Company","search")</f>
        <v/>
      </c>
      <c r="Q297" s="11">
        <f>IF(O297="","ADD LINKEDIN","ok")</f>
        <v/>
      </c>
      <c r="R297" s="6" t="inlineStr">
        <is>
          <t>https://www.signorellicompany.com/</t>
        </is>
      </c>
      <c r="S297" s="9" t="inlineStr">
        <is>
          <t>Sells lots, but owns First America Homes, which holds all three counts. One president runs both.</t>
        </is>
      </c>
      <c r="T297" s="6" t="inlineStr"/>
      <c r="U297" s="9" t="inlineStr">
        <is>
          <t>Signorelli's own bio page. President, Land Division, overseeing land acquisition, planning and construction management for Granger Pines, Cielo and Austin Point.</t>
        </is>
      </c>
      <c r="V297" s="6" t="inlineStr">
        <is>
          <t>https://www.signorellicompany.com/our-leadership/15/jeff-dewese</t>
        </is>
      </c>
      <c r="W297" s="6" t="inlineStr">
        <is>
          <t>https://www.linkedin.com/company/signorelli-company</t>
        </is>
      </c>
      <c r="X297" s="6" t="inlineStr">
        <is>
          <t>https://www.signorellicompany.com/our-leadership</t>
        </is>
      </c>
      <c r="Y297" s="6" t="inlineStr"/>
      <c r="Z297" s="6" t="inlineStr">
        <is>
          <t>(713) 452-1700</t>
        </is>
      </c>
      <c r="AA297" s="6" t="inlineStr"/>
      <c r="AB297" s="6" t="inlineStr">
        <is>
          <t>https://www.signorellicompany.com/</t>
        </is>
      </c>
      <c r="AC297" s="6" t="inlineStr"/>
      <c r="AD297" s="6" t="inlineStr"/>
    </row>
    <row r="298">
      <c r="A298" s="12" t="inlineStr">
        <is>
          <t>Harry Dinham</t>
        </is>
      </c>
      <c r="B298" s="12" t="inlineStr">
        <is>
          <t>The Signorelli Company</t>
        </is>
      </c>
      <c r="C298" s="12" t="inlineStr">
        <is>
          <t>Chief Financial Officer</t>
        </is>
      </c>
      <c r="D298" s="13" t="inlineStr">
        <is>
          <t>Land owner, not the buyer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0" t="inlineStr"/>
      <c r="P298" s="12">
        <f>HYPERLINK("https://www.linkedin.com/search/results/people/?keywords=Harry%20Dinham%20The%20Signorelli%20Company","search")</f>
        <v/>
      </c>
      <c r="Q298" s="16">
        <f>IF(O298="","ADD LINKEDIN","ok")</f>
        <v/>
      </c>
      <c r="R298" s="12" t="inlineStr">
        <is>
          <t>https://www.signorellicompany.com/</t>
        </is>
      </c>
      <c r="S298" s="15" t="inlineStr">
        <is>
          <t>Sells lots, but owns First America Homes, which holds all three counts. One president runs both.</t>
        </is>
      </c>
      <c r="T298" s="12" t="inlineStr"/>
      <c r="U298" s="15" t="inlineStr">
        <is>
          <t>Signorelli's own bio page. Chief Financial Officer on the executive leadership team.</t>
        </is>
      </c>
      <c r="V298" s="12" t="inlineStr">
        <is>
          <t>https://www.signorellicompany.com/our-leadership/30/harry-dinham</t>
        </is>
      </c>
      <c r="W298" s="12" t="inlineStr">
        <is>
          <t>https://www.linkedin.com/company/signorelli-company</t>
        </is>
      </c>
      <c r="X298" s="12" t="inlineStr">
        <is>
          <t>https://www.signorellicompany.com/our-leadership</t>
        </is>
      </c>
      <c r="Y298" s="12" t="inlineStr"/>
      <c r="Z298" s="12" t="inlineStr">
        <is>
          <t>(713) 452-1700</t>
        </is>
      </c>
      <c r="AA298" s="12" t="inlineStr"/>
      <c r="AB298" s="12" t="inlineStr">
        <is>
          <t>https://www.signorellicompany.com/</t>
        </is>
      </c>
      <c r="AC298" s="12" t="inlineStr"/>
      <c r="AD298" s="12" t="inlineStr"/>
    </row>
    <row r="299">
      <c r="A299" s="6" t="inlineStr">
        <is>
          <t>John Winniford</t>
        </is>
      </c>
      <c r="B299" s="6" t="inlineStr">
        <is>
          <t>The Signorelli Company</t>
        </is>
      </c>
      <c r="C299" s="6" t="inlineStr">
        <is>
          <t>President, Homebuilding, The Signorelli Company</t>
        </is>
      </c>
      <c r="D299" s="7" t="inlineStr">
        <is>
          <t>Land owner, not the buyer</t>
        </is>
      </c>
      <c r="E299" s="8" t="n">
        <v>2</v>
      </c>
      <c r="F299" s="6" t="inlineStr">
        <is>
          <t>Sells lots</t>
        </is>
      </c>
      <c r="G299" s="6" t="inlineStr">
        <is>
          <t>The Woodlands HQ / Fort Bend, Liberty</t>
        </is>
      </c>
      <c r="H299" s="6" t="inlineStr">
        <is>
          <t>23,000+ paper lots in pipeline</t>
        </is>
      </c>
      <c r="I299" s="8" t="inlineStr">
        <is>
          <t>Yes</t>
        </is>
      </c>
      <c r="J299" s="9" t="inlineStr">
        <is>
          <t>More than 16 masterplans and over 23,000 paper lots in pipeline.</t>
        </is>
      </c>
      <c r="K299" s="8" t="inlineStr">
        <is>
          <t>Partly</t>
        </is>
      </c>
      <c r="L299" s="9" t="inlineStr">
        <is>
          <t>It sells lots, but it owns First America Homes, and one president runs both.</t>
        </is>
      </c>
      <c r="M299" s="8" t="inlineStr">
        <is>
          <t>No</t>
        </is>
      </c>
      <c r="N299" s="9" t="inlineStr">
        <is>
          <t>Nothing on record about how anything inside its communities is built.</t>
        </is>
      </c>
      <c r="O299" s="10" t="inlineStr"/>
      <c r="P299" s="6">
        <f>HYPERLINK("https://www.linkedin.com/search/results/people/?keywords=John%20Winniford%20The%20Signorelli%20Company","search")</f>
        <v/>
      </c>
      <c r="Q299" s="11">
        <f>IF(O299="","ADD LINKEDIN","ok")</f>
        <v/>
      </c>
      <c r="R299" s="6" t="inlineStr">
        <is>
          <t>https://www.signorellicompany.com/</t>
        </is>
      </c>
      <c r="S299" s="9" t="inlineStr">
        <is>
          <t>Sells lots, but owns First America Homes, which holds all three counts. One president runs both.</t>
        </is>
      </c>
      <c r="T299" s="6" t="inlineStr"/>
      <c r="U299" s="9" t="inlineStr">
        <is>
          <t>President, Homebuilding. The same person who runs First America, which Signorelli owns, so a single approach reaches both the land position and the builder.</t>
        </is>
      </c>
      <c r="V299" s="6" t="inlineStr">
        <is>
          <t>https://www.signorellicompany.com/our-leadership/34/john-winniford</t>
        </is>
      </c>
      <c r="W299" s="6" t="inlineStr">
        <is>
          <t>https://www.linkedin.com/company/signorelli-company</t>
        </is>
      </c>
      <c r="X299" s="6" t="inlineStr">
        <is>
          <t>https://www.signorellicompany.com/our-leadership</t>
        </is>
      </c>
      <c r="Y299" s="6" t="inlineStr"/>
      <c r="Z299" s="6" t="inlineStr">
        <is>
          <t>(713) 452-1700</t>
        </is>
      </c>
      <c r="AA299" s="6" t="inlineStr"/>
      <c r="AB299" s="6" t="inlineStr">
        <is>
          <t>https://www.signorellicompany.com/</t>
        </is>
      </c>
      <c r="AC299" s="6" t="inlineStr"/>
      <c r="AD299" s="6" t="inlineStr"/>
    </row>
    <row r="300">
      <c r="A300" s="12" t="inlineStr">
        <is>
          <t>Fred Caldwell</t>
        </is>
      </c>
      <c r="B300" s="12" t="inlineStr">
        <is>
          <t>Caldwell Companies</t>
        </is>
      </c>
      <c r="C300" s="12" t="inlineStr">
        <is>
          <t>Chief Executive Officer, Caldwell Companies</t>
        </is>
      </c>
      <c r="D300" s="13" t="inlineStr">
        <is>
          <t>Land owner, not the buyer</t>
        </is>
      </c>
      <c r="E300" s="14" t="n">
        <v>2</v>
      </c>
      <c r="F300" s="12" t="inlineStr">
        <is>
          <t>Sells lots</t>
        </is>
      </c>
      <c r="G300" s="12" t="inlineStr">
        <is>
          <t>Cypress / Montgomery, Harris</t>
        </is>
      </c>
      <c r="H300" s="12" t="inlineStr">
        <is>
          <t>Towne Lake and The Highlands, more than 4,000 homes at The Highlands alone</t>
        </is>
      </c>
      <c r="I300" s="14" t="inlineStr">
        <is>
          <t>Yes</t>
        </is>
      </c>
      <c r="J300" s="15" t="inlineStr">
        <is>
          <t>The Highlands alone carries more than 4,000 planned homes across thirteen builders, and Towne Lake is a second community.</t>
        </is>
      </c>
      <c r="K300" s="14" t="inlineStr">
        <is>
          <t>Partly</t>
        </is>
      </c>
      <c r="L300" s="15" t="inlineStr">
        <is>
          <t>It sells lots, and through Caldwell Homes it also builds. The wall decision exists inside the group.</t>
        </is>
      </c>
      <c r="M300" s="14" t="inlineStr">
        <is>
          <t>No</t>
        </is>
      </c>
      <c r="N300" s="15" t="inlineStr">
        <is>
          <t>Caldwell Companies publishes no construction-method content. Caldwell Homes, its own division, is screened separately on this deck.</t>
        </is>
      </c>
      <c r="O300" s="10" t="inlineStr"/>
      <c r="P300" s="12">
        <f>HYPERLINK("https://www.linkedin.com/search/results/people/?keywords=Fred%20Caldwell%20Caldwell%20Companies","search")</f>
        <v/>
      </c>
      <c r="Q300" s="16">
        <f>IF(O300="","ADD LINKEDIN","ok")</f>
        <v/>
      </c>
      <c r="R300" s="12" t="inlineStr">
        <is>
          <t>https://caldwellcos.com/</t>
        </is>
      </c>
      <c r="S300" s="15" t="inlineStr">
        <is>
          <t>Sells lots. The Highlands alone carries more than 4,000 planned homes across thirteen builders.</t>
        </is>
      </c>
      <c r="T300" s="12" t="inlineStr"/>
      <c r="U300" s="15" t="inlineStr"/>
      <c r="V300" s="12" t="inlineStr">
        <is>
          <t>https://caldwellcos.com/our-team</t>
        </is>
      </c>
      <c r="W300" s="12" t="inlineStr">
        <is>
          <t>https://www.linkedin.com/company/caldwell-companies</t>
        </is>
      </c>
      <c r="X300" s="12" t="inlineStr">
        <is>
          <t>https://caldwellcos.com/our-team</t>
        </is>
      </c>
      <c r="Y300" s="12" t="inlineStr"/>
      <c r="Z300" s="12" t="inlineStr">
        <is>
          <t>(713) 690-0000</t>
        </is>
      </c>
      <c r="AA300" s="12" t="inlineStr">
        <is>
          <t>Houston and Cypress</t>
        </is>
      </c>
      <c r="AB300" s="12" t="inlineStr">
        <is>
          <t>https://caldwellcos.com/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Sunterra lists eighteen builder names inside one community.</t>
        </is>
      </c>
      <c r="K301" s="8" t="inlineStr">
        <is>
          <t>No</t>
        </is>
      </c>
      <c r="L301" s="9" t="inlineStr">
        <is>
          <t>It sells lots. The 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Sells lots. Sunterra's own builder page lists eighteen names.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Sunterra lists eighteen builder names inside one community.</t>
        </is>
      </c>
      <c r="K302" s="14" t="inlineStr">
        <is>
          <t>No</t>
        </is>
      </c>
      <c r="L302" s="15" t="inlineStr">
        <is>
          <t>It sells lots. The 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Sells lots. Sunterra's own builder page lists eighteen names.</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concurrent Houston masterplans, by its own count.</t>
        </is>
      </c>
      <c r="K303" s="8" t="inlineStr">
        <is>
          <t>No</t>
        </is>
      </c>
      <c r="L303" s="9" t="inlineStr">
        <is>
          <t>It sells lots and does not pour walls.</t>
        </is>
      </c>
      <c r="M303" s="8" t="inlineStr">
        <is>
          <t>No</t>
        </is>
      </c>
      <c r="N303" s="9" t="inlineStr">
        <is>
          <t>Johnson Development publishes no construction-method content.</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Sells lots across fifteen Houston masterplans. Buys no walls.</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San Diego HQ / Katy, Harris</t>
        </is>
      </c>
      <c r="H304" s="12" t="inlineStr">
        <is>
          <t>Elyson, 3,600 acres in Katy</t>
        </is>
      </c>
      <c r="I304" s="14" t="inlineStr">
        <is>
          <t>Partly</t>
        </is>
      </c>
      <c r="J304" s="15" t="inlineStr">
        <is>
          <t>One Houston community, Elyson, at 3,600 acres in Katy.</t>
        </is>
      </c>
      <c r="K304" s="14" t="inlineStr">
        <is>
          <t>No</t>
        </is>
      </c>
      <c r="L304" s="15" t="inlineStr">
        <is>
          <t>It sells lots, and the platform now sits inside Brookfield Residential.</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Newland is now inside Brookfield Residential and publishes no leadership of its own. The one Houston name on record is from 2019.</t>
        </is>
      </c>
      <c r="T304" s="12" t="inlineStr"/>
      <c r="U304" s="15" t="inlineStr">
        <is>
          <t>Senior Vice President and Division Manager for Newland's Houston division, per the West Houston Association board announcement. Dated 2019 and unconfirmed since, because Newland no longer publishes its own leadership.</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Value-engineered homes with the same features included as standard, built in 36 Houston-area cities.</t>
        </is>
      </c>
      <c r="K305" s="8" t="inlineStr">
        <is>
          <t>No</t>
        </is>
      </c>
      <c r="L305" s="9" t="inlineStr">
        <is>
          <t>6,362 Houston closings in 2025 is far above the band one or two printers cover, and purchasing runs through national programmes, so the first order is a pilot inside the division.</t>
        </is>
      </c>
      <c r="M305" s="8" t="inlineStr">
        <is>
          <t>Yes</t>
        </is>
      </c>
      <c r="N305" s="9" t="inlineStr">
        <is>
          <t>LEN X invested in ICON in August 2021, and Lennar built the 100-home Wolf Ranch community with ICON in Georgetown.</t>
        </is>
      </c>
      <c r="O305" s="10" t="inlineStr"/>
      <c r="P305" s="6" t="inlineStr"/>
      <c r="Q305" s="11">
        <f>IF(O305="","ADD LINKEDIN","ok")</f>
        <v/>
      </c>
      <c r="R305" s="6" t="inlineStr">
        <is>
          <t>https://www.lennar.com/new-homes/texas/houston</t>
        </is>
      </c>
      <c r="S305" s="9" t="inlineStr">
        <is>
          <t>Its annual report puts home design and construction with the division president, and the parent has already built 100 printed homes with ICON.</t>
        </is>
      </c>
      <c r="T305" s="6" t="inlineStr">
        <is>
          <t>YES</t>
        </is>
      </c>
      <c r="U305" s="9" t="inlineStr">
        <is>
          <t>Titled Lennar Houston Division President in a release of 14 December 2023. Friendswood's announcement dates his appointment to early 2021, succeeding John Hammond. The annual report gives a division president home design and construction.</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Lennar builds</t>
        </is>
      </c>
      <c r="I306" s="14" t="inlineStr">
        <is>
          <t>Partly</t>
        </is>
      </c>
      <c r="J306" s="15" t="inlineStr">
        <is>
          <t>Sells lots inside its own masterplans. Lennar builds the houses.</t>
        </is>
      </c>
      <c r="K306" s="14" t="inlineStr">
        <is>
          <t>No</t>
        </is>
      </c>
      <c r="L306" s="15" t="inlineStr">
        <is>
          <t>Sells lots, wholly owned by Lennar, so the route is Lennar.</t>
        </is>
      </c>
      <c r="M306" s="14" t="inlineStr">
        <is>
          <t>Partly</t>
        </is>
      </c>
      <c r="N306" s="15" t="inlineStr">
        <is>
          <t>The parent, Lennar, built a hundred printed homes with ICON at Wolf Ranch.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Sells lots, wholly owned by Lennar since 2000. Lennar built a hundred printed homes with ICON at Wolf Ranch.</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 The footprint is small.</t>
        </is>
      </c>
      <c r="K307" s="8" t="inlineStr">
        <is>
          <t>Partly</t>
        </is>
      </c>
      <c r="L307" s="9" t="inlineStr">
        <is>
          <t>No volume figure is published for the Houston operation.</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Orders windows per home rather than per community so it can adopt newer products. Owned by Rausch Coleman Homes, which Lennar bought in February 2025.</t>
        </is>
      </c>
      <c r="T307" s="6" t="inlineStr"/>
      <c r="U307" s="9" t="inlineStr">
        <is>
          <t>Indexed title reads George Kopecky, President at GreenEco Builders. Named as the firm's principal in trade coverage of the 2020 sale to Rausch Coleman.</t>
        </is>
      </c>
      <c r="V307" s="6" t="inlineStr"/>
      <c r="W307" s="6" t="inlineStr"/>
      <c r="X307" s="6" t="inlineStr"/>
      <c r="Y307" s="6" t="inlineStr"/>
      <c r="Z307" s="6" t="inlineStr"/>
      <c r="AA307" s="6" t="inlineStr"/>
      <c r="AB307" s="6" t="inlineStr"/>
      <c r="AC307" s="6" t="inlineStr"/>
      <c r="AD307" s="6" t="inlineStr"/>
    </row>
    <row r="308">
      <c r="A308" s="12" t="inlineStr">
        <is>
          <t>Doug French</t>
        </is>
      </c>
      <c r="B308" s="12" t="inlineStr">
        <is>
          <t>Stylecraft Builders</t>
        </is>
      </c>
      <c r="C308" s="12" t="inlineStr">
        <is>
          <t>Owner, President and Chief Executive Officer</t>
        </is>
      </c>
      <c r="D308" s="13" t="inlineStr">
        <is>
          <t>Held off the deck</t>
        </is>
      </c>
      <c r="E308" s="14" t="n">
        <v>3</v>
      </c>
      <c r="F308" s="12" t="inlineStr">
        <is>
          <t>Buys walls</t>
        </is>
      </c>
      <c r="G308" s="12" t="inlineStr">
        <is>
          <t>College Station, building in Conroe and Huntsville</t>
        </is>
      </c>
      <c r="H308" s="12" t="inlineStr">
        <is>
          <t>973 homes and $310 million in 2025, up 17 percent</t>
        </is>
      </c>
      <c r="I308" s="14" t="inlineStr">
        <is>
          <t>Yes</t>
        </is>
      </c>
      <c r="J308" s="15" t="inlineStr"/>
      <c r="K308" s="14" t="inlineStr">
        <is>
          <t>Partly</t>
        </is>
      </c>
      <c r="L308" s="15" t="inlineStr"/>
      <c r="M308" s="14" t="inlineStr">
        <is>
          <t>Partly</t>
        </is>
      </c>
      <c r="N308" s="15" t="inlineStr"/>
      <c r="O308" s="6" t="inlineStr">
        <is>
          <t>https://www.linkedin.com/in/doug-french-bb28b074/</t>
        </is>
      </c>
      <c r="P308" s="12" t="inlineStr"/>
      <c r="Q308" s="16">
        <f>IF(O308="","ADD LINKEDIN","ok")</f>
        <v/>
      </c>
      <c r="R308" s="12" t="inlineStr">
        <is>
          <t>https://www.stylecraft.com/</t>
        </is>
      </c>
      <c r="S308" s="15" t="inlineStr">
        <is>
          <t>A published even-flow model that releases a fixed number of starts a week, with eight or nine plans per community.</t>
        </is>
      </c>
      <c r="T308" s="12" t="inlineStr"/>
      <c r="U308" s="15" t="inlineStr">
        <is>
          <t>Indexed title reads Doug French, Stylecraft Builders Inc. The firm's team page lists him as Owner, President and Chief Executive Officer.</t>
        </is>
      </c>
      <c r="V308" s="12" t="inlineStr">
        <is>
          <t>https://www.stylecraft.com/team/</t>
        </is>
      </c>
      <c r="W308" s="12" t="inlineStr"/>
      <c r="X308" s="12" t="inlineStr"/>
      <c r="Y308" s="12" t="inlineStr">
        <is>
          <t>2026-07-24 Builder Magazine. How Stylecraft Is Building Bigger While Staying Local  https://www.builderonline.com/builder-100/leadership/how-stylecraft-is-building-bigger-while-staying-local/</t>
        </is>
      </c>
      <c r="Z308" s="12" t="inlineStr">
        <is>
          <t>(979) 200-4552</t>
        </is>
      </c>
      <c r="AA308" s="12" t="inlineStr">
        <is>
          <t>office</t>
        </is>
      </c>
      <c r="AB308" s="12" t="inlineStr">
        <is>
          <t>https://www.stylecraft.com/</t>
        </is>
      </c>
      <c r="AC308" s="12" t="inlineStr"/>
      <c r="AD308" s="12" t="inlineStr"/>
    </row>
    <row r="309">
      <c r="A309" s="6" t="inlineStr">
        <is>
          <t>Jordan York</t>
        </is>
      </c>
      <c r="B309" s="6" t="inlineStr">
        <is>
          <t>Stylecraft Builders</t>
        </is>
      </c>
      <c r="C309" s="6" t="inlineStr">
        <is>
          <t>Vice President of Construction</t>
        </is>
      </c>
      <c r="D309" s="7" t="inlineStr">
        <is>
          <t>Held off the deck</t>
        </is>
      </c>
      <c r="E309" s="8" t="n">
        <v>3</v>
      </c>
      <c r="F309" s="6" t="inlineStr">
        <is>
          <t>Buys walls</t>
        </is>
      </c>
      <c r="G309" s="6" t="inlineStr">
        <is>
          <t>College Station, building in Conroe and Huntsville</t>
        </is>
      </c>
      <c r="H309" s="6" t="inlineStr">
        <is>
          <t>973 homes and $310 million in 2025, up 17 percent</t>
        </is>
      </c>
      <c r="I309" s="8" t="inlineStr">
        <is>
          <t>Yes</t>
        </is>
      </c>
      <c r="J309" s="9" t="inlineStr"/>
      <c r="K309" s="8" t="inlineStr">
        <is>
          <t>Partly</t>
        </is>
      </c>
      <c r="L309" s="9" t="inlineStr"/>
      <c r="M309" s="8" t="inlineStr">
        <is>
          <t>Partly</t>
        </is>
      </c>
      <c r="N309" s="9" t="inlineStr"/>
      <c r="O309" s="10" t="inlineStr"/>
      <c r="P309" s="6">
        <f>HYPERLINK("https://www.linkedin.com/search/results/people/?keywords=Jordan%20York%20Stylecraft%20Builders","search")</f>
        <v/>
      </c>
      <c r="Q309" s="11">
        <f>IF(O309="","ADD LINKEDIN","ok")</f>
        <v/>
      </c>
      <c r="R309" s="6" t="inlineStr">
        <is>
          <t>https://www.stylecraft.com/</t>
        </is>
      </c>
      <c r="S309" s="9" t="inlineStr">
        <is>
          <t>A published even-flow model that releases a fixed number of starts a week, with eight or nine plans per community.</t>
        </is>
      </c>
      <c r="T309" s="6" t="inlineStr">
        <is>
          <t>YES</t>
        </is>
      </c>
      <c r="U309" s="9" t="inlineStr">
        <is>
          <t>Team page lists Jordan York, Vice President of Construction. The only LinkedIn profile under the name is a charter pilot.</t>
        </is>
      </c>
      <c r="V309" s="6" t="inlineStr">
        <is>
          <t>https://www.stylecraft.com/team/</t>
        </is>
      </c>
      <c r="W309" s="6" t="inlineStr"/>
      <c r="X309" s="6" t="inlineStr"/>
      <c r="Y309" s="6" t="inlineStr">
        <is>
          <t>2026-07-24 Builder Magazine. How Stylecraft Is Building Bigger While Staying Local  https://www.builderonline.com/builder-100/leadership/how-stylecraft-is-building-bigger-while-staying-local/</t>
        </is>
      </c>
      <c r="Z309" s="6" t="inlineStr">
        <is>
          <t>(979) 200-4552</t>
        </is>
      </c>
      <c r="AA309" s="6" t="inlineStr">
        <is>
          <t>office</t>
        </is>
      </c>
      <c r="AB309" s="6" t="inlineStr">
        <is>
          <t>https://www.stylecraft.com/</t>
        </is>
      </c>
      <c r="AC309" s="6" t="inlineStr"/>
      <c r="AD309" s="6" t="inlineStr"/>
    </row>
    <row r="310">
      <c r="A310" s="12" t="inlineStr">
        <is>
          <t>Bruce Hendren</t>
        </is>
      </c>
      <c r="B310" s="12" t="inlineStr">
        <is>
          <t>Stylecraft Builders</t>
        </is>
      </c>
      <c r="C310" s="12" t="inlineStr">
        <is>
          <t>Vice President of Pre-Construction</t>
        </is>
      </c>
      <c r="D310" s="13" t="inlineStr">
        <is>
          <t>Held off the deck</t>
        </is>
      </c>
      <c r="E310" s="14" t="n">
        <v>3</v>
      </c>
      <c r="F310" s="12" t="inlineStr">
        <is>
          <t>Buys walls</t>
        </is>
      </c>
      <c r="G310" s="12" t="inlineStr">
        <is>
          <t>College Station, building in Conroe and Huntsville</t>
        </is>
      </c>
      <c r="H310" s="12" t="inlineStr">
        <is>
          <t>973 homes and $310 million in 2025, up 17 percent</t>
        </is>
      </c>
      <c r="I310" s="14" t="inlineStr">
        <is>
          <t>Yes</t>
        </is>
      </c>
      <c r="J310" s="15" t="inlineStr"/>
      <c r="K310" s="14" t="inlineStr">
        <is>
          <t>Partly</t>
        </is>
      </c>
      <c r="L310" s="15" t="inlineStr"/>
      <c r="M310" s="14" t="inlineStr">
        <is>
          <t>Partly</t>
        </is>
      </c>
      <c r="N310" s="15" t="inlineStr"/>
      <c r="O310" s="6" t="inlineStr">
        <is>
          <t>https://www.linkedin.com/in/bruce-hendren-6a059068/</t>
        </is>
      </c>
      <c r="P310" s="12" t="inlineStr"/>
      <c r="Q310" s="16">
        <f>IF(O310="","ADD LINKEDIN","ok")</f>
        <v/>
      </c>
      <c r="R310" s="12" t="inlineStr">
        <is>
          <t>https://www.stylecraft.com/</t>
        </is>
      </c>
      <c r="S310" s="15" t="inlineStr">
        <is>
          <t>A published even-flow model that releases a fixed number of starts a week, with eight or nine plans per community.</t>
        </is>
      </c>
      <c r="T310" s="12" t="inlineStr">
        <is>
          <t>YES</t>
        </is>
      </c>
      <c r="U310" s="15" t="inlineStr">
        <is>
          <t>Indexed title reads Bruce Hendren, Stylecraft. The firm's team page lists him as Vice President of Pre-Construction.</t>
        </is>
      </c>
      <c r="V310" s="12" t="inlineStr">
        <is>
          <t>https://www.stylecraft.com/team/</t>
        </is>
      </c>
      <c r="W310" s="12" t="inlineStr"/>
      <c r="X310" s="12" t="inlineStr"/>
      <c r="Y310" s="12" t="inlineStr">
        <is>
          <t>2026-07-24 Builder Magazine. How Stylecraft Is Building Bigger While Staying Local  https://www.builderonline.com/builder-100/leadership/how-stylecraft-is-building-bigger-while-staying-local/</t>
        </is>
      </c>
      <c r="Z310" s="12" t="inlineStr">
        <is>
          <t>(979) 200-4552</t>
        </is>
      </c>
      <c r="AA310" s="12" t="inlineStr">
        <is>
          <t>office</t>
        </is>
      </c>
      <c r="AB310" s="12" t="inlineStr">
        <is>
          <t>https://www.stylecraft.com/</t>
        </is>
      </c>
      <c r="AC310" s="12" t="inlineStr"/>
      <c r="AD310" s="12" t="inlineStr"/>
    </row>
    <row r="311">
      <c r="A311" s="6" t="inlineStr">
        <is>
          <t>Emily Runnion</t>
        </is>
      </c>
      <c r="B311" s="6" t="inlineStr">
        <is>
          <t>Stylecraft Builders</t>
        </is>
      </c>
      <c r="C311" s="6" t="inlineStr">
        <is>
          <t>Director of the South Six Construction Group</t>
        </is>
      </c>
      <c r="D311" s="7" t="inlineStr">
        <is>
          <t>Held off the deck</t>
        </is>
      </c>
      <c r="E311" s="8" t="n">
        <v>3</v>
      </c>
      <c r="F311" s="6" t="inlineStr">
        <is>
          <t>Buys walls</t>
        </is>
      </c>
      <c r="G311" s="6" t="inlineStr">
        <is>
          <t>College Station, building in Conroe and Huntsville</t>
        </is>
      </c>
      <c r="H311" s="6" t="inlineStr">
        <is>
          <t>973 homes and $310 million in 2025, up 17 percent</t>
        </is>
      </c>
      <c r="I311" s="8" t="inlineStr">
        <is>
          <t>Yes</t>
        </is>
      </c>
      <c r="J311" s="9" t="inlineStr"/>
      <c r="K311" s="8" t="inlineStr">
        <is>
          <t>Partly</t>
        </is>
      </c>
      <c r="L311" s="9" t="inlineStr"/>
      <c r="M311" s="8" t="inlineStr">
        <is>
          <t>Partly</t>
        </is>
      </c>
      <c r="N311" s="9" t="inlineStr"/>
      <c r="O311" s="6" t="inlineStr">
        <is>
          <t>https://www.linkedin.com/in/emilyrunnion/</t>
        </is>
      </c>
      <c r="P311" s="6" t="inlineStr"/>
      <c r="Q311" s="11">
        <f>IF(O311="","ADD LINKEDIN","ok")</f>
        <v/>
      </c>
      <c r="R311" s="6" t="inlineStr">
        <is>
          <t>https://www.stylecraft.com/</t>
        </is>
      </c>
      <c r="S311" s="9" t="inlineStr">
        <is>
          <t>A published even-flow model that releases a fixed number of starts a week, with eight or nine plans per community.</t>
        </is>
      </c>
      <c r="T311" s="6" t="inlineStr"/>
      <c r="U311" s="9" t="inlineStr">
        <is>
          <t>Indexed title reads Emily Runnion, Stylecraft. The firm's team page lists her as Director of the South Six Construction Group.</t>
        </is>
      </c>
      <c r="V311" s="6" t="inlineStr">
        <is>
          <t>https://www.stylecraft.com/team/</t>
        </is>
      </c>
      <c r="W311" s="6" t="inlineStr"/>
      <c r="X311" s="6" t="inlineStr"/>
      <c r="Y311" s="6" t="inlineStr">
        <is>
          <t>2026-07-24 Builder Magazine. How Stylecraft Is Building Bigger While Staying Local  https://www.builderonline.com/builder-100/leadership/how-stylecraft-is-building-bigger-while-staying-local/</t>
        </is>
      </c>
      <c r="Z311" s="6" t="inlineStr">
        <is>
          <t>(979) 200-4552</t>
        </is>
      </c>
      <c r="AA311" s="6" t="inlineStr">
        <is>
          <t>office</t>
        </is>
      </c>
      <c r="AB311" s="6" t="inlineStr">
        <is>
          <t>https://www.stylecraft.com/</t>
        </is>
      </c>
      <c r="AC311" s="6" t="inlineStr"/>
      <c r="AD311" s="6" t="inlineStr"/>
    </row>
    <row r="312">
      <c r="A312" s="12" t="inlineStr">
        <is>
          <t>Steven D. Alvis</t>
        </is>
      </c>
      <c r="B312" s="12" t="inlineStr">
        <is>
          <t>NewQuest Properties</t>
        </is>
      </c>
      <c r="C312" s="12" t="inlineStr">
        <is>
          <t>Co-Founder and Managing Partner</t>
        </is>
      </c>
      <c r="D312" s="13" t="inlineStr">
        <is>
          <t>Held off the deck</t>
        </is>
      </c>
      <c r="E312" s="14" t="n">
        <v>1</v>
      </c>
      <c r="F312" s="12" t="inlineStr">
        <is>
          <t>Buys walls</t>
        </is>
      </c>
      <c r="G312" s="12" t="inlineStr">
        <is>
          <t>Houston HQ / Fort Bend, Brazoria</t>
        </is>
      </c>
      <c r="H312" s="12" t="inlineStr">
        <is>
          <t>$3.1B owned assets, 12M sf managed</t>
        </is>
      </c>
      <c r="I312" s="14" t="inlineStr">
        <is>
          <t>Yes</t>
        </is>
      </c>
      <c r="J312" s="15" t="inlineStr"/>
      <c r="K312" s="14" t="inlineStr">
        <is>
          <t>No</t>
        </is>
      </c>
      <c r="L312" s="15" t="inlineStr"/>
      <c r="M312" s="14" t="inlineStr">
        <is>
          <t>No</t>
        </is>
      </c>
      <c r="N312" s="15" t="inlineStr"/>
      <c r="O312" s="10" t="inlineStr"/>
      <c r="P312" s="12">
        <f>HYPERLINK("https://www.linkedin.com/search/results/people/?keywords=Steven%20D.%20Alvis%20NewQuest%20Properties","search")</f>
        <v/>
      </c>
      <c r="Q312" s="16">
        <f>IF(O312="","ADD LINKEDIN","ok")</f>
        <v/>
      </c>
      <c r="R312" s="12" t="inlineStr">
        <is>
          <t>https://www.newquest.com/</t>
        </is>
      </c>
      <c r="S312" s="15" t="inlineStr">
        <is>
          <t>A repeated Town Center format. Retail shells compete against tilt-wall, not stick framing.</t>
        </is>
      </c>
      <c r="T312" s="12" t="inlineStr"/>
      <c r="U312" s="15" t="inlineStr"/>
      <c r="V312" s="12" t="inlineStr">
        <is>
          <t>https://www.newquest.com/about-us/leadership/</t>
        </is>
      </c>
      <c r="W312" s="12" t="inlineStr">
        <is>
          <t>https://www.linkedin.com/company/newquest-properties</t>
        </is>
      </c>
      <c r="X312" s="12" t="inlineStr">
        <is>
          <t>https://www.newquest.com/about-us/leadership/</t>
        </is>
      </c>
      <c r="Y312" s="12" t="inlineStr"/>
      <c r="Z312" s="12" t="inlineStr">
        <is>
          <t>(281) 477-4300</t>
        </is>
      </c>
      <c r="AA312" s="12" t="inlineStr">
        <is>
          <t>contact, corporate headquarters</t>
        </is>
      </c>
      <c r="AB312" s="12" t="inlineStr">
        <is>
          <t>https://www.newquest.com/contact-us/</t>
        </is>
      </c>
      <c r="AC312" s="12" t="inlineStr"/>
      <c r="AD312" s="12" t="inlineStr"/>
    </row>
    <row r="313">
      <c r="A313" s="6" t="inlineStr">
        <is>
          <t>Jay K. Sears</t>
        </is>
      </c>
      <c r="B313" s="6" t="inlineStr">
        <is>
          <t>NewQuest Properties</t>
        </is>
      </c>
      <c r="C313" s="6" t="inlineStr">
        <is>
          <t>Co-Founder and Managing Partner</t>
        </is>
      </c>
      <c r="D313" s="7" t="inlineStr">
        <is>
          <t>Held off the deck</t>
        </is>
      </c>
      <c r="E313" s="8" t="n">
        <v>1</v>
      </c>
      <c r="F313" s="6" t="inlineStr">
        <is>
          <t>Buys walls</t>
        </is>
      </c>
      <c r="G313" s="6" t="inlineStr">
        <is>
          <t>Houston HQ / Fort Bend, Brazoria</t>
        </is>
      </c>
      <c r="H313" s="6" t="inlineStr">
        <is>
          <t>$3.1B owned assets, 12M sf managed</t>
        </is>
      </c>
      <c r="I313" s="8" t="inlineStr">
        <is>
          <t>Yes</t>
        </is>
      </c>
      <c r="J313" s="9" t="inlineStr"/>
      <c r="K313" s="8" t="inlineStr">
        <is>
          <t>No</t>
        </is>
      </c>
      <c r="L313" s="9" t="inlineStr"/>
      <c r="M313" s="8" t="inlineStr">
        <is>
          <t>No</t>
        </is>
      </c>
      <c r="N313" s="9" t="inlineStr"/>
      <c r="O313" s="10" t="inlineStr"/>
      <c r="P313" s="6">
        <f>HYPERLINK("https://www.linkedin.com/search/results/people/?keywords=Jay%20K.%20Sears%20NewQuest%20Properties","search")</f>
        <v/>
      </c>
      <c r="Q313" s="11">
        <f>IF(O313="","ADD LINKEDIN","ok")</f>
        <v/>
      </c>
      <c r="R313" s="6" t="inlineStr">
        <is>
          <t>https://www.newquest.com/</t>
        </is>
      </c>
      <c r="S313" s="9" t="inlineStr">
        <is>
          <t>A repeated Town Center format. Retail shells compete against tilt-wall, not stick framing.</t>
        </is>
      </c>
      <c r="T313" s="6" t="inlineStr"/>
      <c r="U313" s="9" t="inlineStr"/>
      <c r="V313" s="6" t="inlineStr">
        <is>
          <t>https://www.newquest.com/about-us/leadership/</t>
        </is>
      </c>
      <c r="W313" s="6" t="inlineStr">
        <is>
          <t>https://www.linkedin.com/company/newquest-properties</t>
        </is>
      </c>
      <c r="X313" s="6" t="inlineStr">
        <is>
          <t>https://www.newquest.com/about-us/leadership/</t>
        </is>
      </c>
      <c r="Y313" s="6" t="inlineStr"/>
      <c r="Z313" s="6" t="inlineStr">
        <is>
          <t>(281) 477-4300</t>
        </is>
      </c>
      <c r="AA313" s="6" t="inlineStr">
        <is>
          <t>contact, corporate headquarters</t>
        </is>
      </c>
      <c r="AB313" s="6" t="inlineStr">
        <is>
          <t>https://www.newquest.com/contact-us/</t>
        </is>
      </c>
      <c r="AC313" s="6" t="inlineStr"/>
      <c r="AD313" s="6" t="inlineStr"/>
    </row>
    <row r="314">
      <c r="A314" s="12" t="inlineStr">
        <is>
          <t>Austin Alvis</t>
        </is>
      </c>
      <c r="B314" s="12" t="inlineStr">
        <is>
          <t>NewQuest Properties</t>
        </is>
      </c>
      <c r="C314" s="12" t="inlineStr">
        <is>
          <t>President and Chief Development Officer</t>
        </is>
      </c>
      <c r="D314" s="13" t="inlineStr">
        <is>
          <t>Held off the deck</t>
        </is>
      </c>
      <c r="E314" s="14" t="n">
        <v>1</v>
      </c>
      <c r="F314" s="12" t="inlineStr">
        <is>
          <t>Buys walls</t>
        </is>
      </c>
      <c r="G314" s="12" t="inlineStr">
        <is>
          <t>Houston HQ / Fort Bend, Brazoria</t>
        </is>
      </c>
      <c r="H314" s="12" t="inlineStr">
        <is>
          <t>$3.1B owned assets, 12M sf managed</t>
        </is>
      </c>
      <c r="I314" s="14" t="inlineStr">
        <is>
          <t>Yes</t>
        </is>
      </c>
      <c r="J314" s="15" t="inlineStr"/>
      <c r="K314" s="14" t="inlineStr">
        <is>
          <t>No</t>
        </is>
      </c>
      <c r="L314" s="15" t="inlineStr"/>
      <c r="M314" s="14" t="inlineStr">
        <is>
          <t>No</t>
        </is>
      </c>
      <c r="N314" s="15" t="inlineStr"/>
      <c r="O314" s="10" t="inlineStr"/>
      <c r="P314" s="12">
        <f>HYPERLINK("https://www.linkedin.com/search/results/people/?keywords=Austin%20Alvis%20NewQuest%20Properties","search")</f>
        <v/>
      </c>
      <c r="Q314" s="16">
        <f>IF(O314="","ADD LINKEDIN","ok")</f>
        <v/>
      </c>
      <c r="R314" s="12" t="inlineStr">
        <is>
          <t>https://www.newquest.com/</t>
        </is>
      </c>
      <c r="S314" s="15" t="inlineStr">
        <is>
          <t>A repeated Town Center format. Retail shells compete against tilt-wall, not stick framing.</t>
        </is>
      </c>
      <c r="T314" s="12" t="inlineStr"/>
      <c r="U314" s="15" t="inlineStr"/>
      <c r="V314" s="12" t="inlineStr">
        <is>
          <t>https://www.newquest.com/about-us/leadership/</t>
        </is>
      </c>
      <c r="W314" s="12" t="inlineStr">
        <is>
          <t>https://www.linkedin.com/company/newquest-properties</t>
        </is>
      </c>
      <c r="X314" s="12" t="inlineStr">
        <is>
          <t>https://www.newquest.com/about-us/leadership/</t>
        </is>
      </c>
      <c r="Y314" s="12" t="inlineStr"/>
      <c r="Z314" s="12" t="inlineStr">
        <is>
          <t>(281) 477-4300</t>
        </is>
      </c>
      <c r="AA314" s="12" t="inlineStr">
        <is>
          <t>contact, corporate headquarters</t>
        </is>
      </c>
      <c r="AB314" s="12" t="inlineStr">
        <is>
          <t>https://www.newquest.com/contact-us/</t>
        </is>
      </c>
      <c r="AC314" s="12" t="inlineStr"/>
      <c r="AD314" s="12" t="inlineStr"/>
    </row>
    <row r="315">
      <c r="A315" s="6" t="inlineStr">
        <is>
          <t>Jeff Horton</t>
        </is>
      </c>
      <c r="B315" s="6" t="inlineStr">
        <is>
          <t>NewQuest Properties</t>
        </is>
      </c>
      <c r="C315" s="6" t="inlineStr">
        <is>
          <t>Chief Operating Officer and Head of Capital Markets</t>
        </is>
      </c>
      <c r="D315" s="7" t="inlineStr">
        <is>
          <t>Held off the deck</t>
        </is>
      </c>
      <c r="E315" s="8" t="n">
        <v>1</v>
      </c>
      <c r="F315" s="6" t="inlineStr">
        <is>
          <t>Buys walls</t>
        </is>
      </c>
      <c r="G315" s="6" t="inlineStr">
        <is>
          <t>Houston HQ / Fort Bend, Brazoria</t>
        </is>
      </c>
      <c r="H315" s="6" t="inlineStr">
        <is>
          <t>$3.1B owned assets, 12M sf managed</t>
        </is>
      </c>
      <c r="I315" s="8" t="inlineStr">
        <is>
          <t>Yes</t>
        </is>
      </c>
      <c r="J315" s="9" t="inlineStr"/>
      <c r="K315" s="8" t="inlineStr">
        <is>
          <t>No</t>
        </is>
      </c>
      <c r="L315" s="9" t="inlineStr"/>
      <c r="M315" s="8" t="inlineStr">
        <is>
          <t>No</t>
        </is>
      </c>
      <c r="N315" s="9" t="inlineStr"/>
      <c r="O315" s="10" t="inlineStr"/>
      <c r="P315" s="6">
        <f>HYPERLINK("https://www.linkedin.com/search/results/people/?keywords=Jeff%20Horton%20NewQuest%20Properties","search")</f>
        <v/>
      </c>
      <c r="Q315" s="11">
        <f>IF(O315="","ADD LINKEDIN","ok")</f>
        <v/>
      </c>
      <c r="R315" s="6" t="inlineStr">
        <is>
          <t>https://www.newquest.com/</t>
        </is>
      </c>
      <c r="S315" s="9" t="inlineStr">
        <is>
          <t>A repeated Town Center format. Retail shells compete against tilt-wall, not stick framing.</t>
        </is>
      </c>
      <c r="T315" s="6" t="inlineStr"/>
      <c r="U315" s="9" t="inlineStr"/>
      <c r="V315" s="6" t="inlineStr">
        <is>
          <t>https://www.newquest.com/about-us/leadership/</t>
        </is>
      </c>
      <c r="W315" s="6" t="inlineStr">
        <is>
          <t>https://www.linkedin.com/company/newquest-properties</t>
        </is>
      </c>
      <c r="X315" s="6" t="inlineStr">
        <is>
          <t>https://www.newquest.com/about-us/leadership/</t>
        </is>
      </c>
      <c r="Y315" s="6" t="inlineStr"/>
      <c r="Z315" s="6" t="inlineStr">
        <is>
          <t>(281) 477-4300</t>
        </is>
      </c>
      <c r="AA315" s="6" t="inlineStr">
        <is>
          <t>contact, corporate headquarters</t>
        </is>
      </c>
      <c r="AB315" s="6" t="inlineStr">
        <is>
          <t>https://www.newquest.com/contact-us/</t>
        </is>
      </c>
      <c r="AC315" s="6" t="inlineStr"/>
      <c r="AD315" s="6" t="inlineStr"/>
    </row>
    <row r="316">
      <c r="A316" s="12" t="inlineStr">
        <is>
          <t>K. Alan Hassenflu</t>
        </is>
      </c>
      <c r="B316" s="12" t="inlineStr">
        <is>
          <t>Fidelis Realty Partners</t>
        </is>
      </c>
      <c r="C316" s="12" t="inlineStr">
        <is>
          <t>President and Chief Executive Officer</t>
        </is>
      </c>
      <c r="D316" s="13" t="inlineStr">
        <is>
          <t>Held off the deck</t>
        </is>
      </c>
      <c r="E316" s="14" t="n">
        <v>1</v>
      </c>
      <c r="F316" s="12" t="inlineStr">
        <is>
          <t>Buys walls</t>
        </is>
      </c>
      <c r="G316" s="12" t="inlineStr">
        <is>
          <t>Houston HQ / Brazoria, Montgomery</t>
        </is>
      </c>
      <c r="H316" s="12" t="inlineStr">
        <is>
          <t>26M sf, ~100 properties, 12 states</t>
        </is>
      </c>
      <c r="I316" s="14" t="inlineStr">
        <is>
          <t>Yes</t>
        </is>
      </c>
      <c r="J316" s="15" t="inlineStr"/>
      <c r="K316" s="14" t="inlineStr">
        <is>
          <t>No</t>
        </is>
      </c>
      <c r="L316" s="15" t="inlineStr"/>
      <c r="M316" s="14" t="inlineStr">
        <is>
          <t>No</t>
        </is>
      </c>
      <c r="N316" s="15" t="inlineStr"/>
      <c r="O316" s="10" t="inlineStr"/>
      <c r="P316" s="12">
        <f>HYPERLINK("https://www.linkedin.com/search/results/people/?keywords=K.%20Alan%20Hassenflu%20Fidelis%20Realty%20Partners","search")</f>
        <v/>
      </c>
      <c r="Q316" s="16">
        <f>IF(O316="","ADD LINKEDIN","ok")</f>
        <v/>
      </c>
      <c r="R316" s="12" t="inlineStr">
        <is>
          <t>https://www.frpltd.com/</t>
        </is>
      </c>
      <c r="S316" s="15" t="inlineStr">
        <is>
          <t>Two land positions in target counties within 24 months. Every purchase price is undisclosed.</t>
        </is>
      </c>
      <c r="T316" s="12" t="inlineStr"/>
      <c r="U316" s="15" t="inlineStr">
        <is>
          <t>President and Chief Executive Officer, a founder in 2003, formerly senior managing director at Trammell Crow.</t>
        </is>
      </c>
      <c r="V316" s="12" t="inlineStr">
        <is>
          <t>https://www.frpltd.com/about-fidelis/mission-values</t>
        </is>
      </c>
      <c r="W316" s="12" t="inlineStr">
        <is>
          <t>https://www.linkedin.com/company/fidelis-realty-partners</t>
        </is>
      </c>
      <c r="X316" s="12" t="inlineStr">
        <is>
          <t>https://www.frpltd.com/about-fidelis/mission-values</t>
        </is>
      </c>
      <c r="Y316" s="12" t="inlineStr"/>
      <c r="Z316" s="12" t="inlineStr">
        <is>
          <t>(713) 623-6800</t>
        </is>
      </c>
      <c r="AA316" s="12" t="inlineStr"/>
      <c r="AB316" s="12" t="inlineStr">
        <is>
          <t>https://www.frpltd.com/</t>
        </is>
      </c>
      <c r="AC316" s="12" t="inlineStr"/>
      <c r="AD316" s="12" t="inlineStr"/>
    </row>
    <row r="317">
      <c r="A317" s="6" t="inlineStr">
        <is>
          <t>Glenn Airola</t>
        </is>
      </c>
      <c r="B317" s="6" t="inlineStr">
        <is>
          <t>Fidelis Realty Partners</t>
        </is>
      </c>
      <c r="C317" s="6" t="inlineStr">
        <is>
          <t>Executive Vice President, General Counsel and Chief Administrative Officer</t>
        </is>
      </c>
      <c r="D317" s="7" t="inlineStr">
        <is>
          <t>Held off the deck</t>
        </is>
      </c>
      <c r="E317" s="8" t="n">
        <v>1</v>
      </c>
      <c r="F317" s="6" t="inlineStr">
        <is>
          <t>Buys walls</t>
        </is>
      </c>
      <c r="G317" s="6" t="inlineStr">
        <is>
          <t>Houston HQ / Brazoria, Montgomery</t>
        </is>
      </c>
      <c r="H317" s="6" t="inlineStr">
        <is>
          <t>26M sf, ~100 properties, 12 states</t>
        </is>
      </c>
      <c r="I317" s="8" t="inlineStr">
        <is>
          <t>Yes</t>
        </is>
      </c>
      <c r="J317" s="9" t="inlineStr"/>
      <c r="K317" s="8" t="inlineStr">
        <is>
          <t>No</t>
        </is>
      </c>
      <c r="L317" s="9" t="inlineStr"/>
      <c r="M317" s="8" t="inlineStr">
        <is>
          <t>No</t>
        </is>
      </c>
      <c r="N317" s="9" t="inlineStr"/>
      <c r="O317" s="10" t="inlineStr"/>
      <c r="P317" s="6">
        <f>HYPERLINK("https://www.linkedin.com/search/results/people/?keywords=Glenn%20Airola%20Fidelis%20Realty%20Partners","search")</f>
        <v/>
      </c>
      <c r="Q317" s="11">
        <f>IF(O317="","ADD LINKEDIN","ok")</f>
        <v/>
      </c>
      <c r="R317" s="6" t="inlineStr">
        <is>
          <t>https://www.frpltd.com/</t>
        </is>
      </c>
      <c r="S317" s="9" t="inlineStr">
        <is>
          <t>Two land positions in target counties within 24 months. Every purchase price is undisclosed.</t>
        </is>
      </c>
      <c r="T317" s="6" t="inlineStr"/>
      <c r="U317" s="9" t="inlineStr"/>
      <c r="V317" s="6" t="inlineStr">
        <is>
          <t>https://www.frpltd.com/about-fidelis/mission-values</t>
        </is>
      </c>
      <c r="W317" s="6" t="inlineStr">
        <is>
          <t>https://www.linkedin.com/company/fidelis-realty-partners</t>
        </is>
      </c>
      <c r="X317" s="6" t="inlineStr">
        <is>
          <t>https://www.frpltd.com/about-fidelis/mission-values</t>
        </is>
      </c>
      <c r="Y317" s="6" t="inlineStr"/>
      <c r="Z317" s="6" t="inlineStr">
        <is>
          <t>(713) 623-6800</t>
        </is>
      </c>
      <c r="AA317" s="6" t="inlineStr"/>
      <c r="AB317" s="6" t="inlineStr">
        <is>
          <t>https://www.frpltd.com/</t>
        </is>
      </c>
      <c r="AC317" s="6" t="inlineStr"/>
      <c r="AD317" s="6" t="inlineStr"/>
    </row>
    <row r="318">
      <c r="A318" s="12" t="inlineStr">
        <is>
          <t>R. Carson Wilson IV</t>
        </is>
      </c>
      <c r="B318" s="12" t="inlineStr">
        <is>
          <t>Fidelis Realty Partners</t>
        </is>
      </c>
      <c r="C318" s="12" t="inlineStr">
        <is>
          <t>Vice President, Leasing</t>
        </is>
      </c>
      <c r="D318" s="13" t="inlineStr">
        <is>
          <t>Held off the deck</t>
        </is>
      </c>
      <c r="E318" s="14" t="n">
        <v>1</v>
      </c>
      <c r="F318" s="12" t="inlineStr">
        <is>
          <t>Buys walls</t>
        </is>
      </c>
      <c r="G318" s="12" t="inlineStr">
        <is>
          <t>Houston HQ / Brazoria, Montgomery</t>
        </is>
      </c>
      <c r="H318" s="12" t="inlineStr">
        <is>
          <t>26M sf, ~100 properties, 12 states</t>
        </is>
      </c>
      <c r="I318" s="14" t="inlineStr">
        <is>
          <t>Yes</t>
        </is>
      </c>
      <c r="J318" s="15" t="inlineStr"/>
      <c r="K318" s="14" t="inlineStr">
        <is>
          <t>No</t>
        </is>
      </c>
      <c r="L318" s="15" t="inlineStr"/>
      <c r="M318" s="14" t="inlineStr">
        <is>
          <t>No</t>
        </is>
      </c>
      <c r="N318" s="15" t="inlineStr"/>
      <c r="O318" s="6" t="inlineStr">
        <is>
          <t>https://www.linkedin.com/in/r-carson-wilson-iv-9b7525292/</t>
        </is>
      </c>
      <c r="P318" s="12" t="inlineStr"/>
      <c r="Q318" s="16">
        <f>IF(O318="","ADD LINKEDIN","ok")</f>
        <v/>
      </c>
      <c r="R318" s="12" t="inlineStr">
        <is>
          <t>https://www.frpltd.com/</t>
        </is>
      </c>
      <c r="S318" s="15" t="inlineStr">
        <is>
          <t>Two land positions in target counties within 24 months. Every purchase price is undisclosed.</t>
        </is>
      </c>
      <c r="T318" s="12" t="inlineStr">
        <is>
          <t>YES</t>
        </is>
      </c>
      <c r="U318" s="15" t="inlineStr">
        <is>
          <t>Executive Vice President - Leasing, Construction and Development at Fidelis Realty Partners. Greater Houston. One title covers all three, so the person who signs the lease also owns the build.</t>
        </is>
      </c>
      <c r="V318" s="12" t="inlineStr"/>
      <c r="W318" s="12" t="inlineStr">
        <is>
          <t>https://www.linkedin.com/company/fidelis-realty-partners</t>
        </is>
      </c>
      <c r="X318" s="12" t="inlineStr">
        <is>
          <t>https://www.frpltd.com/about-fidelis/mission-values</t>
        </is>
      </c>
      <c r="Y318" s="12" t="inlineStr"/>
      <c r="Z318" s="12" t="inlineStr">
        <is>
          <t>(713) 623-6800</t>
        </is>
      </c>
      <c r="AA318" s="12" t="inlineStr"/>
      <c r="AB318" s="12" t="inlineStr">
        <is>
          <t>https://www.frpltd.com/</t>
        </is>
      </c>
      <c r="AC318" s="12" t="inlineStr"/>
      <c r="AD318" s="12" t="inlineStr"/>
    </row>
    <row r="319">
      <c r="A319" s="6" t="inlineStr">
        <is>
          <t>Brandt Bowden</t>
        </is>
      </c>
      <c r="B319" s="6" t="inlineStr">
        <is>
          <t>The Hanover Company</t>
        </is>
      </c>
      <c r="C319" s="6" t="inlineStr">
        <is>
          <t>Chief Executive Officer</t>
        </is>
      </c>
      <c r="D319" s="7" t="inlineStr">
        <is>
          <t>Held off the deck</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10" t="inlineStr"/>
      <c r="P319" s="6">
        <f>HYPERLINK("https://www.linkedin.com/search/results/people/?keywords=Brandt%20Bowden%20The%20Hanover%20Company","search")</f>
        <v/>
      </c>
      <c r="Q319" s="11">
        <f>IF(O319="","ADD LINKEDIN","ok")</f>
        <v/>
      </c>
      <c r="R319" s="6" t="inlineStr">
        <is>
          <t>https://www.hanoverco.com/</t>
        </is>
      </c>
      <c r="S319" s="9" t="inlineStr">
        <is>
          <t>An in-house construction arm and a Houston HQ since 1982, but no Houston project could be sourced.</t>
        </is>
      </c>
      <c r="T319" s="6" t="inlineStr"/>
      <c r="U319" s="9" t="inlineStr">
        <is>
          <t>Chief Executive Officer of Hanover, overseeing capital, development and construction, previously chief investment officer.</t>
        </is>
      </c>
      <c r="V319" s="6" t="inlineStr">
        <is>
          <t>https://knowledge.uli.org/en/people/b/b/brandt-bowden-f34f</t>
        </is>
      </c>
      <c r="W319" s="6" t="inlineStr"/>
      <c r="X319" s="6" t="inlineStr">
        <is>
          <t>https://www.hanoverco.com/leadership</t>
        </is>
      </c>
      <c r="Y319" s="6" t="inlineStr"/>
      <c r="Z319" s="6" t="inlineStr">
        <is>
          <t>(713) 267-2100</t>
        </is>
      </c>
      <c r="AA319" s="6" t="inlineStr"/>
      <c r="AB319" s="6" t="inlineStr">
        <is>
          <t>https://www.hanoverco.com/</t>
        </is>
      </c>
      <c r="AC319" s="6" t="inlineStr"/>
      <c r="AD319" s="6" t="inlineStr"/>
    </row>
    <row r="320">
      <c r="A320" s="12" t="inlineStr">
        <is>
          <t>Murry Bowden</t>
        </is>
      </c>
      <c r="B320" s="12" t="inlineStr">
        <is>
          <t>The Hanover Company</t>
        </is>
      </c>
      <c r="C320" s="12" t="inlineStr">
        <is>
          <t>Founder and Executive Chairman</t>
        </is>
      </c>
      <c r="D320" s="13" t="inlineStr">
        <is>
          <t>Held off the deck</t>
        </is>
      </c>
      <c r="E320" s="14" t="n">
        <v>1</v>
      </c>
      <c r="F320" s="12" t="inlineStr">
        <is>
          <t>Buys walls</t>
        </is>
      </c>
      <c r="G320" s="12" t="inlineStr">
        <is>
          <t>Houston HQ, Harris County</t>
        </is>
      </c>
      <c r="H320" s="12" t="inlineStr">
        <is>
          <t>19 markets, in-house construction arm</t>
        </is>
      </c>
      <c r="I320" s="14" t="inlineStr">
        <is>
          <t>Yes</t>
        </is>
      </c>
      <c r="J320" s="15" t="inlineStr"/>
      <c r="K320" s="14" t="inlineStr">
        <is>
          <t>No</t>
        </is>
      </c>
      <c r="L320" s="15" t="inlineStr"/>
      <c r="M320" s="14" t="inlineStr">
        <is>
          <t>No</t>
        </is>
      </c>
      <c r="N320" s="15" t="inlineStr"/>
      <c r="O320" s="10" t="inlineStr"/>
      <c r="P320" s="12">
        <f>HYPERLINK("https://www.linkedin.com/search/results/people/?keywords=Murry%20Bowden%20The%20Hanover%20Company","search")</f>
        <v/>
      </c>
      <c r="Q320" s="16">
        <f>IF(O320="","ADD LINKEDIN","ok")</f>
        <v/>
      </c>
      <c r="R320" s="12" t="inlineStr">
        <is>
          <t>https://www.hanoverco.com/</t>
        </is>
      </c>
      <c r="S320" s="15" t="inlineStr">
        <is>
          <t>An in-house construction arm and a Houston HQ since 1982, but no Houston project could be sourced.</t>
        </is>
      </c>
      <c r="T320" s="12" t="inlineStr"/>
      <c r="U320" s="15" t="inlineStr">
        <is>
          <t>Founder, Chairman and Chief Executive Officer, responsible for strategy and investment decisions.</t>
        </is>
      </c>
      <c r="V320" s="12" t="inlineStr">
        <is>
          <t>https://www.nmhc.org/meetings/meetings-pages/meeting-materials/j-murry-bowden-biography/</t>
        </is>
      </c>
      <c r="W320" s="12" t="inlineStr"/>
      <c r="X320" s="12" t="inlineStr">
        <is>
          <t>https://www.hanoverco.com/leadership</t>
        </is>
      </c>
      <c r="Y320" s="12" t="inlineStr"/>
      <c r="Z320" s="12" t="inlineStr">
        <is>
          <t>(713) 267-2100</t>
        </is>
      </c>
      <c r="AA320" s="12" t="inlineStr"/>
      <c r="AB320" s="12" t="inlineStr">
        <is>
          <t>https://www.hanoverco.com/</t>
        </is>
      </c>
      <c r="AC320" s="12" t="inlineStr"/>
      <c r="AD320" s="12" t="inlineStr"/>
    </row>
    <row r="321">
      <c r="A321" s="6" t="inlineStr">
        <is>
          <t>John Nash</t>
        </is>
      </c>
      <c r="B321" s="6" t="inlineStr">
        <is>
          <t>The Hanover Company</t>
        </is>
      </c>
      <c r="C321" s="6" t="inlineStr">
        <is>
          <t>President</t>
        </is>
      </c>
      <c r="D321" s="7" t="inlineStr">
        <is>
          <t>Held off the deck</t>
        </is>
      </c>
      <c r="E321" s="8" t="n">
        <v>1</v>
      </c>
      <c r="F321" s="6" t="inlineStr">
        <is>
          <t>Buys walls</t>
        </is>
      </c>
      <c r="G321" s="6" t="inlineStr">
        <is>
          <t>Houston HQ, Harris County</t>
        </is>
      </c>
      <c r="H321" s="6" t="inlineStr">
        <is>
          <t>19 markets, in-house construction arm</t>
        </is>
      </c>
      <c r="I321" s="8" t="inlineStr">
        <is>
          <t>Yes</t>
        </is>
      </c>
      <c r="J321" s="9" t="inlineStr"/>
      <c r="K321" s="8" t="inlineStr">
        <is>
          <t>No</t>
        </is>
      </c>
      <c r="L321" s="9" t="inlineStr"/>
      <c r="M321" s="8" t="inlineStr">
        <is>
          <t>No</t>
        </is>
      </c>
      <c r="N321" s="9" t="inlineStr"/>
      <c r="O321" s="10" t="inlineStr"/>
      <c r="P321" s="6">
        <f>HYPERLINK("https://www.linkedin.com/search/results/people/?keywords=John%20Nash%20The%20Hanover%20Company","search")</f>
        <v/>
      </c>
      <c r="Q321" s="11">
        <f>IF(O321="","ADD LINKEDIN","ok")</f>
        <v/>
      </c>
      <c r="R321" s="6" t="inlineStr">
        <is>
          <t>https://www.hanoverco.com/</t>
        </is>
      </c>
      <c r="S321" s="9" t="inlineStr">
        <is>
          <t>An in-house construction arm and a Houston HQ since 1982, but no Houston project could be sourced.</t>
        </is>
      </c>
      <c r="T321" s="6" t="inlineStr"/>
      <c r="U321" s="9" t="inlineStr">
        <is>
          <t>President. Thirty-three years with Hanover, twenty-three of them as president, per the McCombs alumni network.</t>
        </is>
      </c>
      <c r="V321" s="6" t="inlineStr">
        <is>
          <t>https://www.hanoverco.com/leadership</t>
        </is>
      </c>
      <c r="W321" s="6" t="inlineStr"/>
      <c r="X321" s="6" t="inlineStr">
        <is>
          <t>https://www.hanoverco.com/leadership</t>
        </is>
      </c>
      <c r="Y321" s="6" t="inlineStr"/>
      <c r="Z321" s="6" t="inlineStr">
        <is>
          <t>(713) 267-2100</t>
        </is>
      </c>
      <c r="AA321" s="6" t="inlineStr"/>
      <c r="AB321" s="6" t="inlineStr">
        <is>
          <t>https://www.hanoverco.com/</t>
        </is>
      </c>
      <c r="AC321" s="6" t="inlineStr"/>
      <c r="AD321" s="6" t="inlineStr"/>
    </row>
    <row r="322">
      <c r="A322" s="12" t="inlineStr">
        <is>
          <t>John Garibaldi</t>
        </is>
      </c>
      <c r="B322" s="12" t="inlineStr">
        <is>
          <t>The Hanover Company</t>
        </is>
      </c>
      <c r="C322" s="12" t="inlineStr">
        <is>
          <t>President, Multifamily</t>
        </is>
      </c>
      <c r="D322" s="13" t="inlineStr">
        <is>
          <t>Held off the deck</t>
        </is>
      </c>
      <c r="E322" s="14" t="n">
        <v>1</v>
      </c>
      <c r="F322" s="12" t="inlineStr">
        <is>
          <t>Buys walls</t>
        </is>
      </c>
      <c r="G322" s="12" t="inlineStr">
        <is>
          <t>Houston HQ, Harris County</t>
        </is>
      </c>
      <c r="H322" s="12" t="inlineStr">
        <is>
          <t>19 markets, in-house construction arm</t>
        </is>
      </c>
      <c r="I322" s="14" t="inlineStr">
        <is>
          <t>Yes</t>
        </is>
      </c>
      <c r="J322" s="15" t="inlineStr"/>
      <c r="K322" s="14" t="inlineStr">
        <is>
          <t>No</t>
        </is>
      </c>
      <c r="L322" s="15" t="inlineStr"/>
      <c r="M322" s="14" t="inlineStr">
        <is>
          <t>No</t>
        </is>
      </c>
      <c r="N322" s="15" t="inlineStr"/>
      <c r="O322" s="10" t="inlineStr"/>
      <c r="P322" s="12">
        <f>HYPERLINK("https://www.linkedin.com/search/results/people/?keywords=John%20Garibaldi%20The%20Hanover%20Company","search")</f>
        <v/>
      </c>
      <c r="Q322" s="16">
        <f>IF(O322="","ADD LINKEDIN","ok")</f>
        <v/>
      </c>
      <c r="R322" s="12" t="inlineStr">
        <is>
          <t>https://www.hanoverco.com/</t>
        </is>
      </c>
      <c r="S322" s="15" t="inlineStr">
        <is>
          <t>An in-house construction arm and a Houston HQ since 1982, but no Houston project could be sourced.</t>
        </is>
      </c>
      <c r="T322" s="12" t="inlineStr"/>
      <c r="U322" s="15" t="inlineStr">
        <is>
          <t>President, Multifamily. Twenty-five years with the firm, starting as a development partner in Houston in 1999.</t>
        </is>
      </c>
      <c r="V322" s="12" t="inlineStr">
        <is>
          <t>https://www.hanoverco.com/leadership</t>
        </is>
      </c>
      <c r="W322" s="12" t="inlineStr"/>
      <c r="X322" s="12" t="inlineStr">
        <is>
          <t>https://www.hanoverco.com/leadership</t>
        </is>
      </c>
      <c r="Y322" s="12" t="inlineStr"/>
      <c r="Z322" s="12" t="inlineStr">
        <is>
          <t>(713) 267-2100</t>
        </is>
      </c>
      <c r="AA322" s="12" t="inlineStr"/>
      <c r="AB322" s="12" t="inlineStr">
        <is>
          <t>https://www.hanoverco.com/</t>
        </is>
      </c>
      <c r="AC322" s="12" t="inlineStr"/>
      <c r="AD322" s="12" t="inlineStr"/>
    </row>
    <row r="323">
      <c r="A323" s="6" t="inlineStr">
        <is>
          <t>Thomas Knutson</t>
        </is>
      </c>
      <c r="B323" s="6" t="inlineStr">
        <is>
          <t>The Hanover Company</t>
        </is>
      </c>
      <c r="C323" s="6" t="inlineStr">
        <is>
          <t>President of Construction, The Hanover Company</t>
        </is>
      </c>
      <c r="D323" s="7" t="inlineStr">
        <is>
          <t>Held off the deck</t>
        </is>
      </c>
      <c r="E323" s="8" t="n">
        <v>1</v>
      </c>
      <c r="F323" s="6" t="inlineStr">
        <is>
          <t>Buys walls</t>
        </is>
      </c>
      <c r="G323" s="6" t="inlineStr">
        <is>
          <t>Houston HQ, Harris County</t>
        </is>
      </c>
      <c r="H323" s="6" t="inlineStr">
        <is>
          <t>19 markets, in-house construction arm</t>
        </is>
      </c>
      <c r="I323" s="8" t="inlineStr">
        <is>
          <t>Yes</t>
        </is>
      </c>
      <c r="J323" s="9" t="inlineStr"/>
      <c r="K323" s="8" t="inlineStr">
        <is>
          <t>No</t>
        </is>
      </c>
      <c r="L323" s="9" t="inlineStr"/>
      <c r="M323" s="8" t="inlineStr">
        <is>
          <t>No</t>
        </is>
      </c>
      <c r="N323" s="9" t="inlineStr"/>
      <c r="O323" s="6" t="inlineStr">
        <is>
          <t>https://www.linkedin.com/in/thomas-knutson-a741898/</t>
        </is>
      </c>
      <c r="P323" s="6" t="inlineStr"/>
      <c r="Q323" s="11">
        <f>IF(O323="","ADD LINKEDIN","ok")</f>
        <v/>
      </c>
      <c r="R323" s="6" t="inlineStr">
        <is>
          <t>https://www.hanoverco.com/</t>
        </is>
      </c>
      <c r="S323" s="9" t="inlineStr">
        <is>
          <t>An in-house construction arm and a Houston HQ since 1982, but no Houston project could be sourced.</t>
        </is>
      </c>
      <c r="T323" s="6" t="inlineStr">
        <is>
          <t>YES</t>
        </is>
      </c>
      <c r="U323" s="9" t="inlineStr">
        <is>
          <t>President - Construction at The Hanover Company. Houston, Texas. Hanover builds its own work, so this is the head of the in-house contractor.</t>
        </is>
      </c>
      <c r="V323" s="6" t="inlineStr"/>
      <c r="W323" s="6" t="inlineStr"/>
      <c r="X323" s="6" t="inlineStr">
        <is>
          <t>https://www.hanoverco.com/leadership</t>
        </is>
      </c>
      <c r="Y323" s="6" t="inlineStr"/>
      <c r="Z323" s="6" t="inlineStr">
        <is>
          <t>(713) 267-2100</t>
        </is>
      </c>
      <c r="AA323" s="6" t="inlineStr"/>
      <c r="AB323" s="6" t="inlineStr">
        <is>
          <t>https://www.hanoverco.com/</t>
        </is>
      </c>
      <c r="AC323" s="6" t="inlineStr"/>
      <c r="AD323" s="6" t="inlineStr"/>
    </row>
    <row r="324">
      <c r="A324" s="12" t="inlineStr">
        <is>
          <t>Mike Wright</t>
        </is>
      </c>
      <c r="B324" s="12" t="inlineStr">
        <is>
          <t>The Hanover Company</t>
        </is>
      </c>
      <c r="C324" s="12" t="inlineStr">
        <is>
          <t>Vice President of Preconstruction and Estimating, The Hanover Company</t>
        </is>
      </c>
      <c r="D324" s="13" t="inlineStr">
        <is>
          <t>Held off the deck</t>
        </is>
      </c>
      <c r="E324" s="14" t="n">
        <v>1</v>
      </c>
      <c r="F324" s="12" t="inlineStr">
        <is>
          <t>Buys walls</t>
        </is>
      </c>
      <c r="G324" s="12" t="inlineStr">
        <is>
          <t>Houston HQ, Harris County</t>
        </is>
      </c>
      <c r="H324" s="12" t="inlineStr">
        <is>
          <t>19 markets, in-house construction arm</t>
        </is>
      </c>
      <c r="I324" s="14" t="inlineStr">
        <is>
          <t>Yes</t>
        </is>
      </c>
      <c r="J324" s="15" t="inlineStr"/>
      <c r="K324" s="14" t="inlineStr">
        <is>
          <t>No</t>
        </is>
      </c>
      <c r="L324" s="15" t="inlineStr"/>
      <c r="M324" s="14" t="inlineStr">
        <is>
          <t>No</t>
        </is>
      </c>
      <c r="N324" s="15" t="inlineStr"/>
      <c r="O324" s="6" t="inlineStr">
        <is>
          <t>https://www.linkedin.com/in/mike-wright-7795a8b/</t>
        </is>
      </c>
      <c r="P324" s="12" t="inlineStr"/>
      <c r="Q324" s="16">
        <f>IF(O324="","ADD LINKEDIN","ok")</f>
        <v/>
      </c>
      <c r="R324" s="12" t="inlineStr">
        <is>
          <t>https://www.hanoverco.com/</t>
        </is>
      </c>
      <c r="S324" s="15" t="inlineStr">
        <is>
          <t>An in-house construction arm and a Houston HQ since 1982, but no Houston project could be sourced.</t>
        </is>
      </c>
      <c r="T324" s="12" t="inlineStr">
        <is>
          <t>YES</t>
        </is>
      </c>
      <c r="U324" s="15" t="inlineStr">
        <is>
          <t>Vice President of Preconstruction &amp; Estimating at The Hanover Company. Katy, Texas. Preconstruction is where an unfamiliar wall system gets priced or dismissed, so this is the first real test of a printed assembly.</t>
        </is>
      </c>
      <c r="V324" s="12" t="inlineStr"/>
      <c r="W324" s="12" t="inlineStr"/>
      <c r="X324" s="12" t="inlineStr">
        <is>
          <t>https://www.hanoverco.com/leadership</t>
        </is>
      </c>
      <c r="Y324" s="12" t="inlineStr"/>
      <c r="Z324" s="12" t="inlineStr">
        <is>
          <t>(713) 267-2100</t>
        </is>
      </c>
      <c r="AA324" s="12" t="inlineStr"/>
      <c r="AB324" s="12" t="inlineStr">
        <is>
          <t>https://www.hanoverco.com/</t>
        </is>
      </c>
      <c r="AC324" s="12" t="inlineStr"/>
      <c r="AD324" s="12" t="inlineStr"/>
    </row>
    <row r="325">
      <c r="A325" s="6" t="inlineStr">
        <is>
          <t>Jeff Read</t>
        </is>
      </c>
      <c r="B325" s="6" t="inlineStr">
        <is>
          <t>Read King</t>
        </is>
      </c>
      <c r="C325" s="6" t="inlineStr">
        <is>
          <t>Principal and Co-Founder</t>
        </is>
      </c>
      <c r="D325" s="7" t="inlineStr">
        <is>
          <t>Held off the deck</t>
        </is>
      </c>
      <c r="E325" s="8" t="n">
        <v>1</v>
      </c>
      <c r="F325" s="6" t="inlineStr">
        <is>
          <t>Buys walls</t>
        </is>
      </c>
      <c r="G325" s="6" t="inlineStr">
        <is>
          <t>Houston HQ / Fort Bend, Harris</t>
        </is>
      </c>
      <c r="H325" s="6" t="inlineStr">
        <is>
          <t>36 freestanding ER centres, 100+ build-to-suit</t>
        </is>
      </c>
      <c r="I325" s="8" t="inlineStr">
        <is>
          <t>Yes</t>
        </is>
      </c>
      <c r="J325" s="9" t="inlineStr"/>
      <c r="K325" s="8" t="inlineStr">
        <is>
          <t>No</t>
        </is>
      </c>
      <c r="L325" s="9" t="inlineStr"/>
      <c r="M325" s="8" t="inlineStr">
        <is>
          <t>No</t>
        </is>
      </c>
      <c r="N325" s="9" t="inlineStr"/>
      <c r="O325" s="10" t="inlineStr"/>
      <c r="P325" s="6">
        <f>HYPERLINK("https://www.linkedin.com/search/results/people/?keywords=Jeff%20Read%20Read%20King","search")</f>
        <v/>
      </c>
      <c r="Q325" s="11">
        <f>IF(O325="","ADD LINKEDIN","ok")</f>
        <v/>
      </c>
      <c r="R325" s="6" t="inlineStr">
        <is>
          <t>https://read-king.com/</t>
        </is>
      </c>
      <c r="S325" s="9" t="inlineStr">
        <is>
          <t>36 freestanding emergency centres and over 100 build-to-suits, the most repeated small-commercial format screened.</t>
        </is>
      </c>
      <c r="T325" s="6" t="inlineStr"/>
      <c r="U325" s="9" t="inlineStr"/>
      <c r="V325" s="6" t="inlineStr">
        <is>
          <t>https://www.read-king.com/team</t>
        </is>
      </c>
      <c r="W325" s="6" t="inlineStr">
        <is>
          <t>https://www.linkedin.com/company/read-king-inc-</t>
        </is>
      </c>
      <c r="X325" s="6" t="inlineStr">
        <is>
          <t>https://www.read-king.com/team</t>
        </is>
      </c>
      <c r="Y325" s="6" t="inlineStr"/>
      <c r="Z325" s="6" t="inlineStr">
        <is>
          <t>(713) 782-9000</t>
        </is>
      </c>
      <c r="AA325" s="6" t="inlineStr"/>
      <c r="AB325" s="6" t="inlineStr">
        <is>
          <t>https://read-king.com/</t>
        </is>
      </c>
      <c r="AC325" s="6" t="inlineStr"/>
      <c r="AD325" s="6" t="inlineStr"/>
    </row>
    <row r="326">
      <c r="A326" s="12" t="inlineStr">
        <is>
          <t>Ewing King</t>
        </is>
      </c>
      <c r="B326" s="12" t="inlineStr">
        <is>
          <t>Read King</t>
        </is>
      </c>
      <c r="C326" s="12" t="inlineStr">
        <is>
          <t>Principal</t>
        </is>
      </c>
      <c r="D326" s="13" t="inlineStr">
        <is>
          <t>Held off the deck</t>
        </is>
      </c>
      <c r="E326" s="14" t="n">
        <v>1</v>
      </c>
      <c r="F326" s="12" t="inlineStr">
        <is>
          <t>Buys walls</t>
        </is>
      </c>
      <c r="G326" s="12" t="inlineStr">
        <is>
          <t>Houston HQ / Fort Bend, Harris</t>
        </is>
      </c>
      <c r="H326" s="12" t="inlineStr">
        <is>
          <t>36 freestanding ER centres, 100+ build-to-suit</t>
        </is>
      </c>
      <c r="I326" s="14" t="inlineStr">
        <is>
          <t>Yes</t>
        </is>
      </c>
      <c r="J326" s="15" t="inlineStr"/>
      <c r="K326" s="14" t="inlineStr">
        <is>
          <t>No</t>
        </is>
      </c>
      <c r="L326" s="15" t="inlineStr"/>
      <c r="M326" s="14" t="inlineStr">
        <is>
          <t>No</t>
        </is>
      </c>
      <c r="N326" s="15" t="inlineStr"/>
      <c r="O326" s="10" t="inlineStr"/>
      <c r="P326" s="12">
        <f>HYPERLINK("https://www.linkedin.com/search/results/people/?keywords=Ewing%20King%20Read%20King","search")</f>
        <v/>
      </c>
      <c r="Q326" s="16">
        <f>IF(O326="","ADD LINKEDIN","ok")</f>
        <v/>
      </c>
      <c r="R326" s="12" t="inlineStr">
        <is>
          <t>https://read-king.com/</t>
        </is>
      </c>
      <c r="S326" s="15" t="inlineStr">
        <is>
          <t>36 freestanding emergency centres and over 100 build-to-suits, the most repeated small-commercial format screened.</t>
        </is>
      </c>
      <c r="T326" s="12" t="inlineStr"/>
      <c r="U326" s="15" t="inlineStr"/>
      <c r="V326" s="12" t="inlineStr">
        <is>
          <t>https://www.read-king.com/team</t>
        </is>
      </c>
      <c r="W326" s="12" t="inlineStr">
        <is>
          <t>https://www.linkedin.com/company/read-king-inc-</t>
        </is>
      </c>
      <c r="X326" s="12" t="inlineStr">
        <is>
          <t>https://www.read-king.com/team</t>
        </is>
      </c>
      <c r="Y326" s="12" t="inlineStr"/>
      <c r="Z326" s="12" t="inlineStr">
        <is>
          <t>(713) 782-9000</t>
        </is>
      </c>
      <c r="AA326" s="12" t="inlineStr"/>
      <c r="AB326" s="12" t="inlineStr">
        <is>
          <t>https://read-king.com/</t>
        </is>
      </c>
      <c r="AC326" s="12" t="inlineStr"/>
      <c r="AD326" s="12" t="inlineStr"/>
    </row>
    <row r="327">
      <c r="A327" s="6" t="inlineStr">
        <is>
          <t>Blake Allen</t>
        </is>
      </c>
      <c r="B327" s="6" t="inlineStr">
        <is>
          <t>Read King</t>
        </is>
      </c>
      <c r="C327" s="6" t="inlineStr">
        <is>
          <t>Chief Financial Officer</t>
        </is>
      </c>
      <c r="D327" s="7" t="inlineStr">
        <is>
          <t>Held off the deck</t>
        </is>
      </c>
      <c r="E327" s="8" t="n">
        <v>1</v>
      </c>
      <c r="F327" s="6" t="inlineStr">
        <is>
          <t>Buys walls</t>
        </is>
      </c>
      <c r="G327" s="6" t="inlineStr">
        <is>
          <t>Houston HQ / Fort Bend, Harris</t>
        </is>
      </c>
      <c r="H327" s="6" t="inlineStr">
        <is>
          <t>36 freestanding ER centres, 100+ build-to-suit</t>
        </is>
      </c>
      <c r="I327" s="8" t="inlineStr">
        <is>
          <t>Yes</t>
        </is>
      </c>
      <c r="J327" s="9" t="inlineStr"/>
      <c r="K327" s="8" t="inlineStr">
        <is>
          <t>No</t>
        </is>
      </c>
      <c r="L327" s="9" t="inlineStr"/>
      <c r="M327" s="8" t="inlineStr">
        <is>
          <t>No</t>
        </is>
      </c>
      <c r="N327" s="9" t="inlineStr"/>
      <c r="O327" s="10" t="inlineStr"/>
      <c r="P327" s="6">
        <f>HYPERLINK("https://www.linkedin.com/search/results/people/?keywords=Blake%20Allen%20Read%20King","search")</f>
        <v/>
      </c>
      <c r="Q327" s="11">
        <f>IF(O327="","ADD LINKEDIN","ok")</f>
        <v/>
      </c>
      <c r="R327" s="6" t="inlineStr">
        <is>
          <t>https://read-king.com/</t>
        </is>
      </c>
      <c r="S327" s="9" t="inlineStr">
        <is>
          <t>36 freestanding emergency centres and over 100 build-to-suits, the most repeated small-commercial format screened.</t>
        </is>
      </c>
      <c r="T327" s="6" t="inlineStr"/>
      <c r="U327" s="9" t="inlineStr"/>
      <c r="V327" s="6" t="inlineStr">
        <is>
          <t>https://www.read-king.com/team</t>
        </is>
      </c>
      <c r="W327" s="6" t="inlineStr">
        <is>
          <t>https://www.linkedin.com/company/read-king-inc-</t>
        </is>
      </c>
      <c r="X327" s="6" t="inlineStr">
        <is>
          <t>https://www.read-king.com/team</t>
        </is>
      </c>
      <c r="Y327" s="6" t="inlineStr"/>
      <c r="Z327" s="6" t="inlineStr">
        <is>
          <t>(713) 782-9000</t>
        </is>
      </c>
      <c r="AA327" s="6" t="inlineStr"/>
      <c r="AB327" s="6" t="inlineStr">
        <is>
          <t>https://read-king.com/</t>
        </is>
      </c>
      <c r="AC327" s="6" t="inlineStr"/>
      <c r="AD327" s="6" t="inlineStr"/>
    </row>
    <row r="328">
      <c r="A328" s="12" t="inlineStr">
        <is>
          <t>Telisia Amaning</t>
        </is>
      </c>
      <c r="B328" s="12" t="inlineStr">
        <is>
          <t>Read King</t>
        </is>
      </c>
      <c r="C328" s="12" t="inlineStr">
        <is>
          <t>Chief Operating Officer</t>
        </is>
      </c>
      <c r="D328" s="13" t="inlineStr">
        <is>
          <t>Held off the deck</t>
        </is>
      </c>
      <c r="E328" s="14" t="n">
        <v>1</v>
      </c>
      <c r="F328" s="12" t="inlineStr">
        <is>
          <t>Buys walls</t>
        </is>
      </c>
      <c r="G328" s="12" t="inlineStr">
        <is>
          <t>Houston HQ / Fort Bend, Harris</t>
        </is>
      </c>
      <c r="H328" s="12" t="inlineStr">
        <is>
          <t>36 freestanding ER centres, 100+ build-to-suit</t>
        </is>
      </c>
      <c r="I328" s="14" t="inlineStr">
        <is>
          <t>Yes</t>
        </is>
      </c>
      <c r="J328" s="15" t="inlineStr"/>
      <c r="K328" s="14" t="inlineStr">
        <is>
          <t>No</t>
        </is>
      </c>
      <c r="L328" s="15" t="inlineStr"/>
      <c r="M328" s="14" t="inlineStr">
        <is>
          <t>No</t>
        </is>
      </c>
      <c r="N328" s="15" t="inlineStr"/>
      <c r="O328" s="6" t="inlineStr">
        <is>
          <t>https://www.linkedin.com/in/telisiaamaning/</t>
        </is>
      </c>
      <c r="P328" s="12" t="inlineStr"/>
      <c r="Q328" s="16">
        <f>IF(O328="","ADD LINKEDIN","ok")</f>
        <v/>
      </c>
      <c r="R328" s="12" t="inlineStr">
        <is>
          <t>https://read-king.com/</t>
        </is>
      </c>
      <c r="S328" s="15" t="inlineStr">
        <is>
          <t>36 freestanding emergency centres and over 100 build-to-suits, the most repeated small-commercial format screened.</t>
        </is>
      </c>
      <c r="T328" s="12" t="inlineStr"/>
      <c r="U328" s="15" t="inlineStr">
        <is>
          <t>Chief Operating Officer, READ KING. Houston, Texas.</t>
        </is>
      </c>
      <c r="V328" s="12" t="inlineStr"/>
      <c r="W328" s="12" t="inlineStr">
        <is>
          <t>https://www.linkedin.com/company/read-king-inc-</t>
        </is>
      </c>
      <c r="X328" s="12" t="inlineStr">
        <is>
          <t>https://www.read-king.com/team</t>
        </is>
      </c>
      <c r="Y328" s="12" t="inlineStr"/>
      <c r="Z328" s="12" t="inlineStr">
        <is>
          <t>(713) 782-9000</t>
        </is>
      </c>
      <c r="AA328" s="12" t="inlineStr"/>
      <c r="AB328" s="12" t="inlineStr">
        <is>
          <t>https://read-king.com/</t>
        </is>
      </c>
      <c r="AC328" s="12" t="inlineStr"/>
      <c r="AD328" s="12" t="inlineStr"/>
    </row>
    <row r="329">
      <c r="A329" s="6" t="inlineStr">
        <is>
          <t>Alex Jessett</t>
        </is>
      </c>
      <c r="B329" s="6" t="inlineStr">
        <is>
          <t>Camden Property Trust</t>
        </is>
      </c>
      <c r="C329" s="6" t="inlineStr">
        <is>
          <t>Chief Executive Officer</t>
        </is>
      </c>
      <c r="D329" s="7" t="inlineStr">
        <is>
          <t>Held off the deck</t>
        </is>
      </c>
      <c r="E329" s="8" t="n">
        <v>1</v>
      </c>
      <c r="F329" s="6" t="inlineStr">
        <is>
          <t>Buys walls</t>
        </is>
      </c>
      <c r="G329" s="6" t="inlineStr">
        <is>
          <t>Houston HQ / Fort Bend, Montgomery</t>
        </is>
      </c>
      <c r="H329" s="6" t="inlineStr">
        <is>
          <t>$155M into 389 BTR homes</t>
        </is>
      </c>
      <c r="I329" s="8" t="inlineStr">
        <is>
          <t>Partly</t>
        </is>
      </c>
      <c r="J329" s="9" t="inlineStr"/>
      <c r="K329" s="8" t="inlineStr">
        <is>
          <t>No</t>
        </is>
      </c>
      <c r="L329" s="9" t="inlineStr"/>
      <c r="M329" s="8" t="inlineStr">
        <is>
          <t>No</t>
        </is>
      </c>
      <c r="N329" s="9" t="inlineStr"/>
      <c r="O329" s="10" t="inlineStr"/>
      <c r="P329" s="6">
        <f>HYPERLINK("https://www.linkedin.com/search/results/people/?keywords=Alex%20Jessett%20Camden%20Property%20Trust","search")</f>
        <v/>
      </c>
      <c r="Q329" s="11">
        <f>IF(O329="","ADD LINKEDIN","ok")</f>
        <v/>
      </c>
      <c r="R329" s="6" t="inlineStr">
        <is>
          <t>https://www.camdenliving.com/</t>
        </is>
      </c>
      <c r="S329" s="9" t="inlineStr">
        <is>
          <t>$155M into 389 build-to-rent homes, Houston HQ, holds long term. Figures date to 2022.</t>
        </is>
      </c>
      <c r="T329" s="6" t="inlineStr"/>
      <c r="U329" s="9" t="inlineStr">
        <is>
          <t>Chief Executive Officer, previously President and Chief Financial Officer, at Camden since 1999.</t>
        </is>
      </c>
      <c r="V329" s="6" t="inlineStr">
        <is>
          <t>https://investors.camdenliving.com/investors/governance/board-of-directors/default.aspx</t>
        </is>
      </c>
      <c r="W329" s="6" t="inlineStr">
        <is>
          <t>https://www.linkedin.com/company/camden-property-trust</t>
        </is>
      </c>
      <c r="X329" s="6" t="inlineStr">
        <is>
          <t>https://investors.camdenliving.com/investors/governance/board-of-directors/default.aspx</t>
        </is>
      </c>
      <c r="Y329" s="6" t="inlineStr"/>
      <c r="Z329" s="6" t="inlineStr">
        <is>
          <t>(713) 354-2500</t>
        </is>
      </c>
      <c r="AA329" s="6" t="inlineStr"/>
      <c r="AB329" s="6" t="inlineStr">
        <is>
          <t>https://www.camdenliving.com/</t>
        </is>
      </c>
      <c r="AC329" s="6" t="inlineStr"/>
      <c r="AD329" s="6" t="inlineStr"/>
    </row>
    <row r="330">
      <c r="A330" s="12" t="inlineStr">
        <is>
          <t>Richard J. Campo</t>
        </is>
      </c>
      <c r="B330" s="12" t="inlineStr">
        <is>
          <t>Camden Property Trust</t>
        </is>
      </c>
      <c r="C330" s="12" t="inlineStr">
        <is>
          <t>Executive Chairman of the Board of Trust Managers</t>
        </is>
      </c>
      <c r="D330" s="13" t="inlineStr">
        <is>
          <t>Held off the deck</t>
        </is>
      </c>
      <c r="E330" s="14" t="n">
        <v>1</v>
      </c>
      <c r="F330" s="12" t="inlineStr">
        <is>
          <t>Buys walls</t>
        </is>
      </c>
      <c r="G330" s="12" t="inlineStr">
        <is>
          <t>Houston HQ / Fort Bend, Montgomery</t>
        </is>
      </c>
      <c r="H330" s="12" t="inlineStr">
        <is>
          <t>$155M into 389 BTR homes</t>
        </is>
      </c>
      <c r="I330" s="14" t="inlineStr">
        <is>
          <t>Partly</t>
        </is>
      </c>
      <c r="J330" s="15" t="inlineStr"/>
      <c r="K330" s="14" t="inlineStr">
        <is>
          <t>No</t>
        </is>
      </c>
      <c r="L330" s="15" t="inlineStr"/>
      <c r="M330" s="14" t="inlineStr">
        <is>
          <t>No</t>
        </is>
      </c>
      <c r="N330" s="15" t="inlineStr"/>
      <c r="O330" s="10" t="inlineStr"/>
      <c r="P330" s="12">
        <f>HYPERLINK("https://www.linkedin.com/search/results/people/?keywords=Richard%20J.%20Campo%20Camden%20Property%20Trust","search")</f>
        <v/>
      </c>
      <c r="Q330" s="16">
        <f>IF(O330="","ADD LINKEDIN","ok")</f>
        <v/>
      </c>
      <c r="R330" s="12" t="inlineStr">
        <is>
          <t>https://www.camdenliving.com/</t>
        </is>
      </c>
      <c r="S330" s="15" t="inlineStr">
        <is>
          <t>$155M into 389 build-to-rent homes, Houston HQ, holds long term. Figures date to 2022.</t>
        </is>
      </c>
      <c r="T330" s="12" t="inlineStr"/>
      <c r="U330" s="15" t="inlineStr">
        <is>
          <t>Executive Chairman, chief executive from the 1993 listing until 2026.</t>
        </is>
      </c>
      <c r="V330" s="12" t="inlineStr">
        <is>
          <t>https://investors.camdenliving.com/investors/governance/board-of-directors/default.aspx</t>
        </is>
      </c>
      <c r="W330" s="12" t="inlineStr">
        <is>
          <t>https://www.linkedin.com/company/camden-property-trust</t>
        </is>
      </c>
      <c r="X330" s="12" t="inlineStr">
        <is>
          <t>https://investors.camdenliving.com/investors/governance/board-of-directors/default.aspx</t>
        </is>
      </c>
      <c r="Y330" s="12" t="inlineStr"/>
      <c r="Z330" s="12" t="inlineStr">
        <is>
          <t>(713) 354-2500</t>
        </is>
      </c>
      <c r="AA330" s="12" t="inlineStr"/>
      <c r="AB330" s="12" t="inlineStr">
        <is>
          <t>https://www.camdenliving.com/</t>
        </is>
      </c>
      <c r="AC330" s="12" t="inlineStr"/>
      <c r="AD330" s="12" t="inlineStr"/>
    </row>
    <row r="331">
      <c r="A331" s="6" t="inlineStr">
        <is>
          <t>Michael Eilertsen</t>
        </is>
      </c>
      <c r="B331" s="6" t="inlineStr">
        <is>
          <t>Camden Property Trust</t>
        </is>
      </c>
      <c r="C331" s="6" t="inlineStr">
        <is>
          <t>Vice President of Construction, Camden Property Trust</t>
        </is>
      </c>
      <c r="D331" s="7" t="inlineStr">
        <is>
          <t>Held off the deck</t>
        </is>
      </c>
      <c r="E331" s="8" t="n">
        <v>1</v>
      </c>
      <c r="F331" s="6" t="inlineStr">
        <is>
          <t>Buys walls</t>
        </is>
      </c>
      <c r="G331" s="6" t="inlineStr">
        <is>
          <t>Houston HQ / Fort Bend, Montgomery</t>
        </is>
      </c>
      <c r="H331" s="6" t="inlineStr">
        <is>
          <t>$155M into 389 BTR homes</t>
        </is>
      </c>
      <c r="I331" s="8" t="inlineStr">
        <is>
          <t>Partly</t>
        </is>
      </c>
      <c r="J331" s="9" t="inlineStr"/>
      <c r="K331" s="8" t="inlineStr">
        <is>
          <t>No</t>
        </is>
      </c>
      <c r="L331" s="9" t="inlineStr"/>
      <c r="M331" s="8" t="inlineStr">
        <is>
          <t>No</t>
        </is>
      </c>
      <c r="N331" s="9" t="inlineStr"/>
      <c r="O331" s="6" t="inlineStr">
        <is>
          <t>https://www.linkedin.com/in/michael-eilertsen-68a59911/</t>
        </is>
      </c>
      <c r="P331" s="6" t="inlineStr"/>
      <c r="Q331" s="11">
        <f>IF(O331="","ADD LINKEDIN","ok")</f>
        <v/>
      </c>
      <c r="R331" s="6" t="inlineStr">
        <is>
          <t>https://www.camdenliving.com/</t>
        </is>
      </c>
      <c r="S331" s="9" t="inlineStr">
        <is>
          <t>$155M into 389 build-to-rent homes, Houston HQ, holds long term. Figures date to 2022.</t>
        </is>
      </c>
      <c r="T331" s="6" t="inlineStr">
        <is>
          <t>YES</t>
        </is>
      </c>
      <c r="U331" s="9" t="inlineStr"/>
      <c r="V331" s="6" t="inlineStr"/>
      <c r="W331" s="6" t="inlineStr">
        <is>
          <t>https://www.linkedin.com/company/camden-property-trust</t>
        </is>
      </c>
      <c r="X331" s="6" t="inlineStr">
        <is>
          <t>https://investors.camdenliving.com/investors/governance/board-of-directors/default.aspx</t>
        </is>
      </c>
      <c r="Y331" s="6" t="inlineStr"/>
      <c r="Z331" s="6" t="inlineStr">
        <is>
          <t>(713) 354-2500</t>
        </is>
      </c>
      <c r="AA331" s="6" t="inlineStr"/>
      <c r="AB331" s="6" t="inlineStr">
        <is>
          <t>https://www.camdenliving.com/</t>
        </is>
      </c>
      <c r="AC331" s="6" t="inlineStr"/>
      <c r="AD331" s="6" t="inlineStr"/>
    </row>
    <row r="332">
      <c r="A332" s="12" t="inlineStr">
        <is>
          <t>Bob Faith</t>
        </is>
      </c>
      <c r="B332" s="12" t="inlineStr">
        <is>
          <t>Greystar (Summerwell)</t>
        </is>
      </c>
      <c r="C332" s="12" t="inlineStr">
        <is>
          <t>Founder, Chairman and Chief Executive Officer</t>
        </is>
      </c>
      <c r="D332" s="13" t="inlineStr">
        <is>
          <t>Held off the deck</t>
        </is>
      </c>
      <c r="E332" s="14" t="n">
        <v>1</v>
      </c>
      <c r="F332" s="12" t="inlineStr">
        <is>
          <t>Buys walls</t>
        </is>
      </c>
      <c r="G332" s="12" t="inlineStr">
        <is>
          <t>Charleston HQ / Katy, Harris-Waller</t>
        </is>
      </c>
      <c r="H332" s="12" t="inlineStr">
        <is>
          <t>Summerwell: 10,000+ homes, 50 properties</t>
        </is>
      </c>
      <c r="I332" s="14" t="inlineStr">
        <is>
          <t>Partly</t>
        </is>
      </c>
      <c r="J332" s="15" t="inlineStr"/>
      <c r="K332" s="14" t="inlineStr">
        <is>
          <t>No</t>
        </is>
      </c>
      <c r="L332" s="15" t="inlineStr"/>
      <c r="M332" s="14" t="inlineStr">
        <is>
          <t>No</t>
        </is>
      </c>
      <c r="N332" s="15" t="inlineStr"/>
      <c r="O332" s="10" t="inlineStr"/>
      <c r="P332" s="12">
        <f>HYPERLINK("https://www.linkedin.com/search/results/people/?keywords=Bob%20Faith%20Greystar","search")</f>
        <v/>
      </c>
      <c r="Q332" s="16">
        <f>IF(O332="","ADD LINKEDIN","ok")</f>
        <v/>
      </c>
      <c r="R332" s="12" t="inlineStr">
        <is>
          <t>https://www.greystar.com/</t>
        </is>
      </c>
      <c r="S332" s="15" t="inlineStr">
        <is>
          <t>156 units inside Sunterra, a Houston-based development director, and a 10,000-home national brand. Costs withheld.</t>
        </is>
      </c>
      <c r="T332" s="12" t="inlineStr"/>
      <c r="U332" s="15" t="inlineStr"/>
      <c r="V332" s="12" t="inlineStr">
        <is>
          <t>https://www.greystar.com/contact-us/our-people/bob-faith</t>
        </is>
      </c>
      <c r="W332" s="12" t="inlineStr">
        <is>
          <t>https://www.linkedin.com/company/greystar</t>
        </is>
      </c>
      <c r="X332" s="12" t="inlineStr">
        <is>
          <t>https://www.greystar.com/business/about-greystar/our-leadership</t>
        </is>
      </c>
      <c r="Y332" s="12" t="inlineStr"/>
      <c r="Z332" s="12" t="inlineStr"/>
      <c r="AA332" s="12" t="inlineStr"/>
      <c r="AB332" s="12" t="inlineStr"/>
      <c r="AC332" s="12" t="inlineStr"/>
      <c r="AD332" s="12" t="inlineStr"/>
    </row>
    <row r="333">
      <c r="A333" s="6" t="inlineStr">
        <is>
          <t>Brian Herwald</t>
        </is>
      </c>
      <c r="B333" s="6" t="inlineStr">
        <is>
          <t>Greystar (Summerwell)</t>
        </is>
      </c>
      <c r="C333" s="6" t="inlineStr">
        <is>
          <t>Managing Director of Development, Houston</t>
        </is>
      </c>
      <c r="D333" s="7" t="inlineStr">
        <is>
          <t>Held off the deck</t>
        </is>
      </c>
      <c r="E333" s="8" t="n">
        <v>1</v>
      </c>
      <c r="F333" s="6" t="inlineStr">
        <is>
          <t>Buys walls</t>
        </is>
      </c>
      <c r="G333" s="6" t="inlineStr">
        <is>
          <t>Charleston HQ / Katy, Harris-Waller</t>
        </is>
      </c>
      <c r="H333" s="6" t="inlineStr">
        <is>
          <t>Summerwell: 10,000+ homes, 50 properties</t>
        </is>
      </c>
      <c r="I333" s="8" t="inlineStr">
        <is>
          <t>Partly</t>
        </is>
      </c>
      <c r="J333" s="9" t="inlineStr"/>
      <c r="K333" s="8" t="inlineStr">
        <is>
          <t>No</t>
        </is>
      </c>
      <c r="L333" s="9" t="inlineStr"/>
      <c r="M333" s="8" t="inlineStr">
        <is>
          <t>No</t>
        </is>
      </c>
      <c r="N333" s="9" t="inlineStr"/>
      <c r="O333" s="10" t="inlineStr"/>
      <c r="P333" s="6">
        <f>HYPERLINK("https://www.linkedin.com/search/results/people/?keywords=Brian%20Herwald%20Greystar","search")</f>
        <v/>
      </c>
      <c r="Q333" s="11">
        <f>IF(O333="","ADD LINKEDIN","ok")</f>
        <v/>
      </c>
      <c r="R333" s="6" t="inlineStr">
        <is>
          <t>https://www.greystar.com/</t>
        </is>
      </c>
      <c r="S333" s="9" t="inlineStr">
        <is>
          <t>156 units inside Sunterra, a Houston-based development director, and a 10,000-home national brand. Costs withheld.</t>
        </is>
      </c>
      <c r="T333" s="6" t="inlineStr"/>
      <c r="U333" s="9" t="inlineStr">
        <is>
          <t>Managing Director of Development, quoted on Greystar's first Houston logistics project.</t>
        </is>
      </c>
      <c r="V333" s="6" t="inlineStr">
        <is>
          <t>https://www.greystar.com/business/about-greystar/newsroom/greystar-completes-first-logistics-project-in-houston</t>
        </is>
      </c>
      <c r="W333" s="6" t="inlineStr">
        <is>
          <t>https://www.linkedin.com/company/greystar</t>
        </is>
      </c>
      <c r="X333" s="6" t="inlineStr">
        <is>
          <t>https://www.greystar.com/business/about-greystar/our-leadership</t>
        </is>
      </c>
      <c r="Y333" s="6" t="inlineStr"/>
      <c r="Z333" s="6" t="inlineStr"/>
      <c r="AA333" s="6" t="inlineStr"/>
      <c r="AB333" s="6" t="inlineStr"/>
      <c r="AC333" s="6" t="inlineStr"/>
      <c r="AD333" s="6" t="inlineStr"/>
    </row>
    <row r="334">
      <c r="A334" s="12" t="inlineStr">
        <is>
          <t>Brian Dinerstein</t>
        </is>
      </c>
      <c r="B334" s="12" t="inlineStr">
        <is>
          <t>The Dinerstein Companies</t>
        </is>
      </c>
      <c r="C334" s="12" t="inlineStr">
        <is>
          <t>Chief Executive Officer</t>
        </is>
      </c>
      <c r="D334" s="13" t="inlineStr">
        <is>
          <t>Held off the deck</t>
        </is>
      </c>
      <c r="E334" s="14" t="n">
        <v>1</v>
      </c>
      <c r="F334" s="12" t="inlineStr">
        <is>
          <t>Buys walls</t>
        </is>
      </c>
      <c r="G334" s="12" t="inlineStr">
        <is>
          <t>Houston HQ / Fort Bend</t>
        </is>
      </c>
      <c r="H334" s="12" t="inlineStr">
        <is>
          <t>186 BTR homes, Harrison Street JV</t>
        </is>
      </c>
      <c r="I334" s="14" t="inlineStr">
        <is>
          <t>Partly</t>
        </is>
      </c>
      <c r="J334" s="15" t="inlineStr"/>
      <c r="K334" s="14" t="inlineStr">
        <is>
          <t>No</t>
        </is>
      </c>
      <c r="L334" s="15" t="inlineStr"/>
      <c r="M334" s="14" t="inlineStr">
        <is>
          <t>No</t>
        </is>
      </c>
      <c r="N334" s="15" t="inlineStr"/>
      <c r="O334" s="10" t="inlineStr"/>
      <c r="P334" s="12">
        <f>HYPERLINK("https://www.linkedin.com/search/results/people/?keywords=Brian%20Dinerstein%20The%20Dinerstein%20Companies","search")</f>
        <v/>
      </c>
      <c r="Q334" s="16">
        <f>IF(O334="","ADD LINKEDIN","ok")</f>
        <v/>
      </c>
      <c r="R334" s="12" t="inlineStr">
        <is>
          <t>https://www.dinersteincos.com/</t>
        </is>
      </c>
      <c r="S334" s="15" t="inlineStr">
        <is>
          <t>186 build-to-rent homes with Harrison Street and 70 years in Houston. Launch coverage is amenities only.</t>
        </is>
      </c>
      <c r="T334" s="12" t="inlineStr"/>
      <c r="U334" s="15" t="inlineStr">
        <is>
          <t>The firm's own bio page. Chief Executive Officer of a developer and operator with $4.3 billion under management.</t>
        </is>
      </c>
      <c r="V334" s="12" t="inlineStr">
        <is>
          <t>https://www.dinersteincos.com/team/brian-dinerstein</t>
        </is>
      </c>
      <c r="W334" s="12" t="inlineStr">
        <is>
          <t>https://www.linkedin.com/company/the-dinerstein-companies/</t>
        </is>
      </c>
      <c r="X334" s="12" t="inlineStr">
        <is>
          <t>https://www.dinersteincos.com/about-us</t>
        </is>
      </c>
      <c r="Y334" s="12" t="inlineStr"/>
      <c r="Z334" s="12" t="inlineStr"/>
      <c r="AA334" s="12" t="inlineStr"/>
      <c r="AB334" s="12" t="inlineStr"/>
      <c r="AC334" s="12" t="inlineStr"/>
      <c r="AD334" s="12" t="inlineStr"/>
    </row>
    <row r="335">
      <c r="A335" s="6" t="inlineStr">
        <is>
          <t>Jack Dinerstein</t>
        </is>
      </c>
      <c r="B335" s="6" t="inlineStr">
        <is>
          <t>The Dinerstein Companies</t>
        </is>
      </c>
      <c r="C335" s="6" t="inlineStr">
        <is>
          <t>Executive Chairman</t>
        </is>
      </c>
      <c r="D335" s="7" t="inlineStr">
        <is>
          <t>Held off the deck</t>
        </is>
      </c>
      <c r="E335" s="8" t="n">
        <v>1</v>
      </c>
      <c r="F335" s="6" t="inlineStr">
        <is>
          <t>Buys walls</t>
        </is>
      </c>
      <c r="G335" s="6" t="inlineStr">
        <is>
          <t>Houston HQ / Fort Bend</t>
        </is>
      </c>
      <c r="H335" s="6" t="inlineStr">
        <is>
          <t>186 BTR homes, Harrison Street JV</t>
        </is>
      </c>
      <c r="I335" s="8" t="inlineStr">
        <is>
          <t>Partly</t>
        </is>
      </c>
      <c r="J335" s="9" t="inlineStr"/>
      <c r="K335" s="8" t="inlineStr">
        <is>
          <t>No</t>
        </is>
      </c>
      <c r="L335" s="9" t="inlineStr"/>
      <c r="M335" s="8" t="inlineStr">
        <is>
          <t>No</t>
        </is>
      </c>
      <c r="N335" s="9" t="inlineStr"/>
      <c r="O335" s="6" t="inlineStr">
        <is>
          <t>https://www.linkedin.com/in/jack-dinerstein-4215073/</t>
        </is>
      </c>
      <c r="P335" s="6" t="inlineStr"/>
      <c r="Q335" s="11">
        <f>IF(O335="","ADD LINKEDIN","ok")</f>
        <v/>
      </c>
      <c r="R335" s="6" t="inlineStr">
        <is>
          <t>https://www.dinersteincos.com/</t>
        </is>
      </c>
      <c r="S335" s="9" t="inlineStr">
        <is>
          <t>186 build-to-rent homes with Harrison Street and 70 years in Houston. Launch coverage is amenities only.</t>
        </is>
      </c>
      <c r="T335" s="6" t="inlineStr"/>
      <c r="U335" s="9" t="inlineStr">
        <is>
          <t>Owner, Dinerstein Companies. Houston, Texas.</t>
        </is>
      </c>
      <c r="V335" s="6" t="inlineStr"/>
      <c r="W335" s="6" t="inlineStr">
        <is>
          <t>https://www.linkedin.com/company/the-dinerstein-companies/</t>
        </is>
      </c>
      <c r="X335" s="6" t="inlineStr">
        <is>
          <t>https://www.dinersteincos.com/about-us</t>
        </is>
      </c>
      <c r="Y335" s="6" t="inlineStr"/>
      <c r="Z335" s="6" t="inlineStr"/>
      <c r="AA335" s="6" t="inlineStr"/>
      <c r="AB335" s="6" t="inlineStr"/>
      <c r="AC335" s="6" t="inlineStr"/>
      <c r="AD335" s="6" t="inlineStr"/>
    </row>
    <row r="336">
      <c r="A336" s="12" t="inlineStr">
        <is>
          <t>Brad Dinerstein</t>
        </is>
      </c>
      <c r="B336" s="12" t="inlineStr">
        <is>
          <t>The Dinerstein Companies</t>
        </is>
      </c>
      <c r="C336" s="12" t="inlineStr">
        <is>
          <t>Managing Partner of Development and Design</t>
        </is>
      </c>
      <c r="D336" s="13" t="inlineStr">
        <is>
          <t>Held off the deck</t>
        </is>
      </c>
      <c r="E336" s="14" t="n">
        <v>1</v>
      </c>
      <c r="F336" s="12" t="inlineStr">
        <is>
          <t>Buys walls</t>
        </is>
      </c>
      <c r="G336" s="12" t="inlineStr">
        <is>
          <t>Houston HQ / Fort Bend</t>
        </is>
      </c>
      <c r="H336" s="12" t="inlineStr">
        <is>
          <t>186 BTR homes, Harrison Street JV</t>
        </is>
      </c>
      <c r="I336" s="14" t="inlineStr">
        <is>
          <t>Partly</t>
        </is>
      </c>
      <c r="J336" s="15" t="inlineStr"/>
      <c r="K336" s="14" t="inlineStr">
        <is>
          <t>No</t>
        </is>
      </c>
      <c r="L336" s="15" t="inlineStr"/>
      <c r="M336" s="14" t="inlineStr">
        <is>
          <t>No</t>
        </is>
      </c>
      <c r="N336" s="15" t="inlineStr"/>
      <c r="O336" s="10" t="inlineStr"/>
      <c r="P336" s="12">
        <f>HYPERLINK("https://www.linkedin.com/search/results/people/?keywords=Brad%20Dinerstein%20The%20Dinerstein%20Companies","search")</f>
        <v/>
      </c>
      <c r="Q336" s="16">
        <f>IF(O336="","ADD LINKEDIN","ok")</f>
        <v/>
      </c>
      <c r="R336" s="12" t="inlineStr">
        <is>
          <t>https://www.dinersteincos.com/</t>
        </is>
      </c>
      <c r="S336" s="15" t="inlineStr">
        <is>
          <t>186 build-to-rent homes with Harrison Street and 70 years in Houston. Launch coverage is amenities only.</t>
        </is>
      </c>
      <c r="T336" s="12" t="inlineStr"/>
      <c r="U336" s="15" t="inlineStr"/>
      <c r="V336" s="12" t="inlineStr">
        <is>
          <t>https://www.dinersteincos.com/about-us</t>
        </is>
      </c>
      <c r="W336" s="12" t="inlineStr">
        <is>
          <t>https://www.linkedin.com/company/the-dinerstein-companies/</t>
        </is>
      </c>
      <c r="X336" s="12" t="inlineStr">
        <is>
          <t>https://www.dinersteincos.com/about-us</t>
        </is>
      </c>
      <c r="Y336" s="12" t="inlineStr"/>
      <c r="Z336" s="12" t="inlineStr"/>
      <c r="AA336" s="12" t="inlineStr"/>
      <c r="AB336" s="12" t="inlineStr"/>
      <c r="AC336" s="12" t="inlineStr"/>
      <c r="AD336" s="12" t="inlineStr"/>
    </row>
    <row r="337">
      <c r="A337" s="6" t="inlineStr">
        <is>
          <t>John Caltagirone</t>
        </is>
      </c>
      <c r="B337" s="6" t="inlineStr">
        <is>
          <t>The Dinerstein Companies</t>
        </is>
      </c>
      <c r="C337" s="6" t="inlineStr">
        <is>
          <t>President and Partner</t>
        </is>
      </c>
      <c r="D337" s="7" t="inlineStr">
        <is>
          <t>Held off the deck</t>
        </is>
      </c>
      <c r="E337" s="8" t="n">
        <v>1</v>
      </c>
      <c r="F337" s="6" t="inlineStr">
        <is>
          <t>Buys walls</t>
        </is>
      </c>
      <c r="G337" s="6" t="inlineStr">
        <is>
          <t>Houston HQ / Fort Bend</t>
        </is>
      </c>
      <c r="H337" s="6" t="inlineStr">
        <is>
          <t>186 BTR homes, Harrison Street JV</t>
        </is>
      </c>
      <c r="I337" s="8" t="inlineStr">
        <is>
          <t>Partly</t>
        </is>
      </c>
      <c r="J337" s="9" t="inlineStr"/>
      <c r="K337" s="8" t="inlineStr">
        <is>
          <t>No</t>
        </is>
      </c>
      <c r="L337" s="9" t="inlineStr"/>
      <c r="M337" s="8" t="inlineStr">
        <is>
          <t>No</t>
        </is>
      </c>
      <c r="N337" s="9" t="inlineStr"/>
      <c r="O337" s="10" t="inlineStr"/>
      <c r="P337" s="6">
        <f>HYPERLINK("https://www.linkedin.com/search/results/people/?keywords=John%20Caltagirone%20The%20Dinerstein%20Companies","search")</f>
        <v/>
      </c>
      <c r="Q337" s="11">
        <f>IF(O337="","ADD LINKEDIN","ok")</f>
        <v/>
      </c>
      <c r="R337" s="6" t="inlineStr">
        <is>
          <t>https://www.dinersteincos.com/</t>
        </is>
      </c>
      <c r="S337" s="9" t="inlineStr">
        <is>
          <t>186 build-to-rent homes with Harrison Street and 70 years in Houston. Launch coverage is amenities only.</t>
        </is>
      </c>
      <c r="T337" s="6" t="inlineStr"/>
      <c r="U337" s="9" t="inlineStr"/>
      <c r="V337" s="6" t="inlineStr">
        <is>
          <t>https://www.dinersteincos.com/about-us</t>
        </is>
      </c>
      <c r="W337" s="6" t="inlineStr">
        <is>
          <t>https://www.linkedin.com/company/the-dinerstein-companies/</t>
        </is>
      </c>
      <c r="X337" s="6" t="inlineStr">
        <is>
          <t>https://www.dinersteincos.com/about-us</t>
        </is>
      </c>
      <c r="Y337" s="6" t="inlineStr"/>
      <c r="Z337" s="6" t="inlineStr"/>
      <c r="AA337" s="6" t="inlineStr"/>
      <c r="AB337" s="6" t="inlineStr"/>
      <c r="AC337" s="6" t="inlineStr"/>
      <c r="AD337" s="6" t="inlineStr"/>
    </row>
    <row r="338">
      <c r="A338" s="12" t="inlineStr">
        <is>
          <t>Jason Baker</t>
        </is>
      </c>
      <c r="B338" s="12" t="inlineStr">
        <is>
          <t>Baker Katz</t>
        </is>
      </c>
      <c r="C338" s="12" t="inlineStr">
        <is>
          <t>Leads the tenant representation team, Baker Katz</t>
        </is>
      </c>
      <c r="D338" s="13" t="inlineStr">
        <is>
          <t>Held off the deck</t>
        </is>
      </c>
      <c r="E338" s="14" t="n">
        <v>1</v>
      </c>
      <c r="F338" s="12" t="inlineStr">
        <is>
          <t>Buys walls</t>
        </is>
      </c>
      <c r="G338" s="12" t="inlineStr">
        <is>
          <t>Houston / Harris, Galveston</t>
        </is>
      </c>
      <c r="H338" s="12" t="inlineStr"/>
      <c r="I338" s="14" t="inlineStr">
        <is>
          <t>Partly</t>
        </is>
      </c>
      <c r="J338" s="15" t="inlineStr"/>
      <c r="K338" s="14" t="inlineStr">
        <is>
          <t>No</t>
        </is>
      </c>
      <c r="L338" s="15" t="inlineStr"/>
      <c r="M338" s="14" t="inlineStr">
        <is>
          <t>No</t>
        </is>
      </c>
      <c r="N338" s="15" t="inlineStr"/>
      <c r="O338" s="10" t="inlineStr"/>
      <c r="P338" s="12">
        <f>HYPERLINK("https://www.linkedin.com/search/results/people/?keywords=Jason%20Baker%20Baker%20Katz","search")</f>
        <v/>
      </c>
      <c r="Q338" s="16">
        <f>IF(O338="","ADD LINKEDIN","ok")</f>
        <v/>
      </c>
      <c r="R338" s="12" t="inlineStr">
        <is>
          <t>https://bakerkatz.com/</t>
        </is>
      </c>
      <c r="S338" s="15" t="inlineStr">
        <is>
          <t>More than 80 retail projects, but recent Houston activity is buying existing centres rather than building.</t>
        </is>
      </c>
      <c r="T338" s="12" t="inlineStr"/>
      <c r="U338" s="15" t="inlineStr">
        <is>
          <t>Leads the tenant representation team, with more than twenty-five years in Houston retail. The page carries bios without formal titles.</t>
        </is>
      </c>
      <c r="V338" s="12" t="inlineStr">
        <is>
          <t>https://bakerkatz.com/about-us/</t>
        </is>
      </c>
      <c r="W338" s="12" t="inlineStr">
        <is>
          <t>https://www.linkedin.com/company/baker-katz</t>
        </is>
      </c>
      <c r="X338" s="12" t="inlineStr">
        <is>
          <t>https://bakerkatz.com/about-us/</t>
        </is>
      </c>
      <c r="Y338" s="12" t="inlineStr"/>
      <c r="Z338" s="12" t="inlineStr">
        <is>
          <t>(713) 621-2900</t>
        </is>
      </c>
      <c r="AA338" s="12" t="inlineStr"/>
      <c r="AB338" s="12" t="inlineStr">
        <is>
          <t>https://bakerkatz.com/</t>
        </is>
      </c>
      <c r="AC338" s="12" t="inlineStr"/>
      <c r="AD338" s="12" t="inlineStr"/>
    </row>
    <row r="339">
      <c r="A339" s="6" t="inlineStr">
        <is>
          <t>Kenneth Katz</t>
        </is>
      </c>
      <c r="B339" s="6" t="inlineStr">
        <is>
          <t>Baker Katz</t>
        </is>
      </c>
      <c r="C339" s="6" t="inlineStr">
        <is>
          <t>Leads the investment and development practice, Baker Katz</t>
        </is>
      </c>
      <c r="D339" s="7" t="inlineStr">
        <is>
          <t>Held off the deck</t>
        </is>
      </c>
      <c r="E339" s="8" t="n">
        <v>1</v>
      </c>
      <c r="F339" s="6" t="inlineStr">
        <is>
          <t>Buys walls</t>
        </is>
      </c>
      <c r="G339" s="6" t="inlineStr">
        <is>
          <t>Houston / Harris, Galveston</t>
        </is>
      </c>
      <c r="H339" s="6" t="inlineStr"/>
      <c r="I339" s="8" t="inlineStr">
        <is>
          <t>Partly</t>
        </is>
      </c>
      <c r="J339" s="9" t="inlineStr"/>
      <c r="K339" s="8" t="inlineStr">
        <is>
          <t>No</t>
        </is>
      </c>
      <c r="L339" s="9" t="inlineStr"/>
      <c r="M339" s="8" t="inlineStr">
        <is>
          <t>No</t>
        </is>
      </c>
      <c r="N339" s="9" t="inlineStr"/>
      <c r="O339" s="10" t="inlineStr"/>
      <c r="P339" s="6">
        <f>HYPERLINK("https://www.linkedin.com/search/results/people/?keywords=Kenneth%20Katz%20Baker%20Katz","search")</f>
        <v/>
      </c>
      <c r="Q339" s="11">
        <f>IF(O339="","ADD LINKEDIN","ok")</f>
        <v/>
      </c>
      <c r="R339" s="6" t="inlineStr">
        <is>
          <t>https://bakerkatz.com/</t>
        </is>
      </c>
      <c r="S339" s="9" t="inlineStr">
        <is>
          <t>More than 80 retail projects, but recent Houston activity is buying existing centres rather than building.</t>
        </is>
      </c>
      <c r="T339" s="6" t="inlineStr"/>
      <c r="U339" s="9" t="inlineStr">
        <is>
          <t>Leads the real estate investment and development practice, covering ground-up development and redevelopment.</t>
        </is>
      </c>
      <c r="V339" s="6" t="inlineStr">
        <is>
          <t>https://bakerkatz.com/about-us/</t>
        </is>
      </c>
      <c r="W339" s="6" t="inlineStr">
        <is>
          <t>https://www.linkedin.com/company/baker-katz</t>
        </is>
      </c>
      <c r="X339" s="6" t="inlineStr">
        <is>
          <t>https://bakerkatz.com/about-us/</t>
        </is>
      </c>
      <c r="Y339" s="6" t="inlineStr"/>
      <c r="Z339" s="6" t="inlineStr">
        <is>
          <t>(713) 621-2900</t>
        </is>
      </c>
      <c r="AA339" s="6" t="inlineStr"/>
      <c r="AB339" s="6" t="inlineStr">
        <is>
          <t>https://bakerkatz.com/</t>
        </is>
      </c>
      <c r="AC339" s="6" t="inlineStr"/>
      <c r="AD339" s="6" t="inlineStr"/>
    </row>
    <row r="340">
      <c r="A340" s="12" t="inlineStr">
        <is>
          <t>Martin Mendoza</t>
        </is>
      </c>
      <c r="B340" s="12" t="inlineStr">
        <is>
          <t>Baker Katz</t>
        </is>
      </c>
      <c r="C340" s="12" t="inlineStr">
        <is>
          <t>Oversees design and construction, Baker Katz</t>
        </is>
      </c>
      <c r="D340" s="13" t="inlineStr">
        <is>
          <t>Held off the deck</t>
        </is>
      </c>
      <c r="E340" s="14" t="n">
        <v>1</v>
      </c>
      <c r="F340" s="12" t="inlineStr">
        <is>
          <t>Buys walls</t>
        </is>
      </c>
      <c r="G340" s="12" t="inlineStr">
        <is>
          <t>Houston / Harris, Galveston</t>
        </is>
      </c>
      <c r="H340" s="12" t="inlineStr"/>
      <c r="I340" s="14" t="inlineStr">
        <is>
          <t>Partly</t>
        </is>
      </c>
      <c r="J340" s="15" t="inlineStr"/>
      <c r="K340" s="14" t="inlineStr">
        <is>
          <t>No</t>
        </is>
      </c>
      <c r="L340" s="15" t="inlineStr"/>
      <c r="M340" s="14" t="inlineStr">
        <is>
          <t>No</t>
        </is>
      </c>
      <c r="N340" s="15" t="inlineStr"/>
      <c r="O340" s="10" t="inlineStr"/>
      <c r="P340" s="12">
        <f>HYPERLINK("https://www.linkedin.com/search/results/people/?keywords=Martin%20Mendoza%20Baker%20Katz","search")</f>
        <v/>
      </c>
      <c r="Q340" s="16">
        <f>IF(O340="","ADD LINKEDIN","ok")</f>
        <v/>
      </c>
      <c r="R340" s="12" t="inlineStr">
        <is>
          <t>https://bakerkatz.com/</t>
        </is>
      </c>
      <c r="S340" s="15" t="inlineStr">
        <is>
          <t>More than 80 retail projects, but recent Houston activity is buying existing centres rather than building.</t>
        </is>
      </c>
      <c r="T340" s="12" t="inlineStr">
        <is>
          <t>YES</t>
        </is>
      </c>
      <c r="U340" s="15" t="inlineStr">
        <is>
          <t>Joined in August 2024 responsible for overseeing design and construction phases. The page gives no title, so the function rather than the rank is what places him here.</t>
        </is>
      </c>
      <c r="V340" s="12" t="inlineStr">
        <is>
          <t>https://bakerkatz.com/about-us/</t>
        </is>
      </c>
      <c r="W340" s="12" t="inlineStr">
        <is>
          <t>https://www.linkedin.com/company/baker-katz</t>
        </is>
      </c>
      <c r="X340" s="12" t="inlineStr">
        <is>
          <t>https://bakerkatz.com/about-us/</t>
        </is>
      </c>
      <c r="Y340" s="12" t="inlineStr"/>
      <c r="Z340" s="12" t="inlineStr">
        <is>
          <t>(713) 621-2900</t>
        </is>
      </c>
      <c r="AA340" s="12" t="inlineStr"/>
      <c r="AB340" s="12" t="inlineStr">
        <is>
          <t>https://bakerkatz.com/</t>
        </is>
      </c>
      <c r="AC340" s="12" t="inlineStr"/>
      <c r="AD340" s="12" t="inlineStr"/>
    </row>
    <row r="341">
      <c r="A341" s="6" t="inlineStr">
        <is>
          <t>Bob Sellingsloh</t>
        </is>
      </c>
      <c r="B341" s="6" t="inlineStr">
        <is>
          <t>Wulfe &amp; Co.</t>
        </is>
      </c>
      <c r="C341" s="6" t="inlineStr">
        <is>
          <t>President and Principal, Wulfe &amp; Co.</t>
        </is>
      </c>
      <c r="D341" s="7" t="inlineStr">
        <is>
          <t>Held off the deck</t>
        </is>
      </c>
      <c r="E341" s="8" t="n">
        <v>1</v>
      </c>
      <c r="F341" s="6" t="inlineStr">
        <is>
          <t>Buys walls</t>
        </is>
      </c>
      <c r="G341" s="6" t="inlineStr">
        <is>
          <t>Post Oak / Harris, Galveston</t>
        </is>
      </c>
      <c r="H341" s="6" t="inlineStr"/>
      <c r="I341" s="8" t="inlineStr">
        <is>
          <t>Partly</t>
        </is>
      </c>
      <c r="J341" s="9" t="inlineStr"/>
      <c r="K341" s="8" t="inlineStr">
        <is>
          <t>No</t>
        </is>
      </c>
      <c r="L341" s="9" t="inlineStr"/>
      <c r="M341" s="8" t="inlineStr">
        <is>
          <t>No</t>
        </is>
      </c>
      <c r="N341" s="9" t="inlineStr"/>
      <c r="O341" s="10" t="inlineStr"/>
      <c r="P341" s="6">
        <f>HYPERLINK("https://www.linkedin.com/search/results/people/?keywords=Bob%20Sellingsloh%20Wulfe%20%26%20Co.","search")</f>
        <v/>
      </c>
      <c r="Q341" s="11">
        <f>IF(O341="","ADD LINKEDIN","ok")</f>
        <v/>
      </c>
      <c r="R341" s="6" t="inlineStr">
        <is>
          <t>https://www.wulfe.com/</t>
        </is>
      </c>
      <c r="S341" s="9" t="inlineStr">
        <is>
          <t>7.2M sf across nine centres. Current activity is leasing and management, not ground-up.</t>
        </is>
      </c>
      <c r="T341" s="6" t="inlineStr"/>
      <c r="U341" s="9" t="inlineStr">
        <is>
          <t>President and Principal, listed first under leadership. Ed Wulfe no longer appears on the leadership page.</t>
        </is>
      </c>
      <c r="V341" s="6" t="inlineStr">
        <is>
          <t>https://www.wulfe.com/people</t>
        </is>
      </c>
      <c r="W341" s="6" t="inlineStr">
        <is>
          <t>https://www.linkedin.com/company/wulfe</t>
        </is>
      </c>
      <c r="X341" s="6" t="inlineStr">
        <is>
          <t>https://www.wulfe.com/people</t>
        </is>
      </c>
      <c r="Y341" s="6" t="inlineStr"/>
      <c r="Z341" s="6" t="inlineStr">
        <is>
          <t>(713) 621-1700</t>
        </is>
      </c>
      <c r="AA341" s="6" t="inlineStr"/>
      <c r="AB341" s="6" t="inlineStr">
        <is>
          <t>https://www.wulfe.com/</t>
        </is>
      </c>
      <c r="AC341" s="6" t="inlineStr"/>
      <c r="AD341" s="6" t="inlineStr"/>
    </row>
    <row r="342">
      <c r="A342" s="12" t="inlineStr">
        <is>
          <t>Tammy Smith</t>
        </is>
      </c>
      <c r="B342" s="12" t="inlineStr">
        <is>
          <t>Wulfe &amp; Co.</t>
        </is>
      </c>
      <c r="C342" s="12" t="inlineStr">
        <is>
          <t>Director of Construction, Wulfe &amp; Co.</t>
        </is>
      </c>
      <c r="D342" s="13" t="inlineStr">
        <is>
          <t>Held off the deck</t>
        </is>
      </c>
      <c r="E342" s="14" t="n">
        <v>1</v>
      </c>
      <c r="F342" s="12" t="inlineStr">
        <is>
          <t>Buys walls</t>
        </is>
      </c>
      <c r="G342" s="12" t="inlineStr">
        <is>
          <t>Post Oak / Harris, Galveston</t>
        </is>
      </c>
      <c r="H342" s="12" t="inlineStr"/>
      <c r="I342" s="14" t="inlineStr">
        <is>
          <t>Partly</t>
        </is>
      </c>
      <c r="J342" s="15" t="inlineStr"/>
      <c r="K342" s="14" t="inlineStr">
        <is>
          <t>No</t>
        </is>
      </c>
      <c r="L342" s="15" t="inlineStr"/>
      <c r="M342" s="14" t="inlineStr">
        <is>
          <t>No</t>
        </is>
      </c>
      <c r="N342" s="15" t="inlineStr"/>
      <c r="O342" s="10" t="inlineStr"/>
      <c r="P342" s="12">
        <f>HYPERLINK("https://www.linkedin.com/search/results/people/?keywords=Tammy%20Smith%20Wulfe%20%26%20Co.","search")</f>
        <v/>
      </c>
      <c r="Q342" s="16">
        <f>IF(O342="","ADD LINKEDIN","ok")</f>
        <v/>
      </c>
      <c r="R342" s="12" t="inlineStr">
        <is>
          <t>https://www.wulfe.com/</t>
        </is>
      </c>
      <c r="S342" s="15" t="inlineStr">
        <is>
          <t>7.2M sf across nine centres. Current activity is leasing and management, not ground-up.</t>
        </is>
      </c>
      <c r="T342" s="12" t="inlineStr">
        <is>
          <t>YES</t>
        </is>
      </c>
      <c r="U342" s="15" t="inlineStr"/>
      <c r="V342" s="12" t="inlineStr">
        <is>
          <t>https://www.wulfe.com/people</t>
        </is>
      </c>
      <c r="W342" s="12" t="inlineStr">
        <is>
          <t>https://www.linkedin.com/company/wulfe</t>
        </is>
      </c>
      <c r="X342" s="12" t="inlineStr">
        <is>
          <t>https://www.wulfe.com/people</t>
        </is>
      </c>
      <c r="Y342" s="12" t="inlineStr"/>
      <c r="Z342" s="12" t="inlineStr">
        <is>
          <t>(713) 621-1700</t>
        </is>
      </c>
      <c r="AA342" s="12" t="inlineStr"/>
      <c r="AB342" s="12" t="inlineStr">
        <is>
          <t>https://www.wulfe.com/</t>
        </is>
      </c>
      <c r="AC342" s="12" t="inlineStr"/>
      <c r="AD342" s="12" t="inlineStr"/>
    </row>
    <row r="343">
      <c r="A343" s="6" t="inlineStr">
        <is>
          <t>Vinod Ramani</t>
        </is>
      </c>
      <c r="B343" s="6" t="inlineStr">
        <is>
          <t>Urban Living</t>
        </is>
      </c>
      <c r="C343" s="6" t="inlineStr">
        <is>
          <t>Owner</t>
        </is>
      </c>
      <c r="D343" s="7" t="inlineStr">
        <is>
          <t>Held off the deck</t>
        </is>
      </c>
      <c r="E343" s="8" t="n">
        <v>0</v>
      </c>
      <c r="F343" s="6" t="inlineStr">
        <is>
          <t>Buys walls</t>
        </is>
      </c>
      <c r="G343" s="6" t="inlineStr">
        <is>
          <t>Inner-loop Houston, Harris County</t>
        </is>
      </c>
      <c r="H343" s="6" t="inlineStr">
        <is>
          <t>Its own domain no longer resolves to a site</t>
        </is>
      </c>
      <c r="I343" s="8" t="inlineStr">
        <is>
          <t>No</t>
        </is>
      </c>
      <c r="J343" s="9" t="inlineStr">
        <is>
          <t>Nothing is published. The firm's own site is a parked domain.</t>
        </is>
      </c>
      <c r="K343" s="8" t="inlineStr">
        <is>
          <t>No</t>
        </is>
      </c>
      <c r="L343" s="9" t="inlineStr">
        <is>
          <t>No community, unit count or volume figure survives on any page the deck can cite.</t>
        </is>
      </c>
      <c r="M343" s="8" t="inlineStr">
        <is>
          <t>No</t>
        </is>
      </c>
      <c r="N343" s="9" t="inlineStr">
        <is>
          <t>Nothing on record.</t>
        </is>
      </c>
      <c r="O343" s="6" t="inlineStr">
        <is>
          <t>https://www.linkedin.com/in/vinod-ramani-4a46788/</t>
        </is>
      </c>
      <c r="P343" s="6" t="inlineStr"/>
      <c r="Q343" s="11">
        <f>IF(O343="","ADD LINKEDIN","ok")</f>
        <v/>
      </c>
      <c r="R343" s="6" t="inlineStr">
        <is>
          <t>no website confirmed</t>
        </is>
      </c>
      <c r="S343" s="9" t="inlineStr">
        <is>
          <t>Attached townhome production, the product type a printed party wall serves. The owner is held on a LinkedIn headline alone; the firm's own site publishes nobody.</t>
        </is>
      </c>
      <c r="T343" s="6" t="inlineStr"/>
      <c r="U343" s="9" t="inlineStr">
        <is>
          <t>Indexed title reads Vinod Ramani, Urban Living.</t>
        </is>
      </c>
      <c r="V343" s="6" t="inlineStr"/>
      <c r="W343" s="6" t="inlineStr"/>
      <c r="X343" s="6" t="inlineStr"/>
      <c r="Y343" s="6" t="inlineStr"/>
      <c r="Z343" s="6" t="inlineStr"/>
      <c r="AA343" s="6" t="inlineStr"/>
      <c r="AB343" s="6" t="inlineStr"/>
      <c r="AC343" s="6" t="inlineStr"/>
      <c r="AD343" s="6" t="inlineStr"/>
    </row>
    <row r="345">
      <c r="A345"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2026-09-24T20:41:39Z</dcterms:created>
  <dcterms:modified xmlns:dcterms="http://purl.org/dc/terms/" xmlns:xsi="http://www.w3.org/2001/XMLSchema-instance" xsi:type="dcterms:W3CDTF">2026-09-24T20:41:40Z</dcterms:modified>
</cp:coreProperties>
</file>