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'Contacts'!$A$6:$Z$195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32 · 2026-09-11 · public render. Do not hand-edit the HTML deck; it regenerates from the same file.</t>
        </is>
      </c>
    </row>
    <row r="3">
      <c r="A3" s="2" t="inlineStr">
        <is>
          <t>Contacts</t>
        </is>
      </c>
      <c r="B3" s="3">
        <f>COUNTA($A$7:$A$195)</f>
        <v/>
      </c>
      <c r="C3" s="2" t="inlineStr">
        <is>
          <t>LinkedIn held</t>
        </is>
      </c>
      <c r="D3" s="3">
        <f>COUNTIF($R$7:$R$195,"ok")</f>
        <v/>
      </c>
      <c r="E3" s="2" t="inlineStr">
        <is>
          <t>Still to add</t>
        </is>
      </c>
      <c r="F3" s="3">
        <f>COUNTIF($R$7:$R$195,"ADD LINKEDIN")</f>
        <v/>
      </c>
      <c r="G3" s="2" t="inlineStr">
        <is>
          <t>Strong targets</t>
        </is>
      </c>
      <c r="H3" s="3">
        <f>SUMPRODUCT((COUNTIF(OFFSET($B$7,ROW($B$7:$B$195)-ROW($B$7),0,1,1),$B$7:$B$195)&gt;0)*($D$7:$D$195="Strong target")/COUNTIF($B$7:$B$195,$B$7:$B$195&amp;""))</f>
        <v/>
      </c>
      <c r="I3" s="2" t="inlineStr">
        <is>
          <t>Wall deciders</t>
        </is>
      </c>
      <c r="J3" s="3">
        <f>COUNTIF($V$7:$V$195,"YES")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Derrick Hughes</t>
        </is>
      </c>
      <c r="B12" s="12" t="inlineStr">
        <is>
          <t>Wan Bridge Group</t>
        </is>
      </c>
      <c r="C12" s="12" t="inlineStr">
        <is>
          <t>Chief Operating Officer, Sterling Creek Homes (2026); ex-Senior Vice President of Construction Operations, Wan Bridge</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https://www.linkedin.com/in/derrick-hughes-41109737/</t>
        </is>
      </c>
      <c r="Q12" s="12" t="inlineStr"/>
      <c r="R12" s="16">
        <f>IF(P12="","ADD LINKEDIN","ok")</f>
        <v/>
      </c>
      <c r="S12" s="12" t="inlineStr">
        <is>
          <t>https://wanbridge.com/</t>
        </is>
      </c>
      <c r="T12" s="15" t="inlineStr">
        <is>
          <t>Builds and holds build-to-rent. Spent six years on its own construction software and site robotics.</t>
        </is>
      </c>
      <c r="U12"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2" s="12" t="inlineStr"/>
      <c r="W12" s="15" t="inlineStr"/>
      <c r="X12" s="12" t="inlineStr"/>
      <c r="Y12" s="12" t="inlineStr">
        <is>
          <t>https://www.linkedin.com/company/wan-bridge-group/</t>
        </is>
      </c>
      <c r="Z12" s="12" t="inlineStr">
        <is>
          <t>https://wanbridge.com/leadership/</t>
        </is>
      </c>
    </row>
    <row r="13">
      <c r="A13" s="6" t="inlineStr">
        <is>
          <t>Randy Hutchinson</t>
        </is>
      </c>
      <c r="B13" s="6" t="inlineStr">
        <is>
          <t>Wan Bridge Group</t>
        </is>
      </c>
      <c r="C13" s="6" t="inlineStr">
        <is>
          <t>Vice President of Construction Operations,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https://www.linkedin.com/in/randy-hutchinson-0b0a71124/</t>
        </is>
      </c>
      <c r="Q13" s="6" t="inlineStr"/>
      <c r="R13" s="11">
        <f>IF(P13="","ADD LINKEDIN","ok")</f>
        <v/>
      </c>
      <c r="S13" s="6" t="inlineStr">
        <is>
          <t>https://wanbridge.com/</t>
        </is>
      </c>
      <c r="T13" s="9" t="inlineStr">
        <is>
          <t>Builds and holds build-to-rent. Spent six years on its own construction software and site robotics.</t>
        </is>
      </c>
      <c r="U13"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3" s="6" t="inlineStr">
        <is>
          <t>YES</t>
        </is>
      </c>
      <c r="W13" s="9" t="inlineStr">
        <is>
          <t>Vice President of Construction Operations at AiWB. Greater Houston.</t>
        </is>
      </c>
      <c r="X13" s="6" t="inlineStr"/>
      <c r="Y13" s="6" t="inlineStr">
        <is>
          <t>https://www.linkedin.com/company/wan-bridge-group/</t>
        </is>
      </c>
      <c r="Z13" s="6" t="inlineStr">
        <is>
          <t>https://wanbridge.com/leadership/</t>
        </is>
      </c>
    </row>
    <row r="14">
      <c r="A14" s="12" t="inlineStr">
        <is>
          <t>John Serra</t>
        </is>
      </c>
      <c r="B14" s="12" t="inlineStr">
        <is>
          <t>Wan Bridge Group</t>
        </is>
      </c>
      <c r="C14" s="12" t="inlineStr">
        <is>
          <t>Purchasing Manager, AiWB</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6" t="inlineStr">
        <is>
          <t>https://www.linkedin.com/in/john-serra-b1b48394/</t>
        </is>
      </c>
      <c r="Q14" s="12" t="inlineStr"/>
      <c r="R14" s="16">
        <f>IF(P14="","ADD LINKEDIN","ok")</f>
        <v/>
      </c>
      <c r="S14" s="12" t="inlineStr">
        <is>
          <t>https://wanbridge.com/</t>
        </is>
      </c>
      <c r="T14" s="15" t="inlineStr">
        <is>
          <t>Builds and holds build-to-rent. Spent six years on its own construction software and site robotics.</t>
        </is>
      </c>
      <c r="U14"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4" s="12" t="inlineStr">
        <is>
          <t>YES</t>
        </is>
      </c>
      <c r="W14" s="15" t="inlineStr">
        <is>
          <t>Purchasing Manager at AiWB. Houston, Texas.</t>
        </is>
      </c>
      <c r="X14" s="12" t="inlineStr"/>
      <c r="Y14" s="12" t="inlineStr">
        <is>
          <t>https://www.linkedin.com/company/wan-bridge-group/</t>
        </is>
      </c>
      <c r="Z14" s="12" t="inlineStr">
        <is>
          <t>https://wanbridge.com/leadership/</t>
        </is>
      </c>
    </row>
    <row r="15">
      <c r="A15" s="6" t="inlineStr">
        <is>
          <t>Frank Liu</t>
        </is>
      </c>
      <c r="B15" s="6" t="inlineStr">
        <is>
          <t>InTown Homes / Lovett Commercial (Frank Liu)</t>
        </is>
      </c>
      <c r="C15" s="6" t="inlineStr">
        <is>
          <t>Founder, InTown Homes; President, Lovett Commercial</t>
        </is>
      </c>
      <c r="D15" s="7" t="inlineStr">
        <is>
          <t>Strong target</t>
        </is>
      </c>
      <c r="E15" s="8" t="n">
        <v>3</v>
      </c>
      <c r="F15" s="6" t="inlineStr">
        <is>
          <t>Buys walls</t>
        </is>
      </c>
      <c r="G15" s="6" t="inlineStr">
        <is>
          <t>Inner-loop Houston, Harris County</t>
        </is>
      </c>
      <c r="H15" s="6" t="inlineStr">
        <is>
          <t>3-story attached townhomes, citywide volume</t>
        </is>
      </c>
      <c r="I15" s="8" t="inlineStr">
        <is>
          <t>Yes</t>
        </is>
      </c>
      <c r="J15" s="9" t="inlineStr">
        <is>
          <t>Three-storey townhomes repeated across inner Houston.</t>
        </is>
      </c>
      <c r="K15" s="8" t="inlineStr">
        <is>
          <t>Yes</t>
        </is>
      </c>
      <c r="L15" s="9" t="inlineStr">
        <is>
          <t>Three-storey attached townhomes at citywide volume, built by one owner who also develops the land.</t>
        </is>
      </c>
      <c r="M15" s="8" t="inlineStr">
        <is>
          <t>Partly</t>
        </is>
      </c>
      <c r="N15" s="9" t="inlineStr">
        <is>
          <t>Same owner commissioned OMA for POST Houston, on the commercial side of the business.</t>
        </is>
      </c>
      <c r="O15" s="8" t="inlineStr">
        <is>
          <t>Partly</t>
        </is>
      </c>
      <c r="P15" s="6" t="inlineStr">
        <is>
          <t>https://www.linkedin.com/in/frank-liu-b33247a/</t>
        </is>
      </c>
      <c r="Q15" s="6" t="inlineStr"/>
      <c r="R15" s="11">
        <f>IF(P15="","ADD LINKEDIN","ok")</f>
        <v/>
      </c>
      <c r="S15" s="6" t="inlineStr">
        <is>
          <t>https://intownhomes.com/</t>
        </is>
      </c>
      <c r="T15" s="9" t="inlineStr">
        <is>
          <t>Three-storey attached townhomes at citywide volume. The same owner commissioned OMA for POST Houston.</t>
        </is>
      </c>
      <c r="U15" s="9"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5" s="6" t="inlineStr"/>
      <c r="W15" s="9" t="inlineStr">
        <is>
          <t>President at Lovett. Houston, Texas. A second Frank Liu at Lovett Commercial is a real estate specialist, not the principal.</t>
        </is>
      </c>
      <c r="X15" s="6" t="inlineStr"/>
      <c r="Y15" s="6" t="inlineStr">
        <is>
          <t>https://www.linkedin.com/company/intown-homes</t>
        </is>
      </c>
      <c r="Z15" s="6" t="inlineStr">
        <is>
          <t>https://www.lovettcommercial.com/about</t>
        </is>
      </c>
    </row>
    <row r="16">
      <c r="A16" s="12" t="inlineStr">
        <is>
          <t>Roderick Flint</t>
        </is>
      </c>
      <c r="B16" s="12" t="inlineStr">
        <is>
          <t>Brohn Homes</t>
        </is>
      </c>
      <c r="C16" s="12" t="inlineStr">
        <is>
          <t>Division President, Houston</t>
        </is>
      </c>
      <c r="D16" s="13" t="inlineStr">
        <is>
          <t>Strong target</t>
        </is>
      </c>
      <c r="E16" s="14" t="n">
        <v>3</v>
      </c>
      <c r="F16" s="12" t="inlineStr">
        <is>
          <t>Buys walls</t>
        </is>
      </c>
      <c r="G16" s="12" t="inlineStr">
        <is>
          <t>Austin, with a Houston division</t>
        </is>
      </c>
      <c r="H16" s="12" t="inlineStr">
        <is>
          <t>Average build time of 3.5 months</t>
        </is>
      </c>
      <c r="I16" s="14" t="inlineStr">
        <is>
          <t>Yes</t>
        </is>
      </c>
      <c r="J16" s="15" t="inlineStr">
        <is>
          <t>Communities across the north, west and south suburbs on a plan set inherited from HistoryMaker.</t>
        </is>
      </c>
      <c r="K16" s="14" t="inlineStr">
        <is>
          <t>Partly</t>
        </is>
      </c>
      <c r="L16" s="15" t="inlineStr">
        <is>
          <t>No Houston closings figure is published, and purchasing may sit with Clayton rather than locally.</t>
        </is>
      </c>
      <c r="M16" s="14" t="inlineStr">
        <is>
          <t>Partly</t>
        </is>
      </c>
      <c r="N16" s="15" t="inlineStr">
        <is>
          <t>It publishes an average build time of three and a half months across all products. A firm that measures and publishes cycle time has already made schedule a competitive variable.</t>
        </is>
      </c>
      <c r="O16" s="14" t="inlineStr">
        <is>
          <t>Yes</t>
        </is>
      </c>
      <c r="P16" s="10" t="inlineStr"/>
      <c r="Q16" s="12">
        <f>HYPERLINK("https://www.linkedin.com/search/results/people/?keywords=Roderick%20Flint%20Brohn%20Homes","search")</f>
        <v/>
      </c>
      <c r="R16" s="16">
        <f>IF(P16="","ADD LINKEDIN","ok")</f>
        <v/>
      </c>
      <c r="S16" s="12" t="inlineStr">
        <is>
          <t>https://www.brohnhomes.com/</t>
        </is>
      </c>
      <c r="T16" s="15" t="inlineStr">
        <is>
          <t>A published average build time of three and a half months, which is the shortest on record here, and Berkshire Hathaway capital behind it. Purchasing may run through the parent.</t>
        </is>
      </c>
      <c r="U16" s="15"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6" s="12" t="inlineStr"/>
      <c r="W16" s="15" t="inlineStr">
        <is>
          <t>The firm's own post on the Houston launch names him Division President and quotes him on folding existing plans into Brohn's line.</t>
        </is>
      </c>
      <c r="X16" s="12" t="inlineStr">
        <is>
          <t>https://brohnhomes.com/community-impact-features-brohn-homes-houston-vision/</t>
        </is>
      </c>
      <c r="Y16" s="12" t="inlineStr"/>
      <c r="Z16" s="12" t="inlineStr"/>
    </row>
    <row r="17">
      <c r="A17" s="6" t="inlineStr">
        <is>
          <t>Rob Francescon</t>
        </is>
      </c>
      <c r="B17" s="6" t="inlineStr">
        <is>
          <t>Century Communities, Inc.</t>
        </is>
      </c>
      <c r="C17" s="6" t="inlineStr">
        <is>
          <t>Chief Executive Officer</t>
        </is>
      </c>
      <c r="D17" s="7" t="inlineStr">
        <is>
          <t>Strong target</t>
        </is>
      </c>
      <c r="E17" s="8" t="n">
        <v>3</v>
      </c>
      <c r="F17" s="6" t="inlineStr">
        <is>
          <t>Buys walls</t>
        </is>
      </c>
      <c r="G17" s="6" t="inlineStr">
        <is>
          <t>Greenwood Village HQ / Waller, Harris</t>
        </is>
      </c>
      <c r="H17" s="6" t="inlineStr">
        <is>
          <t>1,200 homes on 318 acres, Brookshire</t>
        </is>
      </c>
      <c r="I17" s="8" t="inlineStr">
        <is>
          <t>Yes</t>
        </is>
      </c>
      <c r="J17" s="9" t="inlineStr">
        <is>
          <t>1,200 homes on 318 acres, built from only 18 floor plans.</t>
        </is>
      </c>
      <c r="K17" s="8" t="inlineStr">
        <is>
          <t>Partly</t>
        </is>
      </c>
      <c r="L17" s="9" t="inlineStr">
        <is>
          <t>1,200 homes on one site is the right concentration, but Century buys nationally.</t>
        </is>
      </c>
      <c r="M17" s="8" t="inlineStr">
        <is>
          <t>Partly</t>
        </is>
      </c>
      <c r="N17" s="9" t="inlineStr">
        <is>
          <t>Record 112-day cycle and a 5 percent direct-cost cut, but no change of method.</t>
        </is>
      </c>
      <c r="O17" s="8" t="inlineStr">
        <is>
          <t>Yes</t>
        </is>
      </c>
      <c r="P17" s="10" t="inlineStr"/>
      <c r="Q17" s="6">
        <f>HYPERLINK("https://www.linkedin.com/search/results/people/?keywords=Rob%20Francescon%20Century%20Communities%2C%20Inc.","search")</f>
        <v/>
      </c>
      <c r="R17" s="11">
        <f>IF(P17="","ADD LINKEDIN","ok")</f>
        <v/>
      </c>
      <c r="S17" s="6" t="inlineStr">
        <is>
          <t>https://www.centurycommunities.com/</t>
        </is>
      </c>
      <c r="T17" s="9" t="inlineStr">
        <is>
          <t>1,200 homes across only 18 plans on one site, with a record 112-day cycle and a 5 percent direct-cost cut.</t>
        </is>
      </c>
      <c r="U17"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7" s="6" t="inlineStr"/>
      <c r="W17" s="9" t="inlineStr">
        <is>
          <t>Century's own executive management page. He became sole Chief Executive Officer and President on 1 January 2025, having been co-chief executive.</t>
        </is>
      </c>
      <c r="X17" s="6" t="inlineStr">
        <is>
          <t>https://investors.centurycommunities.com/governance/executive-management/default.aspx</t>
        </is>
      </c>
      <c r="Y17" s="6" t="inlineStr">
        <is>
          <t>https://www.linkedin.com/company/century-communities</t>
        </is>
      </c>
      <c r="Z17" s="6" t="inlineStr">
        <is>
          <t>https://investors.centurycommunities.com/governance/executive-management/default.aspx</t>
        </is>
      </c>
    </row>
    <row r="18">
      <c r="A18" s="12" t="inlineStr">
        <is>
          <t>Tanya Rizzo</t>
        </is>
      </c>
      <c r="B18" s="12" t="inlineStr">
        <is>
          <t>Century Communities, Inc.</t>
        </is>
      </c>
      <c r="C18" s="12" t="inlineStr">
        <is>
          <t>Houston Division President</t>
        </is>
      </c>
      <c r="D18" s="13" t="inlineStr">
        <is>
          <t>Strong target</t>
        </is>
      </c>
      <c r="E18" s="14" t="n">
        <v>3</v>
      </c>
      <c r="F18" s="12" t="inlineStr">
        <is>
          <t>Buys walls</t>
        </is>
      </c>
      <c r="G18" s="12" t="inlineStr">
        <is>
          <t>Greenwood Village HQ / Waller, Harris</t>
        </is>
      </c>
      <c r="H18" s="12" t="inlineStr">
        <is>
          <t>1,200 homes on 318 acres, Brookshire</t>
        </is>
      </c>
      <c r="I18" s="14" t="inlineStr">
        <is>
          <t>Yes</t>
        </is>
      </c>
      <c r="J18" s="15" t="inlineStr">
        <is>
          <t>1,200 homes on 318 acres, built from only 18 floor plans.</t>
        </is>
      </c>
      <c r="K18" s="14" t="inlineStr">
        <is>
          <t>Partly</t>
        </is>
      </c>
      <c r="L18" s="15" t="inlineStr">
        <is>
          <t>1,200 homes on one site is the right concentration, but Century buys nationally.</t>
        </is>
      </c>
      <c r="M18" s="14" t="inlineStr">
        <is>
          <t>Partly</t>
        </is>
      </c>
      <c r="N18" s="15" t="inlineStr">
        <is>
          <t>Record 112-day cycle and a 5 percent direct-cost cut, but no change of method.</t>
        </is>
      </c>
      <c r="O18" s="14" t="inlineStr">
        <is>
          <t>Yes</t>
        </is>
      </c>
      <c r="P18" s="6" t="inlineStr">
        <is>
          <t>https://www.linkedin.com/in/tanya-rizzo-75738016/</t>
        </is>
      </c>
      <c r="Q18" s="12" t="inlineStr"/>
      <c r="R18" s="16">
        <f>IF(P18="","ADD LINKEDIN","ok")</f>
        <v/>
      </c>
      <c r="S18" s="12" t="inlineStr">
        <is>
          <t>https://www.centurycommunities.com/</t>
        </is>
      </c>
      <c r="T18" s="15" t="inlineStr">
        <is>
          <t>1,200 homes across only 18 plans on one site, with a record 112-day cycle and a 5 percent direct-cost cut.</t>
        </is>
      </c>
      <c r="U18"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8" s="12" t="inlineStr"/>
      <c r="W18" s="15" t="inlineStr">
        <is>
          <t>Profile opened. Activity shows her recruiting for Century Communities, Inc. (NYSE:CCS) in Houston. Title from September 2026 trade press.</t>
        </is>
      </c>
      <c r="X18" s="12" t="inlineStr"/>
      <c r="Y18" s="12" t="inlineStr">
        <is>
          <t>https://www.linkedin.com/company/century-communities</t>
        </is>
      </c>
      <c r="Z18" s="12" t="inlineStr">
        <is>
          <t>https://investors.centurycommunities.com/governance/executive-management/default.aspx</t>
        </is>
      </c>
    </row>
    <row r="19">
      <c r="A19" s="6" t="inlineStr">
        <is>
          <t>John Winniford</t>
        </is>
      </c>
      <c r="B19" s="6" t="inlineStr">
        <is>
          <t>First America Homes</t>
        </is>
      </c>
      <c r="C19" s="6" t="inlineStr">
        <is>
          <t>President and Chief Executive Officer</t>
        </is>
      </c>
      <c r="D19" s="7" t="inlineStr">
        <is>
          <t>Strong target</t>
        </is>
      </c>
      <c r="E19" s="8" t="n">
        <v>3</v>
      </c>
      <c r="F19" s="6" t="inlineStr">
        <is>
          <t>Buys walls</t>
        </is>
      </c>
      <c r="G19" s="6" t="inlineStr">
        <is>
          <t>The Woodlands HQ / Liberty, Fort Bend</t>
        </is>
      </c>
      <c r="H19" s="6" t="inlineStr">
        <is>
          <t>1,300+ homes across 14 new communities</t>
        </is>
      </c>
      <c r="I19" s="8" t="inlineStr">
        <is>
          <t>Yes</t>
        </is>
      </c>
      <c r="J19" s="9" t="inlineStr">
        <is>
          <t>1,300 homes across 14 new communities, 359 at Valley Ranch.</t>
        </is>
      </c>
      <c r="K19" s="8" t="inlineStr">
        <is>
          <t>Partly</t>
        </is>
      </c>
      <c r="L19" s="9" t="inlineStr">
        <is>
          <t>About 750 closings last year across two markets. A machine would be a line inside the business rather than the business.</t>
        </is>
      </c>
      <c r="M19" s="8" t="inlineStr">
        <is>
          <t>Partly</t>
        </is>
      </c>
      <c r="N19" s="9" t="inlineStr">
        <is>
          <t>Markets its own wall assembly, though it is refined stick framing, not a new method.</t>
        </is>
      </c>
      <c r="O19" s="8" t="inlineStr">
        <is>
          <t>Partly</t>
        </is>
      </c>
      <c r="P19" s="10" t="inlineStr"/>
      <c r="Q19" s="6">
        <f>HYPERLINK("https://www.linkedin.com/search/results/people/?keywords=John%20Winniford%20First%20America%20Homes","search")</f>
        <v/>
      </c>
      <c r="R19" s="11">
        <f>IF(P19="","ADD LINKEDIN","ok")</f>
        <v/>
      </c>
      <c r="S19" s="6" t="inlineStr">
        <is>
          <t>https://www.firstamericahomes.com/</t>
        </is>
      </c>
      <c r="T19" s="9" t="inlineStr">
        <is>
          <t>1,300 homes a year and it markets its wall assembly. The parent owns the land, so no third party sits in the method decision.</t>
        </is>
      </c>
      <c r="U19"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19" s="6" t="inlineStr"/>
      <c r="W19"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19" s="6" t="inlineStr">
        <is>
          <t>https://www.signorellicompany.com/our-leadership/34/john-winniford</t>
        </is>
      </c>
      <c r="Y19" s="6" t="inlineStr">
        <is>
          <t>https://www.linkedin.com/company/first-america-homes</t>
        </is>
      </c>
      <c r="Z19" s="6" t="inlineStr">
        <is>
          <t>https://www.firstamericahomes.com/about/</t>
        </is>
      </c>
    </row>
    <row r="20">
      <c r="A20" s="12" t="inlineStr">
        <is>
          <t>Danny Signorelli</t>
        </is>
      </c>
      <c r="B20" s="12" t="inlineStr">
        <is>
          <t>First America Homes</t>
        </is>
      </c>
      <c r="C20" s="12" t="inlineStr">
        <is>
          <t>Founder and Chief Executive Officer, The Signorelli Company</t>
        </is>
      </c>
      <c r="D20" s="13" t="inlineStr">
        <is>
          <t>Strong target</t>
        </is>
      </c>
      <c r="E20" s="14" t="n">
        <v>3</v>
      </c>
      <c r="F20" s="12" t="inlineStr">
        <is>
          <t>Buys walls</t>
        </is>
      </c>
      <c r="G20" s="12" t="inlineStr">
        <is>
          <t>The Woodlands HQ / Liberty, Fort Bend</t>
        </is>
      </c>
      <c r="H20" s="12" t="inlineStr">
        <is>
          <t>1,300+ homes across 14 new communities</t>
        </is>
      </c>
      <c r="I20" s="14" t="inlineStr">
        <is>
          <t>Yes</t>
        </is>
      </c>
      <c r="J20" s="15" t="inlineStr">
        <is>
          <t>1,300 homes across 14 new communities, 359 at Valley Ranch.</t>
        </is>
      </c>
      <c r="K20" s="14" t="inlineStr">
        <is>
          <t>Partly</t>
        </is>
      </c>
      <c r="L20" s="15" t="inlineStr">
        <is>
          <t>About 750 closings last year across two markets. A machine would be a line inside the business rather than the business.</t>
        </is>
      </c>
      <c r="M20" s="14" t="inlineStr">
        <is>
          <t>Partly</t>
        </is>
      </c>
      <c r="N20" s="15" t="inlineStr">
        <is>
          <t>Markets its own wall assembly, though it is refined stick framing, not a new method.</t>
        </is>
      </c>
      <c r="O20" s="14" t="inlineStr">
        <is>
          <t>Partly</t>
        </is>
      </c>
      <c r="P20" s="6" t="inlineStr">
        <is>
          <t>https://www.linkedin.com/in/danny-signorelli-6284461b/</t>
        </is>
      </c>
      <c r="Q20" s="12" t="inlineStr"/>
      <c r="R20" s="16">
        <f>IF(P20="","ADD LINKEDIN","ok")</f>
        <v/>
      </c>
      <c r="S20" s="12" t="inlineStr">
        <is>
          <t>https://www.firstamericahomes.com/</t>
        </is>
      </c>
      <c r="T20" s="15" t="inlineStr">
        <is>
          <t>1,300 homes a year and it markets its wall assembly. The parent owns the land, so no third party sits in the method decision.</t>
        </is>
      </c>
      <c r="U20"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0" s="12" t="inlineStr"/>
      <c r="W20" s="15" t="inlineStr">
        <is>
          <t>CEO, President, The Signorelli Company. Greater Houston.</t>
        </is>
      </c>
      <c r="X20" s="12" t="inlineStr"/>
      <c r="Y20" s="12" t="inlineStr">
        <is>
          <t>https://www.linkedin.com/company/first-america-homes</t>
        </is>
      </c>
      <c r="Z20" s="12" t="inlineStr">
        <is>
          <t>https://www.firstamericahomes.com/about/</t>
        </is>
      </c>
    </row>
    <row r="21">
      <c r="A21" s="6" t="inlineStr">
        <is>
          <t>Troy Robinson</t>
        </is>
      </c>
      <c r="B21" s="6" t="inlineStr">
        <is>
          <t>First America Homes</t>
        </is>
      </c>
      <c r="C21" s="6" t="inlineStr">
        <is>
          <t>Vice President of Construction, First America Homes</t>
        </is>
      </c>
      <c r="D21" s="7" t="inlineStr">
        <is>
          <t>Strong target</t>
        </is>
      </c>
      <c r="E21" s="8" t="n">
        <v>3</v>
      </c>
      <c r="F21" s="6" t="inlineStr">
        <is>
          <t>Buys walls</t>
        </is>
      </c>
      <c r="G21" s="6" t="inlineStr">
        <is>
          <t>The Woodlands HQ / Liberty, Fort Bend</t>
        </is>
      </c>
      <c r="H21" s="6" t="inlineStr">
        <is>
          <t>1,300+ homes across 14 new communities</t>
        </is>
      </c>
      <c r="I21" s="8" t="inlineStr">
        <is>
          <t>Yes</t>
        </is>
      </c>
      <c r="J21" s="9" t="inlineStr">
        <is>
          <t>1,300 homes across 14 new communities, 359 at Valley Ranch.</t>
        </is>
      </c>
      <c r="K21" s="8" t="inlineStr">
        <is>
          <t>Partly</t>
        </is>
      </c>
      <c r="L21" s="9" t="inlineStr">
        <is>
          <t>About 750 closings last year across two markets. A machine would be a line inside the business rather than the business.</t>
        </is>
      </c>
      <c r="M21" s="8" t="inlineStr">
        <is>
          <t>Partly</t>
        </is>
      </c>
      <c r="N21" s="9" t="inlineStr">
        <is>
          <t>Markets its own wall assembly, though it is refined stick framing, not a new method.</t>
        </is>
      </c>
      <c r="O21" s="8" t="inlineStr">
        <is>
          <t>Partly</t>
        </is>
      </c>
      <c r="P21" s="6" t="inlineStr">
        <is>
          <t>https://www.linkedin.com/in/troyjrobinson/</t>
        </is>
      </c>
      <c r="Q21" s="6" t="inlineStr"/>
      <c r="R21" s="11">
        <f>IF(P21="","ADD LINKEDIN","ok")</f>
        <v/>
      </c>
      <c r="S21" s="6" t="inlineStr">
        <is>
          <t>https://www.firstamericahomes.com/</t>
        </is>
      </c>
      <c r="T21" s="9" t="inlineStr">
        <is>
          <t>1,300 homes a year and it markets its wall assembly. The parent owns the land, so no third party sits in the method decision.</t>
        </is>
      </c>
      <c r="U21"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1" s="6" t="inlineStr">
        <is>
          <t>YES</t>
        </is>
      </c>
      <c r="W21" s="9" t="inlineStr">
        <is>
          <t>VP of Construction for First America Homes. Willis, Texas.</t>
        </is>
      </c>
      <c r="X21" s="6" t="inlineStr"/>
      <c r="Y21" s="6" t="inlineStr">
        <is>
          <t>https://www.linkedin.com/company/first-america-homes</t>
        </is>
      </c>
      <c r="Z21" s="6" t="inlineStr">
        <is>
          <t>https://www.firstamericahomes.com/about/</t>
        </is>
      </c>
    </row>
    <row r="22">
      <c r="A22" s="12" t="inlineStr">
        <is>
          <t>Mike Faul</t>
        </is>
      </c>
      <c r="B22" s="12" t="inlineStr">
        <is>
          <t>First America Homes</t>
        </is>
      </c>
      <c r="C22" s="12" t="inlineStr">
        <is>
          <t>Vice President of Purchasing, First America Homes</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6" t="inlineStr">
        <is>
          <t>https://www.linkedin.com/in/mike-faul-a06b2a203/</t>
        </is>
      </c>
      <c r="Q22" s="12" t="inlineStr"/>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2" s="12" t="inlineStr">
        <is>
          <t>YES</t>
        </is>
      </c>
      <c r="W22" s="15" t="inlineStr">
        <is>
          <t>Profile opened. Company line reads First America Homes. Magnolia, Texas. He took the role this year, after a fifteen-year incumbent left in April 2026.</t>
        </is>
      </c>
      <c r="X22" s="12" t="inlineStr"/>
      <c r="Y22" s="12" t="inlineStr">
        <is>
          <t>https://www.linkedin.com/company/first-america-homes</t>
        </is>
      </c>
      <c r="Z22" s="12" t="inlineStr">
        <is>
          <t>https://www.firstamericahomes.com/about/</t>
        </is>
      </c>
    </row>
    <row r="23">
      <c r="A23" s="6" t="inlineStr">
        <is>
          <t>David Assid</t>
        </is>
      </c>
      <c r="B23" s="6" t="inlineStr">
        <is>
          <t>First America Homes</t>
        </is>
      </c>
      <c r="C23" s="6" t="inlineStr">
        <is>
          <t>Division President, First America Homes</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https://www.linkedin.com/in/davidassid/</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3" s="6" t="inlineStr"/>
      <c r="W23" s="9" t="inlineStr">
        <is>
          <t>Division President, First America Homes. Houston, Texas.</t>
        </is>
      </c>
      <c r="X23" s="6" t="inlineStr"/>
      <c r="Y23" s="6" t="inlineStr">
        <is>
          <t>https://www.linkedin.com/company/first-america-homes</t>
        </is>
      </c>
      <c r="Z23" s="6" t="inlineStr">
        <is>
          <t>https://www.firstamericahomes.com/about/</t>
        </is>
      </c>
    </row>
    <row r="24">
      <c r="A24" s="12" t="inlineStr">
        <is>
          <t>Doug French</t>
        </is>
      </c>
      <c r="B24" s="12" t="inlineStr">
        <is>
          <t>Stylecraft Builders</t>
        </is>
      </c>
      <c r="C24" s="12" t="inlineStr">
        <is>
          <t>Owner, President and Chief Executive Officer</t>
        </is>
      </c>
      <c r="D24" s="13" t="inlineStr">
        <is>
          <t>Strong target</t>
        </is>
      </c>
      <c r="E24" s="14" t="n">
        <v>3</v>
      </c>
      <c r="F24" s="12" t="inlineStr">
        <is>
          <t>Buys walls</t>
        </is>
      </c>
      <c r="G24" s="12" t="inlineStr">
        <is>
          <t>College Station, building in Conroe and Huntsville</t>
        </is>
      </c>
      <c r="H24" s="12" t="inlineStr">
        <is>
          <t>973 homes and $310 million in 2025, up 17 percent</t>
        </is>
      </c>
      <c r="I24" s="14" t="inlineStr">
        <is>
          <t>Yes</t>
        </is>
      </c>
      <c r="J24" s="15" t="inlineStr">
        <is>
          <t>Eight or nine floor plans per community, named by square footage, repeated across the corridor.</t>
        </is>
      </c>
      <c r="K24" s="14" t="inlineStr">
        <is>
          <t>Partly</t>
        </is>
      </c>
      <c r="L24" s="15" t="inlineStr">
        <is>
          <t>973 homes in 2025 across Bryan-College Station, Conroe and Huntsville. Two machines would be a production line inside the business rather than the business.</t>
        </is>
      </c>
      <c r="M24" s="14" t="inlineStr">
        <is>
          <t>Partly</t>
        </is>
      </c>
      <c r="N24" s="15" t="inlineStr">
        <is>
          <t>It runs an even-flow production system, releasing a fixed number of starts a week rather than chasing demand. A firm that already thinks in takt time is one that can price a printer.</t>
        </is>
      </c>
      <c r="O24" s="14" t="inlineStr">
        <is>
          <t>Partly</t>
        </is>
      </c>
      <c r="P24" s="6" t="inlineStr">
        <is>
          <t>https://www.linkedin.com/in/doug-french-bb28b074/</t>
        </is>
      </c>
      <c r="Q24" s="12" t="inlineStr"/>
      <c r="R24" s="16">
        <f>IF(P24="","ADD LINKEDIN","ok")</f>
        <v/>
      </c>
      <c r="S24" s="12" t="inlineStr">
        <is>
          <t>https://www.stylecraft.com/</t>
        </is>
      </c>
      <c r="T24" s="15" t="inlineStr">
        <is>
          <t>973 homes in 2025 on a published even-flow model that releases a fixed number of starts a week. Eight or nine plans per community.</t>
        </is>
      </c>
      <c r="U24"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4" s="12" t="inlineStr"/>
      <c r="W24" s="15" t="inlineStr">
        <is>
          <t>Indexed title reads Doug French, Stylecraft Builders Inc. The firm's team page lists him as Owner, President and Chief Executive Officer. Team page lists Doug French, Owner, President and Chief Executive Officer.</t>
        </is>
      </c>
      <c r="X24" s="12" t="inlineStr">
        <is>
          <t>https://www.stylecraft.com/team/</t>
        </is>
      </c>
      <c r="Y24" s="12" t="inlineStr"/>
      <c r="Z24" s="12" t="inlineStr"/>
    </row>
    <row r="25">
      <c r="A25" s="6" t="inlineStr">
        <is>
          <t>Jordan York</t>
        </is>
      </c>
      <c r="B25" s="6" t="inlineStr">
        <is>
          <t>Stylecraft Builders</t>
        </is>
      </c>
      <c r="C25" s="6" t="inlineStr">
        <is>
          <t>Vice President of Construction</t>
        </is>
      </c>
      <c r="D25" s="7" t="inlineStr">
        <is>
          <t>Strong target</t>
        </is>
      </c>
      <c r="E25" s="8" t="n">
        <v>3</v>
      </c>
      <c r="F25" s="6" t="inlineStr">
        <is>
          <t>Buys walls</t>
        </is>
      </c>
      <c r="G25" s="6" t="inlineStr">
        <is>
          <t>College Station, building in Conroe and Huntsville</t>
        </is>
      </c>
      <c r="H25" s="6" t="inlineStr">
        <is>
          <t>973 homes and $310 million in 2025, up 17 percent</t>
        </is>
      </c>
      <c r="I25" s="8" t="inlineStr">
        <is>
          <t>Yes</t>
        </is>
      </c>
      <c r="J25" s="9" t="inlineStr">
        <is>
          <t>Eight or nine floor plans per community, named by square footage, repeated across the corridor.</t>
        </is>
      </c>
      <c r="K25" s="8" t="inlineStr">
        <is>
          <t>Partly</t>
        </is>
      </c>
      <c r="L25" s="9" t="inlineStr">
        <is>
          <t>973 homes in 2025 across Bryan-College Station, Conroe and Huntsville. Two machines would be a production line inside the business rather than the business.</t>
        </is>
      </c>
      <c r="M25" s="8" t="inlineStr">
        <is>
          <t>Partly</t>
        </is>
      </c>
      <c r="N25" s="9" t="inlineStr">
        <is>
          <t>It runs an even-flow production system, releasing a fixed number of starts a week rather than chasing demand. A firm that already thinks in takt time is one that can price a printer.</t>
        </is>
      </c>
      <c r="O25" s="8" t="inlineStr">
        <is>
          <t>Partly</t>
        </is>
      </c>
      <c r="P25" s="10" t="inlineStr"/>
      <c r="Q25" s="6">
        <f>HYPERLINK("https://www.linkedin.com/search/results/people/?keywords=Jordan%20York%20Stylecraft%20Builders","search")</f>
        <v/>
      </c>
      <c r="R25" s="11">
        <f>IF(P25="","ADD LINKEDIN","ok")</f>
        <v/>
      </c>
      <c r="S25" s="6" t="inlineStr">
        <is>
          <t>https://www.stylecraft.com/</t>
        </is>
      </c>
      <c r="T25" s="9" t="inlineStr">
        <is>
          <t>973 homes in 2025 on a published even-flow model that releases a fixed number of starts a week. Eight or nine plans per community.</t>
        </is>
      </c>
      <c r="U25"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5" s="6" t="inlineStr">
        <is>
          <t>YES</t>
        </is>
      </c>
      <c r="W25" s="9" t="inlineStr">
        <is>
          <t>Team page lists Jordan York, Vice President of Construction. The only LinkedIn profile under the name is a charter pilot.</t>
        </is>
      </c>
      <c r="X25" s="6" t="inlineStr">
        <is>
          <t>https://www.stylecraft.com/team/</t>
        </is>
      </c>
      <c r="Y25" s="6" t="inlineStr"/>
      <c r="Z25" s="6" t="inlineStr"/>
    </row>
    <row r="26">
      <c r="A26" s="12" t="inlineStr">
        <is>
          <t>Bruce Hendren</t>
        </is>
      </c>
      <c r="B26" s="12" t="inlineStr">
        <is>
          <t>Stylecraft Builders</t>
        </is>
      </c>
      <c r="C26" s="12" t="inlineStr">
        <is>
          <t>Vice President of Pre-Construction</t>
        </is>
      </c>
      <c r="D26" s="13" t="inlineStr">
        <is>
          <t>Strong target</t>
        </is>
      </c>
      <c r="E26" s="14" t="n">
        <v>3</v>
      </c>
      <c r="F26" s="12" t="inlineStr">
        <is>
          <t>Buys walls</t>
        </is>
      </c>
      <c r="G26" s="12" t="inlineStr">
        <is>
          <t>College Station, building in Conroe and Huntsville</t>
        </is>
      </c>
      <c r="H26" s="12" t="inlineStr">
        <is>
          <t>973 homes and $310 million in 2025, up 17 percent</t>
        </is>
      </c>
      <c r="I26" s="14" t="inlineStr">
        <is>
          <t>Yes</t>
        </is>
      </c>
      <c r="J26" s="15" t="inlineStr">
        <is>
          <t>Eight or nine floor plans per community, named by square footage, repeated across the corridor.</t>
        </is>
      </c>
      <c r="K26" s="14" t="inlineStr">
        <is>
          <t>Partly</t>
        </is>
      </c>
      <c r="L26" s="15" t="inlineStr">
        <is>
          <t>973 homes in 2025 across Bryan-College Station, Conroe and Huntsville. Two machines would be a production line inside the business rather than the business.</t>
        </is>
      </c>
      <c r="M26" s="14" t="inlineStr">
        <is>
          <t>Partly</t>
        </is>
      </c>
      <c r="N26" s="15" t="inlineStr">
        <is>
          <t>It runs an even-flow production system, releasing a fixed number of starts a week rather than chasing demand. A firm that already thinks in takt time is one that can price a printer.</t>
        </is>
      </c>
      <c r="O26" s="14" t="inlineStr">
        <is>
          <t>Partly</t>
        </is>
      </c>
      <c r="P26" s="6" t="inlineStr">
        <is>
          <t>https://www.linkedin.com/in/bruce-hendren-6a059068/</t>
        </is>
      </c>
      <c r="Q26" s="12" t="inlineStr"/>
      <c r="R26" s="16">
        <f>IF(P26="","ADD LINKEDIN","ok")</f>
        <v/>
      </c>
      <c r="S26" s="12" t="inlineStr">
        <is>
          <t>https://www.stylecraft.com/</t>
        </is>
      </c>
      <c r="T26" s="15" t="inlineStr">
        <is>
          <t>973 homes in 2025 on a published even-flow model that releases a fixed number of starts a week. Eight or nine plans per community.</t>
        </is>
      </c>
      <c r="U26"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6" s="12" t="inlineStr">
        <is>
          <t>YES</t>
        </is>
      </c>
      <c r="W26" s="15" t="inlineStr">
        <is>
          <t>Indexed title reads Bruce Hendren, Stylecraft. The firm's team page lists him as Vice President of Pre-Construction. Team page lists Bruce Hendren, Vice President of Pre-Construction.</t>
        </is>
      </c>
      <c r="X26" s="12" t="inlineStr">
        <is>
          <t>https://www.stylecraft.com/team/</t>
        </is>
      </c>
      <c r="Y26" s="12" t="inlineStr"/>
      <c r="Z26" s="12" t="inlineStr"/>
    </row>
    <row r="27">
      <c r="A27" s="6" t="inlineStr">
        <is>
          <t>Emily Runnion</t>
        </is>
      </c>
      <c r="B27" s="6" t="inlineStr">
        <is>
          <t>Stylecraft Builders</t>
        </is>
      </c>
      <c r="C27" s="6" t="inlineStr">
        <is>
          <t>Director of the South Six Construction Group</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https://www.linkedin.com/in/emilyrunnion/</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Emily Runnion, Stylecraft. The firm's team page lists her as Director of the South Six Construction Group. Team page lists Emily Runnion, Director of South Six Construction Group.</t>
        </is>
      </c>
      <c r="X27" s="6" t="inlineStr">
        <is>
          <t>https://www.stylecraft.com/team/</t>
        </is>
      </c>
      <c r="Y27" s="6" t="inlineStr"/>
      <c r="Z27" s="6" t="inlineStr"/>
    </row>
    <row r="28">
      <c r="A28" s="12" t="inlineStr">
        <is>
          <t>Mary Lawler</t>
        </is>
      </c>
      <c r="B28" s="12" t="inlineStr">
        <is>
          <t>Avenue CDC</t>
        </is>
      </c>
      <c r="C28" s="12" t="inlineStr">
        <is>
          <t>Chief Executive Officer</t>
        </is>
      </c>
      <c r="D28" s="13" t="inlineStr">
        <is>
          <t>Strong target</t>
        </is>
      </c>
      <c r="E28" s="14" t="n">
        <v>3</v>
      </c>
      <c r="F28" s="12" t="inlineStr">
        <is>
          <t>Buys walls</t>
        </is>
      </c>
      <c r="G28" s="12" t="inlineStr">
        <is>
          <t>Near Northside, Harris County</t>
        </is>
      </c>
      <c r="H28" s="12" t="inlineStr">
        <is>
          <t>5 named Near Northside developments</t>
        </is>
      </c>
      <c r="I28" s="14" t="inlineStr">
        <is>
          <t>Partly</t>
        </is>
      </c>
      <c r="J28" s="15" t="inlineStr">
        <is>
          <t>Five developments in one neighbourhood since 2002.</t>
        </is>
      </c>
      <c r="K28" s="14" t="inlineStr">
        <is>
          <t>Yes</t>
        </is>
      </c>
      <c r="L28" s="15" t="inlineStr">
        <is>
          <t>Five affordable developments in one neighbourhood, at a scale one machine covers.</t>
        </is>
      </c>
      <c r="M28" s="14" t="inlineStr">
        <is>
          <t>Partly</t>
        </is>
      </c>
      <c r="N28" s="15" t="inlineStr">
        <is>
          <t>Post-Harvey resilience framing, from Rice's Kinder Institute rather than its own marketing.</t>
        </is>
      </c>
      <c r="O28" s="14" t="inlineStr">
        <is>
          <t>No</t>
        </is>
      </c>
      <c r="P28" s="10" t="inlineStr"/>
      <c r="Q28" s="12">
        <f>HYPERLINK("https://www.linkedin.com/search/results/people/?keywords=Mary%20Lawler%20Avenue%20CDC","search")</f>
        <v/>
      </c>
      <c r="R28" s="16">
        <f>IF(P28="","ADD LINKEDIN","ok")</f>
        <v/>
      </c>
      <c r="S28" s="12" t="inlineStr">
        <is>
          <t>https://avenuecdc.org/</t>
        </is>
      </c>
      <c r="T28" s="15" t="inlineStr">
        <is>
          <t>Five affordable developments in one neighbourhood, framed post-Harvey by Rice's Kinder Institute. $3.4M is the only figure.</t>
        </is>
      </c>
      <c r="U2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8" s="12" t="inlineStr"/>
      <c r="W28" s="15" t="inlineStr">
        <is>
          <t>Chief Executive Officer on Avenue's own board and staff page, marking twenty-five years of leadership.</t>
        </is>
      </c>
      <c r="X28" s="12" t="inlineStr">
        <is>
          <t>https://avenuecdc.org/about-us/board-staff/</t>
        </is>
      </c>
      <c r="Y28" s="12" t="inlineStr">
        <is>
          <t>https://www.linkedin.com/company/avenue-community-development-coporation</t>
        </is>
      </c>
      <c r="Z28" s="12" t="inlineStr">
        <is>
          <t>https://avenuecdc.org/about-us/board-staff/</t>
        </is>
      </c>
    </row>
    <row r="29">
      <c r="A29" s="6" t="inlineStr">
        <is>
          <t>Nicole Cassier</t>
        </is>
      </c>
      <c r="B29" s="6" t="inlineStr">
        <is>
          <t>Avenue CDC</t>
        </is>
      </c>
      <c r="C29" s="6" t="inlineStr">
        <is>
          <t>Chief Strategy Officer</t>
        </is>
      </c>
      <c r="D29" s="7" t="inlineStr">
        <is>
          <t>Strong target</t>
        </is>
      </c>
      <c r="E29" s="8" t="n">
        <v>3</v>
      </c>
      <c r="F29" s="6" t="inlineStr">
        <is>
          <t>Buys walls</t>
        </is>
      </c>
      <c r="G29" s="6" t="inlineStr">
        <is>
          <t>Near Northside, Harris County</t>
        </is>
      </c>
      <c r="H29" s="6" t="inlineStr">
        <is>
          <t>5 named Near Northside developments</t>
        </is>
      </c>
      <c r="I29" s="8" t="inlineStr">
        <is>
          <t>Partly</t>
        </is>
      </c>
      <c r="J29" s="9" t="inlineStr">
        <is>
          <t>Five developments in one neighbourhood since 2002.</t>
        </is>
      </c>
      <c r="K29" s="8" t="inlineStr">
        <is>
          <t>Yes</t>
        </is>
      </c>
      <c r="L29" s="9" t="inlineStr">
        <is>
          <t>Five affordable developments in one neighbourhood, at a scale one machine covers.</t>
        </is>
      </c>
      <c r="M29" s="8" t="inlineStr">
        <is>
          <t>Partly</t>
        </is>
      </c>
      <c r="N29" s="9" t="inlineStr">
        <is>
          <t>Post-Harvey resilience framing, from Rice's Kinder Institute rather than its own marketing.</t>
        </is>
      </c>
      <c r="O29" s="8" t="inlineStr">
        <is>
          <t>No</t>
        </is>
      </c>
      <c r="P29" s="6" t="inlineStr">
        <is>
          <t>https://www.linkedin.com/in/nicolecassier/</t>
        </is>
      </c>
      <c r="Q29" s="6" t="inlineStr"/>
      <c r="R29" s="11">
        <f>IF(P29="","ADD LINKEDIN","ok")</f>
        <v/>
      </c>
      <c r="S29" s="6" t="inlineStr">
        <is>
          <t>https://avenuecdc.org/</t>
        </is>
      </c>
      <c r="T29" s="9" t="inlineStr">
        <is>
          <t>Five affordable developments in one neighbourhood, framed post-Harvey by Rice's Kinder Institute. $3.4M is the only figure.</t>
        </is>
      </c>
      <c r="U29"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9" s="6" t="inlineStr"/>
      <c r="W29" s="9" t="inlineStr">
        <is>
          <t>Chief Strategy Officer, Housing &amp; Community Development. Surfaced on an Avenue CDC search.</t>
        </is>
      </c>
      <c r="X29" s="6" t="inlineStr"/>
      <c r="Y29" s="6" t="inlineStr">
        <is>
          <t>https://www.linkedin.com/company/avenue-community-development-coporation</t>
        </is>
      </c>
      <c r="Z29" s="6" t="inlineStr">
        <is>
          <t>https://avenuecdc.org/about-us/board-staff/</t>
        </is>
      </c>
    </row>
    <row r="30">
      <c r="A30" s="12" t="inlineStr">
        <is>
          <t>Karen Briggs Gwin</t>
        </is>
      </c>
      <c r="B30" s="12" t="inlineStr">
        <is>
          <t>Avenue CDC</t>
        </is>
      </c>
      <c r="C30" s="12" t="inlineStr">
        <is>
          <t>Chief Financial Officer</t>
        </is>
      </c>
      <c r="D30" s="13" t="inlineStr">
        <is>
          <t>Strong target</t>
        </is>
      </c>
      <c r="E30" s="14" t="n">
        <v>3</v>
      </c>
      <c r="F30" s="12" t="inlineStr">
        <is>
          <t>Buys walls</t>
        </is>
      </c>
      <c r="G30" s="12" t="inlineStr">
        <is>
          <t>Near Northside, Harris County</t>
        </is>
      </c>
      <c r="H30" s="12" t="inlineStr">
        <is>
          <t>5 named Near Northside developments</t>
        </is>
      </c>
      <c r="I30" s="14" t="inlineStr">
        <is>
          <t>Partly</t>
        </is>
      </c>
      <c r="J30" s="15" t="inlineStr">
        <is>
          <t>Five developments in one neighbourhood since 2002.</t>
        </is>
      </c>
      <c r="K30" s="14" t="inlineStr">
        <is>
          <t>Yes</t>
        </is>
      </c>
      <c r="L30" s="15" t="inlineStr">
        <is>
          <t>Five affordable developments in one neighbourhood, at a scale one machine covers.</t>
        </is>
      </c>
      <c r="M30" s="14" t="inlineStr">
        <is>
          <t>Partly</t>
        </is>
      </c>
      <c r="N30" s="15" t="inlineStr">
        <is>
          <t>Post-Harvey resilience framing, from Rice's Kinder Institute rather than its own marketing.</t>
        </is>
      </c>
      <c r="O30" s="14" t="inlineStr">
        <is>
          <t>No</t>
        </is>
      </c>
      <c r="P30" s="6" t="inlineStr">
        <is>
          <t>https://www.linkedin.com/in/karen-briggs-gwin-02106614/</t>
        </is>
      </c>
      <c r="Q30" s="12" t="inlineStr"/>
      <c r="R30" s="16">
        <f>IF(P30="","ADD LINKEDIN","ok")</f>
        <v/>
      </c>
      <c r="S30" s="12" t="inlineStr">
        <is>
          <t>https://avenuecdc.org/</t>
        </is>
      </c>
      <c r="T30" s="15" t="inlineStr">
        <is>
          <t>Five affordable developments in one neighbourhood, framed post-Harvey by Rice's Kinder Institute. $3.4M is the only figure.</t>
        </is>
      </c>
      <c r="U30"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0" s="12" t="inlineStr"/>
      <c r="W30" s="15" t="inlineStr">
        <is>
          <t>Chief Financial Officer, Avenue CDC. Greater Houston.</t>
        </is>
      </c>
      <c r="X30" s="12" t="inlineStr"/>
      <c r="Y30" s="12" t="inlineStr">
        <is>
          <t>https://www.linkedin.com/company/avenue-community-development-coporation</t>
        </is>
      </c>
      <c r="Z30" s="12" t="inlineStr">
        <is>
          <t>https://avenuecdc.org/about-us/board-staff/</t>
        </is>
      </c>
    </row>
    <row r="31">
      <c r="A31" s="6" t="inlineStr">
        <is>
          <t>Marilyn Vanderhider</t>
        </is>
      </c>
      <c r="B31" s="6" t="inlineStr">
        <is>
          <t>Avenue CDC</t>
        </is>
      </c>
      <c r="C31" s="6" t="inlineStr">
        <is>
          <t>Director of Single Family Housing, Avenue CDC</t>
        </is>
      </c>
      <c r="D31" s="7" t="inlineStr">
        <is>
          <t>Strong target</t>
        </is>
      </c>
      <c r="E31" s="8" t="n">
        <v>3</v>
      </c>
      <c r="F31" s="6" t="inlineStr">
        <is>
          <t>Buys walls</t>
        </is>
      </c>
      <c r="G31" s="6" t="inlineStr">
        <is>
          <t>Near Northside, Harris County</t>
        </is>
      </c>
      <c r="H31" s="6" t="inlineStr">
        <is>
          <t>5 named Near Northside developments</t>
        </is>
      </c>
      <c r="I31" s="8" t="inlineStr">
        <is>
          <t>Partly</t>
        </is>
      </c>
      <c r="J31" s="9" t="inlineStr">
        <is>
          <t>Five developments in one neighbourhood since 2002.</t>
        </is>
      </c>
      <c r="K31" s="8" t="inlineStr">
        <is>
          <t>Yes</t>
        </is>
      </c>
      <c r="L31" s="9" t="inlineStr">
        <is>
          <t>Five affordable developments in one neighbourhood, at a scale one machine covers.</t>
        </is>
      </c>
      <c r="M31" s="8" t="inlineStr">
        <is>
          <t>Partly</t>
        </is>
      </c>
      <c r="N31" s="9" t="inlineStr">
        <is>
          <t>Post-Harvey resilience framing, from Rice's Kinder Institute rather than its own marketing.</t>
        </is>
      </c>
      <c r="O31" s="8" t="inlineStr">
        <is>
          <t>No</t>
        </is>
      </c>
      <c r="P31" s="6" t="inlineStr">
        <is>
          <t>https://www.linkedin.com/in/marilyn-vanderhider-78a0b49/</t>
        </is>
      </c>
      <c r="Q31" s="6" t="inlineStr"/>
      <c r="R31" s="11">
        <f>IF(P31="","ADD LINKEDIN","ok")</f>
        <v/>
      </c>
      <c r="S31" s="6" t="inlineStr">
        <is>
          <t>https://avenuecdc.org/</t>
        </is>
      </c>
      <c r="T31" s="9" t="inlineStr">
        <is>
          <t>Five affordable developments in one neighbourhood, framed post-Harvey by Rice's Kinder Institute. $3.4M is the only figure.</t>
        </is>
      </c>
      <c r="U31"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1" s="6" t="inlineStr">
        <is>
          <t>YES</t>
        </is>
      </c>
      <c r="W31" s="9" t="inlineStr">
        <is>
          <t>Director, Single Family Housing at Avenue Community Development Corporation. Houston, Texas. At a nonprofit developer this is the role that owns how the houses get built, not the chief executive.</t>
        </is>
      </c>
      <c r="X31" s="6" t="inlineStr"/>
      <c r="Y31" s="6" t="inlineStr">
        <is>
          <t>https://www.linkedin.com/company/avenue-community-development-coporation</t>
        </is>
      </c>
      <c r="Z31" s="6" t="inlineStr">
        <is>
          <t>https://avenuecdc.org/about-us/board-staff/</t>
        </is>
      </c>
    </row>
    <row r="32">
      <c r="A32" s="12" t="inlineStr">
        <is>
          <t>Klaus Keller</t>
        </is>
      </c>
      <c r="B32" s="12" t="inlineStr">
        <is>
          <t>Sueba USA Corporation</t>
        </is>
      </c>
      <c r="C32" s="12" t="inlineStr">
        <is>
          <t>President and Chief Executive Officer</t>
        </is>
      </c>
      <c r="D32" s="13" t="inlineStr">
        <is>
          <t>Strong target</t>
        </is>
      </c>
      <c r="E32" s="14" t="n">
        <v>3</v>
      </c>
      <c r="F32" s="12" t="inlineStr">
        <is>
          <t>Buys walls</t>
        </is>
      </c>
      <c r="G32" s="12" t="inlineStr">
        <is>
          <t>Houston HQ / Fort Bend</t>
        </is>
      </c>
      <c r="H32" s="12" t="inlineStr">
        <is>
          <t>346 units, in-house architect and GC</t>
        </is>
      </c>
      <c r="I32" s="14" t="inlineStr">
        <is>
          <t>Partly</t>
        </is>
      </c>
      <c r="J32" s="15" t="inlineStr">
        <is>
          <t>346 units on one site at Fort Bend Town Center.</t>
        </is>
      </c>
      <c r="K32" s="14" t="inlineStr">
        <is>
          <t>Yes</t>
        </is>
      </c>
      <c r="L32" s="15" t="inlineStr">
        <is>
          <t>346 units with its own architect and its own general contractor. No third party is in the decision.</t>
        </is>
      </c>
      <c r="M32" s="14" t="inlineStr">
        <is>
          <t>Partly</t>
        </is>
      </c>
      <c r="N32" s="15" t="inlineStr">
        <is>
          <t>Its own affiliates act as architect and general contractor, so nobody outside can veto a method.</t>
        </is>
      </c>
      <c r="O32" s="14" t="inlineStr">
        <is>
          <t>No</t>
        </is>
      </c>
      <c r="P32" s="6" t="inlineStr">
        <is>
          <t>https://www.linkedin.com/in/klaus-keller-56151334/</t>
        </is>
      </c>
      <c r="Q32" s="12" t="inlineStr"/>
      <c r="R32" s="16">
        <f>IF(P32="","ADD LINKEDIN","ok")</f>
        <v/>
      </c>
      <c r="S32" s="12" t="inlineStr">
        <is>
          <t>https://suebausa.com/</t>
        </is>
      </c>
      <c r="T32" s="15" t="inlineStr">
        <is>
          <t>346 units, with its own architect and general contractor in-house. No third party in a method decision.</t>
        </is>
      </c>
      <c r="U32"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2" s="12" t="inlineStr"/>
      <c r="W32" s="15" t="inlineStr">
        <is>
          <t>President at Sueba USA Corporation. Houston, Texas.</t>
        </is>
      </c>
      <c r="X32" s="12" t="inlineStr"/>
      <c r="Y32" s="12" t="inlineStr">
        <is>
          <t>https://www.linkedin.com/company/sueba-usa-corporation</t>
        </is>
      </c>
      <c r="Z32" s="12" t="inlineStr">
        <is>
          <t>https://suebausa.com/about-us/</t>
        </is>
      </c>
    </row>
    <row r="33">
      <c r="A33" s="6" t="inlineStr">
        <is>
          <t>John Chiang</t>
        </is>
      </c>
      <c r="B33" s="6" t="inlineStr">
        <is>
          <t>Sueba USA Corporation</t>
        </is>
      </c>
      <c r="C33" s="6" t="inlineStr">
        <is>
          <t>Executive Vice President and Chief Operating Officer</t>
        </is>
      </c>
      <c r="D33" s="7" t="inlineStr">
        <is>
          <t>Strong target</t>
        </is>
      </c>
      <c r="E33" s="8" t="n">
        <v>3</v>
      </c>
      <c r="F33" s="6" t="inlineStr">
        <is>
          <t>Buys walls</t>
        </is>
      </c>
      <c r="G33" s="6" t="inlineStr">
        <is>
          <t>Houston HQ / Fort Bend</t>
        </is>
      </c>
      <c r="H33" s="6" t="inlineStr">
        <is>
          <t>346 units, in-house architect and GC</t>
        </is>
      </c>
      <c r="I33" s="8" t="inlineStr">
        <is>
          <t>Partly</t>
        </is>
      </c>
      <c r="J33" s="9" t="inlineStr">
        <is>
          <t>346 units on one site at Fort Bend Town Center.</t>
        </is>
      </c>
      <c r="K33" s="8" t="inlineStr">
        <is>
          <t>Yes</t>
        </is>
      </c>
      <c r="L33" s="9" t="inlineStr">
        <is>
          <t>346 units with its own architect and its own general contractor. No third party is in the decision.</t>
        </is>
      </c>
      <c r="M33" s="8" t="inlineStr">
        <is>
          <t>Partly</t>
        </is>
      </c>
      <c r="N33" s="9" t="inlineStr">
        <is>
          <t>Its own affiliates act as architect and general contractor, so nobody outside can veto a method.</t>
        </is>
      </c>
      <c r="O33" s="8" t="inlineStr">
        <is>
          <t>No</t>
        </is>
      </c>
      <c r="P33" s="10" t="inlineStr"/>
      <c r="Q33" s="6">
        <f>HYPERLINK("https://www.linkedin.com/search/results/people/?keywords=John%20Chiang%20Sueba%20USA%20Corporation","search")</f>
        <v/>
      </c>
      <c r="R33" s="11">
        <f>IF(P33="","ADD LINKEDIN","ok")</f>
        <v/>
      </c>
      <c r="S33" s="6" t="inlineStr">
        <is>
          <t>https://suebausa.com/</t>
        </is>
      </c>
      <c r="T33" s="9" t="inlineStr">
        <is>
          <t>346 units, with its own architect and general contractor in-house. No third party in a method decision.</t>
        </is>
      </c>
      <c r="U33"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3" s="6" t="inlineStr"/>
      <c r="W33" s="9" t="inlineStr">
        <is>
          <t>Executive Vice President and Chief Operating Officer.</t>
        </is>
      </c>
      <c r="X33" s="6" t="inlineStr">
        <is>
          <t>https://suebausa.com/about-us/</t>
        </is>
      </c>
      <c r="Y33" s="6" t="inlineStr">
        <is>
          <t>https://www.linkedin.com/company/sueba-usa-corporation</t>
        </is>
      </c>
      <c r="Z33" s="6" t="inlineStr">
        <is>
          <t>https://suebausa.com/about-us/</t>
        </is>
      </c>
    </row>
    <row r="34">
      <c r="A34" s="12" t="inlineStr">
        <is>
          <t>Raymond Gabriele</t>
        </is>
      </c>
      <c r="B34" s="12" t="inlineStr">
        <is>
          <t>Sueba USA Corporation</t>
        </is>
      </c>
      <c r="C34" s="12" t="inlineStr">
        <is>
          <t>Vice President, Development</t>
        </is>
      </c>
      <c r="D34" s="13" t="inlineStr">
        <is>
          <t>Strong target</t>
        </is>
      </c>
      <c r="E34" s="14" t="n">
        <v>3</v>
      </c>
      <c r="F34" s="12" t="inlineStr">
        <is>
          <t>Buys walls</t>
        </is>
      </c>
      <c r="G34" s="12" t="inlineStr">
        <is>
          <t>Houston HQ / Fort Bend</t>
        </is>
      </c>
      <c r="H34" s="12" t="inlineStr">
        <is>
          <t>346 units, in-house architect and GC</t>
        </is>
      </c>
      <c r="I34" s="14" t="inlineStr">
        <is>
          <t>Partly</t>
        </is>
      </c>
      <c r="J34" s="15" t="inlineStr">
        <is>
          <t>346 units on one site at Fort Bend Town Center.</t>
        </is>
      </c>
      <c r="K34" s="14" t="inlineStr">
        <is>
          <t>Yes</t>
        </is>
      </c>
      <c r="L34" s="15" t="inlineStr">
        <is>
          <t>346 units with its own architect and its own general contractor. No third party is in the decision.</t>
        </is>
      </c>
      <c r="M34" s="14" t="inlineStr">
        <is>
          <t>Partly</t>
        </is>
      </c>
      <c r="N34" s="15" t="inlineStr">
        <is>
          <t>Its own affiliates act as architect and general contractor, so nobody outside can veto a method.</t>
        </is>
      </c>
      <c r="O34" s="14" t="inlineStr">
        <is>
          <t>No</t>
        </is>
      </c>
      <c r="P34" s="6" t="inlineStr">
        <is>
          <t>https://www.linkedin.com/in/raygabriele/</t>
        </is>
      </c>
      <c r="Q34" s="12" t="inlineStr"/>
      <c r="R34" s="16">
        <f>IF(P34="","ADD LINKEDIN","ok")</f>
        <v/>
      </c>
      <c r="S34" s="12" t="inlineStr">
        <is>
          <t>https://suebausa.com/</t>
        </is>
      </c>
      <c r="T34" s="15" t="inlineStr">
        <is>
          <t>346 units, with its own architect and general contractor in-house. No third party in a method decision.</t>
        </is>
      </c>
      <c r="U34"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4" s="12" t="inlineStr">
        <is>
          <t>YES</t>
        </is>
      </c>
      <c r="W34" s="15" t="inlineStr">
        <is>
          <t>Real Estate Development, Sueba USA Corporation. Houston, Texas. Listed AIA, so he is the licensed architect inside the firm that designs and builds its own work.</t>
        </is>
      </c>
      <c r="X34" s="12" t="inlineStr"/>
      <c r="Y34" s="12" t="inlineStr">
        <is>
          <t>https://www.linkedin.com/company/sueba-usa-corporation</t>
        </is>
      </c>
      <c r="Z34" s="12" t="inlineStr">
        <is>
          <t>https://suebausa.com/about-us/</t>
        </is>
      </c>
    </row>
    <row r="35">
      <c r="A35" s="6" t="inlineStr">
        <is>
          <t>Michael Hundl</t>
        </is>
      </c>
      <c r="B35" s="6" t="inlineStr">
        <is>
          <t>Chesmar Homes</t>
        </is>
      </c>
      <c r="C35" s="6" t="inlineStr">
        <is>
          <t>Vice President of Construction, Houston North, Chesmar Homes</t>
        </is>
      </c>
      <c r="D35" s="7" t="inlineStr">
        <is>
          <t>Strong target</t>
        </is>
      </c>
      <c r="E35" s="8" t="n">
        <v>3</v>
      </c>
      <c r="F35" s="6" t="inlineStr">
        <is>
          <t>Buys walls</t>
        </is>
      </c>
      <c r="G35" s="6" t="inlineStr">
        <is>
          <t>Spring, Harris-Montgomery</t>
        </is>
      </c>
      <c r="H35" s="6" t="inlineStr"/>
      <c r="I35" s="8" t="inlineStr">
        <is>
          <t>Partly</t>
        </is>
      </c>
      <c r="J35" s="9" t="inlineStr">
        <is>
          <t>Builder at Sienna, with four Texas divisions.</t>
        </is>
      </c>
      <c r="K35" s="8" t="inlineStr">
        <is>
          <t>Partly</t>
        </is>
      </c>
      <c r="L35" s="9" t="inlineStr">
        <is>
          <t>Four Texas divisions under a Japanese parent. Volume is above the band and the parent is industrialising on its own terms.</t>
        </is>
      </c>
      <c r="M35" s="8" t="inlineStr">
        <is>
          <t>Partly</t>
        </is>
      </c>
      <c r="N35" s="9" t="inlineStr">
        <is>
          <t>Folded into Sekisui House U.S. in January 2026 under a stated mission to transfer Sekisui construction technology into the legacy brands.</t>
        </is>
      </c>
      <c r="O35" s="8" t="inlineStr">
        <is>
          <t>No</t>
        </is>
      </c>
      <c r="P35" s="6" t="inlineStr">
        <is>
          <t>https://www.linkedin.com/in/michael-hundl-2a279025/</t>
        </is>
      </c>
      <c r="Q35" s="6" t="inlineStr"/>
      <c r="R35" s="11">
        <f>IF(P35="","ADD LINKEDIN","ok")</f>
        <v/>
      </c>
      <c r="S35" s="6" t="inlineStr">
        <is>
          <t>https://www.chesmar.com/</t>
        </is>
      </c>
      <c r="T35" s="9" t="inlineStr">
        <is>
          <t>Now part of Sekisui House U.S., whose stated mission is transferring Japanese construction technology into its US brands. Nothing has reached Texas yet.</t>
        </is>
      </c>
      <c r="U35"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5" s="6" t="inlineStr">
        <is>
          <t>YES</t>
        </is>
      </c>
      <c r="W35" s="9" t="inlineStr">
        <is>
          <t>VP of Construction Houston North, Chesmar Homes. Spring, Texas.</t>
        </is>
      </c>
      <c r="X35" s="6" t="inlineStr"/>
      <c r="Y35" s="6" t="inlineStr">
        <is>
          <t>https://www.linkedin.com/company/chesmar-homes</t>
        </is>
      </c>
      <c r="Z35" s="6" t="inlineStr"/>
    </row>
    <row r="36">
      <c r="A36" s="12" t="inlineStr">
        <is>
          <t>Dan Renaud</t>
        </is>
      </c>
      <c r="B36" s="12" t="inlineStr">
        <is>
          <t>Chesmar Homes</t>
        </is>
      </c>
      <c r="C36" s="12" t="inlineStr">
        <is>
          <t>Vice President of Construction Operations, Chesmar Homes</t>
        </is>
      </c>
      <c r="D36" s="13" t="inlineStr">
        <is>
          <t>Strong target</t>
        </is>
      </c>
      <c r="E36" s="14" t="n">
        <v>3</v>
      </c>
      <c r="F36" s="12" t="inlineStr">
        <is>
          <t>Buys walls</t>
        </is>
      </c>
      <c r="G36" s="12" t="inlineStr">
        <is>
          <t>Spring, Harris-Montgomery</t>
        </is>
      </c>
      <c r="H36" s="12" t="inlineStr"/>
      <c r="I36" s="14" t="inlineStr">
        <is>
          <t>Partly</t>
        </is>
      </c>
      <c r="J36" s="15" t="inlineStr">
        <is>
          <t>Builder at Sienna, with four Texas divisions.</t>
        </is>
      </c>
      <c r="K36" s="14" t="inlineStr">
        <is>
          <t>Partly</t>
        </is>
      </c>
      <c r="L36" s="15" t="inlineStr">
        <is>
          <t>Four Texas divisions under a Japanese parent. Volume is above the band and the parent is industrialising on its own terms.</t>
        </is>
      </c>
      <c r="M36" s="14" t="inlineStr">
        <is>
          <t>Partly</t>
        </is>
      </c>
      <c r="N36" s="15" t="inlineStr">
        <is>
          <t>Folded into Sekisui House U.S. in January 2026 under a stated mission to transfer Sekisui construction technology into the legacy brands.</t>
        </is>
      </c>
      <c r="O36" s="14" t="inlineStr">
        <is>
          <t>No</t>
        </is>
      </c>
      <c r="P36" s="6" t="inlineStr">
        <is>
          <t>https://www.linkedin.com/in/dan-renaud-8b244719/</t>
        </is>
      </c>
      <c r="Q36" s="12" t="inlineStr"/>
      <c r="R36" s="16">
        <f>IF(P36="","ADD LINKEDIN","ok")</f>
        <v/>
      </c>
      <c r="S36" s="12" t="inlineStr">
        <is>
          <t>https://www.chesmar.com/</t>
        </is>
      </c>
      <c r="T36" s="15" t="inlineStr">
        <is>
          <t>Now part of Sekisui House U.S., whose stated mission is transferring Japanese construction technology into its US brands. Nothing has reached Texas yet.</t>
        </is>
      </c>
      <c r="U36"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6" s="12" t="inlineStr">
        <is>
          <t>YES</t>
        </is>
      </c>
      <c r="W36" s="15" t="inlineStr">
        <is>
          <t>Vice President of Construction Operations at Chesmar Homes. Houston, Texas.</t>
        </is>
      </c>
      <c r="X36" s="12" t="inlineStr"/>
      <c r="Y36" s="12" t="inlineStr">
        <is>
          <t>https://www.linkedin.com/company/chesmar-homes</t>
        </is>
      </c>
      <c r="Z36" s="12" t="inlineStr"/>
    </row>
    <row r="37">
      <c r="A37" s="6" t="inlineStr">
        <is>
          <t>David Ebarb</t>
        </is>
      </c>
      <c r="B37" s="6" t="inlineStr">
        <is>
          <t>Chesmar Homes</t>
        </is>
      </c>
      <c r="C37" s="6" t="inlineStr">
        <is>
          <t>Vice President of Purchasing, Chesmar Homes</t>
        </is>
      </c>
      <c r="D37" s="7" t="inlineStr">
        <is>
          <t>Strong target</t>
        </is>
      </c>
      <c r="E37" s="8" t="n">
        <v>3</v>
      </c>
      <c r="F37" s="6" t="inlineStr">
        <is>
          <t>Buys walls</t>
        </is>
      </c>
      <c r="G37" s="6" t="inlineStr">
        <is>
          <t>Spring, Harris-Montgomery</t>
        </is>
      </c>
      <c r="H37" s="6" t="inlineStr"/>
      <c r="I37" s="8" t="inlineStr">
        <is>
          <t>Partly</t>
        </is>
      </c>
      <c r="J37" s="9" t="inlineStr">
        <is>
          <t>Builder at Sienna, with four Texas divisions.</t>
        </is>
      </c>
      <c r="K37" s="8" t="inlineStr">
        <is>
          <t>Partly</t>
        </is>
      </c>
      <c r="L37" s="9" t="inlineStr">
        <is>
          <t>Four Texas divisions under a Japanese parent. Volume is above the band and the parent is industrialising on its own terms.</t>
        </is>
      </c>
      <c r="M37" s="8" t="inlineStr">
        <is>
          <t>Partly</t>
        </is>
      </c>
      <c r="N37" s="9" t="inlineStr">
        <is>
          <t>Folded into Sekisui House U.S. in January 2026 under a stated mission to transfer Sekisui construction technology into the legacy brands.</t>
        </is>
      </c>
      <c r="O37" s="8" t="inlineStr">
        <is>
          <t>No</t>
        </is>
      </c>
      <c r="P37" s="6" t="inlineStr">
        <is>
          <t>https://www.linkedin.com/in/david-ebarb-73388541/</t>
        </is>
      </c>
      <c r="Q37" s="6" t="inlineStr"/>
      <c r="R37" s="11">
        <f>IF(P37="","ADD LINKEDIN","ok")</f>
        <v/>
      </c>
      <c r="S37" s="6" t="inlineStr">
        <is>
          <t>https://www.chesmar.com/</t>
        </is>
      </c>
      <c r="T37" s="9" t="inlineStr">
        <is>
          <t>Now part of Sekisui House U.S., whose stated mission is transferring Japanese construction technology into its US brands. Nothing has reached Texas yet.</t>
        </is>
      </c>
      <c r="U37"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7" s="6" t="inlineStr">
        <is>
          <t>YES</t>
        </is>
      </c>
      <c r="W37" s="9" t="inlineStr">
        <is>
          <t>Vice President of Purchasing at Chesmar Home. Houston, Texas.</t>
        </is>
      </c>
      <c r="X37" s="6" t="inlineStr"/>
      <c r="Y37" s="6" t="inlineStr">
        <is>
          <t>https://www.linkedin.com/company/chesmar-homes</t>
        </is>
      </c>
      <c r="Z37" s="6" t="inlineStr"/>
    </row>
    <row r="38">
      <c r="A38" s="12" t="inlineStr">
        <is>
          <t>George Kopecky</t>
        </is>
      </c>
      <c r="B38" s="12" t="inlineStr">
        <is>
          <t>GreenEco Builders</t>
        </is>
      </c>
      <c r="C38" s="12" t="inlineStr">
        <is>
          <t>President</t>
        </is>
      </c>
      <c r="D38" s="13" t="inlineStr">
        <is>
          <t>Strong target</t>
        </is>
      </c>
      <c r="E38" s="14" t="n">
        <v>3</v>
      </c>
      <c r="F38" s="12" t="inlineStr">
        <is>
          <t>Buys walls</t>
        </is>
      </c>
      <c r="G38" s="12" t="inlineStr">
        <is>
          <t>Tavola, New Caney</t>
        </is>
      </c>
      <c r="H38" s="12" t="inlineStr">
        <is>
          <t>Orders windows per home to keep adopting newer products</t>
        </is>
      </c>
      <c r="I38" s="14" t="inlineStr">
        <is>
          <t>Partly</t>
        </is>
      </c>
      <c r="J38" s="15" t="inlineStr">
        <is>
          <t>One confirmed community, Tavola in New Caney. The footprint is small.</t>
        </is>
      </c>
      <c r="K38" s="14" t="inlineStr">
        <is>
          <t>Partly</t>
        </is>
      </c>
      <c r="L38" s="15" t="inlineStr">
        <is>
          <t>Owned by Rausch Coleman Homes since 2020. No volume figure is published for the brand, and purchasing may sit with the parent.</t>
        </is>
      </c>
      <c r="M38" s="14" t="inlineStr">
        <is>
          <t>Partly</t>
        </is>
      </c>
      <c r="N38" s="15" t="inlineStr">
        <is>
          <t>It orders windows per home rather than per community specifically so it can adopt newer energy products as they appear. That is a procurement habit built for method change.</t>
        </is>
      </c>
      <c r="O38" s="14" t="inlineStr">
        <is>
          <t>No</t>
        </is>
      </c>
      <c r="P38" s="6" t="inlineStr">
        <is>
          <t>https://www.linkedin.com/in/george-kopecky-7ba08a26/</t>
        </is>
      </c>
      <c r="Q38" s="12" t="inlineStr"/>
      <c r="R38" s="16">
        <f>IF(P38="","ADD LINKEDIN","ok")</f>
        <v/>
      </c>
      <c r="S38" s="12" t="inlineStr">
        <is>
          <t>https://greenecobuilders.com/</t>
        </is>
      </c>
      <c r="T38" s="15" t="inlineStr">
        <is>
          <t>Orders windows per home rather than per community so it can adopt newer products. Owned by Rausch Coleman Homes since 2020.</t>
        </is>
      </c>
      <c r="U38" s="15" t="inlineStr">
        <is>
          <t>GreenEco was acquired by Rausch Coleman Homes of Fayetteville, Arkansas in 2020, on the acquirer's own account in trade press. It still sells under its own name in Houston listings. Confirm whether purchasing sits in Katy or in Fayetteville before an approach. | No leadership, no volume and no price band are published. The per-home window ordering is the only method evidence on record.</t>
        </is>
      </c>
      <c r="V38" s="12" t="inlineStr"/>
      <c r="W38" s="15" t="inlineStr">
        <is>
          <t>Indexed title reads George Kopecky, President at GreenEco Builders. Named as the firm's principal in trade coverage of the 2020 sale to Rausch Coleman.</t>
        </is>
      </c>
      <c r="X38" s="12" t="inlineStr"/>
      <c r="Y38" s="12" t="inlineStr"/>
      <c r="Z38" s="12" t="inlineStr"/>
    </row>
    <row r="39">
      <c r="A39" s="6" t="inlineStr">
        <is>
          <t>Kevin Holland</t>
        </is>
      </c>
      <c r="B39" s="6" t="inlineStr">
        <is>
          <t>Cervelle Homes</t>
        </is>
      </c>
      <c r="C39" s="6" t="inlineStr">
        <is>
          <t>Leads the firm with John Payson; no title published</t>
        </is>
      </c>
      <c r="D39" s="7" t="inlineStr">
        <is>
          <t>Worth pursuing, one gap</t>
        </is>
      </c>
      <c r="E39" s="8" t="n">
        <v>2</v>
      </c>
      <c r="F39" s="6" t="inlineStr">
        <is>
          <t>Buys walls</t>
        </is>
      </c>
      <c r="G39" s="6" t="inlineStr">
        <is>
          <t>Friendswood, Galveston-Harris</t>
        </is>
      </c>
      <c r="H39" s="6" t="inlineStr">
        <is>
          <t>150 to 200 homes a year since 1990</t>
        </is>
      </c>
      <c r="I39" s="8" t="inlineStr">
        <is>
          <t>Yes</t>
        </is>
      </c>
      <c r="J39" s="9" t="inlineStr">
        <is>
          <t>Between 150 and 200 homes a year, every year, in the same southeast Houston corridor.</t>
        </is>
      </c>
      <c r="K39" s="8" t="inlineStr">
        <is>
          <t>Yes</t>
        </is>
      </c>
      <c r="L39" s="9" t="inlineStr">
        <is>
          <t>At that volume one machine is a meaningful share of output rather than a pilot.</t>
        </is>
      </c>
      <c r="M39" s="8" t="inlineStr">
        <is>
          <t>No</t>
        </is>
      </c>
      <c r="N39" s="9" t="inlineStr">
        <is>
          <t>No method statement on record. The efficiency claim is about using the same trades since 1990.</t>
        </is>
      </c>
      <c r="O39" s="8" t="inlineStr">
        <is>
          <t>Partly</t>
        </is>
      </c>
      <c r="P39" s="10" t="inlineStr"/>
      <c r="Q39" s="6">
        <f>HYPERLINK("https://www.linkedin.com/search/results/people/?keywords=Kevin%20Holland%20Cervelle%20Homes","search")</f>
        <v/>
      </c>
      <c r="R39" s="11">
        <f>IF(P39="","ADD LINKEDIN","ok")</f>
        <v/>
      </c>
      <c r="S39" s="6" t="inlineStr">
        <is>
          <t>https://www.cervellehomes.com/</t>
        </is>
      </c>
      <c r="T39" s="9" t="inlineStr">
        <is>
          <t>150 to 200 homes a year from two standing plan families in one corridor. Inside the band one machine serves.</t>
        </is>
      </c>
      <c r="U39" s="9"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39" s="6" t="inlineStr"/>
      <c r="W39" s="9" t="inlineStr">
        <is>
          <t>Homepage: the founder's standards carry forward under the guidance of Kevin Holland and John Payson. No title is published anywhere.</t>
        </is>
      </c>
      <c r="X39" s="6" t="inlineStr">
        <is>
          <t>https://www.cervellehomes.com/</t>
        </is>
      </c>
      <c r="Y39" s="6" t="inlineStr"/>
      <c r="Z39" s="6" t="inlineStr"/>
    </row>
    <row r="40">
      <c r="A40" s="12" t="inlineStr">
        <is>
          <t>John Payson</t>
        </is>
      </c>
      <c r="B40" s="12" t="inlineStr">
        <is>
          <t>Cervelle Homes</t>
        </is>
      </c>
      <c r="C40" s="12" t="inlineStr">
        <is>
          <t>Leads the firm with Kevin Holland; no title published</t>
        </is>
      </c>
      <c r="D40" s="13" t="inlineStr">
        <is>
          <t>Worth pursuing, one gap</t>
        </is>
      </c>
      <c r="E40" s="14" t="n">
        <v>2</v>
      </c>
      <c r="F40" s="12" t="inlineStr">
        <is>
          <t>Buys walls</t>
        </is>
      </c>
      <c r="G40" s="12" t="inlineStr">
        <is>
          <t>Friendswood, Galveston-Harris</t>
        </is>
      </c>
      <c r="H40" s="12" t="inlineStr">
        <is>
          <t>150 to 200 homes a year since 1990</t>
        </is>
      </c>
      <c r="I40" s="14" t="inlineStr">
        <is>
          <t>Yes</t>
        </is>
      </c>
      <c r="J40" s="15" t="inlineStr">
        <is>
          <t>Between 150 and 200 homes a year, every year, in the same southeast Houston corridor.</t>
        </is>
      </c>
      <c r="K40" s="14" t="inlineStr">
        <is>
          <t>Yes</t>
        </is>
      </c>
      <c r="L40" s="15" t="inlineStr">
        <is>
          <t>At that volume one machine is a meaningful share of output rather than a pilot.</t>
        </is>
      </c>
      <c r="M40" s="14" t="inlineStr">
        <is>
          <t>No</t>
        </is>
      </c>
      <c r="N40" s="15" t="inlineStr">
        <is>
          <t>No method statement on record. The efficiency claim is about using the same trades since 1990.</t>
        </is>
      </c>
      <c r="O40" s="14" t="inlineStr">
        <is>
          <t>Partly</t>
        </is>
      </c>
      <c r="P40" s="10" t="inlineStr"/>
      <c r="Q40" s="12">
        <f>HYPERLINK("https://www.linkedin.com/search/results/people/?keywords=John%20Payson%20Cervelle%20Homes","search")</f>
        <v/>
      </c>
      <c r="R40" s="16">
        <f>IF(P40="","ADD LINKEDIN","ok")</f>
        <v/>
      </c>
      <c r="S40" s="12" t="inlineStr">
        <is>
          <t>https://www.cervellehomes.com/</t>
        </is>
      </c>
      <c r="T40" s="15" t="inlineStr">
        <is>
          <t>150 to 200 homes a year from two standing plan families in one corridor. Inside the band one machine serves.</t>
        </is>
      </c>
      <c r="U40" s="15"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40" s="12" t="inlineStr"/>
      <c r="W40" s="15" t="inlineStr">
        <is>
          <t>Homepage names him alongside Kevin Holland as carrying the founder's standards forward. No title is published.</t>
        </is>
      </c>
      <c r="X40" s="12" t="inlineStr">
        <is>
          <t>https://www.cervellehomes.com/</t>
        </is>
      </c>
      <c r="Y40" s="12" t="inlineStr"/>
      <c r="Z40" s="12" t="inlineStr"/>
    </row>
    <row r="41">
      <c r="A41" s="6" t="inlineStr">
        <is>
          <t>Dru Kahlenberg</t>
        </is>
      </c>
      <c r="B41" s="6" t="inlineStr">
        <is>
          <t>Alta Homes</t>
        </is>
      </c>
      <c r="C41" s="6" t="inlineStr">
        <is>
          <t>Chief Executive Officer</t>
        </is>
      </c>
      <c r="D41" s="7" t="inlineStr">
        <is>
          <t>Worth pursuing, one gap</t>
        </is>
      </c>
      <c r="E41" s="8" t="n">
        <v>2</v>
      </c>
      <c r="F41" s="6" t="inlineStr">
        <is>
          <t>Buys walls</t>
        </is>
      </c>
      <c r="G41" s="6" t="inlineStr">
        <is>
          <t>Willis and Conroe, Montgomery</t>
        </is>
      </c>
      <c r="H41" s="6" t="inlineStr">
        <is>
          <t>45 closings in 2025, 70 planned for 2026</t>
        </is>
      </c>
      <c r="I41" s="8" t="inlineStr">
        <is>
          <t>Yes</t>
        </is>
      </c>
      <c r="J41" s="9" t="inlineStr">
        <is>
          <t>Four communities inside a single county, with three more announced in the same corridor.</t>
        </is>
      </c>
      <c r="K41" s="8" t="inlineStr">
        <is>
          <t>Yes</t>
        </is>
      </c>
      <c r="L41" s="9" t="inlineStr">
        <is>
          <t>45 closings in 2025 and 70 planned for 2026. One machine would cover most of a year's walls.</t>
        </is>
      </c>
      <c r="M41" s="8" t="inlineStr">
        <is>
          <t>No</t>
        </is>
      </c>
      <c r="N41" s="9" t="inlineStr">
        <is>
          <t>No method evidence. A six-person company has no innovation budget and no procurement layer.</t>
        </is>
      </c>
      <c r="O41" s="8" t="inlineStr">
        <is>
          <t>No</t>
        </is>
      </c>
      <c r="P41" s="10" t="inlineStr"/>
      <c r="Q41" s="6">
        <f>HYPERLINK("https://www.linkedin.com/search/results/people/?keywords=Dru%20Kahlenberg%20Alta%20Homes","search")</f>
        <v/>
      </c>
      <c r="R41" s="11">
        <f>IF(P41="","ADD LINKEDIN","ok")</f>
        <v/>
      </c>
      <c r="S41" s="6" t="inlineStr">
        <is>
          <t>https://www.myaltahomes.com/</t>
        </is>
      </c>
      <c r="T41" s="9" t="inlineStr">
        <is>
          <t>45 closings in 2025 and 70 planned for 2026, all inside one county. One machine would cover the whole programme.</t>
        </is>
      </c>
      <c r="U41"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1" s="6" t="inlineStr"/>
      <c r="W41" s="9" t="inlineStr">
        <is>
          <t>About page: CEO, who signs off on every piece of land and secures the financing behind every community.</t>
        </is>
      </c>
      <c r="X41" s="6" t="inlineStr">
        <is>
          <t>https://www.myaltahomes.com/about</t>
        </is>
      </c>
      <c r="Y41" s="6" t="inlineStr"/>
      <c r="Z41" s="6" t="inlineStr"/>
    </row>
    <row r="42">
      <c r="A42" s="12" t="inlineStr">
        <is>
          <t>Scott Gilbert</t>
        </is>
      </c>
      <c r="B42" s="12" t="inlineStr">
        <is>
          <t>Alta Homes</t>
        </is>
      </c>
      <c r="C42" s="12" t="inlineStr">
        <is>
          <t>President</t>
        </is>
      </c>
      <c r="D42" s="13" t="inlineStr">
        <is>
          <t>Worth pursuing, one gap</t>
        </is>
      </c>
      <c r="E42" s="14" t="n">
        <v>2</v>
      </c>
      <c r="F42" s="12" t="inlineStr">
        <is>
          <t>Buys walls</t>
        </is>
      </c>
      <c r="G42" s="12" t="inlineStr">
        <is>
          <t>Willis and Conroe, Montgomery</t>
        </is>
      </c>
      <c r="H42" s="12" t="inlineStr">
        <is>
          <t>45 closings in 2025, 70 planned for 2026</t>
        </is>
      </c>
      <c r="I42" s="14" t="inlineStr">
        <is>
          <t>Yes</t>
        </is>
      </c>
      <c r="J42" s="15" t="inlineStr">
        <is>
          <t>Four communities inside a single county, with three more announced in the same corridor.</t>
        </is>
      </c>
      <c r="K42" s="14" t="inlineStr">
        <is>
          <t>Yes</t>
        </is>
      </c>
      <c r="L42" s="15" t="inlineStr">
        <is>
          <t>45 closings in 2025 and 70 planned for 2026. One machine would cover most of a year's walls.</t>
        </is>
      </c>
      <c r="M42" s="14" t="inlineStr">
        <is>
          <t>No</t>
        </is>
      </c>
      <c r="N42" s="15" t="inlineStr">
        <is>
          <t>No method evidence. A six-person company has no innovation budget and no procurement layer.</t>
        </is>
      </c>
      <c r="O42" s="14" t="inlineStr">
        <is>
          <t>No</t>
        </is>
      </c>
      <c r="P42" s="10" t="inlineStr"/>
      <c r="Q42" s="12">
        <f>HYPERLINK("https://www.linkedin.com/search/results/people/?keywords=Scott%20Gilbert%20Alta%20Homes","search")</f>
        <v/>
      </c>
      <c r="R42" s="16">
        <f>IF(P42="","ADD LINKEDIN","ok")</f>
        <v/>
      </c>
      <c r="S42" s="12" t="inlineStr">
        <is>
          <t>https://www.myaltahomes.com/</t>
        </is>
      </c>
      <c r="T42" s="15" t="inlineStr">
        <is>
          <t>45 closings in 2025 and 70 planned for 2026, all inside one county. One machine would cover the whole programme.</t>
        </is>
      </c>
      <c r="U42"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2" s="12" t="inlineStr"/>
      <c r="W42" s="15" t="inlineStr">
        <is>
          <t>About page: President, focused on teams, vendor partnerships and efficient construction.</t>
        </is>
      </c>
      <c r="X42" s="12" t="inlineStr">
        <is>
          <t>https://www.myaltahomes.com/about</t>
        </is>
      </c>
      <c r="Y42" s="12" t="inlineStr"/>
      <c r="Z42" s="12" t="inlineStr"/>
    </row>
    <row r="43">
      <c r="A43" s="6" t="inlineStr">
        <is>
          <t>Ashley Meinecke</t>
        </is>
      </c>
      <c r="B43" s="6" t="inlineStr">
        <is>
          <t>Alta Homes</t>
        </is>
      </c>
      <c r="C43" s="6" t="inlineStr">
        <is>
          <t>Accounts Payable and Purchasing Manager</t>
        </is>
      </c>
      <c r="D43" s="7" t="inlineStr">
        <is>
          <t>Worth pursuing, one gap</t>
        </is>
      </c>
      <c r="E43" s="8" t="n">
        <v>2</v>
      </c>
      <c r="F43" s="6" t="inlineStr">
        <is>
          <t>Buys walls</t>
        </is>
      </c>
      <c r="G43" s="6" t="inlineStr">
        <is>
          <t>Willis and Conroe, Montgomery</t>
        </is>
      </c>
      <c r="H43" s="6" t="inlineStr">
        <is>
          <t>45 closings in 2025, 70 planned for 2026</t>
        </is>
      </c>
      <c r="I43" s="8" t="inlineStr">
        <is>
          <t>Yes</t>
        </is>
      </c>
      <c r="J43" s="9" t="inlineStr">
        <is>
          <t>Four communities inside a single county, with three more announced in the same corridor.</t>
        </is>
      </c>
      <c r="K43" s="8" t="inlineStr">
        <is>
          <t>Yes</t>
        </is>
      </c>
      <c r="L43" s="9" t="inlineStr">
        <is>
          <t>45 closings in 2025 and 70 planned for 2026. One machine would cover most of a year's walls.</t>
        </is>
      </c>
      <c r="M43" s="8" t="inlineStr">
        <is>
          <t>No</t>
        </is>
      </c>
      <c r="N43" s="9" t="inlineStr">
        <is>
          <t>No method evidence. A six-person company has no innovation budget and no procurement layer.</t>
        </is>
      </c>
      <c r="O43" s="8" t="inlineStr">
        <is>
          <t>No</t>
        </is>
      </c>
      <c r="P43" s="10" t="inlineStr"/>
      <c r="Q43" s="6">
        <f>HYPERLINK("https://www.linkedin.com/search/results/people/?keywords=Ashley%20Meinecke%20Alta%20Homes","search")</f>
        <v/>
      </c>
      <c r="R43" s="11">
        <f>IF(P43="","ADD LINKEDIN","ok")</f>
        <v/>
      </c>
      <c r="S43" s="6" t="inlineStr">
        <is>
          <t>https://www.myaltahomes.com/</t>
        </is>
      </c>
      <c r="T43" s="9" t="inlineStr">
        <is>
          <t>45 closings in 2025 and 70 planned for 2026, all inside one county. One machine would cover the whole programme.</t>
        </is>
      </c>
      <c r="U43"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3" s="6" t="inlineStr">
        <is>
          <t>YES</t>
        </is>
      </c>
      <c r="W43" s="9" t="inlineStr">
        <is>
          <t>About page: AP and Purchasing Manager.</t>
        </is>
      </c>
      <c r="X43" s="6" t="inlineStr">
        <is>
          <t>https://www.myaltahomes.com/about</t>
        </is>
      </c>
      <c r="Y43" s="6" t="inlineStr"/>
      <c r="Z43" s="6" t="inlineStr"/>
    </row>
    <row r="44">
      <c r="A44" s="12" t="inlineStr">
        <is>
          <t>Glenn Briggs</t>
        </is>
      </c>
      <c r="B44" s="12" t="inlineStr">
        <is>
          <t>Kendall Homes</t>
        </is>
      </c>
      <c r="C44" s="12" t="inlineStr">
        <is>
          <t>President</t>
        </is>
      </c>
      <c r="D44" s="13" t="inlineStr">
        <is>
          <t>Worth pursuing, one gap</t>
        </is>
      </c>
      <c r="E44" s="14" t="n">
        <v>2</v>
      </c>
      <c r="F44" s="12" t="inlineStr">
        <is>
          <t>Buys walls</t>
        </is>
      </c>
      <c r="G44" s="12" t="inlineStr">
        <is>
          <t>Katy, with communities in Conroe, Willis and New Caney</t>
        </is>
      </c>
      <c r="H44" s="12" t="inlineStr">
        <is>
          <t>195 closings in 2022, the latest published</t>
        </is>
      </c>
      <c r="I44" s="14" t="inlineStr">
        <is>
          <t>Yes</t>
        </is>
      </c>
      <c r="J44" s="15" t="inlineStr">
        <is>
          <t>Communities clustered in Conroe, Willis and New Caney rather than spread across the metro.</t>
        </is>
      </c>
      <c r="K44" s="14" t="inlineStr">
        <is>
          <t>Yes</t>
        </is>
      </c>
      <c r="L44" s="15" t="inlineStr">
        <is>
          <t>195 closings in 2022 and 189 in 2021, the latest figures published. Inside the band one or two machines serve.</t>
        </is>
      </c>
      <c r="M44" s="14" t="inlineStr">
        <is>
          <t>No</t>
        </is>
      </c>
      <c r="N44" s="15" t="inlineStr">
        <is>
          <t>The firm's published positioning is against speed and cost cutting. A printed wall would be measured on the firm's own terms.</t>
        </is>
      </c>
      <c r="O44" s="14" t="inlineStr">
        <is>
          <t>No</t>
        </is>
      </c>
      <c r="P44" s="6" t="inlineStr">
        <is>
          <t>https://www.linkedin.com/in/glenn-briggs-5231975/</t>
        </is>
      </c>
      <c r="Q44" s="12" t="inlineStr"/>
      <c r="R44" s="16">
        <f>IF(P44="","ADD LINKEDIN","ok")</f>
        <v/>
      </c>
      <c r="S44" s="12" t="inlineStr">
        <is>
          <t>https://kendallhomes.net/</t>
        </is>
      </c>
      <c r="T44" s="15" t="inlineStr">
        <is>
          <t>More than 4,000 homes since 1993, which averages above 100 a year, across a small set of communities in one corridor. A named vice president of construction.</t>
        </is>
      </c>
      <c r="U44" s="15" t="inlineStr">
        <is>
          <t>The cumulative figure is the firm's own. No single-year closings number is published, so the annual rate is an average rather than a current run rate.</t>
        </is>
      </c>
      <c r="V44" s="12" t="inlineStr"/>
      <c r="W44" s="15" t="inlineStr">
        <is>
          <t>Indexed title reads Glenn Briggs, President at Kendall Homes.</t>
        </is>
      </c>
      <c r="X44" s="12" t="inlineStr"/>
      <c r="Y44" s="12" t="inlineStr"/>
      <c r="Z44" s="12" t="inlineStr"/>
    </row>
    <row r="45">
      <c r="A45" s="6" t="inlineStr">
        <is>
          <t>Jason Madden</t>
        </is>
      </c>
      <c r="B45" s="6" t="inlineStr">
        <is>
          <t>Kendall Homes</t>
        </is>
      </c>
      <c r="C45" s="6" t="inlineStr">
        <is>
          <t>Vice President of Construction</t>
        </is>
      </c>
      <c r="D45" s="7" t="inlineStr">
        <is>
          <t>Worth pursuing, one gap</t>
        </is>
      </c>
      <c r="E45" s="8" t="n">
        <v>2</v>
      </c>
      <c r="F45" s="6" t="inlineStr">
        <is>
          <t>Buys walls</t>
        </is>
      </c>
      <c r="G45" s="6" t="inlineStr">
        <is>
          <t>Katy, with communities in Conroe, Willis and New Caney</t>
        </is>
      </c>
      <c r="H45" s="6" t="inlineStr">
        <is>
          <t>195 closings in 2022, the latest published</t>
        </is>
      </c>
      <c r="I45" s="8" t="inlineStr">
        <is>
          <t>Yes</t>
        </is>
      </c>
      <c r="J45" s="9" t="inlineStr">
        <is>
          <t>Communities clustered in Conroe, Willis and New Caney rather than spread across the metro.</t>
        </is>
      </c>
      <c r="K45" s="8" t="inlineStr">
        <is>
          <t>Yes</t>
        </is>
      </c>
      <c r="L45" s="9" t="inlineStr">
        <is>
          <t>195 closings in 2022 and 189 in 2021, the latest figures published. Inside the band one or two machines serve.</t>
        </is>
      </c>
      <c r="M45" s="8" t="inlineStr">
        <is>
          <t>No</t>
        </is>
      </c>
      <c r="N45" s="9" t="inlineStr">
        <is>
          <t>The firm's published positioning is against speed and cost cutting. A printed wall would be measured on the firm's own terms.</t>
        </is>
      </c>
      <c r="O45" s="8" t="inlineStr">
        <is>
          <t>No</t>
        </is>
      </c>
      <c r="P45" s="6" t="inlineStr">
        <is>
          <t>https://www.linkedin.com/in/jason-madden-3610ba70/</t>
        </is>
      </c>
      <c r="Q45" s="6" t="inlineStr"/>
      <c r="R45" s="11">
        <f>IF(P45="","ADD LINKEDIN","ok")</f>
        <v/>
      </c>
      <c r="S45" s="6" t="inlineStr">
        <is>
          <t>https://kendallhomes.net/</t>
        </is>
      </c>
      <c r="T45" s="9" t="inlineStr">
        <is>
          <t>More than 4,000 homes since 1993, which averages above 100 a year, across a small set of communities in one corridor. A named vice president of construction.</t>
        </is>
      </c>
      <c r="U45" s="9" t="inlineStr">
        <is>
          <t>The cumulative figure is the firm's own. No single-year closings number is published, so the annual rate is an average rather than a current run rate.</t>
        </is>
      </c>
      <c r="V45" s="6" t="inlineStr">
        <is>
          <t>YES</t>
        </is>
      </c>
      <c r="W45" s="9" t="inlineStr">
        <is>
          <t>Indexed title reads Jason Madden, Vice President of Construction at Kendall Homes.</t>
        </is>
      </c>
      <c r="X45" s="6" t="inlineStr"/>
      <c r="Y45" s="6" t="inlineStr"/>
      <c r="Z45" s="6" t="inlineStr"/>
    </row>
    <row r="46">
      <c r="A46" s="12" t="inlineStr">
        <is>
          <t>Vinod Ramani</t>
        </is>
      </c>
      <c r="B46" s="12" t="inlineStr">
        <is>
          <t>Urban Living</t>
        </is>
      </c>
      <c r="C46" s="12" t="inlineStr">
        <is>
          <t>Owner</t>
        </is>
      </c>
      <c r="D46" s="13" t="inlineStr">
        <is>
          <t>Worth pursuing, one gap</t>
        </is>
      </c>
      <c r="E46" s="14" t="n">
        <v>2</v>
      </c>
      <c r="F46" s="12" t="inlineStr">
        <is>
          <t>Buys walls</t>
        </is>
      </c>
      <c r="G46" s="12" t="inlineStr">
        <is>
          <t>Inner-loop Houston, Harris County</t>
        </is>
      </c>
      <c r="H46" s="12" t="inlineStr">
        <is>
          <t>Inner-loop attached townhome production</t>
        </is>
      </c>
      <c r="I46" s="14" t="inlineStr">
        <is>
          <t>Yes</t>
        </is>
      </c>
      <c r="J46" s="15" t="inlineStr">
        <is>
          <t>Repeat townhome communities across inner Houston.</t>
        </is>
      </c>
      <c r="K46" s="14" t="inlineStr">
        <is>
          <t>Yes</t>
        </is>
      </c>
      <c r="L46" s="15" t="inlineStr">
        <is>
          <t>Attached townhome production at a volume one machine could carry.</t>
        </is>
      </c>
      <c r="M46" s="14" t="inlineStr">
        <is>
          <t>No</t>
        </is>
      </c>
      <c r="N46" s="15" t="inlineStr">
        <is>
          <t>No method evidence found.</t>
        </is>
      </c>
      <c r="O46" s="14" t="inlineStr">
        <is>
          <t>No</t>
        </is>
      </c>
      <c r="P46" s="6" t="inlineStr">
        <is>
          <t>https://www.linkedin.com/in/vinod-ramani-4a46788/</t>
        </is>
      </c>
      <c r="Q46" s="12" t="inlineStr"/>
      <c r="R46" s="16">
        <f>IF(P46="","ADD LINKEDIN","ok")</f>
        <v/>
      </c>
      <c r="S46" s="12" t="inlineStr">
        <is>
          <t>https://urbanliving.com/</t>
        </is>
      </c>
      <c r="T46" s="15" t="inlineStr">
        <is>
          <t>Attached townhome production, the product type a printed party wall serves. Ownership sourced only from a contact database.</t>
        </is>
      </c>
      <c r="U46" s="15" t="inlineStr">
        <is>
          <t>Ownership sourced only from a third-party contact database, not a company page. Unverified. | No named communities, unit counts or capital figures. | No innovation-appetite evidence.</t>
        </is>
      </c>
      <c r="V46" s="12" t="inlineStr"/>
      <c r="W46" s="15" t="inlineStr">
        <is>
          <t>Indexed title reads Vinod Ramani, Urban Living. Listed as chief executive in the Better Business Bureau record for Urban Living. The firm's own site refuses automated retrieval, so this is a third-party citation, not the firm's.</t>
        </is>
      </c>
      <c r="X46" s="12" t="inlineStr">
        <is>
          <t>https://www.bbb.org/us/tx/houston/profile/real-estate/urban-living-0915-52001132</t>
        </is>
      </c>
      <c r="Y46" s="12" t="inlineStr"/>
      <c r="Z46" s="12" t="inlineStr"/>
    </row>
    <row r="47">
      <c r="A47" s="6" t="inlineStr">
        <is>
          <t>Jamie Bryant</t>
        </is>
      </c>
      <c r="B47" s="6" t="inlineStr">
        <is>
          <t>Houston Housing Authority</t>
        </is>
      </c>
      <c r="C47" s="6" t="inlineStr">
        <is>
          <t>President and Chief Executive Officer, named February 2025</t>
        </is>
      </c>
      <c r="D47" s="7" t="inlineStr">
        <is>
          <t>Worth pursuing, one gap</t>
        </is>
      </c>
      <c r="E47" s="8" t="n">
        <v>2</v>
      </c>
      <c r="F47" s="6" t="inlineStr">
        <is>
          <t>Buys walls</t>
        </is>
      </c>
      <c r="G47" s="6" t="inlineStr">
        <is>
          <t>Third Ward / citywide, Harris County</t>
        </is>
      </c>
      <c r="H47" s="6" t="inlineStr">
        <is>
          <t>$600M+ programme, 5 phases, 2025-2032</t>
        </is>
      </c>
      <c r="I47" s="8" t="inlineStr">
        <is>
          <t>Yes</t>
        </is>
      </c>
      <c r="J47" s="9" t="inlineStr">
        <is>
          <t>Cuney Homes runs five phases from 2025 to 2032.</t>
        </is>
      </c>
      <c r="K47" s="8" t="inlineStr">
        <is>
          <t>Partly</t>
        </is>
      </c>
      <c r="L47" s="9" t="inlineStr">
        <is>
          <t>A $600 million programme in five phases, but the product is multifamily and the procurement is public.</t>
        </is>
      </c>
      <c r="M47" s="8" t="inlineStr">
        <is>
          <t>No</t>
        </is>
      </c>
      <c r="N47" s="9" t="inlineStr">
        <is>
          <t>No method statement on record. Federal procurement does reward cost and schedule.</t>
        </is>
      </c>
      <c r="O47" s="8" t="inlineStr">
        <is>
          <t>Yes</t>
        </is>
      </c>
      <c r="P47" s="10" t="inlineStr"/>
      <c r="Q47" s="6">
        <f>HYPERLINK("https://www.linkedin.com/search/results/people/?keywords=Jamie%20Bryant%20Houston%20Housing%20Authority","search")</f>
        <v/>
      </c>
      <c r="R47" s="11">
        <f>IF(P47="","ADD LINKEDIN","ok")</f>
        <v/>
      </c>
      <c r="S47" s="6" t="inlineStr">
        <is>
          <t>https://www.housingauthorityhouston.org/</t>
        </is>
      </c>
      <c r="T47" s="9" t="inlineStr">
        <is>
          <t>$600M across five phases to 2032. Federal money and open procurement, but no method track record.</t>
        </is>
      </c>
      <c r="U47" s="9"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7" s="6" t="inlineStr"/>
      <c r="W47" s="9" t="inlineStr">
        <is>
          <t>Named President and Chief Executive Officer on the authority's own executive leadership page.</t>
        </is>
      </c>
      <c r="X47" s="6" t="inlineStr">
        <is>
          <t>https://housingforhouston.com/leadership/executive-leadership/</t>
        </is>
      </c>
      <c r="Y47" s="6" t="inlineStr">
        <is>
          <t>https://www.linkedin.com/company/houston-housing-authority</t>
        </is>
      </c>
      <c r="Z47" s="6" t="inlineStr">
        <is>
          <t>https://housingforhouston.com/leadership/executive-leadership/</t>
        </is>
      </c>
    </row>
    <row r="48">
      <c r="A48" s="12" t="inlineStr">
        <is>
          <t>Neal Rackleff</t>
        </is>
      </c>
      <c r="B48" s="12" t="inlineStr">
        <is>
          <t>Houston Housing Authority</t>
        </is>
      </c>
      <c r="C48" s="12" t="inlineStr">
        <is>
          <t>Executive Vice President and Chief Operating Officer, Houston Housing Authority</t>
        </is>
      </c>
      <c r="D48" s="13" t="inlineStr">
        <is>
          <t>Worth pursuing, one gap</t>
        </is>
      </c>
      <c r="E48" s="14" t="n">
        <v>2</v>
      </c>
      <c r="F48" s="12" t="inlineStr">
        <is>
          <t>Buys walls</t>
        </is>
      </c>
      <c r="G48" s="12" t="inlineStr">
        <is>
          <t>Third Ward / citywide, Harris County</t>
        </is>
      </c>
      <c r="H48" s="12" t="inlineStr">
        <is>
          <t>$600M+ programme, 5 phases, 2025-2032</t>
        </is>
      </c>
      <c r="I48" s="14" t="inlineStr">
        <is>
          <t>Yes</t>
        </is>
      </c>
      <c r="J48" s="15" t="inlineStr">
        <is>
          <t>Cuney Homes runs five phases from 2025 to 2032.</t>
        </is>
      </c>
      <c r="K48" s="14" t="inlineStr">
        <is>
          <t>Partly</t>
        </is>
      </c>
      <c r="L48" s="15" t="inlineStr">
        <is>
          <t>A $600 million programme in five phases, but the product is multifamily and the procurement is public.</t>
        </is>
      </c>
      <c r="M48" s="14" t="inlineStr">
        <is>
          <t>No</t>
        </is>
      </c>
      <c r="N48" s="15" t="inlineStr">
        <is>
          <t>No method statement on record. Federal procurement does reward cost and schedule.</t>
        </is>
      </c>
      <c r="O48" s="14" t="inlineStr">
        <is>
          <t>Yes</t>
        </is>
      </c>
      <c r="P48" s="6" t="inlineStr">
        <is>
          <t>https://www.linkedin.com/in/nealrackleff/</t>
        </is>
      </c>
      <c r="Q48" s="12" t="inlineStr"/>
      <c r="R48" s="16">
        <f>IF(P48="","ADD LINKEDIN","ok")</f>
        <v/>
      </c>
      <c r="S48" s="12" t="inlineStr">
        <is>
          <t>https://www.housingauthorityhouston.org/</t>
        </is>
      </c>
      <c r="T48" s="15" t="inlineStr">
        <is>
          <t>$600M across five phases to 2032. Federal money and open procurement, but no method track record.</t>
        </is>
      </c>
      <c r="U48" s="15"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8" s="12" t="inlineStr">
        <is>
          <t>YES</t>
        </is>
      </c>
      <c r="W48" s="15" t="inlineStr">
        <is>
          <t>Executive VP and COO Houston Housing Authority. Houston, Texas. The operating officer over a $600 million five-phase programme, and the office that answers for delivery rather than policy.</t>
        </is>
      </c>
      <c r="X48" s="12" t="inlineStr"/>
      <c r="Y48" s="12" t="inlineStr">
        <is>
          <t>https://www.linkedin.com/company/houston-housing-authority</t>
        </is>
      </c>
      <c r="Z48" s="12" t="inlineStr">
        <is>
          <t>https://housingforhouston.com/leadership/executive-leadership/</t>
        </is>
      </c>
    </row>
    <row r="49">
      <c r="A49" s="6" t="inlineStr">
        <is>
          <t>Phillippe Lord</t>
        </is>
      </c>
      <c r="B49" s="6" t="inlineStr">
        <is>
          <t>Meritage Homes Corporation</t>
        </is>
      </c>
      <c r="C49" s="6" t="inlineStr">
        <is>
          <t>Chief Executive Officer</t>
        </is>
      </c>
      <c r="D49" s="7" t="inlineStr">
        <is>
          <t>Worth pursuing, one gap</t>
        </is>
      </c>
      <c r="E49" s="8" t="n">
        <v>2</v>
      </c>
      <c r="F49" s="6" t="inlineStr">
        <is>
          <t>Buys walls</t>
        </is>
      </c>
      <c r="G49" s="6" t="inlineStr">
        <is>
          <t>Scottsdale HQ / Liberty, Harris</t>
        </is>
      </c>
      <c r="H49" s="6" t="inlineStr">
        <is>
          <t>Sub-110 day cycle, 4 straight quarters</t>
        </is>
      </c>
      <c r="I49" s="8" t="inlineStr">
        <is>
          <t>Yes</t>
        </is>
      </c>
      <c r="J49" s="9" t="inlineStr">
        <is>
          <t>1,000 homes at Trinity Landing on 45 to 60 foot lots.</t>
        </is>
      </c>
      <c r="K49" s="8" t="inlineStr">
        <is>
          <t>No</t>
        </is>
      </c>
      <c r="L49" s="9" t="inlineStr">
        <is>
          <t>A national builder closing thousands a year through a corporate purchasing desk.</t>
        </is>
      </c>
      <c r="M49" s="8" t="inlineStr">
        <is>
          <t>Partly</t>
        </is>
      </c>
      <c r="N49" s="9" t="inlineStr">
        <is>
          <t>AI across the business and sub-110-day cycles. Nothing on wall systems.</t>
        </is>
      </c>
      <c r="O49" s="8" t="inlineStr">
        <is>
          <t>Yes</t>
        </is>
      </c>
      <c r="P49" s="6" t="inlineStr">
        <is>
          <t>https://www.linkedin.com/in/phillippe-lord-72924012/</t>
        </is>
      </c>
      <c r="Q49" s="6" t="inlineStr"/>
      <c r="R49" s="11">
        <f>IF(P49="","ADD LINKEDIN","ok")</f>
        <v/>
      </c>
      <c r="S49" s="6" t="inlineStr">
        <is>
          <t>https://www.meritagehomes.com/</t>
        </is>
      </c>
      <c r="T49" s="9" t="inlineStr">
        <is>
          <t>1,000 homes at Trinity Landing and a sub-110-day cycle held four quarters. No wall-system statement on record.</t>
        </is>
      </c>
      <c r="U4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49" s="6" t="inlineStr"/>
      <c r="W49" s="9" t="inlineStr">
        <is>
          <t>CEO, EVP at Meritage Homes.</t>
        </is>
      </c>
      <c r="X49" s="6" t="inlineStr"/>
      <c r="Y49" s="6" t="inlineStr">
        <is>
          <t>https://www.linkedin.com/company/meritage-homes</t>
        </is>
      </c>
      <c r="Z49" s="6" t="inlineStr">
        <is>
          <t>https://investors.meritagehomes.com/company-information/management-team</t>
        </is>
      </c>
    </row>
    <row r="50">
      <c r="A50" s="12" t="inlineStr">
        <is>
          <t>Hilla Sferruzza</t>
        </is>
      </c>
      <c r="B50" s="12" t="inlineStr">
        <is>
          <t>Meritage Homes Corporation</t>
        </is>
      </c>
      <c r="C50" s="12" t="inlineStr">
        <is>
          <t>Executive Vice President and Chief Financial Officer</t>
        </is>
      </c>
      <c r="D50" s="13" t="inlineStr">
        <is>
          <t>Worth pursuing, one gap</t>
        </is>
      </c>
      <c r="E50" s="14" t="n">
        <v>2</v>
      </c>
      <c r="F50" s="12" t="inlineStr">
        <is>
          <t>Buys walls</t>
        </is>
      </c>
      <c r="G50" s="12" t="inlineStr">
        <is>
          <t>Scottsdale HQ / Liberty, Harris</t>
        </is>
      </c>
      <c r="H50" s="12" t="inlineStr">
        <is>
          <t>Sub-110 day cycle, 4 straight quarters</t>
        </is>
      </c>
      <c r="I50" s="14" t="inlineStr">
        <is>
          <t>Yes</t>
        </is>
      </c>
      <c r="J50" s="15" t="inlineStr">
        <is>
          <t>1,000 homes at Trinity Landing on 45 to 60 foot lots.</t>
        </is>
      </c>
      <c r="K50" s="14" t="inlineStr">
        <is>
          <t>No</t>
        </is>
      </c>
      <c r="L50" s="15" t="inlineStr">
        <is>
          <t>A national builder closing thousands a year through a corporate purchasing desk.</t>
        </is>
      </c>
      <c r="M50" s="14" t="inlineStr">
        <is>
          <t>Partly</t>
        </is>
      </c>
      <c r="N50" s="15" t="inlineStr">
        <is>
          <t>AI across the business and sub-110-day cycles. Nothing on wall systems.</t>
        </is>
      </c>
      <c r="O50" s="14" t="inlineStr">
        <is>
          <t>Yes</t>
        </is>
      </c>
      <c r="P50" s="10" t="inlineStr"/>
      <c r="Q50" s="12">
        <f>HYPERLINK("https://www.linkedin.com/search/results/people/?keywords=Hilla%20Sferruzza%20Meritage%20Homes%20Corporation","search")</f>
        <v/>
      </c>
      <c r="R50" s="16">
        <f>IF(P50="","ADD LINKEDIN","ok")</f>
        <v/>
      </c>
      <c r="S50" s="12" t="inlineStr">
        <is>
          <t>https://www.meritagehomes.com/</t>
        </is>
      </c>
      <c r="T50" s="15" t="inlineStr">
        <is>
          <t>1,000 homes at Trinity Landing and a sub-110-day cycle held four quarters. No wall-system statement on record.</t>
        </is>
      </c>
      <c r="U5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0" s="12" t="inlineStr"/>
      <c r="W50" s="15" t="inlineStr">
        <is>
          <t>Executive Vice President and Chief Financial Officer on Meritage's own management page.</t>
        </is>
      </c>
      <c r="X50" s="12" t="inlineStr">
        <is>
          <t>https://investors.meritagehomes.com/company-information/management-team</t>
        </is>
      </c>
      <c r="Y50" s="12" t="inlineStr">
        <is>
          <t>https://www.linkedin.com/company/meritage-homes</t>
        </is>
      </c>
      <c r="Z50" s="12" t="inlineStr">
        <is>
          <t>https://investors.meritagehomes.com/company-information/management-team</t>
        </is>
      </c>
    </row>
    <row r="51">
      <c r="A51" s="6" t="inlineStr">
        <is>
          <t>Steven J. Hilton</t>
        </is>
      </c>
      <c r="B51" s="6" t="inlineStr">
        <is>
          <t>Meritage Homes Corporation</t>
        </is>
      </c>
      <c r="C51" s="6" t="inlineStr">
        <is>
          <t>Executive Chairman of the Board</t>
        </is>
      </c>
      <c r="D51" s="7" t="inlineStr">
        <is>
          <t>Worth pursuing, one gap</t>
        </is>
      </c>
      <c r="E51" s="8" t="n">
        <v>2</v>
      </c>
      <c r="F51" s="6" t="inlineStr">
        <is>
          <t>Buys walls</t>
        </is>
      </c>
      <c r="G51" s="6" t="inlineStr">
        <is>
          <t>Scottsdale HQ / Liberty, Harris</t>
        </is>
      </c>
      <c r="H51" s="6" t="inlineStr">
        <is>
          <t>Sub-110 day cycle, 4 straight quarters</t>
        </is>
      </c>
      <c r="I51" s="8" t="inlineStr">
        <is>
          <t>Yes</t>
        </is>
      </c>
      <c r="J51" s="9" t="inlineStr">
        <is>
          <t>1,000 homes at Trinity Landing on 45 to 60 foot lots.</t>
        </is>
      </c>
      <c r="K51" s="8" t="inlineStr">
        <is>
          <t>No</t>
        </is>
      </c>
      <c r="L51" s="9" t="inlineStr">
        <is>
          <t>A national builder closing thousands a year through a corporate purchasing desk.</t>
        </is>
      </c>
      <c r="M51" s="8" t="inlineStr">
        <is>
          <t>Partly</t>
        </is>
      </c>
      <c r="N51" s="9" t="inlineStr">
        <is>
          <t>AI across the business and sub-110-day cycles. Nothing on wall systems.</t>
        </is>
      </c>
      <c r="O51" s="8" t="inlineStr">
        <is>
          <t>Yes</t>
        </is>
      </c>
      <c r="P51" s="10" t="inlineStr"/>
      <c r="Q51" s="6">
        <f>HYPERLINK("https://www.linkedin.com/search/results/people/?keywords=Steven%20J.%20Hilton%20Meritage%20Homes%20Corporation","search")</f>
        <v/>
      </c>
      <c r="R51" s="11">
        <f>IF(P51="","ADD LINKEDIN","ok")</f>
        <v/>
      </c>
      <c r="S51" s="6" t="inlineStr">
        <is>
          <t>https://www.meritagehomes.com/</t>
        </is>
      </c>
      <c r="T51" s="9" t="inlineStr">
        <is>
          <t>1,000 homes at Trinity Landing and a sub-110-day cycle held four quarters. No wall-system statement on record.</t>
        </is>
      </c>
      <c r="U51"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1" s="6" t="inlineStr"/>
      <c r="W51" s="9" t="inlineStr">
        <is>
          <t>Executive Chairman of the Board on Meritage's own management page.</t>
        </is>
      </c>
      <c r="X51" s="6" t="inlineStr">
        <is>
          <t>https://investors.meritagehomes.com/company-information/management-team</t>
        </is>
      </c>
      <c r="Y51" s="6" t="inlineStr">
        <is>
          <t>https://www.linkedin.com/company/meritage-homes</t>
        </is>
      </c>
      <c r="Z51" s="6" t="inlineStr">
        <is>
          <t>https://investors.meritagehomes.com/company-information/management-team</t>
        </is>
      </c>
    </row>
    <row r="52">
      <c r="A52" s="12" t="inlineStr">
        <is>
          <t>Jayar Griffith</t>
        </is>
      </c>
      <c r="B52" s="12" t="inlineStr">
        <is>
          <t>Meritage Homes Corporation</t>
        </is>
      </c>
      <c r="C52" s="12" t="inlineStr">
        <is>
          <t>Vice President of Operations, Meritage Homes Houston</t>
        </is>
      </c>
      <c r="D52" s="13" t="inlineStr">
        <is>
          <t>Worth pursuing, one gap</t>
        </is>
      </c>
      <c r="E52" s="14" t="n">
        <v>2</v>
      </c>
      <c r="F52" s="12" t="inlineStr">
        <is>
          <t>Buys walls</t>
        </is>
      </c>
      <c r="G52" s="12" t="inlineStr">
        <is>
          <t>Scottsdale HQ / Liberty, Harris</t>
        </is>
      </c>
      <c r="H52" s="12" t="inlineStr">
        <is>
          <t>Sub-110 day cycle, 4 straight quarters</t>
        </is>
      </c>
      <c r="I52" s="14" t="inlineStr">
        <is>
          <t>Yes</t>
        </is>
      </c>
      <c r="J52" s="15" t="inlineStr">
        <is>
          <t>1,000 homes at Trinity Landing on 45 to 60 foot lots.</t>
        </is>
      </c>
      <c r="K52" s="14" t="inlineStr">
        <is>
          <t>No</t>
        </is>
      </c>
      <c r="L52" s="15" t="inlineStr">
        <is>
          <t>A national builder closing thousands a year through a corporate purchasing desk.</t>
        </is>
      </c>
      <c r="M52" s="14" t="inlineStr">
        <is>
          <t>Partly</t>
        </is>
      </c>
      <c r="N52" s="15" t="inlineStr">
        <is>
          <t>AI across the business and sub-110-day cycles. Nothing on wall systems.</t>
        </is>
      </c>
      <c r="O52" s="14" t="inlineStr">
        <is>
          <t>Yes</t>
        </is>
      </c>
      <c r="P52" s="6" t="inlineStr">
        <is>
          <t>https://www.linkedin.com/in/jayar-griffith-30a43439/</t>
        </is>
      </c>
      <c r="Q52" s="12" t="inlineStr"/>
      <c r="R52" s="16">
        <f>IF(P52="","ADD LINKEDIN","ok")</f>
        <v/>
      </c>
      <c r="S52" s="12" t="inlineStr">
        <is>
          <t>https://www.meritagehomes.com/</t>
        </is>
      </c>
      <c r="T52" s="15" t="inlineStr">
        <is>
          <t>1,000 homes at Trinity Landing and a sub-110-day cycle held four quarters. No wall-system statement on record.</t>
        </is>
      </c>
      <c r="U52"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2" s="12" t="inlineStr">
        <is>
          <t>YES</t>
        </is>
      </c>
      <c r="W52" s="15" t="inlineStr">
        <is>
          <t>Vice President of Operations at Meritage Homes (Houston). Houston, Texas. Operations at a production builder owns build cycle and trade scope.</t>
        </is>
      </c>
      <c r="X52" s="12" t="inlineStr"/>
      <c r="Y52" s="12" t="inlineStr">
        <is>
          <t>https://www.linkedin.com/company/meritage-homes</t>
        </is>
      </c>
      <c r="Z52" s="12" t="inlineStr">
        <is>
          <t>https://investors.meritagehomes.com/company-information/management-team</t>
        </is>
      </c>
    </row>
    <row r="53">
      <c r="A53" s="6" t="inlineStr">
        <is>
          <t>Jeremy Flach</t>
        </is>
      </c>
      <c r="B53" s="6" t="inlineStr">
        <is>
          <t>Meritage Homes Corporation</t>
        </is>
      </c>
      <c r="C53" s="6" t="inlineStr">
        <is>
          <t>Division President, Meritage Homes Houston</t>
        </is>
      </c>
      <c r="D53" s="7" t="inlineStr">
        <is>
          <t>Worth pursuing, one gap</t>
        </is>
      </c>
      <c r="E53" s="8" t="n">
        <v>2</v>
      </c>
      <c r="F53" s="6" t="inlineStr">
        <is>
          <t>Buys walls</t>
        </is>
      </c>
      <c r="G53" s="6" t="inlineStr">
        <is>
          <t>Scottsdale HQ / Liberty, Harris</t>
        </is>
      </c>
      <c r="H53" s="6" t="inlineStr">
        <is>
          <t>Sub-110 day cycle, 4 straight quarters</t>
        </is>
      </c>
      <c r="I53" s="8" t="inlineStr">
        <is>
          <t>Yes</t>
        </is>
      </c>
      <c r="J53" s="9" t="inlineStr">
        <is>
          <t>1,000 homes at Trinity Landing on 45 to 60 foot lots.</t>
        </is>
      </c>
      <c r="K53" s="8" t="inlineStr">
        <is>
          <t>No</t>
        </is>
      </c>
      <c r="L53" s="9" t="inlineStr">
        <is>
          <t>A national builder closing thousands a year through a corporate purchasing desk.</t>
        </is>
      </c>
      <c r="M53" s="8" t="inlineStr">
        <is>
          <t>Partly</t>
        </is>
      </c>
      <c r="N53" s="9" t="inlineStr">
        <is>
          <t>AI across the business and sub-110-day cycles. Nothing on wall systems.</t>
        </is>
      </c>
      <c r="O53" s="8" t="inlineStr">
        <is>
          <t>Yes</t>
        </is>
      </c>
      <c r="P53" s="6" t="inlineStr">
        <is>
          <t>https://www.linkedin.com/in/jeremy-flach-b3616614/</t>
        </is>
      </c>
      <c r="Q53" s="6" t="inlineStr"/>
      <c r="R53" s="11">
        <f>IF(P53="","ADD LINKEDIN","ok")</f>
        <v/>
      </c>
      <c r="S53" s="6" t="inlineStr">
        <is>
          <t>https://www.meritagehomes.com/</t>
        </is>
      </c>
      <c r="T53" s="9" t="inlineStr">
        <is>
          <t>1,000 homes at Trinity Landing and a sub-110-day cycle held four quarters. No wall-system statement on record.</t>
        </is>
      </c>
      <c r="U53"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3" s="6" t="inlineStr"/>
      <c r="W53" s="9" t="inlineStr">
        <is>
          <t>Division President at Meritage Homes. Houston, Texas.</t>
        </is>
      </c>
      <c r="X53" s="6" t="inlineStr"/>
      <c r="Y53" s="6" t="inlineStr">
        <is>
          <t>https://www.linkedin.com/company/meritage-homes</t>
        </is>
      </c>
      <c r="Z53" s="6" t="inlineStr">
        <is>
          <t>https://investors.meritagehomes.com/company-information/management-team</t>
        </is>
      </c>
    </row>
    <row r="54">
      <c r="A54" s="12" t="inlineStr">
        <is>
          <t>Kyle Davison</t>
        </is>
      </c>
      <c r="B54" s="12" t="inlineStr">
        <is>
          <t>Meritage Homes Corporation</t>
        </is>
      </c>
      <c r="C54" s="12" t="inlineStr">
        <is>
          <t>Central Region President, Meritage Homes</t>
        </is>
      </c>
      <c r="D54" s="13" t="inlineStr">
        <is>
          <t>Worth pursuing, one gap</t>
        </is>
      </c>
      <c r="E54" s="14" t="n">
        <v>2</v>
      </c>
      <c r="F54" s="12" t="inlineStr">
        <is>
          <t>Buys walls</t>
        </is>
      </c>
      <c r="G54" s="12" t="inlineStr">
        <is>
          <t>Scottsdale HQ / Liberty, Harris</t>
        </is>
      </c>
      <c r="H54" s="12" t="inlineStr">
        <is>
          <t>Sub-110 day cycle, 4 straight quarters</t>
        </is>
      </c>
      <c r="I54" s="14" t="inlineStr">
        <is>
          <t>Yes</t>
        </is>
      </c>
      <c r="J54" s="15" t="inlineStr">
        <is>
          <t>1,000 homes at Trinity Landing on 45 to 60 foot lots.</t>
        </is>
      </c>
      <c r="K54" s="14" t="inlineStr">
        <is>
          <t>No</t>
        </is>
      </c>
      <c r="L54" s="15" t="inlineStr">
        <is>
          <t>A national builder closing thousands a year through a corporate purchasing desk.</t>
        </is>
      </c>
      <c r="M54" s="14" t="inlineStr">
        <is>
          <t>Partly</t>
        </is>
      </c>
      <c r="N54" s="15" t="inlineStr">
        <is>
          <t>AI across the business and sub-110-day cycles. Nothing on wall systems.</t>
        </is>
      </c>
      <c r="O54" s="14" t="inlineStr">
        <is>
          <t>Yes</t>
        </is>
      </c>
      <c r="P54" s="6" t="inlineStr">
        <is>
          <t>https://www.linkedin.com/in/kyle-davison-377a322b/</t>
        </is>
      </c>
      <c r="Q54" s="12" t="inlineStr"/>
      <c r="R54" s="16">
        <f>IF(P54="","ADD LINKEDIN","ok")</f>
        <v/>
      </c>
      <c r="S54" s="12" t="inlineStr">
        <is>
          <t>https://www.meritagehomes.com/</t>
        </is>
      </c>
      <c r="T54" s="15" t="inlineStr">
        <is>
          <t>1,000 homes at Trinity Landing and a sub-110-day cycle held four quarters. No wall-system statement on record.</t>
        </is>
      </c>
      <c r="U54"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4" s="12" t="inlineStr"/>
      <c r="W54" s="15" t="inlineStr">
        <is>
          <t>Central Region President at Meritage Homes (NYSE). Sugar Land, Texas.</t>
        </is>
      </c>
      <c r="X54" s="12" t="inlineStr"/>
      <c r="Y54" s="12" t="inlineStr">
        <is>
          <t>https://www.linkedin.com/company/meritage-homes</t>
        </is>
      </c>
      <c r="Z54" s="12" t="inlineStr">
        <is>
          <t>https://investors.meritagehomes.com/company-information/management-team</t>
        </is>
      </c>
    </row>
    <row r="55">
      <c r="A55" s="6" t="inlineStr">
        <is>
          <t>Stephen Ray</t>
        </is>
      </c>
      <c r="B55" s="6" t="inlineStr">
        <is>
          <t>Smith Douglas Homes</t>
        </is>
      </c>
      <c r="C55" s="6" t="inlineStr">
        <is>
          <t>Leads the Houston division; Founder and President of Devon Street Homes before the 2024 sale</t>
        </is>
      </c>
      <c r="D55" s="7" t="inlineStr">
        <is>
          <t>Worth pursuing, one gap</t>
        </is>
      </c>
      <c r="E55" s="8" t="n">
        <v>2</v>
      </c>
      <c r="F55" s="6" t="inlineStr">
        <is>
          <t>Buys walls</t>
        </is>
      </c>
      <c r="G55" s="6" t="inlineStr">
        <is>
          <t>Houston, formerly Devon Street Homes</t>
        </is>
      </c>
      <c r="H55" s="6" t="inlineStr">
        <is>
          <t>324 closings in 2022 as Devon Street</t>
        </is>
      </c>
      <c r="I55" s="8" t="inlineStr">
        <is>
          <t>Yes</t>
        </is>
      </c>
      <c r="J55" s="9" t="inlineStr">
        <is>
          <t>324 homes across fifteen communities, on a standardised first-time-buyer product.</t>
        </is>
      </c>
      <c r="K55" s="8" t="inlineStr">
        <is>
          <t>Partly</t>
        </is>
      </c>
      <c r="L55" s="9" t="inlineStr">
        <is>
          <t>The volume band fits, but the parent listed in January 2024 and purchasing may have centralised.</t>
        </is>
      </c>
      <c r="M55" s="8" t="inlineStr">
        <is>
          <t>No</t>
        </is>
      </c>
      <c r="N55" s="9" t="inlineStr">
        <is>
          <t>The model is standardisation for entry-level buyers. That is not evidence of paying for an unproven method.</t>
        </is>
      </c>
      <c r="O55" s="8" t="inlineStr">
        <is>
          <t>Yes</t>
        </is>
      </c>
      <c r="P55" s="10" t="inlineStr"/>
      <c r="Q55" s="6">
        <f>HYPERLINK("https://www.linkedin.com/search/results/people/?keywords=Stephen%20Ray%20Smith%20Douglas%20Homes","search")</f>
        <v/>
      </c>
      <c r="R55" s="11">
        <f>IF(P55="","ADD LINKEDIN","ok")</f>
        <v/>
      </c>
      <c r="S55" s="6" t="inlineStr">
        <is>
          <t>https://www.smithdouglas.com/</t>
        </is>
      </c>
      <c r="T55" s="9" t="inlineStr">
        <is>
          <t>324 closings across fifteen communities in the year before it was acquired, on standardised entry-level product. Now part of a listed builder; the Houston purchasing structure is not published.</t>
        </is>
      </c>
      <c r="U55"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55" s="6" t="inlineStr"/>
      <c r="W55" s="9" t="inlineStr">
        <is>
          <t>Smith Douglas's own announcement: Stephen Ray, Founder and President of Devon Street, will continue to lead the Houston division. No post-acquisition title is published.</t>
        </is>
      </c>
      <c r="X55" s="6" t="inlineStr">
        <is>
          <t>https://www.smithdouglas.com/blog/smith-douglas-homes-acquires-devon-street-homes-enters-houston-tx-market</t>
        </is>
      </c>
      <c r="Y55" s="6" t="inlineStr"/>
      <c r="Z55" s="6" t="inlineStr"/>
    </row>
    <row r="56">
      <c r="A56" s="12" t="inlineStr">
        <is>
          <t>Margaret Potter</t>
        </is>
      </c>
      <c r="B56" s="12" t="inlineStr">
        <is>
          <t>Camillo Companies (SimplyHome / Legend Homes)</t>
        </is>
      </c>
      <c r="C56" s="12" t="inlineStr">
        <is>
          <t>Chief Executive Officer</t>
        </is>
      </c>
      <c r="D56" s="13" t="inlineStr">
        <is>
          <t>Worth pursuing, one gap</t>
        </is>
      </c>
      <c r="E56" s="14" t="n">
        <v>2</v>
      </c>
      <c r="F56" s="12" t="inlineStr">
        <is>
          <t>Buys walls</t>
        </is>
      </c>
      <c r="G56" s="12" t="inlineStr">
        <is>
          <t>Houston HQ, Harris County</t>
        </is>
      </c>
      <c r="H56" s="12" t="inlineStr">
        <is>
          <t>10,800+ rental homes, 115+ communities</t>
        </is>
      </c>
      <c r="I56" s="14" t="inlineStr">
        <is>
          <t>Yes</t>
        </is>
      </c>
      <c r="J56" s="15" t="inlineStr">
        <is>
          <t>10,800 rental homes across 115 communities.</t>
        </is>
      </c>
      <c r="K56" s="14" t="inlineStr">
        <is>
          <t>Partly</t>
        </is>
      </c>
      <c r="L56" s="15" t="inlineStr">
        <is>
          <t>10,800 rental homes held across 115 communities. The volume is far above one machine, though the build-and-hold model is the right one.</t>
        </is>
      </c>
      <c r="M56" s="14" t="inlineStr">
        <is>
          <t>No</t>
        </is>
      </c>
      <c r="N56" s="15" t="inlineStr">
        <is>
          <t>No construction-method statement found anywhere.</t>
        </is>
      </c>
      <c r="O56" s="14" t="inlineStr">
        <is>
          <t>Partly</t>
        </is>
      </c>
      <c r="P56" s="10" t="inlineStr"/>
      <c r="Q56" s="12">
        <f>HYPERLINK("https://www.linkedin.com/search/results/people/?keywords=Margaret%20Potter%20Camillo%20Companies","search")</f>
        <v/>
      </c>
      <c r="R56" s="16">
        <f>IF(P56="","ADD LINKEDIN","ok")</f>
        <v/>
      </c>
      <c r="S56" s="12" t="inlineStr">
        <is>
          <t>https://www.camillocompanies.com/</t>
        </is>
      </c>
      <c r="T56" s="15" t="inlineStr">
        <is>
          <t>10,800 rental homes across 115 communities, built and held. No construction-method statement anywhere.</t>
        </is>
      </c>
      <c r="U56" s="15"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6" s="12" t="inlineStr"/>
      <c r="W56" s="15" t="inlineStr">
        <is>
          <t>Camillo's own about page now names Dan Miller as chief executive and does not name her. Third-party org charts still show her as chief executive since 2013. Treat the title as stale until the firm confirms it.</t>
        </is>
      </c>
      <c r="X56" s="12" t="inlineStr">
        <is>
          <t>https://www.camillocompanies.com/about-us</t>
        </is>
      </c>
      <c r="Y56" s="12" t="inlineStr">
        <is>
          <t>https://www.linkedin.com/company/camillo-companies</t>
        </is>
      </c>
      <c r="Z56" s="12" t="inlineStr">
        <is>
          <t>https://www.camillocompanies.com/about-us</t>
        </is>
      </c>
    </row>
    <row r="57">
      <c r="A57" s="6" t="inlineStr">
        <is>
          <t>Meagan Yager</t>
        </is>
      </c>
      <c r="B57" s="6" t="inlineStr">
        <is>
          <t>Camillo Companies (SimplyHome / Legend Homes)</t>
        </is>
      </c>
      <c r="C57" s="6" t="inlineStr">
        <is>
          <t>Vice President of Marketing</t>
        </is>
      </c>
      <c r="D57" s="7" t="inlineStr">
        <is>
          <t>Worth pursuing, one gap</t>
        </is>
      </c>
      <c r="E57" s="8" t="n">
        <v>2</v>
      </c>
      <c r="F57" s="6" t="inlineStr">
        <is>
          <t>Buys walls</t>
        </is>
      </c>
      <c r="G57" s="6" t="inlineStr">
        <is>
          <t>Houston HQ, Harris County</t>
        </is>
      </c>
      <c r="H57" s="6" t="inlineStr">
        <is>
          <t>10,800+ rental homes, 115+ communities</t>
        </is>
      </c>
      <c r="I57" s="8" t="inlineStr">
        <is>
          <t>Yes</t>
        </is>
      </c>
      <c r="J57" s="9" t="inlineStr">
        <is>
          <t>10,800 rental homes across 115 communities.</t>
        </is>
      </c>
      <c r="K57" s="8" t="inlineStr">
        <is>
          <t>Partly</t>
        </is>
      </c>
      <c r="L57" s="9" t="inlineStr">
        <is>
          <t>10,800 rental homes held across 115 communities. The volume is far above one machine, though the build-and-hold model is the right one.</t>
        </is>
      </c>
      <c r="M57" s="8" t="inlineStr">
        <is>
          <t>No</t>
        </is>
      </c>
      <c r="N57" s="9" t="inlineStr">
        <is>
          <t>No construction-method statement found anywhere.</t>
        </is>
      </c>
      <c r="O57" s="8" t="inlineStr">
        <is>
          <t>Partly</t>
        </is>
      </c>
      <c r="P57" s="10" t="inlineStr"/>
      <c r="Q57" s="6">
        <f>HYPERLINK("https://www.linkedin.com/search/results/people/?keywords=Meagan%20Yager%20Camillo%20Companies","search")</f>
        <v/>
      </c>
      <c r="R57" s="11">
        <f>IF(P57="","ADD LINKEDIN","ok")</f>
        <v/>
      </c>
      <c r="S57" s="6" t="inlineStr">
        <is>
          <t>https://www.camillocompanies.com/</t>
        </is>
      </c>
      <c r="T57" s="9" t="inlineStr">
        <is>
          <t>10,800 rental homes across 115 communities, built and held. No construction-method statement anywhere.</t>
        </is>
      </c>
      <c r="U57" s="9"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7" s="6" t="inlineStr"/>
      <c r="W57" s="9" t="inlineStr">
        <is>
          <t>Not on Camillo's current about page. A third-party org chart lists her as corporate vice president of marketing at Legend Homes, a Camillo brand. The page does list a Meagan Butler in property management, who is a different person.</t>
        </is>
      </c>
      <c r="X57" s="6" t="inlineStr">
        <is>
          <t>https://www.camillocompanies.com/about-us</t>
        </is>
      </c>
      <c r="Y57" s="6" t="inlineStr">
        <is>
          <t>https://www.linkedin.com/company/camillo-companies</t>
        </is>
      </c>
      <c r="Z57" s="6" t="inlineStr">
        <is>
          <t>https://www.camillocompanies.com/about-us</t>
        </is>
      </c>
    </row>
    <row r="58">
      <c r="A58" s="12" t="inlineStr">
        <is>
          <t>Lance Wright</t>
        </is>
      </c>
      <c r="B58" s="12" t="inlineStr">
        <is>
          <t>CastleRock Communities</t>
        </is>
      </c>
      <c r="C58" s="12" t="inlineStr">
        <is>
          <t>Chief Executive Officer and Founding Partner</t>
        </is>
      </c>
      <c r="D58" s="13" t="inlineStr">
        <is>
          <t>Worth pursuing, one gap</t>
        </is>
      </c>
      <c r="E58" s="14" t="n">
        <v>2</v>
      </c>
      <c r="F58" s="12" t="inlineStr">
        <is>
          <t>Buys walls</t>
        </is>
      </c>
      <c r="G58" s="12" t="inlineStr">
        <is>
          <t>Houston HQ / Fort Bend</t>
        </is>
      </c>
      <c r="H58" s="12" t="inlineStr">
        <is>
          <t>20,000+ homes, 300+ communities</t>
        </is>
      </c>
      <c r="I58" s="14" t="inlineStr">
        <is>
          <t>Yes</t>
        </is>
      </c>
      <c r="J58" s="15" t="inlineStr">
        <is>
          <t>20,000 homes since 2004, 1,600 closed in a single year.</t>
        </is>
      </c>
      <c r="K58" s="14" t="inlineStr">
        <is>
          <t>Partly</t>
        </is>
      </c>
      <c r="L58" s="15" t="inlineStr">
        <is>
          <t>20,000 homes since 2004 is roughly a thousand a year, above the band but not beyond a two-machine pilot.</t>
        </is>
      </c>
      <c r="M58" s="14" t="inlineStr">
        <is>
          <t>No</t>
        </is>
      </c>
      <c r="N58" s="15" t="inlineStr">
        <is>
          <t>Search ended early. Daiwa House owns a stake and is an industrialised builder, untested.</t>
        </is>
      </c>
      <c r="O58" s="14" t="inlineStr">
        <is>
          <t>Partly</t>
        </is>
      </c>
      <c r="P58" s="10" t="inlineStr"/>
      <c r="Q58" s="12">
        <f>HYPERLINK("https://www.linkedin.com/search/results/people/?keywords=Lance%20Wright%20CastleRock%20Communities","search")</f>
        <v/>
      </c>
      <c r="R58" s="16">
        <f>IF(P58="","ADD LINKEDIN","ok")</f>
        <v/>
      </c>
      <c r="S58" s="12" t="inlineStr">
        <is>
          <t>https://www.c-rock.com/</t>
        </is>
      </c>
      <c r="T58" s="15" t="inlineStr">
        <is>
          <t>20,000 homes since 2004. Daiwa House owns a stake. No published method evidence.</t>
        </is>
      </c>
      <c r="U5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8" s="12" t="inlineStr"/>
      <c r="W58" s="15" t="inlineStr">
        <is>
          <t>CastleRock's own about page: a founding partner, serving as chief executive.</t>
        </is>
      </c>
      <c r="X58" s="12" t="inlineStr">
        <is>
          <t>https://www.c-rock.com/about</t>
        </is>
      </c>
      <c r="Y58" s="12" t="inlineStr">
        <is>
          <t>https://www.linkedin.com/company/castlerock-communities</t>
        </is>
      </c>
      <c r="Z58" s="12" t="inlineStr">
        <is>
          <t>https://www.c-rock.com/about</t>
        </is>
      </c>
    </row>
    <row r="59">
      <c r="A59" s="6" t="inlineStr">
        <is>
          <t>Kirk Breitenwischer</t>
        </is>
      </c>
      <c r="B59" s="6" t="inlineStr">
        <is>
          <t>CastleRock Communities</t>
        </is>
      </c>
      <c r="C59" s="6" t="inlineStr">
        <is>
          <t>Senior Executive Vice President</t>
        </is>
      </c>
      <c r="D59" s="7" t="inlineStr">
        <is>
          <t>Worth pursuing, one gap</t>
        </is>
      </c>
      <c r="E59" s="8" t="n">
        <v>2</v>
      </c>
      <c r="F59" s="6" t="inlineStr">
        <is>
          <t>Buys walls</t>
        </is>
      </c>
      <c r="G59" s="6" t="inlineStr">
        <is>
          <t>Houston HQ / Fort Bend</t>
        </is>
      </c>
      <c r="H59" s="6" t="inlineStr">
        <is>
          <t>20,000+ homes, 300+ communities</t>
        </is>
      </c>
      <c r="I59" s="8" t="inlineStr">
        <is>
          <t>Yes</t>
        </is>
      </c>
      <c r="J59" s="9" t="inlineStr">
        <is>
          <t>20,000 homes since 2004, 1,600 closed in a single year.</t>
        </is>
      </c>
      <c r="K59" s="8" t="inlineStr">
        <is>
          <t>Partly</t>
        </is>
      </c>
      <c r="L59" s="9" t="inlineStr">
        <is>
          <t>20,000 homes since 2004 is roughly a thousand a year, above the band but not beyond a two-machine pilot.</t>
        </is>
      </c>
      <c r="M59" s="8" t="inlineStr">
        <is>
          <t>No</t>
        </is>
      </c>
      <c r="N59" s="9" t="inlineStr">
        <is>
          <t>Search ended early. Daiwa House owns a stake and is an industrialised builder, untested.</t>
        </is>
      </c>
      <c r="O59" s="8" t="inlineStr">
        <is>
          <t>Partly</t>
        </is>
      </c>
      <c r="P59" s="6" t="inlineStr">
        <is>
          <t>https://www.linkedin.com/in/kirk-breitenwischer-32778312/</t>
        </is>
      </c>
      <c r="Q59" s="6" t="inlineStr"/>
      <c r="R59" s="11">
        <f>IF(P59="","ADD LINKEDIN","ok")</f>
        <v/>
      </c>
      <c r="S59" s="6" t="inlineStr">
        <is>
          <t>https://www.c-rock.com/</t>
        </is>
      </c>
      <c r="T59" s="9" t="inlineStr">
        <is>
          <t>20,000 homes since 2004. Daiwa House owns a stake. No published method evidence.</t>
        </is>
      </c>
      <c r="U59"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9" s="6" t="inlineStr"/>
      <c r="W59" s="9" t="inlineStr">
        <is>
          <t>VP at Castlerock Communities. Houston, Texas. The headline gives no function.</t>
        </is>
      </c>
      <c r="X59" s="6" t="inlineStr"/>
      <c r="Y59" s="6" t="inlineStr">
        <is>
          <t>https://www.linkedin.com/company/castlerock-communities</t>
        </is>
      </c>
      <c r="Z59" s="6" t="inlineStr">
        <is>
          <t>https://www.c-rock.com/about</t>
        </is>
      </c>
    </row>
    <row r="60">
      <c r="A60" s="12" t="inlineStr">
        <is>
          <t>Bruce Torkelson</t>
        </is>
      </c>
      <c r="B60" s="12" t="inlineStr">
        <is>
          <t>CastleRock Communities</t>
        </is>
      </c>
      <c r="C60" s="12" t="inlineStr">
        <is>
          <t>Chief Financial Officer, CastleRock Communities</t>
        </is>
      </c>
      <c r="D60" s="13" t="inlineStr">
        <is>
          <t>Worth pursuing, one gap</t>
        </is>
      </c>
      <c r="E60" s="14" t="n">
        <v>2</v>
      </c>
      <c r="F60" s="12" t="inlineStr">
        <is>
          <t>Buys walls</t>
        </is>
      </c>
      <c r="G60" s="12" t="inlineStr">
        <is>
          <t>Houston HQ / Fort Bend</t>
        </is>
      </c>
      <c r="H60" s="12" t="inlineStr">
        <is>
          <t>20,000+ homes, 300+ communities</t>
        </is>
      </c>
      <c r="I60" s="14" t="inlineStr">
        <is>
          <t>Yes</t>
        </is>
      </c>
      <c r="J60" s="15" t="inlineStr">
        <is>
          <t>20,000 homes since 2004, 1,600 closed in a single year.</t>
        </is>
      </c>
      <c r="K60" s="14" t="inlineStr">
        <is>
          <t>Partly</t>
        </is>
      </c>
      <c r="L60" s="15" t="inlineStr">
        <is>
          <t>20,000 homes since 2004 is roughly a thousand a year, above the band but not beyond a two-machine pilot.</t>
        </is>
      </c>
      <c r="M60" s="14" t="inlineStr">
        <is>
          <t>No</t>
        </is>
      </c>
      <c r="N60" s="15" t="inlineStr">
        <is>
          <t>Search ended early. Daiwa House owns a stake and is an industrialised builder, untested.</t>
        </is>
      </c>
      <c r="O60" s="14" t="inlineStr">
        <is>
          <t>Partly</t>
        </is>
      </c>
      <c r="P60" s="6" t="inlineStr">
        <is>
          <t>https://www.linkedin.com/in/brucetorkelson/</t>
        </is>
      </c>
      <c r="Q60" s="12" t="inlineStr"/>
      <c r="R60" s="16">
        <f>IF(P60="","ADD LINKEDIN","ok")</f>
        <v/>
      </c>
      <c r="S60" s="12" t="inlineStr">
        <is>
          <t>https://www.c-rock.com/</t>
        </is>
      </c>
      <c r="T60" s="15" t="inlineStr">
        <is>
          <t>20,000 homes since 2004. Daiwa House owns a stake. No published method evidence.</t>
        </is>
      </c>
      <c r="U60"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0" s="12" t="inlineStr"/>
      <c r="W60" s="15" t="inlineStr">
        <is>
          <t>CFO at CastleRock Communities. Houston, Texas.</t>
        </is>
      </c>
      <c r="X60" s="12" t="inlineStr"/>
      <c r="Y60" s="12" t="inlineStr">
        <is>
          <t>https://www.linkedin.com/company/castlerock-communities</t>
        </is>
      </c>
      <c r="Z60" s="12" t="inlineStr">
        <is>
          <t>https://www.c-rock.com/about</t>
        </is>
      </c>
    </row>
    <row r="61">
      <c r="A61" s="6" t="inlineStr">
        <is>
          <t>Todd Wood</t>
        </is>
      </c>
      <c r="B61" s="6" t="inlineStr">
        <is>
          <t>Christopher Todd Communities</t>
        </is>
      </c>
      <c r="C61" s="6" t="inlineStr">
        <is>
          <t>Chief Executive Officer and Founder</t>
        </is>
      </c>
      <c r="D61" s="7" t="inlineStr">
        <is>
          <t>Worth pursuing, one gap</t>
        </is>
      </c>
      <c r="E61" s="8" t="n">
        <v>2</v>
      </c>
      <c r="F61" s="6" t="inlineStr">
        <is>
          <t>Buys walls</t>
        </is>
      </c>
      <c r="G61" s="6" t="inlineStr">
        <is>
          <t>Mesa HQ / Montgomery, Harris</t>
        </is>
      </c>
      <c r="H61" s="6" t="inlineStr">
        <is>
          <t>314 homes Conroe, 240 homes Cypress</t>
        </is>
      </c>
      <c r="I61" s="8" t="inlineStr">
        <is>
          <t>Partly</t>
        </is>
      </c>
      <c r="J61" s="9" t="inlineStr">
        <is>
          <t>314 homes in Conroe and 240 in Cypress.</t>
        </is>
      </c>
      <c r="K61" s="8" t="inlineStr">
        <is>
          <t>Yes</t>
        </is>
      </c>
      <c r="L61" s="9" t="inlineStr">
        <is>
          <t>156 units inside a single masterplan, built to hold. One machine covers a community at a time.</t>
        </is>
      </c>
      <c r="M61" s="8" t="inlineStr">
        <is>
          <t>No</t>
        </is>
      </c>
      <c r="N61" s="9" t="inlineStr">
        <is>
          <t>Its stated technology package is smart-home fittings, not structure.</t>
        </is>
      </c>
      <c r="O61" s="8" t="inlineStr">
        <is>
          <t>Partly</t>
        </is>
      </c>
      <c r="P61" s="10" t="inlineStr"/>
      <c r="Q61" s="6">
        <f>HYPERLINK("https://www.linkedin.com/search/results/people/?keywords=Todd%20Wood%20Christopher%20Todd%20Communities","search")</f>
        <v/>
      </c>
      <c r="R61" s="11">
        <f>IF(P61="","ADD LINKEDIN","ok")</f>
        <v/>
      </c>
      <c r="S61" s="6" t="inlineStr">
        <is>
          <t>https://www.christophertodd.com/</t>
        </is>
      </c>
      <c r="T61" s="9" t="inlineStr">
        <is>
          <t>314 homes in Conroe and a stated shift to self-development. Its declared technology is smart-home fittings.</t>
        </is>
      </c>
      <c r="U61" s="9" t="inlineStr">
        <is>
          <t>Conroe acquisition price not disclosed. | Cottage Living was acquired, not developed. Confirm forward self-development pipeline.</t>
        </is>
      </c>
      <c r="V61" s="6" t="inlineStr"/>
      <c r="W61" s="9" t="inlineStr">
        <is>
          <t>Founded Christopher Todd Communities in 2016, after selling an organic bakery.</t>
        </is>
      </c>
      <c r="X61" s="6" t="inlineStr">
        <is>
          <t>https://www.christophertodd.com/our-story/</t>
        </is>
      </c>
      <c r="Y61" s="6" t="inlineStr">
        <is>
          <t>https://www.linkedin.com/company/christopher-todd-communities</t>
        </is>
      </c>
      <c r="Z61" s="6" t="inlineStr">
        <is>
          <t>https://www.christophertodd.com/our-story/</t>
        </is>
      </c>
    </row>
    <row r="62">
      <c r="A62" s="12" t="inlineStr">
        <is>
          <t>Brent Long</t>
        </is>
      </c>
      <c r="B62" s="12" t="inlineStr">
        <is>
          <t>Christopher Todd Communities</t>
        </is>
      </c>
      <c r="C62" s="12" t="inlineStr">
        <is>
          <t>President, Christopher Todd Capital</t>
        </is>
      </c>
      <c r="D62" s="13" t="inlineStr">
        <is>
          <t>Worth pursuing, one gap</t>
        </is>
      </c>
      <c r="E62" s="14" t="n">
        <v>2</v>
      </c>
      <c r="F62" s="12" t="inlineStr">
        <is>
          <t>Buys walls</t>
        </is>
      </c>
      <c r="G62" s="12" t="inlineStr">
        <is>
          <t>Mesa HQ / Montgomery, Harris</t>
        </is>
      </c>
      <c r="H62" s="12" t="inlineStr">
        <is>
          <t>314 homes Conroe, 240 homes Cypress</t>
        </is>
      </c>
      <c r="I62" s="14" t="inlineStr">
        <is>
          <t>Partly</t>
        </is>
      </c>
      <c r="J62" s="15" t="inlineStr">
        <is>
          <t>314 homes in Conroe and 240 in Cypress.</t>
        </is>
      </c>
      <c r="K62" s="14" t="inlineStr">
        <is>
          <t>Yes</t>
        </is>
      </c>
      <c r="L62" s="15" t="inlineStr">
        <is>
          <t>156 units inside a single masterplan, built to hold. One machine covers a community at a time.</t>
        </is>
      </c>
      <c r="M62" s="14" t="inlineStr">
        <is>
          <t>No</t>
        </is>
      </c>
      <c r="N62" s="15" t="inlineStr">
        <is>
          <t>Its stated technology package is smart-home fittings, not structure.</t>
        </is>
      </c>
      <c r="O62" s="14" t="inlineStr">
        <is>
          <t>Partly</t>
        </is>
      </c>
      <c r="P62" s="10" t="inlineStr"/>
      <c r="Q62" s="12">
        <f>HYPERLINK("https://www.linkedin.com/search/results/people/?keywords=Brent%20Long%20Christopher%20Todd%20Communities","search")</f>
        <v/>
      </c>
      <c r="R62" s="16">
        <f>IF(P62="","ADD LINKEDIN","ok")</f>
        <v/>
      </c>
      <c r="S62" s="12" t="inlineStr">
        <is>
          <t>https://www.christophertodd.com/</t>
        </is>
      </c>
      <c r="T62" s="15" t="inlineStr">
        <is>
          <t>314 homes in Conroe and a stated shift to self-development. Its declared technology is smart-home fittings.</t>
        </is>
      </c>
      <c r="U62" s="15" t="inlineStr">
        <is>
          <t>Conroe acquisition price not disclosed. | Cottage Living was acquired, not developed. Confirm forward self-development pipeline.</t>
        </is>
      </c>
      <c r="V62" s="12" t="inlineStr"/>
      <c r="W62" s="15" t="inlineStr">
        <is>
          <t>Joined as Director of Investment and Land with twenty-five years in multifamily.</t>
        </is>
      </c>
      <c r="X62" s="12" t="inlineStr">
        <is>
          <t>https://www.christophertodd.com/press-releases/brent-long-joins-christopher-todd-as-director-of-investment-and-land/</t>
        </is>
      </c>
      <c r="Y62" s="12" t="inlineStr">
        <is>
          <t>https://www.linkedin.com/company/christopher-todd-communities</t>
        </is>
      </c>
      <c r="Z62" s="12" t="inlineStr">
        <is>
          <t>https://www.christophertodd.com/our-story/</t>
        </is>
      </c>
    </row>
    <row r="63">
      <c r="A63" s="6" t="inlineStr">
        <is>
          <t>Jason Golan</t>
        </is>
      </c>
      <c r="B63" s="6" t="inlineStr">
        <is>
          <t>Westin Homes</t>
        </is>
      </c>
      <c r="C63" s="6" t="inlineStr">
        <is>
          <t>President</t>
        </is>
      </c>
      <c r="D63" s="7" t="inlineStr">
        <is>
          <t>Worth pursuing, one gap</t>
        </is>
      </c>
      <c r="E63" s="8" t="n">
        <v>2</v>
      </c>
      <c r="F63" s="6" t="inlineStr">
        <is>
          <t>Buys walls</t>
        </is>
      </c>
      <c r="G63" s="6" t="inlineStr">
        <is>
          <t>Sugar Land</t>
        </is>
      </c>
      <c r="H63" s="6" t="inlineStr">
        <is>
          <t>1,062 closings and $621 million in 2025</t>
        </is>
      </c>
      <c r="I63" s="8" t="inlineStr">
        <is>
          <t>Yes</t>
        </is>
      </c>
      <c r="J63" s="9" t="inlineStr">
        <is>
          <t>Lago Mar, Del Bello Lakes, Meridiana, Sienna, Legacy and Marvida. The same plans in six masterplans.</t>
        </is>
      </c>
      <c r="K63" s="8" t="inlineStr">
        <is>
          <t>Partly</t>
        </is>
      </c>
      <c r="L63" s="9" t="inlineStr">
        <is>
          <t>1,062 closings in 2025 and 1,016 in 2024 across Houston and Austin. Two machines would be a line inside the business.</t>
        </is>
      </c>
      <c r="M63" s="8" t="inlineStr">
        <is>
          <t>No</t>
        </is>
      </c>
      <c r="N63" s="9" t="inlineStr">
        <is>
          <t>No method evidence. The published language is about plans refined over time, not construction.</t>
        </is>
      </c>
      <c r="O63" s="8" t="inlineStr">
        <is>
          <t>Partly</t>
        </is>
      </c>
      <c r="P63" s="6" t="inlineStr">
        <is>
          <t>https://www.linkedin.com/in/jason-golan-0874a241/</t>
        </is>
      </c>
      <c r="Q63" s="6" t="inlineStr"/>
      <c r="R63" s="11">
        <f>IF(P63="","ADD LINKEDIN","ok")</f>
        <v/>
      </c>
      <c r="S63" s="6" t="inlineStr">
        <is>
          <t>https://www.westin-homes.com/</t>
        </is>
      </c>
      <c r="T63" s="9" t="inlineStr">
        <is>
          <t>1,062 closings in 2025 across the south suburban masterplans, with a named vice president of construction.</t>
        </is>
      </c>
      <c r="U63"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3" s="6" t="inlineStr"/>
      <c r="W63" s="9" t="inlineStr">
        <is>
          <t>Indexed title reads Jason Golan, President at Westin Homes. The firm's own twentieth-anniversary release calls him Founder and Owner.</t>
        </is>
      </c>
      <c r="X63" s="6" t="inlineStr"/>
      <c r="Y63" s="6" t="inlineStr"/>
      <c r="Z63" s="6" t="inlineStr"/>
    </row>
    <row r="64">
      <c r="A64" s="12" t="inlineStr">
        <is>
          <t>Matthew Roland</t>
        </is>
      </c>
      <c r="B64" s="12" t="inlineStr">
        <is>
          <t>Westin Homes</t>
        </is>
      </c>
      <c r="C64" s="12" t="inlineStr">
        <is>
          <t>Vice President of Construction, Houston</t>
        </is>
      </c>
      <c r="D64" s="13" t="inlineStr">
        <is>
          <t>Worth pursuing, one gap</t>
        </is>
      </c>
      <c r="E64" s="14" t="n">
        <v>2</v>
      </c>
      <c r="F64" s="12" t="inlineStr">
        <is>
          <t>Buys walls</t>
        </is>
      </c>
      <c r="G64" s="12" t="inlineStr">
        <is>
          <t>Sugar Land</t>
        </is>
      </c>
      <c r="H64" s="12" t="inlineStr">
        <is>
          <t>1,062 closings and $621 million in 2025</t>
        </is>
      </c>
      <c r="I64" s="14" t="inlineStr">
        <is>
          <t>Yes</t>
        </is>
      </c>
      <c r="J64" s="15" t="inlineStr">
        <is>
          <t>Lago Mar, Del Bello Lakes, Meridiana, Sienna, Legacy and Marvida. The same plans in six masterplans.</t>
        </is>
      </c>
      <c r="K64" s="14" t="inlineStr">
        <is>
          <t>Partly</t>
        </is>
      </c>
      <c r="L64" s="15" t="inlineStr">
        <is>
          <t>1,062 closings in 2025 and 1,016 in 2024 across Houston and Austin. Two machines would be a line inside the business.</t>
        </is>
      </c>
      <c r="M64" s="14" t="inlineStr">
        <is>
          <t>No</t>
        </is>
      </c>
      <c r="N64" s="15" t="inlineStr">
        <is>
          <t>No method evidence. The published language is about plans refined over time, not construction.</t>
        </is>
      </c>
      <c r="O64" s="14" t="inlineStr">
        <is>
          <t>Partly</t>
        </is>
      </c>
      <c r="P64" s="10" t="inlineStr"/>
      <c r="Q64" s="12">
        <f>HYPERLINK("https://www.linkedin.com/search/results/people/?keywords=Matthew%20Roland%20Westin%20Homes","search")</f>
        <v/>
      </c>
      <c r="R64" s="16">
        <f>IF(P64="","ADD LINKEDIN","ok")</f>
        <v/>
      </c>
      <c r="S64" s="12" t="inlineStr">
        <is>
          <t>https://www.westin-homes.com/</t>
        </is>
      </c>
      <c r="T64" s="15" t="inlineStr">
        <is>
          <t>1,062 closings in 2025 across the south suburban masterplans, with a named vice president of construction.</t>
        </is>
      </c>
      <c r="U64"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4" s="12" t="inlineStr">
        <is>
          <t>YES</t>
        </is>
      </c>
      <c r="W64" s="15" t="inlineStr"/>
      <c r="X64" s="12" t="inlineStr"/>
      <c r="Y64" s="12" t="inlineStr"/>
      <c r="Z64" s="12" t="inlineStr"/>
    </row>
    <row r="65">
      <c r="A65" s="6" t="inlineStr">
        <is>
          <t>Diane Danilov</t>
        </is>
      </c>
      <c r="B65" s="6" t="inlineStr">
        <is>
          <t>Westin Homes</t>
        </is>
      </c>
      <c r="C65" s="6" t="inlineStr">
        <is>
          <t>Vice President of Land and Business Development</t>
        </is>
      </c>
      <c r="D65" s="7" t="inlineStr">
        <is>
          <t>Worth pursuing, one gap</t>
        </is>
      </c>
      <c r="E65" s="8" t="n">
        <v>2</v>
      </c>
      <c r="F65" s="6" t="inlineStr">
        <is>
          <t>Buys walls</t>
        </is>
      </c>
      <c r="G65" s="6" t="inlineStr">
        <is>
          <t>Sugar Land</t>
        </is>
      </c>
      <c r="H65" s="6" t="inlineStr">
        <is>
          <t>1,062 closings and $621 million in 2025</t>
        </is>
      </c>
      <c r="I65" s="8" t="inlineStr">
        <is>
          <t>Yes</t>
        </is>
      </c>
      <c r="J65" s="9" t="inlineStr">
        <is>
          <t>Lago Mar, Del Bello Lakes, Meridiana, Sienna, Legacy and Marvida. The same plans in six masterplans.</t>
        </is>
      </c>
      <c r="K65" s="8" t="inlineStr">
        <is>
          <t>Partly</t>
        </is>
      </c>
      <c r="L65" s="9" t="inlineStr">
        <is>
          <t>1,062 closings in 2025 and 1,016 in 2024 across Houston and Austin. Two machines would be a line inside the business.</t>
        </is>
      </c>
      <c r="M65" s="8" t="inlineStr">
        <is>
          <t>No</t>
        </is>
      </c>
      <c r="N65" s="9" t="inlineStr">
        <is>
          <t>No method evidence. The published language is about plans refined over time, not construction.</t>
        </is>
      </c>
      <c r="O65" s="8" t="inlineStr">
        <is>
          <t>Partly</t>
        </is>
      </c>
      <c r="P65" s="10" t="inlineStr"/>
      <c r="Q65" s="6">
        <f>HYPERLINK("https://www.linkedin.com/search/results/people/?keywords=Diane%20Danilov%20Westin%20Homes","search")</f>
        <v/>
      </c>
      <c r="R65" s="11">
        <f>IF(P65="","ADD LINKEDIN","ok")</f>
        <v/>
      </c>
      <c r="S65" s="6" t="inlineStr">
        <is>
          <t>https://www.westin-homes.com/</t>
        </is>
      </c>
      <c r="T65" s="9" t="inlineStr">
        <is>
          <t>1,062 closings in 2025 across the south suburban masterplans, with a named vice president of construction.</t>
        </is>
      </c>
      <c r="U65"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5" s="6" t="inlineStr"/>
      <c r="W65" s="9" t="inlineStr"/>
      <c r="X65" s="6" t="inlineStr"/>
      <c r="Y65" s="6" t="inlineStr"/>
      <c r="Z65" s="6" t="inlineStr"/>
    </row>
    <row r="66">
      <c r="A66" s="12" t="inlineStr">
        <is>
          <t>Kyle Davison</t>
        </is>
      </c>
      <c r="B66" s="12" t="inlineStr">
        <is>
          <t>Westin Homes</t>
        </is>
      </c>
      <c r="C66" s="12" t="inlineStr">
        <is>
          <t>Division President</t>
        </is>
      </c>
      <c r="D66" s="13" t="inlineStr">
        <is>
          <t>Worth pursuing, one gap</t>
        </is>
      </c>
      <c r="E66" s="14" t="n">
        <v>2</v>
      </c>
      <c r="F66" s="12" t="inlineStr">
        <is>
          <t>Buys walls</t>
        </is>
      </c>
      <c r="G66" s="12" t="inlineStr">
        <is>
          <t>Sugar Land</t>
        </is>
      </c>
      <c r="H66" s="12" t="inlineStr">
        <is>
          <t>1,062 closings and $621 million in 2025</t>
        </is>
      </c>
      <c r="I66" s="14" t="inlineStr">
        <is>
          <t>Yes</t>
        </is>
      </c>
      <c r="J66" s="15" t="inlineStr">
        <is>
          <t>Lago Mar, Del Bello Lakes, Meridiana, Sienna, Legacy and Marvida. The same plans in six masterplans.</t>
        </is>
      </c>
      <c r="K66" s="14" t="inlineStr">
        <is>
          <t>Partly</t>
        </is>
      </c>
      <c r="L66" s="15" t="inlineStr">
        <is>
          <t>1,062 closings in 2025 and 1,016 in 2024 across Houston and Austin. Two machines would be a line inside the business.</t>
        </is>
      </c>
      <c r="M66" s="14" t="inlineStr">
        <is>
          <t>No</t>
        </is>
      </c>
      <c r="N66" s="15" t="inlineStr">
        <is>
          <t>No method evidence. The published language is about plans refined over time, not construction.</t>
        </is>
      </c>
      <c r="O66" s="14" t="inlineStr">
        <is>
          <t>Partly</t>
        </is>
      </c>
      <c r="P66" s="10" t="inlineStr"/>
      <c r="Q66" s="12">
        <f>HYPERLINK("https://www.linkedin.com/search/results/people/?keywords=Kyle%20Davison%20Westin%20Homes","search")</f>
        <v/>
      </c>
      <c r="R66" s="16">
        <f>IF(P66="","ADD LINKEDIN","ok")</f>
        <v/>
      </c>
      <c r="S66" s="12" t="inlineStr">
        <is>
          <t>https://www.westin-homes.com/</t>
        </is>
      </c>
      <c r="T66" s="15" t="inlineStr">
        <is>
          <t>1,062 closings in 2025 across the south suburban masterplans, with a named vice president of construction.</t>
        </is>
      </c>
      <c r="U66"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6" s="12" t="inlineStr"/>
      <c r="W66" s="15" t="inlineStr">
        <is>
          <t>The firm's twentieth-anniversary release names Kyle Davison, Division President.</t>
        </is>
      </c>
      <c r="X66" s="12" t="inlineStr">
        <is>
          <t>https://admin.westin-homes.com/news/details/50</t>
        </is>
      </c>
      <c r="Y66" s="12" t="inlineStr"/>
      <c r="Z66" s="12" t="inlineStr"/>
    </row>
    <row r="67">
      <c r="A67" s="6" t="inlineStr">
        <is>
          <t>Ken Williams</t>
        </is>
      </c>
      <c r="B67" s="6" t="inlineStr">
        <is>
          <t>Colina Homes</t>
        </is>
      </c>
      <c r="C67" s="6" t="inlineStr">
        <is>
          <t>Founder</t>
        </is>
      </c>
      <c r="D67" s="7" t="inlineStr">
        <is>
          <t>Worth pursuing, one gap</t>
        </is>
      </c>
      <c r="E67" s="8" t="n">
        <v>2</v>
      </c>
      <c r="F67" s="6" t="inlineStr">
        <is>
          <t>Buys walls</t>
        </is>
      </c>
      <c r="G67" s="6" t="inlineStr">
        <is>
          <t>Houston, 20 communities</t>
        </is>
      </c>
      <c r="H67" s="6" t="inlineStr">
        <is>
          <t>540 closings in 2025, 552 in 2024</t>
        </is>
      </c>
      <c r="I67" s="8" t="inlineStr">
        <is>
          <t>Yes</t>
        </is>
      </c>
      <c r="J67" s="9" t="inlineStr">
        <is>
          <t>More than twenty communities, all inside Greater Houston, taking a standard plan set.</t>
        </is>
      </c>
      <c r="K67" s="8" t="inlineStr">
        <is>
          <t>Partly</t>
        </is>
      </c>
      <c r="L67" s="9" t="inlineStr">
        <is>
          <t>540 closings in 2025 and 552 in 2024 across about twenty communities. Two machines would carry a fifth of output at most.</t>
        </is>
      </c>
      <c r="M67" s="8" t="inlineStr">
        <is>
          <t>No</t>
        </is>
      </c>
      <c r="N67" s="9" t="inlineStr">
        <is>
          <t>No method evidence. The published positioning is price and floor plan, not construction.</t>
        </is>
      </c>
      <c r="O67" s="8" t="inlineStr">
        <is>
          <t>No</t>
        </is>
      </c>
      <c r="P67" s="10" t="inlineStr"/>
      <c r="Q67" s="6">
        <f>HYPERLINK("https://www.linkedin.com/search/results/people/?keywords=Ken%20Williams%20Colina%20Homes","search")</f>
        <v/>
      </c>
      <c r="R67" s="11">
        <f>IF(P67="","ADD LINKEDIN","ok")</f>
        <v/>
      </c>
      <c r="S67" s="6" t="inlineStr">
        <is>
          <t>https://www.colinahomes.com/</t>
        </is>
      </c>
      <c r="T67" s="9" t="inlineStr">
        <is>
          <t>540 closings in 2025 and 552 in 2024 on a no-haggle affordable model. A named director of construction.</t>
        </is>
      </c>
      <c r="U67"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7" s="6" t="inlineStr"/>
      <c r="W67" s="9" t="inlineStr">
        <is>
          <t>About page: Founder. Since 2007 he has helped over 4,500 families.</t>
        </is>
      </c>
      <c r="X67" s="6" t="inlineStr">
        <is>
          <t>https://www.colinahomes.com/about</t>
        </is>
      </c>
      <c r="Y67" s="6" t="inlineStr"/>
      <c r="Z67" s="6" t="inlineStr"/>
    </row>
    <row r="68">
      <c r="A68" s="12" t="inlineStr">
        <is>
          <t>Robert Davis</t>
        </is>
      </c>
      <c r="B68" s="12" t="inlineStr">
        <is>
          <t>Colina Homes</t>
        </is>
      </c>
      <c r="C68" s="12" t="inlineStr">
        <is>
          <t>Director of Construction</t>
        </is>
      </c>
      <c r="D68" s="13" t="inlineStr">
        <is>
          <t>Worth pursuing, one gap</t>
        </is>
      </c>
      <c r="E68" s="14" t="n">
        <v>2</v>
      </c>
      <c r="F68" s="12" t="inlineStr">
        <is>
          <t>Buys walls</t>
        </is>
      </c>
      <c r="G68" s="12" t="inlineStr">
        <is>
          <t>Houston, 20 communities</t>
        </is>
      </c>
      <c r="H68" s="12" t="inlineStr">
        <is>
          <t>540 closings in 2025, 552 in 2024</t>
        </is>
      </c>
      <c r="I68" s="14" t="inlineStr">
        <is>
          <t>Yes</t>
        </is>
      </c>
      <c r="J68" s="15" t="inlineStr">
        <is>
          <t>More than twenty communities, all inside Greater Houston, taking a standard plan set.</t>
        </is>
      </c>
      <c r="K68" s="14" t="inlineStr">
        <is>
          <t>Partly</t>
        </is>
      </c>
      <c r="L68" s="15" t="inlineStr">
        <is>
          <t>540 closings in 2025 and 552 in 2024 across about twenty communities. Two machines would carry a fifth of output at most.</t>
        </is>
      </c>
      <c r="M68" s="14" t="inlineStr">
        <is>
          <t>No</t>
        </is>
      </c>
      <c r="N68" s="15" t="inlineStr">
        <is>
          <t>No method evidence. The published positioning is price and floor plan, not construction.</t>
        </is>
      </c>
      <c r="O68" s="14" t="inlineStr">
        <is>
          <t>No</t>
        </is>
      </c>
      <c r="P68" s="6" t="inlineStr">
        <is>
          <t>https://www.linkedin.com/in/robert-davis-684517136/</t>
        </is>
      </c>
      <c r="Q68" s="12" t="inlineStr"/>
      <c r="R68" s="16">
        <f>IF(P68="","ADD LINKEDIN","ok")</f>
        <v/>
      </c>
      <c r="S68" s="12" t="inlineStr">
        <is>
          <t>https://www.colinahomes.com/</t>
        </is>
      </c>
      <c r="T68" s="15" t="inlineStr">
        <is>
          <t>540 closings in 2025 and 552 in 2024 on a no-haggle affordable model. A named director of construction.</t>
        </is>
      </c>
      <c r="U68"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8" s="12" t="inlineStr">
        <is>
          <t>YES</t>
        </is>
      </c>
      <c r="W68" s="15" t="inlineStr">
        <is>
          <t>Indexed title reads Robert Davis, Director of Construction, Colina Homes.</t>
        </is>
      </c>
      <c r="X68" s="12" t="inlineStr"/>
      <c r="Y68" s="12" t="inlineStr"/>
      <c r="Z68" s="12" t="inlineStr"/>
    </row>
    <row r="69">
      <c r="A69" s="6" t="inlineStr">
        <is>
          <t>Greg Grahmann</t>
        </is>
      </c>
      <c r="B69" s="6" t="inlineStr">
        <is>
          <t>Imagination Homes</t>
        </is>
      </c>
      <c r="C69" s="6" t="inlineStr">
        <is>
          <t>Director, Imagination Homes; Division President, David Weekley Homes</t>
        </is>
      </c>
      <c r="D69" s="7" t="inlineStr">
        <is>
          <t>Worth pursuing, one gap</t>
        </is>
      </c>
      <c r="E69" s="8" t="n">
        <v>2</v>
      </c>
      <c r="F69" s="6" t="inlineStr">
        <is>
          <t>Buys walls</t>
        </is>
      </c>
      <c r="G69" s="6" t="inlineStr">
        <is>
          <t>Meridiana, Rosharon</t>
        </is>
      </c>
      <c r="H69" s="6" t="inlineStr">
        <is>
          <t>Entry-level, launched 2025</t>
        </is>
      </c>
      <c r="I69" s="8" t="inlineStr">
        <is>
          <t>Yes</t>
        </is>
      </c>
      <c r="J69" s="9" t="inlineStr">
        <is>
          <t>A deliberately narrow curated plan set aimed at first-time buyers and right-sizers.</t>
        </is>
      </c>
      <c r="K69" s="8" t="inlineStr">
        <is>
          <t>Partly</t>
        </is>
      </c>
      <c r="L69" s="9" t="inlineStr">
        <is>
          <t>A David Weekley Homes line, so purchasing sits with a national builder. One machine would cover the brand's output; the decision would not be the brand's alone.</t>
        </is>
      </c>
      <c r="M69" s="8" t="inlineStr">
        <is>
          <t>No</t>
        </is>
      </c>
      <c r="N69" s="9" t="inlineStr">
        <is>
          <t>The strategy is explicitly about attainability, so a wall cost saving lands on the stated strategy.</t>
        </is>
      </c>
      <c r="O69" s="8" t="inlineStr">
        <is>
          <t>No</t>
        </is>
      </c>
      <c r="P69" s="10" t="inlineStr"/>
      <c r="Q69" s="6">
        <f>HYPERLINK("https://www.linkedin.com/search/results/people/?keywords=Greg%20Grahmann%20Imagination%20Homes","search")</f>
        <v/>
      </c>
      <c r="R69" s="11">
        <f>IF(P69="","ADD LINKEDIN","ok")</f>
        <v/>
      </c>
      <c r="S69" s="6" t="inlineStr">
        <is>
          <t>https://imaginationhomes.com/</t>
        </is>
      </c>
      <c r="T69" s="9" t="inlineStr">
        <is>
          <t>A 2025 David Weekley Homes line built around attainable entry-level product with a curated plan set, selling at Meridiana.</t>
        </is>
      </c>
      <c r="U69" s="9" t="inlineStr">
        <is>
          <t>Launched in 2025 and headquartered in Dallas. No volume figure exists yet, which is expected rather than a gap. | A builder with no installed method and no legacy trade base is the cheapest kind to convert. | Imagination Homes is a David Weekley Homes line for entry-level product, and Greg Grahmann is a David Weekley division president. The wall decision runs through the parent.</t>
        </is>
      </c>
      <c r="V69" s="6" t="inlineStr"/>
      <c r="W69" s="9" t="inlineStr">
        <is>
          <t>Builder names him director at Imagination Homes. He joined David Weekley Homes in 2013 and is separately listed as a division president there.</t>
        </is>
      </c>
      <c r="X69" s="6" t="inlineStr">
        <is>
          <t>https://www.builderonline.com/builder-100/strategy/imagination-homes-targets-attainable-entry-level-housing-in-texas/</t>
        </is>
      </c>
      <c r="Y69" s="6" t="inlineStr"/>
      <c r="Z69" s="6" t="inlineStr"/>
    </row>
    <row r="70">
      <c r="A70" s="12" t="inlineStr">
        <is>
          <t>Greg Hawes</t>
        </is>
      </c>
      <c r="B70" s="12" t="inlineStr">
        <is>
          <t>Jamestown Estate Homes</t>
        </is>
      </c>
      <c r="C70" s="12" t="inlineStr">
        <is>
          <t>Founder; Manager on the firm's own page, President on LinkedIn</t>
        </is>
      </c>
      <c r="D70" s="13" t="inlineStr">
        <is>
          <t>Worth pursuing, one gap</t>
        </is>
      </c>
      <c r="E70" s="14" t="n">
        <v>2</v>
      </c>
      <c r="F70" s="12" t="inlineStr">
        <is>
          <t>Buys walls</t>
        </is>
      </c>
      <c r="G70" s="12" t="inlineStr">
        <is>
          <t>Houston, 16 communities</t>
        </is>
      </c>
      <c r="H70" s="12" t="inlineStr">
        <is>
          <t>20 homes and $22 million in 2020, the latest published</t>
        </is>
      </c>
      <c r="I70" s="14" t="inlineStr">
        <is>
          <t>Partly</t>
        </is>
      </c>
      <c r="J70" s="15" t="inlineStr">
        <is>
          <t>Eighty-two plans for about seventy-five houses a year. The catalogue is wider than the output.</t>
        </is>
      </c>
      <c r="K70" s="14" t="inlineStr">
        <is>
          <t>Yes</t>
        </is>
      </c>
      <c r="L70" s="15" t="inlineStr">
        <is>
          <t>About seventy-five homes a year, stated by the firm. One machine would carry most of it.</t>
        </is>
      </c>
      <c r="M70" s="14" t="inlineStr">
        <is>
          <t>No</t>
        </is>
      </c>
      <c r="N70" s="15" t="inlineStr">
        <is>
          <t>No method evidence. The published build time is eight to ten months, which is the number a printed wall argument would have to move.</t>
        </is>
      </c>
      <c r="O70" s="14" t="inlineStr">
        <is>
          <t>No</t>
        </is>
      </c>
      <c r="P70" s="6" t="inlineStr">
        <is>
          <t>https://www.linkedin.com/in/greg-hawes-86423023/</t>
        </is>
      </c>
      <c r="Q70" s="12" t="inlineStr"/>
      <c r="R70" s="16">
        <f>IF(P70="","ADD LINKEDIN","ok")</f>
        <v/>
      </c>
      <c r="S70" s="12" t="inlineStr">
        <is>
          <t>https://jamestownestatehomes.com/</t>
        </is>
      </c>
      <c r="T70" s="15" t="inlineStr">
        <is>
          <t>About seventy-five homes a year against eighty-two floor plans, which is close to one plan per house. Volume fits a machine; the catalogue does not.</t>
        </is>
      </c>
      <c r="U70"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0" s="12" t="inlineStr"/>
      <c r="W70"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70" s="12" t="inlineStr">
        <is>
          <t>https://jamestownestatehomes.com/team/greg-hawes/</t>
        </is>
      </c>
      <c r="Y70" s="12" t="inlineStr"/>
      <c r="Z70" s="12" t="inlineStr"/>
    </row>
    <row r="71">
      <c r="A71" s="6" t="inlineStr">
        <is>
          <t>Katy Hawes</t>
        </is>
      </c>
      <c r="B71" s="6" t="inlineStr">
        <is>
          <t>Jamestown Estate Homes</t>
        </is>
      </c>
      <c r="C71" s="6" t="inlineStr">
        <is>
          <t>Co-President</t>
        </is>
      </c>
      <c r="D71" s="7" t="inlineStr">
        <is>
          <t>Worth pursuing, one gap</t>
        </is>
      </c>
      <c r="E71" s="8" t="n">
        <v>2</v>
      </c>
      <c r="F71" s="6" t="inlineStr">
        <is>
          <t>Buys walls</t>
        </is>
      </c>
      <c r="G71" s="6" t="inlineStr">
        <is>
          <t>Houston, 16 communities</t>
        </is>
      </c>
      <c r="H71" s="6" t="inlineStr">
        <is>
          <t>20 homes and $22 million in 2020, the latest published</t>
        </is>
      </c>
      <c r="I71" s="8" t="inlineStr">
        <is>
          <t>Partly</t>
        </is>
      </c>
      <c r="J71" s="9" t="inlineStr">
        <is>
          <t>Eighty-two plans for about seventy-five houses a year. The catalogue is wider than the output.</t>
        </is>
      </c>
      <c r="K71" s="8" t="inlineStr">
        <is>
          <t>Yes</t>
        </is>
      </c>
      <c r="L71" s="9" t="inlineStr">
        <is>
          <t>About seventy-five homes a year, stated by the firm. One machine would carry most of it.</t>
        </is>
      </c>
      <c r="M71" s="8" t="inlineStr">
        <is>
          <t>No</t>
        </is>
      </c>
      <c r="N71" s="9" t="inlineStr">
        <is>
          <t>No method evidence. The published build time is eight to ten months, which is the number a printed wall argument would have to move.</t>
        </is>
      </c>
      <c r="O71" s="8" t="inlineStr">
        <is>
          <t>No</t>
        </is>
      </c>
      <c r="P71" s="10" t="inlineStr"/>
      <c r="Q71" s="6">
        <f>HYPERLINK("https://www.linkedin.com/search/results/people/?keywords=Katy%20Hawes%20Jamestown%20Estate%20Homes","search")</f>
        <v/>
      </c>
      <c r="R71" s="11">
        <f>IF(P71="","ADD LINKEDIN","ok")</f>
        <v/>
      </c>
      <c r="S71" s="6" t="inlineStr">
        <is>
          <t>https://jamestownestatehomes.com/</t>
        </is>
      </c>
      <c r="T71" s="9" t="inlineStr">
        <is>
          <t>About seventy-five homes a year against eighty-two floor plans, which is close to one plan per house. Volume fits a machine; the catalogue does not.</t>
        </is>
      </c>
      <c r="U71"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1" s="6" t="inlineStr"/>
      <c r="W71" s="9" t="inlineStr">
        <is>
          <t>Team page: Co-President.</t>
        </is>
      </c>
      <c r="X71" s="6" t="inlineStr">
        <is>
          <t>https://jamestownestatehomes.com/team/katy-hawes/</t>
        </is>
      </c>
      <c r="Y71" s="6" t="inlineStr"/>
      <c r="Z71" s="6" t="inlineStr"/>
    </row>
    <row r="72">
      <c r="A72" s="12" t="inlineStr">
        <is>
          <t>Matt Norris</t>
        </is>
      </c>
      <c r="B72" s="12" t="inlineStr">
        <is>
          <t>Jamestown Estate Homes</t>
        </is>
      </c>
      <c r="C72" s="12" t="inlineStr">
        <is>
          <t>Co-President</t>
        </is>
      </c>
      <c r="D72" s="13" t="inlineStr">
        <is>
          <t>Worth pursuing, one gap</t>
        </is>
      </c>
      <c r="E72" s="14" t="n">
        <v>2</v>
      </c>
      <c r="F72" s="12" t="inlineStr">
        <is>
          <t>Buys walls</t>
        </is>
      </c>
      <c r="G72" s="12" t="inlineStr">
        <is>
          <t>Houston, 16 communities</t>
        </is>
      </c>
      <c r="H72" s="12" t="inlineStr">
        <is>
          <t>20 homes and $22 million in 2020, the latest published</t>
        </is>
      </c>
      <c r="I72" s="14" t="inlineStr">
        <is>
          <t>Partly</t>
        </is>
      </c>
      <c r="J72" s="15" t="inlineStr">
        <is>
          <t>Eighty-two plans for about seventy-five houses a year. The catalogue is wider than the output.</t>
        </is>
      </c>
      <c r="K72" s="14" t="inlineStr">
        <is>
          <t>Yes</t>
        </is>
      </c>
      <c r="L72" s="15" t="inlineStr">
        <is>
          <t>About seventy-five homes a year, stated by the firm. One machine would carry most of it.</t>
        </is>
      </c>
      <c r="M72" s="14" t="inlineStr">
        <is>
          <t>No</t>
        </is>
      </c>
      <c r="N72" s="15" t="inlineStr">
        <is>
          <t>No method evidence. The published build time is eight to ten months, which is the number a printed wall argument would have to move.</t>
        </is>
      </c>
      <c r="O72" s="14" t="inlineStr">
        <is>
          <t>No</t>
        </is>
      </c>
      <c r="P72" s="10" t="inlineStr"/>
      <c r="Q72" s="12">
        <f>HYPERLINK("https://www.linkedin.com/search/results/people/?keywords=Matt%20Norris%20Jamestown%20Estate%20Homes","search")</f>
        <v/>
      </c>
      <c r="R72" s="16">
        <f>IF(P72="","ADD LINKEDIN","ok")</f>
        <v/>
      </c>
      <c r="S72" s="12" t="inlineStr">
        <is>
          <t>https://jamestownestatehomes.com/</t>
        </is>
      </c>
      <c r="T72" s="15" t="inlineStr">
        <is>
          <t>About seventy-five homes a year against eighty-two floor plans, which is close to one plan per house. Volume fits a machine; the catalogue does not.</t>
        </is>
      </c>
      <c r="U72"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2" s="12" t="inlineStr"/>
      <c r="W72" s="15" t="inlineStr">
        <is>
          <t>Team page: Co-President.</t>
        </is>
      </c>
      <c r="X72" s="12" t="inlineStr">
        <is>
          <t>https://jamestownestatehomes.com/team/matt-norris/</t>
        </is>
      </c>
      <c r="Y72" s="12" t="inlineStr"/>
      <c r="Z72" s="12" t="inlineStr"/>
    </row>
    <row r="73">
      <c r="A73" s="6" t="inlineStr">
        <is>
          <t>Mike Dishberger</t>
        </is>
      </c>
      <c r="B73" s="6" t="inlineStr">
        <is>
          <t>Sandcastle Homes</t>
        </is>
      </c>
      <c r="C73" s="6" t="inlineStr">
        <is>
          <t>Chief Executive Officer and Co-Owner; oversees construction and purchasing</t>
        </is>
      </c>
      <c r="D73" s="7" t="inlineStr">
        <is>
          <t>Worth pursuing, one gap</t>
        </is>
      </c>
      <c r="E73" s="8" t="n">
        <v>2</v>
      </c>
      <c r="F73" s="6" t="inlineStr">
        <is>
          <t>Buys walls</t>
        </is>
      </c>
      <c r="G73" s="6" t="inlineStr">
        <is>
          <t>Inner Loop Houston</t>
        </is>
      </c>
      <c r="H73" s="6" t="inlineStr">
        <is>
          <t>40 to 60 homes a year on the firm's own count</t>
        </is>
      </c>
      <c r="I73" s="8" t="inlineStr">
        <is>
          <t>Partly</t>
        </is>
      </c>
      <c r="J73" s="9" t="inlineStr">
        <is>
          <t>Infill lots scattered across six inner-loop neighbourhoods rather than one site.</t>
        </is>
      </c>
      <c r="K73" s="8" t="inlineStr">
        <is>
          <t>Yes</t>
        </is>
      </c>
      <c r="L73" s="9" t="inlineStr">
        <is>
          <t>About fifty closings a year. One machine covers most of that, if it can be moved economically.</t>
        </is>
      </c>
      <c r="M73" s="8" t="inlineStr">
        <is>
          <t>No</t>
        </is>
      </c>
      <c r="N73" s="9" t="inlineStr">
        <is>
          <t>It runs land through final inspection in house, so no third party sits in a method decision.</t>
        </is>
      </c>
      <c r="O73" s="8" t="inlineStr">
        <is>
          <t>No</t>
        </is>
      </c>
      <c r="P73" s="6" t="inlineStr">
        <is>
          <t>https://www.linkedin.com/in/mike-dishberger-01b66b9/</t>
        </is>
      </c>
      <c r="Q73" s="6" t="inlineStr"/>
      <c r="R73" s="11">
        <f>IF(P73="","ADD LINKEDIN","ok")</f>
        <v/>
      </c>
      <c r="S73" s="6" t="inlineStr">
        <is>
          <t>https://www.sandcastlehouston.com/</t>
        </is>
      </c>
      <c r="T73" s="9" t="inlineStr">
        <is>
          <t>About fifty homes a year, stated by the firm, on small infill sites rather than in one community. The volume fits a machine; the sites are scattered.</t>
        </is>
      </c>
      <c r="U73"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3" s="6" t="inlineStr">
        <is>
          <t>YES</t>
        </is>
      </c>
      <c r="W73"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73" s="6" t="inlineStr">
        <is>
          <t>https://www.sandcastlehouston.com/about-sandcastle/meet-our-team/</t>
        </is>
      </c>
      <c r="Y73" s="6" t="inlineStr"/>
      <c r="Z73" s="6" t="inlineStr"/>
    </row>
    <row r="74">
      <c r="A74" s="12" t="inlineStr">
        <is>
          <t>Mike Salomon</t>
        </is>
      </c>
      <c r="B74" s="12" t="inlineStr">
        <is>
          <t>Sandcastle Homes</t>
        </is>
      </c>
      <c r="C74" s="12" t="inlineStr">
        <is>
          <t>President and Co-Owner</t>
        </is>
      </c>
      <c r="D74" s="13" t="inlineStr">
        <is>
          <t>Worth pursuing, one gap</t>
        </is>
      </c>
      <c r="E74" s="14" t="n">
        <v>2</v>
      </c>
      <c r="F74" s="12" t="inlineStr">
        <is>
          <t>Buys walls</t>
        </is>
      </c>
      <c r="G74" s="12" t="inlineStr">
        <is>
          <t>Inner Loop Houston</t>
        </is>
      </c>
      <c r="H74" s="12" t="inlineStr">
        <is>
          <t>40 to 60 homes a year on the firm's own count</t>
        </is>
      </c>
      <c r="I74" s="14" t="inlineStr">
        <is>
          <t>Partly</t>
        </is>
      </c>
      <c r="J74" s="15" t="inlineStr">
        <is>
          <t>Infill lots scattered across six inner-loop neighbourhoods rather than one site.</t>
        </is>
      </c>
      <c r="K74" s="14" t="inlineStr">
        <is>
          <t>Yes</t>
        </is>
      </c>
      <c r="L74" s="15" t="inlineStr">
        <is>
          <t>About fifty closings a year. One machine covers most of that, if it can be moved economically.</t>
        </is>
      </c>
      <c r="M74" s="14" t="inlineStr">
        <is>
          <t>No</t>
        </is>
      </c>
      <c r="N74" s="15" t="inlineStr">
        <is>
          <t>It runs land through final inspection in house, so no third party sits in a method decision.</t>
        </is>
      </c>
      <c r="O74" s="14" t="inlineStr">
        <is>
          <t>No</t>
        </is>
      </c>
      <c r="P74" s="6" t="inlineStr">
        <is>
          <t>https://www.linkedin.com/in/mike-salomon-389b902a/</t>
        </is>
      </c>
      <c r="Q74" s="12" t="inlineStr"/>
      <c r="R74" s="16">
        <f>IF(P74="","ADD LINKEDIN","ok")</f>
        <v/>
      </c>
      <c r="S74" s="12" t="inlineStr">
        <is>
          <t>https://www.sandcastlehouston.com/</t>
        </is>
      </c>
      <c r="T74" s="15" t="inlineStr">
        <is>
          <t>About fifty homes a year, stated by the firm, on small infill sites rather than in one community. The volume fits a machine; the sites are scattered.</t>
        </is>
      </c>
      <c r="U74"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4" s="12" t="inlineStr"/>
      <c r="W74" s="15" t="inlineStr">
        <is>
          <t>Indexed title reads Mike Salomon, Owner, Sandcastle Homes, Inc. The firm's team page: President and Co-Owner, over land, sales and business development. Team page: President and Co-Owner, managing land acquisition, sales and business development.</t>
        </is>
      </c>
      <c r="X74" s="12" t="inlineStr">
        <is>
          <t>https://www.sandcastlehouston.com/about-sandcastle/meet-our-team/</t>
        </is>
      </c>
      <c r="Y74" s="12" t="inlineStr"/>
      <c r="Z74" s="12" t="inlineStr"/>
    </row>
    <row r="75">
      <c r="A75" s="6" t="inlineStr">
        <is>
          <t>Christian Sommer</t>
        </is>
      </c>
      <c r="B75" s="6" t="inlineStr">
        <is>
          <t>Tricoast Homes</t>
        </is>
      </c>
      <c r="C75" s="6" t="inlineStr">
        <is>
          <t>President and Chief Executive Officer</t>
        </is>
      </c>
      <c r="D75" s="7" t="inlineStr">
        <is>
          <t>Worth pursuing, one gap</t>
        </is>
      </c>
      <c r="E75" s="8" t="n">
        <v>2</v>
      </c>
      <c r="F75" s="6" t="inlineStr">
        <is>
          <t>Buys walls</t>
        </is>
      </c>
      <c r="G75" s="6" t="inlineStr">
        <is>
          <t>Houston, multi-county</t>
        </is>
      </c>
      <c r="H75" s="6" t="inlineStr">
        <is>
          <t>Seven floor plans across ten communities</t>
        </is>
      </c>
      <c r="I75" s="8" t="inlineStr">
        <is>
          <t>Yes</t>
        </is>
      </c>
      <c r="J75" s="9" t="inlineStr">
        <is>
          <t>Seven floor plans carried across ten communities. Plan repetition is the operating model.</t>
        </is>
      </c>
      <c r="K75" s="8" t="inlineStr">
        <is>
          <t>Partly</t>
        </is>
      </c>
      <c r="L75" s="9" t="inlineStr">
        <is>
          <t>No closings figure is published. A 2020 startup may not yet be at machine scale.</t>
        </is>
      </c>
      <c r="M75" s="8" t="inlineStr">
        <is>
          <t>No</t>
        </is>
      </c>
      <c r="N75" s="9" t="inlineStr">
        <is>
          <t>Every home gets internal and third-party energy verification, which is a process discipline rather than a method change.</t>
        </is>
      </c>
      <c r="O75" s="8" t="inlineStr">
        <is>
          <t>No</t>
        </is>
      </c>
      <c r="P75" s="10" t="inlineStr"/>
      <c r="Q75" s="6">
        <f>HYPERLINK("https://www.linkedin.com/search/results/people/?keywords=Christian%20Sommer%20Tricoast%20Homes","search")</f>
        <v/>
      </c>
      <c r="R75" s="11">
        <f>IF(P75="","ADD LINKEDIN","ok")</f>
        <v/>
      </c>
      <c r="S75" s="6" t="inlineStr">
        <is>
          <t>https://www.tricoasthomes.com/</t>
        </is>
      </c>
      <c r="T75" s="9" t="inlineStr">
        <is>
          <t>Seven plans, ten communities, founded 2020. No closings figure to size it against.</t>
        </is>
      </c>
      <c r="U75"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5" s="6" t="inlineStr"/>
      <c r="W75" s="9" t="inlineStr"/>
      <c r="X75" s="6" t="inlineStr"/>
      <c r="Y75" s="6" t="inlineStr"/>
      <c r="Z75" s="6" t="inlineStr"/>
    </row>
    <row r="76">
      <c r="A76" s="12" t="inlineStr">
        <is>
          <t>Keith Blum</t>
        </is>
      </c>
      <c r="B76" s="12" t="inlineStr">
        <is>
          <t>Tricoast Homes</t>
        </is>
      </c>
      <c r="C76" s="12" t="inlineStr">
        <is>
          <t>Executive Vice President and Chief Operating Officer</t>
        </is>
      </c>
      <c r="D76" s="13" t="inlineStr">
        <is>
          <t>Worth pursuing, one gap</t>
        </is>
      </c>
      <c r="E76" s="14" t="n">
        <v>2</v>
      </c>
      <c r="F76" s="12" t="inlineStr">
        <is>
          <t>Buys walls</t>
        </is>
      </c>
      <c r="G76" s="12" t="inlineStr">
        <is>
          <t>Houston, multi-county</t>
        </is>
      </c>
      <c r="H76" s="12" t="inlineStr">
        <is>
          <t>Seven floor plans across ten communities</t>
        </is>
      </c>
      <c r="I76" s="14" t="inlineStr">
        <is>
          <t>Yes</t>
        </is>
      </c>
      <c r="J76" s="15" t="inlineStr">
        <is>
          <t>Seven floor plans carried across ten communities. Plan repetition is the operating model.</t>
        </is>
      </c>
      <c r="K76" s="14" t="inlineStr">
        <is>
          <t>Partly</t>
        </is>
      </c>
      <c r="L76" s="15" t="inlineStr">
        <is>
          <t>No closings figure is published. A 2020 startup may not yet be at machine scale.</t>
        </is>
      </c>
      <c r="M76" s="14" t="inlineStr">
        <is>
          <t>No</t>
        </is>
      </c>
      <c r="N76" s="15" t="inlineStr">
        <is>
          <t>Every home gets internal and third-party energy verification, which is a process discipline rather than a method change.</t>
        </is>
      </c>
      <c r="O76" s="14" t="inlineStr">
        <is>
          <t>No</t>
        </is>
      </c>
      <c r="P76" s="10" t="inlineStr"/>
      <c r="Q76" s="12">
        <f>HYPERLINK("https://www.linkedin.com/search/results/people/?keywords=Keith%20Blum%20Tricoast%20Homes","search")</f>
        <v/>
      </c>
      <c r="R76" s="16">
        <f>IF(P76="","ADD LINKEDIN","ok")</f>
        <v/>
      </c>
      <c r="S76" s="12" t="inlineStr">
        <is>
          <t>https://www.tricoasthomes.com/</t>
        </is>
      </c>
      <c r="T76" s="15" t="inlineStr">
        <is>
          <t>Seven plans, ten communities, founded 2020. No closings figure to size it against.</t>
        </is>
      </c>
      <c r="U76"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6" s="12" t="inlineStr"/>
      <c r="W76" s="15" t="inlineStr"/>
      <c r="X76" s="12" t="inlineStr"/>
      <c r="Y76" s="12" t="inlineStr"/>
      <c r="Z76" s="12" t="inlineStr"/>
    </row>
    <row r="77">
      <c r="A77" s="6" t="inlineStr">
        <is>
          <t>Christina Wright</t>
        </is>
      </c>
      <c r="B77" s="6" t="inlineStr">
        <is>
          <t>Tricoast Homes</t>
        </is>
      </c>
      <c r="C77" s="6" t="inlineStr">
        <is>
          <t>Director of Purchasing</t>
        </is>
      </c>
      <c r="D77" s="7" t="inlineStr">
        <is>
          <t>Worth pursuing, one gap</t>
        </is>
      </c>
      <c r="E77" s="8" t="n">
        <v>2</v>
      </c>
      <c r="F77" s="6" t="inlineStr">
        <is>
          <t>Buys walls</t>
        </is>
      </c>
      <c r="G77" s="6" t="inlineStr">
        <is>
          <t>Houston, multi-county</t>
        </is>
      </c>
      <c r="H77" s="6" t="inlineStr">
        <is>
          <t>Seven floor plans across ten communities</t>
        </is>
      </c>
      <c r="I77" s="8" t="inlineStr">
        <is>
          <t>Yes</t>
        </is>
      </c>
      <c r="J77" s="9" t="inlineStr">
        <is>
          <t>Seven floor plans carried across ten communities. Plan repetition is the operating model.</t>
        </is>
      </c>
      <c r="K77" s="8" t="inlineStr">
        <is>
          <t>Partly</t>
        </is>
      </c>
      <c r="L77" s="9" t="inlineStr">
        <is>
          <t>No closings figure is published. A 2020 startup may not yet be at machine scale.</t>
        </is>
      </c>
      <c r="M77" s="8" t="inlineStr">
        <is>
          <t>No</t>
        </is>
      </c>
      <c r="N77" s="9" t="inlineStr">
        <is>
          <t>Every home gets internal and third-party energy verification, which is a process discipline rather than a method change.</t>
        </is>
      </c>
      <c r="O77" s="8" t="inlineStr">
        <is>
          <t>No</t>
        </is>
      </c>
      <c r="P77" s="6" t="inlineStr">
        <is>
          <t>https://www.linkedin.com/in/christina-wright-4786b223/</t>
        </is>
      </c>
      <c r="Q77" s="6" t="inlineStr"/>
      <c r="R77" s="11">
        <f>IF(P77="","ADD LINKEDIN","ok")</f>
        <v/>
      </c>
      <c r="S77" s="6" t="inlineStr">
        <is>
          <t>https://www.tricoasthomes.com/</t>
        </is>
      </c>
      <c r="T77" s="9" t="inlineStr">
        <is>
          <t>Seven plans, ten communities, founded 2020. No closings figure to size it against.</t>
        </is>
      </c>
      <c r="U77"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7" s="6" t="inlineStr">
        <is>
          <t>YES</t>
        </is>
      </c>
      <c r="W77" s="9" t="inlineStr">
        <is>
          <t>Indexed title reads Christina Wright, Director of Purchasing at Tricoast Homes.</t>
        </is>
      </c>
      <c r="X77" s="6" t="inlineStr"/>
      <c r="Y77" s="6" t="inlineStr"/>
      <c r="Z77" s="6" t="inlineStr"/>
    </row>
    <row r="78">
      <c r="A78" s="12" t="inlineStr">
        <is>
          <t>Leon J. Backes</t>
        </is>
      </c>
      <c r="B78" s="12" t="inlineStr">
        <is>
          <t>Provident Realty Advisors</t>
        </is>
      </c>
      <c r="C78" s="12" t="inlineStr">
        <is>
          <t>Founder and Chief Executive Officer</t>
        </is>
      </c>
      <c r="D78" s="13" t="inlineStr">
        <is>
          <t>Worth pursuing, one gap</t>
        </is>
      </c>
      <c r="E78" s="14" t="n">
        <v>2</v>
      </c>
      <c r="F78" s="12" t="inlineStr">
        <is>
          <t>Funds it</t>
        </is>
      </c>
      <c r="G78" s="12" t="inlineStr">
        <is>
          <t>Dallas HQ / Baytown, Harris-Chambers</t>
        </is>
      </c>
      <c r="H78" s="12" t="inlineStr">
        <is>
          <t>$7.5B invested since 1991</t>
        </is>
      </c>
      <c r="I78" s="14" t="inlineStr">
        <is>
          <t>Partly</t>
        </is>
      </c>
      <c r="J78" s="15" t="inlineStr">
        <is>
          <t>parcHAUS funds seven single-family rental communities across Texas.</t>
        </is>
      </c>
      <c r="K78" s="14" t="inlineStr">
        <is>
          <t>Partly</t>
        </is>
      </c>
      <c r="L78" s="15" t="inlineStr">
        <is>
          <t>Seven rental communities funded under one Houston director. The firm is run from Dallas.</t>
        </is>
      </c>
      <c r="M78" s="14" t="inlineStr">
        <is>
          <t>No</t>
        </is>
      </c>
      <c r="N78" s="15" t="inlineStr">
        <is>
          <t>No method evidence found.</t>
        </is>
      </c>
      <c r="O78" s="14" t="inlineStr">
        <is>
          <t>Yes</t>
        </is>
      </c>
      <c r="P78" s="10" t="inlineStr"/>
      <c r="Q78" s="12">
        <f>HYPERLINK("https://www.linkedin.com/search/results/people/?keywords=Leon%20J.%20Backes%20Provident%20Realty%20Advisors","search")</f>
        <v/>
      </c>
      <c r="R78" s="16">
        <f>IF(P78="","ADD LINKEDIN","ok")</f>
        <v/>
      </c>
      <c r="S78" s="12" t="inlineStr">
        <is>
          <t>https://provident.net/</t>
        </is>
      </c>
      <c r="T78" s="15" t="inlineStr">
        <is>
          <t>$7.5B invested and parcHAUS funds seven rental communities under a named Houston director. No Houston site named.</t>
        </is>
      </c>
      <c r="U78" s="15" t="inlineStr">
        <is>
          <t>Portfolio figures are company-stated. | No parcHAUS Houston-area site named in public sources. Houston build-to-rent presence is programme-level only.</t>
        </is>
      </c>
      <c r="V78" s="12" t="inlineStr"/>
      <c r="W78" s="15" t="inlineStr">
        <is>
          <t>Founder and Chief Executive Officer, named on the firm's team page.</t>
        </is>
      </c>
      <c r="X78" s="12" t="inlineStr">
        <is>
          <t>https://provident.net/our-team/</t>
        </is>
      </c>
      <c r="Y78" s="12" t="inlineStr">
        <is>
          <t>https://www.linkedin.com/company/provident-realty-advisors</t>
        </is>
      </c>
      <c r="Z78" s="12" t="inlineStr">
        <is>
          <t>https://provident.net/our-team/</t>
        </is>
      </c>
    </row>
    <row r="79">
      <c r="A79" s="6" t="inlineStr">
        <is>
          <t>Christen Vestal</t>
        </is>
      </c>
      <c r="B79" s="6" t="inlineStr">
        <is>
          <t>Provident Realty Advisors</t>
        </is>
      </c>
      <c r="C79" s="6" t="inlineStr">
        <is>
          <t>Director of Development and Acquisitions, Houston</t>
        </is>
      </c>
      <c r="D79" s="7" t="inlineStr">
        <is>
          <t>Worth pursuing, one gap</t>
        </is>
      </c>
      <c r="E79" s="8" t="n">
        <v>2</v>
      </c>
      <c r="F79" s="6" t="inlineStr">
        <is>
          <t>Funds it</t>
        </is>
      </c>
      <c r="G79" s="6" t="inlineStr">
        <is>
          <t>Dallas HQ / Baytown, Harris-Chambers</t>
        </is>
      </c>
      <c r="H79" s="6" t="inlineStr">
        <is>
          <t>$7.5B invested since 1991</t>
        </is>
      </c>
      <c r="I79" s="8" t="inlineStr">
        <is>
          <t>Partly</t>
        </is>
      </c>
      <c r="J79" s="9" t="inlineStr">
        <is>
          <t>parcHAUS funds seven single-family rental communities across Texas.</t>
        </is>
      </c>
      <c r="K79" s="8" t="inlineStr">
        <is>
          <t>Partly</t>
        </is>
      </c>
      <c r="L79" s="9" t="inlineStr">
        <is>
          <t>Seven rental communities funded under one Houston director. The firm is run from Dallas.</t>
        </is>
      </c>
      <c r="M79" s="8" t="inlineStr">
        <is>
          <t>No</t>
        </is>
      </c>
      <c r="N79" s="9" t="inlineStr">
        <is>
          <t>No method evidence found.</t>
        </is>
      </c>
      <c r="O79" s="8" t="inlineStr">
        <is>
          <t>Yes</t>
        </is>
      </c>
      <c r="P79" s="10" t="inlineStr"/>
      <c r="Q79" s="6">
        <f>HYPERLINK("https://www.linkedin.com/search/results/people/?keywords=Christen%20Vestal%20Provident%20Realty%20Advisors","search")</f>
        <v/>
      </c>
      <c r="R79" s="11">
        <f>IF(P79="","ADD LINKEDIN","ok")</f>
        <v/>
      </c>
      <c r="S79" s="6" t="inlineStr">
        <is>
          <t>https://provident.net/</t>
        </is>
      </c>
      <c r="T79" s="9" t="inlineStr">
        <is>
          <t>$7.5B invested and parcHAUS funds seven rental communities under a named Houston director. No Houston site named.</t>
        </is>
      </c>
      <c r="U79" s="9" t="inlineStr">
        <is>
          <t>Portfolio figures are company-stated. | No parcHAUS Houston-area site named in public sources. Houston build-to-rent presence is programme-level only.</t>
        </is>
      </c>
      <c r="V79" s="6" t="inlineStr"/>
      <c r="W79" s="9" t="inlineStr">
        <is>
          <t>Hired to lead Provident's new Houston office as its first female development partner. She does not appear on the firm's current team page, so treat the role as needing confirmation.</t>
        </is>
      </c>
      <c r="X79" s="6" t="inlineStr">
        <is>
          <t>https://www.bisnow.com/houston/news/industrial/provident-realty-advisors-hires-christen-vestal-to-lead-forthcoming-houston-office-116393</t>
        </is>
      </c>
      <c r="Y79" s="6" t="inlineStr">
        <is>
          <t>https://www.linkedin.com/company/provident-realty-advisors</t>
        </is>
      </c>
      <c r="Z79" s="6" t="inlineStr">
        <is>
          <t>https://provident.net/our-team/</t>
        </is>
      </c>
    </row>
    <row r="80">
      <c r="A80" s="12" t="inlineStr">
        <is>
          <t>Jennifer Keller, P.E.</t>
        </is>
      </c>
      <c r="B80" s="12" t="inlineStr">
        <is>
          <t>Risewell Homes</t>
        </is>
      </c>
      <c r="C80" s="12" t="inlineStr">
        <is>
          <t>Division President, Houston</t>
        </is>
      </c>
      <c r="D80" s="13" t="inlineStr">
        <is>
          <t>Worth pursuing, one gap</t>
        </is>
      </c>
      <c r="E80" s="14" t="n">
        <v>2</v>
      </c>
      <c r="F80" s="12" t="inlineStr">
        <is>
          <t>Buys walls</t>
        </is>
      </c>
      <c r="G80" s="12" t="inlineStr">
        <is>
          <t>Sunterra, Katy</t>
        </is>
      </c>
      <c r="H80" s="12" t="inlineStr">
        <is>
          <t>Formerly The New Home Company</t>
        </is>
      </c>
      <c r="I80" s="14" t="inlineStr">
        <is>
          <t>Partly</t>
        </is>
      </c>
      <c r="J80" s="15" t="inlineStr">
        <is>
          <t>One Houston community confirmed, Sunterra. Too early to read the plan strategy.</t>
        </is>
      </c>
      <c r="K80" s="14" t="inlineStr">
        <is>
          <t>Partly</t>
        </is>
      </c>
      <c r="L80" s="15" t="inlineStr">
        <is>
          <t>Eleven divisions nationally means purchasing scale above the band a single machine serves.</t>
        </is>
      </c>
      <c r="M80" s="14" t="inlineStr">
        <is>
          <t>No</t>
        </is>
      </c>
      <c r="N80" s="15" t="inlineStr">
        <is>
          <t>The division president is a professional engineer, which is rare and matters for a method conversation.</t>
        </is>
      </c>
      <c r="O80" s="14" t="inlineStr">
        <is>
          <t>Yes</t>
        </is>
      </c>
      <c r="P80" s="6" t="inlineStr">
        <is>
          <t>https://www.linkedin.com/in/jenniferkeller/</t>
        </is>
      </c>
      <c r="Q80" s="12" t="inlineStr"/>
      <c r="R80" s="16">
        <f>IF(P80="","ADD LINKEDIN","ok")</f>
        <v/>
      </c>
      <c r="S80" s="12" t="inlineStr">
        <is>
          <t>https://risewellhomes.com/</t>
        </is>
      </c>
      <c r="T80" s="15" t="inlineStr">
        <is>
          <t>A national platform with a Houston division president who is a licensed engineer. One community identified so far.</t>
        </is>
      </c>
      <c r="U80"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0" s="12" t="inlineStr"/>
      <c r="W80" s="15" t="inlineStr">
        <is>
          <t>Indexed title reads Jennifer Keller, P.E., Division President, Risewell Homes. The firm's team page lists her as Houston Division President. Executive team page lists her under Division Presidents as Houston Division President.</t>
        </is>
      </c>
      <c r="X80" s="12" t="inlineStr">
        <is>
          <t>https://www.risewellhomes.com/team</t>
        </is>
      </c>
      <c r="Y80" s="12" t="inlineStr"/>
      <c r="Z80" s="12" t="inlineStr"/>
    </row>
    <row r="81">
      <c r="A81" s="6" t="inlineStr">
        <is>
          <t>Matthew R. Zaist</t>
        </is>
      </c>
      <c r="B81" s="6" t="inlineStr">
        <is>
          <t>Risewell Homes</t>
        </is>
      </c>
      <c r="C81" s="6" t="inlineStr">
        <is>
          <t>President and Chief Executive Officer</t>
        </is>
      </c>
      <c r="D81" s="7" t="inlineStr">
        <is>
          <t>Worth pursuing, one gap</t>
        </is>
      </c>
      <c r="E81" s="8" t="n">
        <v>2</v>
      </c>
      <c r="F81" s="6" t="inlineStr">
        <is>
          <t>Buys walls</t>
        </is>
      </c>
      <c r="G81" s="6" t="inlineStr">
        <is>
          <t>Sunterra, Katy</t>
        </is>
      </c>
      <c r="H81" s="6" t="inlineStr">
        <is>
          <t>Formerly The New Home Company</t>
        </is>
      </c>
      <c r="I81" s="8" t="inlineStr">
        <is>
          <t>Partly</t>
        </is>
      </c>
      <c r="J81" s="9" t="inlineStr">
        <is>
          <t>One Houston community confirmed, Sunterra. Too early to read the plan strategy.</t>
        </is>
      </c>
      <c r="K81" s="8" t="inlineStr">
        <is>
          <t>Partly</t>
        </is>
      </c>
      <c r="L81" s="9" t="inlineStr">
        <is>
          <t>Eleven divisions nationally means purchasing scale above the band a single machine serves.</t>
        </is>
      </c>
      <c r="M81" s="8" t="inlineStr">
        <is>
          <t>No</t>
        </is>
      </c>
      <c r="N81" s="9" t="inlineStr">
        <is>
          <t>The division president is a professional engineer, which is rare and matters for a method conversation.</t>
        </is>
      </c>
      <c r="O81" s="8" t="inlineStr">
        <is>
          <t>Yes</t>
        </is>
      </c>
      <c r="P81" s="6" t="inlineStr">
        <is>
          <t>https://www.linkedin.com/in/matthew-zaist-01949696/</t>
        </is>
      </c>
      <c r="Q81" s="6" t="inlineStr"/>
      <c r="R81" s="11">
        <f>IF(P81="","ADD LINKEDIN","ok")</f>
        <v/>
      </c>
      <c r="S81" s="6" t="inlineStr">
        <is>
          <t>https://risewellhomes.com/</t>
        </is>
      </c>
      <c r="T81" s="9" t="inlineStr">
        <is>
          <t>A national platform with a Houston division president who is a licensed engineer. One community identified so far.</t>
        </is>
      </c>
      <c r="U81"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1" s="6" t="inlineStr"/>
      <c r="W81" s="9" t="inlineStr">
        <is>
          <t>Indexed title reads Matthew Zaist, President and CEO at Risewell Homes. Confirmed on the firm's team page. Executive team page: President and Chief Executive Officer.</t>
        </is>
      </c>
      <c r="X81" s="6" t="inlineStr">
        <is>
          <t>https://www.risewellhomes.com/team</t>
        </is>
      </c>
      <c r="Y81" s="6" t="inlineStr"/>
      <c r="Z81" s="6" t="inlineStr"/>
    </row>
    <row r="82">
      <c r="A82" s="12" t="inlineStr">
        <is>
          <t>James Kotzur</t>
        </is>
      </c>
      <c r="B82" s="12" t="inlineStr">
        <is>
          <t>Coventry Homes</t>
        </is>
      </c>
      <c r="C82" s="12" t="inlineStr">
        <is>
          <t>Division President, Coventry Homes (Dream Finders Homes)</t>
        </is>
      </c>
      <c r="D82" s="13" t="inlineStr">
        <is>
          <t>Worth pursuing, one gap</t>
        </is>
      </c>
      <c r="E82" s="14" t="n">
        <v>2</v>
      </c>
      <c r="F82" s="12" t="inlineStr">
        <is>
          <t>Buys walls</t>
        </is>
      </c>
      <c r="G82" s="12" t="inlineStr">
        <is>
          <t>Houston HQ, Harris County</t>
        </is>
      </c>
      <c r="H82" s="12" t="inlineStr">
        <is>
          <t>~100 communities, 55,000+ homes closed</t>
        </is>
      </c>
      <c r="I82" s="14" t="inlineStr">
        <is>
          <t>Partly</t>
        </is>
      </c>
      <c r="J82" s="15" t="inlineStr">
        <is>
          <t>Close to 100 communities, 55,000 homes company-wide.</t>
        </is>
      </c>
      <c r="K82" s="14" t="inlineStr">
        <is>
          <t>Partly</t>
        </is>
      </c>
      <c r="L82" s="15" t="inlineStr">
        <is>
          <t>Two Houston divisions inside Dream Finders, so the volume fits and the purchasing may not be local.</t>
        </is>
      </c>
      <c r="M82" s="14" t="inlineStr">
        <is>
          <t>No</t>
        </is>
      </c>
      <c r="N82" s="15" t="inlineStr">
        <is>
          <t>No method evidence, and no named executive was found either.</t>
        </is>
      </c>
      <c r="O82" s="14" t="inlineStr">
        <is>
          <t>Partly</t>
        </is>
      </c>
      <c r="P82" s="6" t="inlineStr">
        <is>
          <t>https://www.linkedin.com/in/james-kotzur-748107224/</t>
        </is>
      </c>
      <c r="Q82" s="12" t="inlineStr"/>
      <c r="R82" s="16">
        <f>IF(P82="","ADD LINKEDIN","ok")</f>
        <v/>
      </c>
      <c r="S82" s="12" t="inlineStr">
        <is>
          <t>https://www.coventryhomes.com/</t>
        </is>
      </c>
      <c r="T82" s="15" t="inlineStr">
        <is>
          <t>100 communities and a listed parent, but no named executive was found, so there is no contact to call.</t>
        </is>
      </c>
      <c r="U82" s="15"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2" s="12" t="inlineStr"/>
      <c r="W82" s="15" t="inlineStr">
        <is>
          <t>Division President at DFH - Coventry Homes. Houston, Texas. First named executive found for this firm, and the DFH prefix identifies the parent.</t>
        </is>
      </c>
      <c r="X82" s="12" t="inlineStr"/>
      <c r="Y82" s="12" t="inlineStr">
        <is>
          <t>https://www.linkedin.com/company/coventryhomes</t>
        </is>
      </c>
      <c r="Z82" s="12" t="inlineStr"/>
    </row>
    <row r="83">
      <c r="A83" s="6" t="inlineStr">
        <is>
          <t>Brian Grigsby</t>
        </is>
      </c>
      <c r="B83" s="6" t="inlineStr">
        <is>
          <t>Coventry Homes</t>
        </is>
      </c>
      <c r="C83" s="6" t="inlineStr">
        <is>
          <t>Division President, Houston South, Coventry Homes (Dream Finders Homes)</t>
        </is>
      </c>
      <c r="D83" s="7" t="inlineStr">
        <is>
          <t>Worth pursuing, one gap</t>
        </is>
      </c>
      <c r="E83" s="8" t="n">
        <v>2</v>
      </c>
      <c r="F83" s="6" t="inlineStr">
        <is>
          <t>Buys walls</t>
        </is>
      </c>
      <c r="G83" s="6" t="inlineStr">
        <is>
          <t>Houston HQ, Harris County</t>
        </is>
      </c>
      <c r="H83" s="6" t="inlineStr">
        <is>
          <t>~100 communities, 55,000+ homes closed</t>
        </is>
      </c>
      <c r="I83" s="8" t="inlineStr">
        <is>
          <t>Partly</t>
        </is>
      </c>
      <c r="J83" s="9" t="inlineStr">
        <is>
          <t>Close to 100 communities, 55,000 homes company-wide.</t>
        </is>
      </c>
      <c r="K83" s="8" t="inlineStr">
        <is>
          <t>Partly</t>
        </is>
      </c>
      <c r="L83" s="9" t="inlineStr">
        <is>
          <t>Two Houston divisions inside Dream Finders, so the volume fits and the purchasing may not be local.</t>
        </is>
      </c>
      <c r="M83" s="8" t="inlineStr">
        <is>
          <t>No</t>
        </is>
      </c>
      <c r="N83" s="9" t="inlineStr">
        <is>
          <t>No method evidence, and no named executive was found either.</t>
        </is>
      </c>
      <c r="O83" s="8" t="inlineStr">
        <is>
          <t>Partly</t>
        </is>
      </c>
      <c r="P83" s="6" t="inlineStr">
        <is>
          <t>https://www.linkedin.com/in/brian-grigsby-859a97285/</t>
        </is>
      </c>
      <c r="Q83" s="6" t="inlineStr"/>
      <c r="R83" s="11">
        <f>IF(P83="","ADD LINKEDIN","ok")</f>
        <v/>
      </c>
      <c r="S83" s="6" t="inlineStr">
        <is>
          <t>https://www.coventryhomes.com/</t>
        </is>
      </c>
      <c r="T83" s="9" t="inlineStr">
        <is>
          <t>100 communities and a listed parent, but no named executive was found, so there is no contact to call.</t>
        </is>
      </c>
      <c r="U83" s="9"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3" s="6" t="inlineStr"/>
      <c r="W83" s="9" t="inlineStr">
        <is>
          <t>Division President - Houston South @ Dream Finders Homes - Coventry Homes.</t>
        </is>
      </c>
      <c r="X83" s="6" t="inlineStr"/>
      <c r="Y83" s="6" t="inlineStr">
        <is>
          <t>https://www.linkedin.com/company/coventryhomes</t>
        </is>
      </c>
      <c r="Z83" s="6" t="inlineStr"/>
    </row>
    <row r="84">
      <c r="A84" s="12" t="inlineStr">
        <is>
          <t>Jeff Dye</t>
        </is>
      </c>
      <c r="B84" s="12" t="inlineStr">
        <is>
          <t>Newmark Homes</t>
        </is>
      </c>
      <c r="C84" s="12" t="inlineStr">
        <is>
          <t>President</t>
        </is>
      </c>
      <c r="D84" s="13" t="inlineStr">
        <is>
          <t>Worth pursuing, one gap</t>
        </is>
      </c>
      <c r="E84" s="14" t="n">
        <v>2</v>
      </c>
      <c r="F84" s="12" t="inlineStr">
        <is>
          <t>Buys walls</t>
        </is>
      </c>
      <c r="G84" s="12" t="inlineStr">
        <is>
          <t>Katy</t>
        </is>
      </c>
      <c r="H84" s="12" t="inlineStr">
        <is>
          <t>483 closings and $306 million in 2025</t>
        </is>
      </c>
      <c r="I84" s="14" t="inlineStr">
        <is>
          <t>Partly</t>
        </is>
      </c>
      <c r="J84" s="15" t="inlineStr">
        <is>
          <t>More than 150 named plans across more than twenty communities. The plan set is the problem here.</t>
        </is>
      </c>
      <c r="K84" s="14" t="inlineStr">
        <is>
          <t>Partly</t>
        </is>
      </c>
      <c r="L84" s="15" t="inlineStr">
        <is>
          <t>483 closings in 2025 and 511 in 2024. The volume supports machines; the dispersion does not.</t>
        </is>
      </c>
      <c r="M84" s="14" t="inlineStr">
        <is>
          <t>No</t>
        </is>
      </c>
      <c r="N84" s="15" t="inlineStr">
        <is>
          <t>It runs a proprietary energy programme under its own name, and a separate custom division for one-off work, so the production line is deliberately kept separate.</t>
        </is>
      </c>
      <c r="O84" s="14" t="inlineStr">
        <is>
          <t>Partly</t>
        </is>
      </c>
      <c r="P84" s="10" t="inlineStr"/>
      <c r="Q84" s="12">
        <f>HYPERLINK("https://www.linkedin.com/search/results/people/?keywords=Jeff%20Dye%20Newmark%20Homes","search")</f>
        <v/>
      </c>
      <c r="R84" s="16">
        <f>IF(P84="","ADD LINKEDIN","ok")</f>
        <v/>
      </c>
      <c r="S84" s="12" t="inlineStr">
        <is>
          <t>https://newmarkhomes.com/</t>
        </is>
      </c>
      <c r="T84" s="15" t="inlineStr">
        <is>
          <t>483 closings in 2025 across more than twenty communities and more than 150 plans. A president is named; no construction or purchasing lead is published.</t>
        </is>
      </c>
      <c r="U84" s="15"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84" s="12" t="inlineStr"/>
      <c r="W84" s="15" t="inlineStr">
        <is>
          <t>Houston Agent, February 2020: Jeff Dye assumed the position of president after 21 years with the firm.</t>
        </is>
      </c>
      <c r="X84" s="12" t="inlineStr">
        <is>
          <t>https://houstonagentmagazine.com/2020/02/06/making-moves-newmark-homes-appoints-top-leaders-edward-jones-becomes-latest-tenant-bridgeland/</t>
        </is>
      </c>
      <c r="Y84" s="12" t="inlineStr"/>
      <c r="Z84" s="12" t="inlineStr"/>
    </row>
    <row r="85">
      <c r="A85" s="6" t="inlineStr">
        <is>
          <t>Frank Sitterle, Jr.</t>
        </is>
      </c>
      <c r="B85" s="6" t="inlineStr">
        <is>
          <t>Sitterle Homes</t>
        </is>
      </c>
      <c r="C85" s="6" t="inlineStr">
        <is>
          <t>President and co-owner</t>
        </is>
      </c>
      <c r="D85" s="7" t="inlineStr">
        <is>
          <t>Worth pursuing, one gap</t>
        </is>
      </c>
      <c r="E85" s="8" t="n">
        <v>2</v>
      </c>
      <c r="F85" s="6" t="inlineStr">
        <is>
          <t>Buys walls</t>
        </is>
      </c>
      <c r="G85" s="6" t="inlineStr">
        <is>
          <t>San Antonio, building in Houston</t>
        </is>
      </c>
      <c r="H85" s="6" t="inlineStr">
        <is>
          <t>372 closings company-wide in 2022, no Houston figure</t>
        </is>
      </c>
      <c r="I85" s="8" t="inlineStr">
        <is>
          <t>Partly</t>
        </is>
      </c>
      <c r="J85" s="9" t="inlineStr">
        <is>
          <t>Four Houston communities out of a four-market footprint. The plan catalogue is shared across all four.</t>
        </is>
      </c>
      <c r="K85" s="8" t="inlineStr">
        <is>
          <t>Partly</t>
        </is>
      </c>
      <c r="L85" s="9" t="inlineStr">
        <is>
          <t>No volume figure. Houston is secondary to San Antonio, so the local share is small.</t>
        </is>
      </c>
      <c r="M85" s="8" t="inlineStr">
        <is>
          <t>No</t>
        </is>
      </c>
      <c r="N85" s="9" t="inlineStr">
        <is>
          <t>No method evidence.</t>
        </is>
      </c>
      <c r="O85" s="8" t="inlineStr">
        <is>
          <t>Partly</t>
        </is>
      </c>
      <c r="P85" s="6" t="inlineStr">
        <is>
          <t>https://www.linkedin.com/in/frank-sitterle-071b8246/</t>
        </is>
      </c>
      <c r="Q85" s="6" t="inlineStr"/>
      <c r="R85" s="11">
        <f>IF(P85="","ADD LINKEDIN","ok")</f>
        <v/>
      </c>
      <c r="S85" s="6" t="inlineStr">
        <is>
          <t>https://www.sitterlehomes.com/</t>
        </is>
      </c>
      <c r="T85" s="9" t="inlineStr">
        <is>
          <t>Four Houston communities from a San Antonio base, with a named director of purchasing. Houston is the secondary market.</t>
        </is>
      </c>
      <c r="U85"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5" s="6" t="inlineStr"/>
      <c r="W85" s="9" t="inlineStr">
        <is>
          <t>Indexed title reads Frank Sitterle, President, Sitterle Homes. The firm's about page has him acquiring the company in 2005 with Jeff Buell.</t>
        </is>
      </c>
      <c r="X85" s="6" t="inlineStr"/>
      <c r="Y85" s="6" t="inlineStr"/>
      <c r="Z85" s="6" t="inlineStr"/>
    </row>
    <row r="86">
      <c r="A86" s="12" t="inlineStr">
        <is>
          <t>India Kinslow</t>
        </is>
      </c>
      <c r="B86" s="12" t="inlineStr">
        <is>
          <t>Sitterle Homes</t>
        </is>
      </c>
      <c r="C86" s="12" t="inlineStr">
        <is>
          <t>Director of Purchasing</t>
        </is>
      </c>
      <c r="D86" s="13" t="inlineStr">
        <is>
          <t>Worth pursuing, one gap</t>
        </is>
      </c>
      <c r="E86" s="14" t="n">
        <v>2</v>
      </c>
      <c r="F86" s="12" t="inlineStr">
        <is>
          <t>Buys walls</t>
        </is>
      </c>
      <c r="G86" s="12" t="inlineStr">
        <is>
          <t>San Antonio, building in Houston</t>
        </is>
      </c>
      <c r="H86" s="12" t="inlineStr">
        <is>
          <t>372 closings company-wide in 2022, no Houston figure</t>
        </is>
      </c>
      <c r="I86" s="14" t="inlineStr">
        <is>
          <t>Partly</t>
        </is>
      </c>
      <c r="J86" s="15" t="inlineStr">
        <is>
          <t>Four Houston communities out of a four-market footprint. The plan catalogue is shared across all four.</t>
        </is>
      </c>
      <c r="K86" s="14" t="inlineStr">
        <is>
          <t>Partly</t>
        </is>
      </c>
      <c r="L86" s="15" t="inlineStr">
        <is>
          <t>No volume figure. Houston is secondary to San Antonio, so the local share is small.</t>
        </is>
      </c>
      <c r="M86" s="14" t="inlineStr">
        <is>
          <t>No</t>
        </is>
      </c>
      <c r="N86" s="15" t="inlineStr">
        <is>
          <t>No method evidence.</t>
        </is>
      </c>
      <c r="O86" s="14" t="inlineStr">
        <is>
          <t>Partly</t>
        </is>
      </c>
      <c r="P86" s="10" t="inlineStr"/>
      <c r="Q86" s="12">
        <f>HYPERLINK("https://www.linkedin.com/search/results/people/?keywords=India%20Kinslow%20Sitterle%20Homes","search")</f>
        <v/>
      </c>
      <c r="R86" s="16">
        <f>IF(P86="","ADD LINKEDIN","ok")</f>
        <v/>
      </c>
      <c r="S86" s="12" t="inlineStr">
        <is>
          <t>https://www.sitterlehomes.com/</t>
        </is>
      </c>
      <c r="T86" s="15" t="inlineStr">
        <is>
          <t>Four Houston communities from a San Antonio base, with a named director of purchasing. Houston is the secondary market.</t>
        </is>
      </c>
      <c r="U86"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6" s="12" t="inlineStr"/>
      <c r="W86" s="15" t="inlineStr"/>
      <c r="X86" s="12" t="inlineStr"/>
      <c r="Y86" s="12" t="inlineStr"/>
      <c r="Z86" s="12" t="inlineStr"/>
    </row>
    <row r="87">
      <c r="A87" s="6" t="inlineStr">
        <is>
          <t>Chris Hightower</t>
        </is>
      </c>
      <c r="B87" s="6" t="inlineStr">
        <is>
          <t>Sitterle Homes</t>
        </is>
      </c>
      <c r="C87" s="6" t="inlineStr">
        <is>
          <t>Division President, Houston</t>
        </is>
      </c>
      <c r="D87" s="7" t="inlineStr">
        <is>
          <t>Worth pursuing, one gap</t>
        </is>
      </c>
      <c r="E87" s="8" t="n">
        <v>2</v>
      </c>
      <c r="F87" s="6" t="inlineStr">
        <is>
          <t>Buys walls</t>
        </is>
      </c>
      <c r="G87" s="6" t="inlineStr">
        <is>
          <t>San Antonio, building in Houston</t>
        </is>
      </c>
      <c r="H87" s="6" t="inlineStr">
        <is>
          <t>372 closings company-wide in 2022, no Houston figure</t>
        </is>
      </c>
      <c r="I87" s="8" t="inlineStr">
        <is>
          <t>Partly</t>
        </is>
      </c>
      <c r="J87" s="9" t="inlineStr">
        <is>
          <t>Four Houston communities out of a four-market footprint. The plan catalogue is shared across all four.</t>
        </is>
      </c>
      <c r="K87" s="8" t="inlineStr">
        <is>
          <t>Partly</t>
        </is>
      </c>
      <c r="L87" s="9" t="inlineStr">
        <is>
          <t>No volume figure. Houston is secondary to San Antonio, so the local share is small.</t>
        </is>
      </c>
      <c r="M87" s="8" t="inlineStr">
        <is>
          <t>No</t>
        </is>
      </c>
      <c r="N87" s="9" t="inlineStr">
        <is>
          <t>No method evidence.</t>
        </is>
      </c>
      <c r="O87" s="8" t="inlineStr">
        <is>
          <t>Partly</t>
        </is>
      </c>
      <c r="P87" s="6" t="inlineStr">
        <is>
          <t>https://www.linkedin.com/in/chris-hightower-029b45112/</t>
        </is>
      </c>
      <c r="Q87" s="6" t="inlineStr"/>
      <c r="R87" s="11">
        <f>IF(P87="","ADD LINKEDIN","ok")</f>
        <v/>
      </c>
      <c r="S87" s="6" t="inlineStr">
        <is>
          <t>https://www.sitterlehomes.com/</t>
        </is>
      </c>
      <c r="T87" s="9" t="inlineStr">
        <is>
          <t>Four Houston communities from a San Antonio base, with a named director of purchasing. Houston is the secondary market.</t>
        </is>
      </c>
      <c r="U87"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7" s="6" t="inlineStr"/>
      <c r="W87" s="9" t="inlineStr">
        <is>
          <t>Indexed title reads Chris Hightower, Division President at Sitterle Homes. The GHBA member directory lists him as Division President, Houston.</t>
        </is>
      </c>
      <c r="X87" s="6" t="inlineStr"/>
      <c r="Y87" s="6" t="inlineStr"/>
      <c r="Z87" s="6" t="inlineStr"/>
    </row>
    <row r="88">
      <c r="A88" s="12" t="inlineStr">
        <is>
          <t>Tim Drone</t>
        </is>
      </c>
      <c r="B88" s="12" t="inlineStr">
        <is>
          <t>J. Patrick Homes</t>
        </is>
      </c>
      <c r="C88" s="12" t="inlineStr">
        <is>
          <t>President</t>
        </is>
      </c>
      <c r="D88" s="13" t="inlineStr">
        <is>
          <t>Worth pursuing, one gap</t>
        </is>
      </c>
      <c r="E88" s="14" t="n">
        <v>2</v>
      </c>
      <c r="F88" s="12" t="inlineStr">
        <is>
          <t>Buys walls</t>
        </is>
      </c>
      <c r="G88" s="12" t="inlineStr">
        <is>
          <t>Houston, 12 submarkets</t>
        </is>
      </c>
      <c r="H88" s="12" t="inlineStr">
        <is>
          <t>Volume Builder of the Year, 12 submarkets</t>
        </is>
      </c>
      <c r="I88" s="14" t="inlineStr">
        <is>
          <t>Partly</t>
        </is>
      </c>
      <c r="J88" s="15" t="inlineStr">
        <is>
          <t>Twelve submarkets is wide for a builder this size, which spreads the plan set thin.</t>
        </is>
      </c>
      <c r="K88" s="14" t="inlineStr">
        <is>
          <t>Partly</t>
        </is>
      </c>
      <c r="L88" s="15" t="inlineStr">
        <is>
          <t>No closings figure is published anywhere, so the machine question cannot be sized.</t>
        </is>
      </c>
      <c r="M88" s="14" t="inlineStr">
        <is>
          <t>No</t>
        </is>
      </c>
      <c r="N88" s="15" t="inlineStr">
        <is>
          <t>Energy Star and Environments for Living certification, with whole-home dehumidifiers standard. A firm that pays for third-party verification has paid for something unproven before.</t>
        </is>
      </c>
      <c r="O88" s="14" t="inlineStr">
        <is>
          <t>No</t>
        </is>
      </c>
      <c r="P88" s="10" t="inlineStr"/>
      <c r="Q88" s="12">
        <f>HYPERLINK("https://www.linkedin.com/search/results/people/?keywords=Tim%20Drone%20J.%20Patrick%20Homes","search")</f>
        <v/>
      </c>
      <c r="R88" s="16">
        <f>IF(P88="","ADD LINKEDIN","ok")</f>
        <v/>
      </c>
      <c r="S88" s="12" t="inlineStr">
        <is>
          <t>https://www.jpatrickhomes.com/</t>
        </is>
      </c>
      <c r="T88" s="15" t="inlineStr">
        <is>
          <t>A semi-custom builder that won a volume award and publishes no volume. Named purchasing and construction managers.</t>
        </is>
      </c>
      <c r="U88" s="15" t="inlineStr">
        <is>
          <t>The four names come from a contact-data aggregator rather than the firm's own site, which publishes no leadership page. Confirm each before use. | No annual volume is published. No LinkedIn profile is held for Patrick Mustoe or Art Maya.</t>
        </is>
      </c>
      <c r="V88" s="12" t="inlineStr"/>
      <c r="W88" s="15" t="inlineStr">
        <is>
          <t>Quoted as President Tim Drone in February 2026 coverage of the firm's small-lot product.</t>
        </is>
      </c>
      <c r="X88" s="12" t="inlineStr">
        <is>
          <t>https://houstonagentmagazine.com/2026/02/10/j-patrick-homes-small-lots-grange/</t>
        </is>
      </c>
      <c r="Y88" s="12" t="inlineStr"/>
      <c r="Z88" s="12" t="inlineStr"/>
    </row>
    <row r="89">
      <c r="A89" s="6" t="inlineStr">
        <is>
          <t>Patrick Mustoe</t>
        </is>
      </c>
      <c r="B89" s="6" t="inlineStr">
        <is>
          <t>J. Patrick Homes</t>
        </is>
      </c>
      <c r="C89" s="6" t="inlineStr">
        <is>
          <t>Owner</t>
        </is>
      </c>
      <c r="D89" s="7" t="inlineStr">
        <is>
          <t>Worth pursuing, one gap</t>
        </is>
      </c>
      <c r="E89" s="8" t="n">
        <v>2</v>
      </c>
      <c r="F89" s="6" t="inlineStr">
        <is>
          <t>Buys walls</t>
        </is>
      </c>
      <c r="G89" s="6" t="inlineStr">
        <is>
          <t>Houston, 12 submarkets</t>
        </is>
      </c>
      <c r="H89" s="6" t="inlineStr">
        <is>
          <t>Volume Builder of the Year, 12 submarkets</t>
        </is>
      </c>
      <c r="I89" s="8" t="inlineStr">
        <is>
          <t>Partly</t>
        </is>
      </c>
      <c r="J89" s="9" t="inlineStr">
        <is>
          <t>Twelve submarkets is wide for a builder this size, which spreads the plan set thin.</t>
        </is>
      </c>
      <c r="K89" s="8" t="inlineStr">
        <is>
          <t>Partly</t>
        </is>
      </c>
      <c r="L89" s="9" t="inlineStr">
        <is>
          <t>No closings figure is published anywhere, so the machine question cannot be sized.</t>
        </is>
      </c>
      <c r="M89" s="8" t="inlineStr">
        <is>
          <t>No</t>
        </is>
      </c>
      <c r="N89" s="9" t="inlineStr">
        <is>
          <t>Energy Star and Environments for Living certification, with whole-home dehumidifiers standard. A firm that pays for third-party verification has paid for something unproven before.</t>
        </is>
      </c>
      <c r="O89" s="8" t="inlineStr">
        <is>
          <t>No</t>
        </is>
      </c>
      <c r="P89" s="10" t="inlineStr"/>
      <c r="Q89" s="6">
        <f>HYPERLINK("https://www.linkedin.com/search/results/people/?keywords=Patrick%20Mustoe%20J.%20Patrick%20Homes","search")</f>
        <v/>
      </c>
      <c r="R89" s="11">
        <f>IF(P89="","ADD LINKEDIN","ok")</f>
        <v/>
      </c>
      <c r="S89" s="6" t="inlineStr">
        <is>
          <t>https://www.jpatrickhomes.com/</t>
        </is>
      </c>
      <c r="T89" s="9" t="inlineStr">
        <is>
          <t>A semi-custom builder that won a volume award and publishes no volume. Named purchasing and construction managers.</t>
        </is>
      </c>
      <c r="U89" s="9" t="inlineStr">
        <is>
          <t>The four names come from a contact-data aggregator rather than the firm's own site, which publishes no leadership page. Confirm each before use. | No annual volume is published. No LinkedIn profile is held for Patrick Mustoe or Art Maya.</t>
        </is>
      </c>
      <c r="V89" s="6" t="inlineStr"/>
      <c r="W89" s="9" t="inlineStr"/>
      <c r="X89" s="6" t="inlineStr"/>
      <c r="Y89" s="6" t="inlineStr"/>
      <c r="Z89" s="6" t="inlineStr"/>
    </row>
    <row r="90">
      <c r="A90" s="12" t="inlineStr">
        <is>
          <t>Bo Banowsky</t>
        </is>
      </c>
      <c r="B90" s="12" t="inlineStr">
        <is>
          <t>J. Patrick Homes</t>
        </is>
      </c>
      <c r="C90" s="12" t="inlineStr">
        <is>
          <t>Purchasing Manager</t>
        </is>
      </c>
      <c r="D90" s="13" t="inlineStr">
        <is>
          <t>Worth pursuing, one gap</t>
        </is>
      </c>
      <c r="E90" s="14" t="n">
        <v>2</v>
      </c>
      <c r="F90" s="12" t="inlineStr">
        <is>
          <t>Buys walls</t>
        </is>
      </c>
      <c r="G90" s="12" t="inlineStr">
        <is>
          <t>Houston, 12 submarkets</t>
        </is>
      </c>
      <c r="H90" s="12" t="inlineStr">
        <is>
          <t>Volume Builder of the Year, 12 submarkets</t>
        </is>
      </c>
      <c r="I90" s="14" t="inlineStr">
        <is>
          <t>Partly</t>
        </is>
      </c>
      <c r="J90" s="15" t="inlineStr">
        <is>
          <t>Twelve submarkets is wide for a builder this size, which spreads the plan set thin.</t>
        </is>
      </c>
      <c r="K90" s="14" t="inlineStr">
        <is>
          <t>Partly</t>
        </is>
      </c>
      <c r="L90" s="15" t="inlineStr">
        <is>
          <t>No closings figure is published anywhere, so the machine question cannot be sized.</t>
        </is>
      </c>
      <c r="M90" s="14" t="inlineStr">
        <is>
          <t>No</t>
        </is>
      </c>
      <c r="N90" s="15" t="inlineStr">
        <is>
          <t>Energy Star and Environments for Living certification, with whole-home dehumidifiers standard. A firm that pays for third-party verification has paid for something unproven before.</t>
        </is>
      </c>
      <c r="O90" s="14" t="inlineStr">
        <is>
          <t>No</t>
        </is>
      </c>
      <c r="P90" s="6" t="inlineStr">
        <is>
          <t>https://www.linkedin.com/in/bo-banowsky-3b11278/</t>
        </is>
      </c>
      <c r="Q90" s="12" t="inlineStr"/>
      <c r="R90" s="16">
        <f>IF(P90="","ADD LINKEDIN","ok")</f>
        <v/>
      </c>
      <c r="S90" s="12" t="inlineStr">
        <is>
          <t>https://www.jpatrickhomes.com/</t>
        </is>
      </c>
      <c r="T90" s="15" t="inlineStr">
        <is>
          <t>A semi-custom builder that won a volume award and publishes no volume. Named purchasing and construction managers.</t>
        </is>
      </c>
      <c r="U90" s="15" t="inlineStr">
        <is>
          <t>The four names come from a contact-data aggregator rather than the firm's own site, which publishes no leadership page. Confirm each before use. | No annual volume is published. No LinkedIn profile is held for Patrick Mustoe or Art Maya.</t>
        </is>
      </c>
      <c r="V90" s="12" t="inlineStr">
        <is>
          <t>YES</t>
        </is>
      </c>
      <c r="W90" s="15" t="inlineStr">
        <is>
          <t>Indexed title reads Bo Banowsky, Purchasing Manager, J. Patrick Homes.</t>
        </is>
      </c>
      <c r="X90" s="12" t="inlineStr"/>
      <c r="Y90" s="12" t="inlineStr"/>
      <c r="Z90" s="12" t="inlineStr"/>
    </row>
    <row r="91">
      <c r="A91" s="6" t="inlineStr">
        <is>
          <t>Art Maya</t>
        </is>
      </c>
      <c r="B91" s="6" t="inlineStr">
        <is>
          <t>J. Patrick Homes</t>
        </is>
      </c>
      <c r="C91" s="6" t="inlineStr">
        <is>
          <t>Construction Manager</t>
        </is>
      </c>
      <c r="D91" s="7" t="inlineStr">
        <is>
          <t>Worth pursuing, one gap</t>
        </is>
      </c>
      <c r="E91" s="8" t="n">
        <v>2</v>
      </c>
      <c r="F91" s="6" t="inlineStr">
        <is>
          <t>Buys walls</t>
        </is>
      </c>
      <c r="G91" s="6" t="inlineStr">
        <is>
          <t>Houston, 12 submarkets</t>
        </is>
      </c>
      <c r="H91" s="6" t="inlineStr">
        <is>
          <t>Volume Builder of the Year, 12 submarkets</t>
        </is>
      </c>
      <c r="I91" s="8" t="inlineStr">
        <is>
          <t>Partly</t>
        </is>
      </c>
      <c r="J91" s="9" t="inlineStr">
        <is>
          <t>Twelve submarkets is wide for a builder this size, which spreads the plan set thin.</t>
        </is>
      </c>
      <c r="K91" s="8" t="inlineStr">
        <is>
          <t>Partly</t>
        </is>
      </c>
      <c r="L91" s="9" t="inlineStr">
        <is>
          <t>No closings figure is published anywhere, so the machine question cannot be sized.</t>
        </is>
      </c>
      <c r="M91" s="8" t="inlineStr">
        <is>
          <t>No</t>
        </is>
      </c>
      <c r="N91" s="9" t="inlineStr">
        <is>
          <t>Energy Star and Environments for Living certification, with whole-home dehumidifiers standard. A firm that pays for third-party verification has paid for something unproven before.</t>
        </is>
      </c>
      <c r="O91" s="8" t="inlineStr">
        <is>
          <t>No</t>
        </is>
      </c>
      <c r="P91" s="10" t="inlineStr"/>
      <c r="Q91" s="6">
        <f>HYPERLINK("https://www.linkedin.com/search/results/people/?keywords=Art%20Maya%20J.%20Patrick%20Homes","search")</f>
        <v/>
      </c>
      <c r="R91" s="11">
        <f>IF(P91="","ADD LINKEDIN","ok")</f>
        <v/>
      </c>
      <c r="S91" s="6" t="inlineStr">
        <is>
          <t>https://www.jpatrickhomes.com/</t>
        </is>
      </c>
      <c r="T91" s="9" t="inlineStr">
        <is>
          <t>A semi-custom builder that won a volume award and publishes no volume. Named purchasing and construction managers.</t>
        </is>
      </c>
      <c r="U91" s="9" t="inlineStr">
        <is>
          <t>The four names come from a contact-data aggregator rather than the firm's own site, which publishes no leadership page. Confirm each before use. | No annual volume is published. No LinkedIn profile is held for Patrick Mustoe or Art Maya.</t>
        </is>
      </c>
      <c r="V91" s="6" t="inlineStr"/>
      <c r="W91" s="9" t="inlineStr"/>
      <c r="X91" s="6" t="inlineStr"/>
      <c r="Y91" s="6" t="inlineStr"/>
      <c r="Z91" s="6" t="inlineStr"/>
    </row>
    <row r="92">
      <c r="A92" s="12" t="inlineStr">
        <is>
          <t>Neil Joshi</t>
        </is>
      </c>
      <c r="B92" s="12" t="inlineStr">
        <is>
          <t>RSK Real Estate Partners</t>
        </is>
      </c>
      <c r="C92" s="12" t="inlineStr">
        <is>
          <t>Managing Member, RSK Real Estate Partners</t>
        </is>
      </c>
      <c r="D92" s="13" t="inlineStr">
        <is>
          <t>Worth pursuing, one gap</t>
        </is>
      </c>
      <c r="E92" s="14" t="n">
        <v>2</v>
      </c>
      <c r="F92" s="12" t="inlineStr">
        <is>
          <t>Buys walls</t>
        </is>
      </c>
      <c r="G92" s="12" t="inlineStr">
        <is>
          <t>Chicago HQ / Katy, Harris</t>
        </is>
      </c>
      <c r="H92" s="12" t="inlineStr"/>
      <c r="I92" s="14" t="inlineStr">
        <is>
          <t>Partly</t>
        </is>
      </c>
      <c r="J92" s="15" t="inlineStr">
        <is>
          <t>156 and 210 units on two Katy sites about a mile apart.</t>
        </is>
      </c>
      <c r="K92" s="14" t="inlineStr">
        <is>
          <t>Partly</t>
        </is>
      </c>
      <c r="L92" s="15" t="inlineStr">
        <is>
          <t>A small developer with its own vice president of construction, and no published unit count to size it.</t>
        </is>
      </c>
      <c r="M92" s="14" t="inlineStr">
        <is>
          <t>No</t>
        </is>
      </c>
      <c r="N92" s="15" t="inlineStr">
        <is>
          <t>No method evidence found.</t>
        </is>
      </c>
      <c r="O92" s="14" t="inlineStr">
        <is>
          <t>No</t>
        </is>
      </c>
      <c r="P92" s="10" t="inlineStr"/>
      <c r="Q92" s="12">
        <f>HYPERLINK("https://www.linkedin.com/search/results/people/?keywords=Neil%20Joshi%20RSK%20Real%20Estate%20Partners","search")</f>
        <v/>
      </c>
      <c r="R92" s="16">
        <f>IF(P92="","ADD LINKEDIN","ok")</f>
        <v/>
      </c>
      <c r="S92" s="12" t="inlineStr">
        <is>
          <t>https://rskrealestatepartners.com/</t>
        </is>
      </c>
      <c r="T92" s="15" t="inlineStr">
        <is>
          <t>Two Katy duplex projects a mile apart, 366 units. No capital figure and no method evidence.</t>
        </is>
      </c>
      <c r="U92" s="15" t="inlineStr"/>
      <c r="V92" s="12" t="inlineStr"/>
      <c r="W92" s="15" t="inlineStr">
        <is>
          <t>Managing Member.</t>
        </is>
      </c>
      <c r="X92" s="12" t="inlineStr">
        <is>
          <t>https://rskrealestatepartners.com/our-team/</t>
        </is>
      </c>
      <c r="Y92" s="12" t="inlineStr">
        <is>
          <t>https://www.linkedin.com/company/rsk-real-estate-partners</t>
        </is>
      </c>
      <c r="Z92" s="12" t="inlineStr">
        <is>
          <t>https://rskrealestatepartners.com/our-team/</t>
        </is>
      </c>
    </row>
    <row r="93">
      <c r="A93" s="6" t="inlineStr">
        <is>
          <t>Gregg Erickson</t>
        </is>
      </c>
      <c r="B93" s="6" t="inlineStr">
        <is>
          <t>RSK Real Estate Partners</t>
        </is>
      </c>
      <c r="C93" s="6" t="inlineStr">
        <is>
          <t>Vice President of Construction, RSK Real Estate Partners</t>
        </is>
      </c>
      <c r="D93" s="7" t="inlineStr">
        <is>
          <t>Worth pursuing, one gap</t>
        </is>
      </c>
      <c r="E93" s="8" t="n">
        <v>2</v>
      </c>
      <c r="F93" s="6" t="inlineStr">
        <is>
          <t>Buys walls</t>
        </is>
      </c>
      <c r="G93" s="6" t="inlineStr">
        <is>
          <t>Chicago HQ / Katy, Harris</t>
        </is>
      </c>
      <c r="H93" s="6" t="inlineStr"/>
      <c r="I93" s="8" t="inlineStr">
        <is>
          <t>Partly</t>
        </is>
      </c>
      <c r="J93" s="9" t="inlineStr">
        <is>
          <t>156 and 210 units on two Katy sites about a mile apart.</t>
        </is>
      </c>
      <c r="K93" s="8" t="inlineStr">
        <is>
          <t>Partly</t>
        </is>
      </c>
      <c r="L93" s="9" t="inlineStr">
        <is>
          <t>A small developer with its own vice president of construction, and no published unit count to size it.</t>
        </is>
      </c>
      <c r="M93" s="8" t="inlineStr">
        <is>
          <t>No</t>
        </is>
      </c>
      <c r="N93" s="9" t="inlineStr">
        <is>
          <t>No method evidence found.</t>
        </is>
      </c>
      <c r="O93" s="8" t="inlineStr">
        <is>
          <t>No</t>
        </is>
      </c>
      <c r="P93" s="10" t="inlineStr"/>
      <c r="Q93" s="6">
        <f>HYPERLINK("https://www.linkedin.com/search/results/people/?keywords=Gregg%20Erickson%20RSK%20Real%20Estate%20Partners","search")</f>
        <v/>
      </c>
      <c r="R93" s="11">
        <f>IF(P93="","ADD LINKEDIN","ok")</f>
        <v/>
      </c>
      <c r="S93" s="6" t="inlineStr">
        <is>
          <t>https://rskrealestatepartners.com/</t>
        </is>
      </c>
      <c r="T93" s="9" t="inlineStr">
        <is>
          <t>Two Katy duplex projects a mile apart, 366 units. No capital figure and no method evidence.</t>
        </is>
      </c>
      <c r="U93" s="9" t="inlineStr"/>
      <c r="V93" s="6" t="inlineStr">
        <is>
          <t>YES</t>
        </is>
      </c>
      <c r="W93" s="9" t="inlineStr">
        <is>
          <t>Vice President of Construction. RSK is a small firm that names its construction lead on its own team page, which larger builders do not.</t>
        </is>
      </c>
      <c r="X93" s="6" t="inlineStr">
        <is>
          <t>https://rskrealestatepartners.com/our-team/</t>
        </is>
      </c>
      <c r="Y93" s="6" t="inlineStr">
        <is>
          <t>https://www.linkedin.com/company/rsk-real-estate-partners</t>
        </is>
      </c>
      <c r="Z93" s="6" t="inlineStr">
        <is>
          <t>https://rskrealestatepartners.com/our-team/</t>
        </is>
      </c>
    </row>
    <row r="94">
      <c r="A94" s="12" t="inlineStr">
        <is>
          <t>Hannah Ripkey</t>
        </is>
      </c>
      <c r="B94" s="12" t="inlineStr">
        <is>
          <t>RSK Real Estate Partners</t>
        </is>
      </c>
      <c r="C94" s="12" t="inlineStr">
        <is>
          <t>Vice President of Development, RSK Real Estate Partners</t>
        </is>
      </c>
      <c r="D94" s="13" t="inlineStr">
        <is>
          <t>Worth pursuing, one gap</t>
        </is>
      </c>
      <c r="E94" s="14" t="n">
        <v>2</v>
      </c>
      <c r="F94" s="12" t="inlineStr">
        <is>
          <t>Buys walls</t>
        </is>
      </c>
      <c r="G94" s="12" t="inlineStr">
        <is>
          <t>Chicago HQ / Katy, Harris</t>
        </is>
      </c>
      <c r="H94" s="12" t="inlineStr"/>
      <c r="I94" s="14" t="inlineStr">
        <is>
          <t>Partly</t>
        </is>
      </c>
      <c r="J94" s="15" t="inlineStr">
        <is>
          <t>156 and 210 units on two Katy sites about a mile apart.</t>
        </is>
      </c>
      <c r="K94" s="14" t="inlineStr">
        <is>
          <t>Partly</t>
        </is>
      </c>
      <c r="L94" s="15" t="inlineStr">
        <is>
          <t>A small developer with its own vice president of construction, and no published unit count to size it.</t>
        </is>
      </c>
      <c r="M94" s="14" t="inlineStr">
        <is>
          <t>No</t>
        </is>
      </c>
      <c r="N94" s="15" t="inlineStr">
        <is>
          <t>No method evidence found.</t>
        </is>
      </c>
      <c r="O94" s="14" t="inlineStr">
        <is>
          <t>No</t>
        </is>
      </c>
      <c r="P94" s="10" t="inlineStr"/>
      <c r="Q94" s="12">
        <f>HYPERLINK("https://www.linkedin.com/search/results/people/?keywords=Hannah%20Ripkey%20RSK%20Real%20Estate%20Partners","search")</f>
        <v/>
      </c>
      <c r="R94" s="16">
        <f>IF(P94="","ADD LINKEDIN","ok")</f>
        <v/>
      </c>
      <c r="S94" s="12" t="inlineStr">
        <is>
          <t>https://rskrealestatepartners.com/</t>
        </is>
      </c>
      <c r="T94" s="15" t="inlineStr">
        <is>
          <t>Two Katy duplex projects a mile apart, 366 units. No capital figure and no method evidence.</t>
        </is>
      </c>
      <c r="U94" s="15" t="inlineStr"/>
      <c r="V94" s="12" t="inlineStr"/>
      <c r="W94" s="15" t="inlineStr">
        <is>
          <t>Vice President of Development.</t>
        </is>
      </c>
      <c r="X94" s="12" t="inlineStr">
        <is>
          <t>https://rskrealestatepartners.com/our-team/</t>
        </is>
      </c>
      <c r="Y94" s="12" t="inlineStr">
        <is>
          <t>https://www.linkedin.com/company/rsk-real-estate-partners</t>
        </is>
      </c>
      <c r="Z94" s="12" t="inlineStr">
        <is>
          <t>https://rskrealestatepartners.com/our-team/</t>
        </is>
      </c>
    </row>
    <row r="95">
      <c r="A95" s="6" t="inlineStr">
        <is>
          <t>Stephen Najvar</t>
        </is>
      </c>
      <c r="B95" s="6" t="inlineStr">
        <is>
          <t>Ravenna Homes</t>
        </is>
      </c>
      <c r="C95" s="6" t="inlineStr">
        <is>
          <t>President</t>
        </is>
      </c>
      <c r="D95" s="7" t="inlineStr">
        <is>
          <t>Worth pursuing, one gap</t>
        </is>
      </c>
      <c r="E95" s="8" t="n">
        <v>2</v>
      </c>
      <c r="F95" s="6" t="inlineStr">
        <is>
          <t>Buys walls</t>
        </is>
      </c>
      <c r="G95" s="6" t="inlineStr">
        <is>
          <t>Cypress</t>
        </is>
      </c>
      <c r="H95" s="6" t="inlineStr">
        <is>
          <t>Seven communities, from the $500,000s</t>
        </is>
      </c>
      <c r="I95" s="8" t="inlineStr">
        <is>
          <t>Partly</t>
        </is>
      </c>
      <c r="J95" s="9" t="inlineStr">
        <is>
          <t>Seven communities, all in the north and northwest corridor, which keeps the plan set together.</t>
        </is>
      </c>
      <c r="K95" s="8" t="inlineStr">
        <is>
          <t>Partly</t>
        </is>
      </c>
      <c r="L95" s="9" t="inlineStr">
        <is>
          <t>No closings figure is published. Price point above $500,000 implies volume below the machine band.</t>
        </is>
      </c>
      <c r="M95" s="8" t="inlineStr">
        <is>
          <t>No</t>
        </is>
      </c>
      <c r="N95" s="9" t="inlineStr">
        <is>
          <t>No method evidence beyond energy efficiency and smart home options.</t>
        </is>
      </c>
      <c r="O95" s="8" t="inlineStr">
        <is>
          <t>No</t>
        </is>
      </c>
      <c r="P95" s="6" t="inlineStr">
        <is>
          <t>https://www.linkedin.com/in/stephennajvar/</t>
        </is>
      </c>
      <c r="Q95" s="6" t="inlineStr"/>
      <c r="R95" s="11">
        <f>IF(P95="","ADD LINKEDIN","ok")</f>
        <v/>
      </c>
      <c r="S95" s="6" t="inlineStr">
        <is>
          <t>https://ravennahomes.com/</t>
        </is>
      </c>
      <c r="T95" s="9" t="inlineStr">
        <is>
          <t>Seven communities in the north and northwest growth corridor, from the $500,000s, with a named president and no published volume.</t>
        </is>
      </c>
      <c r="U95" s="9" t="inlineStr">
        <is>
          <t>A founder-run firm with no other executive published anywhere. No annual volume figure. | No volume figure and no construction or purchasing lead identified.</t>
        </is>
      </c>
      <c r="V95" s="6" t="inlineStr"/>
      <c r="W95" s="9" t="inlineStr">
        <is>
          <t>Indexed title reads Stephen Najvar, President at Ravenna Homes. A 2013 company release names him co-founder alongside his brother Kenneth Najvar, both formerly Perry Homes division presidents.</t>
        </is>
      </c>
      <c r="X95" s="6" t="inlineStr"/>
      <c r="Y95" s="6" t="inlineStr"/>
      <c r="Z95" s="6" t="inlineStr"/>
    </row>
    <row r="96">
      <c r="A96" s="12" t="inlineStr">
        <is>
          <t>Scott Arnoldy</t>
        </is>
      </c>
      <c r="B96" s="12" t="inlineStr">
        <is>
          <t>Triten Real Estate Partners</t>
        </is>
      </c>
      <c r="C96" s="12" t="inlineStr">
        <is>
          <t>Chief Executive Officer, Founder</t>
        </is>
      </c>
      <c r="D96" s="13" t="inlineStr">
        <is>
          <t>Creative project, hybrid job</t>
        </is>
      </c>
      <c r="E96" s="14" t="n">
        <v>2</v>
      </c>
      <c r="F96" s="12" t="inlineStr">
        <is>
          <t>Buys walls</t>
        </is>
      </c>
      <c r="G96" s="12" t="inlineStr">
        <is>
          <t>East End / Fort Bend, Harris County</t>
        </is>
      </c>
      <c r="H96" s="12" t="inlineStr">
        <is>
          <t>340 units, mass timber frame</t>
        </is>
      </c>
      <c r="I96" s="14" t="inlineStr">
        <is>
          <t>Yes</t>
        </is>
      </c>
      <c r="J96" s="15" t="inlineStr">
        <is>
          <t>340 units at The Mill, 294 more at Aliana opening 2027.</t>
        </is>
      </c>
      <c r="K96" s="14" t="inlineStr">
        <is>
          <t>No</t>
        </is>
      </c>
      <c r="L96" s="15" t="inlineStr">
        <is>
          <t>Industrial and outdoor storage. There is no repeated house here.</t>
        </is>
      </c>
      <c r="M96" s="14" t="inlineStr">
        <is>
          <t>Yes</t>
        </is>
      </c>
      <c r="N96" s="15" t="inlineStr">
        <is>
          <t>Financed a cross-laminated timber frame and calls it a rare alternative to steel and concrete.</t>
        </is>
      </c>
      <c r="O96" s="14" t="inlineStr">
        <is>
          <t>Partly</t>
        </is>
      </c>
      <c r="P96" s="6" t="inlineStr">
        <is>
          <t>https://www.linkedin.com/in/scottarnoldy/</t>
        </is>
      </c>
      <c r="Q96" s="12" t="inlineStr"/>
      <c r="R96" s="16">
        <f>IF(P96="","ADD LINKEDIN","ok")</f>
        <v/>
      </c>
      <c r="S96" s="12" t="inlineStr">
        <is>
          <t>https://www.tritenre.com/</t>
        </is>
      </c>
      <c r="T96" s="15" t="inlineStr">
        <is>
          <t>Financed a cross-laminated timber frame at The Mill. 294 units at Aliana land in Titan's first delivery window.</t>
        </is>
      </c>
      <c r="U96"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6" s="12" t="inlineStr"/>
      <c r="W96" s="15" t="inlineStr">
        <is>
          <t>Founder and CEO, Triten Real Estate Partners. Houston, Texas.</t>
        </is>
      </c>
      <c r="X96" s="12" t="inlineStr"/>
      <c r="Y96" s="12" t="inlineStr">
        <is>
          <t>https://www.linkedin.com/company/triten-real-estate-partners</t>
        </is>
      </c>
      <c r="Z96" s="12" t="inlineStr">
        <is>
          <t>https://www.tritenre.com/team</t>
        </is>
      </c>
    </row>
    <row r="97">
      <c r="A97" s="6" t="inlineStr">
        <is>
          <t>Larry Sloan</t>
        </is>
      </c>
      <c r="B97" s="6" t="inlineStr">
        <is>
          <t>Triten Real Estate Partners</t>
        </is>
      </c>
      <c r="C97" s="6" t="inlineStr">
        <is>
          <t>Partner, Chief Development Officer</t>
        </is>
      </c>
      <c r="D97" s="7" t="inlineStr">
        <is>
          <t>Creative project, hybrid job</t>
        </is>
      </c>
      <c r="E97" s="8" t="n">
        <v>2</v>
      </c>
      <c r="F97" s="6" t="inlineStr">
        <is>
          <t>Buys walls</t>
        </is>
      </c>
      <c r="G97" s="6" t="inlineStr">
        <is>
          <t>East End / Fort Bend, Harris County</t>
        </is>
      </c>
      <c r="H97" s="6" t="inlineStr">
        <is>
          <t>340 units, mass timber frame</t>
        </is>
      </c>
      <c r="I97" s="8" t="inlineStr">
        <is>
          <t>Yes</t>
        </is>
      </c>
      <c r="J97" s="9" t="inlineStr">
        <is>
          <t>340 units at The Mill, 294 more at Aliana opening 2027.</t>
        </is>
      </c>
      <c r="K97" s="8" t="inlineStr">
        <is>
          <t>No</t>
        </is>
      </c>
      <c r="L97" s="9" t="inlineStr">
        <is>
          <t>Industrial and outdoor storage. There is no repeated house here.</t>
        </is>
      </c>
      <c r="M97" s="8" t="inlineStr">
        <is>
          <t>Yes</t>
        </is>
      </c>
      <c r="N97" s="9" t="inlineStr">
        <is>
          <t>Financed a cross-laminated timber frame and calls it a rare alternative to steel and concrete.</t>
        </is>
      </c>
      <c r="O97" s="8" t="inlineStr">
        <is>
          <t>Partly</t>
        </is>
      </c>
      <c r="P97" s="6" t="inlineStr">
        <is>
          <t>https://www.linkedin.com/in/larry-sloan-894204b/</t>
        </is>
      </c>
      <c r="Q97" s="6" t="inlineStr"/>
      <c r="R97" s="11">
        <f>IF(P97="","ADD LINKEDIN","ok")</f>
        <v/>
      </c>
      <c r="S97" s="6" t="inlineStr">
        <is>
          <t>https://www.tritenre.com/</t>
        </is>
      </c>
      <c r="T97" s="9" t="inlineStr">
        <is>
          <t>Financed a cross-laminated timber frame at The Mill. 294 units at Aliana land in Titan's first delivery window.</t>
        </is>
      </c>
      <c r="U9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7" s="6" t="inlineStr"/>
      <c r="W97" s="9" t="inlineStr">
        <is>
          <t>Chief Development Officer (CDO) at Triten Real Estate Partners. Houston, Texas. The same person who left Midway as EVP of investment and development in November 2023.</t>
        </is>
      </c>
      <c r="X97" s="6" t="inlineStr"/>
      <c r="Y97" s="6" t="inlineStr">
        <is>
          <t>https://www.linkedin.com/company/triten-real-estate-partners</t>
        </is>
      </c>
      <c r="Z97" s="6" t="inlineStr">
        <is>
          <t>https://www.tritenre.com/team</t>
        </is>
      </c>
    </row>
    <row r="98">
      <c r="A98" s="12" t="inlineStr">
        <is>
          <t>Brent Ozenbaugh</t>
        </is>
      </c>
      <c r="B98" s="12" t="inlineStr">
        <is>
          <t>Triten Real Estate Partners</t>
        </is>
      </c>
      <c r="C98" s="12" t="inlineStr">
        <is>
          <t>Partner, Chief Operating Officer</t>
        </is>
      </c>
      <c r="D98" s="13" t="inlineStr">
        <is>
          <t>Creative project, hybrid job</t>
        </is>
      </c>
      <c r="E98" s="14" t="n">
        <v>2</v>
      </c>
      <c r="F98" s="12" t="inlineStr">
        <is>
          <t>Buys walls</t>
        </is>
      </c>
      <c r="G98" s="12" t="inlineStr">
        <is>
          <t>East End / Fort Bend, Harris County</t>
        </is>
      </c>
      <c r="H98" s="12" t="inlineStr">
        <is>
          <t>340 units, mass timber frame</t>
        </is>
      </c>
      <c r="I98" s="14" t="inlineStr">
        <is>
          <t>Yes</t>
        </is>
      </c>
      <c r="J98" s="15" t="inlineStr">
        <is>
          <t>340 units at The Mill, 294 more at Aliana opening 2027.</t>
        </is>
      </c>
      <c r="K98" s="14" t="inlineStr">
        <is>
          <t>No</t>
        </is>
      </c>
      <c r="L98" s="15" t="inlineStr">
        <is>
          <t>Industrial and outdoor storage. There is no repeated house here.</t>
        </is>
      </c>
      <c r="M98" s="14" t="inlineStr">
        <is>
          <t>Yes</t>
        </is>
      </c>
      <c r="N98" s="15" t="inlineStr">
        <is>
          <t>Financed a cross-laminated timber frame and calls it a rare alternative to steel and concrete.</t>
        </is>
      </c>
      <c r="O98" s="14" t="inlineStr">
        <is>
          <t>Partly</t>
        </is>
      </c>
      <c r="P98" s="6" t="inlineStr">
        <is>
          <t>https://www.linkedin.com/in/brent-ozenbaugh-b99872/</t>
        </is>
      </c>
      <c r="Q98" s="12" t="inlineStr"/>
      <c r="R98" s="16">
        <f>IF(P98="","ADD LINKEDIN","ok")</f>
        <v/>
      </c>
      <c r="S98" s="12" t="inlineStr">
        <is>
          <t>https://www.tritenre.com/</t>
        </is>
      </c>
      <c r="T98" s="15" t="inlineStr">
        <is>
          <t>Financed a cross-laminated timber frame at The Mill. 294 units at Aliana land in Titan's first delivery window.</t>
        </is>
      </c>
      <c r="U98"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8" s="12" t="inlineStr"/>
      <c r="W98" s="15" t="inlineStr">
        <is>
          <t>COO at Triten Real Estate Partners. Greater Houston.</t>
        </is>
      </c>
      <c r="X98" s="12" t="inlineStr"/>
      <c r="Y98" s="12" t="inlineStr">
        <is>
          <t>https://www.linkedin.com/company/triten-real-estate-partners</t>
        </is>
      </c>
      <c r="Z98" s="12" t="inlineStr">
        <is>
          <t>https://www.tritenre.com/team</t>
        </is>
      </c>
    </row>
    <row r="99">
      <c r="A99" s="6" t="inlineStr">
        <is>
          <t>Carter Bechtol</t>
        </is>
      </c>
      <c r="B99" s="6" t="inlineStr">
        <is>
          <t>Triten Real Estate Partners</t>
        </is>
      </c>
      <c r="C99" s="6" t="inlineStr">
        <is>
          <t>Partner, Head of Triten Residential</t>
        </is>
      </c>
      <c r="D99" s="7" t="inlineStr">
        <is>
          <t>Creative project, hybrid job</t>
        </is>
      </c>
      <c r="E99" s="8" t="n">
        <v>2</v>
      </c>
      <c r="F99" s="6" t="inlineStr">
        <is>
          <t>Buys walls</t>
        </is>
      </c>
      <c r="G99" s="6" t="inlineStr">
        <is>
          <t>East End / Fort Bend, Harris County</t>
        </is>
      </c>
      <c r="H99" s="6" t="inlineStr">
        <is>
          <t>340 units, mass timber frame</t>
        </is>
      </c>
      <c r="I99" s="8" t="inlineStr">
        <is>
          <t>Yes</t>
        </is>
      </c>
      <c r="J99" s="9" t="inlineStr">
        <is>
          <t>340 units at The Mill, 294 more at Aliana opening 2027.</t>
        </is>
      </c>
      <c r="K99" s="8" t="inlineStr">
        <is>
          <t>No</t>
        </is>
      </c>
      <c r="L99" s="9" t="inlineStr">
        <is>
          <t>Industrial and outdoor storage. There is no repeated house here.</t>
        </is>
      </c>
      <c r="M99" s="8" t="inlineStr">
        <is>
          <t>Yes</t>
        </is>
      </c>
      <c r="N99" s="9" t="inlineStr">
        <is>
          <t>Financed a cross-laminated timber frame and calls it a rare alternative to steel and concrete.</t>
        </is>
      </c>
      <c r="O99" s="8" t="inlineStr">
        <is>
          <t>Partly</t>
        </is>
      </c>
      <c r="P99" s="10" t="inlineStr"/>
      <c r="Q99" s="6">
        <f>HYPERLINK("https://www.linkedin.com/search/results/people/?keywords=Carter%20Bechtol%20Triten%20Real%20Estate%20Partners","search")</f>
        <v/>
      </c>
      <c r="R99" s="11">
        <f>IF(P99="","ADD LINKEDIN","ok")</f>
        <v/>
      </c>
      <c r="S99" s="6" t="inlineStr">
        <is>
          <t>https://www.tritenre.com/</t>
        </is>
      </c>
      <c r="T99" s="9" t="inlineStr">
        <is>
          <t>Financed a cross-laminated timber frame at The Mill. 294 units at Aliana land in Titan's first delivery window.</t>
        </is>
      </c>
      <c r="U99"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9" s="6" t="inlineStr"/>
      <c r="W99" s="9" t="inlineStr">
        <is>
          <t>Triten's own bio page. Partner, Head of Triten Residential. The residential platform is the part of Triten that would buy a repeated wall.</t>
        </is>
      </c>
      <c r="X99" s="6" t="inlineStr">
        <is>
          <t>https://www.tritenre.com/team/carter-becthol</t>
        </is>
      </c>
      <c r="Y99" s="6" t="inlineStr">
        <is>
          <t>https://www.linkedin.com/company/triten-real-estate-partners</t>
        </is>
      </c>
      <c r="Z99" s="6" t="inlineStr">
        <is>
          <t>https://www.tritenre.com/team</t>
        </is>
      </c>
    </row>
    <row r="100">
      <c r="A100" s="12" t="inlineStr">
        <is>
          <t>Steve Radom</t>
        </is>
      </c>
      <c r="B100" s="12" t="inlineStr">
        <is>
          <t>Radom Capital</t>
        </is>
      </c>
      <c r="C100" s="12" t="inlineStr">
        <is>
          <t>Managing Principal</t>
        </is>
      </c>
      <c r="D100" s="13" t="inlineStr">
        <is>
          <t>Creative project, hybrid job</t>
        </is>
      </c>
      <c r="E100" s="14" t="n">
        <v>2</v>
      </c>
      <c r="F100" s="12" t="inlineStr">
        <is>
          <t>Buys walls</t>
        </is>
      </c>
      <c r="G100" s="12" t="inlineStr">
        <is>
          <t>Heights / Montrose, Harris County</t>
        </is>
      </c>
      <c r="H100" s="12" t="inlineStr">
        <is>
          <t>$104.75M Montrose Collective financing</t>
        </is>
      </c>
      <c r="I100" s="14" t="inlineStr">
        <is>
          <t>Partly</t>
        </is>
      </c>
      <c r="J100" s="15" t="inlineStr">
        <is>
          <t>Fifteen projects in one district, 218 units at Clock Tower.</t>
        </is>
      </c>
      <c r="K100" s="14" t="inlineStr">
        <is>
          <t>No</t>
        </is>
      </c>
      <c r="L100" s="15" t="inlineStr">
        <is>
          <t>Adaptive reuse and retail. Every project is its own building.</t>
        </is>
      </c>
      <c r="M100" s="14" t="inlineStr">
        <is>
          <t>Yes</t>
        </is>
      </c>
      <c r="N100" s="15" t="inlineStr">
        <is>
          <t>Commissioned Michael Hsu for Montrose Collective, four-street frontage, $104.75M financed.</t>
        </is>
      </c>
      <c r="O100" s="14" t="inlineStr">
        <is>
          <t>Yes</t>
        </is>
      </c>
      <c r="P100" s="6" t="inlineStr">
        <is>
          <t>https://www.linkedin.com/in/steveradom/</t>
        </is>
      </c>
      <c r="Q100" s="12" t="inlineStr"/>
      <c r="R100" s="16">
        <f>IF(P100="","ADD LINKEDIN","ok")</f>
        <v/>
      </c>
      <c r="S100" s="12" t="inlineStr">
        <is>
          <t>https://www.radomcapital.com/</t>
        </is>
      </c>
      <c r="T100" s="15" t="inlineStr">
        <is>
          <t>Michael Hsu at Montrose Collective, $104.75M financed. Fifteen projects in one district, so volume is concentrated rather than deep.</t>
        </is>
      </c>
      <c r="U100"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0" s="12" t="inlineStr"/>
      <c r="W100" s="15" t="inlineStr">
        <is>
          <t>Managing Principal at Radom Capital.</t>
        </is>
      </c>
      <c r="X100" s="12" t="inlineStr"/>
      <c r="Y100" s="12" t="inlineStr">
        <is>
          <t>https://www.linkedin.com/company/radom-capital-llc</t>
        </is>
      </c>
      <c r="Z100" s="12" t="inlineStr">
        <is>
          <t>https://www.radomcapital.com/team</t>
        </is>
      </c>
    </row>
    <row r="101">
      <c r="A101" s="6" t="inlineStr">
        <is>
          <t>Barton Kelly</t>
        </is>
      </c>
      <c r="B101" s="6" t="inlineStr">
        <is>
          <t>Radom Capital</t>
        </is>
      </c>
      <c r="C101" s="6" t="inlineStr">
        <is>
          <t>Principal</t>
        </is>
      </c>
      <c r="D101" s="7" t="inlineStr">
        <is>
          <t>Creative project, hybrid job</t>
        </is>
      </c>
      <c r="E101" s="8" t="n">
        <v>2</v>
      </c>
      <c r="F101" s="6" t="inlineStr">
        <is>
          <t>Buys walls</t>
        </is>
      </c>
      <c r="G101" s="6" t="inlineStr">
        <is>
          <t>Heights / Montrose, Harris County</t>
        </is>
      </c>
      <c r="H101" s="6" t="inlineStr">
        <is>
          <t>$104.75M Montrose Collective financing</t>
        </is>
      </c>
      <c r="I101" s="8" t="inlineStr">
        <is>
          <t>Partly</t>
        </is>
      </c>
      <c r="J101" s="9" t="inlineStr">
        <is>
          <t>Fifteen projects in one district, 218 units at Clock Tower.</t>
        </is>
      </c>
      <c r="K101" s="8" t="inlineStr">
        <is>
          <t>No</t>
        </is>
      </c>
      <c r="L101" s="9" t="inlineStr">
        <is>
          <t>Adaptive reuse and retail. Every project is its own building.</t>
        </is>
      </c>
      <c r="M101" s="8" t="inlineStr">
        <is>
          <t>Yes</t>
        </is>
      </c>
      <c r="N101" s="9" t="inlineStr">
        <is>
          <t>Commissioned Michael Hsu for Montrose Collective, four-street frontage, $104.75M financed.</t>
        </is>
      </c>
      <c r="O101" s="8" t="inlineStr">
        <is>
          <t>Yes</t>
        </is>
      </c>
      <c r="P101" s="6" t="inlineStr">
        <is>
          <t>https://www.linkedin.com/in/bartonk/</t>
        </is>
      </c>
      <c r="Q101" s="6" t="inlineStr"/>
      <c r="R101" s="11">
        <f>IF(P101="","ADD LINKEDIN","ok")</f>
        <v/>
      </c>
      <c r="S101" s="6" t="inlineStr">
        <is>
          <t>https://www.radomcapital.com/</t>
        </is>
      </c>
      <c r="T101" s="9" t="inlineStr">
        <is>
          <t>Michael Hsu at Montrose Collective, $104.75M financed. Fifteen projects in one district, so volume is concentrated rather than deep.</t>
        </is>
      </c>
      <c r="U101"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1" s="6" t="inlineStr"/>
      <c r="W101" s="9" t="inlineStr">
        <is>
          <t>Vice President at Radom Capital LLC, Houston.</t>
        </is>
      </c>
      <c r="X101" s="6" t="inlineStr"/>
      <c r="Y101" s="6" t="inlineStr">
        <is>
          <t>https://www.linkedin.com/company/radom-capital-llc</t>
        </is>
      </c>
      <c r="Z101" s="6" t="inlineStr">
        <is>
          <t>https://www.radomcapital.com/team</t>
        </is>
      </c>
    </row>
    <row r="102">
      <c r="A102" s="12" t="inlineStr">
        <is>
          <t>Evan Peterson</t>
        </is>
      </c>
      <c r="B102" s="12" t="inlineStr">
        <is>
          <t>Radom Capital</t>
        </is>
      </c>
      <c r="C102" s="12" t="inlineStr">
        <is>
          <t>Principal</t>
        </is>
      </c>
      <c r="D102" s="13" t="inlineStr">
        <is>
          <t>Creative project, hybrid job</t>
        </is>
      </c>
      <c r="E102" s="14" t="n">
        <v>2</v>
      </c>
      <c r="F102" s="12" t="inlineStr">
        <is>
          <t>Buys walls</t>
        </is>
      </c>
      <c r="G102" s="12" t="inlineStr">
        <is>
          <t>Heights / Montrose, Harris County</t>
        </is>
      </c>
      <c r="H102" s="12" t="inlineStr">
        <is>
          <t>$104.75M Montrose Collective financing</t>
        </is>
      </c>
      <c r="I102" s="14" t="inlineStr">
        <is>
          <t>Partly</t>
        </is>
      </c>
      <c r="J102" s="15" t="inlineStr">
        <is>
          <t>Fifteen projects in one district, 218 units at Clock Tower.</t>
        </is>
      </c>
      <c r="K102" s="14" t="inlineStr">
        <is>
          <t>No</t>
        </is>
      </c>
      <c r="L102" s="15" t="inlineStr">
        <is>
          <t>Adaptive reuse and retail. Every project is its own building.</t>
        </is>
      </c>
      <c r="M102" s="14" t="inlineStr">
        <is>
          <t>Yes</t>
        </is>
      </c>
      <c r="N102" s="15" t="inlineStr">
        <is>
          <t>Commissioned Michael Hsu for Montrose Collective, four-street frontage, $104.75M financed.</t>
        </is>
      </c>
      <c r="O102" s="14" t="inlineStr">
        <is>
          <t>Yes</t>
        </is>
      </c>
      <c r="P102" s="6" t="inlineStr">
        <is>
          <t>https://www.linkedin.com/in/evan-peterson-19656548/</t>
        </is>
      </c>
      <c r="Q102" s="12" t="inlineStr"/>
      <c r="R102" s="16">
        <f>IF(P102="","ADD LINKEDIN","ok")</f>
        <v/>
      </c>
      <c r="S102" s="12" t="inlineStr">
        <is>
          <t>https://www.radomcapital.com/</t>
        </is>
      </c>
      <c r="T102" s="15" t="inlineStr">
        <is>
          <t>Michael Hsu at Montrose Collective, $104.75M financed. Fifteen projects in one district, so volume is concentrated rather than deep.</t>
        </is>
      </c>
      <c r="U102"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2" s="12" t="inlineStr"/>
      <c r="W102" s="15" t="inlineStr">
        <is>
          <t>Principal at Radom Capital LLC. Houston, Texas.</t>
        </is>
      </c>
      <c r="X102" s="12" t="inlineStr"/>
      <c r="Y102" s="12" t="inlineStr">
        <is>
          <t>https://www.linkedin.com/company/radom-capital-llc</t>
        </is>
      </c>
      <c r="Z102" s="12" t="inlineStr">
        <is>
          <t>https://www.radomcapital.com/team</t>
        </is>
      </c>
    </row>
    <row r="103">
      <c r="A103" s="6" t="inlineStr">
        <is>
          <t>Jon Deal</t>
        </is>
      </c>
      <c r="B103" s="6" t="inlineStr">
        <is>
          <t>The Deal Company (Sawyer Yards)</t>
        </is>
      </c>
      <c r="C103" s="6" t="inlineStr">
        <is>
          <t>Founder and Chief Executive Officer</t>
        </is>
      </c>
      <c r="D103" s="7" t="inlineStr">
        <is>
          <t>Creative project, hybrid job</t>
        </is>
      </c>
      <c r="E103" s="8" t="n">
        <v>2</v>
      </c>
      <c r="F103" s="6" t="inlineStr">
        <is>
          <t>Buys walls</t>
        </is>
      </c>
      <c r="G103" s="6" t="inlineStr">
        <is>
          <t>Washington Corridor, Harris County</t>
        </is>
      </c>
      <c r="H103" s="6" t="inlineStr">
        <is>
          <t>55 acres, 27 buildings, 2M+ sf</t>
        </is>
      </c>
      <c r="I103" s="8" t="inlineStr">
        <is>
          <t>Partly</t>
        </is>
      </c>
      <c r="J103" s="9" t="inlineStr">
        <is>
          <t>27 buildings across 55 acres since 2005.</t>
        </is>
      </c>
      <c r="K103" s="8" t="inlineStr">
        <is>
          <t>No</t>
        </is>
      </c>
      <c r="L103" s="9" t="inlineStr">
        <is>
          <t>Converting industrial buildings leaves almost no new wall to print.</t>
        </is>
      </c>
      <c r="M103" s="8" t="inlineStr">
        <is>
          <t>Yes</t>
        </is>
      </c>
      <c r="N103" s="9" t="inlineStr">
        <is>
          <t>Twenty years of building inside awkward industrial structures.</t>
        </is>
      </c>
      <c r="O103" s="8" t="inlineStr">
        <is>
          <t>No</t>
        </is>
      </c>
      <c r="P103" s="10" t="inlineStr"/>
      <c r="Q103" s="6">
        <f>HYPERLINK("https://www.linkedin.com/search/results/people/?keywords=Jon%20Deal%20The%20Deal%20Company","search")</f>
        <v/>
      </c>
      <c r="R103" s="11">
        <f>IF(P103="","ADD LINKEDIN","ok")</f>
        <v/>
      </c>
      <c r="S103" s="6" t="inlineStr">
        <is>
          <t>https://www.dealco.net/</t>
        </is>
      </c>
      <c r="T103" s="9" t="inlineStr">
        <is>
          <t>Twenty years converting industrial buildings, 27 of them. Adaptive reuse leaves little new wall to print.</t>
        </is>
      </c>
      <c r="U103" s="9"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03" s="6" t="inlineStr"/>
      <c r="W103" s="9" t="inlineStr">
        <is>
          <t>Founder and Chief Executive Officer, and co-developer of Sawyer Yards.</t>
        </is>
      </c>
      <c r="X103" s="6" t="inlineStr">
        <is>
          <t>https://www.dealco.net/about/</t>
        </is>
      </c>
      <c r="Y103" s="6" t="inlineStr"/>
      <c r="Z103" s="6" t="inlineStr">
        <is>
          <t>https://www.dealco.net/about/</t>
        </is>
      </c>
    </row>
    <row r="104">
      <c r="A104" s="12" t="inlineStr">
        <is>
          <t>Dougal A. Cameron</t>
        </is>
      </c>
      <c r="B104" s="12" t="inlineStr">
        <is>
          <t>Cameron Management</t>
        </is>
      </c>
      <c r="C104" s="12" t="inlineStr">
        <is>
          <t>President and Owner</t>
        </is>
      </c>
      <c r="D104" s="13" t="inlineStr">
        <is>
          <t>Creative project, hybrid job</t>
        </is>
      </c>
      <c r="E104" s="14" t="n">
        <v>1</v>
      </c>
      <c r="F104" s="12" t="inlineStr">
        <is>
          <t>Buys walls</t>
        </is>
      </c>
      <c r="G104" s="12" t="inlineStr">
        <is>
          <t>Downtown Houston, Harris County</t>
        </is>
      </c>
      <c r="H104" s="12" t="inlineStr">
        <is>
          <t>$50M conversion, up to 100 units</t>
        </is>
      </c>
      <c r="I104" s="14" t="inlineStr">
        <is>
          <t>No</t>
        </is>
      </c>
      <c r="J104" s="15" t="inlineStr">
        <is>
          <t>Two towers, one conversion each. Nothing repeats.</t>
        </is>
      </c>
      <c r="K104" s="14" t="inlineStr">
        <is>
          <t>No</t>
        </is>
      </c>
      <c r="L104" s="15" t="inlineStr">
        <is>
          <t>Converting two 1927 and 1941 office towers to residential. No new exterior wall.</t>
        </is>
      </c>
      <c r="M104" s="14" t="inlineStr">
        <is>
          <t>Yes</t>
        </is>
      </c>
      <c r="N104" s="15" t="inlineStr">
        <is>
          <t>It is taking on a $50 million conversion of two landmark towers from 1927 and 1941, which is a harder build than anything a printer would be asked to do.</t>
        </is>
      </c>
      <c r="O104" s="14" t="inlineStr">
        <is>
          <t>Partly</t>
        </is>
      </c>
      <c r="P104" s="10" t="inlineStr"/>
      <c r="Q104" s="12">
        <f>HYPERLINK("https://www.linkedin.com/search/results/people/?keywords=Dougal%20A.%20Cameron%20Cameron%20Management","search")</f>
        <v/>
      </c>
      <c r="R104" s="16">
        <f>IF(P104="","ADD LINKEDIN","ok")</f>
        <v/>
      </c>
      <c r="S104" s="12" t="inlineStr">
        <is>
          <t>https://cameronmanagement.com/</t>
        </is>
      </c>
      <c r="T104" s="15" t="inlineStr">
        <is>
          <t>Interior conversion of a 1927 tower. Willing to take on a hard build, but almost no new exterior wall.</t>
        </is>
      </c>
      <c r="U104"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4" s="12" t="inlineStr"/>
      <c r="W104" s="15" t="inlineStr">
        <is>
          <t>President. Founded the firm in 1995 after asset and project management at Hines.</t>
        </is>
      </c>
      <c r="X104" s="12" t="inlineStr">
        <is>
          <t>https://cameronmanagement.com/team_member/dougal-a-cameron</t>
        </is>
      </c>
      <c r="Y104" s="12" t="inlineStr">
        <is>
          <t>https://www.linkedin.com/company/cameron-management</t>
        </is>
      </c>
      <c r="Z104" s="12" t="inlineStr">
        <is>
          <t>https://cameronmanagement.com/about</t>
        </is>
      </c>
    </row>
    <row r="105">
      <c r="A105" s="6" t="inlineStr">
        <is>
          <t>William T. Dom</t>
        </is>
      </c>
      <c r="B105" s="6" t="inlineStr">
        <is>
          <t>Cameron Management</t>
        </is>
      </c>
      <c r="C105" s="6" t="inlineStr">
        <is>
          <t>Chief Operating Officer</t>
        </is>
      </c>
      <c r="D105" s="7" t="inlineStr">
        <is>
          <t>Creative project, hybrid job</t>
        </is>
      </c>
      <c r="E105" s="8" t="n">
        <v>1</v>
      </c>
      <c r="F105" s="6" t="inlineStr">
        <is>
          <t>Buys walls</t>
        </is>
      </c>
      <c r="G105" s="6" t="inlineStr">
        <is>
          <t>Downtown Houston, Harris County</t>
        </is>
      </c>
      <c r="H105" s="6" t="inlineStr">
        <is>
          <t>$50M conversion, up to 100 units</t>
        </is>
      </c>
      <c r="I105" s="8" t="inlineStr">
        <is>
          <t>No</t>
        </is>
      </c>
      <c r="J105" s="9" t="inlineStr">
        <is>
          <t>Two towers, one conversion each. Nothing repeats.</t>
        </is>
      </c>
      <c r="K105" s="8" t="inlineStr">
        <is>
          <t>No</t>
        </is>
      </c>
      <c r="L105" s="9" t="inlineStr">
        <is>
          <t>Converting two 1927 and 1941 office towers to residential. No new exterior wall.</t>
        </is>
      </c>
      <c r="M105" s="8" t="inlineStr">
        <is>
          <t>Yes</t>
        </is>
      </c>
      <c r="N105" s="9" t="inlineStr">
        <is>
          <t>It is taking on a $50 million conversion of two landmark towers from 1927 and 1941, which is a harder build than anything a printer would be asked to do.</t>
        </is>
      </c>
      <c r="O105" s="8" t="inlineStr">
        <is>
          <t>Partly</t>
        </is>
      </c>
      <c r="P105" s="10" t="inlineStr"/>
      <c r="Q105" s="6">
        <f>HYPERLINK("https://www.linkedin.com/search/results/people/?keywords=William%20T.%20Dom%20Cameron%20Management","search")</f>
        <v/>
      </c>
      <c r="R105" s="11">
        <f>IF(P105="","ADD LINKEDIN","ok")</f>
        <v/>
      </c>
      <c r="S105" s="6" t="inlineStr">
        <is>
          <t>https://cameronmanagement.com/</t>
        </is>
      </c>
      <c r="T105" s="9" t="inlineStr">
        <is>
          <t>Interior conversion of a 1927 tower. Willing to take on a hard build, but almost no new exterior wall.</t>
        </is>
      </c>
      <c r="U105"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5" s="6" t="inlineStr"/>
      <c r="W105" s="9" t="inlineStr">
        <is>
          <t>Chief Operating Officer and partner since 2000, formerly an asset manager at Hines.</t>
        </is>
      </c>
      <c r="X105" s="6" t="inlineStr">
        <is>
          <t>https://cameronmanagement.com/team_member/william-t-ted-dom</t>
        </is>
      </c>
      <c r="Y105" s="6" t="inlineStr">
        <is>
          <t>https://www.linkedin.com/company/cameron-management</t>
        </is>
      </c>
      <c r="Z105" s="6" t="inlineStr">
        <is>
          <t>https://cameronmanagement.com/about</t>
        </is>
      </c>
    </row>
    <row r="106">
      <c r="A106" s="12" t="inlineStr">
        <is>
          <t>Dan Braun</t>
        </is>
      </c>
      <c r="B106" s="12" t="inlineStr">
        <is>
          <t>Braun Enterprises</t>
        </is>
      </c>
      <c r="C106" s="12" t="inlineStr">
        <is>
          <t>President</t>
        </is>
      </c>
      <c r="D106" s="13" t="inlineStr">
        <is>
          <t>Creative project, hybrid job</t>
        </is>
      </c>
      <c r="E106" s="14" t="n">
        <v>2</v>
      </c>
      <c r="F106" s="12" t="inlineStr">
        <is>
          <t>Buys walls</t>
        </is>
      </c>
      <c r="G106" s="12" t="inlineStr">
        <is>
          <t>Houston, San Antonio and Austin</t>
        </is>
      </c>
      <c r="H106" s="12" t="inlineStr">
        <is>
          <t>Ground-up retail in the Heights and small flex industrial</t>
        </is>
      </c>
      <c r="I106" s="14" t="inlineStr">
        <is>
          <t>Partly</t>
        </is>
      </c>
      <c r="J106" s="15" t="inlineStr">
        <is>
          <t>Small retail buildings repeated across three cities, which is more repetition than anyone else in this category.</t>
        </is>
      </c>
      <c r="K106" s="14" t="inlineStr">
        <is>
          <t>Partly</t>
        </is>
      </c>
      <c r="L106" s="15" t="inlineStr">
        <is>
          <t>Retail shells at 20,000 to 25,000 square feet. A printed wall competes with tilt-wall here, not with stick framing.</t>
        </is>
      </c>
      <c r="M106" s="14" t="inlineStr">
        <is>
          <t>No</t>
        </is>
      </c>
      <c r="N106" s="15" t="inlineStr">
        <is>
          <t>No method evidence on record.</t>
        </is>
      </c>
      <c r="O106" s="14" t="inlineStr">
        <is>
          <t>No</t>
        </is>
      </c>
      <c r="P106" s="6" t="inlineStr">
        <is>
          <t>https://www.linkedin.com/in/dan-braun-36451a15/</t>
        </is>
      </c>
      <c r="Q106" s="12" t="inlineStr"/>
      <c r="R106" s="16">
        <f>IF(P106="","ADD LINKEDIN","ok")</f>
        <v/>
      </c>
      <c r="S106" s="12" t="inlineStr">
        <is>
          <t>https://braunenterprises.com/</t>
        </is>
      </c>
      <c r="T106" s="15" t="inlineStr">
        <is>
          <t>Builds new rather than converting: small-format ground-up retail in the Heights.</t>
        </is>
      </c>
      <c r="U106" s="15" t="inlineStr">
        <is>
          <t>The firm's team page returns a 404. The president's title comes from his own LinkedIn.</t>
        </is>
      </c>
      <c r="V106" s="12" t="inlineStr"/>
      <c r="W106" s="15" t="inlineStr">
        <is>
          <t>Indexed title reads Dan Braun, President at Braun Enterprises. The firm's team page returns a 404, so this is the only link.</t>
        </is>
      </c>
      <c r="X106" s="12" t="inlineStr"/>
      <c r="Y106" s="12" t="inlineStr"/>
      <c r="Z106" s="12" t="inlineStr"/>
    </row>
    <row r="107">
      <c r="A107" s="6" t="inlineStr">
        <is>
          <t>Bradley Freels</t>
        </is>
      </c>
      <c r="B107" s="6" t="inlineStr">
        <is>
          <t>Midway</t>
        </is>
      </c>
      <c r="C107" s="6" t="inlineStr">
        <is>
          <t>Chairman and Chief Executive Officer</t>
        </is>
      </c>
      <c r="D107" s="7" t="inlineStr">
        <is>
          <t>Creative project, hybrid job</t>
        </is>
      </c>
      <c r="E107" s="8" t="n">
        <v>2</v>
      </c>
      <c r="F107" s="6" t="inlineStr">
        <is>
          <t>Buys walls</t>
        </is>
      </c>
      <c r="G107" s="6" t="inlineStr">
        <is>
          <t>Houston HQ / East End, Harris County</t>
        </is>
      </c>
      <c r="H107" s="6" t="inlineStr">
        <is>
          <t>East River: 150 acres, 60 city blocks</t>
        </is>
      </c>
      <c r="I107" s="8" t="inlineStr">
        <is>
          <t>Partly</t>
        </is>
      </c>
      <c r="J107" s="9" t="inlineStr">
        <is>
          <t>East River is 60 city blocks on one site, phased over decades.</t>
        </is>
      </c>
      <c r="K107" s="8" t="inlineStr">
        <is>
          <t>No</t>
        </is>
      </c>
      <c r="L107" s="9" t="inlineStr">
        <is>
          <t>Sixty blocks of mixed-use. The buildings are one-offs, whatever the acreage.</t>
        </is>
      </c>
      <c r="M107" s="8" t="inlineStr">
        <is>
          <t>Partly</t>
        </is>
      </c>
      <c r="N107" s="9" t="inlineStr">
        <is>
          <t>District-scale design ambition, but no specific method precedent was found.</t>
        </is>
      </c>
      <c r="O107" s="8" t="inlineStr">
        <is>
          <t>No</t>
        </is>
      </c>
      <c r="P107" s="10" t="inlineStr"/>
      <c r="Q107" s="6">
        <f>HYPERLINK("https://www.linkedin.com/search/results/people/?keywords=Bradley%20Freels%20Midway","search")</f>
        <v/>
      </c>
      <c r="R107" s="11">
        <f>IF(P107="","ADD LINKEDIN","ok")</f>
        <v/>
      </c>
      <c r="S107" s="6" t="inlineStr">
        <is>
          <t>https://www.midway.team/</t>
        </is>
      </c>
      <c r="T107" s="9" t="inlineStr">
        <is>
          <t>East River is 60 blocks on one site. No capital figure disclosed and the Parkway relationship is unresolved.</t>
        </is>
      </c>
      <c r="U10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7" s="6" t="inlineStr"/>
      <c r="W107" s="9" t="inlineStr">
        <is>
          <t>Chairman and Chief Executive Officer on Midway's own people page. He has no findable LinkedIn profile, so this is the citation.</t>
        </is>
      </c>
      <c r="X107" s="6" t="inlineStr">
        <is>
          <t>https://www.midway.team/our-people</t>
        </is>
      </c>
      <c r="Y107" s="6" t="inlineStr">
        <is>
          <t>https://www.linkedin.com/company/midway</t>
        </is>
      </c>
      <c r="Z107" s="6" t="inlineStr">
        <is>
          <t>https://www.midway.team/our-people</t>
        </is>
      </c>
    </row>
    <row r="108">
      <c r="A108" s="12" t="inlineStr">
        <is>
          <t>David Hightower</t>
        </is>
      </c>
      <c r="B108" s="12" t="inlineStr">
        <is>
          <t>Midway</t>
        </is>
      </c>
      <c r="C108" s="12" t="inlineStr">
        <is>
          <t>Executive Vice President</t>
        </is>
      </c>
      <c r="D108" s="13" t="inlineStr">
        <is>
          <t>Creative project, hybrid job</t>
        </is>
      </c>
      <c r="E108" s="14" t="n">
        <v>2</v>
      </c>
      <c r="F108" s="12" t="inlineStr">
        <is>
          <t>Buys walls</t>
        </is>
      </c>
      <c r="G108" s="12" t="inlineStr">
        <is>
          <t>Houston HQ / East End, Harris County</t>
        </is>
      </c>
      <c r="H108" s="12" t="inlineStr">
        <is>
          <t>East River: 150 acres, 60 city blocks</t>
        </is>
      </c>
      <c r="I108" s="14" t="inlineStr">
        <is>
          <t>Partly</t>
        </is>
      </c>
      <c r="J108" s="15" t="inlineStr">
        <is>
          <t>East River is 60 city blocks on one site, phased over decades.</t>
        </is>
      </c>
      <c r="K108" s="14" t="inlineStr">
        <is>
          <t>No</t>
        </is>
      </c>
      <c r="L108" s="15" t="inlineStr">
        <is>
          <t>Sixty blocks of mixed-use. The buildings are one-offs, whatever the acreage.</t>
        </is>
      </c>
      <c r="M108" s="14" t="inlineStr">
        <is>
          <t>Partly</t>
        </is>
      </c>
      <c r="N108" s="15" t="inlineStr">
        <is>
          <t>District-scale design ambition, but no specific method precedent was found.</t>
        </is>
      </c>
      <c r="O108" s="14" t="inlineStr">
        <is>
          <t>No</t>
        </is>
      </c>
      <c r="P108" s="6" t="inlineStr">
        <is>
          <t>https://www.linkedin.com/in/dahightower/</t>
        </is>
      </c>
      <c r="Q108" s="12" t="inlineStr"/>
      <c r="R108" s="16">
        <f>IF(P108="","ADD LINKEDIN","ok")</f>
        <v/>
      </c>
      <c r="S108" s="12" t="inlineStr">
        <is>
          <t>https://www.midway.team/</t>
        </is>
      </c>
      <c r="T108" s="15" t="inlineStr">
        <is>
          <t>East River is 60 blocks on one site. No capital figure disclosed and the Parkway relationship is unresolved.</t>
        </is>
      </c>
      <c r="U10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8" s="12" t="inlineStr"/>
      <c r="W108" s="15" t="inlineStr">
        <is>
          <t>Executive Vice President, Development at Midway Companies. Houston, Texas.</t>
        </is>
      </c>
      <c r="X108" s="12" t="inlineStr"/>
      <c r="Y108" s="12" t="inlineStr">
        <is>
          <t>https://www.linkedin.com/company/midway</t>
        </is>
      </c>
      <c r="Z108" s="12" t="inlineStr">
        <is>
          <t>https://www.midway.team/our-people</t>
        </is>
      </c>
    </row>
    <row r="109">
      <c r="A109" s="6" t="inlineStr">
        <is>
          <t>Clark Thompson</t>
        </is>
      </c>
      <c r="B109" s="6" t="inlineStr">
        <is>
          <t>Midway</t>
        </is>
      </c>
      <c r="C109" s="6" t="inlineStr">
        <is>
          <t>Executive Vice President and General Counsel</t>
        </is>
      </c>
      <c r="D109" s="7" t="inlineStr">
        <is>
          <t>Creative project, hybrid job</t>
        </is>
      </c>
      <c r="E109" s="8" t="n">
        <v>2</v>
      </c>
      <c r="F109" s="6" t="inlineStr">
        <is>
          <t>Buys walls</t>
        </is>
      </c>
      <c r="G109" s="6" t="inlineStr">
        <is>
          <t>Houston HQ / East End, Harris County</t>
        </is>
      </c>
      <c r="H109" s="6" t="inlineStr">
        <is>
          <t>East River: 150 acres, 60 city blocks</t>
        </is>
      </c>
      <c r="I109" s="8" t="inlineStr">
        <is>
          <t>Partly</t>
        </is>
      </c>
      <c r="J109" s="9" t="inlineStr">
        <is>
          <t>East River is 60 city blocks on one site, phased over decades.</t>
        </is>
      </c>
      <c r="K109" s="8" t="inlineStr">
        <is>
          <t>No</t>
        </is>
      </c>
      <c r="L109" s="9" t="inlineStr">
        <is>
          <t>Sixty blocks of mixed-use. The buildings are one-offs, whatever the acreage.</t>
        </is>
      </c>
      <c r="M109" s="8" t="inlineStr">
        <is>
          <t>Partly</t>
        </is>
      </c>
      <c r="N109" s="9" t="inlineStr">
        <is>
          <t>District-scale design ambition, but no specific method precedent was found.</t>
        </is>
      </c>
      <c r="O109" s="8" t="inlineStr">
        <is>
          <t>No</t>
        </is>
      </c>
      <c r="P109" s="10" t="inlineStr"/>
      <c r="Q109" s="6">
        <f>HYPERLINK("https://www.linkedin.com/search/results/people/?keywords=Clark%20Thompson%20Midway","search")</f>
        <v/>
      </c>
      <c r="R109" s="11">
        <f>IF(P109="","ADD LINKEDIN","ok")</f>
        <v/>
      </c>
      <c r="S109" s="6" t="inlineStr">
        <is>
          <t>https://www.midway.team/</t>
        </is>
      </c>
      <c r="T109" s="9" t="inlineStr">
        <is>
          <t>East River is 60 blocks on one site. No capital figure disclosed and the Parkway relationship is unresolved.</t>
        </is>
      </c>
      <c r="U10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9" s="6" t="inlineStr"/>
      <c r="W109" s="9" t="inlineStr">
        <is>
          <t>Executive Vice President and General Counsel.</t>
        </is>
      </c>
      <c r="X109" s="6" t="inlineStr">
        <is>
          <t>https://www.midway.team/our-people</t>
        </is>
      </c>
      <c r="Y109" s="6" t="inlineStr">
        <is>
          <t>https://www.linkedin.com/company/midway</t>
        </is>
      </c>
      <c r="Z109" s="6" t="inlineStr">
        <is>
          <t>https://www.midway.team/our-people</t>
        </is>
      </c>
    </row>
    <row r="110">
      <c r="A110" s="12" t="inlineStr">
        <is>
          <t>Rob Sigler</t>
        </is>
      </c>
      <c r="B110" s="12" t="inlineStr">
        <is>
          <t>Midway</t>
        </is>
      </c>
      <c r="C110" s="12" t="inlineStr">
        <is>
          <t>Executive Vice President, Construction, Investment and Development, Midway</t>
        </is>
      </c>
      <c r="D110" s="13" t="inlineStr">
        <is>
          <t>Creative project, hybrid job</t>
        </is>
      </c>
      <c r="E110" s="14" t="n">
        <v>2</v>
      </c>
      <c r="F110" s="12" t="inlineStr">
        <is>
          <t>Buys walls</t>
        </is>
      </c>
      <c r="G110" s="12" t="inlineStr">
        <is>
          <t>Houston HQ / East End, Harris County</t>
        </is>
      </c>
      <c r="H110" s="12" t="inlineStr">
        <is>
          <t>East River: 150 acres, 60 city blocks</t>
        </is>
      </c>
      <c r="I110" s="14" t="inlineStr">
        <is>
          <t>Partly</t>
        </is>
      </c>
      <c r="J110" s="15" t="inlineStr">
        <is>
          <t>East River is 60 city blocks on one site, phased over decades.</t>
        </is>
      </c>
      <c r="K110" s="14" t="inlineStr">
        <is>
          <t>No</t>
        </is>
      </c>
      <c r="L110" s="15" t="inlineStr">
        <is>
          <t>Sixty blocks of mixed-use. The buildings are one-offs, whatever the acreage.</t>
        </is>
      </c>
      <c r="M110" s="14" t="inlineStr">
        <is>
          <t>Partly</t>
        </is>
      </c>
      <c r="N110" s="15" t="inlineStr">
        <is>
          <t>District-scale design ambition, but no specific method precedent was found.</t>
        </is>
      </c>
      <c r="O110" s="14" t="inlineStr">
        <is>
          <t>No</t>
        </is>
      </c>
      <c r="P110" s="6" t="inlineStr">
        <is>
          <t>https://www.linkedin.com/in/robsigler/</t>
        </is>
      </c>
      <c r="Q110" s="12" t="inlineStr"/>
      <c r="R110" s="16">
        <f>IF(P110="","ADD LINKEDIN","ok")</f>
        <v/>
      </c>
      <c r="S110" s="12" t="inlineStr">
        <is>
          <t>https://www.midway.team/</t>
        </is>
      </c>
      <c r="T110" s="15" t="inlineStr">
        <is>
          <t>East River is 60 blocks on one site. No capital figure disclosed and the Parkway relationship is unresolved.</t>
        </is>
      </c>
      <c r="U110"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0" s="12" t="inlineStr">
        <is>
          <t>YES</t>
        </is>
      </c>
      <c r="W110"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10" s="12" t="inlineStr"/>
      <c r="Y110" s="12" t="inlineStr">
        <is>
          <t>https://www.linkedin.com/company/midway</t>
        </is>
      </c>
      <c r="Z110" s="12" t="inlineStr">
        <is>
          <t>https://www.midway.team/our-people</t>
        </is>
      </c>
    </row>
    <row r="111">
      <c r="A111" s="6" t="inlineStr">
        <is>
          <t>Anna Deans</t>
        </is>
      </c>
      <c r="B111" s="6" t="inlineStr">
        <is>
          <t>Midway</t>
        </is>
      </c>
      <c r="C111" s="6" t="inlineStr">
        <is>
          <t>Executive Vice President, Midway</t>
        </is>
      </c>
      <c r="D111" s="7" t="inlineStr">
        <is>
          <t>Creative project, hybrid job</t>
        </is>
      </c>
      <c r="E111" s="8" t="n">
        <v>2</v>
      </c>
      <c r="F111" s="6" t="inlineStr">
        <is>
          <t>Buys walls</t>
        </is>
      </c>
      <c r="G111" s="6" t="inlineStr">
        <is>
          <t>Houston HQ / East End, Harris County</t>
        </is>
      </c>
      <c r="H111" s="6" t="inlineStr">
        <is>
          <t>East River: 150 acres, 60 city blocks</t>
        </is>
      </c>
      <c r="I111" s="8" t="inlineStr">
        <is>
          <t>Partly</t>
        </is>
      </c>
      <c r="J111" s="9" t="inlineStr">
        <is>
          <t>East River is 60 city blocks on one site, phased over decades.</t>
        </is>
      </c>
      <c r="K111" s="8" t="inlineStr">
        <is>
          <t>No</t>
        </is>
      </c>
      <c r="L111" s="9" t="inlineStr">
        <is>
          <t>Sixty blocks of mixed-use. The buildings are one-offs, whatever the acreage.</t>
        </is>
      </c>
      <c r="M111" s="8" t="inlineStr">
        <is>
          <t>Partly</t>
        </is>
      </c>
      <c r="N111" s="9" t="inlineStr">
        <is>
          <t>District-scale design ambition, but no specific method precedent was found.</t>
        </is>
      </c>
      <c r="O111" s="8" t="inlineStr">
        <is>
          <t>No</t>
        </is>
      </c>
      <c r="P111" s="6" t="inlineStr">
        <is>
          <t>https://www.linkedin.com/in/anna-deans-bbbab03/</t>
        </is>
      </c>
      <c r="Q111" s="6" t="inlineStr"/>
      <c r="R111" s="11">
        <f>IF(P111="","ADD LINKEDIN","ok")</f>
        <v/>
      </c>
      <c r="S111" s="6" t="inlineStr">
        <is>
          <t>https://www.midway.team/</t>
        </is>
      </c>
      <c r="T111" s="9" t="inlineStr">
        <is>
          <t>East River is 60 blocks on one site. No capital figure disclosed and the Parkway relationship is unresolved.</t>
        </is>
      </c>
      <c r="U11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1" s="6" t="inlineStr"/>
      <c r="W111" s="9" t="inlineStr">
        <is>
          <t>Executive Vice President, Midway. Houston, Texas.</t>
        </is>
      </c>
      <c r="X111" s="6" t="inlineStr"/>
      <c r="Y111" s="6" t="inlineStr">
        <is>
          <t>https://www.linkedin.com/company/midway</t>
        </is>
      </c>
      <c r="Z111" s="6" t="inlineStr">
        <is>
          <t>https://www.midway.team/our-people</t>
        </is>
      </c>
    </row>
    <row r="112">
      <c r="A112" s="12" t="inlineStr">
        <is>
          <t>Paul Coonrod</t>
        </is>
      </c>
      <c r="B112" s="12" t="inlineStr">
        <is>
          <t>Pagewood</t>
        </is>
      </c>
      <c r="C112" s="12" t="inlineStr">
        <is>
          <t>Founder and Managing Principal</t>
        </is>
      </c>
      <c r="D112" s="13" t="inlineStr">
        <is>
          <t>Creative project, hybrid job</t>
        </is>
      </c>
      <c r="E112" s="14" t="n">
        <v>1</v>
      </c>
      <c r="F112" s="12" t="inlineStr">
        <is>
          <t>Buys walls</t>
        </is>
      </c>
      <c r="G112" s="12" t="inlineStr">
        <is>
          <t>Houston</t>
        </is>
      </c>
      <c r="H112" s="12" t="inlineStr">
        <is>
          <t>East Blocks, 513,000 sf across ten EaDo blocks</t>
        </is>
      </c>
      <c r="I112" s="14" t="inlineStr">
        <is>
          <t>Partly</t>
        </is>
      </c>
      <c r="J112" s="15" t="inlineStr">
        <is>
          <t>Ten blocks under one plan is concentration, but every building is its own problem.</t>
        </is>
      </c>
      <c r="K112" s="14" t="inlineStr">
        <is>
          <t>No</t>
        </is>
      </c>
      <c r="L112" s="15" t="inlineStr">
        <is>
          <t>The phase-one programme is retail, office and parking rather than repeated units.</t>
        </is>
      </c>
      <c r="M112" s="14" t="inlineStr">
        <is>
          <t>No</t>
        </is>
      </c>
      <c r="N112" s="15" t="inlineStr">
        <is>
          <t>It chose to keep eighty-year-old warehouses that would have been cheaper to demolish. The partner said so on the record.</t>
        </is>
      </c>
      <c r="O112" s="14" t="inlineStr">
        <is>
          <t>Partly</t>
        </is>
      </c>
      <c r="P112" s="10" t="inlineStr"/>
      <c r="Q112" s="12">
        <f>HYPERLINK("https://www.linkedin.com/search/results/people/?keywords=Paul%20Coonrod%20Pagewood","search")</f>
        <v/>
      </c>
      <c r="R112" s="16">
        <f>IF(P112="","ADD LINKEDIN","ok")</f>
        <v/>
      </c>
      <c r="S112" s="12" t="inlineStr">
        <is>
          <t>https://www.pagewood.com/</t>
        </is>
      </c>
      <c r="T112" s="15" t="inlineStr">
        <is>
          <t>Ten contiguous EaDo blocks, 513,000 square feet in phase one, Gensler on design and SWA on landscape. It builds ground-up industrial elsewhere, so it is not conversion-only.</t>
        </is>
      </c>
      <c r="U11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2" s="12" t="inlineStr"/>
      <c r="W112" s="15" t="inlineStr">
        <is>
          <t>Team page: Founder and Managing Principal.</t>
        </is>
      </c>
      <c r="X112" s="12" t="inlineStr">
        <is>
          <t>https://www.pagewood.com/team</t>
        </is>
      </c>
      <c r="Y112" s="12" t="inlineStr"/>
      <c r="Z112" s="12" t="inlineStr"/>
    </row>
    <row r="113">
      <c r="A113" s="6" t="inlineStr">
        <is>
          <t>Mat Volz</t>
        </is>
      </c>
      <c r="B113" s="6" t="inlineStr">
        <is>
          <t>Pagewood</t>
        </is>
      </c>
      <c r="C113" s="6" t="inlineStr">
        <is>
          <t>Managing Principal</t>
        </is>
      </c>
      <c r="D113" s="7" t="inlineStr">
        <is>
          <t>Creative project, hybrid job</t>
        </is>
      </c>
      <c r="E113" s="8" t="n">
        <v>1</v>
      </c>
      <c r="F113" s="6" t="inlineStr">
        <is>
          <t>Buys walls</t>
        </is>
      </c>
      <c r="G113" s="6" t="inlineStr">
        <is>
          <t>Houston</t>
        </is>
      </c>
      <c r="H113" s="6" t="inlineStr">
        <is>
          <t>East Blocks, 513,000 sf across ten EaDo blocks</t>
        </is>
      </c>
      <c r="I113" s="8" t="inlineStr">
        <is>
          <t>Partly</t>
        </is>
      </c>
      <c r="J113" s="9" t="inlineStr">
        <is>
          <t>Ten blocks under one plan is concentration, but every building is its own problem.</t>
        </is>
      </c>
      <c r="K113" s="8" t="inlineStr">
        <is>
          <t>No</t>
        </is>
      </c>
      <c r="L113" s="9" t="inlineStr">
        <is>
          <t>The phase-one programme is retail, office and parking rather than repeated units.</t>
        </is>
      </c>
      <c r="M113" s="8" t="inlineStr">
        <is>
          <t>No</t>
        </is>
      </c>
      <c r="N113" s="9" t="inlineStr">
        <is>
          <t>It chose to keep eighty-year-old warehouses that would have been cheaper to demolish. The partner said so on the record.</t>
        </is>
      </c>
      <c r="O113" s="8" t="inlineStr">
        <is>
          <t>Partly</t>
        </is>
      </c>
      <c r="P113" s="6" t="inlineStr">
        <is>
          <t>https://www.linkedin.com/in/mathew-volz-14684850/</t>
        </is>
      </c>
      <c r="Q113" s="6" t="inlineStr"/>
      <c r="R113" s="11">
        <f>IF(P113="","ADD LINKEDIN","ok")</f>
        <v/>
      </c>
      <c r="S113" s="6" t="inlineStr">
        <is>
          <t>https://www.pagewood.com/</t>
        </is>
      </c>
      <c r="T113" s="9" t="inlineStr">
        <is>
          <t>Ten contiguous EaDo blocks, 513,000 square feet in phase one, Gensler on design and SWA on landscape. It builds ground-up industrial elsewhere, so it is not conversion-only.</t>
        </is>
      </c>
      <c r="U113"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3" s="6" t="inlineStr"/>
      <c r="W113" s="9" t="inlineStr">
        <is>
          <t>Indexed title reads Mathew Volz, Managing Principal at Pagewood. The firm's team page spells the name Mat. Team page: Managing Principal.</t>
        </is>
      </c>
      <c r="X113" s="6" t="inlineStr">
        <is>
          <t>https://www.pagewood.com/team</t>
        </is>
      </c>
      <c r="Y113" s="6" t="inlineStr"/>
      <c r="Z113" s="6" t="inlineStr"/>
    </row>
    <row r="114">
      <c r="A114" s="12" t="inlineStr">
        <is>
          <t>Preston Luster</t>
        </is>
      </c>
      <c r="B114" s="12" t="inlineStr">
        <is>
          <t>Pagewood</t>
        </is>
      </c>
      <c r="C114" s="12" t="inlineStr">
        <is>
          <t>Senior Construction Manager</t>
        </is>
      </c>
      <c r="D114" s="13" t="inlineStr">
        <is>
          <t>Creative project, hybrid job</t>
        </is>
      </c>
      <c r="E114" s="14" t="n">
        <v>1</v>
      </c>
      <c r="F114" s="12" t="inlineStr">
        <is>
          <t>Buys walls</t>
        </is>
      </c>
      <c r="G114" s="12" t="inlineStr">
        <is>
          <t>Houston</t>
        </is>
      </c>
      <c r="H114" s="12" t="inlineStr">
        <is>
          <t>East Blocks, 513,000 sf across ten EaDo blocks</t>
        </is>
      </c>
      <c r="I114" s="14" t="inlineStr">
        <is>
          <t>Partly</t>
        </is>
      </c>
      <c r="J114" s="15" t="inlineStr">
        <is>
          <t>Ten blocks under one plan is concentration, but every building is its own problem.</t>
        </is>
      </c>
      <c r="K114" s="14" t="inlineStr">
        <is>
          <t>No</t>
        </is>
      </c>
      <c r="L114" s="15" t="inlineStr">
        <is>
          <t>The phase-one programme is retail, office and parking rather than repeated units.</t>
        </is>
      </c>
      <c r="M114" s="14" t="inlineStr">
        <is>
          <t>No</t>
        </is>
      </c>
      <c r="N114" s="15" t="inlineStr">
        <is>
          <t>It chose to keep eighty-year-old warehouses that would have been cheaper to demolish. The partner said so on the record.</t>
        </is>
      </c>
      <c r="O114" s="14" t="inlineStr">
        <is>
          <t>Partly</t>
        </is>
      </c>
      <c r="P114" s="10" t="inlineStr"/>
      <c r="Q114" s="12">
        <f>HYPERLINK("https://www.linkedin.com/search/results/people/?keywords=Preston%20Luster%20Pagewood","search")</f>
        <v/>
      </c>
      <c r="R114" s="16">
        <f>IF(P114="","ADD LINKEDIN","ok")</f>
        <v/>
      </c>
      <c r="S114" s="12" t="inlineStr">
        <is>
          <t>https://www.pagewood.com/</t>
        </is>
      </c>
      <c r="T114" s="15" t="inlineStr">
        <is>
          <t>Ten contiguous EaDo blocks, 513,000 square feet in phase one, Gensler on design and SWA on landscape. It builds ground-up industrial elsewhere, so it is not conversion-only.</t>
        </is>
      </c>
      <c r="U114"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4" s="12" t="inlineStr"/>
      <c r="W114" s="15" t="inlineStr">
        <is>
          <t>Team page: Senior Construction Manager.</t>
        </is>
      </c>
      <c r="X114" s="12" t="inlineStr">
        <is>
          <t>https://www.pagewood.com/team</t>
        </is>
      </c>
      <c r="Y114" s="12" t="inlineStr"/>
      <c r="Z114" s="12" t="inlineStr"/>
    </row>
    <row r="115">
      <c r="A115" s="6" t="inlineStr">
        <is>
          <t>David Kelley</t>
        </is>
      </c>
      <c r="B115" s="6" t="inlineStr">
        <is>
          <t>Concept Neighborhood</t>
        </is>
      </c>
      <c r="C115" s="6" t="inlineStr">
        <is>
          <t>Managing Partner, Projects and Finance</t>
        </is>
      </c>
      <c r="D115" s="7" t="inlineStr">
        <is>
          <t>Creative project, hybrid job</t>
        </is>
      </c>
      <c r="E115" s="8" t="n">
        <v>1</v>
      </c>
      <c r="F115" s="6" t="inlineStr">
        <is>
          <t>Buys walls</t>
        </is>
      </c>
      <c r="G115" s="6" t="inlineStr">
        <is>
          <t>East End, Harris</t>
        </is>
      </c>
      <c r="H115" s="6" t="inlineStr">
        <is>
          <t>17 acres at The Plant, Second Ward</t>
        </is>
      </c>
      <c r="I115" s="8" t="inlineStr">
        <is>
          <t>No</t>
        </is>
      </c>
      <c r="J115" s="9" t="inlineStr">
        <is>
          <t>Four blocks of eighty-year-old industrial buildings, each one different. There is no plan to repeat.</t>
        </is>
      </c>
      <c r="K115" s="8" t="inlineStr">
        <is>
          <t>No</t>
        </is>
      </c>
      <c r="L115" s="9" t="inlineStr">
        <is>
          <t>Conversion work leaves little new wall. A printed element would have to be an addition rather than the building.</t>
        </is>
      </c>
      <c r="M115" s="8" t="inlineStr">
        <is>
          <t>Partly</t>
        </is>
      </c>
      <c r="N115" s="9" t="inlineStr">
        <is>
          <t>They restored an 1890s building to open Axelrad and took a National Register industrial basilica on at The Factory. This is a team that chooses the harder build on purpose.</t>
        </is>
      </c>
      <c r="O115" s="8" t="inlineStr">
        <is>
          <t>No</t>
        </is>
      </c>
      <c r="P115" s="6" t="inlineStr">
        <is>
          <t>https://www.linkedin.com/in/david-kelley-275240105/</t>
        </is>
      </c>
      <c r="Q115" s="6" t="inlineStr"/>
      <c r="R115" s="11">
        <f>IF(P115="","ADD LINKEDIN","ok")</f>
        <v/>
      </c>
      <c r="S115" s="6" t="inlineStr">
        <is>
          <t>https://www.conceptneighborhood.com/</t>
        </is>
      </c>
      <c r="T115" s="9" t="inlineStr">
        <is>
          <t>The only firm screened whose founders operate hospitality themselves rather than leasing to operators. Seventeen acres of industrial conversion in the East End.</t>
        </is>
      </c>
      <c r="U115" s="9" t="inlineStr">
        <is>
          <t>No outside architect is credited on any project. Design sits with a partner in house, which means a method conversation goes straight to a decision-maker rather than through a consultant.</t>
        </is>
      </c>
      <c r="V115" s="6" t="inlineStr"/>
      <c r="W115" s="9" t="inlineStr">
        <is>
          <t>Linked from conceptneighborhood.com/team, which lists him as Managing Partner, Projects and Finance. Team page: Managing Partner, Projects and Finance.</t>
        </is>
      </c>
      <c r="X115" s="6" t="inlineStr">
        <is>
          <t>https://www.conceptneighborhood.com/team</t>
        </is>
      </c>
      <c r="Y115" s="6" t="inlineStr"/>
      <c r="Z115" s="6" t="inlineStr"/>
    </row>
    <row r="116">
      <c r="A116" s="12" t="inlineStr">
        <is>
          <t>Jeffrey Kaplan</t>
        </is>
      </c>
      <c r="B116" s="12" t="inlineStr">
        <is>
          <t>Concept Neighborhood</t>
        </is>
      </c>
      <c r="C116" s="12" t="inlineStr">
        <is>
          <t>Managing Partner, Brokerage and Placemaking, co-founder of Axelrad</t>
        </is>
      </c>
      <c r="D116" s="13" t="inlineStr">
        <is>
          <t>Creative project, hybrid job</t>
        </is>
      </c>
      <c r="E116" s="14" t="n">
        <v>1</v>
      </c>
      <c r="F116" s="12" t="inlineStr">
        <is>
          <t>Buys walls</t>
        </is>
      </c>
      <c r="G116" s="12" t="inlineStr">
        <is>
          <t>East End, Harris</t>
        </is>
      </c>
      <c r="H116" s="12" t="inlineStr">
        <is>
          <t>17 acres at The Plant, Second Ward</t>
        </is>
      </c>
      <c r="I116" s="14" t="inlineStr">
        <is>
          <t>No</t>
        </is>
      </c>
      <c r="J116" s="15" t="inlineStr">
        <is>
          <t>Four blocks of eighty-year-old industrial buildings, each one different. There is no plan to repeat.</t>
        </is>
      </c>
      <c r="K116" s="14" t="inlineStr">
        <is>
          <t>No</t>
        </is>
      </c>
      <c r="L116" s="15" t="inlineStr">
        <is>
          <t>Conversion work leaves little new wall. A printed element would have to be an addition rather than the building.</t>
        </is>
      </c>
      <c r="M116" s="14" t="inlineStr">
        <is>
          <t>Partly</t>
        </is>
      </c>
      <c r="N116" s="15" t="inlineStr">
        <is>
          <t>They restored an 1890s building to open Axelrad and took a National Register industrial basilica on at The Factory. This is a team that chooses the harder build on purpose.</t>
        </is>
      </c>
      <c r="O116" s="14" t="inlineStr">
        <is>
          <t>No</t>
        </is>
      </c>
      <c r="P116" s="6" t="inlineStr">
        <is>
          <t>https://www.linkedin.com/in/jeffrey-kaplan-71190150/</t>
        </is>
      </c>
      <c r="Q116" s="12" t="inlineStr"/>
      <c r="R116" s="16">
        <f>IF(P116="","ADD LINKEDIN","ok")</f>
        <v/>
      </c>
      <c r="S116" s="12" t="inlineStr">
        <is>
          <t>https://www.conceptneighborhood.com/</t>
        </is>
      </c>
      <c r="T116" s="15" t="inlineStr">
        <is>
          <t>The only firm screened whose founders operate hospitality themselves rather than leasing to operators. Seventeen acres of industrial conversion in the East End.</t>
        </is>
      </c>
      <c r="U116" s="15" t="inlineStr">
        <is>
          <t>No outside architect is credited on any project. Design sits with a partner in house, which means a method conversation goes straight to a decision-maker rather than through a consultant.</t>
        </is>
      </c>
      <c r="V116" s="12" t="inlineStr"/>
      <c r="W116" s="15" t="inlineStr">
        <is>
          <t>Linked from conceptneighborhood.com/team, which lists him as Managing Partner, Brokerage and Placemaking. Team page: Managing Partner, Brokerage and Placemaking.</t>
        </is>
      </c>
      <c r="X116" s="12" t="inlineStr">
        <is>
          <t>https://www.conceptneighborhood.com/team</t>
        </is>
      </c>
      <c r="Y116" s="12" t="inlineStr"/>
      <c r="Z116" s="12" t="inlineStr"/>
    </row>
    <row r="117">
      <c r="A117" s="6" t="inlineStr">
        <is>
          <t>Monte Large</t>
        </is>
      </c>
      <c r="B117" s="6" t="inlineStr">
        <is>
          <t>Concept Neighborhood</t>
        </is>
      </c>
      <c r="C117" s="6" t="inlineStr">
        <is>
          <t>Partner, Design and Placemaking</t>
        </is>
      </c>
      <c r="D117" s="7" t="inlineStr">
        <is>
          <t>Creative project, hybrid job</t>
        </is>
      </c>
      <c r="E117" s="8" t="n">
        <v>1</v>
      </c>
      <c r="F117" s="6" t="inlineStr">
        <is>
          <t>Buys walls</t>
        </is>
      </c>
      <c r="G117" s="6" t="inlineStr">
        <is>
          <t>East End, Harris</t>
        </is>
      </c>
      <c r="H117" s="6" t="inlineStr">
        <is>
          <t>17 acres at The Plant, Second Ward</t>
        </is>
      </c>
      <c r="I117" s="8" t="inlineStr">
        <is>
          <t>No</t>
        </is>
      </c>
      <c r="J117" s="9" t="inlineStr">
        <is>
          <t>Four blocks of eighty-year-old industrial buildings, each one different. There is no plan to repeat.</t>
        </is>
      </c>
      <c r="K117" s="8" t="inlineStr">
        <is>
          <t>No</t>
        </is>
      </c>
      <c r="L117" s="9" t="inlineStr">
        <is>
          <t>Conversion work leaves little new wall. A printed element would have to be an addition rather than the building.</t>
        </is>
      </c>
      <c r="M117" s="8" t="inlineStr">
        <is>
          <t>Partly</t>
        </is>
      </c>
      <c r="N117" s="9" t="inlineStr">
        <is>
          <t>They restored an 1890s building to open Axelrad and took a National Register industrial basilica on at The Factory. This is a team that chooses the harder build on purpose.</t>
        </is>
      </c>
      <c r="O117" s="8" t="inlineStr">
        <is>
          <t>No</t>
        </is>
      </c>
      <c r="P117" s="6" t="inlineStr">
        <is>
          <t>https://www.linkedin.com/in/montelarge/</t>
        </is>
      </c>
      <c r="Q117" s="6" t="inlineStr"/>
      <c r="R117" s="11">
        <f>IF(P117="","ADD LINKEDIN","ok")</f>
        <v/>
      </c>
      <c r="S117" s="6" t="inlineStr">
        <is>
          <t>https://www.conceptneighborhood.com/</t>
        </is>
      </c>
      <c r="T117" s="9" t="inlineStr">
        <is>
          <t>The only firm screened whose founders operate hospitality themselves rather than leasing to operators. Seventeen acres of industrial conversion in the East End.</t>
        </is>
      </c>
      <c r="U117" s="9" t="inlineStr">
        <is>
          <t>No outside architect is credited on any project. Design sits with a partner in house, which means a method conversation goes straight to a decision-maker rather than through a consultant.</t>
        </is>
      </c>
      <c r="V117" s="6" t="inlineStr"/>
      <c r="W117" s="9" t="inlineStr">
        <is>
          <t>Linked from conceptneighborhood.com/team, which lists him as Partner, Design and Placemaking. Team page: Partner, Design and Placemaking.</t>
        </is>
      </c>
      <c r="X117" s="6" t="inlineStr">
        <is>
          <t>https://www.conceptneighborhood.com/team</t>
        </is>
      </c>
      <c r="Y117" s="6" t="inlineStr"/>
      <c r="Z117" s="6" t="inlineStr"/>
    </row>
    <row r="118">
      <c r="A118" s="12" t="inlineStr">
        <is>
          <t>Jeremy Roberts</t>
        </is>
      </c>
      <c r="B118" s="12" t="inlineStr">
        <is>
          <t>Concept Neighborhood</t>
        </is>
      </c>
      <c r="C118" s="12" t="inlineStr">
        <is>
          <t>Managing Partner, Projects and Legal</t>
        </is>
      </c>
      <c r="D118" s="13" t="inlineStr">
        <is>
          <t>Creative project, hybrid job</t>
        </is>
      </c>
      <c r="E118" s="14" t="n">
        <v>1</v>
      </c>
      <c r="F118" s="12" t="inlineStr">
        <is>
          <t>Buys walls</t>
        </is>
      </c>
      <c r="G118" s="12" t="inlineStr">
        <is>
          <t>East End, Harris</t>
        </is>
      </c>
      <c r="H118" s="12" t="inlineStr">
        <is>
          <t>17 acres at The Plant, Second Ward</t>
        </is>
      </c>
      <c r="I118" s="14" t="inlineStr">
        <is>
          <t>No</t>
        </is>
      </c>
      <c r="J118" s="15" t="inlineStr">
        <is>
          <t>Four blocks of eighty-year-old industrial buildings, each one different. There is no plan to repeat.</t>
        </is>
      </c>
      <c r="K118" s="14" t="inlineStr">
        <is>
          <t>No</t>
        </is>
      </c>
      <c r="L118" s="15" t="inlineStr">
        <is>
          <t>Conversion work leaves little new wall. A printed element would have to be an addition rather than the building.</t>
        </is>
      </c>
      <c r="M118" s="14" t="inlineStr">
        <is>
          <t>Partly</t>
        </is>
      </c>
      <c r="N118" s="15" t="inlineStr">
        <is>
          <t>They restored an 1890s building to open Axelrad and took a National Register industrial basilica on at The Factory. This is a team that chooses the harder build on purpose.</t>
        </is>
      </c>
      <c r="O118" s="14" t="inlineStr">
        <is>
          <t>No</t>
        </is>
      </c>
      <c r="P118" s="6" t="inlineStr">
        <is>
          <t>https://www.linkedin.com/in/jeremyaaronroberts/</t>
        </is>
      </c>
      <c r="Q118" s="12" t="inlineStr"/>
      <c r="R118" s="16">
        <f>IF(P118="","ADD LINKEDIN","ok")</f>
        <v/>
      </c>
      <c r="S118" s="12" t="inlineStr">
        <is>
          <t>https://www.conceptneighborhood.com/</t>
        </is>
      </c>
      <c r="T118" s="15" t="inlineStr">
        <is>
          <t>The only firm screened whose founders operate hospitality themselves rather than leasing to operators. Seventeen acres of industrial conversion in the East End.</t>
        </is>
      </c>
      <c r="U118" s="15" t="inlineStr">
        <is>
          <t>No outside architect is credited on any project. Design sits with a partner in house, which means a method conversation goes straight to a decision-maker rather than through a consultant.</t>
        </is>
      </c>
      <c r="V118" s="12" t="inlineStr"/>
      <c r="W118" s="15" t="inlineStr">
        <is>
          <t>Linked from conceptneighborhood.com/team, which lists him as Managing Partner, Projects and Legal. Team page: Managing Partner, Projects and Legal.</t>
        </is>
      </c>
      <c r="X118" s="12" t="inlineStr">
        <is>
          <t>https://www.conceptneighborhood.com/team</t>
        </is>
      </c>
      <c r="Y118" s="12" t="inlineStr"/>
      <c r="Z118" s="12" t="inlineStr"/>
    </row>
    <row r="119">
      <c r="A119" s="6" t="inlineStr">
        <is>
          <t>Randolph Wile</t>
        </is>
      </c>
      <c r="B119" s="6" t="inlineStr">
        <is>
          <t>Wile Interests</t>
        </is>
      </c>
      <c r="C119" s="6" t="inlineStr">
        <is>
          <t>Founder and President</t>
        </is>
      </c>
      <c r="D119" s="7" t="inlineStr">
        <is>
          <t>Creative project, hybrid job</t>
        </is>
      </c>
      <c r="E119" s="8" t="n">
        <v>1</v>
      </c>
      <c r="F119" s="6" t="inlineStr">
        <is>
          <t>Buys walls</t>
        </is>
      </c>
      <c r="G119" s="6" t="inlineStr">
        <is>
          <t>Houston and Katy</t>
        </is>
      </c>
      <c r="H119" s="6" t="inlineStr">
        <is>
          <t>Ground-up in Katy, adaptive reuse in EaDo</t>
        </is>
      </c>
      <c r="I119" s="8" t="inlineStr">
        <is>
          <t>Partly</t>
        </is>
      </c>
      <c r="J119" s="9" t="inlineStr">
        <is>
          <t>Two quite different programmes in two submarkets. No repeated unit.</t>
        </is>
      </c>
      <c r="K119" s="8" t="inlineStr">
        <is>
          <t>No</t>
        </is>
      </c>
      <c r="L119" s="9" t="inlineStr">
        <is>
          <t>Medical office and retail shells rather than houses.</t>
        </is>
      </c>
      <c r="M119" s="8" t="inlineStr">
        <is>
          <t>No</t>
        </is>
      </c>
      <c r="N119" s="9" t="inlineStr">
        <is>
          <t>Its president is the one quoted explaining why the firm kept the old warehouses instead of clearing the site.</t>
        </is>
      </c>
      <c r="O119" s="8" t="inlineStr">
        <is>
          <t>No</t>
        </is>
      </c>
      <c r="P119" s="6" t="inlineStr">
        <is>
          <t>https://www.linkedin.com/in/randolph-wile/</t>
        </is>
      </c>
      <c r="Q119" s="6" t="inlineStr"/>
      <c r="R119" s="11">
        <f>IF(P119="","ADD LINKEDIN","ok")</f>
        <v/>
      </c>
      <c r="S119" s="6" t="inlineStr">
        <is>
          <t>https://www.pagewood.com/</t>
        </is>
      </c>
      <c r="T119" s="9" t="inlineStr">
        <is>
          <t>Ground-up medical and retail in Katy, conversion in EaDo.</t>
        </is>
      </c>
      <c r="U119" s="9" t="inlineStr">
        <is>
          <t>The firm's own website is a placeholder with no content, so everything here comes from press. Reach the firm through the Pagewood relationship.</t>
        </is>
      </c>
      <c r="V119" s="6" t="inlineStr"/>
      <c r="W119" s="9" t="inlineStr">
        <is>
          <t>Indexed title reads Randolph Wile, Wile Interests, Inc. The Real Deal, November 2023, quotes Wile Interests president Randolph Wile.</t>
        </is>
      </c>
      <c r="X119" s="6" t="inlineStr">
        <is>
          <t>https://therealdeal.com/texas/houston/2023/11/13/pagewood-wile-to-convert-eado-houston-warehouses/</t>
        </is>
      </c>
      <c r="Y119" s="6" t="inlineStr"/>
      <c r="Z119" s="6" t="inlineStr"/>
    </row>
    <row r="120">
      <c r="A120" s="12" t="inlineStr">
        <is>
          <t>Eric Lipar</t>
        </is>
      </c>
      <c r="B120" s="12" t="inlineStr">
        <is>
          <t>LGI Homes, Inc.</t>
        </is>
      </c>
      <c r="C120" s="12" t="inlineStr">
        <is>
          <t>Chief Executive Officer and Chairman of the Board</t>
        </is>
      </c>
      <c r="D120" s="13" t="inlineStr">
        <is>
          <t>National scale, pilot not purchase</t>
        </is>
      </c>
      <c r="E120" s="14" t="n">
        <v>1</v>
      </c>
      <c r="F120" s="12" t="inlineStr">
        <is>
          <t>Buys walls</t>
        </is>
      </c>
      <c r="G120" s="12" t="inlineStr">
        <is>
          <t>The Woodlands HQ, Montgomery County</t>
        </is>
      </c>
      <c r="H120" s="12" t="inlineStr">
        <is>
          <t>185+ communities, Houston-area HQ</t>
        </is>
      </c>
      <c r="I120" s="14" t="inlineStr">
        <is>
          <t>Yes</t>
        </is>
      </c>
      <c r="J120" s="15" t="inlineStr">
        <is>
          <t>More than 185 communities, entry-level product, head office in the metro.</t>
        </is>
      </c>
      <c r="K120" s="14" t="inlineStr">
        <is>
          <t>No</t>
        </is>
      </c>
      <c r="L120" s="15" t="inlineStr">
        <is>
          <t>Thousands of closings a year across a dozen states, bought from one office.</t>
        </is>
      </c>
      <c r="M120" s="14" t="inlineStr">
        <is>
          <t>No</t>
        </is>
      </c>
      <c r="N120" s="15" t="inlineStr">
        <is>
          <t>Its Q2 2026 earnings call mentions method, labour and cycle time zero times.</t>
        </is>
      </c>
      <c r="O120" s="14" t="inlineStr">
        <is>
          <t>Yes</t>
        </is>
      </c>
      <c r="P120" s="10" t="inlineStr"/>
      <c r="Q120" s="12">
        <f>HYPERLINK("https://www.linkedin.com/search/results/people/?keywords=Eric%20Lipar%20LGI%20Homes%2C%20Inc.","search")</f>
        <v/>
      </c>
      <c r="R120" s="16">
        <f>IF(P120="","ADD LINKEDIN","ok")</f>
        <v/>
      </c>
      <c r="S120" s="12" t="inlineStr">
        <is>
          <t>https://www.lgihomes.com/</t>
        </is>
      </c>
      <c r="T120" s="15" t="inlineStr">
        <is>
          <t>The most standardised product here, headquartered in the metro. Its Q2 2026 call mentions method, labour and cycle time zero times.</t>
        </is>
      </c>
      <c r="U12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0" s="12" t="inlineStr"/>
      <c r="W120" s="15" t="inlineStr">
        <is>
          <t>Chief Executive Officer and Chairman on LGI's own management page.</t>
        </is>
      </c>
      <c r="X120" s="12" t="inlineStr">
        <is>
          <t>https://investor.lgihomes.com/corporate-governance/management</t>
        </is>
      </c>
      <c r="Y120" s="12" t="inlineStr">
        <is>
          <t>https://www.linkedin.com/company/lgi-homes</t>
        </is>
      </c>
      <c r="Z120" s="12" t="inlineStr">
        <is>
          <t>https://investor.lgihomes.com/corporate-governance/management</t>
        </is>
      </c>
    </row>
    <row r="121">
      <c r="A121" s="6" t="inlineStr">
        <is>
          <t>Mike Snider</t>
        </is>
      </c>
      <c r="B121" s="6" t="inlineStr">
        <is>
          <t>LGI Homes, Inc.</t>
        </is>
      </c>
      <c r="C121" s="6" t="inlineStr">
        <is>
          <t>President and Chief Operating Officer</t>
        </is>
      </c>
      <c r="D121" s="7" t="inlineStr">
        <is>
          <t>National scale, pilot not purchase</t>
        </is>
      </c>
      <c r="E121" s="8" t="n">
        <v>1</v>
      </c>
      <c r="F121" s="6" t="inlineStr">
        <is>
          <t>Buys walls</t>
        </is>
      </c>
      <c r="G121" s="6" t="inlineStr">
        <is>
          <t>The Woodlands HQ, Montgomery County</t>
        </is>
      </c>
      <c r="H121" s="6" t="inlineStr">
        <is>
          <t>185+ communities, Houston-area HQ</t>
        </is>
      </c>
      <c r="I121" s="8" t="inlineStr">
        <is>
          <t>Yes</t>
        </is>
      </c>
      <c r="J121" s="9" t="inlineStr">
        <is>
          <t>More than 185 communities, entry-level product, head office in the metro.</t>
        </is>
      </c>
      <c r="K121" s="8" t="inlineStr">
        <is>
          <t>No</t>
        </is>
      </c>
      <c r="L121" s="9" t="inlineStr">
        <is>
          <t>Thousands of closings a year across a dozen states, bought from one office.</t>
        </is>
      </c>
      <c r="M121" s="8" t="inlineStr">
        <is>
          <t>No</t>
        </is>
      </c>
      <c r="N121" s="9" t="inlineStr">
        <is>
          <t>Its Q2 2026 earnings call mentions method, labour and cycle time zero times.</t>
        </is>
      </c>
      <c r="O121" s="8" t="inlineStr">
        <is>
          <t>Yes</t>
        </is>
      </c>
      <c r="P121" s="10" t="inlineStr"/>
      <c r="Q121" s="6">
        <f>HYPERLINK("https://www.linkedin.com/search/results/people/?keywords=Mike%20Snider%20LGI%20Homes%2C%20Inc.","search")</f>
        <v/>
      </c>
      <c r="R121" s="11">
        <f>IF(P121="","ADD LINKEDIN","ok")</f>
        <v/>
      </c>
      <c r="S121" s="6" t="inlineStr">
        <is>
          <t>https://www.lgihomes.com/</t>
        </is>
      </c>
      <c r="T121" s="9" t="inlineStr">
        <is>
          <t>The most standardised product here, headquartered in the metro. Its Q2 2026 call mentions method, labour and cycle time zero times.</t>
        </is>
      </c>
      <c r="U12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1" s="6" t="inlineStr"/>
      <c r="W121" s="9" t="inlineStr">
        <is>
          <t>President and Chief Operating Officer on LGI's own management page.</t>
        </is>
      </c>
      <c r="X121" s="6" t="inlineStr">
        <is>
          <t>https://investor.lgihomes.com/corporate-governance/management</t>
        </is>
      </c>
      <c r="Y121" s="6" t="inlineStr">
        <is>
          <t>https://www.linkedin.com/company/lgi-homes</t>
        </is>
      </c>
      <c r="Z121" s="6" t="inlineStr">
        <is>
          <t>https://investor.lgihomes.com/corporate-governance/management</t>
        </is>
      </c>
    </row>
    <row r="122">
      <c r="A122" s="12" t="inlineStr">
        <is>
          <t>Charles Merdian</t>
        </is>
      </c>
      <c r="B122" s="12" t="inlineStr">
        <is>
          <t>LGI Homes, Inc.</t>
        </is>
      </c>
      <c r="C122" s="12" t="inlineStr">
        <is>
          <t>Chief Financial Officer and Treasurer</t>
        </is>
      </c>
      <c r="D122" s="13" t="inlineStr">
        <is>
          <t>National scale, pilot not purchase</t>
        </is>
      </c>
      <c r="E122" s="14" t="n">
        <v>1</v>
      </c>
      <c r="F122" s="12" t="inlineStr">
        <is>
          <t>Buys walls</t>
        </is>
      </c>
      <c r="G122" s="12" t="inlineStr">
        <is>
          <t>The Woodlands HQ, Montgomery County</t>
        </is>
      </c>
      <c r="H122" s="12" t="inlineStr">
        <is>
          <t>185+ communities, Houston-area HQ</t>
        </is>
      </c>
      <c r="I122" s="14" t="inlineStr">
        <is>
          <t>Yes</t>
        </is>
      </c>
      <c r="J122" s="15" t="inlineStr">
        <is>
          <t>More than 185 communities, entry-level product, head office in the metro.</t>
        </is>
      </c>
      <c r="K122" s="14" t="inlineStr">
        <is>
          <t>No</t>
        </is>
      </c>
      <c r="L122" s="15" t="inlineStr">
        <is>
          <t>Thousands of closings a year across a dozen states, bought from one office.</t>
        </is>
      </c>
      <c r="M122" s="14" t="inlineStr">
        <is>
          <t>No</t>
        </is>
      </c>
      <c r="N122" s="15" t="inlineStr">
        <is>
          <t>Its Q2 2026 earnings call mentions method, labour and cycle time zero times.</t>
        </is>
      </c>
      <c r="O122" s="14" t="inlineStr">
        <is>
          <t>Yes</t>
        </is>
      </c>
      <c r="P122" s="10" t="inlineStr"/>
      <c r="Q122" s="12">
        <f>HYPERLINK("https://www.linkedin.com/search/results/people/?keywords=Charles%20Merdian%20LGI%20Homes%2C%20Inc.","search")</f>
        <v/>
      </c>
      <c r="R122" s="16">
        <f>IF(P122="","ADD LINKEDIN","ok")</f>
        <v/>
      </c>
      <c r="S122" s="12" t="inlineStr">
        <is>
          <t>https://www.lgihomes.com/</t>
        </is>
      </c>
      <c r="T122" s="15" t="inlineStr">
        <is>
          <t>The most standardised product here, headquartered in the metro. Its Q2 2026 call mentions method, labour and cycle time zero times.</t>
        </is>
      </c>
      <c r="U12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2" s="12" t="inlineStr"/>
      <c r="W122" s="15" t="inlineStr">
        <is>
          <t>Chief Financial Officer and Treasurer on LGI's own management page.</t>
        </is>
      </c>
      <c r="X122" s="12" t="inlineStr">
        <is>
          <t>https://investor.lgihomes.com/corporate-governance/management</t>
        </is>
      </c>
      <c r="Y122" s="12" t="inlineStr">
        <is>
          <t>https://www.linkedin.com/company/lgi-homes</t>
        </is>
      </c>
      <c r="Z122" s="12" t="inlineStr">
        <is>
          <t>https://investor.lgihomes.com/corporate-governance/management</t>
        </is>
      </c>
    </row>
    <row r="123">
      <c r="A123" s="6" t="inlineStr">
        <is>
          <t>Chuck Collier</t>
        </is>
      </c>
      <c r="B123" s="6" t="inlineStr">
        <is>
          <t>LGI Homes, Inc.</t>
        </is>
      </c>
      <c r="C123" s="6" t="inlineStr">
        <is>
          <t>Vice President of Construction, Houston, LGI Homes</t>
        </is>
      </c>
      <c r="D123" s="7" t="inlineStr">
        <is>
          <t>National scale, pilot not purchase</t>
        </is>
      </c>
      <c r="E123" s="8" t="n">
        <v>1</v>
      </c>
      <c r="F123" s="6" t="inlineStr">
        <is>
          <t>Buys walls</t>
        </is>
      </c>
      <c r="G123" s="6" t="inlineStr">
        <is>
          <t>The Woodlands HQ, Montgomery County</t>
        </is>
      </c>
      <c r="H123" s="6" t="inlineStr">
        <is>
          <t>185+ communities, Houston-area HQ</t>
        </is>
      </c>
      <c r="I123" s="8" t="inlineStr">
        <is>
          <t>Yes</t>
        </is>
      </c>
      <c r="J123" s="9" t="inlineStr">
        <is>
          <t>More than 185 communities, entry-level product, head office in the metro.</t>
        </is>
      </c>
      <c r="K123" s="8" t="inlineStr">
        <is>
          <t>No</t>
        </is>
      </c>
      <c r="L123" s="9" t="inlineStr">
        <is>
          <t>Thousands of closings a year across a dozen states, bought from one office.</t>
        </is>
      </c>
      <c r="M123" s="8" t="inlineStr">
        <is>
          <t>No</t>
        </is>
      </c>
      <c r="N123" s="9" t="inlineStr">
        <is>
          <t>Its Q2 2026 earnings call mentions method, labour and cycle time zero times.</t>
        </is>
      </c>
      <c r="O123" s="8" t="inlineStr">
        <is>
          <t>Yes</t>
        </is>
      </c>
      <c r="P123" s="6" t="inlineStr">
        <is>
          <t>https://www.linkedin.com/in/chuck-collier-48286829/</t>
        </is>
      </c>
      <c r="Q123" s="6" t="inlineStr"/>
      <c r="R123" s="11">
        <f>IF(P123="","ADD LINKEDIN","ok")</f>
        <v/>
      </c>
      <c r="S123" s="6" t="inlineStr">
        <is>
          <t>https://www.lgihomes.com/</t>
        </is>
      </c>
      <c r="T123" s="9" t="inlineStr">
        <is>
          <t>The most standardised product here, headquartered in the metro. Its Q2 2026 call mentions method, labour and cycle time zero times.</t>
        </is>
      </c>
      <c r="U123"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3" s="6" t="inlineStr">
        <is>
          <t>YES</t>
        </is>
      </c>
      <c r="W123" s="9" t="inlineStr">
        <is>
          <t>VP of Construction, Houston, LGI Homes, stated in his own headline. Location shows only United States.</t>
        </is>
      </c>
      <c r="X123" s="6" t="inlineStr"/>
      <c r="Y123" s="6" t="inlineStr">
        <is>
          <t>https://www.linkedin.com/company/lgi-homes</t>
        </is>
      </c>
      <c r="Z123" s="6" t="inlineStr">
        <is>
          <t>https://investor.lgihomes.com/corporate-governance/management</t>
        </is>
      </c>
    </row>
    <row r="124">
      <c r="A124" s="12" t="inlineStr">
        <is>
          <t>Kyle Hanna</t>
        </is>
      </c>
      <c r="B124" s="12" t="inlineStr">
        <is>
          <t>LGI Homes, Inc.</t>
        </is>
      </c>
      <c r="C124" s="12" t="inlineStr">
        <is>
          <t>Vice President of Purchasing, LGI Homes</t>
        </is>
      </c>
      <c r="D124" s="13" t="inlineStr">
        <is>
          <t>National scale, pilot not purchase</t>
        </is>
      </c>
      <c r="E124" s="14" t="n">
        <v>1</v>
      </c>
      <c r="F124" s="12" t="inlineStr">
        <is>
          <t>Buys walls</t>
        </is>
      </c>
      <c r="G124" s="12" t="inlineStr">
        <is>
          <t>The Woodlands HQ, Montgomery County</t>
        </is>
      </c>
      <c r="H124" s="12" t="inlineStr">
        <is>
          <t>185+ communities, Houston-area HQ</t>
        </is>
      </c>
      <c r="I124" s="14" t="inlineStr">
        <is>
          <t>Yes</t>
        </is>
      </c>
      <c r="J124" s="15" t="inlineStr">
        <is>
          <t>More than 185 communities, entry-level product, head office in the metro.</t>
        </is>
      </c>
      <c r="K124" s="14" t="inlineStr">
        <is>
          <t>No</t>
        </is>
      </c>
      <c r="L124" s="15" t="inlineStr">
        <is>
          <t>Thousands of closings a year across a dozen states, bought from one office.</t>
        </is>
      </c>
      <c r="M124" s="14" t="inlineStr">
        <is>
          <t>No</t>
        </is>
      </c>
      <c r="N124" s="15" t="inlineStr">
        <is>
          <t>Its Q2 2026 earnings call mentions method, labour and cycle time zero times.</t>
        </is>
      </c>
      <c r="O124" s="14" t="inlineStr">
        <is>
          <t>Yes</t>
        </is>
      </c>
      <c r="P124" s="6" t="inlineStr">
        <is>
          <t>https://www.linkedin.com/in/kylemhanna/</t>
        </is>
      </c>
      <c r="Q124" s="12" t="inlineStr"/>
      <c r="R124" s="16">
        <f>IF(P124="","ADD LINKEDIN","ok")</f>
        <v/>
      </c>
      <c r="S124" s="12" t="inlineStr">
        <is>
          <t>https://www.lgihomes.com/</t>
        </is>
      </c>
      <c r="T124" s="15" t="inlineStr">
        <is>
          <t>The most standardised product here, headquartered in the metro. Its Q2 2026 call mentions method, labour and cycle time zero times.</t>
        </is>
      </c>
      <c r="U12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4" s="12" t="inlineStr">
        <is>
          <t>YES</t>
        </is>
      </c>
      <c r="W124" s="15" t="inlineStr">
        <is>
          <t>Vice President of Purchasing at LGI Homes. Conroe, Texas, which is the head office. The construction vice presidents sit in the markets, Austin, San Antonio, Nashville, Denver, Seattle; purchasing is the one that sits in Greater Houston.</t>
        </is>
      </c>
      <c r="X124" s="12" t="inlineStr"/>
      <c r="Y124" s="12" t="inlineStr">
        <is>
          <t>https://www.linkedin.com/company/lgi-homes</t>
        </is>
      </c>
      <c r="Z124" s="12" t="inlineStr">
        <is>
          <t>https://investor.lgihomes.com/corporate-governance/management</t>
        </is>
      </c>
    </row>
    <row r="125">
      <c r="A125" s="6" t="inlineStr">
        <is>
          <t>Bob Schottenstein</t>
        </is>
      </c>
      <c r="B125" s="6" t="inlineStr">
        <is>
          <t>M/I Homes, Inc.</t>
        </is>
      </c>
      <c r="C125" s="6" t="inlineStr">
        <is>
          <t>Chief Executive Officer</t>
        </is>
      </c>
      <c r="D125" s="7" t="inlineStr">
        <is>
          <t>National scale, pilot not purchase</t>
        </is>
      </c>
      <c r="E125" s="8" t="n">
        <v>1</v>
      </c>
      <c r="F125" s="6" t="inlineStr">
        <is>
          <t>Buys walls</t>
        </is>
      </c>
      <c r="G125" s="6" t="inlineStr">
        <is>
          <t>Columbus HQ / Liberty, Harris</t>
        </is>
      </c>
      <c r="H125" s="6" t="inlineStr">
        <is>
          <t>3 Houston land deals in 6 months</t>
        </is>
      </c>
      <c r="I125" s="8" t="inlineStr">
        <is>
          <t>Yes</t>
        </is>
      </c>
      <c r="J125" s="9" t="inlineStr">
        <is>
          <t>1,000 homes at Trinity Landing, three Houston land deals in six months.</t>
        </is>
      </c>
      <c r="K125" s="8" t="inlineStr">
        <is>
          <t>No</t>
        </is>
      </c>
      <c r="L125" s="9" t="inlineStr">
        <is>
          <t>A national builder, bought centrally, however good the Houston division is.</t>
        </is>
      </c>
      <c r="M125" s="8" t="inlineStr">
        <is>
          <t>No</t>
        </is>
      </c>
      <c r="N125" s="9" t="inlineStr">
        <is>
          <t>The CEO cites shorter cycle time but not what enabled it.</t>
        </is>
      </c>
      <c r="O125" s="8" t="inlineStr">
        <is>
          <t>Yes</t>
        </is>
      </c>
      <c r="P125" s="10" t="inlineStr"/>
      <c r="Q125" s="6">
        <f>HYPERLINK("https://www.linkedin.com/search/results/people/?keywords=Bob%20Schottenstein%20M/I%20Homes%2C%20Inc.","search")</f>
        <v/>
      </c>
      <c r="R125" s="11">
        <f>IF(P125="","ADD LINKEDIN","ok")</f>
        <v/>
      </c>
      <c r="S125" s="6" t="inlineStr">
        <is>
          <t>https://www.mihomes.com/</t>
        </is>
      </c>
      <c r="T125" s="9" t="inlineStr">
        <is>
          <t>1,000 homes at Trinity Landing and three Houston land deals in six months under a named division president.</t>
        </is>
      </c>
      <c r="U125" s="9" t="inlineStr">
        <is>
          <t>Trinity Landing land price not disclosed. | No method or wall-system statement located.</t>
        </is>
      </c>
      <c r="V125" s="6" t="inlineStr"/>
      <c r="W125" s="9" t="inlineStr">
        <is>
          <t>Chairman, and Chief Executive Officer since January 2004, on M/I's own officers page.</t>
        </is>
      </c>
      <c r="X125" s="6" t="inlineStr">
        <is>
          <t>https://investors.mihomes.com/investor-relations/officers-directors/default.aspx</t>
        </is>
      </c>
      <c r="Y125" s="6" t="inlineStr">
        <is>
          <t>https://www.linkedin.com/company/mihomes/</t>
        </is>
      </c>
      <c r="Z125" s="6" t="inlineStr">
        <is>
          <t>https://investors.mihomes.com/investor-relations/officers-directors/default.aspx</t>
        </is>
      </c>
    </row>
    <row r="126">
      <c r="A126" s="12" t="inlineStr">
        <is>
          <t>Jay McManus</t>
        </is>
      </c>
      <c r="B126" s="12" t="inlineStr">
        <is>
          <t>M/I Homes, Inc.</t>
        </is>
      </c>
      <c r="C126" s="12" t="inlineStr">
        <is>
          <t>Houston Division President</t>
        </is>
      </c>
      <c r="D126" s="13" t="inlineStr">
        <is>
          <t>National scale, pilot not purchase</t>
        </is>
      </c>
      <c r="E126" s="14" t="n">
        <v>1</v>
      </c>
      <c r="F126" s="12" t="inlineStr">
        <is>
          <t>Buys walls</t>
        </is>
      </c>
      <c r="G126" s="12" t="inlineStr">
        <is>
          <t>Columbus HQ / Liberty, Harris</t>
        </is>
      </c>
      <c r="H126" s="12" t="inlineStr">
        <is>
          <t>3 Houston land deals in 6 months</t>
        </is>
      </c>
      <c r="I126" s="14" t="inlineStr">
        <is>
          <t>Yes</t>
        </is>
      </c>
      <c r="J126" s="15" t="inlineStr">
        <is>
          <t>1,000 homes at Trinity Landing, three Houston land deals in six months.</t>
        </is>
      </c>
      <c r="K126" s="14" t="inlineStr">
        <is>
          <t>No</t>
        </is>
      </c>
      <c r="L126" s="15" t="inlineStr">
        <is>
          <t>A national builder, bought centrally, however good the Houston division is.</t>
        </is>
      </c>
      <c r="M126" s="14" t="inlineStr">
        <is>
          <t>No</t>
        </is>
      </c>
      <c r="N126" s="15" t="inlineStr">
        <is>
          <t>The CEO cites shorter cycle time but not what enabled it.</t>
        </is>
      </c>
      <c r="O126" s="14" t="inlineStr">
        <is>
          <t>Yes</t>
        </is>
      </c>
      <c r="P126" s="10" t="inlineStr"/>
      <c r="Q126" s="12">
        <f>HYPERLINK("https://www.linkedin.com/search/results/people/?keywords=Jay%20McManus%20M/I%20Homes%2C%20Inc.","search")</f>
        <v/>
      </c>
      <c r="R126" s="16">
        <f>IF(P126="","ADD LINKEDIN","ok")</f>
        <v/>
      </c>
      <c r="S126" s="12" t="inlineStr">
        <is>
          <t>https://www.mihomes.com/</t>
        </is>
      </c>
      <c r="T126" s="15" t="inlineStr">
        <is>
          <t>1,000 homes at Trinity Landing and three Houston land deals in six months under a named division president.</t>
        </is>
      </c>
      <c r="U126" s="15" t="inlineStr">
        <is>
          <t>Trinity Landing land price not disclosed. | No method or wall-system statement located.</t>
        </is>
      </c>
      <c r="V126" s="12" t="inlineStr"/>
      <c r="W126" s="15" t="inlineStr">
        <is>
          <t>Named Houston division president for M/I Homes in trade coverage of the division's expansion. M/I's own site names corporate officers only.</t>
        </is>
      </c>
      <c r="X126" s="12" t="inlineStr">
        <is>
          <t>https://houstonagentmagazine.com/2021/08/23/m-i-homes-to-double-presence-in-houston-area/</t>
        </is>
      </c>
      <c r="Y126" s="12" t="inlineStr">
        <is>
          <t>https://www.linkedin.com/company/mihomes/</t>
        </is>
      </c>
      <c r="Z126" s="12" t="inlineStr">
        <is>
          <t>https://investors.mihomes.com/investor-relations/officers-directors/default.aspx</t>
        </is>
      </c>
    </row>
    <row r="127">
      <c r="A127" s="6" t="inlineStr">
        <is>
          <t>Patrick Mayhan</t>
        </is>
      </c>
      <c r="B127" s="6" t="inlineStr">
        <is>
          <t>M/I Homes, Inc.</t>
        </is>
      </c>
      <c r="C127" s="6" t="inlineStr">
        <is>
          <t>Vice President of Purchasing, M/I Homes</t>
        </is>
      </c>
      <c r="D127" s="7" t="inlineStr">
        <is>
          <t>National scale, pilot not purchase</t>
        </is>
      </c>
      <c r="E127" s="8" t="n">
        <v>1</v>
      </c>
      <c r="F127" s="6" t="inlineStr">
        <is>
          <t>Buys walls</t>
        </is>
      </c>
      <c r="G127" s="6" t="inlineStr">
        <is>
          <t>Columbus HQ / Liberty, Harris</t>
        </is>
      </c>
      <c r="H127" s="6" t="inlineStr">
        <is>
          <t>3 Houston land deals in 6 months</t>
        </is>
      </c>
      <c r="I127" s="8" t="inlineStr">
        <is>
          <t>Yes</t>
        </is>
      </c>
      <c r="J127" s="9" t="inlineStr">
        <is>
          <t>1,000 homes at Trinity Landing, three Houston land deals in six months.</t>
        </is>
      </c>
      <c r="K127" s="8" t="inlineStr">
        <is>
          <t>No</t>
        </is>
      </c>
      <c r="L127" s="9" t="inlineStr">
        <is>
          <t>A national builder, bought centrally, however good the Houston division is.</t>
        </is>
      </c>
      <c r="M127" s="8" t="inlineStr">
        <is>
          <t>No</t>
        </is>
      </c>
      <c r="N127" s="9" t="inlineStr">
        <is>
          <t>The CEO cites shorter cycle time but not what enabled it.</t>
        </is>
      </c>
      <c r="O127" s="8" t="inlineStr">
        <is>
          <t>Yes</t>
        </is>
      </c>
      <c r="P127" s="6" t="inlineStr">
        <is>
          <t>https://www.linkedin.com/in/patrick-mayhan-5591478/</t>
        </is>
      </c>
      <c r="Q127" s="6" t="inlineStr"/>
      <c r="R127" s="11">
        <f>IF(P127="","ADD LINKEDIN","ok")</f>
        <v/>
      </c>
      <c r="S127" s="6" t="inlineStr">
        <is>
          <t>https://www.mihomes.com/</t>
        </is>
      </c>
      <c r="T127" s="9" t="inlineStr">
        <is>
          <t>1,000 homes at Trinity Landing and three Houston land deals in six months under a named division president.</t>
        </is>
      </c>
      <c r="U127" s="9" t="inlineStr">
        <is>
          <t>Trinity Landing land price not disclosed. | No method or wall-system statement located.</t>
        </is>
      </c>
      <c r="V127" s="6" t="inlineStr">
        <is>
          <t>YES</t>
        </is>
      </c>
      <c r="W127" s="9" t="inlineStr">
        <is>
          <t>Vice President of Purchasing at M/I Homes, Inc. Houston, Texas. M/I lists two purchasing vice presidents in Houston; his title carries the corporate entity and Randy Barras's carries the Houston division.</t>
        </is>
      </c>
      <c r="X127" s="6" t="inlineStr"/>
      <c r="Y127" s="6" t="inlineStr">
        <is>
          <t>https://www.linkedin.com/company/mihomes/</t>
        </is>
      </c>
      <c r="Z127" s="6" t="inlineStr">
        <is>
          <t>https://investors.mihomes.com/investor-relations/officers-directors/default.aspx</t>
        </is>
      </c>
    </row>
    <row r="128">
      <c r="A128" s="12" t="inlineStr">
        <is>
          <t>Randy Barras</t>
        </is>
      </c>
      <c r="B128" s="12" t="inlineStr">
        <is>
          <t>M/I Homes, Inc.</t>
        </is>
      </c>
      <c r="C128" s="12" t="inlineStr">
        <is>
          <t>Vice President of Purchasing, M/I Homes Houston</t>
        </is>
      </c>
      <c r="D128" s="13" t="inlineStr">
        <is>
          <t>National scale, pilot not purchase</t>
        </is>
      </c>
      <c r="E128" s="14" t="n">
        <v>1</v>
      </c>
      <c r="F128" s="12" t="inlineStr">
        <is>
          <t>Buys walls</t>
        </is>
      </c>
      <c r="G128" s="12" t="inlineStr">
        <is>
          <t>Columbus HQ / Liberty, Harris</t>
        </is>
      </c>
      <c r="H128" s="12" t="inlineStr">
        <is>
          <t>3 Houston land deals in 6 months</t>
        </is>
      </c>
      <c r="I128" s="14" t="inlineStr">
        <is>
          <t>Yes</t>
        </is>
      </c>
      <c r="J128" s="15" t="inlineStr">
        <is>
          <t>1,000 homes at Trinity Landing, three Houston land deals in six months.</t>
        </is>
      </c>
      <c r="K128" s="14" t="inlineStr">
        <is>
          <t>No</t>
        </is>
      </c>
      <c r="L128" s="15" t="inlineStr">
        <is>
          <t>A national builder, bought centrally, however good the Houston division is.</t>
        </is>
      </c>
      <c r="M128" s="14" t="inlineStr">
        <is>
          <t>No</t>
        </is>
      </c>
      <c r="N128" s="15" t="inlineStr">
        <is>
          <t>The CEO cites shorter cycle time but not what enabled it.</t>
        </is>
      </c>
      <c r="O128" s="14" t="inlineStr">
        <is>
          <t>Yes</t>
        </is>
      </c>
      <c r="P128" s="6" t="inlineStr">
        <is>
          <t>https://www.linkedin.com/in/rbarras/</t>
        </is>
      </c>
      <c r="Q128" s="12" t="inlineStr"/>
      <c r="R128" s="16">
        <f>IF(P128="","ADD LINKEDIN","ok")</f>
        <v/>
      </c>
      <c r="S128" s="12" t="inlineStr">
        <is>
          <t>https://www.mihomes.com/</t>
        </is>
      </c>
      <c r="T128" s="15" t="inlineStr">
        <is>
          <t>1,000 homes at Trinity Landing and three Houston land deals in six months under a named division president.</t>
        </is>
      </c>
      <c r="U128" s="15" t="inlineStr">
        <is>
          <t>Trinity Landing land price not disclosed. | No method or wall-system statement located.</t>
        </is>
      </c>
      <c r="V128" s="12" t="inlineStr">
        <is>
          <t>YES</t>
        </is>
      </c>
      <c r="W128" s="15" t="inlineStr">
        <is>
          <t>Vice President of Purchasing, M/I Homes - Houston. Houston, Texas.</t>
        </is>
      </c>
      <c r="X128" s="12" t="inlineStr"/>
      <c r="Y128" s="12" t="inlineStr">
        <is>
          <t>https://www.linkedin.com/company/mihomes/</t>
        </is>
      </c>
      <c r="Z128" s="12" t="inlineStr">
        <is>
          <t>https://investors.mihomes.com/investor-relations/officers-directors/default.aspx</t>
        </is>
      </c>
    </row>
    <row r="129">
      <c r="A129" s="6" t="inlineStr">
        <is>
          <t>Darin Rowe</t>
        </is>
      </c>
      <c r="B129" s="6" t="inlineStr">
        <is>
          <t>Taylor Morrison Home Corporation</t>
        </is>
      </c>
      <c r="C129" s="6" t="inlineStr">
        <is>
          <t>National President, Build-to-Rent</t>
        </is>
      </c>
      <c r="D129" s="7" t="inlineStr">
        <is>
          <t>National scale, pilot not purchase</t>
        </is>
      </c>
      <c r="E129" s="8" t="n">
        <v>1</v>
      </c>
      <c r="F129" s="6" t="inlineStr">
        <is>
          <t>Buys walls</t>
        </is>
      </c>
      <c r="G129" s="6" t="inlineStr">
        <is>
          <t>Scottsdale HQ / Harris County</t>
        </is>
      </c>
      <c r="H129" s="6" t="inlineStr">
        <is>
          <t>240-home Houston BTR community</t>
        </is>
      </c>
      <c r="I129" s="8" t="inlineStr">
        <is>
          <t>Yes</t>
        </is>
      </c>
      <c r="J129" s="9" t="inlineStr">
        <is>
          <t>A 240-home Houston build-to-rent community and a dedicated brand.</t>
        </is>
      </c>
      <c r="K129" s="8" t="inlineStr">
        <is>
          <t>No</t>
        </is>
      </c>
      <c r="L129" s="9" t="inlineStr">
        <is>
          <t>A national builder with a national build-to-rent brand.</t>
        </is>
      </c>
      <c r="M129" s="8" t="inlineStr">
        <is>
          <t>No</t>
        </is>
      </c>
      <c r="N129" s="9" t="inlineStr">
        <is>
          <t>Its Yardly retrospective cites input costs with no method detail.</t>
        </is>
      </c>
      <c r="O129" s="8" t="inlineStr">
        <is>
          <t>Yes</t>
        </is>
      </c>
      <c r="P129" s="10" t="inlineStr"/>
      <c r="Q129" s="6">
        <f>HYPERLINK("https://www.linkedin.com/search/results/people/?keywords=Darin%20Rowe%20Taylor%20Morrison%20Home%20Corporation","search")</f>
        <v/>
      </c>
      <c r="R129" s="11">
        <f>IF(P129="","ADD LINKEDIN","ok")</f>
        <v/>
      </c>
      <c r="S129" s="6" t="inlineStr">
        <is>
          <t>https://www.taylormorrison.com/</t>
        </is>
      </c>
      <c r="T129" s="9" t="inlineStr">
        <is>
          <t>A 240-home Houston build-to-rent community and a dedicated brand. The division president role dates to 2018 and is unconfirmed.</t>
        </is>
      </c>
      <c r="U129"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29" s="6" t="inlineStr"/>
      <c r="W129" s="9" t="inlineStr">
        <is>
          <t>Build-to-Rent President, quoted on the launch of the Yardly brand. National, not Houston.</t>
        </is>
      </c>
      <c r="X129" s="6" t="inlineStr">
        <is>
          <t>https://newsroom.taylormorrison.com/2022-11-14-Taylor-Morrison-Unveils-New-Build-To-Rent-Brand,-Yardly</t>
        </is>
      </c>
      <c r="Y129" s="6" t="inlineStr">
        <is>
          <t>https://www.linkedin.com/company/taylor-morrison</t>
        </is>
      </c>
      <c r="Z129" s="6" t="inlineStr">
        <is>
          <t>https://newsroom.taylormorrison.com/Leadership</t>
        </is>
      </c>
    </row>
    <row r="130">
      <c r="A130" s="12" t="inlineStr">
        <is>
          <t>Amy Rino</t>
        </is>
      </c>
      <c r="B130" s="12" t="inlineStr">
        <is>
          <t>Taylor Morrison Home Corporation</t>
        </is>
      </c>
      <c r="C130" s="12" t="inlineStr">
        <is>
          <t>Chief Customer Officer, Taylor Morrison, Scottsdale (2026); ex-Houston Division President</t>
        </is>
      </c>
      <c r="D130" s="13" t="inlineStr">
        <is>
          <t>National scale, pilot not purchase</t>
        </is>
      </c>
      <c r="E130" s="14" t="n">
        <v>1</v>
      </c>
      <c r="F130" s="12" t="inlineStr">
        <is>
          <t>Buys walls</t>
        </is>
      </c>
      <c r="G130" s="12" t="inlineStr">
        <is>
          <t>Scottsdale HQ / Harris County</t>
        </is>
      </c>
      <c r="H130" s="12" t="inlineStr">
        <is>
          <t>240-home Houston BTR community</t>
        </is>
      </c>
      <c r="I130" s="14" t="inlineStr">
        <is>
          <t>Yes</t>
        </is>
      </c>
      <c r="J130" s="15" t="inlineStr">
        <is>
          <t>A 240-home Houston build-to-rent community and a dedicated brand.</t>
        </is>
      </c>
      <c r="K130" s="14" t="inlineStr">
        <is>
          <t>No</t>
        </is>
      </c>
      <c r="L130" s="15" t="inlineStr">
        <is>
          <t>A national builder with a national build-to-rent brand.</t>
        </is>
      </c>
      <c r="M130" s="14" t="inlineStr">
        <is>
          <t>No</t>
        </is>
      </c>
      <c r="N130" s="15" t="inlineStr">
        <is>
          <t>Its Yardly retrospective cites input costs with no method detail.</t>
        </is>
      </c>
      <c r="O130" s="14" t="inlineStr">
        <is>
          <t>Yes</t>
        </is>
      </c>
      <c r="P130" s="6" t="inlineStr">
        <is>
          <t>https://www.linkedin.com/in/amy-rino-5152b111/</t>
        </is>
      </c>
      <c r="Q130" s="12" t="inlineStr"/>
      <c r="R130" s="16">
        <f>IF(P130="","ADD LINKEDIN","ok")</f>
        <v/>
      </c>
      <c r="S130" s="12" t="inlineStr">
        <is>
          <t>https://www.taylormorrison.com/</t>
        </is>
      </c>
      <c r="T130" s="15" t="inlineStr">
        <is>
          <t>A 240-home Houston build-to-rent community and a dedicated brand. The division president role dates to 2018 and is unconfirmed.</t>
        </is>
      </c>
      <c r="U130"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30" s="12" t="inlineStr"/>
      <c r="W130" s="15" t="inlineStr"/>
      <c r="X130" s="12" t="inlineStr"/>
      <c r="Y130" s="12" t="inlineStr">
        <is>
          <t>https://www.linkedin.com/company/taylor-morrison</t>
        </is>
      </c>
      <c r="Z130" s="12" t="inlineStr">
        <is>
          <t>https://newsroom.taylormorrison.com/Leadership</t>
        </is>
      </c>
    </row>
    <row r="131">
      <c r="A131" s="6" t="inlineStr">
        <is>
          <t>Ken Balogh</t>
        </is>
      </c>
      <c r="B131" s="6" t="inlineStr">
        <is>
          <t>Ashton Woods Homes</t>
        </is>
      </c>
      <c r="C131" s="6" t="inlineStr">
        <is>
          <t>President and Chief Executive Officer</t>
        </is>
      </c>
      <c r="D131" s="7" t="inlineStr">
        <is>
          <t>National scale, pilot not purchase</t>
        </is>
      </c>
      <c r="E131" s="8" t="n">
        <v>1</v>
      </c>
      <c r="F131" s="6" t="inlineStr">
        <is>
          <t>Buys walls</t>
        </is>
      </c>
      <c r="G131" s="6" t="inlineStr">
        <is>
          <t>Alpharetta HQ / Harris, Fort Bend</t>
        </is>
      </c>
      <c r="H131" s="6" t="inlineStr">
        <is>
          <t>14+ named Houston communities</t>
        </is>
      </c>
      <c r="I131" s="8" t="inlineStr">
        <is>
          <t>Yes</t>
        </is>
      </c>
      <c r="J131" s="9" t="inlineStr">
        <is>
          <t>Fourteen named Houston communities.</t>
        </is>
      </c>
      <c r="K131" s="8" t="inlineStr">
        <is>
          <t>No</t>
        </is>
      </c>
      <c r="L131" s="9" t="inlineStr">
        <is>
          <t>A national builder with a corporate purchasing function.</t>
        </is>
      </c>
      <c r="M131" s="8" t="inlineStr">
        <is>
          <t>No</t>
        </is>
      </c>
      <c r="N131" s="9" t="inlineStr">
        <is>
          <t>No firm-specific method evidence found.</t>
        </is>
      </c>
      <c r="O131" s="8" t="inlineStr">
        <is>
          <t>Partly</t>
        </is>
      </c>
      <c r="P131" s="10" t="inlineStr"/>
      <c r="Q131" s="6">
        <f>HYPERLINK("https://www.linkedin.com/search/results/people/?keywords=Ken%20Balogh%20Ashton%20Woods%20Homes","search")</f>
        <v/>
      </c>
      <c r="R131" s="11">
        <f>IF(P131="","ADD LINKEDIN","ok")</f>
        <v/>
      </c>
      <c r="S131" s="6" t="inlineStr">
        <is>
          <t>https://www.ashtonwoods.com/</t>
        </is>
      </c>
      <c r="T131" s="9" t="inlineStr">
        <is>
          <t>14 named Houston communities and a Texas regional president. No firm-specific method evidence found.</t>
        </is>
      </c>
      <c r="U131" s="9" t="inlineStr">
        <is>
          <t>Community-level unit counts not sourced. | No firm-specific innovation content found. | No capital signal with a figure.</t>
        </is>
      </c>
      <c r="V131" s="6" t="inlineStr"/>
      <c r="W131" s="9" t="inlineStr">
        <is>
          <t>President and Chief Executive Officer.</t>
        </is>
      </c>
      <c r="X131" s="6" t="inlineStr">
        <is>
          <t>https://www.ashtonwoods.com/corporate-info</t>
        </is>
      </c>
      <c r="Y131" s="6" t="inlineStr">
        <is>
          <t>https://www.linkedin.com/company/ashton-woods-homes</t>
        </is>
      </c>
      <c r="Z131" s="6" t="inlineStr">
        <is>
          <t>https://www.ashtonwoods.com/corporate-info</t>
        </is>
      </c>
    </row>
    <row r="132">
      <c r="A132" s="12" t="inlineStr">
        <is>
          <t>Lindsay Motley</t>
        </is>
      </c>
      <c r="B132" s="12" t="inlineStr">
        <is>
          <t>Ashton Woods Homes</t>
        </is>
      </c>
      <c r="C132" s="12" t="inlineStr">
        <is>
          <t>Regional President, Texas</t>
        </is>
      </c>
      <c r="D132" s="13" t="inlineStr">
        <is>
          <t>National scale, pilot not purchase</t>
        </is>
      </c>
      <c r="E132" s="14" t="n">
        <v>1</v>
      </c>
      <c r="F132" s="12" t="inlineStr">
        <is>
          <t>Buys walls</t>
        </is>
      </c>
      <c r="G132" s="12" t="inlineStr">
        <is>
          <t>Alpharetta HQ / Harris, Fort Bend</t>
        </is>
      </c>
      <c r="H132" s="12" t="inlineStr">
        <is>
          <t>14+ named Houston communities</t>
        </is>
      </c>
      <c r="I132" s="14" t="inlineStr">
        <is>
          <t>Yes</t>
        </is>
      </c>
      <c r="J132" s="15" t="inlineStr">
        <is>
          <t>Fourteen named Houston communities.</t>
        </is>
      </c>
      <c r="K132" s="14" t="inlineStr">
        <is>
          <t>No</t>
        </is>
      </c>
      <c r="L132" s="15" t="inlineStr">
        <is>
          <t>A national builder with a corporate purchasing function.</t>
        </is>
      </c>
      <c r="M132" s="14" t="inlineStr">
        <is>
          <t>No</t>
        </is>
      </c>
      <c r="N132" s="15" t="inlineStr">
        <is>
          <t>No firm-specific method evidence found.</t>
        </is>
      </c>
      <c r="O132" s="14" t="inlineStr">
        <is>
          <t>Partly</t>
        </is>
      </c>
      <c r="P132" s="10" t="inlineStr"/>
      <c r="Q132" s="12">
        <f>HYPERLINK("https://www.linkedin.com/search/results/people/?keywords=Lindsay%20Motley%20Ashton%20Woods%20Homes","search")</f>
        <v/>
      </c>
      <c r="R132" s="16">
        <f>IF(P132="","ADD LINKEDIN","ok")</f>
        <v/>
      </c>
      <c r="S132" s="12" t="inlineStr">
        <is>
          <t>https://www.ashtonwoods.com/</t>
        </is>
      </c>
      <c r="T132" s="15" t="inlineStr">
        <is>
          <t>14 named Houston communities and a Texas regional president. No firm-specific method evidence found.</t>
        </is>
      </c>
      <c r="U132" s="15" t="inlineStr">
        <is>
          <t>Community-level unit counts not sourced. | No firm-specific innovation content found. | No capital signal with a figure.</t>
        </is>
      </c>
      <c r="V132" s="12" t="inlineStr"/>
      <c r="W132" s="15" t="inlineStr">
        <is>
          <t>Regional President. The firm's own announcement names her Austin division president.</t>
        </is>
      </c>
      <c r="X132" s="12" t="inlineStr">
        <is>
          <t>https://www.ashtonwoods.com/corporate-info</t>
        </is>
      </c>
      <c r="Y132" s="12" t="inlineStr">
        <is>
          <t>https://www.linkedin.com/company/ashton-woods-homes</t>
        </is>
      </c>
      <c r="Z132" s="12" t="inlineStr">
        <is>
          <t>https://www.ashtonwoods.com/corporate-info</t>
        </is>
      </c>
    </row>
    <row r="133">
      <c r="A133" s="6" t="inlineStr">
        <is>
          <t>Ryan Lewis</t>
        </is>
      </c>
      <c r="B133" s="6" t="inlineStr">
        <is>
          <t>Ashton Woods Homes</t>
        </is>
      </c>
      <c r="C133" s="6" t="inlineStr">
        <is>
          <t>Chief Operating Officer</t>
        </is>
      </c>
      <c r="D133" s="7" t="inlineStr">
        <is>
          <t>National scale, pilot not purchase</t>
        </is>
      </c>
      <c r="E133" s="8" t="n">
        <v>1</v>
      </c>
      <c r="F133" s="6" t="inlineStr">
        <is>
          <t>Buys walls</t>
        </is>
      </c>
      <c r="G133" s="6" t="inlineStr">
        <is>
          <t>Alpharetta HQ / Harris, Fort Bend</t>
        </is>
      </c>
      <c r="H133" s="6" t="inlineStr">
        <is>
          <t>14+ named Houston communities</t>
        </is>
      </c>
      <c r="I133" s="8" t="inlineStr">
        <is>
          <t>Yes</t>
        </is>
      </c>
      <c r="J133" s="9" t="inlineStr">
        <is>
          <t>Fourteen named Houston communities.</t>
        </is>
      </c>
      <c r="K133" s="8" t="inlineStr">
        <is>
          <t>No</t>
        </is>
      </c>
      <c r="L133" s="9" t="inlineStr">
        <is>
          <t>A national builder with a corporate purchasing function.</t>
        </is>
      </c>
      <c r="M133" s="8" t="inlineStr">
        <is>
          <t>No</t>
        </is>
      </c>
      <c r="N133" s="9" t="inlineStr">
        <is>
          <t>No firm-specific method evidence found.</t>
        </is>
      </c>
      <c r="O133" s="8" t="inlineStr">
        <is>
          <t>Partly</t>
        </is>
      </c>
      <c r="P133" s="10" t="inlineStr"/>
      <c r="Q133" s="6">
        <f>HYPERLINK("https://www.linkedin.com/search/results/people/?keywords=Ryan%20Lewis%20Ashton%20Woods%20Homes","search")</f>
        <v/>
      </c>
      <c r="R133" s="11">
        <f>IF(P133="","ADD LINKEDIN","ok")</f>
        <v/>
      </c>
      <c r="S133" s="6" t="inlineStr">
        <is>
          <t>https://www.ashtonwoods.com/</t>
        </is>
      </c>
      <c r="T133" s="9" t="inlineStr">
        <is>
          <t>14 named Houston communities and a Texas regional president. No firm-specific method evidence found.</t>
        </is>
      </c>
      <c r="U133" s="9" t="inlineStr">
        <is>
          <t>Community-level unit counts not sourced. | No firm-specific innovation content found. | No capital signal with a figure.</t>
        </is>
      </c>
      <c r="V133" s="6" t="inlineStr"/>
      <c r="W133" s="9" t="inlineStr">
        <is>
          <t>Chief Operating Officer.</t>
        </is>
      </c>
      <c r="X133" s="6" t="inlineStr">
        <is>
          <t>https://www.ashtonwoods.com/corporate-info</t>
        </is>
      </c>
      <c r="Y133" s="6" t="inlineStr">
        <is>
          <t>https://www.linkedin.com/company/ashton-woods-homes</t>
        </is>
      </c>
      <c r="Z133" s="6" t="inlineStr">
        <is>
          <t>https://www.ashtonwoods.com/corporate-info</t>
        </is>
      </c>
    </row>
    <row r="134">
      <c r="A134" s="12" t="inlineStr">
        <is>
          <t>DeKendrick Vidito</t>
        </is>
      </c>
      <c r="B134" s="12" t="inlineStr">
        <is>
          <t>Ashton Woods Homes</t>
        </is>
      </c>
      <c r="C134" s="12" t="inlineStr">
        <is>
          <t>Vice President of Purchasing, Ashton Woods Homes</t>
        </is>
      </c>
      <c r="D134" s="13" t="inlineStr">
        <is>
          <t>National scale, pilot not purchase</t>
        </is>
      </c>
      <c r="E134" s="14" t="n">
        <v>1</v>
      </c>
      <c r="F134" s="12" t="inlineStr">
        <is>
          <t>Buys walls</t>
        </is>
      </c>
      <c r="G134" s="12" t="inlineStr">
        <is>
          <t>Alpharetta HQ / Harris, Fort Bend</t>
        </is>
      </c>
      <c r="H134" s="12" t="inlineStr">
        <is>
          <t>14+ named Houston communities</t>
        </is>
      </c>
      <c r="I134" s="14" t="inlineStr">
        <is>
          <t>Yes</t>
        </is>
      </c>
      <c r="J134" s="15" t="inlineStr">
        <is>
          <t>Fourteen named Houston communities.</t>
        </is>
      </c>
      <c r="K134" s="14" t="inlineStr">
        <is>
          <t>No</t>
        </is>
      </c>
      <c r="L134" s="15" t="inlineStr">
        <is>
          <t>A national builder with a corporate purchasing function.</t>
        </is>
      </c>
      <c r="M134" s="14" t="inlineStr">
        <is>
          <t>No</t>
        </is>
      </c>
      <c r="N134" s="15" t="inlineStr">
        <is>
          <t>No firm-specific method evidence found.</t>
        </is>
      </c>
      <c r="O134" s="14" t="inlineStr">
        <is>
          <t>Partly</t>
        </is>
      </c>
      <c r="P134" s="6" t="inlineStr">
        <is>
          <t>https://www.linkedin.com/in/dekendrick-vidito-58087766/</t>
        </is>
      </c>
      <c r="Q134" s="12" t="inlineStr"/>
      <c r="R134" s="16">
        <f>IF(P134="","ADD LINKEDIN","ok")</f>
        <v/>
      </c>
      <c r="S134" s="12" t="inlineStr">
        <is>
          <t>https://www.ashtonwoods.com/</t>
        </is>
      </c>
      <c r="T134" s="15" t="inlineStr">
        <is>
          <t>14 named Houston communities and a Texas regional president. No firm-specific method evidence found.</t>
        </is>
      </c>
      <c r="U134" s="15" t="inlineStr">
        <is>
          <t>Community-level unit counts not sourced. | No firm-specific innovation content found. | No capital signal with a figure.</t>
        </is>
      </c>
      <c r="V134" s="12" t="inlineStr">
        <is>
          <t>YES</t>
        </is>
      </c>
      <c r="W134" s="15" t="inlineStr">
        <is>
          <t>Vice President of Purchasing at Ashton Woods Homes. Houston, Texas.</t>
        </is>
      </c>
      <c r="X134" s="12" t="inlineStr"/>
      <c r="Y134" s="12" t="inlineStr">
        <is>
          <t>https://www.linkedin.com/company/ashton-woods-homes</t>
        </is>
      </c>
      <c r="Z134" s="12" t="inlineStr">
        <is>
          <t>https://www.ashtonwoods.com/corporate-info</t>
        </is>
      </c>
    </row>
    <row r="135">
      <c r="A135" s="6" t="inlineStr">
        <is>
          <t>Jay Brown</t>
        </is>
      </c>
      <c r="B135" s="6" t="inlineStr">
        <is>
          <t>David Weekley Homes</t>
        </is>
      </c>
      <c r="C135" s="6" t="inlineStr">
        <is>
          <t>Chief Executive Officer</t>
        </is>
      </c>
      <c r="D135" s="7" t="inlineStr">
        <is>
          <t>National scale, pilot not purchase</t>
        </is>
      </c>
      <c r="E135" s="8" t="n">
        <v>1</v>
      </c>
      <c r="F135" s="6" t="inlineStr">
        <is>
          <t>Buys walls</t>
        </is>
      </c>
      <c r="G135" s="6" t="inlineStr">
        <is>
          <t>Houston HQ, Harris County</t>
        </is>
      </c>
      <c r="H135" s="6" t="inlineStr">
        <is>
          <t>125,000+ homes, 19 markets, Houston HQ</t>
        </is>
      </c>
      <c r="I135" s="8" t="inlineStr">
        <is>
          <t>Yes</t>
        </is>
      </c>
      <c r="J135" s="9" t="inlineStr">
        <is>
          <t>125,000 homes across 19 markets, Houston head office, 50 years.</t>
        </is>
      </c>
      <c r="K135" s="8" t="inlineStr">
        <is>
          <t>No</t>
        </is>
      </c>
      <c r="L135" s="9" t="inlineStr">
        <is>
          <t>125,000 homes and a national purchasing and supply chain function.</t>
        </is>
      </c>
      <c r="M135" s="8" t="inlineStr">
        <is>
          <t>No</t>
        </is>
      </c>
      <c r="N135" s="9" t="inlineStr">
        <is>
          <t>Its 2026 supplier recognition covers insulation and fire-stopping, not the envelope.</t>
        </is>
      </c>
      <c r="O135" s="8" t="inlineStr">
        <is>
          <t>Partly</t>
        </is>
      </c>
      <c r="P135" s="6" t="inlineStr">
        <is>
          <t>https://www.linkedin.com/in/jay-brown-14305a12/</t>
        </is>
      </c>
      <c r="Q135" s="6" t="inlineStr"/>
      <c r="R135" s="11">
        <f>IF(P135="","ADD LINKEDIN","ok")</f>
        <v/>
      </c>
      <c r="S135" s="6" t="inlineStr">
        <is>
          <t>https://www.davidweekleyhomes.com/</t>
        </is>
      </c>
      <c r="T135" s="9" t="inlineStr">
        <is>
          <t>125,000 homes, Houston HQ, 50 years. Its supplier recognition covers insulation and fire-stopping, not the envelope.</t>
        </is>
      </c>
      <c r="U135" s="9" t="inlineStr">
        <is>
          <t>No construction-method or technology statement located. | No Houston community unit counts sourced.</t>
        </is>
      </c>
      <c r="V135" s="6" t="inlineStr"/>
      <c r="W135" s="9" t="inlineStr">
        <is>
          <t>Chief Executive Officer at David Weekley Homes. Houston, Texas.</t>
        </is>
      </c>
      <c r="X135" s="6" t="inlineStr"/>
      <c r="Y135" s="6" t="inlineStr">
        <is>
          <t>https://www.linkedin.com/company/david-weekley-homes</t>
        </is>
      </c>
      <c r="Z135" s="6" t="inlineStr">
        <is>
          <t>https://www.davidweekleyhomes.com/about-us/meet-the-team</t>
        </is>
      </c>
    </row>
    <row r="136">
      <c r="A136" s="12" t="inlineStr">
        <is>
          <t>Chris Weekley</t>
        </is>
      </c>
      <c r="B136" s="12" t="inlineStr">
        <is>
          <t>David Weekley Homes</t>
        </is>
      </c>
      <c r="C136" s="12" t="inlineStr">
        <is>
          <t>President and Vice Chairman</t>
        </is>
      </c>
      <c r="D136" s="13" t="inlineStr">
        <is>
          <t>National scale, pilot not purchase</t>
        </is>
      </c>
      <c r="E136" s="14" t="n">
        <v>1</v>
      </c>
      <c r="F136" s="12" t="inlineStr">
        <is>
          <t>Buys walls</t>
        </is>
      </c>
      <c r="G136" s="12" t="inlineStr">
        <is>
          <t>Houston HQ, Harris County</t>
        </is>
      </c>
      <c r="H136" s="12" t="inlineStr">
        <is>
          <t>125,000+ homes, 19 markets, Houston HQ</t>
        </is>
      </c>
      <c r="I136" s="14" t="inlineStr">
        <is>
          <t>Yes</t>
        </is>
      </c>
      <c r="J136" s="15" t="inlineStr">
        <is>
          <t>125,000 homes across 19 markets, Houston head office, 50 years.</t>
        </is>
      </c>
      <c r="K136" s="14" t="inlineStr">
        <is>
          <t>No</t>
        </is>
      </c>
      <c r="L136" s="15" t="inlineStr">
        <is>
          <t>125,000 homes and a national purchasing and supply chain function.</t>
        </is>
      </c>
      <c r="M136" s="14" t="inlineStr">
        <is>
          <t>No</t>
        </is>
      </c>
      <c r="N136" s="15" t="inlineStr">
        <is>
          <t>Its 2026 supplier recognition covers insulation and fire-stopping, not the envelope.</t>
        </is>
      </c>
      <c r="O136" s="14" t="inlineStr">
        <is>
          <t>Partly</t>
        </is>
      </c>
      <c r="P136" s="10" t="inlineStr"/>
      <c r="Q136" s="12">
        <f>HYPERLINK("https://www.linkedin.com/search/results/people/?keywords=Chris%20Weekley%20David%20Weekley%20Homes","search")</f>
        <v/>
      </c>
      <c r="R136" s="16">
        <f>IF(P136="","ADD LINKEDIN","ok")</f>
        <v/>
      </c>
      <c r="S136" s="12" t="inlineStr">
        <is>
          <t>https://www.davidweekleyhomes.com/</t>
        </is>
      </c>
      <c r="T136" s="15" t="inlineStr">
        <is>
          <t>125,000 homes, Houston HQ, 50 years. Its supplier recognition covers insulation and fire-stopping, not the envelope.</t>
        </is>
      </c>
      <c r="U136" s="15" t="inlineStr">
        <is>
          <t>No construction-method or technology statement located. | No Houston community unit counts sourced.</t>
        </is>
      </c>
      <c r="V136" s="12" t="inlineStr"/>
      <c r="W136" s="15" t="inlineStr">
        <is>
          <t>President and Vice Chairman. The firm's own page credits him with innovation and developer relationships, which is the brief a printed wall would land in.</t>
        </is>
      </c>
      <c r="X136" s="12" t="inlineStr">
        <is>
          <t>https://www.davidweekleyhomes.com/about-us/meet-the-team</t>
        </is>
      </c>
      <c r="Y136" s="12" t="inlineStr">
        <is>
          <t>https://www.linkedin.com/company/david-weekley-homes</t>
        </is>
      </c>
      <c r="Z136" s="12" t="inlineStr">
        <is>
          <t>https://www.davidweekleyhomes.com/about-us/meet-the-team</t>
        </is>
      </c>
    </row>
    <row r="137">
      <c r="A137" s="6" t="inlineStr">
        <is>
          <t>David Weekley</t>
        </is>
      </c>
      <c r="B137" s="6" t="inlineStr">
        <is>
          <t>David Weekley Homes</t>
        </is>
      </c>
      <c r="C137" s="6" t="inlineStr">
        <is>
          <t>Chairman and Founder</t>
        </is>
      </c>
      <c r="D137" s="7" t="inlineStr">
        <is>
          <t>National scale, pilot not purchase</t>
        </is>
      </c>
      <c r="E137" s="8" t="n">
        <v>1</v>
      </c>
      <c r="F137" s="6" t="inlineStr">
        <is>
          <t>Buys walls</t>
        </is>
      </c>
      <c r="G137" s="6" t="inlineStr">
        <is>
          <t>Houston HQ, Harris County</t>
        </is>
      </c>
      <c r="H137" s="6" t="inlineStr">
        <is>
          <t>125,000+ homes, 19 markets, Houston HQ</t>
        </is>
      </c>
      <c r="I137" s="8" t="inlineStr">
        <is>
          <t>Yes</t>
        </is>
      </c>
      <c r="J137" s="9" t="inlineStr">
        <is>
          <t>125,000 homes across 19 markets, Houston head office, 50 years.</t>
        </is>
      </c>
      <c r="K137" s="8" t="inlineStr">
        <is>
          <t>No</t>
        </is>
      </c>
      <c r="L137" s="9" t="inlineStr">
        <is>
          <t>125,000 homes and a national purchasing and supply chain function.</t>
        </is>
      </c>
      <c r="M137" s="8" t="inlineStr">
        <is>
          <t>No</t>
        </is>
      </c>
      <c r="N137" s="9" t="inlineStr">
        <is>
          <t>Its 2026 supplier recognition covers insulation and fire-stopping, not the envelope.</t>
        </is>
      </c>
      <c r="O137" s="8" t="inlineStr">
        <is>
          <t>Partly</t>
        </is>
      </c>
      <c r="P137" s="10" t="inlineStr"/>
      <c r="Q137" s="6">
        <f>HYPERLINK("https://www.linkedin.com/search/results/people/?keywords=David%20Weekley%20David%20Weekley%20Homes","search")</f>
        <v/>
      </c>
      <c r="R137" s="11">
        <f>IF(P137="","ADD LINKEDIN","ok")</f>
        <v/>
      </c>
      <c r="S137" s="6" t="inlineStr">
        <is>
          <t>https://www.davidweekleyhomes.com/</t>
        </is>
      </c>
      <c r="T137" s="9" t="inlineStr">
        <is>
          <t>125,000 homes, Houston HQ, 50 years. Its supplier recognition covers insulation and fire-stopping, not the envelope.</t>
        </is>
      </c>
      <c r="U137" s="9" t="inlineStr">
        <is>
          <t>No construction-method or technology statement located. | No Houston community unit counts sourced.</t>
        </is>
      </c>
      <c r="V137" s="6" t="inlineStr"/>
      <c r="W137" s="9" t="inlineStr">
        <is>
          <t>Chairman, who started the company in 1976 at twenty-three.</t>
        </is>
      </c>
      <c r="X137" s="6" t="inlineStr">
        <is>
          <t>https://www.davidweekleyhomes.com/about-us/meet-the-team</t>
        </is>
      </c>
      <c r="Y137" s="6" t="inlineStr">
        <is>
          <t>https://www.linkedin.com/company/david-weekley-homes</t>
        </is>
      </c>
      <c r="Z137" s="6" t="inlineStr">
        <is>
          <t>https://www.davidweekleyhomes.com/about-us/meet-the-team</t>
        </is>
      </c>
    </row>
    <row r="138">
      <c r="A138" s="12" t="inlineStr">
        <is>
          <t>John Schiegg</t>
        </is>
      </c>
      <c r="B138" s="12" t="inlineStr">
        <is>
          <t>David Weekley Homes</t>
        </is>
      </c>
      <c r="C138" s="12" t="inlineStr">
        <is>
          <t>Vice President of Purchasing and Supply Chain, David Weekley Homes</t>
        </is>
      </c>
      <c r="D138" s="13" t="inlineStr">
        <is>
          <t>National scale, pilot not purchase</t>
        </is>
      </c>
      <c r="E138" s="14" t="n">
        <v>1</v>
      </c>
      <c r="F138" s="12" t="inlineStr">
        <is>
          <t>Buys walls</t>
        </is>
      </c>
      <c r="G138" s="12" t="inlineStr">
        <is>
          <t>Houston HQ, Harris County</t>
        </is>
      </c>
      <c r="H138" s="12" t="inlineStr">
        <is>
          <t>125,000+ homes, 19 markets, Houston HQ</t>
        </is>
      </c>
      <c r="I138" s="14" t="inlineStr">
        <is>
          <t>Yes</t>
        </is>
      </c>
      <c r="J138" s="15" t="inlineStr">
        <is>
          <t>125,000 homes across 19 markets, Houston head office, 50 years.</t>
        </is>
      </c>
      <c r="K138" s="14" t="inlineStr">
        <is>
          <t>No</t>
        </is>
      </c>
      <c r="L138" s="15" t="inlineStr">
        <is>
          <t>125,000 homes and a national purchasing and supply chain function.</t>
        </is>
      </c>
      <c r="M138" s="14" t="inlineStr">
        <is>
          <t>No</t>
        </is>
      </c>
      <c r="N138" s="15" t="inlineStr">
        <is>
          <t>Its 2026 supplier recognition covers insulation and fire-stopping, not the envelope.</t>
        </is>
      </c>
      <c r="O138" s="14" t="inlineStr">
        <is>
          <t>Partly</t>
        </is>
      </c>
      <c r="P138" s="6" t="inlineStr">
        <is>
          <t>https://www.linkedin.com/in/john-schiegg-7593996/</t>
        </is>
      </c>
      <c r="Q138" s="12" t="inlineStr"/>
      <c r="R138" s="16">
        <f>IF(P138="","ADD LINKEDIN","ok")</f>
        <v/>
      </c>
      <c r="S138" s="12" t="inlineStr">
        <is>
          <t>https://www.davidweekleyhomes.com/</t>
        </is>
      </c>
      <c r="T138" s="15" t="inlineStr">
        <is>
          <t>125,000 homes, Houston HQ, 50 years. Its supplier recognition covers insulation and fire-stopping, not the envelope.</t>
        </is>
      </c>
      <c r="U138" s="15" t="inlineStr">
        <is>
          <t>No construction-method or technology statement located. | No Houston community unit counts sourced.</t>
        </is>
      </c>
      <c r="V138" s="12" t="inlineStr">
        <is>
          <t>YES</t>
        </is>
      </c>
      <c r="W138" s="15" t="inlineStr">
        <is>
          <t>Profile opened. Company line reads David Weekley Homes, Houston, Texas. He owns purchasing and supply chain for the largest privately held builder in the country.</t>
        </is>
      </c>
      <c r="X138" s="12" t="inlineStr"/>
      <c r="Y138" s="12" t="inlineStr">
        <is>
          <t>https://www.linkedin.com/company/david-weekley-homes</t>
        </is>
      </c>
      <c r="Z138" s="12" t="inlineStr">
        <is>
          <t>https://www.davidweekleyhomes.com/about-us/meet-the-team</t>
        </is>
      </c>
    </row>
    <row r="139">
      <c r="A139" s="6" t="inlineStr">
        <is>
          <t>Ladd Fargo</t>
        </is>
      </c>
      <c r="B139" s="6" t="inlineStr">
        <is>
          <t>David Weekley Homes</t>
        </is>
      </c>
      <c r="C139" s="6" t="inlineStr">
        <is>
          <t>Chief Operating Officer, David Weekley Homes</t>
        </is>
      </c>
      <c r="D139" s="7" t="inlineStr">
        <is>
          <t>National scale, pilot not purchase</t>
        </is>
      </c>
      <c r="E139" s="8" t="n">
        <v>1</v>
      </c>
      <c r="F139" s="6" t="inlineStr">
        <is>
          <t>Buys walls</t>
        </is>
      </c>
      <c r="G139" s="6" t="inlineStr">
        <is>
          <t>Houston HQ, Harris County</t>
        </is>
      </c>
      <c r="H139" s="6" t="inlineStr">
        <is>
          <t>125,000+ homes, 19 markets, Houston HQ</t>
        </is>
      </c>
      <c r="I139" s="8" t="inlineStr">
        <is>
          <t>Yes</t>
        </is>
      </c>
      <c r="J139" s="9" t="inlineStr">
        <is>
          <t>125,000 homes across 19 markets, Houston head office, 50 years.</t>
        </is>
      </c>
      <c r="K139" s="8" t="inlineStr">
        <is>
          <t>No</t>
        </is>
      </c>
      <c r="L139" s="9" t="inlineStr">
        <is>
          <t>125,000 homes and a national purchasing and supply chain function.</t>
        </is>
      </c>
      <c r="M139" s="8" t="inlineStr">
        <is>
          <t>No</t>
        </is>
      </c>
      <c r="N139" s="9" t="inlineStr">
        <is>
          <t>Its 2026 supplier recognition covers insulation and fire-stopping, not the envelope.</t>
        </is>
      </c>
      <c r="O139" s="8" t="inlineStr">
        <is>
          <t>Partly</t>
        </is>
      </c>
      <c r="P139" s="6" t="inlineStr">
        <is>
          <t>https://www.linkedin.com/in/ladd-fargo-241a47259/</t>
        </is>
      </c>
      <c r="Q139" s="6" t="inlineStr"/>
      <c r="R139" s="11">
        <f>IF(P139="","ADD LINKEDIN","ok")</f>
        <v/>
      </c>
      <c r="S139" s="6" t="inlineStr">
        <is>
          <t>https://www.davidweekleyhomes.com/</t>
        </is>
      </c>
      <c r="T139" s="9" t="inlineStr">
        <is>
          <t>125,000 homes, Houston HQ, 50 years. Its supplier recognition covers insulation and fire-stopping, not the envelope.</t>
        </is>
      </c>
      <c r="U139" s="9" t="inlineStr">
        <is>
          <t>No construction-method or technology statement located. | No Houston community unit counts sourced.</t>
        </is>
      </c>
      <c r="V139" s="6" t="inlineStr"/>
      <c r="W139" s="9" t="inlineStr">
        <is>
          <t>Chief Operating Officer at David Weekley Homes. Houston, Texas.</t>
        </is>
      </c>
      <c r="X139" s="6" t="inlineStr"/>
      <c r="Y139" s="6" t="inlineStr">
        <is>
          <t>https://www.linkedin.com/company/david-weekley-homes</t>
        </is>
      </c>
      <c r="Z139" s="6" t="inlineStr">
        <is>
          <t>https://www.davidweekleyhomes.com/about-us/meet-the-team</t>
        </is>
      </c>
    </row>
    <row r="140">
      <c r="A140" s="12" t="inlineStr">
        <is>
          <t>Chad Durham</t>
        </is>
      </c>
      <c r="B140" s="12" t="inlineStr">
        <is>
          <t>David Weekley Homes</t>
        </is>
      </c>
      <c r="C140" s="12" t="inlineStr">
        <is>
          <t>Vice President of Build-to-Rent, David Weekley Homes</t>
        </is>
      </c>
      <c r="D140" s="13" t="inlineStr">
        <is>
          <t>National scale, pilot not purchase</t>
        </is>
      </c>
      <c r="E140" s="14" t="n">
        <v>1</v>
      </c>
      <c r="F140" s="12" t="inlineStr">
        <is>
          <t>Buys walls</t>
        </is>
      </c>
      <c r="G140" s="12" t="inlineStr">
        <is>
          <t>Houston HQ, Harris County</t>
        </is>
      </c>
      <c r="H140" s="12" t="inlineStr">
        <is>
          <t>125,000+ homes, 19 markets, Houston HQ</t>
        </is>
      </c>
      <c r="I140" s="14" t="inlineStr">
        <is>
          <t>Yes</t>
        </is>
      </c>
      <c r="J140" s="15" t="inlineStr">
        <is>
          <t>125,000 homes across 19 markets, Houston head office, 50 years.</t>
        </is>
      </c>
      <c r="K140" s="14" t="inlineStr">
        <is>
          <t>No</t>
        </is>
      </c>
      <c r="L140" s="15" t="inlineStr">
        <is>
          <t>125,000 homes and a national purchasing and supply chain function.</t>
        </is>
      </c>
      <c r="M140" s="14" t="inlineStr">
        <is>
          <t>No</t>
        </is>
      </c>
      <c r="N140" s="15" t="inlineStr">
        <is>
          <t>Its 2026 supplier recognition covers insulation and fire-stopping, not the envelope.</t>
        </is>
      </c>
      <c r="O140" s="14" t="inlineStr">
        <is>
          <t>Partly</t>
        </is>
      </c>
      <c r="P140" s="6" t="inlineStr">
        <is>
          <t>https://www.linkedin.com/in/chad-durham-1227bb74/</t>
        </is>
      </c>
      <c r="Q140" s="12" t="inlineStr"/>
      <c r="R140" s="16">
        <f>IF(P140="","ADD LINKEDIN","ok")</f>
        <v/>
      </c>
      <c r="S140" s="12" t="inlineStr">
        <is>
          <t>https://www.davidweekleyhomes.com/</t>
        </is>
      </c>
      <c r="T140" s="15" t="inlineStr">
        <is>
          <t>125,000 homes, Houston HQ, 50 years. Its supplier recognition covers insulation and fire-stopping, not the envelope.</t>
        </is>
      </c>
      <c r="U140" s="15" t="inlineStr">
        <is>
          <t>No construction-method or technology statement located. | No Houston community unit counts sourced.</t>
        </is>
      </c>
      <c r="V140" s="12" t="inlineStr"/>
      <c r="W140" s="15" t="inlineStr">
        <is>
          <t>Vice President of Build-To-Rent at David Weekley Homes. Austin, Texas, which is ICON's own city. Build-to-rent is the product line where a repeated wall pays back fastest.</t>
        </is>
      </c>
      <c r="X140" s="12" t="inlineStr"/>
      <c r="Y140" s="12" t="inlineStr">
        <is>
          <t>https://www.linkedin.com/company/david-weekley-homes</t>
        </is>
      </c>
      <c r="Z140" s="12" t="inlineStr">
        <is>
          <t>https://www.davidweekleyhomes.com/about-us/meet-the-team</t>
        </is>
      </c>
    </row>
    <row r="141">
      <c r="A141" s="6" t="inlineStr">
        <is>
          <t>Jim Lemming</t>
        </is>
      </c>
      <c r="B141" s="6" t="inlineStr">
        <is>
          <t>Partners in Building</t>
        </is>
      </c>
      <c r="C141" s="6" t="inlineStr">
        <is>
          <t>Chairman, formerly President and Chief Executive Officer until June 2026</t>
        </is>
      </c>
      <c r="D141" s="7" t="inlineStr">
        <is>
          <t>National scale, pilot not purchase</t>
        </is>
      </c>
      <c r="E141" s="8" t="n">
        <v>1</v>
      </c>
      <c r="F141" s="6" t="inlineStr">
        <is>
          <t>Buys walls</t>
        </is>
      </c>
      <c r="G141" s="6" t="inlineStr">
        <is>
          <t>Houston, build on your lot</t>
        </is>
      </c>
      <c r="H141" s="6" t="inlineStr">
        <is>
          <t>More than 300 homes a year in Texas and Tennessee</t>
        </is>
      </c>
      <c r="I141" s="8" t="inlineStr">
        <is>
          <t>No</t>
        </is>
      </c>
      <c r="J141" s="9" t="inlineStr">
        <is>
          <t>Build on your lot, one-of-a-kind by its own description. There is no plan set to repeat.</t>
        </is>
      </c>
      <c r="K141" s="8" t="inlineStr">
        <is>
          <t>Yes</t>
        </is>
      </c>
      <c r="L141" s="9" t="inlineStr">
        <is>
          <t>More than 300 homes a year on the firm's own count, across Texas and Tennessee.</t>
        </is>
      </c>
      <c r="M141" s="8" t="inlineStr">
        <is>
          <t>No</t>
        </is>
      </c>
      <c r="N141" s="9" t="inlineStr">
        <is>
          <t>No method evidence.</t>
        </is>
      </c>
      <c r="O141" s="8" t="inlineStr">
        <is>
          <t>Partly</t>
        </is>
      </c>
      <c r="P141" s="10" t="inlineStr"/>
      <c r="Q141" s="6">
        <f>HYPERLINK("https://www.linkedin.com/search/results/people/?keywords=Jim%20Lemming%20Partners%20in%20Building","search")</f>
        <v/>
      </c>
      <c r="R141" s="11">
        <f>IF(P141="","ADD LINKEDIN","ok")</f>
        <v/>
      </c>
      <c r="S141" s="6" t="inlineStr">
        <is>
          <t>https://partnersinbuilding.com/</t>
        </is>
      </c>
      <c r="T141" s="9" t="inlineStr">
        <is>
          <t>More than 300 homes a year and a vice president of purchasing. Every house is one-of-a-kind. The presidency passed from Jim to Chris Lemming in June 2026.</t>
        </is>
      </c>
      <c r="U141"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1" s="6" t="inlineStr"/>
      <c r="W141" s="9" t="inlineStr">
        <is>
          <t>HousingWire, 15 June 2026: President and CEO Jim Lemming will transition to chairman, and his son Chris Lemming will assume the presidency.</t>
        </is>
      </c>
      <c r="X141" s="6" t="inlineStr">
        <is>
          <t>https://www.housingwire.com/articles/partners-building-succession-plan/</t>
        </is>
      </c>
      <c r="Y141" s="6" t="inlineStr"/>
      <c r="Z141" s="6" t="inlineStr"/>
    </row>
    <row r="142">
      <c r="A142" s="12" t="inlineStr">
        <is>
          <t>Dewey Hennessee</t>
        </is>
      </c>
      <c r="B142" s="12" t="inlineStr">
        <is>
          <t>Partners in Building</t>
        </is>
      </c>
      <c r="C142" s="12" t="inlineStr">
        <is>
          <t>Vice President of Purchasing</t>
        </is>
      </c>
      <c r="D142" s="13" t="inlineStr">
        <is>
          <t>National scale, pilot not purchase</t>
        </is>
      </c>
      <c r="E142" s="14" t="n">
        <v>1</v>
      </c>
      <c r="F142" s="12" t="inlineStr">
        <is>
          <t>Buys walls</t>
        </is>
      </c>
      <c r="G142" s="12" t="inlineStr">
        <is>
          <t>Houston, build on your lot</t>
        </is>
      </c>
      <c r="H142" s="12" t="inlineStr">
        <is>
          <t>More than 300 homes a year in Texas and Tennessee</t>
        </is>
      </c>
      <c r="I142" s="14" t="inlineStr">
        <is>
          <t>No</t>
        </is>
      </c>
      <c r="J142" s="15" t="inlineStr">
        <is>
          <t>Build on your lot, one-of-a-kind by its own description. There is no plan set to repeat.</t>
        </is>
      </c>
      <c r="K142" s="14" t="inlineStr">
        <is>
          <t>Yes</t>
        </is>
      </c>
      <c r="L142" s="15" t="inlineStr">
        <is>
          <t>More than 300 homes a year on the firm's own count, across Texas and Tennessee.</t>
        </is>
      </c>
      <c r="M142" s="14" t="inlineStr">
        <is>
          <t>No</t>
        </is>
      </c>
      <c r="N142" s="15" t="inlineStr">
        <is>
          <t>No method evidence.</t>
        </is>
      </c>
      <c r="O142" s="14" t="inlineStr">
        <is>
          <t>Partly</t>
        </is>
      </c>
      <c r="P142" s="6" t="inlineStr">
        <is>
          <t>https://www.linkedin.com/in/dewey-hennessee-gmb-caps-cgp-95418531</t>
        </is>
      </c>
      <c r="Q142" s="12" t="inlineStr"/>
      <c r="R142" s="16">
        <f>IF(P142="","ADD LINKEDIN","ok")</f>
        <v/>
      </c>
      <c r="S142" s="12" t="inlineStr">
        <is>
          <t>https://partnersinbuilding.com/</t>
        </is>
      </c>
      <c r="T142" s="15" t="inlineStr">
        <is>
          <t>More than 300 homes a year and a vice president of purchasing. Every house is one-of-a-kind. The presidency passed from Jim to Chris Lemming in June 2026.</t>
        </is>
      </c>
      <c r="U142"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2" s="12" t="inlineStr">
        <is>
          <t>YES</t>
        </is>
      </c>
      <c r="W142" s="15" t="inlineStr">
        <is>
          <t>Indexed title reads Dewey Hennessee GMB CAPS CGP, Partners in Building. The title on file comes from the first pass and is not repeated in the index entry.</t>
        </is>
      </c>
      <c r="X142" s="12" t="inlineStr"/>
      <c r="Y142" s="12" t="inlineStr"/>
      <c r="Z142" s="12" t="inlineStr"/>
    </row>
    <row r="143">
      <c r="A143" s="6" t="inlineStr">
        <is>
          <t>Chris Lemming</t>
        </is>
      </c>
      <c r="B143" s="6" t="inlineStr">
        <is>
          <t>Partners in Building</t>
        </is>
      </c>
      <c r="C143" s="6" t="inlineStr">
        <is>
          <t>President, since June 2026</t>
        </is>
      </c>
      <c r="D143" s="7" t="inlineStr">
        <is>
          <t>National scale, pilot not purchase</t>
        </is>
      </c>
      <c r="E143" s="8" t="n">
        <v>1</v>
      </c>
      <c r="F143" s="6" t="inlineStr">
        <is>
          <t>Buys walls</t>
        </is>
      </c>
      <c r="G143" s="6" t="inlineStr">
        <is>
          <t>Houston, build on your lot</t>
        </is>
      </c>
      <c r="H143" s="6" t="inlineStr">
        <is>
          <t>More than 300 homes a year in Texas and Tennessee</t>
        </is>
      </c>
      <c r="I143" s="8" t="inlineStr">
        <is>
          <t>No</t>
        </is>
      </c>
      <c r="J143" s="9" t="inlineStr">
        <is>
          <t>Build on your lot, one-of-a-kind by its own description. There is no plan set to repeat.</t>
        </is>
      </c>
      <c r="K143" s="8" t="inlineStr">
        <is>
          <t>Yes</t>
        </is>
      </c>
      <c r="L143" s="9" t="inlineStr">
        <is>
          <t>More than 300 homes a year on the firm's own count, across Texas and Tennessee.</t>
        </is>
      </c>
      <c r="M143" s="8" t="inlineStr">
        <is>
          <t>No</t>
        </is>
      </c>
      <c r="N143" s="9" t="inlineStr">
        <is>
          <t>No method evidence.</t>
        </is>
      </c>
      <c r="O143" s="8" t="inlineStr">
        <is>
          <t>Partly</t>
        </is>
      </c>
      <c r="P143" s="10" t="inlineStr"/>
      <c r="Q143" s="6">
        <f>HYPERLINK("https://www.linkedin.com/search/results/people/?keywords=Chris%20Lemming%20Partners%20in%20Building","search")</f>
        <v/>
      </c>
      <c r="R143" s="11">
        <f>IF(P143="","ADD LINKEDIN","ok")</f>
        <v/>
      </c>
      <c r="S143" s="6" t="inlineStr">
        <is>
          <t>https://partnersinbuilding.com/</t>
        </is>
      </c>
      <c r="T143" s="9" t="inlineStr">
        <is>
          <t>More than 300 homes a year and a vice president of purchasing. Every house is one-of-a-kind. The presidency passed from Jim to Chris Lemming in June 2026.</t>
        </is>
      </c>
      <c r="U143"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3" s="6" t="inlineStr"/>
      <c r="W143" s="9" t="inlineStr">
        <is>
          <t>HousingWire, 15 June 2026: Chris Lemming assumes the presidency after an eighteen-month succession.</t>
        </is>
      </c>
      <c r="X143" s="6" t="inlineStr">
        <is>
          <t>https://www.housingwire.com/articles/partners-building-succession-plan/</t>
        </is>
      </c>
      <c r="Y143" s="6" t="inlineStr"/>
      <c r="Z143" s="6" t="inlineStr"/>
    </row>
    <row r="144">
      <c r="A144" s="12" t="inlineStr">
        <is>
          <t>Kathy Britton</t>
        </is>
      </c>
      <c r="B144" s="12" t="inlineStr">
        <is>
          <t>Perry Homes</t>
        </is>
      </c>
      <c r="C144" s="12" t="inlineStr">
        <is>
          <t>Owner and Executive Chair</t>
        </is>
      </c>
      <c r="D144" s="13" t="inlineStr">
        <is>
          <t>National scale, pilot not purchase</t>
        </is>
      </c>
      <c r="E144" s="14" t="n">
        <v>1</v>
      </c>
      <c r="F144" s="12" t="inlineStr">
        <is>
          <t>Buys walls</t>
        </is>
      </c>
      <c r="G144" s="12" t="inlineStr">
        <is>
          <t>Houston HQ, Harris County</t>
        </is>
      </c>
      <c r="H144" s="12" t="inlineStr">
        <is>
          <t>120+ communities, 65,000+ homes sold</t>
        </is>
      </c>
      <c r="I144" s="14" t="inlineStr">
        <is>
          <t>Yes</t>
        </is>
      </c>
      <c r="J144" s="15" t="inlineStr">
        <is>
          <t>More than 120 communities and 65,000 homes, locally owned.</t>
        </is>
      </c>
      <c r="K144" s="14" t="inlineStr">
        <is>
          <t>No</t>
        </is>
      </c>
      <c r="L144" s="15" t="inlineStr">
        <is>
          <t>120 communities and thousands of closings a year, bought centrally.</t>
        </is>
      </c>
      <c r="M144" s="14" t="inlineStr">
        <is>
          <t>No</t>
        </is>
      </c>
      <c r="N144" s="15" t="inlineStr">
        <is>
          <t>Its own published definition of innovation is smart-home features and floor plans.</t>
        </is>
      </c>
      <c r="O144" s="14" t="inlineStr">
        <is>
          <t>Partly</t>
        </is>
      </c>
      <c r="P144" s="10" t="inlineStr"/>
      <c r="Q144" s="12">
        <f>HYPERLINK("https://www.linkedin.com/search/results/people/?keywords=Kathy%20Britton%20Perry%20Homes","search")</f>
        <v/>
      </c>
      <c r="R144" s="16">
        <f>IF(P144="","ADD LINKEDIN","ok")</f>
        <v/>
      </c>
      <c r="S144" s="12" t="inlineStr">
        <is>
          <t>https://www.perryhomes.com/</t>
        </is>
      </c>
      <c r="T144" s="15" t="inlineStr">
        <is>
          <t>120 communities and local ownership. Its own published definition of innovation never touches how the building is built.</t>
        </is>
      </c>
      <c r="U144" s="15" t="inlineStr">
        <is>
          <t>No Houston-specific community unit counts or acreage sourced. | No capital signal with a figure.</t>
        </is>
      </c>
      <c r="V144" s="12" t="inlineStr"/>
      <c r="W144" s="15" t="inlineStr">
        <is>
          <t>Perry's own page: Owner and Executive Chair, having succeeded her father Bob Perry as chief executive.</t>
        </is>
      </c>
      <c r="X144" s="12" t="inlineStr">
        <is>
          <t>https://www.perryhomes.com/about-perry-homes</t>
        </is>
      </c>
      <c r="Y144" s="12" t="inlineStr">
        <is>
          <t>https://www.linkedin.com/company/perry-homes</t>
        </is>
      </c>
      <c r="Z144" s="12" t="inlineStr">
        <is>
          <t>https://www.perryhomes.com/about-perry-homes</t>
        </is>
      </c>
    </row>
    <row r="145">
      <c r="A145" s="6" t="inlineStr">
        <is>
          <t>Todd Chachere</t>
        </is>
      </c>
      <c r="B145" s="6" t="inlineStr">
        <is>
          <t>Perry Homes</t>
        </is>
      </c>
      <c r="C145" s="6" t="inlineStr">
        <is>
          <t>Chief Executive Officer</t>
        </is>
      </c>
      <c r="D145" s="7" t="inlineStr">
        <is>
          <t>National scale, pilot not purchase</t>
        </is>
      </c>
      <c r="E145" s="8" t="n">
        <v>1</v>
      </c>
      <c r="F145" s="6" t="inlineStr">
        <is>
          <t>Buys walls</t>
        </is>
      </c>
      <c r="G145" s="6" t="inlineStr">
        <is>
          <t>Houston HQ, Harris County</t>
        </is>
      </c>
      <c r="H145" s="6" t="inlineStr">
        <is>
          <t>120+ communities, 65,000+ homes sold</t>
        </is>
      </c>
      <c r="I145" s="8" t="inlineStr">
        <is>
          <t>Yes</t>
        </is>
      </c>
      <c r="J145" s="9" t="inlineStr">
        <is>
          <t>More than 120 communities and 65,000 homes, locally owned.</t>
        </is>
      </c>
      <c r="K145" s="8" t="inlineStr">
        <is>
          <t>No</t>
        </is>
      </c>
      <c r="L145" s="9" t="inlineStr">
        <is>
          <t>120 communities and thousands of closings a year, bought centrally.</t>
        </is>
      </c>
      <c r="M145" s="8" t="inlineStr">
        <is>
          <t>No</t>
        </is>
      </c>
      <c r="N145" s="9" t="inlineStr">
        <is>
          <t>Its own published definition of innovation is smart-home features and floor plans.</t>
        </is>
      </c>
      <c r="O145" s="8" t="inlineStr">
        <is>
          <t>Partly</t>
        </is>
      </c>
      <c r="P145" s="10" t="inlineStr"/>
      <c r="Q145" s="6">
        <f>HYPERLINK("https://www.linkedin.com/search/results/people/?keywords=Todd%20Chachere%20Perry%20Homes","search")</f>
        <v/>
      </c>
      <c r="R145" s="11">
        <f>IF(P145="","ADD LINKEDIN","ok")</f>
        <v/>
      </c>
      <c r="S145" s="6" t="inlineStr">
        <is>
          <t>https://www.perryhomes.com/</t>
        </is>
      </c>
      <c r="T145" s="9" t="inlineStr">
        <is>
          <t>120 communities and local ownership. Its own published definition of innovation never touches how the building is built.</t>
        </is>
      </c>
      <c r="U145" s="9" t="inlineStr">
        <is>
          <t>No Houston-specific community unit counts or acreage sourced. | No capital signal with a figure.</t>
        </is>
      </c>
      <c r="V145" s="6" t="inlineStr"/>
      <c r="W145" s="9" t="inlineStr">
        <is>
          <t>Chief Executive Officer on Perry's own page.</t>
        </is>
      </c>
      <c r="X145" s="6" t="inlineStr">
        <is>
          <t>https://www.perryhomes.com/about-perry-homes</t>
        </is>
      </c>
      <c r="Y145" s="6" t="inlineStr">
        <is>
          <t>https://www.linkedin.com/company/perry-homes</t>
        </is>
      </c>
      <c r="Z145" s="6" t="inlineStr">
        <is>
          <t>https://www.perryhomes.com/about-perry-homes</t>
        </is>
      </c>
    </row>
    <row r="146">
      <c r="A146" s="12" t="inlineStr">
        <is>
          <t>Shane Huhn</t>
        </is>
      </c>
      <c r="B146" s="12" t="inlineStr">
        <is>
          <t>Perry Homes</t>
        </is>
      </c>
      <c r="C146" s="12" t="inlineStr">
        <is>
          <t>Vice President of Construction, Perry Homes</t>
        </is>
      </c>
      <c r="D146" s="13" t="inlineStr">
        <is>
          <t>National scale, pilot not purchase</t>
        </is>
      </c>
      <c r="E146" s="14" t="n">
        <v>1</v>
      </c>
      <c r="F146" s="12" t="inlineStr">
        <is>
          <t>Buys walls</t>
        </is>
      </c>
      <c r="G146" s="12" t="inlineStr">
        <is>
          <t>Houston HQ, Harris County</t>
        </is>
      </c>
      <c r="H146" s="12" t="inlineStr">
        <is>
          <t>120+ communities, 65,000+ homes sold</t>
        </is>
      </c>
      <c r="I146" s="14" t="inlineStr">
        <is>
          <t>Yes</t>
        </is>
      </c>
      <c r="J146" s="15" t="inlineStr">
        <is>
          <t>More than 120 communities and 65,000 homes, locally owned.</t>
        </is>
      </c>
      <c r="K146" s="14" t="inlineStr">
        <is>
          <t>No</t>
        </is>
      </c>
      <c r="L146" s="15" t="inlineStr">
        <is>
          <t>120 communities and thousands of closings a year, bought centrally.</t>
        </is>
      </c>
      <c r="M146" s="14" t="inlineStr">
        <is>
          <t>No</t>
        </is>
      </c>
      <c r="N146" s="15" t="inlineStr">
        <is>
          <t>Its own published definition of innovation is smart-home features and floor plans.</t>
        </is>
      </c>
      <c r="O146" s="14" t="inlineStr">
        <is>
          <t>Partly</t>
        </is>
      </c>
      <c r="P146" s="6" t="inlineStr">
        <is>
          <t>https://www.linkedin.com/in/shane-huhn-645270161/</t>
        </is>
      </c>
      <c r="Q146" s="12" t="inlineStr"/>
      <c r="R146" s="16">
        <f>IF(P146="","ADD LINKEDIN","ok")</f>
        <v/>
      </c>
      <c r="S146" s="12" t="inlineStr">
        <is>
          <t>https://www.perryhomes.com/</t>
        </is>
      </c>
      <c r="T146" s="15" t="inlineStr">
        <is>
          <t>120 communities and local ownership. Its own published definition of innovation never touches how the building is built.</t>
        </is>
      </c>
      <c r="U146" s="15" t="inlineStr">
        <is>
          <t>No Houston-specific community unit counts or acreage sourced. | No capital signal with a figure.</t>
        </is>
      </c>
      <c r="V146" s="12" t="inlineStr">
        <is>
          <t>YES</t>
        </is>
      </c>
      <c r="W146" s="15" t="inlineStr">
        <is>
          <t>Vice President of Construction at Perry Homes. Location shows only United States; Perry is headquartered in Houston.</t>
        </is>
      </c>
      <c r="X146" s="12" t="inlineStr"/>
      <c r="Y146" s="12" t="inlineStr">
        <is>
          <t>https://www.linkedin.com/company/perry-homes</t>
        </is>
      </c>
      <c r="Z146" s="12" t="inlineStr">
        <is>
          <t>https://www.perryhomes.com/about-perry-homes</t>
        </is>
      </c>
    </row>
    <row r="147">
      <c r="A147" s="6" t="inlineStr">
        <is>
          <t>Lauren Chachere</t>
        </is>
      </c>
      <c r="B147" s="6" t="inlineStr">
        <is>
          <t>Perry Homes</t>
        </is>
      </c>
      <c r="C147" s="6" t="inlineStr">
        <is>
          <t>Vice President of Purchasing, Perry Homes</t>
        </is>
      </c>
      <c r="D147" s="7" t="inlineStr">
        <is>
          <t>National scale, pilot not purchase</t>
        </is>
      </c>
      <c r="E147" s="8" t="n">
        <v>1</v>
      </c>
      <c r="F147" s="6" t="inlineStr">
        <is>
          <t>Buys walls</t>
        </is>
      </c>
      <c r="G147" s="6" t="inlineStr">
        <is>
          <t>Houston HQ, Harris County</t>
        </is>
      </c>
      <c r="H147" s="6" t="inlineStr">
        <is>
          <t>120+ communities, 65,000+ homes sold</t>
        </is>
      </c>
      <c r="I147" s="8" t="inlineStr">
        <is>
          <t>Yes</t>
        </is>
      </c>
      <c r="J147" s="9" t="inlineStr">
        <is>
          <t>More than 120 communities and 65,000 homes, locally owned.</t>
        </is>
      </c>
      <c r="K147" s="8" t="inlineStr">
        <is>
          <t>No</t>
        </is>
      </c>
      <c r="L147" s="9" t="inlineStr">
        <is>
          <t>120 communities and thousands of closings a year, bought centrally.</t>
        </is>
      </c>
      <c r="M147" s="8" t="inlineStr">
        <is>
          <t>No</t>
        </is>
      </c>
      <c r="N147" s="9" t="inlineStr">
        <is>
          <t>Its own published definition of innovation is smart-home features and floor plans.</t>
        </is>
      </c>
      <c r="O147" s="8" t="inlineStr">
        <is>
          <t>Partly</t>
        </is>
      </c>
      <c r="P147" s="6" t="inlineStr">
        <is>
          <t>https://www.linkedin.com/in/laurenchachere/</t>
        </is>
      </c>
      <c r="Q147" s="6" t="inlineStr"/>
      <c r="R147" s="11">
        <f>IF(P147="","ADD LINKEDIN","ok")</f>
        <v/>
      </c>
      <c r="S147" s="6" t="inlineStr">
        <is>
          <t>https://www.perryhomes.com/</t>
        </is>
      </c>
      <c r="T147" s="9" t="inlineStr">
        <is>
          <t>120 communities and local ownership. Its own published definition of innovation never touches how the building is built.</t>
        </is>
      </c>
      <c r="U147" s="9" t="inlineStr">
        <is>
          <t>No Houston-specific community unit counts or acreage sourced. | No capital signal with a figure.</t>
        </is>
      </c>
      <c r="V147" s="6" t="inlineStr">
        <is>
          <t>YES</t>
        </is>
      </c>
      <c r="W147" s="9" t="inlineStr">
        <is>
          <t>Vice President of Purchasing at Perry Homes. Houston, Texas.</t>
        </is>
      </c>
      <c r="X147" s="6" t="inlineStr"/>
      <c r="Y147" s="6" t="inlineStr">
        <is>
          <t>https://www.linkedin.com/company/perry-homes</t>
        </is>
      </c>
      <c r="Z147" s="6" t="inlineStr">
        <is>
          <t>https://www.perryhomes.com/about-perry-homes</t>
        </is>
      </c>
    </row>
    <row r="148">
      <c r="A148" s="12" t="inlineStr">
        <is>
          <t>Ronny Salameh</t>
        </is>
      </c>
      <c r="B148" s="12" t="inlineStr">
        <is>
          <t>Brightland Homes</t>
        </is>
      </c>
      <c r="C148" s="12" t="inlineStr">
        <is>
          <t>President and Chief Executive Officer, The DRB Group</t>
        </is>
      </c>
      <c r="D148" s="13" t="inlineStr">
        <is>
          <t>National scale, pilot not purchase</t>
        </is>
      </c>
      <c r="E148" s="14" t="n">
        <v>1</v>
      </c>
      <c r="F148" s="12" t="inlineStr">
        <is>
          <t>Buys walls</t>
        </is>
      </c>
      <c r="G148" s="12" t="inlineStr">
        <is>
          <t>Addison HQ / Montgomery, Harris</t>
        </is>
      </c>
      <c r="H148" s="12" t="inlineStr">
        <is>
          <t>110 communities, 17,000+ homes delivered</t>
        </is>
      </c>
      <c r="I148" s="14" t="inlineStr">
        <is>
          <t>Partly</t>
        </is>
      </c>
      <c r="J148" s="15" t="inlineStr">
        <is>
          <t>110 active communities.</t>
        </is>
      </c>
      <c r="K148" s="14" t="inlineStr">
        <is>
          <t>No</t>
        </is>
      </c>
      <c r="L148" s="15" t="inlineStr">
        <is>
          <t>110 communities inside the DRB platform, bought by a parent that has put capital into wood.</t>
        </is>
      </c>
      <c r="M148" s="14" t="inlineStr">
        <is>
          <t>No</t>
        </is>
      </c>
      <c r="N148" s="15" t="inlineStr">
        <is>
          <t>Owner Sumitomo Forestry is a timber group, which may cut against a concrete wall.</t>
        </is>
      </c>
      <c r="O148" s="14" t="inlineStr">
        <is>
          <t>Partly</t>
        </is>
      </c>
      <c r="P148" s="10" t="inlineStr"/>
      <c r="Q148" s="12">
        <f>HYPERLINK("https://www.linkedin.com/search/results/people/?keywords=Ronny%20Salameh%20Brightland%20Homes","search")</f>
        <v/>
      </c>
      <c r="R148" s="16">
        <f>IF(P148="","ADD LINKEDIN","ok")</f>
        <v/>
      </c>
      <c r="S148" s="12" t="inlineStr">
        <is>
          <t>https://www.brightlandhomes.com/</t>
        </is>
      </c>
      <c r="T148" s="15" t="inlineStr">
        <is>
          <t>110 communities, but parent Sumitomo Forestry bought a sawmill and is integrating wood framing across the platform Brightland sits in.</t>
        </is>
      </c>
      <c r="U148"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8" s="12" t="inlineStr"/>
      <c r="W148" s="15" t="inlineStr">
        <is>
          <t>President and Chief Executive Officer of The DRB Group, which has owned Brightland since April 2025.</t>
        </is>
      </c>
      <c r="X148" s="12" t="inlineStr">
        <is>
          <t>https://www.drbgroup.com/about</t>
        </is>
      </c>
      <c r="Y148" s="12" t="inlineStr">
        <is>
          <t>https://www.linkedin.com/company/brightlandhomes</t>
        </is>
      </c>
      <c r="Z148" s="12" t="inlineStr">
        <is>
          <t>https://www.drbgroup.com/about</t>
        </is>
      </c>
    </row>
    <row r="149">
      <c r="A149" s="6" t="inlineStr">
        <is>
          <t>Young Nam</t>
        </is>
      </c>
      <c r="B149" s="6" t="inlineStr">
        <is>
          <t>Brightland Homes</t>
        </is>
      </c>
      <c r="C149" s="6" t="inlineStr">
        <is>
          <t>Senior Vice President of Purchasing, The DRB Group</t>
        </is>
      </c>
      <c r="D149" s="7" t="inlineStr">
        <is>
          <t>National scale, pilot not purchase</t>
        </is>
      </c>
      <c r="E149" s="8" t="n">
        <v>1</v>
      </c>
      <c r="F149" s="6" t="inlineStr">
        <is>
          <t>Buys walls</t>
        </is>
      </c>
      <c r="G149" s="6" t="inlineStr">
        <is>
          <t>Addison HQ / Montgomery, Harris</t>
        </is>
      </c>
      <c r="H149" s="6" t="inlineStr">
        <is>
          <t>110 communities, 17,000+ homes delivered</t>
        </is>
      </c>
      <c r="I149" s="8" t="inlineStr">
        <is>
          <t>Partly</t>
        </is>
      </c>
      <c r="J149" s="9" t="inlineStr">
        <is>
          <t>110 active communities.</t>
        </is>
      </c>
      <c r="K149" s="8" t="inlineStr">
        <is>
          <t>No</t>
        </is>
      </c>
      <c r="L149" s="9" t="inlineStr">
        <is>
          <t>110 communities inside the DRB platform, bought by a parent that has put capital into wood.</t>
        </is>
      </c>
      <c r="M149" s="8" t="inlineStr">
        <is>
          <t>No</t>
        </is>
      </c>
      <c r="N149" s="9" t="inlineStr">
        <is>
          <t>Owner Sumitomo Forestry is a timber group, which may cut against a concrete wall.</t>
        </is>
      </c>
      <c r="O149" s="8" t="inlineStr">
        <is>
          <t>Partly</t>
        </is>
      </c>
      <c r="P149" s="6" t="inlineStr">
        <is>
          <t>https://www.linkedin.com/in/young-nam-78b36229/</t>
        </is>
      </c>
      <c r="Q149" s="6" t="inlineStr"/>
      <c r="R149" s="11">
        <f>IF(P149="","ADD LINKEDIN","ok")</f>
        <v/>
      </c>
      <c r="S149" s="6" t="inlineStr">
        <is>
          <t>https://www.brightlandhomes.com/</t>
        </is>
      </c>
      <c r="T149" s="9" t="inlineStr">
        <is>
          <t>110 communities, but parent Sumitomo Forestry bought a sawmill and is integrating wood framing across the platform Brightland sits in.</t>
        </is>
      </c>
      <c r="U149"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9" s="6" t="inlineStr">
        <is>
          <t>YES</t>
        </is>
      </c>
      <c r="W149"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49" s="6" t="inlineStr">
        <is>
          <t>https://www.drbgroup.com/about</t>
        </is>
      </c>
      <c r="Y149" s="6" t="inlineStr">
        <is>
          <t>https://www.linkedin.com/company/brightlandhomes</t>
        </is>
      </c>
      <c r="Z149" s="6" t="inlineStr">
        <is>
          <t>https://www.drbgroup.com/about</t>
        </is>
      </c>
    </row>
    <row r="150">
      <c r="A150" s="12" t="inlineStr">
        <is>
          <t>Danny Signorelli</t>
        </is>
      </c>
      <c r="B150" s="12" t="inlineStr">
        <is>
          <t>The Signorelli Company</t>
        </is>
      </c>
      <c r="C150" s="12" t="inlineStr">
        <is>
          <t>Founder and Chief Executive Officer</t>
        </is>
      </c>
      <c r="D150" s="13" t="inlineStr">
        <is>
          <t>Masterplan owner</t>
        </is>
      </c>
      <c r="E150" s="14" t="n">
        <v>2</v>
      </c>
      <c r="F150" s="12" t="inlineStr">
        <is>
          <t>Sells lots</t>
        </is>
      </c>
      <c r="G150" s="12" t="inlineStr">
        <is>
          <t>The Woodlands HQ / Fort Bend, Liberty</t>
        </is>
      </c>
      <c r="H150" s="12" t="inlineStr">
        <is>
          <t>23,000+ paper lots in pipeline</t>
        </is>
      </c>
      <c r="I150" s="14" t="inlineStr">
        <is>
          <t>Yes</t>
        </is>
      </c>
      <c r="J150" s="15" t="inlineStr"/>
      <c r="K150" s="14" t="inlineStr">
        <is>
          <t>Partly</t>
        </is>
      </c>
      <c r="L150" s="15" t="inlineStr"/>
      <c r="M150" s="14" t="inlineStr">
        <is>
          <t>No</t>
        </is>
      </c>
      <c r="N150" s="15" t="inlineStr"/>
      <c r="O150" s="14" t="inlineStr">
        <is>
          <t>Partly</t>
        </is>
      </c>
      <c r="P150" s="6" t="inlineStr">
        <is>
          <t>https://www.linkedin.com/in/danny-signorelli-6284461b/</t>
        </is>
      </c>
      <c r="Q150" s="12" t="inlineStr"/>
      <c r="R150" s="16">
        <f>IF(P150="","ADD LINKEDIN","ok")</f>
        <v/>
      </c>
      <c r="S150" s="12" t="inlineStr">
        <is>
          <t>https://www.signorellicompany.com/</t>
        </is>
      </c>
      <c r="T150" s="15" t="inlineStr">
        <is>
          <t>Sells lots, but owns First America Homes, which holds all three counts. One president runs both.</t>
        </is>
      </c>
      <c r="U150"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0" s="12" t="inlineStr"/>
      <c r="W150" s="15" t="inlineStr">
        <is>
          <t>CEO, President, The Signorelli Company. Greater Houston.</t>
        </is>
      </c>
      <c r="X150" s="12" t="inlineStr"/>
      <c r="Y150" s="12" t="inlineStr">
        <is>
          <t>https://www.linkedin.com/company/signorelli-company</t>
        </is>
      </c>
      <c r="Z150" s="12" t="inlineStr">
        <is>
          <t>https://www.signorellicompany.com/our-leadership</t>
        </is>
      </c>
    </row>
    <row r="151">
      <c r="A151" s="6" t="inlineStr">
        <is>
          <t>Jeff Dewese</t>
        </is>
      </c>
      <c r="B151" s="6" t="inlineStr">
        <is>
          <t>The Signorelli Company</t>
        </is>
      </c>
      <c r="C151" s="6" t="inlineStr">
        <is>
          <t>President, Land Division</t>
        </is>
      </c>
      <c r="D151" s="7" t="inlineStr">
        <is>
          <t>Masterplan owner</t>
        </is>
      </c>
      <c r="E151" s="8" t="n">
        <v>2</v>
      </c>
      <c r="F151" s="6" t="inlineStr">
        <is>
          <t>Sells lots</t>
        </is>
      </c>
      <c r="G151" s="6" t="inlineStr">
        <is>
          <t>The Woodlands HQ / Fort Bend, Liberty</t>
        </is>
      </c>
      <c r="H151" s="6" t="inlineStr">
        <is>
          <t>23,000+ paper lots in pipeline</t>
        </is>
      </c>
      <c r="I151" s="8" t="inlineStr">
        <is>
          <t>Yes</t>
        </is>
      </c>
      <c r="J151" s="9" t="inlineStr"/>
      <c r="K151" s="8" t="inlineStr">
        <is>
          <t>Partly</t>
        </is>
      </c>
      <c r="L151" s="9" t="inlineStr"/>
      <c r="M151" s="8" t="inlineStr">
        <is>
          <t>No</t>
        </is>
      </c>
      <c r="N151" s="9" t="inlineStr"/>
      <c r="O151" s="8" t="inlineStr">
        <is>
          <t>Partly</t>
        </is>
      </c>
      <c r="P151" s="10" t="inlineStr"/>
      <c r="Q151" s="6">
        <f>HYPERLINK("https://www.linkedin.com/search/results/people/?keywords=Jeff%20Dewese%20The%20Signorelli%20Company","search")</f>
        <v/>
      </c>
      <c r="R151" s="11">
        <f>IF(P151="","ADD LINKEDIN","ok")</f>
        <v/>
      </c>
      <c r="S151" s="6" t="inlineStr">
        <is>
          <t>https://www.signorellicompany.com/</t>
        </is>
      </c>
      <c r="T151" s="9" t="inlineStr">
        <is>
          <t>Sells lots, but owns First America Homes, which holds all three counts. One president runs both.</t>
        </is>
      </c>
      <c r="U15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1" s="6" t="inlineStr"/>
      <c r="W151" s="9" t="inlineStr">
        <is>
          <t>Signorelli's own bio page. President, Land Division, overseeing land acquisition, planning and construction management for Granger Pines, Cielo and Austin Point.</t>
        </is>
      </c>
      <c r="X151" s="6" t="inlineStr">
        <is>
          <t>https://www.signorellicompany.com/our-leadership/15/jeff-dewese</t>
        </is>
      </c>
      <c r="Y151" s="6" t="inlineStr">
        <is>
          <t>https://www.linkedin.com/company/signorelli-company</t>
        </is>
      </c>
      <c r="Z151" s="6" t="inlineStr">
        <is>
          <t>https://www.signorellicompany.com/our-leadership</t>
        </is>
      </c>
    </row>
    <row r="152">
      <c r="A152" s="12" t="inlineStr">
        <is>
          <t>Harry Dinham</t>
        </is>
      </c>
      <c r="B152" s="12" t="inlineStr">
        <is>
          <t>The Signorelli Company</t>
        </is>
      </c>
      <c r="C152" s="12" t="inlineStr">
        <is>
          <t>Chief Financial Officer</t>
        </is>
      </c>
      <c r="D152" s="13" t="inlineStr">
        <is>
          <t>Masterplan owner</t>
        </is>
      </c>
      <c r="E152" s="14" t="n">
        <v>2</v>
      </c>
      <c r="F152" s="12" t="inlineStr">
        <is>
          <t>Sells lots</t>
        </is>
      </c>
      <c r="G152" s="12" t="inlineStr">
        <is>
          <t>The Woodlands HQ / Fort Bend, Liberty</t>
        </is>
      </c>
      <c r="H152" s="12" t="inlineStr">
        <is>
          <t>23,000+ paper lots in pipeline</t>
        </is>
      </c>
      <c r="I152" s="14" t="inlineStr">
        <is>
          <t>Yes</t>
        </is>
      </c>
      <c r="J152" s="15" t="inlineStr"/>
      <c r="K152" s="14" t="inlineStr">
        <is>
          <t>Partly</t>
        </is>
      </c>
      <c r="L152" s="15" t="inlineStr"/>
      <c r="M152" s="14" t="inlineStr">
        <is>
          <t>No</t>
        </is>
      </c>
      <c r="N152" s="15" t="inlineStr"/>
      <c r="O152" s="14" t="inlineStr">
        <is>
          <t>Partly</t>
        </is>
      </c>
      <c r="P152" s="10" t="inlineStr"/>
      <c r="Q152" s="12">
        <f>HYPERLINK("https://www.linkedin.com/search/results/people/?keywords=Harry%20Dinham%20The%20Signorelli%20Company","search")</f>
        <v/>
      </c>
      <c r="R152" s="16">
        <f>IF(P152="","ADD LINKEDIN","ok")</f>
        <v/>
      </c>
      <c r="S152" s="12" t="inlineStr">
        <is>
          <t>https://www.signorellicompany.com/</t>
        </is>
      </c>
      <c r="T152" s="15" t="inlineStr">
        <is>
          <t>Sells lots, but owns First America Homes, which holds all three counts. One president runs both.</t>
        </is>
      </c>
      <c r="U152"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2" s="12" t="inlineStr"/>
      <c r="W152" s="15" t="inlineStr">
        <is>
          <t>Signorelli's own bio page. Chief Financial Officer on the executive leadership team.</t>
        </is>
      </c>
      <c r="X152" s="12" t="inlineStr">
        <is>
          <t>https://www.signorellicompany.com/our-leadership/30/harry-dinham</t>
        </is>
      </c>
      <c r="Y152" s="12" t="inlineStr">
        <is>
          <t>https://www.linkedin.com/company/signorelli-company</t>
        </is>
      </c>
      <c r="Z152" s="12" t="inlineStr">
        <is>
          <t>https://www.signorellicompany.com/our-leadership</t>
        </is>
      </c>
    </row>
    <row r="153">
      <c r="A153" s="6" t="inlineStr">
        <is>
          <t>John Winniford</t>
        </is>
      </c>
      <c r="B153" s="6" t="inlineStr">
        <is>
          <t>The Signorelli Company</t>
        </is>
      </c>
      <c r="C153" s="6" t="inlineStr">
        <is>
          <t>President, Homebuilding, The Signorelli Company</t>
        </is>
      </c>
      <c r="D153" s="7" t="inlineStr">
        <is>
          <t>Masterplan owner</t>
        </is>
      </c>
      <c r="E153" s="8" t="n">
        <v>2</v>
      </c>
      <c r="F153" s="6" t="inlineStr">
        <is>
          <t>Sells lots</t>
        </is>
      </c>
      <c r="G153" s="6" t="inlineStr">
        <is>
          <t>The Woodlands HQ / Fort Bend, Liberty</t>
        </is>
      </c>
      <c r="H153" s="6" t="inlineStr">
        <is>
          <t>23,000+ paper lots in pipeline</t>
        </is>
      </c>
      <c r="I153" s="8" t="inlineStr">
        <is>
          <t>Yes</t>
        </is>
      </c>
      <c r="J153" s="9" t="inlineStr"/>
      <c r="K153" s="8" t="inlineStr">
        <is>
          <t>Partly</t>
        </is>
      </c>
      <c r="L153" s="9" t="inlineStr"/>
      <c r="M153" s="8" t="inlineStr">
        <is>
          <t>No</t>
        </is>
      </c>
      <c r="N153" s="9" t="inlineStr"/>
      <c r="O153" s="8" t="inlineStr">
        <is>
          <t>Partly</t>
        </is>
      </c>
      <c r="P153" s="10" t="inlineStr"/>
      <c r="Q153" s="6">
        <f>HYPERLINK("https://www.linkedin.com/search/results/people/?keywords=John%20Winniford%20The%20Signorelli%20Company","search")</f>
        <v/>
      </c>
      <c r="R153" s="11">
        <f>IF(P153="","ADD LINKEDIN","ok")</f>
        <v/>
      </c>
      <c r="S153" s="6" t="inlineStr">
        <is>
          <t>https://www.signorellicompany.com/</t>
        </is>
      </c>
      <c r="T153" s="9" t="inlineStr">
        <is>
          <t>Sells lots, but owns First America Homes, which holds all three counts. One president runs both.</t>
        </is>
      </c>
      <c r="U153"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3" s="6" t="inlineStr"/>
      <c r="W153" s="9" t="inlineStr">
        <is>
          <t>President, Homebuilding. The same person who runs First America, which Signorelli owns, so a single approach reaches both the land position and the builder.</t>
        </is>
      </c>
      <c r="X153" s="6" t="inlineStr">
        <is>
          <t>https://www.signorellicompany.com/our-leadership/34/john-winniford</t>
        </is>
      </c>
      <c r="Y153" s="6" t="inlineStr">
        <is>
          <t>https://www.linkedin.com/company/signorelli-company</t>
        </is>
      </c>
      <c r="Z153" s="6" t="inlineStr">
        <is>
          <t>https://www.signorellicompany.com/our-leadership</t>
        </is>
      </c>
    </row>
    <row r="154">
      <c r="A154" s="12" t="inlineStr">
        <is>
          <t>David O'Reilly</t>
        </is>
      </c>
      <c r="B154" s="12" t="inlineStr">
        <is>
          <t>Howard Hughes Holdings Inc.</t>
        </is>
      </c>
      <c r="C154" s="12" t="inlineStr">
        <is>
          <t>Chief Executive Officer</t>
        </is>
      </c>
      <c r="D154" s="13" t="inlineStr">
        <is>
          <t>Masterplan owner</t>
        </is>
      </c>
      <c r="E154" s="14" t="n">
        <v>1</v>
      </c>
      <c r="F154" s="12" t="inlineStr">
        <is>
          <t>Sells lots</t>
        </is>
      </c>
      <c r="G154" s="12" t="inlineStr">
        <is>
          <t>The Woodlands HQ / Harris, Montgomery</t>
        </is>
      </c>
      <c r="H154" s="12" t="inlineStr">
        <is>
          <t>$900M Pershing Square investment, 46.9%</t>
        </is>
      </c>
      <c r="I154" s="14" t="inlineStr">
        <is>
          <t>Yes</t>
        </is>
      </c>
      <c r="J154" s="15" t="inlineStr"/>
      <c r="K154" s="14" t="inlineStr">
        <is>
          <t>No</t>
        </is>
      </c>
      <c r="L154" s="15" t="inlineStr"/>
      <c r="M154" s="14" t="inlineStr">
        <is>
          <t>No</t>
        </is>
      </c>
      <c r="N154" s="15" t="inlineStr"/>
      <c r="O154" s="14" t="inlineStr">
        <is>
          <t>Yes</t>
        </is>
      </c>
      <c r="P154" s="10" t="inlineStr"/>
      <c r="Q154" s="12">
        <f>HYPERLINK("https://www.linkedin.com/search/results/people/?keywords=David%20O%27Reilly%20Howard%20Hughes%20Holdings%20Inc.","search")</f>
        <v/>
      </c>
      <c r="R154" s="16">
        <f>IF(P154="","ADD LINKEDIN","ok")</f>
        <v/>
      </c>
      <c r="S154" s="12" t="inlineStr">
        <is>
          <t>https://www.howardhughes.com/</t>
        </is>
      </c>
      <c r="T154" s="15" t="inlineStr">
        <is>
          <t>11,400 acres and $900M from Pershing Square, but it sells lots, so the builder buys the wall rather than Howard Hughes.</t>
        </is>
      </c>
      <c r="U154"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4" s="12" t="inlineStr"/>
      <c r="W154" s="15" t="inlineStr">
        <is>
          <t>Chief Executive Officer on Howard Hughes's own leadership page.</t>
        </is>
      </c>
      <c r="X154" s="12" t="inlineStr">
        <is>
          <t>https://investor.howardhughes.com/governance/leadership</t>
        </is>
      </c>
      <c r="Y154" s="12" t="inlineStr">
        <is>
          <t>https://www.linkedin.com/company/the-howard-hughes-corporation</t>
        </is>
      </c>
      <c r="Z154" s="12" t="inlineStr">
        <is>
          <t>https://investor.howardhughes.com/governance/leadership</t>
        </is>
      </c>
    </row>
    <row r="155">
      <c r="A155" s="6" t="inlineStr">
        <is>
          <t>Bill Ackman</t>
        </is>
      </c>
      <c r="B155" s="6" t="inlineStr">
        <is>
          <t>Howard Hughes Holdings Inc.</t>
        </is>
      </c>
      <c r="C155" s="6" t="inlineStr">
        <is>
          <t>Executive Chairman of the Board</t>
        </is>
      </c>
      <c r="D155" s="7" t="inlineStr">
        <is>
          <t>Masterplan owner</t>
        </is>
      </c>
      <c r="E155" s="8" t="n">
        <v>1</v>
      </c>
      <c r="F155" s="6" t="inlineStr">
        <is>
          <t>Sells lots</t>
        </is>
      </c>
      <c r="G155" s="6" t="inlineStr">
        <is>
          <t>The Woodlands HQ / Harris, Montgomery</t>
        </is>
      </c>
      <c r="H155" s="6" t="inlineStr">
        <is>
          <t>$900M Pershing Square investment, 46.9%</t>
        </is>
      </c>
      <c r="I155" s="8" t="inlineStr">
        <is>
          <t>Yes</t>
        </is>
      </c>
      <c r="J155" s="9" t="inlineStr"/>
      <c r="K155" s="8" t="inlineStr">
        <is>
          <t>No</t>
        </is>
      </c>
      <c r="L155" s="9" t="inlineStr"/>
      <c r="M155" s="8" t="inlineStr">
        <is>
          <t>No</t>
        </is>
      </c>
      <c r="N155" s="9" t="inlineStr"/>
      <c r="O155" s="8" t="inlineStr">
        <is>
          <t>Yes</t>
        </is>
      </c>
      <c r="P155" s="10" t="inlineStr"/>
      <c r="Q155" s="6">
        <f>HYPERLINK("https://www.linkedin.com/search/results/people/?keywords=Bill%20Ackman%20Howard%20Hughes%20Holdings%20Inc.","search")</f>
        <v/>
      </c>
      <c r="R155" s="11">
        <f>IF(P155="","ADD LINKEDIN","ok")</f>
        <v/>
      </c>
      <c r="S155" s="6" t="inlineStr">
        <is>
          <t>https://www.howardhughes.com/</t>
        </is>
      </c>
      <c r="T155" s="9" t="inlineStr">
        <is>
          <t>11,400 acres and $900M from Pershing Square, but it sells lots, so the builder buys the wall rather than Howard Hughes.</t>
        </is>
      </c>
      <c r="U15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5" s="6" t="inlineStr"/>
      <c r="W155" s="9" t="inlineStr">
        <is>
          <t>Executive Chairman on Howard Hughes's own leadership page.</t>
        </is>
      </c>
      <c r="X155" s="6" t="inlineStr">
        <is>
          <t>https://investor.howardhughes.com/governance/leadership</t>
        </is>
      </c>
      <c r="Y155" s="6" t="inlineStr">
        <is>
          <t>https://www.linkedin.com/company/the-howard-hughes-corporation</t>
        </is>
      </c>
      <c r="Z155" s="6" t="inlineStr">
        <is>
          <t>https://investor.howardhughes.com/governance/leadership</t>
        </is>
      </c>
    </row>
    <row r="156">
      <c r="A156" s="12" t="inlineStr">
        <is>
          <t>Ryan Israel</t>
        </is>
      </c>
      <c r="B156" s="12" t="inlineStr">
        <is>
          <t>Howard Hughes Holdings Inc.</t>
        </is>
      </c>
      <c r="C156" s="12" t="inlineStr">
        <is>
          <t>Chief Investment Officer</t>
        </is>
      </c>
      <c r="D156" s="13" t="inlineStr">
        <is>
          <t>Masterplan owner</t>
        </is>
      </c>
      <c r="E156" s="14" t="n">
        <v>1</v>
      </c>
      <c r="F156" s="12" t="inlineStr">
        <is>
          <t>Sells lots</t>
        </is>
      </c>
      <c r="G156" s="12" t="inlineStr">
        <is>
          <t>The Woodlands HQ / Harris, Montgomery</t>
        </is>
      </c>
      <c r="H156" s="12" t="inlineStr">
        <is>
          <t>$900M Pershing Square investment, 46.9%</t>
        </is>
      </c>
      <c r="I156" s="14" t="inlineStr">
        <is>
          <t>Yes</t>
        </is>
      </c>
      <c r="J156" s="15" t="inlineStr"/>
      <c r="K156" s="14" t="inlineStr">
        <is>
          <t>No</t>
        </is>
      </c>
      <c r="L156" s="15" t="inlineStr"/>
      <c r="M156" s="14" t="inlineStr">
        <is>
          <t>No</t>
        </is>
      </c>
      <c r="N156" s="15" t="inlineStr"/>
      <c r="O156" s="14" t="inlineStr">
        <is>
          <t>Yes</t>
        </is>
      </c>
      <c r="P156" s="10" t="inlineStr"/>
      <c r="Q156" s="12">
        <f>HYPERLINK("https://www.linkedin.com/search/results/people/?keywords=Ryan%20Israel%20Howard%20Hughes%20Holdings%20Inc.","search")</f>
        <v/>
      </c>
      <c r="R156" s="16">
        <f>IF(P156="","ADD LINKEDIN","ok")</f>
        <v/>
      </c>
      <c r="S156" s="12" t="inlineStr">
        <is>
          <t>https://www.howardhughes.com/</t>
        </is>
      </c>
      <c r="T156" s="15" t="inlineStr">
        <is>
          <t>11,400 acres and $900M from Pershing Square, but it sells lots, so the builder buys the wall rather than Howard Hughes.</t>
        </is>
      </c>
      <c r="U156"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6" s="12" t="inlineStr"/>
      <c r="W156" s="15" t="inlineStr">
        <is>
          <t>Chief Investment Officer on Howard Hughes's own leadership page.</t>
        </is>
      </c>
      <c r="X156" s="12" t="inlineStr">
        <is>
          <t>https://investor.howardhughes.com/governance/leadership</t>
        </is>
      </c>
      <c r="Y156" s="12" t="inlineStr">
        <is>
          <t>https://www.linkedin.com/company/the-howard-hughes-corporation</t>
        </is>
      </c>
      <c r="Z156" s="12" t="inlineStr">
        <is>
          <t>https://investor.howardhughes.com/governance/leadership</t>
        </is>
      </c>
    </row>
    <row r="157">
      <c r="A157" s="6" t="inlineStr">
        <is>
          <t>Jim Carman</t>
        </is>
      </c>
      <c r="B157" s="6" t="inlineStr">
        <is>
          <t>Howard Hughes Holdings Inc.</t>
        </is>
      </c>
      <c r="C157" s="6" t="inlineStr">
        <is>
          <t>President, Houston Region</t>
        </is>
      </c>
      <c r="D157" s="7" t="inlineStr">
        <is>
          <t>Masterplan owner</t>
        </is>
      </c>
      <c r="E157" s="8" t="n">
        <v>1</v>
      </c>
      <c r="F157" s="6" t="inlineStr">
        <is>
          <t>Sells lots</t>
        </is>
      </c>
      <c r="G157" s="6" t="inlineStr">
        <is>
          <t>The Woodlands HQ / Harris, Montgomery</t>
        </is>
      </c>
      <c r="H157" s="6" t="inlineStr">
        <is>
          <t>$900M Pershing Square investment, 46.9%</t>
        </is>
      </c>
      <c r="I157" s="8" t="inlineStr">
        <is>
          <t>Yes</t>
        </is>
      </c>
      <c r="J157" s="9" t="inlineStr"/>
      <c r="K157" s="8" t="inlineStr">
        <is>
          <t>No</t>
        </is>
      </c>
      <c r="L157" s="9" t="inlineStr"/>
      <c r="M157" s="8" t="inlineStr">
        <is>
          <t>No</t>
        </is>
      </c>
      <c r="N157" s="9" t="inlineStr"/>
      <c r="O157" s="8" t="inlineStr">
        <is>
          <t>Yes</t>
        </is>
      </c>
      <c r="P157" s="6" t="inlineStr">
        <is>
          <t>https://www.linkedin.com/in/carmanjim/</t>
        </is>
      </c>
      <c r="Q157" s="6" t="inlineStr"/>
      <c r="R157" s="11">
        <f>IF(P157="","ADD LINKEDIN","ok")</f>
        <v/>
      </c>
      <c r="S157" s="6" t="inlineStr">
        <is>
          <t>https://www.howardhughes.com/</t>
        </is>
      </c>
      <c r="T157" s="9" t="inlineStr">
        <is>
          <t>11,400 acres and $900M from Pershing Square, but it sells lots, so the builder buys the wall rather than Howard Hughes.</t>
        </is>
      </c>
      <c r="U157"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7" s="6" t="inlineStr"/>
      <c r="W157" s="9" t="inlineStr">
        <is>
          <t>Profile opened. President, Texas Region at Howard Hughes Communities. Greater Houston. His own feed carries Bridgeland's number nine national ranking at 500 home sales by mid-2026 and the 83-acre Toro District with the Houston Texans headquarters.</t>
        </is>
      </c>
      <c r="X157" s="6" t="inlineStr"/>
      <c r="Y157" s="6" t="inlineStr">
        <is>
          <t>https://www.linkedin.com/company/the-howard-hughes-corporation</t>
        </is>
      </c>
      <c r="Z157" s="6" t="inlineStr">
        <is>
          <t>https://investor.howardhughes.com/governance/leadership</t>
        </is>
      </c>
    </row>
    <row r="158">
      <c r="A158" s="12" t="inlineStr">
        <is>
          <t>Alan Brende</t>
        </is>
      </c>
      <c r="B158" s="12" t="inlineStr">
        <is>
          <t>Land Tejas</t>
        </is>
      </c>
      <c r="C158" s="12" t="inlineStr">
        <is>
          <t>Co-President, Land Tejas</t>
        </is>
      </c>
      <c r="D158" s="13" t="inlineStr">
        <is>
          <t>Masterplan owner</t>
        </is>
      </c>
      <c r="E158" s="14" t="n">
        <v>1</v>
      </c>
      <c r="F158" s="12" t="inlineStr">
        <is>
          <t>Sells lots</t>
        </is>
      </c>
      <c r="G158" s="12" t="inlineStr">
        <is>
          <t>Houston / Katy, Harris-Waller</t>
        </is>
      </c>
      <c r="H158" s="12" t="inlineStr"/>
      <c r="I158" s="14" t="inlineStr">
        <is>
          <t>Yes</t>
        </is>
      </c>
      <c r="J158" s="15" t="inlineStr"/>
      <c r="K158" s="14" t="inlineStr">
        <is>
          <t>No</t>
        </is>
      </c>
      <c r="L158" s="15" t="inlineStr"/>
      <c r="M158" s="14" t="inlineStr">
        <is>
          <t>No</t>
        </is>
      </c>
      <c r="N158" s="15" t="inlineStr"/>
      <c r="O158" s="14" t="inlineStr">
        <is>
          <t>Yes</t>
        </is>
      </c>
      <c r="P158" s="10" t="inlineStr"/>
      <c r="Q158" s="12">
        <f>HYPERLINK("https://www.linkedin.com/search/results/people/?keywords=Alan%20Brende%20Land%20Tejas","search")</f>
        <v/>
      </c>
      <c r="R158" s="16">
        <f>IF(P158="","ADD LINKEDIN","ok")</f>
        <v/>
      </c>
      <c r="S158" s="12" t="inlineStr">
        <is>
          <t>https://landtejas.com/</t>
        </is>
      </c>
      <c r="T158" s="15" t="inlineStr">
        <is>
          <t>Sells lots. Sunterra carries 2,303 acres and 15 builders.</t>
        </is>
      </c>
      <c r="U158" s="15" t="inlineStr"/>
      <c r="V158" s="12" t="inlineStr"/>
      <c r="W158" s="15" t="inlineStr">
        <is>
          <t>Co-President.</t>
        </is>
      </c>
      <c r="X158" s="12" t="inlineStr">
        <is>
          <t>https://landtejas.com/about-us/our-leadership/</t>
        </is>
      </c>
      <c r="Y158" s="12" t="inlineStr">
        <is>
          <t>https://www.linkedin.com/company/land-tejas-companies</t>
        </is>
      </c>
      <c r="Z158" s="12" t="inlineStr">
        <is>
          <t>https://landtejas.com/about-us/our-leadership/</t>
        </is>
      </c>
    </row>
    <row r="159">
      <c r="A159" s="6" t="inlineStr">
        <is>
          <t>Melanie Ohl</t>
        </is>
      </c>
      <c r="B159" s="6" t="inlineStr">
        <is>
          <t>Land Tejas</t>
        </is>
      </c>
      <c r="C159" s="6" t="inlineStr">
        <is>
          <t>Co-President, Land Tejas</t>
        </is>
      </c>
      <c r="D159" s="7" t="inlineStr">
        <is>
          <t>Masterplan owner</t>
        </is>
      </c>
      <c r="E159" s="8" t="n">
        <v>1</v>
      </c>
      <c r="F159" s="6" t="inlineStr">
        <is>
          <t>Sells lots</t>
        </is>
      </c>
      <c r="G159" s="6" t="inlineStr">
        <is>
          <t>Houston / Katy, Harris-Waller</t>
        </is>
      </c>
      <c r="H159" s="6" t="inlineStr"/>
      <c r="I159" s="8" t="inlineStr">
        <is>
          <t>Yes</t>
        </is>
      </c>
      <c r="J159" s="9" t="inlineStr"/>
      <c r="K159" s="8" t="inlineStr">
        <is>
          <t>No</t>
        </is>
      </c>
      <c r="L159" s="9" t="inlineStr"/>
      <c r="M159" s="8" t="inlineStr">
        <is>
          <t>No</t>
        </is>
      </c>
      <c r="N159" s="9" t="inlineStr"/>
      <c r="O159" s="8" t="inlineStr">
        <is>
          <t>Yes</t>
        </is>
      </c>
      <c r="P159" s="10" t="inlineStr"/>
      <c r="Q159" s="6">
        <f>HYPERLINK("https://www.linkedin.com/search/results/people/?keywords=Melanie%20Ohl%20Land%20Tejas","search")</f>
        <v/>
      </c>
      <c r="R159" s="11">
        <f>IF(P159="","ADD LINKEDIN","ok")</f>
        <v/>
      </c>
      <c r="S159" s="6" t="inlineStr">
        <is>
          <t>https://landtejas.com/</t>
        </is>
      </c>
      <c r="T159" s="9" t="inlineStr">
        <is>
          <t>Sells lots. Sunterra carries 2,303 acres and 15 builders.</t>
        </is>
      </c>
      <c r="U159" s="9" t="inlineStr"/>
      <c r="V159" s="6" t="inlineStr"/>
      <c r="W159" s="9" t="inlineStr">
        <is>
          <t>Co-President.</t>
        </is>
      </c>
      <c r="X159" s="6" t="inlineStr">
        <is>
          <t>https://landtejas.com/about-us/our-leadership/</t>
        </is>
      </c>
      <c r="Y159" s="6" t="inlineStr">
        <is>
          <t>https://www.linkedin.com/company/land-tejas-companies</t>
        </is>
      </c>
      <c r="Z159" s="6" t="inlineStr">
        <is>
          <t>https://landtejas.com/about-us/our-leadership/</t>
        </is>
      </c>
    </row>
    <row r="160">
      <c r="A160" s="12" t="inlineStr">
        <is>
          <t>Fred Caldwell</t>
        </is>
      </c>
      <c r="B160" s="12" t="inlineStr">
        <is>
          <t>Caldwell Companies</t>
        </is>
      </c>
      <c r="C160" s="12" t="inlineStr">
        <is>
          <t>Chief Executive Officer, Caldwell Companies</t>
        </is>
      </c>
      <c r="D160" s="13" t="inlineStr">
        <is>
          <t>Masterplan owner</t>
        </is>
      </c>
      <c r="E160" s="14" t="n">
        <v>1</v>
      </c>
      <c r="F160" s="12" t="inlineStr">
        <is>
          <t>Sells lots</t>
        </is>
      </c>
      <c r="G160" s="12" t="inlineStr">
        <is>
          <t>Cypress / Montgomery, Harris</t>
        </is>
      </c>
      <c r="H160" s="12" t="inlineStr"/>
      <c r="I160" s="14" t="inlineStr">
        <is>
          <t>Yes</t>
        </is>
      </c>
      <c r="J160" s="15" t="inlineStr"/>
      <c r="K160" s="14" t="inlineStr">
        <is>
          <t>No</t>
        </is>
      </c>
      <c r="L160" s="15" t="inlineStr"/>
      <c r="M160" s="14" t="inlineStr">
        <is>
          <t>No</t>
        </is>
      </c>
      <c r="N160" s="15" t="inlineStr"/>
      <c r="O160" s="14" t="inlineStr">
        <is>
          <t>No</t>
        </is>
      </c>
      <c r="P160" s="10" t="inlineStr"/>
      <c r="Q160" s="12">
        <f>HYPERLINK("https://www.linkedin.com/search/results/people/?keywords=Fred%20Caldwell%20Caldwell%20Companies","search")</f>
        <v/>
      </c>
      <c r="R160" s="16">
        <f>IF(P160="","ADD LINKEDIN","ok")</f>
        <v/>
      </c>
      <c r="S160" s="12" t="inlineStr">
        <is>
          <t>https://caldwellcos.com/</t>
        </is>
      </c>
      <c r="T160" s="15" t="inlineStr">
        <is>
          <t>Sells lots. Towne Lake and The Highlands carry 4,000 homes across 12 builders. No published method evidence.</t>
        </is>
      </c>
      <c r="U160" s="15" t="inlineStr">
        <is>
          <t>Caldwell publishes no construction-method content. The count reflects an absent record.</t>
        </is>
      </c>
      <c r="V160" s="12" t="inlineStr"/>
      <c r="W160" s="15" t="inlineStr">
        <is>
          <t>Chief Executive Officer.</t>
        </is>
      </c>
      <c r="X160" s="12" t="inlineStr">
        <is>
          <t>https://caldwellcos.com/our-team</t>
        </is>
      </c>
      <c r="Y160" s="12" t="inlineStr">
        <is>
          <t>https://www.linkedin.com/company/caldwell-companies</t>
        </is>
      </c>
      <c r="Z160" s="12" t="inlineStr">
        <is>
          <t>https://caldwellcos.com/our-team</t>
        </is>
      </c>
    </row>
    <row r="161">
      <c r="A161" s="6" t="inlineStr">
        <is>
          <t>Michael J. Smith</t>
        </is>
      </c>
      <c r="B161" s="6" t="inlineStr">
        <is>
          <t>Johnson Development Corp</t>
        </is>
      </c>
      <c r="C161" s="6" t="inlineStr">
        <is>
          <t>President and Chief Executive Officer, Johnson Development</t>
        </is>
      </c>
      <c r="D161" s="7" t="inlineStr">
        <is>
          <t>Masterplan owner</t>
        </is>
      </c>
      <c r="E161" s="8" t="n">
        <v>1</v>
      </c>
      <c r="F161" s="6" t="inlineStr">
        <is>
          <t>Sells lots</t>
        </is>
      </c>
      <c r="G161" s="6" t="inlineStr">
        <is>
          <t>Houston / Fort Bend, Montgomery</t>
        </is>
      </c>
      <c r="H161" s="6" t="inlineStr"/>
      <c r="I161" s="8" t="inlineStr">
        <is>
          <t>Yes</t>
        </is>
      </c>
      <c r="J161" s="9" t="inlineStr"/>
      <c r="K161" s="8" t="inlineStr">
        <is>
          <t>No</t>
        </is>
      </c>
      <c r="L161" s="9" t="inlineStr"/>
      <c r="M161" s="8" t="inlineStr">
        <is>
          <t>No</t>
        </is>
      </c>
      <c r="N161" s="9" t="inlineStr"/>
      <c r="O161" s="8" t="inlineStr">
        <is>
          <t>No</t>
        </is>
      </c>
      <c r="P161" s="10" t="inlineStr"/>
      <c r="Q161" s="6">
        <f>HYPERLINK("https://www.linkedin.com/search/results/people/?keywords=Michael%20J.%20Smith%20Johnson%20Development%20Corp","search")</f>
        <v/>
      </c>
      <c r="R161" s="11">
        <f>IF(P161="","ADD LINKEDIN","ok")</f>
        <v/>
      </c>
      <c r="S161" s="6" t="inlineStr">
        <is>
          <t>https://www.johnsondevelopment.com/</t>
        </is>
      </c>
      <c r="T161" s="9" t="inlineStr">
        <is>
          <t>Sells lots across 14 Houston masterplans. Buys no walls.</t>
        </is>
      </c>
      <c r="U161" s="9" t="inlineStr">
        <is>
          <t>Johnson Development publishes no construction-method content. The count reflects an absent record.</t>
        </is>
      </c>
      <c r="V161" s="6" t="inlineStr"/>
      <c r="W161" s="9" t="inlineStr">
        <is>
          <t>President and Chief Executive Officer.</t>
        </is>
      </c>
      <c r="X161" s="6" t="inlineStr">
        <is>
          <t>https://www.johnsondevelopment.com/our-leaders</t>
        </is>
      </c>
      <c r="Y161" s="6" t="inlineStr">
        <is>
          <t>https://www.linkedin.com/company/the-johnson-development-corp</t>
        </is>
      </c>
      <c r="Z161" s="6" t="inlineStr">
        <is>
          <t>https://www.johnsondevelopment.com/our-leaders</t>
        </is>
      </c>
    </row>
    <row r="162">
      <c r="A162" s="12" t="inlineStr">
        <is>
          <t>Alan Bauer</t>
        </is>
      </c>
      <c r="B162" s="12" t="inlineStr">
        <is>
          <t>Newland Communities</t>
        </is>
      </c>
      <c r="C162" s="12" t="inlineStr">
        <is>
          <t>Senior Vice President and Houston Division Manager, Newland (2019)</t>
        </is>
      </c>
      <c r="D162" s="13" t="inlineStr">
        <is>
          <t>Masterplan owner</t>
        </is>
      </c>
      <c r="E162" s="14" t="n">
        <v>1</v>
      </c>
      <c r="F162" s="12" t="inlineStr">
        <is>
          <t>Sells lots</t>
        </is>
      </c>
      <c r="G162" s="12" t="inlineStr">
        <is>
          <t>San Diego HQ / Katy, Harris</t>
        </is>
      </c>
      <c r="H162" s="12" t="inlineStr"/>
      <c r="I162" s="14" t="inlineStr">
        <is>
          <t>Partly</t>
        </is>
      </c>
      <c r="J162" s="15" t="inlineStr"/>
      <c r="K162" s="14" t="inlineStr">
        <is>
          <t>No</t>
        </is>
      </c>
      <c r="L162" s="15" t="inlineStr"/>
      <c r="M162" s="14" t="inlineStr">
        <is>
          <t>No</t>
        </is>
      </c>
      <c r="N162" s="15" t="inlineStr"/>
      <c r="O162" s="14" t="inlineStr">
        <is>
          <t>No</t>
        </is>
      </c>
      <c r="P162" s="10" t="inlineStr"/>
      <c r="Q162" s="12">
        <f>HYPERLINK("https://www.linkedin.com/search/results/people/?keywords=Alan%20Bauer%20Newland%20Communities","search")</f>
        <v/>
      </c>
      <c r="R162" s="16">
        <f>IF(P162="","ADD LINKEDIN","ok")</f>
        <v/>
      </c>
      <c r="S162" s="12" t="inlineStr">
        <is>
          <t>https://newlandco.com/</t>
        </is>
      </c>
      <c r="T162" s="15" t="inlineStr">
        <is>
          <t>3,600-acre Elyson, but Newland has been absorbed into Brookfield Residential and no longer publishes its own leadership. The one Houston name on record is from 2019.</t>
        </is>
      </c>
      <c r="U162" s="15" t="inlineStr">
        <is>
          <t>Newland's own leadership page redirects to Brookfield Residential, which announces the acquisition and names nobody. | No principals sourced. Headquarters unconfirmed. Record too thin to action.</t>
        </is>
      </c>
      <c r="V162" s="12" t="inlineStr"/>
      <c r="W162" s="15" t="inlineStr">
        <is>
          <t>Senior Vice President and Division Manager for Newland's Houston division, per the West Houston Association board announcement. Dated 2019 and unconfirmed since, because Newland no longer publishes its own leadership.</t>
        </is>
      </c>
      <c r="X162" s="12" t="inlineStr">
        <is>
          <t>https://www.westhouston.org/2019/01/18/welcome-to-the-2019-board-or-directors/</t>
        </is>
      </c>
      <c r="Y162" s="12" t="inlineStr">
        <is>
          <t>https://www.linkedin.com/company/newland-communities-llc</t>
        </is>
      </c>
      <c r="Z162" s="12" t="inlineStr"/>
    </row>
    <row r="163">
      <c r="A163" s="6" t="inlineStr">
        <is>
          <t>Michael Reamer</t>
        </is>
      </c>
      <c r="B163" s="6" t="inlineStr">
        <is>
          <t>Friendswood Development Company</t>
        </is>
      </c>
      <c r="C163" s="6" t="inlineStr">
        <is>
          <t>President, Friendswood Development Company</t>
        </is>
      </c>
      <c r="D163" s="7" t="inlineStr">
        <is>
          <t>Already working with ICON</t>
        </is>
      </c>
      <c r="E163" s="8" t="n">
        <v>1</v>
      </c>
      <c r="F163" s="6" t="inlineStr">
        <is>
          <t>Sells lots</t>
        </is>
      </c>
      <c r="G163" s="6" t="inlineStr">
        <is>
          <t>Houston / Montgomery, Galveston</t>
        </is>
      </c>
      <c r="H163" s="6" t="inlineStr"/>
      <c r="I163" s="8" t="inlineStr">
        <is>
          <t>Partly</t>
        </is>
      </c>
      <c r="J163" s="9" t="inlineStr">
        <is>
          <t>Sells lots inside its own masterplans. Lennar builds the houses.</t>
        </is>
      </c>
      <c r="K163" s="8" t="inlineStr">
        <is>
          <t>No</t>
        </is>
      </c>
      <c r="L163" s="9" t="inlineStr">
        <is>
          <t>Sells lots, wholly owned by Lennar, so the route is Lennar.</t>
        </is>
      </c>
      <c r="M163" s="8" t="inlineStr">
        <is>
          <t>No</t>
        </is>
      </c>
      <c r="N163" s="9" t="inlineStr">
        <is>
          <t>Its owner has already paid for an unproven method: Lennar built a hundred printed homes with ICON at Wolf Ranch in Georgetown.</t>
        </is>
      </c>
      <c r="O163" s="8" t="inlineStr">
        <is>
          <t>Partly</t>
        </is>
      </c>
      <c r="P163" s="10" t="inlineStr"/>
      <c r="Q163" s="6">
        <f>HYPERLINK("https://www.linkedin.com/search/results/people/?keywords=Michael%20Reamer%20Friendswood%20Development%20Company","search")</f>
        <v/>
      </c>
      <c r="R163" s="11">
        <f>IF(P163="","ADD LINKEDIN","ok")</f>
        <v/>
      </c>
      <c r="S163" s="6" t="inlineStr">
        <is>
          <t>https://friendswooddevelopment.com/</t>
        </is>
      </c>
      <c r="T163" s="9" t="inlineStr">
        <is>
          <t>Sells lots, wholly owned by Lennar since 2000. No named executives found.</t>
        </is>
      </c>
      <c r="U163" s="9" t="inlineStr">
        <is>
          <t>Wholly owned by Lennar, which built the hundred-home Wolf Ranch community with ICON in Georgetown, designed by Bjarke Ingels Group and completed in 2025. The relationship exists at corporate level. Treat Friendswood as a relationship to acknowledge, not a lead to work.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163" s="6" t="inlineStr"/>
      <c r="W163" s="9" t="inlineStr">
        <is>
          <t>President.</t>
        </is>
      </c>
      <c r="X163" s="6" t="inlineStr">
        <is>
          <t>https://friendswooddevelopment.com/people</t>
        </is>
      </c>
      <c r="Y163" s="6" t="inlineStr">
        <is>
          <t>https://www.linkedin.com/company/friendswood-development-company</t>
        </is>
      </c>
      <c r="Z163" s="6" t="inlineStr">
        <is>
          <t>https://friendswooddevelopment.com/people</t>
        </is>
      </c>
    </row>
    <row r="164">
      <c r="A164" s="12" t="inlineStr">
        <is>
          <t>Steven D. Alvis</t>
        </is>
      </c>
      <c r="B164" s="12" t="inlineStr">
        <is>
          <t>NewQuest Properties</t>
        </is>
      </c>
      <c r="C164" s="12" t="inlineStr">
        <is>
          <t>Co-Founder and Managing Partner</t>
        </is>
      </c>
      <c r="D164" s="13" t="inlineStr">
        <is>
          <t>Off deck, screened out</t>
        </is>
      </c>
      <c r="E164" s="14" t="n">
        <v>1</v>
      </c>
      <c r="F164" s="12" t="inlineStr">
        <is>
          <t>Buys walls</t>
        </is>
      </c>
      <c r="G164" s="12" t="inlineStr">
        <is>
          <t>Houston HQ / Fort Bend, Brazoria</t>
        </is>
      </c>
      <c r="H164" s="12" t="inlineStr">
        <is>
          <t>$3.1B portfolio, 12M sf managed</t>
        </is>
      </c>
      <c r="I164" s="14" t="inlineStr">
        <is>
          <t>Yes</t>
        </is>
      </c>
      <c r="J164" s="15" t="inlineStr"/>
      <c r="K164" s="14" t="inlineStr">
        <is>
          <t>No</t>
        </is>
      </c>
      <c r="L164" s="15" t="inlineStr"/>
      <c r="M164" s="14" t="inlineStr">
        <is>
          <t>No</t>
        </is>
      </c>
      <c r="N164" s="15" t="inlineStr"/>
      <c r="O164" s="14" t="inlineStr">
        <is>
          <t>Yes</t>
        </is>
      </c>
      <c r="P164" s="10" t="inlineStr"/>
      <c r="Q164" s="12">
        <f>HYPERLINK("https://www.linkedin.com/search/results/people/?keywords=Steven%20D.%20Alvis%20NewQuest%20Properties","search")</f>
        <v/>
      </c>
      <c r="R164" s="16">
        <f>IF(P164="","ADD LINKEDIN","ok")</f>
        <v/>
      </c>
      <c r="S164" s="12" t="inlineStr">
        <is>
          <t>https://www.newquest.com/</t>
        </is>
      </c>
      <c r="T164" s="15" t="inlineStr">
        <is>
          <t>$3.1B portfolio and a repeated Town Center format. Retail shells compete against tilt-wall, not stick framing.</t>
        </is>
      </c>
      <c r="U164" s="15" t="inlineStr">
        <is>
          <t>$3.1 billion portfolio value is company-stated, not from a filing. | Tilt-wall is the incumbent in this product type. Competitive comparison differs from residential.</t>
        </is>
      </c>
      <c r="V164" s="12" t="inlineStr"/>
      <c r="W164" s="15" t="inlineStr">
        <is>
          <t>Co-Founder and Managing Partner.</t>
        </is>
      </c>
      <c r="X164" s="12" t="inlineStr">
        <is>
          <t>https://www.newquest.com/about-us/leadership/</t>
        </is>
      </c>
      <c r="Y164" s="12" t="inlineStr">
        <is>
          <t>https://www.linkedin.com/company/newquest-properties</t>
        </is>
      </c>
      <c r="Z164" s="12" t="inlineStr">
        <is>
          <t>https://www.newquest.com/about-us/leadership/</t>
        </is>
      </c>
    </row>
    <row r="165">
      <c r="A165" s="6" t="inlineStr">
        <is>
          <t>Jay K. Sears</t>
        </is>
      </c>
      <c r="B165" s="6" t="inlineStr">
        <is>
          <t>NewQuest Properties</t>
        </is>
      </c>
      <c r="C165" s="6" t="inlineStr">
        <is>
          <t>Co-Founder and Managing Partner</t>
        </is>
      </c>
      <c r="D165" s="7" t="inlineStr">
        <is>
          <t>Off deck, screened out</t>
        </is>
      </c>
      <c r="E165" s="8" t="n">
        <v>1</v>
      </c>
      <c r="F165" s="6" t="inlineStr">
        <is>
          <t>Buys walls</t>
        </is>
      </c>
      <c r="G165" s="6" t="inlineStr">
        <is>
          <t>Houston HQ / Fort Bend, Brazoria</t>
        </is>
      </c>
      <c r="H165" s="6" t="inlineStr">
        <is>
          <t>$3.1B portfolio, 12M sf managed</t>
        </is>
      </c>
      <c r="I165" s="8" t="inlineStr">
        <is>
          <t>Yes</t>
        </is>
      </c>
      <c r="J165" s="9" t="inlineStr"/>
      <c r="K165" s="8" t="inlineStr">
        <is>
          <t>No</t>
        </is>
      </c>
      <c r="L165" s="9" t="inlineStr"/>
      <c r="M165" s="8" t="inlineStr">
        <is>
          <t>No</t>
        </is>
      </c>
      <c r="N165" s="9" t="inlineStr"/>
      <c r="O165" s="8" t="inlineStr">
        <is>
          <t>Yes</t>
        </is>
      </c>
      <c r="P165" s="10" t="inlineStr"/>
      <c r="Q165" s="6">
        <f>HYPERLINK("https://www.linkedin.com/search/results/people/?keywords=Jay%20K.%20Sears%20NewQuest%20Properties","search")</f>
        <v/>
      </c>
      <c r="R165" s="11">
        <f>IF(P165="","ADD LINKEDIN","ok")</f>
        <v/>
      </c>
      <c r="S165" s="6" t="inlineStr">
        <is>
          <t>https://www.newquest.com/</t>
        </is>
      </c>
      <c r="T165" s="9" t="inlineStr">
        <is>
          <t>$3.1B portfolio and a repeated Town Center format. Retail shells compete against tilt-wall, not stick framing.</t>
        </is>
      </c>
      <c r="U165" s="9" t="inlineStr">
        <is>
          <t>$3.1 billion portfolio value is company-stated, not from a filing. | Tilt-wall is the incumbent in this product type. Competitive comparison differs from residential.</t>
        </is>
      </c>
      <c r="V165" s="6" t="inlineStr"/>
      <c r="W165" s="9" t="inlineStr">
        <is>
          <t>Co-Founder and Managing Partner.</t>
        </is>
      </c>
      <c r="X165" s="6" t="inlineStr">
        <is>
          <t>https://www.newquest.com/about-us/leadership/</t>
        </is>
      </c>
      <c r="Y165" s="6" t="inlineStr">
        <is>
          <t>https://www.linkedin.com/company/newquest-properties</t>
        </is>
      </c>
      <c r="Z165" s="6" t="inlineStr">
        <is>
          <t>https://www.newquest.com/about-us/leadership/</t>
        </is>
      </c>
    </row>
    <row r="166">
      <c r="A166" s="12" t="inlineStr">
        <is>
          <t>Austin Alvis</t>
        </is>
      </c>
      <c r="B166" s="12" t="inlineStr">
        <is>
          <t>NewQuest Properties</t>
        </is>
      </c>
      <c r="C166" s="12" t="inlineStr">
        <is>
          <t>President and Chief Development Officer</t>
        </is>
      </c>
      <c r="D166" s="13" t="inlineStr">
        <is>
          <t>Off deck, screened out</t>
        </is>
      </c>
      <c r="E166" s="14" t="n">
        <v>1</v>
      </c>
      <c r="F166" s="12" t="inlineStr">
        <is>
          <t>Buys walls</t>
        </is>
      </c>
      <c r="G166" s="12" t="inlineStr">
        <is>
          <t>Houston HQ / Fort Bend, Brazoria</t>
        </is>
      </c>
      <c r="H166" s="12" t="inlineStr">
        <is>
          <t>$3.1B portfolio, 12M sf managed</t>
        </is>
      </c>
      <c r="I166" s="14" t="inlineStr">
        <is>
          <t>Yes</t>
        </is>
      </c>
      <c r="J166" s="15" t="inlineStr"/>
      <c r="K166" s="14" t="inlineStr">
        <is>
          <t>No</t>
        </is>
      </c>
      <c r="L166" s="15" t="inlineStr"/>
      <c r="M166" s="14" t="inlineStr">
        <is>
          <t>No</t>
        </is>
      </c>
      <c r="N166" s="15" t="inlineStr"/>
      <c r="O166" s="14" t="inlineStr">
        <is>
          <t>Yes</t>
        </is>
      </c>
      <c r="P166" s="10" t="inlineStr"/>
      <c r="Q166" s="12">
        <f>HYPERLINK("https://www.linkedin.com/search/results/people/?keywords=Austin%20Alvis%20NewQuest%20Properties","search")</f>
        <v/>
      </c>
      <c r="R166" s="16">
        <f>IF(P166="","ADD LINKEDIN","ok")</f>
        <v/>
      </c>
      <c r="S166" s="12" t="inlineStr">
        <is>
          <t>https://www.newquest.com/</t>
        </is>
      </c>
      <c r="T166" s="15" t="inlineStr">
        <is>
          <t>$3.1B portfolio and a repeated Town Center format. Retail shells compete against tilt-wall, not stick framing.</t>
        </is>
      </c>
      <c r="U166" s="15" t="inlineStr">
        <is>
          <t>$3.1 billion portfolio value is company-stated, not from a filing. | Tilt-wall is the incumbent in this product type. Competitive comparison differs from residential.</t>
        </is>
      </c>
      <c r="V166" s="12" t="inlineStr"/>
      <c r="W166" s="15" t="inlineStr">
        <is>
          <t>President and Chief Development Officer.</t>
        </is>
      </c>
      <c r="X166" s="12" t="inlineStr">
        <is>
          <t>https://www.newquest.com/about-us/leadership/</t>
        </is>
      </c>
      <c r="Y166" s="12" t="inlineStr">
        <is>
          <t>https://www.linkedin.com/company/newquest-properties</t>
        </is>
      </c>
      <c r="Z166" s="12" t="inlineStr">
        <is>
          <t>https://www.newquest.com/about-us/leadership/</t>
        </is>
      </c>
    </row>
    <row r="167">
      <c r="A167" s="6" t="inlineStr">
        <is>
          <t>Jeff Horton</t>
        </is>
      </c>
      <c r="B167" s="6" t="inlineStr">
        <is>
          <t>NewQuest Properties</t>
        </is>
      </c>
      <c r="C167" s="6" t="inlineStr">
        <is>
          <t>Chief Operating Officer and Head of Capital Markets</t>
        </is>
      </c>
      <c r="D167" s="7" t="inlineStr">
        <is>
          <t>Off deck, screened out</t>
        </is>
      </c>
      <c r="E167" s="8" t="n">
        <v>1</v>
      </c>
      <c r="F167" s="6" t="inlineStr">
        <is>
          <t>Buys walls</t>
        </is>
      </c>
      <c r="G167" s="6" t="inlineStr">
        <is>
          <t>Houston HQ / Fort Bend, Brazoria</t>
        </is>
      </c>
      <c r="H167" s="6" t="inlineStr">
        <is>
          <t>$3.1B portfolio, 12M sf managed</t>
        </is>
      </c>
      <c r="I167" s="8" t="inlineStr">
        <is>
          <t>Yes</t>
        </is>
      </c>
      <c r="J167" s="9" t="inlineStr"/>
      <c r="K167" s="8" t="inlineStr">
        <is>
          <t>No</t>
        </is>
      </c>
      <c r="L167" s="9" t="inlineStr"/>
      <c r="M167" s="8" t="inlineStr">
        <is>
          <t>No</t>
        </is>
      </c>
      <c r="N167" s="9" t="inlineStr"/>
      <c r="O167" s="8" t="inlineStr">
        <is>
          <t>Yes</t>
        </is>
      </c>
      <c r="P167" s="10" t="inlineStr"/>
      <c r="Q167" s="6">
        <f>HYPERLINK("https://www.linkedin.com/search/results/people/?keywords=Jeff%20Horton%20NewQuest%20Properties","search")</f>
        <v/>
      </c>
      <c r="R167" s="11">
        <f>IF(P167="","ADD LINKEDIN","ok")</f>
        <v/>
      </c>
      <c r="S167" s="6" t="inlineStr">
        <is>
          <t>https://www.newquest.com/</t>
        </is>
      </c>
      <c r="T167" s="9" t="inlineStr">
        <is>
          <t>$3.1B portfolio and a repeated Town Center format. Retail shells compete against tilt-wall, not stick framing.</t>
        </is>
      </c>
      <c r="U167" s="9" t="inlineStr">
        <is>
          <t>$3.1 billion portfolio value is company-stated, not from a filing. | Tilt-wall is the incumbent in this product type. Competitive comparison differs from residential.</t>
        </is>
      </c>
      <c r="V167" s="6" t="inlineStr"/>
      <c r="W167" s="9" t="inlineStr">
        <is>
          <t>Chief Operating Officer and Head of Capital Markets.</t>
        </is>
      </c>
      <c r="X167" s="6" t="inlineStr">
        <is>
          <t>https://www.newquest.com/about-us/leadership/</t>
        </is>
      </c>
      <c r="Y167" s="6" t="inlineStr">
        <is>
          <t>https://www.linkedin.com/company/newquest-properties</t>
        </is>
      </c>
      <c r="Z167" s="6" t="inlineStr">
        <is>
          <t>https://www.newquest.com/about-us/leadership/</t>
        </is>
      </c>
    </row>
    <row r="168">
      <c r="A168" s="12" t="inlineStr">
        <is>
          <t>K. Alan Hassenflu</t>
        </is>
      </c>
      <c r="B168" s="12" t="inlineStr">
        <is>
          <t>Fidelis Realty Partners</t>
        </is>
      </c>
      <c r="C168" s="12" t="inlineStr">
        <is>
          <t>Chairman and Chief Executive Officer</t>
        </is>
      </c>
      <c r="D168" s="13" t="inlineStr">
        <is>
          <t>Off deck, screened out</t>
        </is>
      </c>
      <c r="E168" s="14" t="n">
        <v>1</v>
      </c>
      <c r="F168" s="12" t="inlineStr">
        <is>
          <t>Buys walls</t>
        </is>
      </c>
      <c r="G168" s="12" t="inlineStr">
        <is>
          <t>Houston HQ / Brazoria, Montgomery</t>
        </is>
      </c>
      <c r="H168" s="12" t="inlineStr">
        <is>
          <t>26M sf, ~100 properties, 12 states</t>
        </is>
      </c>
      <c r="I168" s="14" t="inlineStr">
        <is>
          <t>Yes</t>
        </is>
      </c>
      <c r="J168" s="15" t="inlineStr"/>
      <c r="K168" s="14" t="inlineStr">
        <is>
          <t>No</t>
        </is>
      </c>
      <c r="L168" s="15" t="inlineStr"/>
      <c r="M168" s="14" t="inlineStr">
        <is>
          <t>No</t>
        </is>
      </c>
      <c r="N168" s="15" t="inlineStr"/>
      <c r="O168" s="14" t="inlineStr">
        <is>
          <t>Partly</t>
        </is>
      </c>
      <c r="P168" s="10" t="inlineStr"/>
      <c r="Q168" s="12">
        <f>HYPERLINK("https://www.linkedin.com/search/results/people/?keywords=K.%20Alan%20Hassenflu%20Fidelis%20Realty%20Partners","search")</f>
        <v/>
      </c>
      <c r="R168" s="16">
        <f>IF(P168="","ADD LINKEDIN","ok")</f>
        <v/>
      </c>
      <c r="S168" s="12" t="inlineStr">
        <is>
          <t>https://www.frpltd.com/</t>
        </is>
      </c>
      <c r="T168" s="15" t="inlineStr">
        <is>
          <t>Two land positions in target counties within 24 months. Every purchase price is undisclosed.</t>
        </is>
      </c>
      <c r="U168" s="15" t="inlineStr">
        <is>
          <t>Glenn Airola's title sourced from a third-party CRE platform, not a Fidelis team page. Unverified. | Headquarters street address not confirmed on frpltd.com. | All purchase prices undisclosed.</t>
        </is>
      </c>
      <c r="V168" s="12" t="inlineStr"/>
      <c r="W168" s="15" t="inlineStr">
        <is>
          <t>President and Chief Executive Officer, a founder in 2003, formerly senior managing director at Trammell Crow.</t>
        </is>
      </c>
      <c r="X168" s="12" t="inlineStr">
        <is>
          <t>https://www.frpltd.com/about-fidelis/mission-values</t>
        </is>
      </c>
      <c r="Y168" s="12" t="inlineStr">
        <is>
          <t>https://www.linkedin.com/company/fidelis-realty-partners</t>
        </is>
      </c>
      <c r="Z168" s="12" t="inlineStr">
        <is>
          <t>https://www.frpltd.com/about-fidelis/mission-values</t>
        </is>
      </c>
    </row>
    <row r="169">
      <c r="A169" s="6" t="inlineStr">
        <is>
          <t>Glenn Airola</t>
        </is>
      </c>
      <c r="B169" s="6" t="inlineStr">
        <is>
          <t>Fidelis Realty Partners</t>
        </is>
      </c>
      <c r="C169" s="6" t="inlineStr">
        <is>
          <t>Co-President and Chief Operating Officer</t>
        </is>
      </c>
      <c r="D169" s="7" t="inlineStr">
        <is>
          <t>Off deck, screened out</t>
        </is>
      </c>
      <c r="E169" s="8" t="n">
        <v>1</v>
      </c>
      <c r="F169" s="6" t="inlineStr">
        <is>
          <t>Buys walls</t>
        </is>
      </c>
      <c r="G169" s="6" t="inlineStr">
        <is>
          <t>Houston HQ / Brazoria, Montgomery</t>
        </is>
      </c>
      <c r="H169" s="6" t="inlineStr">
        <is>
          <t>26M sf, ~100 properties, 12 states</t>
        </is>
      </c>
      <c r="I169" s="8" t="inlineStr">
        <is>
          <t>Yes</t>
        </is>
      </c>
      <c r="J169" s="9" t="inlineStr"/>
      <c r="K169" s="8" t="inlineStr">
        <is>
          <t>No</t>
        </is>
      </c>
      <c r="L169" s="9" t="inlineStr"/>
      <c r="M169" s="8" t="inlineStr">
        <is>
          <t>No</t>
        </is>
      </c>
      <c r="N169" s="9" t="inlineStr"/>
      <c r="O169" s="8" t="inlineStr">
        <is>
          <t>Partly</t>
        </is>
      </c>
      <c r="P169" s="10" t="inlineStr"/>
      <c r="Q169" s="6">
        <f>HYPERLINK("https://www.linkedin.com/search/results/people/?keywords=Glenn%20Airola%20Fidelis%20Realty%20Partners","search")</f>
        <v/>
      </c>
      <c r="R169" s="11">
        <f>IF(P169="","ADD LINKEDIN","ok")</f>
        <v/>
      </c>
      <c r="S169" s="6" t="inlineStr">
        <is>
          <t>https://www.frpltd.com/</t>
        </is>
      </c>
      <c r="T169" s="9" t="inlineStr">
        <is>
          <t>Two land positions in target counties within 24 months. Every purchase price is undisclosed.</t>
        </is>
      </c>
      <c r="U169" s="9" t="inlineStr">
        <is>
          <t>Glenn Airola's title sourced from a third-party CRE platform, not a Fidelis team page. Unverified. | Headquarters street address not confirmed on frpltd.com. | All purchase prices undisclosed.</t>
        </is>
      </c>
      <c r="V169" s="6" t="inlineStr"/>
      <c r="W169" s="9" t="inlineStr">
        <is>
          <t>Executive Vice President, General Counsel and Chief Administrative Officer since 2007.</t>
        </is>
      </c>
      <c r="X169" s="6" t="inlineStr">
        <is>
          <t>https://www.frpltd.com/about-fidelis/mission-values</t>
        </is>
      </c>
      <c r="Y169" s="6" t="inlineStr">
        <is>
          <t>https://www.linkedin.com/company/fidelis-realty-partners</t>
        </is>
      </c>
      <c r="Z169" s="6" t="inlineStr">
        <is>
          <t>https://www.frpltd.com/about-fidelis/mission-values</t>
        </is>
      </c>
    </row>
    <row r="170">
      <c r="A170" s="12" t="inlineStr">
        <is>
          <t>R. Carson Wilson IV</t>
        </is>
      </c>
      <c r="B170" s="12" t="inlineStr">
        <is>
          <t>Fidelis Realty Partners</t>
        </is>
      </c>
      <c r="C170" s="12" t="inlineStr">
        <is>
          <t>Executive Vice President of Leasing, Construction and Development, Fidelis Realty Partners</t>
        </is>
      </c>
      <c r="D170" s="13" t="inlineStr">
        <is>
          <t>Off deck, screened out</t>
        </is>
      </c>
      <c r="E170" s="14" t="n">
        <v>1</v>
      </c>
      <c r="F170" s="12" t="inlineStr">
        <is>
          <t>Buys walls</t>
        </is>
      </c>
      <c r="G170" s="12" t="inlineStr">
        <is>
          <t>Houston HQ / Brazoria, Montgomery</t>
        </is>
      </c>
      <c r="H170" s="12" t="inlineStr">
        <is>
          <t>26M sf, ~100 properties, 12 states</t>
        </is>
      </c>
      <c r="I170" s="14" t="inlineStr">
        <is>
          <t>Yes</t>
        </is>
      </c>
      <c r="J170" s="15" t="inlineStr"/>
      <c r="K170" s="14" t="inlineStr">
        <is>
          <t>No</t>
        </is>
      </c>
      <c r="L170" s="15" t="inlineStr"/>
      <c r="M170" s="14" t="inlineStr">
        <is>
          <t>No</t>
        </is>
      </c>
      <c r="N170" s="15" t="inlineStr"/>
      <c r="O170" s="14" t="inlineStr">
        <is>
          <t>Partly</t>
        </is>
      </c>
      <c r="P170" s="6" t="inlineStr">
        <is>
          <t>https://www.linkedin.com/in/r-carson-wilson-iv-9b7525292/</t>
        </is>
      </c>
      <c r="Q170" s="12" t="inlineStr"/>
      <c r="R170" s="16">
        <f>IF(P170="","ADD LINKEDIN","ok")</f>
        <v/>
      </c>
      <c r="S170" s="12" t="inlineStr">
        <is>
          <t>https://www.frpltd.com/</t>
        </is>
      </c>
      <c r="T170" s="15" t="inlineStr">
        <is>
          <t>Two land positions in target counties within 24 months. Every purchase price is undisclosed.</t>
        </is>
      </c>
      <c r="U170" s="15" t="inlineStr">
        <is>
          <t>Glenn Airola's title sourced from a third-party CRE platform, not a Fidelis team page. Unverified. | Headquarters street address not confirmed on frpltd.com. | All purchase prices undisclosed.</t>
        </is>
      </c>
      <c r="V170" s="12" t="inlineStr">
        <is>
          <t>YES</t>
        </is>
      </c>
      <c r="W170" s="15" t="inlineStr">
        <is>
          <t>Executive Vice President - Leasing, Construction and Development at Fidelis Realty Partners. Greater Houston. One title covers all three, so the person who signs the lease also owns the build.</t>
        </is>
      </c>
      <c r="X170" s="12" t="inlineStr"/>
      <c r="Y170" s="12" t="inlineStr">
        <is>
          <t>https://www.linkedin.com/company/fidelis-realty-partners</t>
        </is>
      </c>
      <c r="Z170" s="12" t="inlineStr">
        <is>
          <t>https://www.frpltd.com/about-fidelis/mission-values</t>
        </is>
      </c>
    </row>
    <row r="171">
      <c r="A171" s="6" t="inlineStr">
        <is>
          <t>Brandt Bowden</t>
        </is>
      </c>
      <c r="B171" s="6" t="inlineStr">
        <is>
          <t>The Hanover Company</t>
        </is>
      </c>
      <c r="C171" s="6" t="inlineStr">
        <is>
          <t>Chief Executive Officer</t>
        </is>
      </c>
      <c r="D171" s="7" t="inlineStr">
        <is>
          <t>Off deck, screened out</t>
        </is>
      </c>
      <c r="E171" s="8" t="n">
        <v>1</v>
      </c>
      <c r="F171" s="6" t="inlineStr">
        <is>
          <t>Buys walls</t>
        </is>
      </c>
      <c r="G171" s="6" t="inlineStr">
        <is>
          <t>Houston HQ, Harris County</t>
        </is>
      </c>
      <c r="H171" s="6" t="inlineStr">
        <is>
          <t>19 markets, in-house construction arm</t>
        </is>
      </c>
      <c r="I171" s="8" t="inlineStr">
        <is>
          <t>Yes</t>
        </is>
      </c>
      <c r="J171" s="9" t="inlineStr"/>
      <c r="K171" s="8" t="inlineStr">
        <is>
          <t>No</t>
        </is>
      </c>
      <c r="L171" s="9" t="inlineStr"/>
      <c r="M171" s="8" t="inlineStr">
        <is>
          <t>No</t>
        </is>
      </c>
      <c r="N171" s="9" t="inlineStr"/>
      <c r="O171" s="8" t="inlineStr">
        <is>
          <t>Partly</t>
        </is>
      </c>
      <c r="P171" s="10" t="inlineStr"/>
      <c r="Q171" s="6">
        <f>HYPERLINK("https://www.linkedin.com/search/results/people/?keywords=Brandt%20Bowden%20The%20Hanover%20Company","search")</f>
        <v/>
      </c>
      <c r="R171" s="11">
        <f>IF(P171="","ADD LINKEDIN","ok")</f>
        <v/>
      </c>
      <c r="S171" s="6" t="inlineStr">
        <is>
          <t>https://www.hanoverco.com/</t>
        </is>
      </c>
      <c r="T171" s="9" t="inlineStr">
        <is>
          <t>An in-house construction arm and a Houston HQ since 1982, but no Houston project could be sourced.</t>
        </is>
      </c>
      <c r="U171" s="9" t="inlineStr">
        <is>
          <t>No Houston-specific project sourced. Repeatability inferred from platform scale, not from a named local position. | No capital signal with a figure. | No innovation-appetite evidence.</t>
        </is>
      </c>
      <c r="V171" s="6" t="inlineStr"/>
      <c r="W171" s="9" t="inlineStr">
        <is>
          <t>Chief Executive Officer of Hanover, overseeing capital, development and construction, previously chief investment officer.</t>
        </is>
      </c>
      <c r="X171" s="6" t="inlineStr">
        <is>
          <t>https://knowledge.uli.org/en/people/b/b/brandt-bowden-f34f</t>
        </is>
      </c>
      <c r="Y171" s="6" t="inlineStr"/>
      <c r="Z171" s="6" t="inlineStr">
        <is>
          <t>https://www.hanoverco.com/leadership</t>
        </is>
      </c>
    </row>
    <row r="172">
      <c r="A172" s="12" t="inlineStr">
        <is>
          <t>Murry Bowden</t>
        </is>
      </c>
      <c r="B172" s="12" t="inlineStr">
        <is>
          <t>The Hanover Company</t>
        </is>
      </c>
      <c r="C172" s="12" t="inlineStr">
        <is>
          <t>Founder and Executive Chairman</t>
        </is>
      </c>
      <c r="D172" s="13" t="inlineStr">
        <is>
          <t>Off deck, screened out</t>
        </is>
      </c>
      <c r="E172" s="14" t="n">
        <v>1</v>
      </c>
      <c r="F172" s="12" t="inlineStr">
        <is>
          <t>Buys walls</t>
        </is>
      </c>
      <c r="G172" s="12" t="inlineStr">
        <is>
          <t>Houston HQ, Harris County</t>
        </is>
      </c>
      <c r="H172" s="12" t="inlineStr">
        <is>
          <t>19 markets, in-house construction arm</t>
        </is>
      </c>
      <c r="I172" s="14" t="inlineStr">
        <is>
          <t>Yes</t>
        </is>
      </c>
      <c r="J172" s="15" t="inlineStr"/>
      <c r="K172" s="14" t="inlineStr">
        <is>
          <t>No</t>
        </is>
      </c>
      <c r="L172" s="15" t="inlineStr"/>
      <c r="M172" s="14" t="inlineStr">
        <is>
          <t>No</t>
        </is>
      </c>
      <c r="N172" s="15" t="inlineStr"/>
      <c r="O172" s="14" t="inlineStr">
        <is>
          <t>Partly</t>
        </is>
      </c>
      <c r="P172" s="10" t="inlineStr"/>
      <c r="Q172" s="12">
        <f>HYPERLINK("https://www.linkedin.com/search/results/people/?keywords=Murry%20Bowden%20The%20Hanover%20Company","search")</f>
        <v/>
      </c>
      <c r="R172" s="16">
        <f>IF(P172="","ADD LINKEDIN","ok")</f>
        <v/>
      </c>
      <c r="S172" s="12" t="inlineStr">
        <is>
          <t>https://www.hanoverco.com/</t>
        </is>
      </c>
      <c r="T172" s="15" t="inlineStr">
        <is>
          <t>An in-house construction arm and a Houston HQ since 1982, but no Houston project could be sourced.</t>
        </is>
      </c>
      <c r="U172" s="15" t="inlineStr">
        <is>
          <t>No Houston-specific project sourced. Repeatability inferred from platform scale, not from a named local position. | No capital signal with a figure. | No innovation-appetite evidence.</t>
        </is>
      </c>
      <c r="V172" s="12" t="inlineStr"/>
      <c r="W172" s="15" t="inlineStr">
        <is>
          <t>Founder, Chairman and Chief Executive Officer, responsible for strategy and investment decisions.</t>
        </is>
      </c>
      <c r="X172" s="12" t="inlineStr">
        <is>
          <t>https://www.nmhc.org/meetings/meetings-pages/meeting-materials/j-murry-bowden-biography/</t>
        </is>
      </c>
      <c r="Y172" s="12" t="inlineStr"/>
      <c r="Z172" s="12" t="inlineStr">
        <is>
          <t>https://www.hanoverco.com/leadership</t>
        </is>
      </c>
    </row>
    <row r="173">
      <c r="A173" s="6" t="inlineStr">
        <is>
          <t>John Nash</t>
        </is>
      </c>
      <c r="B173" s="6" t="inlineStr">
        <is>
          <t>The Hanover Company</t>
        </is>
      </c>
      <c r="C173" s="6" t="inlineStr">
        <is>
          <t>President</t>
        </is>
      </c>
      <c r="D173" s="7" t="inlineStr">
        <is>
          <t>Off deck, screened out</t>
        </is>
      </c>
      <c r="E173" s="8" t="n">
        <v>1</v>
      </c>
      <c r="F173" s="6" t="inlineStr">
        <is>
          <t>Buys walls</t>
        </is>
      </c>
      <c r="G173" s="6" t="inlineStr">
        <is>
          <t>Houston HQ, Harris County</t>
        </is>
      </c>
      <c r="H173" s="6" t="inlineStr">
        <is>
          <t>19 markets, in-house construction arm</t>
        </is>
      </c>
      <c r="I173" s="8" t="inlineStr">
        <is>
          <t>Yes</t>
        </is>
      </c>
      <c r="J173" s="9" t="inlineStr"/>
      <c r="K173" s="8" t="inlineStr">
        <is>
          <t>No</t>
        </is>
      </c>
      <c r="L173" s="9" t="inlineStr"/>
      <c r="M173" s="8" t="inlineStr">
        <is>
          <t>No</t>
        </is>
      </c>
      <c r="N173" s="9" t="inlineStr"/>
      <c r="O173" s="8" t="inlineStr">
        <is>
          <t>Partly</t>
        </is>
      </c>
      <c r="P173" s="10" t="inlineStr"/>
      <c r="Q173" s="6">
        <f>HYPERLINK("https://www.linkedin.com/search/results/people/?keywords=John%20Nash%20The%20Hanover%20Company","search")</f>
        <v/>
      </c>
      <c r="R173" s="11">
        <f>IF(P173="","ADD LINKEDIN","ok")</f>
        <v/>
      </c>
      <c r="S173" s="6" t="inlineStr">
        <is>
          <t>https://www.hanoverco.com/</t>
        </is>
      </c>
      <c r="T173" s="9" t="inlineStr">
        <is>
          <t>An in-house construction arm and a Houston HQ since 1982, but no Houston project could be sourced.</t>
        </is>
      </c>
      <c r="U173" s="9" t="inlineStr">
        <is>
          <t>No Houston-specific project sourced. Repeatability inferred from platform scale, not from a named local position. | No capital signal with a figure. | No innovation-appetite evidence.</t>
        </is>
      </c>
      <c r="V173" s="6" t="inlineStr"/>
      <c r="W173" s="9" t="inlineStr">
        <is>
          <t>President. Thirty-three years with Hanover, twenty-three of them as president, per the McCombs alumni network.</t>
        </is>
      </c>
      <c r="X173" s="6" t="inlineStr">
        <is>
          <t>https://www.hanoverco.com/leadership</t>
        </is>
      </c>
      <c r="Y173" s="6" t="inlineStr"/>
      <c r="Z173" s="6" t="inlineStr">
        <is>
          <t>https://www.hanoverco.com/leadership</t>
        </is>
      </c>
    </row>
    <row r="174">
      <c r="A174" s="12" t="inlineStr">
        <is>
          <t>John Garibaldi</t>
        </is>
      </c>
      <c r="B174" s="12" t="inlineStr">
        <is>
          <t>The Hanover Company</t>
        </is>
      </c>
      <c r="C174" s="12" t="inlineStr">
        <is>
          <t>President, Multifamily</t>
        </is>
      </c>
      <c r="D174" s="13" t="inlineStr">
        <is>
          <t>Off deck, screened out</t>
        </is>
      </c>
      <c r="E174" s="14" t="n">
        <v>1</v>
      </c>
      <c r="F174" s="12" t="inlineStr">
        <is>
          <t>Buys walls</t>
        </is>
      </c>
      <c r="G174" s="12" t="inlineStr">
        <is>
          <t>Houston HQ, Harris County</t>
        </is>
      </c>
      <c r="H174" s="12" t="inlineStr">
        <is>
          <t>19 markets, in-house construction arm</t>
        </is>
      </c>
      <c r="I174" s="14" t="inlineStr">
        <is>
          <t>Yes</t>
        </is>
      </c>
      <c r="J174" s="15" t="inlineStr"/>
      <c r="K174" s="14" t="inlineStr">
        <is>
          <t>No</t>
        </is>
      </c>
      <c r="L174" s="15" t="inlineStr"/>
      <c r="M174" s="14" t="inlineStr">
        <is>
          <t>No</t>
        </is>
      </c>
      <c r="N174" s="15" t="inlineStr"/>
      <c r="O174" s="14" t="inlineStr">
        <is>
          <t>Partly</t>
        </is>
      </c>
      <c r="P174" s="10" t="inlineStr"/>
      <c r="Q174" s="12">
        <f>HYPERLINK("https://www.linkedin.com/search/results/people/?keywords=John%20Garibaldi%20The%20Hanover%20Company","search")</f>
        <v/>
      </c>
      <c r="R174" s="16">
        <f>IF(P174="","ADD LINKEDIN","ok")</f>
        <v/>
      </c>
      <c r="S174" s="12" t="inlineStr">
        <is>
          <t>https://www.hanoverco.com/</t>
        </is>
      </c>
      <c r="T174" s="15" t="inlineStr">
        <is>
          <t>An in-house construction arm and a Houston HQ since 1982, but no Houston project could be sourced.</t>
        </is>
      </c>
      <c r="U174" s="15" t="inlineStr">
        <is>
          <t>No Houston-specific project sourced. Repeatability inferred from platform scale, not from a named local position. | No capital signal with a figure. | No innovation-appetite evidence.</t>
        </is>
      </c>
      <c r="V174" s="12" t="inlineStr"/>
      <c r="W174" s="15" t="inlineStr">
        <is>
          <t>President, Multifamily. Twenty-five years with the firm, starting as a development partner in Houston in 1999.</t>
        </is>
      </c>
      <c r="X174" s="12" t="inlineStr">
        <is>
          <t>https://www.hanoverco.com/leadership</t>
        </is>
      </c>
      <c r="Y174" s="12" t="inlineStr"/>
      <c r="Z174" s="12" t="inlineStr">
        <is>
          <t>https://www.hanoverco.com/leadership</t>
        </is>
      </c>
    </row>
    <row r="175">
      <c r="A175" s="6" t="inlineStr">
        <is>
          <t>Thomas Knutson</t>
        </is>
      </c>
      <c r="B175" s="6" t="inlineStr">
        <is>
          <t>The Hanover Company</t>
        </is>
      </c>
      <c r="C175" s="6" t="inlineStr">
        <is>
          <t>President of Construction, The Hanover Company</t>
        </is>
      </c>
      <c r="D175" s="7" t="inlineStr">
        <is>
          <t>Off deck, screened out</t>
        </is>
      </c>
      <c r="E175" s="8" t="n">
        <v>1</v>
      </c>
      <c r="F175" s="6" t="inlineStr">
        <is>
          <t>Buys walls</t>
        </is>
      </c>
      <c r="G175" s="6" t="inlineStr">
        <is>
          <t>Houston HQ, Harris County</t>
        </is>
      </c>
      <c r="H175" s="6" t="inlineStr">
        <is>
          <t>19 markets, in-house construction arm</t>
        </is>
      </c>
      <c r="I175" s="8" t="inlineStr">
        <is>
          <t>Yes</t>
        </is>
      </c>
      <c r="J175" s="9" t="inlineStr"/>
      <c r="K175" s="8" t="inlineStr">
        <is>
          <t>No</t>
        </is>
      </c>
      <c r="L175" s="9" t="inlineStr"/>
      <c r="M175" s="8" t="inlineStr">
        <is>
          <t>No</t>
        </is>
      </c>
      <c r="N175" s="9" t="inlineStr"/>
      <c r="O175" s="8" t="inlineStr">
        <is>
          <t>Partly</t>
        </is>
      </c>
      <c r="P175" s="6" t="inlineStr">
        <is>
          <t>https://www.linkedin.com/in/thomas-knutson-a741898/</t>
        </is>
      </c>
      <c r="Q175" s="6" t="inlineStr"/>
      <c r="R175" s="11">
        <f>IF(P175="","ADD LINKEDIN","ok")</f>
        <v/>
      </c>
      <c r="S175" s="6" t="inlineStr">
        <is>
          <t>https://www.hanoverco.com/</t>
        </is>
      </c>
      <c r="T175" s="9" t="inlineStr">
        <is>
          <t>An in-house construction arm and a Houston HQ since 1982, but no Houston project could be sourced.</t>
        </is>
      </c>
      <c r="U175" s="9" t="inlineStr">
        <is>
          <t>No Houston-specific project sourced. Repeatability inferred from platform scale, not from a named local position. | No capital signal with a figure. | No innovation-appetite evidence.</t>
        </is>
      </c>
      <c r="V175" s="6" t="inlineStr">
        <is>
          <t>YES</t>
        </is>
      </c>
      <c r="W175" s="9" t="inlineStr">
        <is>
          <t>President - Construction at The Hanover Company. Houston, Texas. Hanover builds its own work, so this is the head of the in-house contractor.</t>
        </is>
      </c>
      <c r="X175" s="6" t="inlineStr"/>
      <c r="Y175" s="6" t="inlineStr"/>
      <c r="Z175" s="6" t="inlineStr">
        <is>
          <t>https://www.hanoverco.com/leadership</t>
        </is>
      </c>
    </row>
    <row r="176">
      <c r="A176" s="12" t="inlineStr">
        <is>
          <t>Mark Wood</t>
        </is>
      </c>
      <c r="B176" s="12" t="inlineStr">
        <is>
          <t>The Hanover Company</t>
        </is>
      </c>
      <c r="C176" s="12" t="inlineStr">
        <is>
          <t>Vice President of Construction, The Hanover Company</t>
        </is>
      </c>
      <c r="D176" s="13" t="inlineStr">
        <is>
          <t>Off deck, screened out</t>
        </is>
      </c>
      <c r="E176" s="14" t="n">
        <v>1</v>
      </c>
      <c r="F176" s="12" t="inlineStr">
        <is>
          <t>Buys walls</t>
        </is>
      </c>
      <c r="G176" s="12" t="inlineStr">
        <is>
          <t>Houston HQ, Harris County</t>
        </is>
      </c>
      <c r="H176" s="12" t="inlineStr">
        <is>
          <t>19 markets, in-house construction arm</t>
        </is>
      </c>
      <c r="I176" s="14" t="inlineStr">
        <is>
          <t>Yes</t>
        </is>
      </c>
      <c r="J176" s="15" t="inlineStr"/>
      <c r="K176" s="14" t="inlineStr">
        <is>
          <t>No</t>
        </is>
      </c>
      <c r="L176" s="15" t="inlineStr"/>
      <c r="M176" s="14" t="inlineStr">
        <is>
          <t>No</t>
        </is>
      </c>
      <c r="N176" s="15" t="inlineStr"/>
      <c r="O176" s="14" t="inlineStr">
        <is>
          <t>Partly</t>
        </is>
      </c>
      <c r="P176" s="6" t="inlineStr">
        <is>
          <t>https://www.linkedin.com/in/mark-wood-49713011/</t>
        </is>
      </c>
      <c r="Q176" s="12" t="inlineStr"/>
      <c r="R176" s="16">
        <f>IF(P176="","ADD LINKEDIN","ok")</f>
        <v/>
      </c>
      <c r="S176" s="12" t="inlineStr">
        <is>
          <t>https://www.hanoverco.com/</t>
        </is>
      </c>
      <c r="T176" s="15" t="inlineStr">
        <is>
          <t>An in-house construction arm and a Houston HQ since 1982, but no Houston project could be sourced.</t>
        </is>
      </c>
      <c r="U176" s="15" t="inlineStr">
        <is>
          <t>No Houston-specific project sourced. Repeatability inferred from platform scale, not from a named local position. | No capital signal with a figure. | No innovation-appetite evidence.</t>
        </is>
      </c>
      <c r="V176" s="12" t="inlineStr">
        <is>
          <t>YES</t>
        </is>
      </c>
      <c r="W176" s="15" t="inlineStr">
        <is>
          <t>Vice President - Construction at The Hanover Company. Houston, Texas.</t>
        </is>
      </c>
      <c r="X176" s="12" t="inlineStr"/>
      <c r="Y176" s="12" t="inlineStr"/>
      <c r="Z176" s="12" t="inlineStr">
        <is>
          <t>https://www.hanoverco.com/leadership</t>
        </is>
      </c>
    </row>
    <row r="177">
      <c r="A177" s="6" t="inlineStr">
        <is>
          <t>Mike Wright</t>
        </is>
      </c>
      <c r="B177" s="6" t="inlineStr">
        <is>
          <t>The Hanover Company</t>
        </is>
      </c>
      <c r="C177" s="6" t="inlineStr">
        <is>
          <t>Vice President of Preconstruction and Estimating, The Hanover Company</t>
        </is>
      </c>
      <c r="D177" s="7" t="inlineStr">
        <is>
          <t>Off deck, screened out</t>
        </is>
      </c>
      <c r="E177" s="8" t="n">
        <v>1</v>
      </c>
      <c r="F177" s="6" t="inlineStr">
        <is>
          <t>Buys walls</t>
        </is>
      </c>
      <c r="G177" s="6" t="inlineStr">
        <is>
          <t>Houston HQ, Harris County</t>
        </is>
      </c>
      <c r="H177" s="6" t="inlineStr">
        <is>
          <t>19 markets, in-house construction arm</t>
        </is>
      </c>
      <c r="I177" s="8" t="inlineStr">
        <is>
          <t>Yes</t>
        </is>
      </c>
      <c r="J177" s="9" t="inlineStr"/>
      <c r="K177" s="8" t="inlineStr">
        <is>
          <t>No</t>
        </is>
      </c>
      <c r="L177" s="9" t="inlineStr"/>
      <c r="M177" s="8" t="inlineStr">
        <is>
          <t>No</t>
        </is>
      </c>
      <c r="N177" s="9" t="inlineStr"/>
      <c r="O177" s="8" t="inlineStr">
        <is>
          <t>Partly</t>
        </is>
      </c>
      <c r="P177" s="6" t="inlineStr">
        <is>
          <t>https://www.linkedin.com/in/mike-wright-7795a8b/</t>
        </is>
      </c>
      <c r="Q177" s="6" t="inlineStr"/>
      <c r="R177" s="11">
        <f>IF(P177="","ADD LINKEDIN","ok")</f>
        <v/>
      </c>
      <c r="S177" s="6" t="inlineStr">
        <is>
          <t>https://www.hanoverco.com/</t>
        </is>
      </c>
      <c r="T177" s="9" t="inlineStr">
        <is>
          <t>An in-house construction arm and a Houston HQ since 1982, but no Houston project could be sourced.</t>
        </is>
      </c>
      <c r="U177" s="9" t="inlineStr">
        <is>
          <t>No Houston-specific project sourced. Repeatability inferred from platform scale, not from a named local position. | No capital signal with a figure. | No innovation-appetite evidence.</t>
        </is>
      </c>
      <c r="V177" s="6" t="inlineStr">
        <is>
          <t>YES</t>
        </is>
      </c>
      <c r="W177" s="9" t="inlineStr">
        <is>
          <t>Vice President of Preconstruction &amp; Estimating at The Hanover Company. Katy, Texas. Preconstruction is where an unfamiliar wall system gets priced or dismissed, so this is the first real test of a printed assembly.</t>
        </is>
      </c>
      <c r="X177" s="6" t="inlineStr"/>
      <c r="Y177" s="6" t="inlineStr"/>
      <c r="Z177" s="6" t="inlineStr">
        <is>
          <t>https://www.hanoverco.com/leadership</t>
        </is>
      </c>
    </row>
    <row r="178">
      <c r="A178" s="12" t="inlineStr">
        <is>
          <t>Jeff Read</t>
        </is>
      </c>
      <c r="B178" s="12" t="inlineStr">
        <is>
          <t>Read King</t>
        </is>
      </c>
      <c r="C178" s="12" t="inlineStr">
        <is>
          <t>Principal and Co-Founder</t>
        </is>
      </c>
      <c r="D178" s="13" t="inlineStr">
        <is>
          <t>Off deck, screened out</t>
        </is>
      </c>
      <c r="E178" s="14" t="n">
        <v>1</v>
      </c>
      <c r="F178" s="12" t="inlineStr">
        <is>
          <t>Buys walls</t>
        </is>
      </c>
      <c r="G178" s="12" t="inlineStr">
        <is>
          <t>Houston HQ / Fort Bend, Harris</t>
        </is>
      </c>
      <c r="H178" s="12" t="inlineStr">
        <is>
          <t>36 freestanding ER centres, 100+ build-to-suit</t>
        </is>
      </c>
      <c r="I178" s="14" t="inlineStr">
        <is>
          <t>Yes</t>
        </is>
      </c>
      <c r="J178" s="15" t="inlineStr"/>
      <c r="K178" s="14" t="inlineStr">
        <is>
          <t>No</t>
        </is>
      </c>
      <c r="L178" s="15" t="inlineStr"/>
      <c r="M178" s="14" t="inlineStr">
        <is>
          <t>No</t>
        </is>
      </c>
      <c r="N178" s="15" t="inlineStr"/>
      <c r="O178" s="14" t="inlineStr">
        <is>
          <t>No</t>
        </is>
      </c>
      <c r="P178" s="10" t="inlineStr"/>
      <c r="Q178" s="12">
        <f>HYPERLINK("https://www.linkedin.com/search/results/people/?keywords=Jeff%20Read%20Read%20King","search")</f>
        <v/>
      </c>
      <c r="R178" s="16">
        <f>IF(P178="","ADD LINKEDIN","ok")</f>
        <v/>
      </c>
      <c r="S178" s="12" t="inlineStr">
        <is>
          <t>https://read-king.com/</t>
        </is>
      </c>
      <c r="T178" s="15" t="inlineStr">
        <is>
          <t>36 freestanding emergency centres and over 100 build-to-suits, the most repeated small-commercial format screened.</t>
        </is>
      </c>
      <c r="U178" s="15" t="inlineStr">
        <is>
          <t>Individual project square footages and dates not itemised. | No capital signal with a figure. | No innovation-appetite evidence located.</t>
        </is>
      </c>
      <c r="V178" s="12" t="inlineStr"/>
      <c r="W178" s="15" t="inlineStr">
        <is>
          <t>Principal.</t>
        </is>
      </c>
      <c r="X178" s="12" t="inlineStr">
        <is>
          <t>https://www.read-king.com/team</t>
        </is>
      </c>
      <c r="Y178" s="12" t="inlineStr">
        <is>
          <t>https://www.linkedin.com/company/read-king-inc-</t>
        </is>
      </c>
      <c r="Z178" s="12" t="inlineStr">
        <is>
          <t>https://www.read-king.com/team</t>
        </is>
      </c>
    </row>
    <row r="179">
      <c r="A179" s="6" t="inlineStr">
        <is>
          <t>Ewing King</t>
        </is>
      </c>
      <c r="B179" s="6" t="inlineStr">
        <is>
          <t>Read King</t>
        </is>
      </c>
      <c r="C179" s="6" t="inlineStr">
        <is>
          <t>Principal</t>
        </is>
      </c>
      <c r="D179" s="7" t="inlineStr">
        <is>
          <t>Off deck, screened out</t>
        </is>
      </c>
      <c r="E179" s="8" t="n">
        <v>1</v>
      </c>
      <c r="F179" s="6" t="inlineStr">
        <is>
          <t>Buys walls</t>
        </is>
      </c>
      <c r="G179" s="6" t="inlineStr">
        <is>
          <t>Houston HQ / Fort Bend, Harris</t>
        </is>
      </c>
      <c r="H179" s="6" t="inlineStr">
        <is>
          <t>36 freestanding ER centres, 100+ build-to-suit</t>
        </is>
      </c>
      <c r="I179" s="8" t="inlineStr">
        <is>
          <t>Yes</t>
        </is>
      </c>
      <c r="J179" s="9" t="inlineStr"/>
      <c r="K179" s="8" t="inlineStr">
        <is>
          <t>No</t>
        </is>
      </c>
      <c r="L179" s="9" t="inlineStr"/>
      <c r="M179" s="8" t="inlineStr">
        <is>
          <t>No</t>
        </is>
      </c>
      <c r="N179" s="9" t="inlineStr"/>
      <c r="O179" s="8" t="inlineStr">
        <is>
          <t>No</t>
        </is>
      </c>
      <c r="P179" s="10" t="inlineStr"/>
      <c r="Q179" s="6">
        <f>HYPERLINK("https://www.linkedin.com/search/results/people/?keywords=Ewing%20King%20Read%20King","search")</f>
        <v/>
      </c>
      <c r="R179" s="11">
        <f>IF(P179="","ADD LINKEDIN","ok")</f>
        <v/>
      </c>
      <c r="S179" s="6" t="inlineStr">
        <is>
          <t>https://read-king.com/</t>
        </is>
      </c>
      <c r="T179" s="9" t="inlineStr">
        <is>
          <t>36 freestanding emergency centres and over 100 build-to-suits, the most repeated small-commercial format screened.</t>
        </is>
      </c>
      <c r="U179" s="9" t="inlineStr">
        <is>
          <t>Individual project square footages and dates not itemised. | No capital signal with a figure. | No innovation-appetite evidence located.</t>
        </is>
      </c>
      <c r="V179" s="6" t="inlineStr"/>
      <c r="W179" s="9" t="inlineStr">
        <is>
          <t>Principal.</t>
        </is>
      </c>
      <c r="X179" s="6" t="inlineStr">
        <is>
          <t>https://www.read-king.com/team</t>
        </is>
      </c>
      <c r="Y179" s="6" t="inlineStr">
        <is>
          <t>https://www.linkedin.com/company/read-king-inc-</t>
        </is>
      </c>
      <c r="Z179" s="6" t="inlineStr">
        <is>
          <t>https://www.read-king.com/team</t>
        </is>
      </c>
    </row>
    <row r="180">
      <c r="A180" s="12" t="inlineStr">
        <is>
          <t>Blake Allen</t>
        </is>
      </c>
      <c r="B180" s="12" t="inlineStr">
        <is>
          <t>Read King</t>
        </is>
      </c>
      <c r="C180" s="12" t="inlineStr">
        <is>
          <t>Chief Financial Officer</t>
        </is>
      </c>
      <c r="D180" s="13" t="inlineStr">
        <is>
          <t>Off deck, screened out</t>
        </is>
      </c>
      <c r="E180" s="14" t="n">
        <v>1</v>
      </c>
      <c r="F180" s="12" t="inlineStr">
        <is>
          <t>Buys walls</t>
        </is>
      </c>
      <c r="G180" s="12" t="inlineStr">
        <is>
          <t>Houston HQ / Fort Bend, Harris</t>
        </is>
      </c>
      <c r="H180" s="12" t="inlineStr">
        <is>
          <t>36 freestanding ER centres, 100+ build-to-suit</t>
        </is>
      </c>
      <c r="I180" s="14" t="inlineStr">
        <is>
          <t>Yes</t>
        </is>
      </c>
      <c r="J180" s="15" t="inlineStr"/>
      <c r="K180" s="14" t="inlineStr">
        <is>
          <t>No</t>
        </is>
      </c>
      <c r="L180" s="15" t="inlineStr"/>
      <c r="M180" s="14" t="inlineStr">
        <is>
          <t>No</t>
        </is>
      </c>
      <c r="N180" s="15" t="inlineStr"/>
      <c r="O180" s="14" t="inlineStr">
        <is>
          <t>No</t>
        </is>
      </c>
      <c r="P180" s="10" t="inlineStr"/>
      <c r="Q180" s="12">
        <f>HYPERLINK("https://www.linkedin.com/search/results/people/?keywords=Blake%20Allen%20Read%20King","search")</f>
        <v/>
      </c>
      <c r="R180" s="16">
        <f>IF(P180="","ADD LINKEDIN","ok")</f>
        <v/>
      </c>
      <c r="S180" s="12" t="inlineStr">
        <is>
          <t>https://read-king.com/</t>
        </is>
      </c>
      <c r="T180" s="15" t="inlineStr">
        <is>
          <t>36 freestanding emergency centres and over 100 build-to-suits, the most repeated small-commercial format screened.</t>
        </is>
      </c>
      <c r="U180" s="15" t="inlineStr">
        <is>
          <t>Individual project square footages and dates not itemised. | No capital signal with a figure. | No innovation-appetite evidence located.</t>
        </is>
      </c>
      <c r="V180" s="12" t="inlineStr"/>
      <c r="W180" s="15" t="inlineStr">
        <is>
          <t>Chief Financial Officer.</t>
        </is>
      </c>
      <c r="X180" s="12" t="inlineStr">
        <is>
          <t>https://www.read-king.com/team</t>
        </is>
      </c>
      <c r="Y180" s="12" t="inlineStr">
        <is>
          <t>https://www.linkedin.com/company/read-king-inc-</t>
        </is>
      </c>
      <c r="Z180" s="12" t="inlineStr">
        <is>
          <t>https://www.read-king.com/team</t>
        </is>
      </c>
    </row>
    <row r="181">
      <c r="A181" s="6" t="inlineStr">
        <is>
          <t>Telisia Amaning</t>
        </is>
      </c>
      <c r="B181" s="6" t="inlineStr">
        <is>
          <t>Read King</t>
        </is>
      </c>
      <c r="C181" s="6" t="inlineStr">
        <is>
          <t>Chief Operating Officer</t>
        </is>
      </c>
      <c r="D181" s="7" t="inlineStr">
        <is>
          <t>Off deck, screened out</t>
        </is>
      </c>
      <c r="E181" s="8" t="n">
        <v>1</v>
      </c>
      <c r="F181" s="6" t="inlineStr">
        <is>
          <t>Buys walls</t>
        </is>
      </c>
      <c r="G181" s="6" t="inlineStr">
        <is>
          <t>Houston HQ / Fort Bend, Harris</t>
        </is>
      </c>
      <c r="H181" s="6" t="inlineStr">
        <is>
          <t>36 freestanding ER centres, 100+ build-to-suit</t>
        </is>
      </c>
      <c r="I181" s="8" t="inlineStr">
        <is>
          <t>Yes</t>
        </is>
      </c>
      <c r="J181" s="9" t="inlineStr"/>
      <c r="K181" s="8" t="inlineStr">
        <is>
          <t>No</t>
        </is>
      </c>
      <c r="L181" s="9" t="inlineStr"/>
      <c r="M181" s="8" t="inlineStr">
        <is>
          <t>No</t>
        </is>
      </c>
      <c r="N181" s="9" t="inlineStr"/>
      <c r="O181" s="8" t="inlineStr">
        <is>
          <t>No</t>
        </is>
      </c>
      <c r="P181" s="6" t="inlineStr">
        <is>
          <t>https://www.linkedin.com/in/telisiaamaning/</t>
        </is>
      </c>
      <c r="Q181" s="6" t="inlineStr"/>
      <c r="R181" s="11">
        <f>IF(P181="","ADD LINKEDIN","ok")</f>
        <v/>
      </c>
      <c r="S181" s="6" t="inlineStr">
        <is>
          <t>https://read-king.com/</t>
        </is>
      </c>
      <c r="T181" s="9" t="inlineStr">
        <is>
          <t>36 freestanding emergency centres and over 100 build-to-suits, the most repeated small-commercial format screened.</t>
        </is>
      </c>
      <c r="U181" s="9" t="inlineStr">
        <is>
          <t>Individual project square footages and dates not itemised. | No capital signal with a figure. | No innovation-appetite evidence located.</t>
        </is>
      </c>
      <c r="V181" s="6" t="inlineStr"/>
      <c r="W181" s="9" t="inlineStr">
        <is>
          <t>Chief Operating Officer, READ KING. Houston, Texas.</t>
        </is>
      </c>
      <c r="X181" s="6" t="inlineStr"/>
      <c r="Y181" s="6" t="inlineStr">
        <is>
          <t>https://www.linkedin.com/company/read-king-inc-</t>
        </is>
      </c>
      <c r="Z181" s="6" t="inlineStr">
        <is>
          <t>https://www.read-king.com/team</t>
        </is>
      </c>
    </row>
    <row r="182">
      <c r="A182" s="12" t="inlineStr">
        <is>
          <t>Alex Jessett</t>
        </is>
      </c>
      <c r="B182" s="12" t="inlineStr">
        <is>
          <t>Camden Property Trust</t>
        </is>
      </c>
      <c r="C182" s="12" t="inlineStr">
        <is>
          <t>Chief Executive Officer</t>
        </is>
      </c>
      <c r="D182" s="13" t="inlineStr">
        <is>
          <t>Off deck, screened out</t>
        </is>
      </c>
      <c r="E182" s="14" t="n">
        <v>1</v>
      </c>
      <c r="F182" s="12" t="inlineStr">
        <is>
          <t>Buys walls</t>
        </is>
      </c>
      <c r="G182" s="12" t="inlineStr">
        <is>
          <t>Houston HQ / Fort Bend, Montgomery</t>
        </is>
      </c>
      <c r="H182" s="12" t="inlineStr">
        <is>
          <t>$155M into 389 BTR homes</t>
        </is>
      </c>
      <c r="I182" s="14" t="inlineStr">
        <is>
          <t>Partly</t>
        </is>
      </c>
      <c r="J182" s="15" t="inlineStr"/>
      <c r="K182" s="14" t="inlineStr">
        <is>
          <t>No</t>
        </is>
      </c>
      <c r="L182" s="15" t="inlineStr"/>
      <c r="M182" s="14" t="inlineStr">
        <is>
          <t>No</t>
        </is>
      </c>
      <c r="N182" s="15" t="inlineStr"/>
      <c r="O182" s="14" t="inlineStr">
        <is>
          <t>Yes</t>
        </is>
      </c>
      <c r="P182" s="10" t="inlineStr"/>
      <c r="Q182" s="12">
        <f>HYPERLINK("https://www.linkedin.com/search/results/people/?keywords=Alex%20Jessett%20Camden%20Property%20Trust","search")</f>
        <v/>
      </c>
      <c r="R182" s="16">
        <f>IF(P182="","ADD LINKEDIN","ok")</f>
        <v/>
      </c>
      <c r="S182" s="12" t="inlineStr">
        <is>
          <t>https://www.camdenliving.com/</t>
        </is>
      </c>
      <c r="T182" s="15" t="inlineStr">
        <is>
          <t>$155M into 389 build-to-rent homes, Houston HQ, holds long term. Figures date to 2022.</t>
        </is>
      </c>
      <c r="U182" s="15" t="inlineStr">
        <is>
          <t>Build-to-rent capital figures date to December 2022. Camden 10-K and 10-Q filings not pulled in this pass and almost certainly itemise further Houston development starts. | No innovation-appetite evidence located.</t>
        </is>
      </c>
      <c r="V182" s="12" t="inlineStr"/>
      <c r="W182" s="15" t="inlineStr">
        <is>
          <t>Chief Executive Officer, previously President and Chief Financial Officer, at Camden since 1999.</t>
        </is>
      </c>
      <c r="X182" s="12" t="inlineStr">
        <is>
          <t>https://investors.camdenliving.com/investors/governance/board-of-directors/default.aspx</t>
        </is>
      </c>
      <c r="Y182" s="12" t="inlineStr">
        <is>
          <t>https://www.linkedin.com/company/camden-property-trust</t>
        </is>
      </c>
      <c r="Z182" s="12" t="inlineStr">
        <is>
          <t>https://investors.camdenliving.com/investors/governance/board-of-directors/default.aspx</t>
        </is>
      </c>
    </row>
    <row r="183">
      <c r="A183" s="6" t="inlineStr">
        <is>
          <t>Richard J. Campo</t>
        </is>
      </c>
      <c r="B183" s="6" t="inlineStr">
        <is>
          <t>Camden Property Trust</t>
        </is>
      </c>
      <c r="C183" s="6" t="inlineStr">
        <is>
          <t>Executive Chairman of the Board of Trust Managers</t>
        </is>
      </c>
      <c r="D183" s="7" t="inlineStr">
        <is>
          <t>Off deck, screened out</t>
        </is>
      </c>
      <c r="E183" s="8" t="n">
        <v>1</v>
      </c>
      <c r="F183" s="6" t="inlineStr">
        <is>
          <t>Buys walls</t>
        </is>
      </c>
      <c r="G183" s="6" t="inlineStr">
        <is>
          <t>Houston HQ / Fort Bend, Montgomery</t>
        </is>
      </c>
      <c r="H183" s="6" t="inlineStr">
        <is>
          <t>$155M into 389 BTR homes</t>
        </is>
      </c>
      <c r="I183" s="8" t="inlineStr">
        <is>
          <t>Partly</t>
        </is>
      </c>
      <c r="J183" s="9" t="inlineStr"/>
      <c r="K183" s="8" t="inlineStr">
        <is>
          <t>No</t>
        </is>
      </c>
      <c r="L183" s="9" t="inlineStr"/>
      <c r="M183" s="8" t="inlineStr">
        <is>
          <t>No</t>
        </is>
      </c>
      <c r="N183" s="9" t="inlineStr"/>
      <c r="O183" s="8" t="inlineStr">
        <is>
          <t>Yes</t>
        </is>
      </c>
      <c r="P183" s="10" t="inlineStr"/>
      <c r="Q183" s="6">
        <f>HYPERLINK("https://www.linkedin.com/search/results/people/?keywords=Richard%20J.%20Campo%20Camden%20Property%20Trust","search")</f>
        <v/>
      </c>
      <c r="R183" s="11">
        <f>IF(P183="","ADD LINKEDIN","ok")</f>
        <v/>
      </c>
      <c r="S183" s="6" t="inlineStr">
        <is>
          <t>https://www.camdenliving.com/</t>
        </is>
      </c>
      <c r="T183" s="9" t="inlineStr">
        <is>
          <t>$155M into 389 build-to-rent homes, Houston HQ, holds long term. Figures date to 2022.</t>
        </is>
      </c>
      <c r="U183" s="9" t="inlineStr">
        <is>
          <t>Build-to-rent capital figures date to December 2022. Camden 10-K and 10-Q filings not pulled in this pass and almost certainly itemise further Houston development starts. | No innovation-appetite evidence located.</t>
        </is>
      </c>
      <c r="V183" s="6" t="inlineStr"/>
      <c r="W183" s="9" t="inlineStr">
        <is>
          <t>Executive Chairman, chief executive from the 1993 listing until 2026.</t>
        </is>
      </c>
      <c r="X183" s="6" t="inlineStr">
        <is>
          <t>https://investors.camdenliving.com/investors/governance/board-of-directors/default.aspx</t>
        </is>
      </c>
      <c r="Y183" s="6" t="inlineStr">
        <is>
          <t>https://www.linkedin.com/company/camden-property-trust</t>
        </is>
      </c>
      <c r="Z183" s="6" t="inlineStr">
        <is>
          <t>https://investors.camdenliving.com/investors/governance/board-of-directors/default.aspx</t>
        </is>
      </c>
    </row>
    <row r="184">
      <c r="A184" s="12" t="inlineStr">
        <is>
          <t>Michael Eilertsen</t>
        </is>
      </c>
      <c r="B184" s="12" t="inlineStr">
        <is>
          <t>Camden Property Trust</t>
        </is>
      </c>
      <c r="C184" s="12" t="inlineStr">
        <is>
          <t>Vice President of Construction, Camden Property Trust</t>
        </is>
      </c>
      <c r="D184" s="13" t="inlineStr">
        <is>
          <t>Off deck, screened out</t>
        </is>
      </c>
      <c r="E184" s="14" t="n">
        <v>1</v>
      </c>
      <c r="F184" s="12" t="inlineStr">
        <is>
          <t>Buys walls</t>
        </is>
      </c>
      <c r="G184" s="12" t="inlineStr">
        <is>
          <t>Houston HQ / Fort Bend, Montgomery</t>
        </is>
      </c>
      <c r="H184" s="12" t="inlineStr">
        <is>
          <t>$155M into 389 BTR homes</t>
        </is>
      </c>
      <c r="I184" s="14" t="inlineStr">
        <is>
          <t>Partly</t>
        </is>
      </c>
      <c r="J184" s="15" t="inlineStr"/>
      <c r="K184" s="14" t="inlineStr">
        <is>
          <t>No</t>
        </is>
      </c>
      <c r="L184" s="15" t="inlineStr"/>
      <c r="M184" s="14" t="inlineStr">
        <is>
          <t>No</t>
        </is>
      </c>
      <c r="N184" s="15" t="inlineStr"/>
      <c r="O184" s="14" t="inlineStr">
        <is>
          <t>Yes</t>
        </is>
      </c>
      <c r="P184" s="6" t="inlineStr">
        <is>
          <t>https://www.linkedin.com/in/michael-eilertsen-68a59911/</t>
        </is>
      </c>
      <c r="Q184" s="12" t="inlineStr"/>
      <c r="R184" s="16">
        <f>IF(P184="","ADD LINKEDIN","ok")</f>
        <v/>
      </c>
      <c r="S184" s="12" t="inlineStr">
        <is>
          <t>https://www.camdenliving.com/</t>
        </is>
      </c>
      <c r="T184" s="15" t="inlineStr">
        <is>
          <t>$155M into 389 build-to-rent homes, Houston HQ, holds long term. Figures date to 2022.</t>
        </is>
      </c>
      <c r="U184" s="15" t="inlineStr">
        <is>
          <t>Build-to-rent capital figures date to December 2022. Camden 10-K and 10-Q filings not pulled in this pass and almost certainly itemise further Houston development starts. | No innovation-appetite evidence located.</t>
        </is>
      </c>
      <c r="V184" s="12" t="inlineStr">
        <is>
          <t>YES</t>
        </is>
      </c>
      <c r="W184" s="15" t="inlineStr">
        <is>
          <t>Vice President Of Construction at Camden Property Trust. Houston, Texas.</t>
        </is>
      </c>
      <c r="X184" s="12" t="inlineStr"/>
      <c r="Y184" s="12" t="inlineStr">
        <is>
          <t>https://www.linkedin.com/company/camden-property-trust</t>
        </is>
      </c>
      <c r="Z184" s="12" t="inlineStr">
        <is>
          <t>https://investors.camdenliving.com/investors/governance/board-of-directors/default.aspx</t>
        </is>
      </c>
    </row>
    <row r="185">
      <c r="A185" s="6" t="inlineStr">
        <is>
          <t>Bob Faith</t>
        </is>
      </c>
      <c r="B185" s="6" t="inlineStr">
        <is>
          <t>Greystar (Summerwell)</t>
        </is>
      </c>
      <c r="C185" s="6" t="inlineStr">
        <is>
          <t>Founder, Chairman and Chief Executive Officer</t>
        </is>
      </c>
      <c r="D185" s="7" t="inlineStr">
        <is>
          <t>Off deck, screened out</t>
        </is>
      </c>
      <c r="E185" s="8" t="n">
        <v>1</v>
      </c>
      <c r="F185" s="6" t="inlineStr">
        <is>
          <t>Buys walls</t>
        </is>
      </c>
      <c r="G185" s="6" t="inlineStr">
        <is>
          <t>Charleston HQ / Katy, Harris-Waller</t>
        </is>
      </c>
      <c r="H185" s="6" t="inlineStr">
        <is>
          <t>Summerwell: 10,000+ homes, 50 properties</t>
        </is>
      </c>
      <c r="I185" s="8" t="inlineStr">
        <is>
          <t>Partly</t>
        </is>
      </c>
      <c r="J185" s="9" t="inlineStr"/>
      <c r="K185" s="8" t="inlineStr">
        <is>
          <t>No</t>
        </is>
      </c>
      <c r="L185" s="9" t="inlineStr"/>
      <c r="M185" s="8" t="inlineStr">
        <is>
          <t>No</t>
        </is>
      </c>
      <c r="N185" s="9" t="inlineStr"/>
      <c r="O185" s="8" t="inlineStr">
        <is>
          <t>Yes</t>
        </is>
      </c>
      <c r="P185" s="10" t="inlineStr"/>
      <c r="Q185" s="6">
        <f>HYPERLINK("https://www.linkedin.com/search/results/people/?keywords=Bob%20Faith%20Greystar","search")</f>
        <v/>
      </c>
      <c r="R185" s="11">
        <f>IF(P185="","ADD LINKEDIN","ok")</f>
        <v/>
      </c>
      <c r="S185" s="6" t="inlineStr">
        <is>
          <t>https://www.greystar.com/</t>
        </is>
      </c>
      <c r="T185" s="9" t="inlineStr">
        <is>
          <t>156 units inside Sunterra, a Houston-based development director, and a 10,000-home national brand. Costs withheld.</t>
        </is>
      </c>
      <c r="U185"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5" s="6" t="inlineStr"/>
      <c r="W185" s="9" t="inlineStr">
        <is>
          <t>Founder, Chairman and Chief Executive Officer on Greystar's own bio page.</t>
        </is>
      </c>
      <c r="X185" s="6" t="inlineStr">
        <is>
          <t>https://www.greystar.com/contact-us/our-people/bob-faith</t>
        </is>
      </c>
      <c r="Y185" s="6" t="inlineStr">
        <is>
          <t>https://www.linkedin.com/company/greystar</t>
        </is>
      </c>
      <c r="Z185" s="6" t="inlineStr">
        <is>
          <t>https://www.greystar.com/business/about-greystar/our-leadership</t>
        </is>
      </c>
    </row>
    <row r="186">
      <c r="A186" s="12" t="inlineStr">
        <is>
          <t>Brian Herwald</t>
        </is>
      </c>
      <c r="B186" s="12" t="inlineStr">
        <is>
          <t>Greystar (Summerwell)</t>
        </is>
      </c>
      <c r="C186" s="12" t="inlineStr">
        <is>
          <t>Managing Director of Development, Houston</t>
        </is>
      </c>
      <c r="D186" s="13" t="inlineStr">
        <is>
          <t>Off deck, screened out</t>
        </is>
      </c>
      <c r="E186" s="14" t="n">
        <v>1</v>
      </c>
      <c r="F186" s="12" t="inlineStr">
        <is>
          <t>Buys walls</t>
        </is>
      </c>
      <c r="G186" s="12" t="inlineStr">
        <is>
          <t>Charleston HQ / Katy, Harris-Waller</t>
        </is>
      </c>
      <c r="H186" s="12" t="inlineStr">
        <is>
          <t>Summerwell: 10,000+ homes, 50 properties</t>
        </is>
      </c>
      <c r="I186" s="14" t="inlineStr">
        <is>
          <t>Partly</t>
        </is>
      </c>
      <c r="J186" s="15" t="inlineStr"/>
      <c r="K186" s="14" t="inlineStr">
        <is>
          <t>No</t>
        </is>
      </c>
      <c r="L186" s="15" t="inlineStr"/>
      <c r="M186" s="14" t="inlineStr">
        <is>
          <t>No</t>
        </is>
      </c>
      <c r="N186" s="15" t="inlineStr"/>
      <c r="O186" s="14" t="inlineStr">
        <is>
          <t>Yes</t>
        </is>
      </c>
      <c r="P186" s="10" t="inlineStr"/>
      <c r="Q186" s="12">
        <f>HYPERLINK("https://www.linkedin.com/search/results/people/?keywords=Brian%20Herwald%20Greystar","search")</f>
        <v/>
      </c>
      <c r="R186" s="16">
        <f>IF(P186="","ADD LINKEDIN","ok")</f>
        <v/>
      </c>
      <c r="S186" s="12" t="inlineStr">
        <is>
          <t>https://www.greystar.com/</t>
        </is>
      </c>
      <c r="T186" s="15" t="inlineStr">
        <is>
          <t>156 units inside Sunterra, a Houston-based development director, and a 10,000-home national brand. Costs withheld.</t>
        </is>
      </c>
      <c r="U186"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6" s="12" t="inlineStr"/>
      <c r="W186" s="15" t="inlineStr">
        <is>
          <t>Managing Director of Development, quoted on Greystar's first Houston logistics project.</t>
        </is>
      </c>
      <c r="X186" s="12" t="inlineStr">
        <is>
          <t>https://www.greystar.com/business/about-greystar/newsroom/greystar-completes-first-logistics-project-in-houston</t>
        </is>
      </c>
      <c r="Y186" s="12" t="inlineStr">
        <is>
          <t>https://www.linkedin.com/company/greystar</t>
        </is>
      </c>
      <c r="Z186" s="12" t="inlineStr">
        <is>
          <t>https://www.greystar.com/business/about-greystar/our-leadership</t>
        </is>
      </c>
    </row>
    <row r="187">
      <c r="A187" s="6" t="inlineStr">
        <is>
          <t>Brian Dinerstein</t>
        </is>
      </c>
      <c r="B187" s="6" t="inlineStr">
        <is>
          <t>The Dinerstein Companies</t>
        </is>
      </c>
      <c r="C187" s="6" t="inlineStr">
        <is>
          <t>Chief Executive Officer</t>
        </is>
      </c>
      <c r="D187" s="7" t="inlineStr">
        <is>
          <t>Off deck, screened out</t>
        </is>
      </c>
      <c r="E187" s="8" t="n">
        <v>1</v>
      </c>
      <c r="F187" s="6" t="inlineStr">
        <is>
          <t>Buys walls</t>
        </is>
      </c>
      <c r="G187" s="6" t="inlineStr">
        <is>
          <t>Houston HQ / Fort Bend</t>
        </is>
      </c>
      <c r="H187" s="6" t="inlineStr">
        <is>
          <t>186 BTR homes, Harrison Street JV</t>
        </is>
      </c>
      <c r="I187" s="8" t="inlineStr">
        <is>
          <t>Partly</t>
        </is>
      </c>
      <c r="J187" s="9" t="inlineStr"/>
      <c r="K187" s="8" t="inlineStr">
        <is>
          <t>No</t>
        </is>
      </c>
      <c r="L187" s="9" t="inlineStr"/>
      <c r="M187" s="8" t="inlineStr">
        <is>
          <t>No</t>
        </is>
      </c>
      <c r="N187" s="9" t="inlineStr"/>
      <c r="O187" s="8" t="inlineStr">
        <is>
          <t>Yes</t>
        </is>
      </c>
      <c r="P187" s="10" t="inlineStr"/>
      <c r="Q187" s="6">
        <f>HYPERLINK("https://www.linkedin.com/search/results/people/?keywords=Brian%20Dinerstein%20The%20Dinerstein%20Companies","search")</f>
        <v/>
      </c>
      <c r="R187" s="11">
        <f>IF(P187="","ADD LINKEDIN","ok")</f>
        <v/>
      </c>
      <c r="S187" s="6" t="inlineStr">
        <is>
          <t>https://www.dinersteincos.com/</t>
        </is>
      </c>
      <c r="T187" s="9" t="inlineStr">
        <is>
          <t>186 build-to-rent homes with Harrison Street and 70 years in Houston. Launch coverage is amenities only.</t>
        </is>
      </c>
      <c r="U187"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7" s="6" t="inlineStr"/>
      <c r="W187" s="9" t="inlineStr">
        <is>
          <t>The firm's own bio page. Chief Executive Officer of a developer and operator with $4.3 billion under management.</t>
        </is>
      </c>
      <c r="X187" s="6" t="inlineStr">
        <is>
          <t>https://www.dinersteincos.com/team/brian-dinerstein</t>
        </is>
      </c>
      <c r="Y187" s="6" t="inlineStr">
        <is>
          <t>https://www.linkedin.com/company/the-dinerstein-companies/</t>
        </is>
      </c>
      <c r="Z187" s="6" t="inlineStr">
        <is>
          <t>https://www.dinersteincos.com/about-us</t>
        </is>
      </c>
    </row>
    <row r="188">
      <c r="A188" s="12" t="inlineStr">
        <is>
          <t>Jack Dinerstein</t>
        </is>
      </c>
      <c r="B188" s="12" t="inlineStr">
        <is>
          <t>The Dinerstein Companies</t>
        </is>
      </c>
      <c r="C188" s="12" t="inlineStr">
        <is>
          <t>Executive Chairman</t>
        </is>
      </c>
      <c r="D188" s="13" t="inlineStr">
        <is>
          <t>Off deck, screened out</t>
        </is>
      </c>
      <c r="E188" s="14" t="n">
        <v>1</v>
      </c>
      <c r="F188" s="12" t="inlineStr">
        <is>
          <t>Buys walls</t>
        </is>
      </c>
      <c r="G188" s="12" t="inlineStr">
        <is>
          <t>Houston HQ / Fort Bend</t>
        </is>
      </c>
      <c r="H188" s="12" t="inlineStr">
        <is>
          <t>186 BTR homes, Harrison Street JV</t>
        </is>
      </c>
      <c r="I188" s="14" t="inlineStr">
        <is>
          <t>Partly</t>
        </is>
      </c>
      <c r="J188" s="15" t="inlineStr"/>
      <c r="K188" s="14" t="inlineStr">
        <is>
          <t>No</t>
        </is>
      </c>
      <c r="L188" s="15" t="inlineStr"/>
      <c r="M188" s="14" t="inlineStr">
        <is>
          <t>No</t>
        </is>
      </c>
      <c r="N188" s="15" t="inlineStr"/>
      <c r="O188" s="14" t="inlineStr">
        <is>
          <t>Yes</t>
        </is>
      </c>
      <c r="P188" s="6" t="inlineStr">
        <is>
          <t>https://www.linkedin.com/in/jack-dinerstein-4215073/</t>
        </is>
      </c>
      <c r="Q188" s="12" t="inlineStr"/>
      <c r="R188" s="16">
        <f>IF(P188="","ADD LINKEDIN","ok")</f>
        <v/>
      </c>
      <c r="S188" s="12" t="inlineStr">
        <is>
          <t>https://www.dinersteincos.com/</t>
        </is>
      </c>
      <c r="T188" s="15" t="inlineStr">
        <is>
          <t>186 build-to-rent homes with Harrison Street and 70 years in Houston. Launch coverage is amenities only.</t>
        </is>
      </c>
      <c r="U188"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8" s="12" t="inlineStr"/>
      <c r="W188" s="15" t="inlineStr">
        <is>
          <t>Owner, Dinerstein Companies. Houston, Texas.</t>
        </is>
      </c>
      <c r="X188" s="12" t="inlineStr"/>
      <c r="Y188" s="12" t="inlineStr">
        <is>
          <t>https://www.linkedin.com/company/the-dinerstein-companies/</t>
        </is>
      </c>
      <c r="Z188" s="12" t="inlineStr">
        <is>
          <t>https://www.dinersteincos.com/about-us</t>
        </is>
      </c>
    </row>
    <row r="189">
      <c r="A189" s="6" t="inlineStr">
        <is>
          <t>Brad Dinerstein</t>
        </is>
      </c>
      <c r="B189" s="6" t="inlineStr">
        <is>
          <t>The Dinerstein Companies</t>
        </is>
      </c>
      <c r="C189" s="6" t="inlineStr">
        <is>
          <t>Managing Partner of Development and Design</t>
        </is>
      </c>
      <c r="D189" s="7" t="inlineStr">
        <is>
          <t>Off deck, screened out</t>
        </is>
      </c>
      <c r="E189" s="8" t="n">
        <v>1</v>
      </c>
      <c r="F189" s="6" t="inlineStr">
        <is>
          <t>Buys walls</t>
        </is>
      </c>
      <c r="G189" s="6" t="inlineStr">
        <is>
          <t>Houston HQ / Fort Bend</t>
        </is>
      </c>
      <c r="H189" s="6" t="inlineStr">
        <is>
          <t>186 BTR homes, Harrison Street JV</t>
        </is>
      </c>
      <c r="I189" s="8" t="inlineStr">
        <is>
          <t>Partly</t>
        </is>
      </c>
      <c r="J189" s="9" t="inlineStr"/>
      <c r="K189" s="8" t="inlineStr">
        <is>
          <t>No</t>
        </is>
      </c>
      <c r="L189" s="9" t="inlineStr"/>
      <c r="M189" s="8" t="inlineStr">
        <is>
          <t>No</t>
        </is>
      </c>
      <c r="N189" s="9" t="inlineStr"/>
      <c r="O189" s="8" t="inlineStr">
        <is>
          <t>Yes</t>
        </is>
      </c>
      <c r="P189" s="10" t="inlineStr"/>
      <c r="Q189" s="6">
        <f>HYPERLINK("https://www.linkedin.com/search/results/people/?keywords=Brad%20Dinerstein%20The%20Dinerstein%20Companies","search")</f>
        <v/>
      </c>
      <c r="R189" s="11">
        <f>IF(P189="","ADD LINKEDIN","ok")</f>
        <v/>
      </c>
      <c r="S189" s="6" t="inlineStr">
        <is>
          <t>https://www.dinersteincos.com/</t>
        </is>
      </c>
      <c r="T189" s="9" t="inlineStr">
        <is>
          <t>186 build-to-rent homes with Harrison Street and 70 years in Houston. Launch coverage is amenities only.</t>
        </is>
      </c>
      <c r="U18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9" s="6" t="inlineStr"/>
      <c r="W189" s="9" t="inlineStr">
        <is>
          <t>Managing Partner of Development and Design.</t>
        </is>
      </c>
      <c r="X189" s="6" t="inlineStr">
        <is>
          <t>https://www.dinersteincos.com/about-us</t>
        </is>
      </c>
      <c r="Y189" s="6" t="inlineStr">
        <is>
          <t>https://www.linkedin.com/company/the-dinerstein-companies/</t>
        </is>
      </c>
      <c r="Z189" s="6" t="inlineStr">
        <is>
          <t>https://www.dinersteincos.com/about-us</t>
        </is>
      </c>
    </row>
    <row r="190">
      <c r="A190" s="12" t="inlineStr">
        <is>
          <t>John Caltagirone</t>
        </is>
      </c>
      <c r="B190" s="12" t="inlineStr">
        <is>
          <t>The Dinerstein Companies</t>
        </is>
      </c>
      <c r="C190" s="12" t="inlineStr">
        <is>
          <t>President and Partner</t>
        </is>
      </c>
      <c r="D190" s="13" t="inlineStr">
        <is>
          <t>Off deck, screened out</t>
        </is>
      </c>
      <c r="E190" s="14" t="n">
        <v>1</v>
      </c>
      <c r="F190" s="12" t="inlineStr">
        <is>
          <t>Buys walls</t>
        </is>
      </c>
      <c r="G190" s="12" t="inlineStr">
        <is>
          <t>Houston HQ / Fort Bend</t>
        </is>
      </c>
      <c r="H190" s="12" t="inlineStr">
        <is>
          <t>186 BTR homes, Harrison Street JV</t>
        </is>
      </c>
      <c r="I190" s="14" t="inlineStr">
        <is>
          <t>Partly</t>
        </is>
      </c>
      <c r="J190" s="15" t="inlineStr"/>
      <c r="K190" s="14" t="inlineStr">
        <is>
          <t>No</t>
        </is>
      </c>
      <c r="L190" s="15" t="inlineStr"/>
      <c r="M190" s="14" t="inlineStr">
        <is>
          <t>No</t>
        </is>
      </c>
      <c r="N190" s="15" t="inlineStr"/>
      <c r="O190" s="14" t="inlineStr">
        <is>
          <t>Yes</t>
        </is>
      </c>
      <c r="P190" s="10" t="inlineStr"/>
      <c r="Q190" s="12">
        <f>HYPERLINK("https://www.linkedin.com/search/results/people/?keywords=John%20Caltagirone%20The%20Dinerstein%20Companies","search")</f>
        <v/>
      </c>
      <c r="R190" s="16">
        <f>IF(P190="","ADD LINKEDIN","ok")</f>
        <v/>
      </c>
      <c r="S190" s="12" t="inlineStr">
        <is>
          <t>https://www.dinersteincos.com/</t>
        </is>
      </c>
      <c r="T190" s="15" t="inlineStr">
        <is>
          <t>186 build-to-rent homes with Harrison Street and 70 years in Houston. Launch coverage is amenities only.</t>
        </is>
      </c>
      <c r="U190"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90" s="12" t="inlineStr"/>
      <c r="W190" s="15" t="inlineStr">
        <is>
          <t>President and Partner.</t>
        </is>
      </c>
      <c r="X190" s="12" t="inlineStr">
        <is>
          <t>https://www.dinersteincos.com/about-us</t>
        </is>
      </c>
      <c r="Y190" s="12" t="inlineStr">
        <is>
          <t>https://www.linkedin.com/company/the-dinerstein-companies/</t>
        </is>
      </c>
      <c r="Z190" s="12" t="inlineStr">
        <is>
          <t>https://www.dinersteincos.com/about-us</t>
        </is>
      </c>
    </row>
    <row r="191">
      <c r="A191" s="6" t="inlineStr">
        <is>
          <t>Jason Baker</t>
        </is>
      </c>
      <c r="B191" s="6" t="inlineStr">
        <is>
          <t>Baker Katz</t>
        </is>
      </c>
      <c r="C191" s="6" t="inlineStr">
        <is>
          <t>Leads the tenant representation team, Baker Katz</t>
        </is>
      </c>
      <c r="D191" s="7" t="inlineStr">
        <is>
          <t>Off deck, screened out</t>
        </is>
      </c>
      <c r="E191" s="8" t="n">
        <v>1</v>
      </c>
      <c r="F191" s="6" t="inlineStr">
        <is>
          <t>Buys walls</t>
        </is>
      </c>
      <c r="G191" s="6" t="inlineStr">
        <is>
          <t>Houston / Harris, Galveston</t>
        </is>
      </c>
      <c r="H191" s="6" t="inlineStr"/>
      <c r="I191" s="8" t="inlineStr">
        <is>
          <t>Partly</t>
        </is>
      </c>
      <c r="J191" s="9" t="inlineStr"/>
      <c r="K191" s="8" t="inlineStr">
        <is>
          <t>No</t>
        </is>
      </c>
      <c r="L191" s="9" t="inlineStr"/>
      <c r="M191" s="8" t="inlineStr">
        <is>
          <t>No</t>
        </is>
      </c>
      <c r="N191" s="9" t="inlineStr"/>
      <c r="O191" s="8" t="inlineStr">
        <is>
          <t>Partly</t>
        </is>
      </c>
      <c r="P191" s="10" t="inlineStr"/>
      <c r="Q191" s="6">
        <f>HYPERLINK("https://www.linkedin.com/search/results/people/?keywords=Jason%20Baker%20Baker%20Katz","search")</f>
        <v/>
      </c>
      <c r="R191" s="11">
        <f>IF(P191="","ADD LINKEDIN","ok")</f>
        <v/>
      </c>
      <c r="S191" s="6" t="inlineStr">
        <is>
          <t>https://bakerkatz.com/</t>
        </is>
      </c>
      <c r="T191" s="9" t="inlineStr">
        <is>
          <t>More than 80 retail projects, but recent Houston activity is buying existing centres rather than building.</t>
        </is>
      </c>
      <c r="U191" s="9" t="inlineStr"/>
      <c r="V191" s="6" t="inlineStr"/>
      <c r="W191" s="9" t="inlineStr">
        <is>
          <t>Leads the tenant representation team, with more than twenty-five years in Houston retail. The page carries bios without formal titles.</t>
        </is>
      </c>
      <c r="X191" s="6" t="inlineStr">
        <is>
          <t>https://bakerkatz.com/about-us/</t>
        </is>
      </c>
      <c r="Y191" s="6" t="inlineStr">
        <is>
          <t>https://www.linkedin.com/company/baker-katz</t>
        </is>
      </c>
      <c r="Z191" s="6" t="inlineStr">
        <is>
          <t>https://bakerkatz.com/about-us/</t>
        </is>
      </c>
    </row>
    <row r="192">
      <c r="A192" s="12" t="inlineStr">
        <is>
          <t>Kenneth Katz</t>
        </is>
      </c>
      <c r="B192" s="12" t="inlineStr">
        <is>
          <t>Baker Katz</t>
        </is>
      </c>
      <c r="C192" s="12" t="inlineStr">
        <is>
          <t>Leads the investment and development practice, Baker Katz</t>
        </is>
      </c>
      <c r="D192" s="13" t="inlineStr">
        <is>
          <t>Off deck, screened out</t>
        </is>
      </c>
      <c r="E192" s="14" t="n">
        <v>1</v>
      </c>
      <c r="F192" s="12" t="inlineStr">
        <is>
          <t>Buys walls</t>
        </is>
      </c>
      <c r="G192" s="12" t="inlineStr">
        <is>
          <t>Houston / Harris, Galveston</t>
        </is>
      </c>
      <c r="H192" s="12" t="inlineStr"/>
      <c r="I192" s="14" t="inlineStr">
        <is>
          <t>Partly</t>
        </is>
      </c>
      <c r="J192" s="15" t="inlineStr"/>
      <c r="K192" s="14" t="inlineStr">
        <is>
          <t>No</t>
        </is>
      </c>
      <c r="L192" s="15" t="inlineStr"/>
      <c r="M192" s="14" t="inlineStr">
        <is>
          <t>No</t>
        </is>
      </c>
      <c r="N192" s="15" t="inlineStr"/>
      <c r="O192" s="14" t="inlineStr">
        <is>
          <t>Partly</t>
        </is>
      </c>
      <c r="P192" s="10" t="inlineStr"/>
      <c r="Q192" s="12">
        <f>HYPERLINK("https://www.linkedin.com/search/results/people/?keywords=Kenneth%20Katz%20Baker%20Katz","search")</f>
        <v/>
      </c>
      <c r="R192" s="16">
        <f>IF(P192="","ADD LINKEDIN","ok")</f>
        <v/>
      </c>
      <c r="S192" s="12" t="inlineStr">
        <is>
          <t>https://bakerkatz.com/</t>
        </is>
      </c>
      <c r="T192" s="15" t="inlineStr">
        <is>
          <t>More than 80 retail projects, but recent Houston activity is buying existing centres rather than building.</t>
        </is>
      </c>
      <c r="U192" s="15" t="inlineStr"/>
      <c r="V192" s="12" t="inlineStr"/>
      <c r="W192" s="15" t="inlineStr">
        <is>
          <t>Leads the real estate investment and development practice, covering ground-up development and redevelopment.</t>
        </is>
      </c>
      <c r="X192" s="12" t="inlineStr">
        <is>
          <t>https://bakerkatz.com/about-us/</t>
        </is>
      </c>
      <c r="Y192" s="12" t="inlineStr">
        <is>
          <t>https://www.linkedin.com/company/baker-katz</t>
        </is>
      </c>
      <c r="Z192" s="12" t="inlineStr">
        <is>
          <t>https://bakerkatz.com/about-us/</t>
        </is>
      </c>
    </row>
    <row r="193">
      <c r="A193" s="6" t="inlineStr">
        <is>
          <t>Martin Mendoza</t>
        </is>
      </c>
      <c r="B193" s="6" t="inlineStr">
        <is>
          <t>Baker Katz</t>
        </is>
      </c>
      <c r="C193" s="6" t="inlineStr">
        <is>
          <t>Oversees design and construction, Baker Katz</t>
        </is>
      </c>
      <c r="D193" s="7" t="inlineStr">
        <is>
          <t>Off deck, screened out</t>
        </is>
      </c>
      <c r="E193" s="8" t="n">
        <v>1</v>
      </c>
      <c r="F193" s="6" t="inlineStr">
        <is>
          <t>Buys walls</t>
        </is>
      </c>
      <c r="G193" s="6" t="inlineStr">
        <is>
          <t>Houston / Harris, Galveston</t>
        </is>
      </c>
      <c r="H193" s="6" t="inlineStr"/>
      <c r="I193" s="8" t="inlineStr">
        <is>
          <t>Partly</t>
        </is>
      </c>
      <c r="J193" s="9" t="inlineStr"/>
      <c r="K193" s="8" t="inlineStr">
        <is>
          <t>No</t>
        </is>
      </c>
      <c r="L193" s="9" t="inlineStr"/>
      <c r="M193" s="8" t="inlineStr">
        <is>
          <t>No</t>
        </is>
      </c>
      <c r="N193" s="9" t="inlineStr"/>
      <c r="O193" s="8" t="inlineStr">
        <is>
          <t>Partly</t>
        </is>
      </c>
      <c r="P193" s="10" t="inlineStr"/>
      <c r="Q193" s="6">
        <f>HYPERLINK("https://www.linkedin.com/search/results/people/?keywords=Martin%20Mendoza%20Baker%20Katz","search")</f>
        <v/>
      </c>
      <c r="R193" s="11">
        <f>IF(P193="","ADD LINKEDIN","ok")</f>
        <v/>
      </c>
      <c r="S193" s="6" t="inlineStr">
        <is>
          <t>https://bakerkatz.com/</t>
        </is>
      </c>
      <c r="T193" s="9" t="inlineStr">
        <is>
          <t>More than 80 retail projects, but recent Houston activity is buying existing centres rather than building.</t>
        </is>
      </c>
      <c r="U193" s="9" t="inlineStr"/>
      <c r="V193" s="6" t="inlineStr">
        <is>
          <t>YES</t>
        </is>
      </c>
      <c r="W193" s="9" t="inlineStr">
        <is>
          <t>Joined in August 2024 responsible for overseeing design and construction phases. The page gives no title, so the function rather than the rank is what places him here.</t>
        </is>
      </c>
      <c r="X193" s="6" t="inlineStr">
        <is>
          <t>https://bakerkatz.com/about-us/</t>
        </is>
      </c>
      <c r="Y193" s="6" t="inlineStr">
        <is>
          <t>https://www.linkedin.com/company/baker-katz</t>
        </is>
      </c>
      <c r="Z193" s="6" t="inlineStr">
        <is>
          <t>https://bakerkatz.com/about-us/</t>
        </is>
      </c>
    </row>
    <row r="194">
      <c r="A194" s="12" t="inlineStr">
        <is>
          <t>Bob Sellingsloh</t>
        </is>
      </c>
      <c r="B194" s="12" t="inlineStr">
        <is>
          <t>Wulfe &amp; Co.</t>
        </is>
      </c>
      <c r="C194" s="12" t="inlineStr">
        <is>
          <t>President and Principal, Wulfe &amp; Co.</t>
        </is>
      </c>
      <c r="D194" s="13" t="inlineStr">
        <is>
          <t>Off deck, screened out</t>
        </is>
      </c>
      <c r="E194" s="14" t="n">
        <v>1</v>
      </c>
      <c r="F194" s="12" t="inlineStr">
        <is>
          <t>Buys walls</t>
        </is>
      </c>
      <c r="G194" s="12" t="inlineStr">
        <is>
          <t>Post Oak / Harris, Galveston</t>
        </is>
      </c>
      <c r="H194" s="12" t="inlineStr"/>
      <c r="I194" s="14" t="inlineStr">
        <is>
          <t>Partly</t>
        </is>
      </c>
      <c r="J194" s="15" t="inlineStr"/>
      <c r="K194" s="14" t="inlineStr">
        <is>
          <t>No</t>
        </is>
      </c>
      <c r="L194" s="15" t="inlineStr"/>
      <c r="M194" s="14" t="inlineStr">
        <is>
          <t>No</t>
        </is>
      </c>
      <c r="N194" s="15" t="inlineStr"/>
      <c r="O194" s="14" t="inlineStr">
        <is>
          <t>No</t>
        </is>
      </c>
      <c r="P194" s="10" t="inlineStr"/>
      <c r="Q194" s="12">
        <f>HYPERLINK("https://www.linkedin.com/search/results/people/?keywords=Bob%20Sellingsloh%20Wulfe%20%26%20Co.","search")</f>
        <v/>
      </c>
      <c r="R194" s="16">
        <f>IF(P194="","ADD LINKEDIN","ok")</f>
        <v/>
      </c>
      <c r="S194" s="12" t="inlineStr">
        <is>
          <t>https://www.wulfe.com/</t>
        </is>
      </c>
      <c r="T194" s="15" t="inlineStr">
        <is>
          <t>7.2M sf across nine centres. Current activity is leasing and management, not ground-up.</t>
        </is>
      </c>
      <c r="U194" s="15" t="inlineStr"/>
      <c r="V194" s="12" t="inlineStr"/>
      <c r="W194" s="15" t="inlineStr">
        <is>
          <t>President and Principal, listed first under leadership. Ed Wulfe no longer appears on the leadership page.</t>
        </is>
      </c>
      <c r="X194" s="12" t="inlineStr">
        <is>
          <t>https://www.wulfe.com/people</t>
        </is>
      </c>
      <c r="Y194" s="12" t="inlineStr">
        <is>
          <t>https://www.linkedin.com/company/wulfe</t>
        </is>
      </c>
      <c r="Z194" s="12" t="inlineStr">
        <is>
          <t>https://www.wulfe.com/people</t>
        </is>
      </c>
    </row>
    <row r="195">
      <c r="A195" s="6" t="inlineStr">
        <is>
          <t>Tammy Smith</t>
        </is>
      </c>
      <c r="B195" s="6" t="inlineStr">
        <is>
          <t>Wulfe &amp; Co.</t>
        </is>
      </c>
      <c r="C195" s="6" t="inlineStr">
        <is>
          <t>Director of Construction, Wulfe &amp; Co.</t>
        </is>
      </c>
      <c r="D195" s="7" t="inlineStr">
        <is>
          <t>Off deck, screened out</t>
        </is>
      </c>
      <c r="E195" s="8" t="n">
        <v>1</v>
      </c>
      <c r="F195" s="6" t="inlineStr">
        <is>
          <t>Buys walls</t>
        </is>
      </c>
      <c r="G195" s="6" t="inlineStr">
        <is>
          <t>Post Oak / Harris, Galveston</t>
        </is>
      </c>
      <c r="H195" s="6" t="inlineStr"/>
      <c r="I195" s="8" t="inlineStr">
        <is>
          <t>Partly</t>
        </is>
      </c>
      <c r="J195" s="9" t="inlineStr"/>
      <c r="K195" s="8" t="inlineStr">
        <is>
          <t>No</t>
        </is>
      </c>
      <c r="L195" s="9" t="inlineStr"/>
      <c r="M195" s="8" t="inlineStr">
        <is>
          <t>No</t>
        </is>
      </c>
      <c r="N195" s="9" t="inlineStr"/>
      <c r="O195" s="8" t="inlineStr">
        <is>
          <t>No</t>
        </is>
      </c>
      <c r="P195" s="10" t="inlineStr"/>
      <c r="Q195" s="6">
        <f>HYPERLINK("https://www.linkedin.com/search/results/people/?keywords=Tammy%20Smith%20Wulfe%20%26%20Co.","search")</f>
        <v/>
      </c>
      <c r="R195" s="11">
        <f>IF(P195="","ADD LINKEDIN","ok")</f>
        <v/>
      </c>
      <c r="S195" s="6" t="inlineStr">
        <is>
          <t>https://www.wulfe.com/</t>
        </is>
      </c>
      <c r="T195" s="9" t="inlineStr">
        <is>
          <t>7.2M sf across nine centres. Current activity is leasing and management, not ground-up.</t>
        </is>
      </c>
      <c r="U195" s="9" t="inlineStr"/>
      <c r="V195" s="6" t="inlineStr">
        <is>
          <t>YES</t>
        </is>
      </c>
      <c r="W195" s="9" t="inlineStr">
        <is>
          <t>Director of Construction.</t>
        </is>
      </c>
      <c r="X195" s="6" t="inlineStr">
        <is>
          <t>https://www.wulfe.com/people</t>
        </is>
      </c>
      <c r="Y195" s="6" t="inlineStr">
        <is>
          <t>https://www.linkedin.com/company/wulfe</t>
        </is>
      </c>
      <c r="Z195" s="6" t="inlineStr">
        <is>
          <t>https://www.wulfe.com/people</t>
        </is>
      </c>
    </row>
    <row r="197">
      <c r="A197"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keep a firm in. Only a No takes it out. Holds counts how many of the three are Yes or Partly. Capital is a qualifier, not a count. Source: ICON Greater Houston screen, build 32, 2026-09-11.</t>
        </is>
      </c>
    </row>
  </sheetData>
  <autoFilter ref="A6:Z1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2026-09-11T22:06:13Z</dcterms:created>
  <dcterms:modified xmlns:dcterms="http://purl.org/dc/terms/" xmlns:xsi="http://www.w3.org/2001/XMLSchema-instance" xsi:type="dcterms:W3CDTF">2026-09-11T22:06:14Z</dcterms:modified>
</cp:coreProperties>
</file>