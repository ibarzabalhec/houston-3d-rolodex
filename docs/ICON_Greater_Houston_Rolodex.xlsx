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'Contacts'!$A$6:$AC$338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4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64 · 2026-09-11 · public render. Do not hand-edit the HTML deck; it regenerates from the same file.</t>
        </is>
      </c>
    </row>
    <row r="3">
      <c r="A3" s="2" t="inlineStr">
        <is>
          <t>Contacts</t>
        </is>
      </c>
      <c r="B3" s="3">
        <f>COUNTA($A$7:$A$338)</f>
        <v/>
      </c>
      <c r="C3" s="2" t="inlineStr">
        <is>
          <t>LinkedIn held</t>
        </is>
      </c>
      <c r="D3" s="3">
        <f>COUNTIF($R$7:$R$338,"ok")</f>
        <v/>
      </c>
      <c r="E3" s="2" t="inlineStr">
        <is>
          <t>Still to add</t>
        </is>
      </c>
      <c r="F3" s="3">
        <f>COUNTIF($R$7:$R$338,"ADD LINKEDIN")</f>
        <v/>
      </c>
      <c r="G3" s="2" t="inlineStr">
        <is>
          <t>Strong targets</t>
        </is>
      </c>
      <c r="H3" s="3">
        <f>SUMPRODUCT((COUNTIF(OFFSET($B$7,ROW($B$7:$B$338)-ROW($B$7),0,1,1),$B$7:$B$338)&gt;0)*($D$7:$D$338="Strong target")/COUNTIF($B$7:$B$338,$B$7:$B$338&amp;""))</f>
        <v/>
      </c>
      <c r="I3" s="2" t="inlineStr">
        <is>
          <t>Wall deciders</t>
        </is>
      </c>
      <c r="J3" s="3">
        <f>COUNTIF($V$7:$V$338,"YES")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The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t="inlineStr"/>
      <c r="R38" s="16">
        <f>IF(P38="","ADD LINKEDIN","ok")</f>
        <v/>
      </c>
      <c r="S38" s="12" t="inlineStr">
        <is>
          <t>https://www.auradwellings.com/</t>
        </is>
      </c>
      <c r="T38" s="15" t="inlineStr">
        <is>
          <t>It moved its wall production into a factory and publishes the price list.</t>
        </is>
      </c>
      <c r="U38" s="12" t="inlineStr">
        <is>
          <t>YES</t>
        </is>
      </c>
      <c r="V38" s="15" t="inlineStr">
        <is>
          <t>Quoted in AGC Houston's Cornerstone for winter 2025 to 2026, reposted 25 February 2026, as a co-founder and chief executive of Aura Dwellings and Hospitality. The company's own site names no one.</t>
        </is>
      </c>
      <c r="W38" s="12" t="inlineStr">
        <is>
          <t>https://www.marekbros.com/the-future-is-factory-built/</t>
        </is>
      </c>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t="inlineStr"/>
      <c r="R53" s="11">
        <f>IF(P53="","ADD LINKEDIN","ok")</f>
        <v/>
      </c>
      <c r="S53" s="6" t="inlineStr">
        <is>
          <t>https://www.alliancehtx.org/</t>
        </is>
      </c>
      <c r="T53" s="9" t="inlineStr">
        <is>
          <t>$600M across five phases to 2032. Federal money and open procurement, but no method track record.</t>
        </is>
      </c>
      <c r="U53" s="6" t="inlineStr"/>
      <c r="V53" s="9" t="inlineStr">
        <is>
          <t>Her own bio page gives the title and the February 2025 appointment.</t>
        </is>
      </c>
      <c r="W53" s="6" t="inlineStr">
        <is>
          <t>https://www.alliancehtx.org/team-members/jamie-bryant</t>
        </is>
      </c>
      <c r="X53" s="6" t="inlineStr">
        <is>
          <t>https://www.linkedin.com/company/houston-housing-authority</t>
        </is>
      </c>
      <c r="Y53" s="6" t="inlineStr">
        <is>
          <t>https://www.alliancehtx.org/leadership</t>
        </is>
      </c>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https://www.alliancehtx.org/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 The leadership page carries the title.</t>
        </is>
      </c>
      <c r="W54" s="12" t="inlineStr">
        <is>
          <t>https://www.alliancehtx.org/leadership</t>
        </is>
      </c>
      <c r="X54" s="12" t="inlineStr">
        <is>
          <t>https://www.linkedin.com/company/houston-housing-authority</t>
        </is>
      </c>
      <c r="Y54" s="12" t="inlineStr">
        <is>
          <t>https://www.alliancehtx.org/leadership</t>
        </is>
      </c>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t="inlineStr"/>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is>
          <t>The firm's own site carries him as chief executive and a founder in the business record it publishes.</t>
        </is>
      </c>
      <c r="W71" s="6" t="inlineStr">
        <is>
          <t>https://www.everlastinghomesgroup.com/</t>
        </is>
      </c>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t="inlineStr"/>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is>
          <t>The firm's own site carries him as general manager and a founder in the business record it publishes.</t>
        </is>
      </c>
      <c r="W72" s="12" t="inlineStr">
        <is>
          <t>https://www.everlastinghomesgroup.com/</t>
        </is>
      </c>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no website confirmed</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t="inlineStr"/>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is>
          <t>The firm's own about page: in design and layout since the late 1990s, and in 2007 formed Nautilus's predecessor, Durable Residential Builders, out of a building-systems project with Texas A&amp;M.</t>
        </is>
      </c>
      <c r="W74" s="12" t="inlineStr">
        <is>
          <t>https://www.nautiluscustomhomes.com/about-us</t>
        </is>
      </c>
      <c r="X74" s="12" t="inlineStr"/>
      <c r="Y74" s="12" t="inlineStr">
        <is>
          <t>https://www.nautiluscustomhomes.com/about-us</t>
        </is>
      </c>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t="inlineStr"/>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is>
          <t>The firm's own about page: a navy veteran, in all aspects of residential construction for more than thirty-five years.</t>
        </is>
      </c>
      <c r="W75" s="6" t="inlineStr">
        <is>
          <t>https://www.nautiluscustomhomes.com/about-us</t>
        </is>
      </c>
      <c r="X75" s="6" t="inlineStr"/>
      <c r="Y75" s="6" t="inlineStr">
        <is>
          <t>https://www.nautiluscustomhomes.com/about-us</t>
        </is>
      </c>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Avenue names no construction officer on its staff page.</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Above 100 homes a year on average,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Dean Shultis</t>
        </is>
      </c>
      <c r="B114" s="12" t="inlineStr">
        <is>
          <t>DSRS Steel</t>
        </is>
      </c>
      <c r="C114" s="12" t="inlineStr">
        <is>
          <t>Co-founder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4" t="inlineStr">
        <is>
          <t>Partly</t>
        </is>
      </c>
      <c r="P114" s="10" t="inlineStr"/>
      <c r="Q114" s="12" t="inlineStr"/>
      <c r="R114" s="16">
        <f>IF(P114="","ADD LINKEDIN","ok")</f>
        <v/>
      </c>
      <c r="S114" s="12" t="inlineStr">
        <is>
          <t>https://dsrssteel.com/</t>
        </is>
      </c>
      <c r="T114" s="15" t="inlineStr">
        <is>
          <t>Already sold a Houston production builder a 150-home subdivision framed in something other than wood, and self-performs the installation.</t>
        </is>
      </c>
      <c r="U114" s="12" t="inlineStr">
        <is>
          <t>YES</t>
        </is>
      </c>
      <c r="V114" s="15" t="inlineStr">
        <is>
          <t>The development company that shares this firm's telephone line names Dean Shultis and Ralph Sharp as its founders, and the contact address published in the steel firm's own footer is dshultis@dsrssteel.com. DSRS is the two surnames.</t>
        </is>
      </c>
      <c r="W114" s="12" t="inlineStr">
        <is>
          <t>https://www.mccannpark.com/about</t>
        </is>
      </c>
      <c r="X114" s="12" t="inlineStr"/>
      <c r="Y114" s="12" t="inlineStr"/>
      <c r="Z114" s="12" t="inlineStr"/>
      <c r="AA114" s="12" t="inlineStr">
        <is>
          <t>(512) 964-9960</t>
        </is>
      </c>
      <c r="AB114" s="12" t="inlineStr">
        <is>
          <t>the only number published</t>
        </is>
      </c>
      <c r="AC114" s="12" t="inlineStr">
        <is>
          <t>https://dsrssteel.com/</t>
        </is>
      </c>
    </row>
    <row r="115">
      <c r="A115" s="6" t="inlineStr">
        <is>
          <t>Ralph Sharp</t>
        </is>
      </c>
      <c r="B115" s="6" t="inlineStr">
        <is>
          <t>DSRS Steel</t>
        </is>
      </c>
      <c r="C115" s="6" t="inlineStr">
        <is>
          <t>Co-founder</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across Houston subdivisions and custom work in one metro.</t>
        </is>
      </c>
      <c r="K115" s="8" t="inlineStr">
        <is>
          <t>Yes</t>
        </is>
      </c>
      <c r="L115" s="9" t="inlineStr">
        <is>
          <t>A firm framing subdivisions of this size, self-performing, is the scale where one or two machines would cover a real share of the wall it puts up.</t>
        </is>
      </c>
      <c r="M115" s="8" t="inlineStr">
        <is>
          <t>Yes</t>
        </is>
      </c>
      <c r="N115"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5" s="8" t="inlineStr">
        <is>
          <t>Partly</t>
        </is>
      </c>
      <c r="P115" s="10" t="inlineStr"/>
      <c r="Q115" s="6" t="inlineStr"/>
      <c r="R115" s="11">
        <f>IF(P115="","ADD LINKEDIN","ok")</f>
        <v/>
      </c>
      <c r="S115" s="6" t="inlineStr">
        <is>
          <t>https://dsrssteel.com/</t>
        </is>
      </c>
      <c r="T115" s="9" t="inlineStr">
        <is>
          <t>Already sold a Houston production builder a 150-home subdivision framed in something other than wood, and self-performs the installation.</t>
        </is>
      </c>
      <c r="U115" s="6" t="inlineStr"/>
      <c r="V115" s="9" t="inlineStr">
        <is>
          <t>Named as co-founder on the same page.</t>
        </is>
      </c>
      <c r="W115" s="6" t="inlineStr">
        <is>
          <t>https://www.mccannpark.com/about</t>
        </is>
      </c>
      <c r="X115" s="6" t="inlineStr"/>
      <c r="Y115" s="6" t="inlineStr"/>
      <c r="Z115" s="6" t="inlineStr"/>
      <c r="AA115" s="6" t="inlineStr">
        <is>
          <t>(512) 964-9960</t>
        </is>
      </c>
      <c r="AB115" s="6" t="inlineStr">
        <is>
          <t>the only number published</t>
        </is>
      </c>
      <c r="AC115" s="6" t="inlineStr">
        <is>
          <t>https://dsrssteel.com/</t>
        </is>
      </c>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4" t="inlineStr">
        <is>
          <t>Partly</t>
        </is>
      </c>
      <c r="P116" s="10" t="inlineStr"/>
      <c r="Q116" s="12" t="inlineStr"/>
      <c r="R116" s="16">
        <f>IF(P116="","ADD LINKEDIN","ok")</f>
        <v/>
      </c>
      <c r="S116" s="12" t="inlineStr">
        <is>
          <t>https://futureframeusa.com/</t>
        </is>
      </c>
      <c r="T116" s="15" t="inlineStr">
        <is>
          <t>An automated plant making wall for Houston production builders, at a size one or two machines would cover.</t>
        </is>
      </c>
      <c r="U116" s="12" t="inlineStr">
        <is>
          <t>YES</t>
        </is>
      </c>
      <c r="V116" s="15" t="inlineStr">
        <is>
          <t>The firm's own team page. Top officer of a single-plant manufacturer.</t>
        </is>
      </c>
      <c r="W116" s="12" t="inlineStr">
        <is>
          <t>https://futureframeusa.com/meet-our-team/</t>
        </is>
      </c>
      <c r="X116" s="12" t="inlineStr"/>
      <c r="Y116" s="12" t="inlineStr"/>
      <c r="Z116" s="12" t="inlineStr"/>
      <c r="AA116" s="12" t="inlineStr">
        <is>
          <t>(281) 231-9200</t>
        </is>
      </c>
      <c r="AB116" s="12" t="inlineStr">
        <is>
          <t>Conroe office</t>
        </is>
      </c>
      <c r="AC116" s="12" t="inlineStr">
        <is>
          <t>https://futureframeusa.com/contact/</t>
        </is>
      </c>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8" t="inlineStr">
        <is>
          <t>Partly</t>
        </is>
      </c>
      <c r="P117" s="10" t="inlineStr"/>
      <c r="Q117" s="6" t="inlineStr"/>
      <c r="R117" s="11">
        <f>IF(P117="","ADD LINKEDIN","ok")</f>
        <v/>
      </c>
      <c r="S117" s="6" t="inlineStr">
        <is>
          <t>https://futureframeusa.com/</t>
        </is>
      </c>
      <c r="T117" s="9" t="inlineStr">
        <is>
          <t>An automated plant making wall for Houston production builders, at a size one or two machines would cover.</t>
        </is>
      </c>
      <c r="U117" s="6" t="inlineStr">
        <is>
          <t>YES</t>
        </is>
      </c>
      <c r="V117" s="9" t="inlineStr">
        <is>
          <t>The firm's own team page. He runs the New Caney plant, which is the asset a machine would land in.</t>
        </is>
      </c>
      <c r="W117" s="6" t="inlineStr">
        <is>
          <t>https://futureframeusa.com/meet-our-team/</t>
        </is>
      </c>
      <c r="X117" s="6" t="inlineStr"/>
      <c r="Y117" s="6" t="inlineStr"/>
      <c r="Z117" s="6" t="inlineStr"/>
      <c r="AA117" s="6" t="inlineStr">
        <is>
          <t>(281) 231-9200</t>
        </is>
      </c>
      <c r="AB117" s="6" t="inlineStr">
        <is>
          <t>Conroe office</t>
        </is>
      </c>
      <c r="AC117" s="6" t="inlineStr">
        <is>
          <t>https://futureframeusa.com/contact/</t>
        </is>
      </c>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14" t="inlineStr">
        <is>
          <t>Partly</t>
        </is>
      </c>
      <c r="P118" s="10" t="inlineStr"/>
      <c r="Q118" s="12" t="inlineStr"/>
      <c r="R118" s="16">
        <f>IF(P118="","ADD LINKEDIN","ok")</f>
        <v/>
      </c>
      <c r="S118" s="12" t="inlineStr">
        <is>
          <t>https://futureframeusa.com/</t>
        </is>
      </c>
      <c r="T118" s="15" t="inlineStr">
        <is>
          <t>An automated plant making wall for Houston production builders, at a size one or two machines would cover.</t>
        </is>
      </c>
      <c r="U118" s="12" t="inlineStr"/>
      <c r="V118" s="15" t="inlineStr"/>
      <c r="W118" s="12" t="inlineStr">
        <is>
          <t>https://futureframeusa.com/meet-our-team/</t>
        </is>
      </c>
      <c r="X118" s="12" t="inlineStr"/>
      <c r="Y118" s="12" t="inlineStr"/>
      <c r="Z118" s="12" t="inlineStr"/>
      <c r="AA118" s="12" t="inlineStr">
        <is>
          <t>(281) 231-9200</t>
        </is>
      </c>
      <c r="AB118" s="12" t="inlineStr">
        <is>
          <t>Conroe office</t>
        </is>
      </c>
      <c r="AC118" s="12" t="inlineStr">
        <is>
          <t>https://futureframeusa.com/contact/</t>
        </is>
      </c>
    </row>
    <row r="119">
      <c r="A119" s="6" t="inlineStr">
        <is>
          <t>Larry Howard</t>
        </is>
      </c>
      <c r="B119" s="6" t="inlineStr">
        <is>
          <t>Future Frame USA</t>
        </is>
      </c>
      <c r="C119" s="6" t="inlineStr">
        <is>
          <t>Senior Account Manager</t>
        </is>
      </c>
      <c r="D119" s="7" t="inlineStr">
        <is>
          <t>Builds the wall, not the house</t>
        </is>
      </c>
      <c r="E119" s="8" t="n">
        <v>3</v>
      </c>
      <c r="F119" s="6" t="inlineStr">
        <is>
          <t>Builds the wall</t>
        </is>
      </c>
      <c r="G119" s="6" t="inlineStr">
        <is>
          <t>New Caney plant, Conroe office, Montgomery County</t>
        </is>
      </c>
      <c r="H119" s="6" t="inlineStr">
        <is>
          <t>Automated wall panel line, 17,000 square feet</t>
        </is>
      </c>
      <c r="I119" s="8" t="inlineStr">
        <is>
          <t>Yes</t>
        </is>
      </c>
      <c r="J119" s="9" t="inlineStr">
        <is>
          <t>Wall panels made repeatedly for production builders inside one metro, from one plant.</t>
        </is>
      </c>
      <c r="K119" s="8" t="inlineStr">
        <is>
          <t>Yes</t>
        </is>
      </c>
      <c r="L119" s="9" t="inlineStr">
        <is>
          <t>A 17,000 square foot plant serving Texas production builders is the scale where one or two machines would cover a real share of the wall it ships.</t>
        </is>
      </c>
      <c r="M119" s="8" t="inlineStr">
        <is>
          <t>Yes</t>
        </is>
      </c>
      <c r="N119" s="9" t="inlineStr">
        <is>
          <t>It converted a plant to automated CNC panel production and sells the method itself as the product, against stick framing. Paying to replace a building method with a manufactured one is exactly what this count asks.</t>
        </is>
      </c>
      <c r="O119" s="8" t="inlineStr">
        <is>
          <t>Partly</t>
        </is>
      </c>
      <c r="P119" s="6" t="inlineStr">
        <is>
          <t>https://www.linkedin.com/in/larry-howard-ab995b92/</t>
        </is>
      </c>
      <c r="Q119" s="6" t="inlineStr"/>
      <c r="R119" s="11">
        <f>IF(P119="","ADD LINKEDIN","ok")</f>
        <v/>
      </c>
      <c r="S119" s="6" t="inlineStr">
        <is>
          <t>https://futureframeusa.com/</t>
        </is>
      </c>
      <c r="T119" s="9" t="inlineStr">
        <is>
          <t>An automated plant making wall for Houston production builders, at a size one or two machines would cover.</t>
        </is>
      </c>
      <c r="U119" s="6" t="inlineStr"/>
      <c r="V119" s="9" t="inlineStr">
        <is>
          <t>The firm's own team page gives this title. His profile headline reads general manager, so one of the two is out of date.</t>
        </is>
      </c>
      <c r="W119" s="6" t="inlineStr"/>
      <c r="X119" s="6" t="inlineStr"/>
      <c r="Y119" s="6" t="inlineStr"/>
      <c r="Z119" s="6" t="inlineStr"/>
      <c r="AA119" s="6" t="inlineStr">
        <is>
          <t>(281) 231-9200</t>
        </is>
      </c>
      <c r="AB119" s="6" t="inlineStr">
        <is>
          <t>Conroe office</t>
        </is>
      </c>
      <c r="AC119" s="6" t="inlineStr">
        <is>
          <t>https://futureframeusa.com/contact/</t>
        </is>
      </c>
    </row>
    <row r="120">
      <c r="A120" s="12" t="inlineStr">
        <is>
          <t>Asher Kazmann, P.E.</t>
        </is>
      </c>
      <c r="B120" s="12" t="inlineStr">
        <is>
          <t>Locke Solutions</t>
        </is>
      </c>
      <c r="C120" s="12" t="inlineStr">
        <is>
          <t>President</t>
        </is>
      </c>
      <c r="D120" s="13" t="inlineStr">
        <is>
          <t>Builds the wall, not the house</t>
        </is>
      </c>
      <c r="E120" s="14" t="n">
        <v>3</v>
      </c>
      <c r="F120" s="12" t="inlineStr">
        <is>
          <t>Builds the wall</t>
        </is>
      </c>
      <c r="G120" s="12" t="inlineStr">
        <is>
          <t>Houston, Almeda Genoa Road, with a second plant in Alvarado</t>
        </is>
      </c>
      <c r="H120" s="12" t="inlineStr">
        <is>
          <t>41,750 square foot plant, four 50-ton bridge cranes</t>
        </is>
      </c>
      <c r="I120" s="14" t="inlineStr">
        <is>
          <t>Yes</t>
        </is>
      </c>
      <c r="J120" s="15" t="inlineStr">
        <is>
          <t>Custom precast made repeatedly in one Houston plant across three production bays.</t>
        </is>
      </c>
      <c r="K120" s="14" t="inlineStr">
        <is>
          <t>Partly</t>
        </is>
      </c>
      <c r="L120" s="15" t="inlineStr">
        <is>
          <t>The plant is large enough that a printer would be an added line rather than the business, and the product mix is utility structures rather than wall.</t>
        </is>
      </c>
      <c r="M120" s="14" t="inlineStr">
        <is>
          <t>Yes</t>
        </is>
      </c>
      <c r="N120" s="15" t="inlineStr">
        <is>
          <t>It runs a mobile plant program, producing precast on the customer's own site rather than shipping it. Standing up production at the point of use is a paid-for change in how the product gets made.</t>
        </is>
      </c>
      <c r="O120" s="14" t="inlineStr">
        <is>
          <t>Partly</t>
        </is>
      </c>
      <c r="P120" s="6" t="inlineStr">
        <is>
          <t>https://www.linkedin.com/in/asherkazmann/</t>
        </is>
      </c>
      <c r="Q120" s="12" t="inlineStr"/>
      <c r="R120" s="16">
        <f>IF(P120="","ADD LINKEDIN","ok")</f>
        <v/>
      </c>
      <c r="S120" s="12" t="inlineStr">
        <is>
          <t>https://lockesolutions.com/</t>
        </is>
      </c>
      <c r="T120" s="15" t="inlineStr">
        <is>
          <t>A producer that already moves production to the point of use is solving the same problem a printer solves, from a Houston plant with cranes and bays.</t>
        </is>
      </c>
      <c r="U120" s="12" t="inlineStr">
        <is>
          <t>YES</t>
        </is>
      </c>
      <c r="V120" s="15" t="inlineStr">
        <is>
          <t>The firm's own leadership page, and its own post of 10 September 2025 naming him a Houston Business Journal Most Admired CEO honoree.</t>
        </is>
      </c>
      <c r="W120" s="12" t="inlineStr"/>
      <c r="X120" s="12" t="inlineStr"/>
      <c r="Y120" s="12" t="inlineStr"/>
      <c r="Z120" s="12" t="inlineStr"/>
      <c r="AA120" s="12" t="inlineStr">
        <is>
          <t>(832) 804-7062</t>
        </is>
      </c>
      <c r="AB120" s="12" t="inlineStr">
        <is>
          <t>the only number published</t>
        </is>
      </c>
      <c r="AC120" s="12" t="inlineStr">
        <is>
          <t>https://lockesolutions.com/contact-us/</t>
        </is>
      </c>
    </row>
    <row r="121">
      <c r="A121" s="6" t="inlineStr">
        <is>
          <t>Ivan Garcia</t>
        </is>
      </c>
      <c r="B121" s="6" t="inlineStr">
        <is>
          <t>Locke Solutions</t>
        </is>
      </c>
      <c r="C121" s="6" t="inlineStr">
        <is>
          <t>Chief Financial Officer</t>
        </is>
      </c>
      <c r="D121" s="7" t="inlineStr">
        <is>
          <t>Builds the wall, not the house</t>
        </is>
      </c>
      <c r="E121" s="8" t="n">
        <v>3</v>
      </c>
      <c r="F121" s="6" t="inlineStr">
        <is>
          <t>Builds the wall</t>
        </is>
      </c>
      <c r="G121" s="6" t="inlineStr">
        <is>
          <t>Houston, Almeda Genoa Road, with a second plant in Alvarado</t>
        </is>
      </c>
      <c r="H121" s="6" t="inlineStr">
        <is>
          <t>41,750 square foot plant, four 50-ton bridge cranes</t>
        </is>
      </c>
      <c r="I121" s="8" t="inlineStr">
        <is>
          <t>Yes</t>
        </is>
      </c>
      <c r="J121" s="9" t="inlineStr">
        <is>
          <t>Custom precast made repeatedly in one Houston plant across three production bays.</t>
        </is>
      </c>
      <c r="K121" s="8" t="inlineStr">
        <is>
          <t>Partly</t>
        </is>
      </c>
      <c r="L121" s="9" t="inlineStr">
        <is>
          <t>The plant is large enough that a printer would be an added line rather than the business, and the product mix is utility structures rather than wall.</t>
        </is>
      </c>
      <c r="M121" s="8" t="inlineStr">
        <is>
          <t>Yes</t>
        </is>
      </c>
      <c r="N121" s="9" t="inlineStr">
        <is>
          <t>It runs a mobile plant program, producing precast on the customer's own site rather than shipping it. Standing up production at the point of use is a paid-for change in how the product gets made.</t>
        </is>
      </c>
      <c r="O121" s="8" t="inlineStr">
        <is>
          <t>Partly</t>
        </is>
      </c>
      <c r="P121" s="10" t="inlineStr"/>
      <c r="Q121" s="6" t="inlineStr"/>
      <c r="R121" s="11">
        <f>IF(P121="","ADD LINKEDIN","ok")</f>
        <v/>
      </c>
      <c r="S121" s="6" t="inlineStr">
        <is>
          <t>https://lockesolutions.com/</t>
        </is>
      </c>
      <c r="T121" s="9" t="inlineStr">
        <is>
          <t>A producer that already moves production to the point of use is solving the same problem a printer solves, from a Houston plant with cranes and bays.</t>
        </is>
      </c>
      <c r="U121" s="6" t="inlineStr"/>
      <c r="V121" s="9" t="inlineStr">
        <is>
          <t>The firm's own leadership page. The second signature on a capital purchase.</t>
        </is>
      </c>
      <c r="W121" s="6" t="inlineStr">
        <is>
          <t>https://lockesolutions.com/people/</t>
        </is>
      </c>
      <c r="X121" s="6" t="inlineStr"/>
      <c r="Y121" s="6" t="inlineStr"/>
      <c r="Z121" s="6" t="inlineStr"/>
      <c r="AA121" s="6" t="inlineStr">
        <is>
          <t>(832) 804-7062</t>
        </is>
      </c>
      <c r="AB121" s="6" t="inlineStr">
        <is>
          <t>the only number published</t>
        </is>
      </c>
      <c r="AC121" s="6" t="inlineStr">
        <is>
          <t>https://lockesolutions.com/contact-us/</t>
        </is>
      </c>
    </row>
    <row r="122">
      <c r="A122" s="12" t="inlineStr">
        <is>
          <t>David Espino</t>
        </is>
      </c>
      <c r="B122" s="12" t="inlineStr">
        <is>
          <t>Locke Solutions</t>
        </is>
      </c>
      <c r="C122" s="12" t="inlineStr">
        <is>
          <t>Director of Operations</t>
        </is>
      </c>
      <c r="D122" s="13" t="inlineStr">
        <is>
          <t>Builds the wall, not the house</t>
        </is>
      </c>
      <c r="E122" s="14" t="n">
        <v>3</v>
      </c>
      <c r="F122" s="12" t="inlineStr">
        <is>
          <t>Builds the wall</t>
        </is>
      </c>
      <c r="G122" s="12" t="inlineStr">
        <is>
          <t>Houston, Almeda Genoa Road, with a second plant in Alvarado</t>
        </is>
      </c>
      <c r="H122" s="12" t="inlineStr">
        <is>
          <t>41,750 square foot plant, four 50-ton bridge cranes</t>
        </is>
      </c>
      <c r="I122" s="14" t="inlineStr">
        <is>
          <t>Yes</t>
        </is>
      </c>
      <c r="J122" s="15" t="inlineStr">
        <is>
          <t>Custom precast made repeatedly in one Houston plant across three production bays.</t>
        </is>
      </c>
      <c r="K122" s="14" t="inlineStr">
        <is>
          <t>Partly</t>
        </is>
      </c>
      <c r="L122" s="15" t="inlineStr">
        <is>
          <t>The plant is large enough that a printer would be an added line rather than the business, and the product mix is utility structures rather than wall.</t>
        </is>
      </c>
      <c r="M122" s="14" t="inlineStr">
        <is>
          <t>Yes</t>
        </is>
      </c>
      <c r="N122" s="15" t="inlineStr">
        <is>
          <t>It runs a mobile plant program, producing precast on the customer's own site rather than shipping it. Standing up production at the point of use is a paid-for change in how the product gets made.</t>
        </is>
      </c>
      <c r="O122" s="14" t="inlineStr">
        <is>
          <t>Partly</t>
        </is>
      </c>
      <c r="P122" s="10" t="inlineStr"/>
      <c r="Q122" s="12" t="inlineStr"/>
      <c r="R122" s="16">
        <f>IF(P122="","ADD LINKEDIN","ok")</f>
        <v/>
      </c>
      <c r="S122" s="12" t="inlineStr">
        <is>
          <t>https://lockesolutions.com/</t>
        </is>
      </c>
      <c r="T122" s="15" t="inlineStr">
        <is>
          <t>A producer that already moves production to the point of use is solving the same problem a printer solves, from a Houston plant with cranes and bays.</t>
        </is>
      </c>
      <c r="U122" s="12" t="inlineStr"/>
      <c r="V122" s="15" t="inlineStr"/>
      <c r="W122" s="12" t="inlineStr">
        <is>
          <t>https://lockesolutions.com/people/</t>
        </is>
      </c>
      <c r="X122" s="12" t="inlineStr"/>
      <c r="Y122" s="12" t="inlineStr"/>
      <c r="Z122" s="12" t="inlineStr"/>
      <c r="AA122" s="12" t="inlineStr">
        <is>
          <t>(832) 804-7062</t>
        </is>
      </c>
      <c r="AB122" s="12" t="inlineStr">
        <is>
          <t>the only number published</t>
        </is>
      </c>
      <c r="AC122" s="12" t="inlineStr">
        <is>
          <t>https://lockesolutions.com/contact-us/</t>
        </is>
      </c>
    </row>
    <row r="123">
      <c r="A123" s="6" t="inlineStr">
        <is>
          <t>Chad Arpe</t>
        </is>
      </c>
      <c r="B123" s="6" t="inlineStr">
        <is>
          <t>Locke Solutions</t>
        </is>
      </c>
      <c r="C123" s="6" t="inlineStr">
        <is>
          <t>Director of Sales and Marketing</t>
        </is>
      </c>
      <c r="D123" s="7" t="inlineStr">
        <is>
          <t>Builds the wall, not the house</t>
        </is>
      </c>
      <c r="E123" s="8" t="n">
        <v>3</v>
      </c>
      <c r="F123" s="6" t="inlineStr">
        <is>
          <t>Builds the wall</t>
        </is>
      </c>
      <c r="G123" s="6" t="inlineStr">
        <is>
          <t>Houston, Almeda Genoa Road, with a second plant in Alvarado</t>
        </is>
      </c>
      <c r="H123" s="6" t="inlineStr">
        <is>
          <t>41,750 square foot plant, four 50-ton bridge cranes</t>
        </is>
      </c>
      <c r="I123" s="8" t="inlineStr">
        <is>
          <t>Yes</t>
        </is>
      </c>
      <c r="J123" s="9" t="inlineStr">
        <is>
          <t>Custom precast made repeatedly in one Houston plant across three production bays.</t>
        </is>
      </c>
      <c r="K123" s="8" t="inlineStr">
        <is>
          <t>Partly</t>
        </is>
      </c>
      <c r="L123" s="9" t="inlineStr">
        <is>
          <t>The plant is large enough that a printer would be an added line rather than the business, and the product mix is utility structures rather than wall.</t>
        </is>
      </c>
      <c r="M123" s="8" t="inlineStr">
        <is>
          <t>Yes</t>
        </is>
      </c>
      <c r="N123" s="9" t="inlineStr">
        <is>
          <t>It runs a mobile plant program, producing precast on the customer's own site rather than shipping it. Standing up production at the point of use is a paid-for change in how the product gets made.</t>
        </is>
      </c>
      <c r="O123" s="8" t="inlineStr">
        <is>
          <t>Partly</t>
        </is>
      </c>
      <c r="P123" s="6" t="inlineStr">
        <is>
          <t>https://www.linkedin.com/in/chad-arpe-b1981050/</t>
        </is>
      </c>
      <c r="Q123" s="6" t="inlineStr"/>
      <c r="R123" s="11">
        <f>IF(P123="","ADD LINKEDIN","ok")</f>
        <v/>
      </c>
      <c r="S123" s="6" t="inlineStr">
        <is>
          <t>https://lockesolutions.com/</t>
        </is>
      </c>
      <c r="T123" s="9" t="inlineStr">
        <is>
          <t>A producer that already moves production to the point of use is solving the same problem a printer solves, from a Houston plant with cranes and bays.</t>
        </is>
      </c>
      <c r="U123" s="6" t="inlineStr"/>
      <c r="V123" s="9" t="inlineStr">
        <is>
          <t>The firm's own leadership page. He is the name the precast trade directory lists as Locke's contact, and the title resolves him as sales.</t>
        </is>
      </c>
      <c r="W123" s="6" t="inlineStr"/>
      <c r="X123" s="6" t="inlineStr"/>
      <c r="Y123" s="6" t="inlineStr"/>
      <c r="Z123" s="6" t="inlineStr"/>
      <c r="AA123" s="6" t="inlineStr">
        <is>
          <t>(832) 804-7062</t>
        </is>
      </c>
      <c r="AB123" s="6" t="inlineStr">
        <is>
          <t>the only number published</t>
        </is>
      </c>
      <c r="AC123" s="6" t="inlineStr">
        <is>
          <t>https://lockesolutions.com/contact-us/</t>
        </is>
      </c>
    </row>
    <row r="124">
      <c r="A124" s="12" t="inlineStr">
        <is>
          <t>Matt Zetlmeisl</t>
        </is>
      </c>
      <c r="B124" s="12" t="inlineStr">
        <is>
          <t>ICF Constructors</t>
        </is>
      </c>
      <c r="C124" s="12" t="inlineStr">
        <is>
          <t>Owner</t>
        </is>
      </c>
      <c r="D124" s="13" t="inlineStr">
        <is>
          <t>Builds the wall, not the house</t>
        </is>
      </c>
      <c r="E124" s="14" t="n">
        <v>3</v>
      </c>
      <c r="F124" s="12" t="inlineStr">
        <is>
          <t>Builds the wall</t>
        </is>
      </c>
      <c r="G124" s="12" t="inlineStr">
        <is>
          <t>Katy, Harris and Fort Bend, and the Texas coast</t>
        </is>
      </c>
      <c r="H124" s="12" t="inlineStr">
        <is>
          <t>Crews trained on 12 form systems, ICF since 2002</t>
        </is>
      </c>
      <c r="I124" s="14" t="inlineStr">
        <is>
          <t>Yes</t>
        </is>
      </c>
      <c r="J124" s="15" t="inlineStr">
        <is>
          <t>The same wall system, installed again and again across Houston and the coast since 2002.</t>
        </is>
      </c>
      <c r="K124" s="14" t="inlineStr">
        <is>
          <t>Partly</t>
        </is>
      </c>
      <c r="L124" s="15" t="inlineStr">
        <is>
          <t>No crew count or homes-a-year figure is published. On the bands, a firm with no published figure is a Partly, and that is the first thing to establish on the call.</t>
        </is>
      </c>
      <c r="M124" s="14" t="inlineStr">
        <is>
          <t>Yes</t>
        </is>
      </c>
      <c r="N124" s="15" t="inlineStr">
        <is>
          <t>Its entire business is a wall method that was new when it adopted it. The crews are trained on twelve form systems and run a twenty-step checklist before every placement.</t>
        </is>
      </c>
      <c r="O124" s="14" t="inlineStr">
        <is>
          <t>No</t>
        </is>
      </c>
      <c r="P124" s="10" t="inlineStr"/>
      <c r="Q124" s="12" t="inlineStr"/>
      <c r="R124" s="16">
        <f>IF(P124="","ADD LINKEDIN","ok")</f>
        <v/>
      </c>
      <c r="S124" s="12" t="inlineStr">
        <is>
          <t>https://icfconstructors.com/</t>
        </is>
      </c>
      <c r="T124" s="15" t="inlineStr">
        <is>
          <t>Twenty-four years building concrete walls instead of wood ones, with its own crews. The only contractor screened whose whole business is a non-conventional wall.</t>
        </is>
      </c>
      <c r="U124" s="12" t="inlineStr">
        <is>
          <t>YES</t>
        </is>
      </c>
      <c r="V124" s="15" t="inlineStr">
        <is>
          <t>The firm's own about page: owned and operated by Matt Zetlmeisl since 2002.</t>
        </is>
      </c>
      <c r="W124" s="12" t="inlineStr">
        <is>
          <t>https://icfconstructors.com/about/</t>
        </is>
      </c>
      <c r="X124" s="12" t="inlineStr"/>
      <c r="Y124" s="12" t="inlineStr"/>
      <c r="Z124" s="12" t="inlineStr"/>
      <c r="AA124" s="12" t="inlineStr">
        <is>
          <t>(832) 264-6282</t>
        </is>
      </c>
      <c r="AB124" s="12" t="inlineStr">
        <is>
          <t>office</t>
        </is>
      </c>
      <c r="AC124" s="12" t="inlineStr">
        <is>
          <t>https://icfconstructors.com/</t>
        </is>
      </c>
    </row>
    <row r="125">
      <c r="A125" s="6" t="inlineStr">
        <is>
          <t>Eleazar Botello</t>
        </is>
      </c>
      <c r="B125" s="6" t="inlineStr">
        <is>
          <t>Botello Builders</t>
        </is>
      </c>
      <c r="C125" s="6" t="inlineStr">
        <is>
          <t>Founder</t>
        </is>
      </c>
      <c r="D125" s="7" t="inlineStr">
        <is>
          <t>Builds the wall, not the house</t>
        </is>
      </c>
      <c r="E125" s="8" t="n">
        <v>2</v>
      </c>
      <c r="F125" s="6" t="inlineStr">
        <is>
          <t>Builds the wall</t>
        </is>
      </c>
      <c r="G125" s="6" t="inlineStr">
        <is>
          <t>Houston, working Harris, Fort Bend, Brazoria and Montgomery</t>
        </is>
      </c>
      <c r="H125" s="6" t="inlineStr">
        <is>
          <t>150-plus employees, founded 2007 by three brothers</t>
        </is>
      </c>
      <c r="I125" s="8" t="inlineStr">
        <is>
          <t>Yes</t>
        </is>
      </c>
      <c r="J125" s="9" t="inlineStr">
        <is>
          <t>Tilt-up and foundation work repeating across four counties from one Houston yard.</t>
        </is>
      </c>
      <c r="K125" s="8" t="inlineStr">
        <is>
          <t>Yes</t>
        </is>
      </c>
      <c r="L125" s="9" t="inlineStr">
        <is>
          <t>150 office and field staff on the firm's own count. That is the only published size in this section, and at that size one or two printers cover a real share of a year's wall.</t>
        </is>
      </c>
      <c r="M125" s="8" t="inlineStr">
        <is>
          <t>No</t>
        </is>
      </c>
      <c r="N125" s="9" t="inlineStr">
        <is>
          <t>No method statement on record. Its published work is conventional tilt-up and foundations.</t>
        </is>
      </c>
      <c r="O125" s="8" t="inlineStr">
        <is>
          <t>Partly</t>
        </is>
      </c>
      <c r="P125" s="6" t="inlineStr">
        <is>
          <t>https://www.linkedin.com/in/eleazarbotello/</t>
        </is>
      </c>
      <c r="Q125" s="6" t="inlineStr"/>
      <c r="R125" s="11">
        <f>IF(P125="","ADD LINKEDIN","ok")</f>
        <v/>
      </c>
      <c r="S125" s="6" t="inlineStr">
        <is>
          <t>https://www.botellobuilders.com/</t>
        </is>
      </c>
      <c r="T125" s="9" t="inlineStr">
        <is>
          <t>A 150-person self-performing concrete sub, still owned by the three brothers who started it. One or two printers would cover a real share of the wall it puts up.</t>
        </is>
      </c>
      <c r="U125" s="6" t="inlineStr">
        <is>
          <t>YES</t>
        </is>
      </c>
      <c r="V125" s="9" t="inlineStr">
        <is>
          <t>Headline reads President at Botello Builders Corporation. Houston, Texas. The firm's own site calls him a founder and gives no title. The firm's own site: founded in early 2007 by Eleazar, Eden and Jose Botello, starting in residential work.</t>
        </is>
      </c>
      <c r="W125" s="6" t="inlineStr">
        <is>
          <t>https://www.botellobuilders.com/</t>
        </is>
      </c>
      <c r="X125" s="6" t="inlineStr"/>
      <c r="Y125" s="6" t="inlineStr">
        <is>
          <t>https://www.botellobuilders.com/</t>
        </is>
      </c>
      <c r="Z125" s="6" t="inlineStr"/>
      <c r="AA125" s="6" t="inlineStr">
        <is>
          <t>(281) 784-3070</t>
        </is>
      </c>
      <c r="AB125" s="6" t="inlineStr"/>
      <c r="AC125" s="6" t="inlineStr">
        <is>
          <t>https://www.botellobuilders.com/contact-us/</t>
        </is>
      </c>
    </row>
    <row r="126">
      <c r="A126" s="12" t="inlineStr">
        <is>
          <t>Eden Botello</t>
        </is>
      </c>
      <c r="B126" s="12" t="inlineStr">
        <is>
          <t>Botello Builders</t>
        </is>
      </c>
      <c r="C126" s="12" t="inlineStr">
        <is>
          <t>Founder</t>
        </is>
      </c>
      <c r="D126" s="13" t="inlineStr">
        <is>
          <t>Builds the wall, not the house</t>
        </is>
      </c>
      <c r="E126" s="14" t="n">
        <v>2</v>
      </c>
      <c r="F126" s="12" t="inlineStr">
        <is>
          <t>Builds the wall</t>
        </is>
      </c>
      <c r="G126" s="12" t="inlineStr">
        <is>
          <t>Houston, working Harris, Fort Bend, Brazoria and Montgomery</t>
        </is>
      </c>
      <c r="H126" s="12" t="inlineStr">
        <is>
          <t>150-plus employees, founded 2007 by three brothers</t>
        </is>
      </c>
      <c r="I126" s="14" t="inlineStr">
        <is>
          <t>Yes</t>
        </is>
      </c>
      <c r="J126" s="15" t="inlineStr">
        <is>
          <t>Tilt-up and foundation work repeating across four counties from one Houston yard.</t>
        </is>
      </c>
      <c r="K126" s="14" t="inlineStr">
        <is>
          <t>Yes</t>
        </is>
      </c>
      <c r="L126" s="15" t="inlineStr">
        <is>
          <t>150 office and field staff on the firm's own count. That is the only published size in this section, and at that size one or two printers cover a real share of a year's wall.</t>
        </is>
      </c>
      <c r="M126" s="14" t="inlineStr">
        <is>
          <t>No</t>
        </is>
      </c>
      <c r="N126" s="15" t="inlineStr">
        <is>
          <t>No method statement on record. Its published work is conventional tilt-up and foundations.</t>
        </is>
      </c>
      <c r="O126" s="14" t="inlineStr">
        <is>
          <t>Partly</t>
        </is>
      </c>
      <c r="P126" s="6" t="inlineStr">
        <is>
          <t>https://www.linkedin.com/in/eden-botello-28a5691b5/</t>
        </is>
      </c>
      <c r="Q126" s="12" t="inlineStr"/>
      <c r="R126" s="16">
        <f>IF(P126="","ADD LINKEDIN","ok")</f>
        <v/>
      </c>
      <c r="S126" s="12" t="inlineStr">
        <is>
          <t>https://www.botellobuilders.com/</t>
        </is>
      </c>
      <c r="T126" s="15" t="inlineStr">
        <is>
          <t>A 150-person self-performing concrete sub, still owned by the three brothers who started it. One or two printers would cover a real share of the wall it puts up.</t>
        </is>
      </c>
      <c r="U126" s="12" t="inlineStr">
        <is>
          <t>YES</t>
        </is>
      </c>
      <c r="V126" s="15" t="inlineStr">
        <is>
          <t>Headline reads Operations Manager at Botello Builders Corporation. Houston, Texas. The firm's own site: founded in early 2007 by Eleazar, Eden and Jose Botello, starting in residential work.</t>
        </is>
      </c>
      <c r="W126" s="12" t="inlineStr">
        <is>
          <t>https://www.botellobuilders.com/</t>
        </is>
      </c>
      <c r="X126" s="12" t="inlineStr"/>
      <c r="Y126" s="12" t="inlineStr">
        <is>
          <t>https://www.botellobuilders.com/</t>
        </is>
      </c>
      <c r="Z126" s="12" t="inlineStr"/>
      <c r="AA126" s="12" t="inlineStr">
        <is>
          <t>(281) 784-3070</t>
        </is>
      </c>
      <c r="AB126" s="12" t="inlineStr"/>
      <c r="AC126" s="12" t="inlineStr">
        <is>
          <t>https://www.botellobuilders.com/contact-us/</t>
        </is>
      </c>
    </row>
    <row r="127">
      <c r="A127" s="6" t="inlineStr">
        <is>
          <t>Jose Botello</t>
        </is>
      </c>
      <c r="B127" s="6" t="inlineStr">
        <is>
          <t>Botello Builders</t>
        </is>
      </c>
      <c r="C127" s="6" t="inlineStr">
        <is>
          <t>Founder</t>
        </is>
      </c>
      <c r="D127" s="7" t="inlineStr">
        <is>
          <t>Builds the wall, not the house</t>
        </is>
      </c>
      <c r="E127" s="8" t="n">
        <v>2</v>
      </c>
      <c r="F127" s="6" t="inlineStr">
        <is>
          <t>Builds the wall</t>
        </is>
      </c>
      <c r="G127" s="6" t="inlineStr">
        <is>
          <t>Houston, working Harris, Fort Bend, Brazoria and Montgomery</t>
        </is>
      </c>
      <c r="H127" s="6" t="inlineStr">
        <is>
          <t>150-plus employees, founded 2007 by three brothers</t>
        </is>
      </c>
      <c r="I127" s="8" t="inlineStr">
        <is>
          <t>Yes</t>
        </is>
      </c>
      <c r="J127" s="9" t="inlineStr">
        <is>
          <t>Tilt-up and foundation work repeating across four counties from one Houston yard.</t>
        </is>
      </c>
      <c r="K127" s="8" t="inlineStr">
        <is>
          <t>Yes</t>
        </is>
      </c>
      <c r="L127" s="9" t="inlineStr">
        <is>
          <t>150 office and field staff on the firm's own count. That is the only published size in this section, and at that size one or two printers cover a real share of a year's wall.</t>
        </is>
      </c>
      <c r="M127" s="8" t="inlineStr">
        <is>
          <t>No</t>
        </is>
      </c>
      <c r="N127" s="9" t="inlineStr">
        <is>
          <t>No method statement on record. Its published work is conventional tilt-up and foundations.</t>
        </is>
      </c>
      <c r="O127" s="8" t="inlineStr">
        <is>
          <t>Partly</t>
        </is>
      </c>
      <c r="P127" s="10" t="inlineStr"/>
      <c r="Q127" s="6" t="inlineStr"/>
      <c r="R127" s="11">
        <f>IF(P127="","ADD LINKEDIN","ok")</f>
        <v/>
      </c>
      <c r="S127" s="6" t="inlineStr">
        <is>
          <t>https://www.botellobuilders.com/</t>
        </is>
      </c>
      <c r="T127" s="9" t="inlineStr">
        <is>
          <t>A 150-person self-performing concrete sub, still owned by the three brothers who started it. One or two printers would cover a real share of the wall it puts up.</t>
        </is>
      </c>
      <c r="U127" s="6" t="inlineStr">
        <is>
          <t>YES</t>
        </is>
      </c>
      <c r="V127" s="9" t="inlineStr">
        <is>
          <t>The firm's own site: founded in early 2007 by Eleazar, Eden and Jose Botello, starting in residential work.</t>
        </is>
      </c>
      <c r="W127" s="6" t="inlineStr">
        <is>
          <t>https://www.botellobuilders.com/</t>
        </is>
      </c>
      <c r="X127" s="6" t="inlineStr"/>
      <c r="Y127" s="6" t="inlineStr">
        <is>
          <t>https://www.botellobuilders.com/</t>
        </is>
      </c>
      <c r="Z127" s="6" t="inlineStr"/>
      <c r="AA127" s="6" t="inlineStr">
        <is>
          <t>(281) 784-3070</t>
        </is>
      </c>
      <c r="AB127" s="6" t="inlineStr"/>
      <c r="AC127" s="6" t="inlineStr">
        <is>
          <t>https://www.botellobuilders.com/contact-us/</t>
        </is>
      </c>
    </row>
    <row r="128">
      <c r="A128" s="12" t="inlineStr">
        <is>
          <t>Nathan Frazier</t>
        </is>
      </c>
      <c r="B128" s="12" t="inlineStr">
        <is>
          <t>All About Concrete</t>
        </is>
      </c>
      <c r="C128" s="12" t="inlineStr">
        <is>
          <t>Founder and Chief Executive Officer</t>
        </is>
      </c>
      <c r="D128" s="13" t="inlineStr">
        <is>
          <t>Builds the wall, not the house</t>
        </is>
      </c>
      <c r="E128" s="14" t="n">
        <v>2</v>
      </c>
      <c r="F128" s="12" t="inlineStr">
        <is>
          <t>Builds the wall</t>
        </is>
      </c>
      <c r="G128" s="12" t="inlineStr">
        <is>
          <t>Tomball, Houston primary, also Dallas-Fort Worth, Austin and San Antonio</t>
        </is>
      </c>
      <c r="H128" s="12" t="inlineStr">
        <is>
          <t>Turn-key concrete for production builders</t>
        </is>
      </c>
      <c r="I128" s="14" t="inlineStr">
        <is>
          <t>Yes</t>
        </is>
      </c>
      <c r="J128" s="15" t="inlineStr">
        <is>
          <t>Turn-key concrete repeated for production builders across the same Houston submarkets.</t>
        </is>
      </c>
      <c r="K128" s="14" t="inlineStr">
        <is>
          <t>Yes</t>
        </is>
      </c>
      <c r="L128" s="15" t="inlineStr">
        <is>
          <t>A single-office contractor serving production builders is the scale where one or two machines would cover a real share of the work it takes on.</t>
        </is>
      </c>
      <c r="M128" s="14" t="inlineStr">
        <is>
          <t>No</t>
        </is>
      </c>
      <c r="N128" s="15" t="inlineStr">
        <is>
          <t>No record of paying for an unproven method, and no method content on the site at all.</t>
        </is>
      </c>
      <c r="O128" s="14" t="inlineStr">
        <is>
          <t>No</t>
        </is>
      </c>
      <c r="P128" s="6" t="inlineStr">
        <is>
          <t>https://www.linkedin.com/in/nathan-frazier-frazier-528106104</t>
        </is>
      </c>
      <c r="Q128" s="12" t="inlineStr"/>
      <c r="R128" s="16">
        <f>IF(P128="","ADD LINKEDIN","ok")</f>
        <v/>
      </c>
      <c r="S128" s="12" t="inlineStr">
        <is>
          <t>https://allaboutconcretellc.net/</t>
        </is>
      </c>
      <c r="T128" s="15" t="inlineStr">
        <is>
          <t>Turn-key concrete for residential production builders in Houston, in the firm's own words.</t>
        </is>
      </c>
      <c r="U128" s="12" t="inlineStr">
        <is>
          <t>YES</t>
        </is>
      </c>
      <c r="V128" s="15" t="inlineStr">
        <is>
          <t>High Street Capital's announcement of its investment, August 2026, names him as founder and confirms him continuing as chief executive. The firm's own site has a Leadership heading that names nobody.</t>
        </is>
      </c>
      <c r="W128" s="12" t="inlineStr"/>
      <c r="X128" s="12" t="inlineStr"/>
      <c r="Y128" s="12" t="inlineStr"/>
      <c r="Z128" s="12" t="inlineStr"/>
      <c r="AA128" s="12" t="inlineStr">
        <is>
          <t>(281) 370-4470</t>
        </is>
      </c>
      <c r="AB128" s="12" t="inlineStr">
        <is>
          <t>Tomball</t>
        </is>
      </c>
      <c r="AC128" s="12" t="inlineStr">
        <is>
          <t>https://allaboutconcretellc.net/partner-with-us/</t>
        </is>
      </c>
    </row>
    <row r="129">
      <c r="A129" s="6" t="inlineStr">
        <is>
          <t>Don Edwards</t>
        </is>
      </c>
      <c r="B129" s="6" t="inlineStr">
        <is>
          <t>All About Concrete</t>
        </is>
      </c>
      <c r="C129" s="6" t="inlineStr">
        <is>
          <t>Chief Operating Officer</t>
        </is>
      </c>
      <c r="D129" s="7" t="inlineStr">
        <is>
          <t>Builds the wall, not the house</t>
        </is>
      </c>
      <c r="E129" s="8" t="n">
        <v>2</v>
      </c>
      <c r="F129" s="6" t="inlineStr">
        <is>
          <t>Builds the wall</t>
        </is>
      </c>
      <c r="G129" s="6" t="inlineStr">
        <is>
          <t>Tomball, Houston primary, also Dallas-Fort Worth, Austin and San Antonio</t>
        </is>
      </c>
      <c r="H129" s="6" t="inlineStr">
        <is>
          <t>Turn-key concrete for production builders</t>
        </is>
      </c>
      <c r="I129" s="8" t="inlineStr">
        <is>
          <t>Yes</t>
        </is>
      </c>
      <c r="J129" s="9" t="inlineStr">
        <is>
          <t>Turn-key concrete repeated for production builders across the same Houston submarkets.</t>
        </is>
      </c>
      <c r="K129" s="8" t="inlineStr">
        <is>
          <t>Yes</t>
        </is>
      </c>
      <c r="L129" s="9" t="inlineStr">
        <is>
          <t>A single-office contractor serving production builders is the scale where one or two machines would cover a real share of the work it takes on.</t>
        </is>
      </c>
      <c r="M129" s="8" t="inlineStr">
        <is>
          <t>No</t>
        </is>
      </c>
      <c r="N129" s="9" t="inlineStr">
        <is>
          <t>No record of paying for an unproven method, and no method content on the site at all.</t>
        </is>
      </c>
      <c r="O129" s="8" t="inlineStr">
        <is>
          <t>No</t>
        </is>
      </c>
      <c r="P129" s="10" t="inlineStr"/>
      <c r="Q129" s="6" t="inlineStr"/>
      <c r="R129" s="11">
        <f>IF(P129="","ADD LINKEDIN","ok")</f>
        <v/>
      </c>
      <c r="S129" s="6" t="inlineStr">
        <is>
          <t>https://allaboutconcretellc.net/</t>
        </is>
      </c>
      <c r="T129" s="9" t="inlineStr">
        <is>
          <t>Turn-key concrete for residential production builders in Houston, in the firm's own words.</t>
        </is>
      </c>
      <c r="U129" s="6" t="inlineStr"/>
      <c r="V129" s="9" t="inlineStr">
        <is>
          <t>Named in the same announcement as continuing chief operating officer.</t>
        </is>
      </c>
      <c r="W129" s="6" t="inlineStr">
        <is>
          <t>https://www.highstreetcapital.com/news/high-street-capital-invests-in-all-about-concrete/</t>
        </is>
      </c>
      <c r="X129" s="6" t="inlineStr"/>
      <c r="Y129" s="6" t="inlineStr"/>
      <c r="Z129" s="6" t="inlineStr"/>
      <c r="AA129" s="6" t="inlineStr">
        <is>
          <t>(281) 370-4470</t>
        </is>
      </c>
      <c r="AB129" s="6" t="inlineStr">
        <is>
          <t>Tomball</t>
        </is>
      </c>
      <c r="AC129" s="6" t="inlineStr">
        <is>
          <t>https://allaboutconcretellc.net/partner-with-us/</t>
        </is>
      </c>
    </row>
    <row r="130">
      <c r="A130" s="12" t="inlineStr">
        <is>
          <t>Robert V. Barnes III</t>
        </is>
      </c>
      <c r="B130" s="12" t="inlineStr">
        <is>
          <t>Dee Brown</t>
        </is>
      </c>
      <c r="C130" s="12" t="inlineStr">
        <is>
          <t>President and Chief Executive Officer</t>
        </is>
      </c>
      <c r="D130" s="13" t="inlineStr">
        <is>
          <t>Builds the wall, not the house</t>
        </is>
      </c>
      <c r="E130" s="14" t="n">
        <v>3</v>
      </c>
      <c r="F130" s="12" t="inlineStr">
        <is>
          <t>Builds the wall</t>
        </is>
      </c>
      <c r="G130" s="12" t="inlineStr">
        <is>
          <t>Tomball office, Richardson headquarters</t>
        </is>
      </c>
      <c r="H130" s="12" t="inlineStr">
        <is>
          <t>Publishes prefabricated masonry wall systems</t>
        </is>
      </c>
      <c r="I130" s="14" t="inlineStr">
        <is>
          <t>Yes</t>
        </is>
      </c>
      <c r="J130" s="15" t="inlineStr">
        <is>
          <t>Load-bearing and veneer masonry laid repeatedly across one region for seven decades.</t>
        </is>
      </c>
      <c r="K130" s="14" t="inlineStr">
        <is>
          <t>Partly</t>
        </is>
      </c>
      <c r="L130" s="15" t="inlineStr">
        <is>
          <t>A firm of this age and reach puts up more wall than one or two printers would cover, and the prefabricated line is one product among many.</t>
        </is>
      </c>
      <c r="M130" s="14" t="inlineStr">
        <is>
          <t>Partly</t>
        </is>
      </c>
      <c r="N130" s="15" t="inlineStr">
        <is>
          <t>It runs a 7,700 square foot fabrication facility producing prefabricated stone and masonry wall systems, which is capital spent to move wall production off the scaffold. It states an interest in prefabricated materials on its own site.</t>
        </is>
      </c>
      <c r="O130" s="14" t="inlineStr">
        <is>
          <t>Yes</t>
        </is>
      </c>
      <c r="P130" s="10" t="inlineStr"/>
      <c r="Q130" s="12" t="inlineStr"/>
      <c r="R130" s="16">
        <f>IF(P130="","ADD LINKEDIN","ok")</f>
        <v/>
      </c>
      <c r="S130" s="12" t="inlineStr">
        <is>
          <t>https://www.deebrowncompanies.com/</t>
        </is>
      </c>
      <c r="T130" s="15" t="inlineStr">
        <is>
          <t>The only masonry contractor screened that already sells a prefabricated wall system and says in its own words that it is looking for new ones.</t>
        </is>
      </c>
      <c r="U130" s="12" t="inlineStr">
        <is>
          <t>YES</t>
        </is>
      </c>
      <c r="V130" s="15" t="inlineStr">
        <is>
          <t>Named as president and chief executive in D CEO of 24 August 2023, which records that he took the seat in 2015 from his father. Also on the firm's own about page. No Houston division head is published, so the Tomball office has no separate signing authority.</t>
        </is>
      </c>
      <c r="W130" s="12" t="inlineStr">
        <is>
          <t>https://www.dmagazine.com/publications/d-ceo/2023/august/third-generation-family-run-company-dee-brown-inc-has-had-a-hand-in-some-of-north-texas-most-iconic-buildings/</t>
        </is>
      </c>
      <c r="X130" s="12" t="inlineStr"/>
      <c r="Y130" s="12" t="inlineStr"/>
      <c r="Z130" s="12" t="inlineStr"/>
      <c r="AA130" s="12" t="inlineStr">
        <is>
          <t>(281) 547-0030</t>
        </is>
      </c>
      <c r="AB130" s="12" t="inlineStr">
        <is>
          <t>Houston office</t>
        </is>
      </c>
      <c r="AC130" s="12" t="inlineStr">
        <is>
          <t>https://www.deebrowncompanies.com/contact</t>
        </is>
      </c>
    </row>
    <row r="131">
      <c r="A131" s="6" t="inlineStr">
        <is>
          <t>Tim Hughes</t>
        </is>
      </c>
      <c r="B131" s="6" t="inlineStr">
        <is>
          <t>Dee Brown</t>
        </is>
      </c>
      <c r="C131" s="6" t="inlineStr">
        <is>
          <t>Senior Vice President, Construction Management</t>
        </is>
      </c>
      <c r="D131" s="7" t="inlineStr">
        <is>
          <t>Builds the wall, not the house</t>
        </is>
      </c>
      <c r="E131" s="8" t="n">
        <v>3</v>
      </c>
      <c r="F131" s="6" t="inlineStr">
        <is>
          <t>Builds the wall</t>
        </is>
      </c>
      <c r="G131" s="6" t="inlineStr">
        <is>
          <t>Tomball office, Richardson headquarters</t>
        </is>
      </c>
      <c r="H131" s="6" t="inlineStr">
        <is>
          <t>Publishes prefabricated masonry wall systems</t>
        </is>
      </c>
      <c r="I131" s="8" t="inlineStr">
        <is>
          <t>Yes</t>
        </is>
      </c>
      <c r="J131" s="9" t="inlineStr">
        <is>
          <t>Load-bearing and veneer masonry laid repeatedly across one region for seven decades.</t>
        </is>
      </c>
      <c r="K131" s="8" t="inlineStr">
        <is>
          <t>Partly</t>
        </is>
      </c>
      <c r="L131" s="9" t="inlineStr">
        <is>
          <t>A firm of this age and reach puts up more wall than one or two printers would cover, and the prefabricated line is one product among many.</t>
        </is>
      </c>
      <c r="M131" s="8" t="inlineStr">
        <is>
          <t>Partly</t>
        </is>
      </c>
      <c r="N131" s="9" t="inlineStr">
        <is>
          <t>It runs a 7,700 square foot fabrication facility producing prefabricated stone and masonry wall systems, which is capital spent to move wall production off the scaffold. It states an interest in prefabricated materials on its own site.</t>
        </is>
      </c>
      <c r="O131" s="8" t="inlineStr">
        <is>
          <t>Yes</t>
        </is>
      </c>
      <c r="P131" s="10" t="inlineStr"/>
      <c r="Q131" s="6" t="inlineStr"/>
      <c r="R131" s="11">
        <f>IF(P131="","ADD LINKEDIN","ok")</f>
        <v/>
      </c>
      <c r="S131" s="6" t="inlineStr">
        <is>
          <t>https://www.deebrowncompanies.com/</t>
        </is>
      </c>
      <c r="T131" s="9" t="inlineStr">
        <is>
          <t>The only masonry contractor screened that already sells a prefabricated wall system and says in its own words that it is looking for new ones.</t>
        </is>
      </c>
      <c r="U131" s="6" t="inlineStr"/>
      <c r="V131" s="9" t="inlineStr"/>
      <c r="W131" s="6" t="inlineStr">
        <is>
          <t>https://www.deebrowncompanies.com/about</t>
        </is>
      </c>
      <c r="X131" s="6" t="inlineStr"/>
      <c r="Y131" s="6" t="inlineStr"/>
      <c r="Z131" s="6" t="inlineStr"/>
      <c r="AA131" s="6" t="inlineStr">
        <is>
          <t>(281) 547-0030</t>
        </is>
      </c>
      <c r="AB131" s="6" t="inlineStr">
        <is>
          <t>Houston office</t>
        </is>
      </c>
      <c r="AC131" s="6" t="inlineStr">
        <is>
          <t>https://www.deebrowncompanies.com/contact</t>
        </is>
      </c>
    </row>
    <row r="132">
      <c r="A132" s="12" t="inlineStr">
        <is>
          <t>David Barnes</t>
        </is>
      </c>
      <c r="B132" s="12" t="inlineStr">
        <is>
          <t>Dee Brown</t>
        </is>
      </c>
      <c r="C132" s="12" t="inlineStr">
        <is>
          <t>Senior Vice President, Operations</t>
        </is>
      </c>
      <c r="D132" s="13" t="inlineStr">
        <is>
          <t>Builds the wall, not the house</t>
        </is>
      </c>
      <c r="E132" s="14" t="n">
        <v>3</v>
      </c>
      <c r="F132" s="12" t="inlineStr">
        <is>
          <t>Builds the wall</t>
        </is>
      </c>
      <c r="G132" s="12" t="inlineStr">
        <is>
          <t>Tomball office, Richardson headquarters</t>
        </is>
      </c>
      <c r="H132" s="12" t="inlineStr">
        <is>
          <t>Publishes prefabricated masonry wall systems</t>
        </is>
      </c>
      <c r="I132" s="14" t="inlineStr">
        <is>
          <t>Yes</t>
        </is>
      </c>
      <c r="J132" s="15" t="inlineStr">
        <is>
          <t>Load-bearing and veneer masonry laid repeatedly across one region for seven decades.</t>
        </is>
      </c>
      <c r="K132" s="14" t="inlineStr">
        <is>
          <t>Partly</t>
        </is>
      </c>
      <c r="L132" s="15" t="inlineStr">
        <is>
          <t>A firm of this age and reach puts up more wall than one or two printers would cover, and the prefabricated line is one product among many.</t>
        </is>
      </c>
      <c r="M132" s="14" t="inlineStr">
        <is>
          <t>Partly</t>
        </is>
      </c>
      <c r="N132" s="15" t="inlineStr">
        <is>
          <t>It runs a 7,700 square foot fabrication facility producing prefabricated stone and masonry wall systems, which is capital spent to move wall production off the scaffold. It states an interest in prefabricated materials on its own site.</t>
        </is>
      </c>
      <c r="O132" s="14" t="inlineStr">
        <is>
          <t>Yes</t>
        </is>
      </c>
      <c r="P132" s="10" t="inlineStr"/>
      <c r="Q132" s="12" t="inlineStr"/>
      <c r="R132" s="16">
        <f>IF(P132="","ADD LINKEDIN","ok")</f>
        <v/>
      </c>
      <c r="S132" s="12" t="inlineStr">
        <is>
          <t>https://www.deebrowncompanies.com/</t>
        </is>
      </c>
      <c r="T132" s="15" t="inlineStr">
        <is>
          <t>The only masonry contractor screened that already sells a prefabricated wall system and says in its own words that it is looking for new ones.</t>
        </is>
      </c>
      <c r="U132" s="12" t="inlineStr"/>
      <c r="V132" s="15" t="inlineStr"/>
      <c r="W132" s="12" t="inlineStr">
        <is>
          <t>https://www.deebrowncompanies.com/about</t>
        </is>
      </c>
      <c r="X132" s="12" t="inlineStr"/>
      <c r="Y132" s="12" t="inlineStr"/>
      <c r="Z132" s="12" t="inlineStr"/>
      <c r="AA132" s="12" t="inlineStr">
        <is>
          <t>(281) 547-0030</t>
        </is>
      </c>
      <c r="AB132" s="12" t="inlineStr">
        <is>
          <t>Houston office</t>
        </is>
      </c>
      <c r="AC132" s="12" t="inlineStr">
        <is>
          <t>https://www.deebrowncompanies.com/contact</t>
        </is>
      </c>
    </row>
    <row r="133">
      <c r="A133" s="6" t="inlineStr">
        <is>
          <t>Scott Anderson</t>
        </is>
      </c>
      <c r="B133" s="6" t="inlineStr">
        <is>
          <t>Keystone Concrete Placement</t>
        </is>
      </c>
      <c r="C133" s="6" t="inlineStr">
        <is>
          <t>Vice President and General Manager, Keystone Structural Concrete</t>
        </is>
      </c>
      <c r="D133" s="7" t="inlineStr">
        <is>
          <t>Builds the wall, not the house</t>
        </is>
      </c>
      <c r="E133" s="8" t="n">
        <v>3</v>
      </c>
      <c r="F133" s="6" t="inlineStr">
        <is>
          <t>Builds the wall</t>
        </is>
      </c>
      <c r="G133" s="6" t="inlineStr">
        <is>
          <t>Houston, with Austin, San Antonio and College Station</t>
        </is>
      </c>
      <c r="H133" s="6" t="inlineStr">
        <is>
          <t>1,500 craftsmen, 975,000 cubic yards a year</t>
        </is>
      </c>
      <c r="I133" s="8" t="inlineStr">
        <is>
          <t>Yes</t>
        </is>
      </c>
      <c r="J133" s="9" t="inlineStr">
        <is>
          <t>Three standing placement divisions in one metro, so the same work recurs rather than arriving one project at a time.</t>
        </is>
      </c>
      <c r="K133" s="8" t="inlineStr">
        <is>
          <t>Partly</t>
        </is>
      </c>
      <c r="L133" s="9" t="inlineStr">
        <is>
          <t>1,500 craftsmen and 975,000 cubic yards a year on the firm's own count. One or two printers would be a line inside the business rather than the business.</t>
        </is>
      </c>
      <c r="M133" s="8" t="inlineStr">
        <is>
          <t>Partly</t>
        </is>
      </c>
      <c r="N133" s="9" t="inlineStr">
        <is>
          <t>It owns a fleet of placing booms and multiple complete hydraulic self-jacking formwork systems on its own account. Buying capital equipment to change how concrete gets placed is the habit this count is looking for, though formwork is not a new method.</t>
        </is>
      </c>
      <c r="O133" s="8" t="inlineStr">
        <is>
          <t>Yes</t>
        </is>
      </c>
      <c r="P133" s="6" t="inlineStr">
        <is>
          <t>https://www.linkedin.com/in/scott-anderson-266878141/</t>
        </is>
      </c>
      <c r="Q133" s="6" t="inlineStr"/>
      <c r="R133" s="11">
        <f>IF(P133="","ADD LINKEDIN","ok")</f>
        <v/>
      </c>
      <c r="S133" s="6" t="inlineStr">
        <is>
          <t>https://www.keystoneconcrete.com/</t>
        </is>
      </c>
      <c r="T133" s="9" t="inlineStr">
        <is>
          <t>The only concrete contractor screened that publishes a standing residential division. It already buys its own formwork systems and placing booms.</t>
        </is>
      </c>
      <c r="U133" s="6" t="inlineStr">
        <is>
          <t>YES</t>
        </is>
      </c>
      <c r="V133" s="9" t="inlineStr">
        <is>
          <t>Headline reads Vice President at Keystone Structural Concrete. Houston, Texas.</t>
        </is>
      </c>
      <c r="W133" s="6" t="inlineStr"/>
      <c r="X133" s="6" t="inlineStr"/>
      <c r="Y133" s="6" t="inlineStr"/>
      <c r="Z133" s="6" t="inlineStr"/>
      <c r="AA133" s="6" t="inlineStr">
        <is>
          <t>(713) 983-8002</t>
        </is>
      </c>
      <c r="AB133" s="6" t="inlineStr">
        <is>
          <t>Houston</t>
        </is>
      </c>
      <c r="AC133" s="6" t="inlineStr">
        <is>
          <t>https://www.keystoneconcrete.com/</t>
        </is>
      </c>
    </row>
    <row r="134">
      <c r="A134" s="12" t="inlineStr">
        <is>
          <t>Rodney Horn</t>
        </is>
      </c>
      <c r="B134" s="12" t="inlineStr">
        <is>
          <t>Keystone Concrete Placement</t>
        </is>
      </c>
      <c r="C134" s="12" t="inlineStr">
        <is>
          <t>Vice President, Keystone Concrete and Key-Scape</t>
        </is>
      </c>
      <c r="D134" s="13" t="inlineStr">
        <is>
          <t>Builds the wall, not the house</t>
        </is>
      </c>
      <c r="E134" s="14" t="n">
        <v>3</v>
      </c>
      <c r="F134" s="12" t="inlineStr">
        <is>
          <t>Builds the wall</t>
        </is>
      </c>
      <c r="G134" s="12" t="inlineStr">
        <is>
          <t>Houston, with Austin, San Antonio and College Station</t>
        </is>
      </c>
      <c r="H134" s="12" t="inlineStr">
        <is>
          <t>1,500 craftsmen, 975,000 cubic yards a year</t>
        </is>
      </c>
      <c r="I134" s="14" t="inlineStr">
        <is>
          <t>Yes</t>
        </is>
      </c>
      <c r="J134" s="15" t="inlineStr">
        <is>
          <t>Three standing placement divisions in one metro, so the same work recurs rather than arriving one project at a time.</t>
        </is>
      </c>
      <c r="K134" s="14" t="inlineStr">
        <is>
          <t>Partly</t>
        </is>
      </c>
      <c r="L134" s="15" t="inlineStr">
        <is>
          <t>1,500 craftsmen and 975,000 cubic yards a year on the firm's own count. One or two printers would be a line inside the business rather than the business.</t>
        </is>
      </c>
      <c r="M134" s="14" t="inlineStr">
        <is>
          <t>Partly</t>
        </is>
      </c>
      <c r="N134" s="15" t="inlineStr">
        <is>
          <t>It owns a fleet of placing booms and multiple complete hydraulic self-jacking formwork systems on its own account. Buying capital equipment to change how concrete gets placed is the habit this count is looking for, though formwork is not a new method.</t>
        </is>
      </c>
      <c r="O134" s="14" t="inlineStr">
        <is>
          <t>Yes</t>
        </is>
      </c>
      <c r="P134" s="6" t="inlineStr">
        <is>
          <t>https://www.linkedin.com/in/rodney-horn-963a8048/</t>
        </is>
      </c>
      <c r="Q134" s="12" t="inlineStr"/>
      <c r="R134" s="16">
        <f>IF(P134="","ADD LINKEDIN","ok")</f>
        <v/>
      </c>
      <c r="S134" s="12" t="inlineStr">
        <is>
          <t>https://www.keystoneconcrete.com/</t>
        </is>
      </c>
      <c r="T134" s="15" t="inlineStr">
        <is>
          <t>The only concrete contractor screened that publishes a standing residential division. It already buys its own formwork systems and placing booms.</t>
        </is>
      </c>
      <c r="U134" s="12" t="inlineStr">
        <is>
          <t>YES</t>
        </is>
      </c>
      <c r="V134" s="15" t="inlineStr">
        <is>
          <t>Headline reads Vice President at Keystone Concrete, LLC/Key-Scape Landscaping. Houston, Texas. Keyscape is the landscaping arm named on the firm's own site.</t>
        </is>
      </c>
      <c r="W134" s="12" t="inlineStr"/>
      <c r="X134" s="12" t="inlineStr"/>
      <c r="Y134" s="12" t="inlineStr"/>
      <c r="Z134" s="12" t="inlineStr"/>
      <c r="AA134" s="12" t="inlineStr">
        <is>
          <t>(713) 983-8002</t>
        </is>
      </c>
      <c r="AB134" s="12" t="inlineStr">
        <is>
          <t>Houston</t>
        </is>
      </c>
      <c r="AC134" s="12" t="inlineStr">
        <is>
          <t>https://www.keystoneconcrete.com/</t>
        </is>
      </c>
    </row>
    <row r="135">
      <c r="A135" s="6" t="inlineStr">
        <is>
          <t>Phil Nevlud</t>
        </is>
      </c>
      <c r="B135" s="6" t="inlineStr">
        <is>
          <t>MAREK</t>
        </is>
      </c>
      <c r="C135" s="6" t="inlineStr">
        <is>
          <t>Division President</t>
        </is>
      </c>
      <c r="D135" s="7" t="inlineStr">
        <is>
          <t>Builds the wall, not the house</t>
        </is>
      </c>
      <c r="E135" s="8" t="n">
        <v>3</v>
      </c>
      <c r="F135" s="6" t="inlineStr">
        <is>
          <t>Builds the wall</t>
        </is>
      </c>
      <c r="G135" s="6" t="inlineStr">
        <is>
          <t>Houston, Harris, with Austin, Dallas and Fort Worth</t>
        </is>
      </c>
      <c r="H135" s="6" t="inlineStr">
        <is>
          <t>Runs its own prefabrication plant, founded 1938</t>
        </is>
      </c>
      <c r="I135" s="8" t="inlineStr">
        <is>
          <t>Yes</t>
        </is>
      </c>
      <c r="J135" s="9" t="inlineStr">
        <is>
          <t>Interior wall and ceiling packages repeating across multifamily and single family work in one metro.</t>
        </is>
      </c>
      <c r="K135" s="8" t="inlineStr">
        <is>
          <t>Partly</t>
        </is>
      </c>
      <c r="L135" s="9" t="inlineStr">
        <is>
          <t>No employee count or annual unit figure is published. On the bands, a firm with no published figure is a Partly.</t>
        </is>
      </c>
      <c r="M135" s="8" t="inlineStr">
        <is>
          <t>Partly</t>
        </is>
      </c>
      <c r="N135" s="9" t="inlineStr">
        <is>
          <t>It built and staffed a prefabrication plant producing wall panels and interior components offsite, and publishes what that saved on a hospital project. That is paying to move wall work into a factory.</t>
        </is>
      </c>
      <c r="O135" s="8" t="inlineStr">
        <is>
          <t>Yes</t>
        </is>
      </c>
      <c r="P135" s="6" t="inlineStr">
        <is>
          <t>https://www.linkedin.com/in/phil-nevlud-843a391a/</t>
        </is>
      </c>
      <c r="Q135" s="6" t="inlineStr"/>
      <c r="R135" s="11">
        <f>IF(P135="","ADD LINKEDIN","ok")</f>
        <v/>
      </c>
      <c r="S135" s="6" t="inlineStr">
        <is>
          <t>https://www.marekbros.com/houston/</t>
        </is>
      </c>
      <c r="T135" s="9" t="inlineStr">
        <is>
          <t>It already owns a prefabrication plant and runs separate multifamily and single family divisions, with a named leader on each. The walls it builds are interior, not structural.</t>
        </is>
      </c>
      <c r="U135" s="6" t="inlineStr">
        <is>
          <t>YES</t>
        </is>
      </c>
      <c r="V135" s="9" t="inlineStr">
        <is>
          <t>Headline reads Division President - Houston and does not name the firm. A search for his name with MAREK returns him and nobody else, and MAREK's own site names him Division President.</t>
        </is>
      </c>
      <c r="W135" s="6" t="inlineStr"/>
      <c r="X135" s="6" t="inlineStr"/>
      <c r="Y135" s="6" t="inlineStr"/>
      <c r="Z135" s="6" t="inlineStr"/>
      <c r="AA135" s="6" t="inlineStr">
        <is>
          <t>(713) 681-2626</t>
        </is>
      </c>
      <c r="AB135" s="6" t="inlineStr">
        <is>
          <t>commercial, Judiway Street</t>
        </is>
      </c>
      <c r="AC135" s="6" t="inlineStr">
        <is>
          <t>https://www.marekbros.com/houston/</t>
        </is>
      </c>
    </row>
    <row r="136">
      <c r="A136" s="12" t="inlineStr">
        <is>
          <t>Ronald Marek</t>
        </is>
      </c>
      <c r="B136" s="12" t="inlineStr">
        <is>
          <t>MAREK</t>
        </is>
      </c>
      <c r="C136" s="12" t="inlineStr">
        <is>
          <t>Multifamily Director</t>
        </is>
      </c>
      <c r="D136" s="13" t="inlineStr">
        <is>
          <t>Builds the wall, not the house</t>
        </is>
      </c>
      <c r="E136" s="14" t="n">
        <v>3</v>
      </c>
      <c r="F136" s="12" t="inlineStr">
        <is>
          <t>Builds the wall</t>
        </is>
      </c>
      <c r="G136" s="12" t="inlineStr">
        <is>
          <t>Houston, Harris, with Austin, Dallas and Fort Worth</t>
        </is>
      </c>
      <c r="H136" s="12" t="inlineStr">
        <is>
          <t>Runs its own prefabrication plant, founded 1938</t>
        </is>
      </c>
      <c r="I136" s="14" t="inlineStr">
        <is>
          <t>Yes</t>
        </is>
      </c>
      <c r="J136" s="15" t="inlineStr">
        <is>
          <t>Interior wall and ceiling packages repeating across multifamily and single family work in one metro.</t>
        </is>
      </c>
      <c r="K136" s="14" t="inlineStr">
        <is>
          <t>Partly</t>
        </is>
      </c>
      <c r="L136" s="15" t="inlineStr">
        <is>
          <t>No employee count or annual unit figure is published. On the bands, a firm with no published figure is a Partly.</t>
        </is>
      </c>
      <c r="M136" s="14" t="inlineStr">
        <is>
          <t>Partly</t>
        </is>
      </c>
      <c r="N136" s="15" t="inlineStr">
        <is>
          <t>It built and staffed a prefabrication plant producing wall panels and interior components offsite, and publishes what that saved on a hospital project. That is paying to move wall work into a factory.</t>
        </is>
      </c>
      <c r="O136" s="14" t="inlineStr">
        <is>
          <t>Yes</t>
        </is>
      </c>
      <c r="P136" s="10" t="inlineStr"/>
      <c r="Q136" s="12">
        <f>HYPERLINK("https://www.linkedin.com/search/results/people/?keywords=Ronald%20Marek%20MAREK","search")</f>
        <v/>
      </c>
      <c r="R136" s="16">
        <f>IF(P136="","ADD LINKEDIN","ok")</f>
        <v/>
      </c>
      <c r="S136" s="12" t="inlineStr">
        <is>
          <t>https://www.marekbros.com/houston/</t>
        </is>
      </c>
      <c r="T136" s="15" t="inlineStr">
        <is>
          <t>It already owns a prefabrication plant and runs separate multifamily and single family divisions, with a named leader on each. The walls it builds are interior, not structural.</t>
        </is>
      </c>
      <c r="U136" s="12" t="inlineStr">
        <is>
          <t>YES</t>
        </is>
      </c>
      <c r="V136" s="15" t="inlineStr"/>
      <c r="W136" s="12" t="inlineStr"/>
      <c r="X136" s="12" t="inlineStr"/>
      <c r="Y136" s="12" t="inlineStr"/>
      <c r="Z136" s="12" t="inlineStr"/>
      <c r="AA136" s="12" t="inlineStr">
        <is>
          <t>(713) 681-2626</t>
        </is>
      </c>
      <c r="AB136" s="12" t="inlineStr">
        <is>
          <t>commercial, Judiway Street</t>
        </is>
      </c>
      <c r="AC136" s="12" t="inlineStr">
        <is>
          <t>https://www.marekbros.com/houston/</t>
        </is>
      </c>
    </row>
    <row r="137">
      <c r="A137" s="6" t="inlineStr">
        <is>
          <t>Chris Trojanowsky</t>
        </is>
      </c>
      <c r="B137" s="6" t="inlineStr">
        <is>
          <t>MAREK</t>
        </is>
      </c>
      <c r="C137" s="6" t="inlineStr">
        <is>
          <t>Single Family Division Manager</t>
        </is>
      </c>
      <c r="D137" s="7" t="inlineStr">
        <is>
          <t>Builds the wall, not the house</t>
        </is>
      </c>
      <c r="E137" s="8" t="n">
        <v>3</v>
      </c>
      <c r="F137" s="6" t="inlineStr">
        <is>
          <t>Builds the wall</t>
        </is>
      </c>
      <c r="G137" s="6" t="inlineStr">
        <is>
          <t>Houston, Harris, with Austin, Dallas and Fort Worth</t>
        </is>
      </c>
      <c r="H137" s="6" t="inlineStr">
        <is>
          <t>Runs its own prefabrication plant, founded 1938</t>
        </is>
      </c>
      <c r="I137" s="8" t="inlineStr">
        <is>
          <t>Yes</t>
        </is>
      </c>
      <c r="J137" s="9" t="inlineStr">
        <is>
          <t>Interior wall and ceiling packages repeating across multifamily and single family work in one metro.</t>
        </is>
      </c>
      <c r="K137" s="8" t="inlineStr">
        <is>
          <t>Partly</t>
        </is>
      </c>
      <c r="L137" s="9" t="inlineStr">
        <is>
          <t>No employee count or annual unit figure is published. On the bands, a firm with no published figure is a Partly.</t>
        </is>
      </c>
      <c r="M137" s="8" t="inlineStr">
        <is>
          <t>Partly</t>
        </is>
      </c>
      <c r="N137" s="9" t="inlineStr">
        <is>
          <t>It built and staffed a prefabrication plant producing wall panels and interior components offsite, and publishes what that saved on a hospital project. That is paying to move wall work into a factory.</t>
        </is>
      </c>
      <c r="O137" s="8" t="inlineStr">
        <is>
          <t>Yes</t>
        </is>
      </c>
      <c r="P137" s="10" t="inlineStr"/>
      <c r="Q137" s="6">
        <f>HYPERLINK("https://www.linkedin.com/search/results/people/?keywords=Chris%20Trojanowsky%20MAREK","search")</f>
        <v/>
      </c>
      <c r="R137" s="11">
        <f>IF(P137="","ADD LINKEDIN","ok")</f>
        <v/>
      </c>
      <c r="S137" s="6" t="inlineStr">
        <is>
          <t>https://www.marekbros.com/houston/</t>
        </is>
      </c>
      <c r="T137" s="9" t="inlineStr">
        <is>
          <t>It already owns a prefabrication plant and runs separate multifamily and single family divisions, with a named leader on each. The walls it builds are interior, not structural.</t>
        </is>
      </c>
      <c r="U137" s="6" t="inlineStr">
        <is>
          <t>YES</t>
        </is>
      </c>
      <c r="V137" s="9" t="inlineStr"/>
      <c r="W137" s="6" t="inlineStr"/>
      <c r="X137" s="6" t="inlineStr"/>
      <c r="Y137" s="6" t="inlineStr"/>
      <c r="Z137" s="6" t="inlineStr"/>
      <c r="AA137" s="6" t="inlineStr">
        <is>
          <t>(713) 681-2626</t>
        </is>
      </c>
      <c r="AB137" s="6" t="inlineStr">
        <is>
          <t>commercial, Judiway Street</t>
        </is>
      </c>
      <c r="AC137" s="6" t="inlineStr">
        <is>
          <t>https://www.marekbros.com/houston/</t>
        </is>
      </c>
    </row>
    <row r="138">
      <c r="A138" s="12" t="inlineStr">
        <is>
          <t>Jorge Rodriguez</t>
        </is>
      </c>
      <c r="B138" s="12" t="inlineStr">
        <is>
          <t>MAREK</t>
        </is>
      </c>
      <c r="C138" s="12" t="inlineStr">
        <is>
          <t>Managing Director, Field Operations</t>
        </is>
      </c>
      <c r="D138" s="13" t="inlineStr">
        <is>
          <t>Builds the wall, not the house</t>
        </is>
      </c>
      <c r="E138" s="14" t="n">
        <v>3</v>
      </c>
      <c r="F138" s="12" t="inlineStr">
        <is>
          <t>Builds the wall</t>
        </is>
      </c>
      <c r="G138" s="12" t="inlineStr">
        <is>
          <t>Houston, Harris, with Austin, Dallas and Fort Worth</t>
        </is>
      </c>
      <c r="H138" s="12" t="inlineStr">
        <is>
          <t>Runs its own prefabrication plant, founded 1938</t>
        </is>
      </c>
      <c r="I138" s="14" t="inlineStr">
        <is>
          <t>Yes</t>
        </is>
      </c>
      <c r="J138" s="15" t="inlineStr">
        <is>
          <t>Interior wall and ceiling packages repeating across multifamily and single family work in one metro.</t>
        </is>
      </c>
      <c r="K138" s="14" t="inlineStr">
        <is>
          <t>Partly</t>
        </is>
      </c>
      <c r="L138" s="15" t="inlineStr">
        <is>
          <t>No employee count or annual unit figure is published. On the bands, a firm with no published figure is a Partly.</t>
        </is>
      </c>
      <c r="M138" s="14" t="inlineStr">
        <is>
          <t>Partly</t>
        </is>
      </c>
      <c r="N138" s="15" t="inlineStr">
        <is>
          <t>It built and staffed a prefabrication plant producing wall panels and interior components offsite, and publishes what that saved on a hospital project. That is paying to move wall work into a factory.</t>
        </is>
      </c>
      <c r="O138" s="14" t="inlineStr">
        <is>
          <t>Yes</t>
        </is>
      </c>
      <c r="P138" s="10" t="inlineStr"/>
      <c r="Q138" s="12">
        <f>HYPERLINK("https://www.linkedin.com/search/results/people/?keywords=Jorge%20Rodriguez%20MAREK","search")</f>
        <v/>
      </c>
      <c r="R138" s="16">
        <f>IF(P138="","ADD LINKEDIN","ok")</f>
        <v/>
      </c>
      <c r="S138" s="12" t="inlineStr">
        <is>
          <t>https://www.marekbros.com/houston/</t>
        </is>
      </c>
      <c r="T138" s="15" t="inlineStr">
        <is>
          <t>It already owns a prefabrication plant and runs separate multifamily and single family divisions, with a named leader on each. The walls it builds are interior, not structural.</t>
        </is>
      </c>
      <c r="U138" s="12" t="inlineStr"/>
      <c r="V138" s="15" t="inlineStr"/>
      <c r="W138" s="12" t="inlineStr"/>
      <c r="X138" s="12" t="inlineStr"/>
      <c r="Y138" s="12" t="inlineStr"/>
      <c r="Z138" s="12" t="inlineStr"/>
      <c r="AA138" s="12" t="inlineStr">
        <is>
          <t>(713) 681-2626</t>
        </is>
      </c>
      <c r="AB138" s="12" t="inlineStr">
        <is>
          <t>commercial, Judiway Street</t>
        </is>
      </c>
      <c r="AC138" s="12" t="inlineStr">
        <is>
          <t>https://www.marekbros.com/houston/</t>
        </is>
      </c>
    </row>
    <row r="139">
      <c r="A139" s="6" t="inlineStr">
        <is>
          <t>no contact identified</t>
        </is>
      </c>
      <c r="B139" s="6" t="inlineStr">
        <is>
          <t>Omega Industries</t>
        </is>
      </c>
      <c r="C139" s="6" t="inlineStr"/>
      <c r="D139" s="7" t="inlineStr">
        <is>
          <t>Builds the wall, not the house</t>
        </is>
      </c>
      <c r="E139" s="8" t="n">
        <v>3</v>
      </c>
      <c r="F139" s="6" t="inlineStr">
        <is>
          <t>Builds the wall</t>
        </is>
      </c>
      <c r="G139" s="6" t="inlineStr">
        <is>
          <t>Houston, within a footprint including Dallas, Austin, San Antonio and Los Angeles</t>
        </is>
      </c>
      <c r="H139" s="6" t="inlineStr">
        <is>
          <t>$30 million bonding capacity, 1,200-plus projects</t>
        </is>
      </c>
      <c r="I139" s="8" t="inlineStr">
        <is>
          <t>Yes</t>
        </is>
      </c>
      <c r="J139" s="9" t="inlineStr">
        <is>
          <t>Shotcrete and gunite placed repeatedly across a multi-city footprint including Houston.</t>
        </is>
      </c>
      <c r="K139" s="8" t="inlineStr">
        <is>
          <t>Partly</t>
        </is>
      </c>
      <c r="L139" s="9" t="inlineStr">
        <is>
          <t>A contractor bonded at 30 million dollars across four cities places more material than one or two printers would cover.</t>
        </is>
      </c>
      <c r="M139" s="8" t="inlineStr">
        <is>
          <t>Partly</t>
        </is>
      </c>
      <c r="N139" s="9" t="inlineStr">
        <is>
          <t>It runs four distinct placement methods including fibre-reinforced shotcrete, each requiring different equipment and crew training. Carrying four methods rather than one is capital committed to how material gets placed.</t>
        </is>
      </c>
      <c r="O139" s="8" t="inlineStr">
        <is>
          <t>Yes</t>
        </is>
      </c>
      <c r="P139" s="10" t="inlineStr"/>
      <c r="Q139" s="6" t="inlineStr"/>
      <c r="R139" s="11">
        <f>IF(P139="","ADD LINKEDIN","ok")</f>
        <v/>
      </c>
      <c r="S139" s="6" t="inlineStr">
        <is>
          <t>https://omegaindinc.com/houston/service/gunite-shotcrete/</t>
        </is>
      </c>
      <c r="T139" s="9" t="inlineStr">
        <is>
          <t>The only firm on this deck that both shoots concrete through a nozzle to a profile and carries an audited balance sheet large enough to buy equipment.</t>
        </is>
      </c>
      <c r="U139" s="6" t="inlineStr"/>
      <c r="V139" s="9" t="inlineStr"/>
      <c r="W139" s="6" t="inlineStr"/>
      <c r="X139" s="6" t="inlineStr"/>
      <c r="Y139" s="6" t="inlineStr"/>
      <c r="Z139" s="6" t="inlineStr"/>
      <c r="AA139" s="6" t="inlineStr">
        <is>
          <t>(972) 532-3340</t>
        </is>
      </c>
      <c r="AB139" s="6" t="inlineStr">
        <is>
          <t>Dallas, the only number published</t>
        </is>
      </c>
      <c r="AC139" s="6" t="inlineStr">
        <is>
          <t>https://omegaindinc.com/houston/contact-us/</t>
        </is>
      </c>
    </row>
    <row r="140">
      <c r="A140" s="12" t="inlineStr">
        <is>
          <t>Greg Elliott</t>
        </is>
      </c>
      <c r="B140" s="12" t="inlineStr">
        <is>
          <t>Tindall Corporation, Texas division</t>
        </is>
      </c>
      <c r="C140" s="12" t="inlineStr">
        <is>
          <t>Vice President, and the outgoing Texas general manager</t>
        </is>
      </c>
      <c r="D140" s="13" t="inlineStr">
        <is>
          <t>Builds the wall, not the house</t>
        </is>
      </c>
      <c r="E140" s="14" t="n">
        <v>3</v>
      </c>
      <c r="F140" s="12" t="inlineStr">
        <is>
          <t>Builds the wall</t>
        </is>
      </c>
      <c r="G140" s="12" t="inlineStr">
        <is>
          <t>San Antonio</t>
        </is>
      </c>
      <c r="H140" s="12" t="inlineStr">
        <is>
          <t>40-acre plant, 190-plus employees</t>
        </is>
      </c>
      <c r="I140" s="14" t="inlineStr">
        <is>
          <t>Yes</t>
        </is>
      </c>
      <c r="J140" s="15" t="inlineStr">
        <is>
          <t>Structural elements and modular cells cast repeatedly from one plant for one region.</t>
        </is>
      </c>
      <c r="K140" s="14" t="inlineStr">
        <is>
          <t>Partly</t>
        </is>
      </c>
      <c r="L140" s="15" t="inlineStr">
        <is>
          <t>Forty acres and 190 people is more capacity than one or two printers would cover, and the plant's product is commercial and data centre rather than house wall.</t>
        </is>
      </c>
      <c r="M140" s="14" t="inlineStr">
        <is>
          <t>Partly</t>
        </is>
      </c>
      <c r="N140"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0" s="14" t="inlineStr">
        <is>
          <t>Yes</t>
        </is>
      </c>
      <c r="P140" s="6" t="inlineStr">
        <is>
          <t>https://www.linkedin.com/in/greg-elliott-824a1458/</t>
        </is>
      </c>
      <c r="Q140" s="12" t="inlineStr"/>
      <c r="R140" s="16">
        <f>IF(P140="","ADD LINKEDIN","ok")</f>
        <v/>
      </c>
      <c r="S140" s="12" t="inlineStr">
        <is>
          <t>https://tindallcorp.com/</t>
        </is>
      </c>
      <c r="T140" s="15" t="inlineStr">
        <is>
          <t>A precast producer running a volumetric modular line, with a general manager on record wanting to widen what the plant makes.</t>
        </is>
      </c>
      <c r="U140" s="12" t="inlineStr"/>
      <c r="V140" s="15" t="inlineStr">
        <is>
          <t>The same release identifies him as vice president and the outgoing general manager. His own profile headline still carries the general manager title, so a reader searching him will find the old seat.</t>
        </is>
      </c>
      <c r="W140" s="12" t="inlineStr"/>
      <c r="X140" s="12" t="inlineStr"/>
      <c r="Y140" s="12" t="inlineStr"/>
      <c r="Z140" s="12" t="inlineStr"/>
      <c r="AA140" s="12" t="inlineStr">
        <is>
          <t>(800) 280-1215</t>
        </is>
      </c>
      <c r="AB140" s="12" t="inlineStr">
        <is>
          <t>Texas division main</t>
        </is>
      </c>
      <c r="AC140" s="12" t="inlineStr">
        <is>
          <t>https://tindallcorp.com/contact/</t>
        </is>
      </c>
    </row>
    <row r="141">
      <c r="A141" s="6" t="inlineStr">
        <is>
          <t>Cecil Casinger</t>
        </is>
      </c>
      <c r="B141" s="6" t="inlineStr">
        <is>
          <t>Tindall Corporation, Texas division</t>
        </is>
      </c>
      <c r="C141" s="6" t="inlineStr">
        <is>
          <t>General Manager, Tindall Building Systems Texas</t>
        </is>
      </c>
      <c r="D141" s="7" t="inlineStr">
        <is>
          <t>Builds the wall, not the house</t>
        </is>
      </c>
      <c r="E141" s="8" t="n">
        <v>3</v>
      </c>
      <c r="F141" s="6" t="inlineStr">
        <is>
          <t>Builds the wall</t>
        </is>
      </c>
      <c r="G141" s="6" t="inlineStr">
        <is>
          <t>San Antonio</t>
        </is>
      </c>
      <c r="H141" s="6" t="inlineStr">
        <is>
          <t>40-acre plant, 190-plus employees</t>
        </is>
      </c>
      <c r="I141" s="8" t="inlineStr">
        <is>
          <t>Yes</t>
        </is>
      </c>
      <c r="J141" s="9" t="inlineStr">
        <is>
          <t>Structural elements and modular cells cast repeatedly from one plant for one region.</t>
        </is>
      </c>
      <c r="K141" s="8" t="inlineStr">
        <is>
          <t>Partly</t>
        </is>
      </c>
      <c r="L141" s="9" t="inlineStr">
        <is>
          <t>Forty acres and 190 people is more capacity than one or two printers would cover, and the plant's product is commercial and data centre rather than house wall.</t>
        </is>
      </c>
      <c r="M141" s="8" t="inlineStr">
        <is>
          <t>Partly</t>
        </is>
      </c>
      <c r="N141" s="9"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41" s="8" t="inlineStr">
        <is>
          <t>Yes</t>
        </is>
      </c>
      <c r="P141" s="10" t="inlineStr"/>
      <c r="Q141" s="6" t="inlineStr"/>
      <c r="R141" s="11">
        <f>IF(P141="","ADD LINKEDIN","ok")</f>
        <v/>
      </c>
      <c r="S141" s="6" t="inlineStr">
        <is>
          <t>https://tindallcorp.com/</t>
        </is>
      </c>
      <c r="T141" s="9" t="inlineStr">
        <is>
          <t>A precast producer running a volumetric modular line, with a general manager on record wanting to widen what the plant makes.</t>
        </is>
      </c>
      <c r="U141" s="6" t="inlineStr">
        <is>
          <t>YES</t>
        </is>
      </c>
      <c r="V141" s="9" t="inlineStr">
        <is>
          <t>The firm's own release of 5 August 2025 welcoming him as general manager of the Texas division, with eighteen years in precast.</t>
        </is>
      </c>
      <c r="W141" s="6" t="inlineStr">
        <is>
          <t>https://tindallcorp.com/tindall-corporation-welcomes-new-general-manager/</t>
        </is>
      </c>
      <c r="X141" s="6" t="inlineStr"/>
      <c r="Y141" s="6" t="inlineStr"/>
      <c r="Z141" s="6" t="inlineStr"/>
      <c r="AA141" s="6" t="inlineStr">
        <is>
          <t>(800) 280-1215</t>
        </is>
      </c>
      <c r="AB141" s="6" t="inlineStr">
        <is>
          <t>Texas division main</t>
        </is>
      </c>
      <c r="AC141" s="6" t="inlineStr">
        <is>
          <t>https://tindallcorp.com/contact/</t>
        </is>
      </c>
    </row>
    <row r="142">
      <c r="A142" s="12" t="inlineStr">
        <is>
          <t>Hachem Domloj</t>
        </is>
      </c>
      <c r="B142" s="12" t="inlineStr">
        <is>
          <t>CIVE</t>
        </is>
      </c>
      <c r="C142" s="12" t="inlineStr">
        <is>
          <t>Founder and Chief Executive Officer</t>
        </is>
      </c>
      <c r="D142" s="13" t="inlineStr">
        <is>
          <t>Builds the wall, not the house</t>
        </is>
      </c>
      <c r="E142" s="14" t="n">
        <v>3</v>
      </c>
      <c r="F142" s="12" t="inlineStr">
        <is>
          <t>Buys walls</t>
        </is>
      </c>
      <c r="G142" s="12" t="inlineStr">
        <is>
          <t>Houston, Harris</t>
        </is>
      </c>
      <c r="H142" s="12" t="inlineStr">
        <is>
          <t>Engineer and design-build partner on the printed house in Spring Branch</t>
        </is>
      </c>
      <c r="I142" s="14" t="inlineStr">
        <is>
          <t>Partly</t>
        </is>
      </c>
      <c r="J142" s="15" t="inlineStr">
        <is>
          <t>Design-build projects, each one different.</t>
        </is>
      </c>
      <c r="K142" s="14" t="inlineStr">
        <is>
          <t>Partly</t>
        </is>
      </c>
      <c r="L142" s="15" t="inlineStr">
        <is>
          <t>No headcount, revenue or annual project figure is published. On the bands, a firm with no published figure is a Partly.</t>
        </is>
      </c>
      <c r="M142" s="14" t="inlineStr">
        <is>
          <t>Yes</t>
        </is>
      </c>
      <c r="N142" s="15" t="inlineStr">
        <is>
          <t>It engineered and delivered a printed house in Houston in collaboration with a printing contractor, and publishes the project on its own site.</t>
        </is>
      </c>
      <c r="O142" s="14" t="inlineStr">
        <is>
          <t>Partly</t>
        </is>
      </c>
      <c r="P142" s="6" t="inlineStr">
        <is>
          <t>https://www.linkedin.com/in/hachem-domloj/</t>
        </is>
      </c>
      <c r="Q142" s="12" t="inlineStr"/>
      <c r="R142" s="16">
        <f>IF(P142="","ADD LINKEDIN","ok")</f>
        <v/>
      </c>
      <c r="S142" s="12" t="inlineStr">
        <is>
          <t>https://cive.com/</t>
        </is>
      </c>
      <c r="T142" s="15" t="inlineStr">
        <is>
          <t>A Houston design-build firm that has already engineered and delivered a printed building. The technical staff to run a machine is already inside it.</t>
        </is>
      </c>
      <c r="U142" s="12" t="inlineStr">
        <is>
          <t>YES</t>
        </is>
      </c>
      <c r="V142" s="15" t="inlineStr">
        <is>
          <t>Headline reads Founder &amp; CEO at CIVE, Inc. Houston, Texas.</t>
        </is>
      </c>
      <c r="W142" s="12" t="inlineStr"/>
      <c r="X142" s="12" t="inlineStr"/>
      <c r="Y142" s="12" t="inlineStr"/>
      <c r="Z142" s="12" t="inlineStr">
        <is>
          <t>2025-03 Construction In Focus. CIVE, Construction and Design at their Finest  https://constructioninfocus.com/2025/03/cive-construction-and-design-at-their-finest/</t>
        </is>
      </c>
      <c r="AA142" s="12" t="inlineStr">
        <is>
          <t>(281) 870-8727</t>
        </is>
      </c>
      <c r="AB142" s="12" t="inlineStr"/>
      <c r="AC142" s="12" t="inlineStr">
        <is>
          <t>https://cive.com/</t>
        </is>
      </c>
    </row>
    <row r="143">
      <c r="A143" s="6" t="inlineStr">
        <is>
          <t>Hikmat Zerbe</t>
        </is>
      </c>
      <c r="B143" s="6" t="inlineStr">
        <is>
          <t>CIVE</t>
        </is>
      </c>
      <c r="C143" s="6" t="inlineStr">
        <is>
          <t>Head of Structural Engineering</t>
        </is>
      </c>
      <c r="D143" s="7" t="inlineStr">
        <is>
          <t>Builds the wall, not the house</t>
        </is>
      </c>
      <c r="E143" s="8" t="n">
        <v>3</v>
      </c>
      <c r="F143" s="6" t="inlineStr">
        <is>
          <t>Buys walls</t>
        </is>
      </c>
      <c r="G143" s="6" t="inlineStr">
        <is>
          <t>Houston, Harris</t>
        </is>
      </c>
      <c r="H143" s="6" t="inlineStr">
        <is>
          <t>Engineer and design-build partner on the printed house in Spring Branch</t>
        </is>
      </c>
      <c r="I143" s="8" t="inlineStr">
        <is>
          <t>Partly</t>
        </is>
      </c>
      <c r="J143" s="9" t="inlineStr">
        <is>
          <t>Design-build projects, each one different.</t>
        </is>
      </c>
      <c r="K143" s="8" t="inlineStr">
        <is>
          <t>Partly</t>
        </is>
      </c>
      <c r="L143" s="9" t="inlineStr">
        <is>
          <t>No headcount, revenue or annual project figure is published. On the bands, a firm with no published figure is a Partly.</t>
        </is>
      </c>
      <c r="M143" s="8" t="inlineStr">
        <is>
          <t>Yes</t>
        </is>
      </c>
      <c r="N143" s="9" t="inlineStr">
        <is>
          <t>It engineered and delivered a printed house in Houston in collaboration with a printing contractor, and publishes the project on its own site.</t>
        </is>
      </c>
      <c r="O143" s="8" t="inlineStr">
        <is>
          <t>Partly</t>
        </is>
      </c>
      <c r="P143" s="6" t="inlineStr">
        <is>
          <t>https://www.linkedin.com/in/hikmat-zerbe-b3139669/</t>
        </is>
      </c>
      <c r="Q143" s="6" t="inlineStr"/>
      <c r="R143" s="11">
        <f>IF(P143="","ADD LINKEDIN","ok")</f>
        <v/>
      </c>
      <c r="S143" s="6" t="inlineStr">
        <is>
          <t>https://cive.com/</t>
        </is>
      </c>
      <c r="T143" s="9" t="inlineStr">
        <is>
          <t>A Houston design-build firm that has already engineered and delivered a printed building. The technical staff to run a machine is already inside it.</t>
        </is>
      </c>
      <c r="U143" s="6" t="inlineStr">
        <is>
          <t>YES</t>
        </is>
      </c>
      <c r="V143" s="9" t="inlineStr">
        <is>
          <t>Headline reads Head of Structural Engineering at CIVE. Houston, Texas. He is the person broadcast coverage quoted on the printed house in Spring Branch.</t>
        </is>
      </c>
      <c r="W143" s="6" t="inlineStr"/>
      <c r="X143" s="6" t="inlineStr"/>
      <c r="Y143" s="6" t="inlineStr"/>
      <c r="Z143" s="6" t="inlineStr">
        <is>
          <t>2025-03 Construction In Focus. CIVE, Construction and Design at their Finest  https://constructioninfocus.com/2025/03/cive-construction-and-design-at-their-finest/</t>
        </is>
      </c>
      <c r="AA143" s="6" t="inlineStr">
        <is>
          <t>(281) 870-8727</t>
        </is>
      </c>
      <c r="AB143" s="6" t="inlineStr"/>
      <c r="AC143" s="6" t="inlineStr">
        <is>
          <t>https://cive.com/</t>
        </is>
      </c>
    </row>
    <row r="144">
      <c r="A144" s="12" t="inlineStr">
        <is>
          <t>Clemente Barrera</t>
        </is>
      </c>
      <c r="B144" s="12" t="inlineStr">
        <is>
          <t>CIVE</t>
        </is>
      </c>
      <c r="C144" s="12" t="inlineStr">
        <is>
          <t>Vice President of Construction</t>
        </is>
      </c>
      <c r="D144" s="13" t="inlineStr">
        <is>
          <t>Builds the wall, not the house</t>
        </is>
      </c>
      <c r="E144" s="14" t="n">
        <v>3</v>
      </c>
      <c r="F144" s="12" t="inlineStr">
        <is>
          <t>Buys walls</t>
        </is>
      </c>
      <c r="G144" s="12" t="inlineStr">
        <is>
          <t>Houston, Harris</t>
        </is>
      </c>
      <c r="H144" s="12" t="inlineStr">
        <is>
          <t>Engineer and design-build partner on the printed house in Spring Branch</t>
        </is>
      </c>
      <c r="I144" s="14" t="inlineStr">
        <is>
          <t>Partly</t>
        </is>
      </c>
      <c r="J144" s="15" t="inlineStr">
        <is>
          <t>Design-build projects, each one different.</t>
        </is>
      </c>
      <c r="K144" s="14" t="inlineStr">
        <is>
          <t>Partly</t>
        </is>
      </c>
      <c r="L144" s="15" t="inlineStr">
        <is>
          <t>No headcount, revenue or annual project figure is published. On the bands, a firm with no published figure is a Partly.</t>
        </is>
      </c>
      <c r="M144" s="14" t="inlineStr">
        <is>
          <t>Yes</t>
        </is>
      </c>
      <c r="N144" s="15" t="inlineStr">
        <is>
          <t>It engineered and delivered a printed house in Houston in collaboration with a printing contractor, and publishes the project on its own site.</t>
        </is>
      </c>
      <c r="O144" s="14" t="inlineStr">
        <is>
          <t>Partly</t>
        </is>
      </c>
      <c r="P144" s="10" t="inlineStr"/>
      <c r="Q144" s="12">
        <f>HYPERLINK("https://www.linkedin.com/search/results/people/?keywords=Clemente%20Barrera%20CIVE","search")</f>
        <v/>
      </c>
      <c r="R144" s="16">
        <f>IF(P144="","ADD LINKEDIN","ok")</f>
        <v/>
      </c>
      <c r="S144" s="12" t="inlineStr">
        <is>
          <t>https://cive.com/</t>
        </is>
      </c>
      <c r="T144" s="15" t="inlineStr">
        <is>
          <t>A Houston design-build firm that has already engineered and delivered a printed building. The technical staff to run a machine is already inside it.</t>
        </is>
      </c>
      <c r="U144" s="12" t="inlineStr"/>
      <c r="V144" s="15" t="inlineStr">
        <is>
          <t>Headline reads Vice President of Construction at CIVE. Houston, Texas. No profile URL was captured in the pass.</t>
        </is>
      </c>
      <c r="W144" s="12" t="inlineStr"/>
      <c r="X144" s="12" t="inlineStr"/>
      <c r="Y144" s="12" t="inlineStr"/>
      <c r="Z144" s="12" t="inlineStr">
        <is>
          <t>2025-03 Construction In Focus. CIVE, Construction and Design at their Finest  https://constructioninfocus.com/2025/03/cive-construction-and-design-at-their-finest/</t>
        </is>
      </c>
      <c r="AA144" s="12" t="inlineStr">
        <is>
          <t>(281) 870-8727</t>
        </is>
      </c>
      <c r="AB144" s="12" t="inlineStr"/>
      <c r="AC144" s="12" t="inlineStr">
        <is>
          <t>https://cive.com/</t>
        </is>
      </c>
    </row>
    <row r="145">
      <c r="A145" s="6" t="inlineStr">
        <is>
          <t>Kevin M. Camarata</t>
        </is>
      </c>
      <c r="B145" s="6" t="inlineStr">
        <is>
          <t>Camarata Masonry Systems</t>
        </is>
      </c>
      <c r="C145" s="6" t="inlineStr">
        <is>
          <t>Founder and Chief Executive Officer</t>
        </is>
      </c>
      <c r="D145" s="7" t="inlineStr">
        <is>
          <t>Builds the wall, not the house</t>
        </is>
      </c>
      <c r="E145" s="8" t="n">
        <v>3</v>
      </c>
      <c r="F145" s="6" t="inlineStr">
        <is>
          <t>Builds the wall</t>
        </is>
      </c>
      <c r="G145" s="6" t="inlineStr">
        <is>
          <t>Houston, West Hardy Road, with offices in Florida and North Carolina</t>
        </is>
      </c>
      <c r="H145" s="6" t="inlineStr">
        <is>
          <t>Publishes panelisation of stone and masonry</t>
        </is>
      </c>
      <c r="I145" s="8" t="inlineStr">
        <is>
          <t>Yes</t>
        </is>
      </c>
      <c r="J145" s="9" t="inlineStr">
        <is>
          <t>Masonry and stone laid repeatedly across one metro on large institutional and commercial work.</t>
        </is>
      </c>
      <c r="K145" s="8" t="inlineStr">
        <is>
          <t>Partly</t>
        </is>
      </c>
      <c r="L145" s="9" t="inlineStr">
        <is>
          <t>A firm of this reach puts up more wall than one or two printers would cover, and multi-family is one sector among eight.</t>
        </is>
      </c>
      <c r="M145" s="8" t="inlineStr">
        <is>
          <t>Partly</t>
        </is>
      </c>
      <c r="N145" s="9" t="inlineStr">
        <is>
          <t>It publishes panelisation of natural stone and masonry as a capability, which is production moved off the scaffold and into a shop. There is no record of adopting a new material.</t>
        </is>
      </c>
      <c r="O145" s="8" t="inlineStr">
        <is>
          <t>Partly</t>
        </is>
      </c>
      <c r="P145" s="6" t="inlineStr">
        <is>
          <t>https://www.linkedin.com/in/kevin-camarata-6883731b9/</t>
        </is>
      </c>
      <c r="Q145" s="6" t="inlineStr"/>
      <c r="R145" s="11">
        <f>IF(P145="","ADD LINKEDIN","ok")</f>
        <v/>
      </c>
      <c r="S145" s="6" t="inlineStr">
        <is>
          <t>http://www.camaratamasonry.com/</t>
        </is>
      </c>
      <c r="T145" s="9" t="inlineStr">
        <is>
          <t>A Houston-headquartered masonry contractor that already panelises stone and masonry, on a project list that runs to stadiums and a corporate campus.</t>
        </is>
      </c>
      <c r="U145" s="6" t="inlineStr">
        <is>
          <t>YES</t>
        </is>
      </c>
      <c r="V145" s="9" t="inlineStr">
        <is>
          <t>The firm's own about page gives him as founder, dated 1 August 2004. AGC Houston and his own profile headline both carry the chief executive title. He also chairs the Natural Stone Foundation.</t>
        </is>
      </c>
      <c r="W145" s="6" t="inlineStr"/>
      <c r="X145" s="6" t="inlineStr"/>
      <c r="Y145" s="6" t="inlineStr"/>
      <c r="Z145" s="6" t="inlineStr"/>
      <c r="AA145" s="6" t="inlineStr">
        <is>
          <t>(281) 876-1111</t>
        </is>
      </c>
      <c r="AB145" s="6" t="inlineStr">
        <is>
          <t>main</t>
        </is>
      </c>
      <c r="AC145" s="6" t="inlineStr">
        <is>
          <t>http://www.camaratamasonry.com/</t>
        </is>
      </c>
    </row>
    <row r="146">
      <c r="A146" s="12" t="inlineStr">
        <is>
          <t>Hussein Sinjari</t>
        </is>
      </c>
      <c r="B146" s="12" t="inlineStr">
        <is>
          <t>Legacy Precast</t>
        </is>
      </c>
      <c r="C146" s="12" t="inlineStr">
        <is>
          <t>Vice President</t>
        </is>
      </c>
      <c r="D146" s="13" t="inlineStr">
        <is>
          <t>Builds the wall, not the house</t>
        </is>
      </c>
      <c r="E146" s="14" t="n">
        <v>3</v>
      </c>
      <c r="F146" s="12" t="inlineStr">
        <is>
          <t>Builds the wall</t>
        </is>
      </c>
      <c r="G146" s="12" t="inlineStr">
        <is>
          <t>Brookshire, Waller County, about an hour from downtown Houston</t>
        </is>
      </c>
      <c r="H146" s="12" t="inlineStr">
        <is>
          <t>50-acre plant, batching well over 100 yards an hour</t>
        </is>
      </c>
      <c r="I146" s="14" t="inlineStr">
        <is>
          <t>Yes</t>
        </is>
      </c>
      <c r="J146" s="15" t="inlineStr">
        <is>
          <t>Eight certified structural product lines cast repeatedly on the same beds, in one plant, for one region.</t>
        </is>
      </c>
      <c r="K146" s="14" t="inlineStr">
        <is>
          <t>Partly</t>
        </is>
      </c>
      <c r="L146" s="15" t="inlineStr">
        <is>
          <t>A plant batching well over 100 yards an hour is larger than one or two printers would cover. A machine would be a line inside it, not the business, which is the same reading a large builder gets.</t>
        </is>
      </c>
      <c r="M146" s="14" t="inlineStr">
        <is>
          <t>Partly</t>
        </is>
      </c>
      <c r="N146"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6" s="14" t="inlineStr">
        <is>
          <t>Partly</t>
        </is>
      </c>
      <c r="P146" s="6" t="inlineStr">
        <is>
          <t>https://www.linkedin.com/in/hussein-sinjari-53376545</t>
        </is>
      </c>
      <c r="Q146" s="12" t="inlineStr"/>
      <c r="R146" s="16">
        <f>IF(P146="","ADD LINKEDIN","ok")</f>
        <v/>
      </c>
      <c r="S146" s="12" t="inlineStr">
        <is>
          <t>https://www.legacyprecast.com/</t>
        </is>
      </c>
      <c r="T146" s="15" t="inlineStr">
        <is>
          <t>A batch plant, casting beds, a quality regime, and a business built on making structural wall somewhere other than the site.</t>
        </is>
      </c>
      <c r="U146" s="12" t="inlineStr">
        <is>
          <t>YES</t>
        </is>
      </c>
      <c r="V146" s="15" t="inlineStr">
        <is>
          <t>The firm's own contact page carries him as vice president. It publishes no president, owner or founder, so this is the highest rank Legacy discloses.</t>
        </is>
      </c>
      <c r="W146" s="12" t="inlineStr"/>
      <c r="X146" s="12" t="inlineStr"/>
      <c r="Y146" s="12" t="inlineStr"/>
      <c r="Z146" s="12" t="inlineStr"/>
      <c r="AA146" s="12" t="inlineStr">
        <is>
          <t>(281) 375-2050</t>
        </is>
      </c>
      <c r="AB146" s="12" t="inlineStr">
        <is>
          <t>direct line</t>
        </is>
      </c>
      <c r="AC146" s="12" t="inlineStr">
        <is>
          <t>https://www.legacyprecast.com/contact-us</t>
        </is>
      </c>
    </row>
    <row r="147">
      <c r="A147" s="6" t="inlineStr">
        <is>
          <t>Charles Franke</t>
        </is>
      </c>
      <c r="B147" s="6" t="inlineStr">
        <is>
          <t>Legacy Precast</t>
        </is>
      </c>
      <c r="C147" s="6" t="inlineStr">
        <is>
          <t>Chief of Estimating</t>
        </is>
      </c>
      <c r="D147" s="7" t="inlineStr">
        <is>
          <t>Builds the wall, not the house</t>
        </is>
      </c>
      <c r="E147" s="8" t="n">
        <v>3</v>
      </c>
      <c r="F147" s="6" t="inlineStr">
        <is>
          <t>Builds the wall</t>
        </is>
      </c>
      <c r="G147" s="6" t="inlineStr">
        <is>
          <t>Brookshire, Waller County, about an hour from downtown Houston</t>
        </is>
      </c>
      <c r="H147" s="6" t="inlineStr">
        <is>
          <t>50-acre plant, batching well over 100 yards an hour</t>
        </is>
      </c>
      <c r="I147" s="8" t="inlineStr">
        <is>
          <t>Yes</t>
        </is>
      </c>
      <c r="J147" s="9" t="inlineStr">
        <is>
          <t>Eight certified structural product lines cast repeatedly on the same beds, in one plant, for one region.</t>
        </is>
      </c>
      <c r="K147" s="8" t="inlineStr">
        <is>
          <t>Partly</t>
        </is>
      </c>
      <c r="L147" s="9" t="inlineStr">
        <is>
          <t>A plant batching well over 100 yards an hour is larger than one or two printers would cover. A machine would be a line inside it, not the business, which is the same reading a large builder gets.</t>
        </is>
      </c>
      <c r="M147" s="8" t="inlineStr">
        <is>
          <t>Partly</t>
        </is>
      </c>
      <c r="N147"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7" s="8" t="inlineStr">
        <is>
          <t>Partly</t>
        </is>
      </c>
      <c r="P147" s="10" t="inlineStr"/>
      <c r="Q147" s="6" t="inlineStr"/>
      <c r="R147" s="11">
        <f>IF(P147="","ADD LINKEDIN","ok")</f>
        <v/>
      </c>
      <c r="S147" s="6" t="inlineStr">
        <is>
          <t>https://www.legacyprecast.com/</t>
        </is>
      </c>
      <c r="T147" s="9" t="inlineStr">
        <is>
          <t>A batch plant, casting beds, a quality regime, and a business built on making structural wall somewhere other than the site.</t>
        </is>
      </c>
      <c r="U147" s="6" t="inlineStr"/>
      <c r="V147" s="9" t="inlineStr">
        <is>
          <t>The firm's own contact page. Estimating prices a method rather than choosing one.</t>
        </is>
      </c>
      <c r="W147" s="6" t="inlineStr">
        <is>
          <t>https://www.legacyprecast.com/contact-us</t>
        </is>
      </c>
      <c r="X147" s="6" t="inlineStr"/>
      <c r="Y147" s="6" t="inlineStr"/>
      <c r="Z147" s="6" t="inlineStr"/>
      <c r="AA147" s="6" t="inlineStr">
        <is>
          <t>(281) 375-2050</t>
        </is>
      </c>
      <c r="AB147" s="6" t="inlineStr">
        <is>
          <t>direct line</t>
        </is>
      </c>
      <c r="AC147" s="6" t="inlineStr">
        <is>
          <t>https://www.legacyprecast.com/contact-us</t>
        </is>
      </c>
    </row>
    <row r="148">
      <c r="A148" s="12" t="inlineStr">
        <is>
          <t>Chris Richardson</t>
        </is>
      </c>
      <c r="B148" s="12" t="inlineStr">
        <is>
          <t>Blazer Building</t>
        </is>
      </c>
      <c r="C148" s="12" t="inlineStr">
        <is>
          <t>Founder</t>
        </is>
      </c>
      <c r="D148" s="13" t="inlineStr">
        <is>
          <t>Builds the wall, not the house</t>
        </is>
      </c>
      <c r="E148" s="14" t="n">
        <v>2</v>
      </c>
      <c r="F148" s="12" t="inlineStr">
        <is>
          <t>Builds the wall</t>
        </is>
      </c>
      <c r="G148" s="12" t="inlineStr">
        <is>
          <t>Houston, Harris, with Texas growth markets</t>
        </is>
      </c>
      <c r="H148" s="12" t="inlineStr">
        <is>
          <t>Over 44,000 apartment homes in 45-plus years</t>
        </is>
      </c>
      <c r="I148" s="14" t="inlineStr">
        <is>
          <t>Yes</t>
        </is>
      </c>
      <c r="J148" s="15" t="inlineStr">
        <is>
          <t>Garden-style and mid-rise apartment buildings repeating across Texas markets from a Houston office.</t>
        </is>
      </c>
      <c r="K148" s="14" t="inlineStr">
        <is>
          <t>Partly</t>
        </is>
      </c>
      <c r="L148" s="15" t="inlineStr">
        <is>
          <t>Over 44,000 apartment homes in 45 years, so the wall volume is there. It states that it works through trade partners rather than self-performing, so the machine would sit with a subcontractor rather than with Blazer.</t>
        </is>
      </c>
      <c r="M148" s="14" t="inlineStr">
        <is>
          <t>No</t>
        </is>
      </c>
      <c r="N148" s="15" t="inlineStr">
        <is>
          <t>No method statement on record. The only construction-method language on the site is the list of building types it builds.</t>
        </is>
      </c>
      <c r="O148" s="14" t="inlineStr">
        <is>
          <t>Yes</t>
        </is>
      </c>
      <c r="P148" s="10" t="inlineStr"/>
      <c r="Q148" s="12" t="inlineStr"/>
      <c r="R148" s="16">
        <f>IF(P148="","ADD LINKEDIN","ok")</f>
        <v/>
      </c>
      <c r="S148" s="12" t="inlineStr">
        <is>
          <t>https://www.blazerbuilding.com/</t>
        </is>
      </c>
      <c r="T148" s="15" t="inlineStr">
        <is>
          <t>Over 44,000 apartment homes and 200-plus projects. Garden-style apartments repeat the same wall more than any other product here.</t>
        </is>
      </c>
      <c r="U148" s="12" t="inlineStr"/>
      <c r="V148" s="15" t="inlineStr">
        <is>
          <t>His own bio page on the firm's site: founded the company in 1978. The Who We Are page lists him under Senior Leadership.</t>
        </is>
      </c>
      <c r="W148" s="12" t="inlineStr">
        <is>
          <t>https://www.blazerbuilding.com/team/chris-richardson/</t>
        </is>
      </c>
      <c r="X148" s="12" t="inlineStr"/>
      <c r="Y148" s="12" t="inlineStr">
        <is>
          <t>https://www.blazerbuilding.com/who-we-are/</t>
        </is>
      </c>
      <c r="Z148" s="12" t="inlineStr"/>
      <c r="AA148" s="12" t="inlineStr">
        <is>
          <t>(713) 914-9200</t>
        </is>
      </c>
      <c r="AB148" s="12" t="inlineStr"/>
      <c r="AC148" s="12" t="inlineStr">
        <is>
          <t>https://www.blazerbuilding.com/</t>
        </is>
      </c>
    </row>
    <row r="149">
      <c r="A149" s="6" t="inlineStr">
        <is>
          <t>Chad Hillman</t>
        </is>
      </c>
      <c r="B149" s="6" t="inlineStr">
        <is>
          <t>Blazer Building</t>
        </is>
      </c>
      <c r="C149" s="6" t="inlineStr">
        <is>
          <t>President, Blazer Building Southwest</t>
        </is>
      </c>
      <c r="D149" s="7" t="inlineStr">
        <is>
          <t>Builds the wall, not the house</t>
        </is>
      </c>
      <c r="E149" s="8" t="n">
        <v>2</v>
      </c>
      <c r="F149" s="6" t="inlineStr">
        <is>
          <t>Builds the wall</t>
        </is>
      </c>
      <c r="G149" s="6" t="inlineStr">
        <is>
          <t>Houston, Harris, with Texas growth markets</t>
        </is>
      </c>
      <c r="H149" s="6" t="inlineStr">
        <is>
          <t>Over 44,000 apartment homes in 45-plus years</t>
        </is>
      </c>
      <c r="I149" s="8" t="inlineStr">
        <is>
          <t>Yes</t>
        </is>
      </c>
      <c r="J149" s="9" t="inlineStr">
        <is>
          <t>Garden-style and mid-rise apartment buildings repeating across Texas markets from a Houston office.</t>
        </is>
      </c>
      <c r="K149" s="8" t="inlineStr">
        <is>
          <t>Partly</t>
        </is>
      </c>
      <c r="L149" s="9" t="inlineStr">
        <is>
          <t>Over 44,000 apartment homes in 45 years, so the wall volume is there. It states that it works through trade partners rather than self-performing, so the machine would sit with a subcontractor rather than with Blazer.</t>
        </is>
      </c>
      <c r="M149" s="8" t="inlineStr">
        <is>
          <t>No</t>
        </is>
      </c>
      <c r="N149" s="9" t="inlineStr">
        <is>
          <t>No method statement on record. The only construction-method language on the site is the list of building types it builds.</t>
        </is>
      </c>
      <c r="O149" s="8" t="inlineStr">
        <is>
          <t>Yes</t>
        </is>
      </c>
      <c r="P149" s="10" t="inlineStr"/>
      <c r="Q149" s="6" t="inlineStr"/>
      <c r="R149" s="11">
        <f>IF(P149="","ADD LINKEDIN","ok")</f>
        <v/>
      </c>
      <c r="S149" s="6" t="inlineStr">
        <is>
          <t>https://www.blazerbuilding.com/</t>
        </is>
      </c>
      <c r="T149" s="9" t="inlineStr">
        <is>
          <t>Over 44,000 apartment homes and 200-plus projects. Garden-style apartments repeat the same wall more than any other product here.</t>
        </is>
      </c>
      <c r="U149" s="6" t="inlineStr"/>
      <c r="V149" s="9"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W149" s="6" t="inlineStr">
        <is>
          <t>https://www.blazerbuilding.com/team/chad-hillman/</t>
        </is>
      </c>
      <c r="X149" s="6" t="inlineStr"/>
      <c r="Y149" s="6" t="inlineStr">
        <is>
          <t>https://www.blazerbuilding.com/who-we-are/</t>
        </is>
      </c>
      <c r="Z149" s="6" t="inlineStr"/>
      <c r="AA149" s="6" t="inlineStr">
        <is>
          <t>(713) 914-9200</t>
        </is>
      </c>
      <c r="AB149" s="6" t="inlineStr"/>
      <c r="AC149" s="6" t="inlineStr">
        <is>
          <t>https://www.blazerbuilding.com/</t>
        </is>
      </c>
    </row>
    <row r="150">
      <c r="A150" s="12" t="inlineStr">
        <is>
          <t>Matt Fuqua</t>
        </is>
      </c>
      <c r="B150" s="12" t="inlineStr">
        <is>
          <t>Blazer Building</t>
        </is>
      </c>
      <c r="C150" s="12" t="inlineStr">
        <is>
          <t>Business Development</t>
        </is>
      </c>
      <c r="D150" s="13" t="inlineStr">
        <is>
          <t>Builds the wall, not the house</t>
        </is>
      </c>
      <c r="E150" s="14" t="n">
        <v>2</v>
      </c>
      <c r="F150" s="12" t="inlineStr">
        <is>
          <t>Builds the wall</t>
        </is>
      </c>
      <c r="G150" s="12" t="inlineStr">
        <is>
          <t>Houston, Harris, with Texas growth markets</t>
        </is>
      </c>
      <c r="H150" s="12" t="inlineStr">
        <is>
          <t>Over 44,000 apartment homes in 45-plus years</t>
        </is>
      </c>
      <c r="I150" s="14" t="inlineStr">
        <is>
          <t>Yes</t>
        </is>
      </c>
      <c r="J150" s="15" t="inlineStr">
        <is>
          <t>Garden-style and mid-rise apartment buildings repeating across Texas markets from a Houston office.</t>
        </is>
      </c>
      <c r="K150" s="14" t="inlineStr">
        <is>
          <t>Partly</t>
        </is>
      </c>
      <c r="L150" s="15" t="inlineStr">
        <is>
          <t>Over 44,000 apartment homes in 45 years, so the wall volume is there. It states that it works through trade partners rather than self-performing, so the machine would sit with a subcontractor rather than with Blazer.</t>
        </is>
      </c>
      <c r="M150" s="14" t="inlineStr">
        <is>
          <t>No</t>
        </is>
      </c>
      <c r="N150" s="15" t="inlineStr">
        <is>
          <t>No method statement on record. The only construction-method language on the site is the list of building types it builds.</t>
        </is>
      </c>
      <c r="O150" s="14" t="inlineStr">
        <is>
          <t>Yes</t>
        </is>
      </c>
      <c r="P150" s="10" t="inlineStr"/>
      <c r="Q150" s="12" t="inlineStr"/>
      <c r="R150" s="16">
        <f>IF(P150="","ADD LINKEDIN","ok")</f>
        <v/>
      </c>
      <c r="S150" s="12" t="inlineStr">
        <is>
          <t>https://www.blazerbuilding.com/</t>
        </is>
      </c>
      <c r="T150" s="15" t="inlineStr">
        <is>
          <t>Over 44,000 apartment homes and 200-plus projects. Garden-style apartments repeat the same wall more than any other product here.</t>
        </is>
      </c>
      <c r="U150" s="12" t="inlineStr"/>
      <c r="V150" s="15" t="inlineStr">
        <is>
          <t>His own bio page: business development, affordable and conventional multi-family and active adult housing, over twenty years with Blazer.</t>
        </is>
      </c>
      <c r="W150" s="12" t="inlineStr">
        <is>
          <t>https://www.blazerbuilding.com/team/matt-fuqua/</t>
        </is>
      </c>
      <c r="X150" s="12" t="inlineStr"/>
      <c r="Y150" s="12" t="inlineStr">
        <is>
          <t>https://www.blazerbuilding.com/who-we-are/</t>
        </is>
      </c>
      <c r="Z150" s="12" t="inlineStr"/>
      <c r="AA150" s="12" t="inlineStr">
        <is>
          <t>(713) 914-9200</t>
        </is>
      </c>
      <c r="AB150" s="12" t="inlineStr"/>
      <c r="AC150" s="12" t="inlineStr">
        <is>
          <t>https://www.blazerbuilding.com/</t>
        </is>
      </c>
    </row>
    <row r="151">
      <c r="A151" s="6" t="inlineStr">
        <is>
          <t>Brian Henderson</t>
        </is>
      </c>
      <c r="B151" s="6" t="inlineStr">
        <is>
          <t>Blazer Building</t>
        </is>
      </c>
      <c r="C151" s="6" t="inlineStr">
        <is>
          <t>Vice President of Construction</t>
        </is>
      </c>
      <c r="D151" s="7" t="inlineStr">
        <is>
          <t>Builds the wall, not the house</t>
        </is>
      </c>
      <c r="E151" s="8" t="n">
        <v>2</v>
      </c>
      <c r="F151" s="6" t="inlineStr">
        <is>
          <t>Builds the wall</t>
        </is>
      </c>
      <c r="G151" s="6" t="inlineStr">
        <is>
          <t>Houston, Harris, with Texas growth markets</t>
        </is>
      </c>
      <c r="H151" s="6" t="inlineStr">
        <is>
          <t>Over 44,000 apartment homes in 45-plus years</t>
        </is>
      </c>
      <c r="I151" s="8" t="inlineStr">
        <is>
          <t>Yes</t>
        </is>
      </c>
      <c r="J151" s="9" t="inlineStr">
        <is>
          <t>Garden-style and mid-rise apartment buildings repeating across Texas markets from a Houston office.</t>
        </is>
      </c>
      <c r="K151" s="8" t="inlineStr">
        <is>
          <t>Partly</t>
        </is>
      </c>
      <c r="L151" s="9" t="inlineStr">
        <is>
          <t>Over 44,000 apartment homes in 45 years, so the wall volume is there. It states that it works through trade partners rather than self-performing, so the machine would sit with a subcontractor rather than with Blazer.</t>
        </is>
      </c>
      <c r="M151" s="8" t="inlineStr">
        <is>
          <t>No</t>
        </is>
      </c>
      <c r="N151" s="9" t="inlineStr">
        <is>
          <t>No method statement on record. The only construction-method language on the site is the list of building types it builds.</t>
        </is>
      </c>
      <c r="O151" s="8" t="inlineStr">
        <is>
          <t>Yes</t>
        </is>
      </c>
      <c r="P151" s="10" t="inlineStr"/>
      <c r="Q151" s="6" t="inlineStr"/>
      <c r="R151" s="11">
        <f>IF(P151="","ADD LINKEDIN","ok")</f>
        <v/>
      </c>
      <c r="S151" s="6" t="inlineStr">
        <is>
          <t>https://www.blazerbuilding.com/</t>
        </is>
      </c>
      <c r="T151" s="9" t="inlineStr">
        <is>
          <t>Over 44,000 apartment homes and 200-plus projects. Garden-style apartments repeat the same wall more than any other product here.</t>
        </is>
      </c>
      <c r="U151" s="6" t="inlineStr"/>
      <c r="V151" s="9" t="inlineStr">
        <is>
          <t>His own bio page: joined in 2014, served as assistant superintendent and superintendent, now vice president of construction. The Who We Are page lists him under both Senior Leadership and Construction Supervision.</t>
        </is>
      </c>
      <c r="W151" s="6" t="inlineStr">
        <is>
          <t>https://www.blazerbuilding.com/team/brian-henderson/</t>
        </is>
      </c>
      <c r="X151" s="6" t="inlineStr"/>
      <c r="Y151" s="6" t="inlineStr">
        <is>
          <t>https://www.blazerbuilding.com/who-we-are/</t>
        </is>
      </c>
      <c r="Z151" s="6" t="inlineStr"/>
      <c r="AA151" s="6" t="inlineStr">
        <is>
          <t>(713) 914-9200</t>
        </is>
      </c>
      <c r="AB151" s="6" t="inlineStr"/>
      <c r="AC151" s="6" t="inlineStr">
        <is>
          <t>https://www.blazerbuilding.com/</t>
        </is>
      </c>
    </row>
    <row r="152">
      <c r="A152" s="12" t="inlineStr">
        <is>
          <t>Jonas Barboza</t>
        </is>
      </c>
      <c r="B152" s="12" t="inlineStr">
        <is>
          <t>Brundage-Bone Concrete Pumping</t>
        </is>
      </c>
      <c r="C152" s="12" t="inlineStr">
        <is>
          <t>Regional Director South, Texas</t>
        </is>
      </c>
      <c r="D152" s="13" t="inlineStr">
        <is>
          <t>Builds the wall, not the house</t>
        </is>
      </c>
      <c r="E152" s="14" t="n">
        <v>2</v>
      </c>
      <c r="F152" s="12" t="inlineStr">
        <is>
          <t>Builds the wall</t>
        </is>
      </c>
      <c r="G152" s="12" t="inlineStr">
        <is>
          <t>Houston, two yards on West Old Spanish Trail and Sellers Road</t>
        </is>
      </c>
      <c r="H152" s="12" t="inlineStr">
        <is>
          <t>Boom pumps from 17 to 65 metres, plus placing booms</t>
        </is>
      </c>
      <c r="I152" s="14" t="inlineStr">
        <is>
          <t>Yes</t>
        </is>
      </c>
      <c r="J152" s="15" t="inlineStr">
        <is>
          <t>Placement work repeated daily across one metro from two standing yards.</t>
        </is>
      </c>
      <c r="K152" s="14" t="inlineStr">
        <is>
          <t>Partly</t>
        </is>
      </c>
      <c r="L152" s="15" t="inlineStr">
        <is>
          <t>A fleet spanning 17 to 65 metre booms across two yards is more placement capacity than one or two printers would cover.</t>
        </is>
      </c>
      <c r="M152" s="14" t="inlineStr">
        <is>
          <t>No</t>
        </is>
      </c>
      <c r="N152" s="15" t="inlineStr">
        <is>
          <t>No record of paying for an unproven method. It advertises low carbon and pervious concrete pumping, and advertising a capability is not the same as having bought one.</t>
        </is>
      </c>
      <c r="O152" s="14" t="inlineStr">
        <is>
          <t>Yes</t>
        </is>
      </c>
      <c r="P152" s="6" t="inlineStr">
        <is>
          <t>https://www.linkedin.com/in/jonas-barboza-9794a1136/</t>
        </is>
      </c>
      <c r="Q152" s="12" t="inlineStr"/>
      <c r="R152" s="16">
        <f>IF(P152="","ADD LINKEDIN","ok")</f>
        <v/>
      </c>
      <c r="S152" s="12" t="inlineStr">
        <is>
          <t>https://brundagebone.com/locations/houston/</t>
        </is>
      </c>
      <c r="T152" s="15" t="inlineStr">
        <is>
          <t>A firm whose entire business is placing somebody else's concrete with owned capital equipment, which is the commercial shape of operating a printer for a builder.</t>
        </is>
      </c>
      <c r="U152" s="12" t="inlineStr">
        <is>
          <t>YES</t>
        </is>
      </c>
      <c r="V152" s="15" t="inlineStr">
        <is>
          <t>The firm's own management page. Regional director sits between the branch and the vice president of operations, and the Texas region is his. The vice president of operations named on that page has a scope that excludes Texas, so Houston escalates to the division president rather than through him.</t>
        </is>
      </c>
      <c r="W152" s="12" t="inlineStr"/>
      <c r="X152" s="12" t="inlineStr"/>
      <c r="Y152" s="12" t="inlineStr"/>
      <c r="Z152" s="12" t="inlineStr"/>
      <c r="AA152" s="12" t="inlineStr">
        <is>
          <t>(713) 455-1464</t>
        </is>
      </c>
      <c r="AB152" s="12" t="inlineStr">
        <is>
          <t>West Old Spanish Trail yard</t>
        </is>
      </c>
      <c r="AC152" s="12" t="inlineStr">
        <is>
          <t>https://brundagebone.com/locations/houston/</t>
        </is>
      </c>
    </row>
    <row r="153">
      <c r="A153" s="6" t="inlineStr">
        <is>
          <t>Mark Young</t>
        </is>
      </c>
      <c r="B153" s="6" t="inlineStr">
        <is>
          <t>Brundage-Bone Concrete Pumping</t>
        </is>
      </c>
      <c r="C153" s="6" t="inlineStr">
        <is>
          <t>President, US Concrete Pumping</t>
        </is>
      </c>
      <c r="D153" s="7" t="inlineStr">
        <is>
          <t>Builds the wall, not the house</t>
        </is>
      </c>
      <c r="E153" s="8" t="n">
        <v>2</v>
      </c>
      <c r="F153" s="6" t="inlineStr">
        <is>
          <t>Builds the wall</t>
        </is>
      </c>
      <c r="G153" s="6" t="inlineStr">
        <is>
          <t>Houston, two yards on West Old Spanish Trail and Sellers Road</t>
        </is>
      </c>
      <c r="H153" s="6" t="inlineStr">
        <is>
          <t>Boom pumps from 17 to 65 metres, plus placing booms</t>
        </is>
      </c>
      <c r="I153" s="8" t="inlineStr">
        <is>
          <t>Yes</t>
        </is>
      </c>
      <c r="J153" s="9" t="inlineStr">
        <is>
          <t>Placement work repeated daily across one metro from two standing yards.</t>
        </is>
      </c>
      <c r="K153" s="8" t="inlineStr">
        <is>
          <t>Partly</t>
        </is>
      </c>
      <c r="L153" s="9" t="inlineStr">
        <is>
          <t>A fleet spanning 17 to 65 metre booms across two yards is more placement capacity than one or two printers would cover.</t>
        </is>
      </c>
      <c r="M153" s="8" t="inlineStr">
        <is>
          <t>No</t>
        </is>
      </c>
      <c r="N153" s="9" t="inlineStr">
        <is>
          <t>No record of paying for an unproven method. It advertises low carbon and pervious concrete pumping, and advertising a capability is not the same as having bought one.</t>
        </is>
      </c>
      <c r="O153" s="8" t="inlineStr">
        <is>
          <t>Yes</t>
        </is>
      </c>
      <c r="P153" s="10" t="inlineStr"/>
      <c r="Q153" s="6" t="inlineStr"/>
      <c r="R153" s="11">
        <f>IF(P153="","ADD LINKEDIN","ok")</f>
        <v/>
      </c>
      <c r="S153" s="6" t="inlineStr">
        <is>
          <t>https://brundagebone.com/locations/houston/</t>
        </is>
      </c>
      <c r="T153" s="9" t="inlineStr">
        <is>
          <t>A firm whose entire business is placing somebody else's concrete with owned capital equipment, which is the commercial shape of operating a printer for a builder.</t>
        </is>
      </c>
      <c r="U153" s="6" t="inlineStr"/>
      <c r="V153" s="9" t="inlineStr">
        <is>
          <t>The firm's own management page, and the parent's investor page. The division president above the Texas region, and not the public parent's chief executive.</t>
        </is>
      </c>
      <c r="W153" s="6" t="inlineStr">
        <is>
          <t>https://brundagebone.com/about/</t>
        </is>
      </c>
      <c r="X153" s="6" t="inlineStr"/>
      <c r="Y153" s="6" t="inlineStr"/>
      <c r="Z153" s="6" t="inlineStr"/>
      <c r="AA153" s="6" t="inlineStr">
        <is>
          <t>(713) 455-1464</t>
        </is>
      </c>
      <c r="AB153" s="6" t="inlineStr">
        <is>
          <t>West Old Spanish Trail yard</t>
        </is>
      </c>
      <c r="AC153" s="6" t="inlineStr">
        <is>
          <t>https://brundagebone.com/locations/houston/</t>
        </is>
      </c>
    </row>
    <row r="154">
      <c r="A154" s="12" t="inlineStr">
        <is>
          <t>Jeff Oliver</t>
        </is>
      </c>
      <c r="B154" s="12" t="inlineStr">
        <is>
          <t>Builders FirstSource</t>
        </is>
      </c>
      <c r="C154" s="12" t="inlineStr">
        <is>
          <t>Director of Truss and Wall Panels</t>
        </is>
      </c>
      <c r="D154" s="13" t="inlineStr">
        <is>
          <t>Builds the wall, not the house</t>
        </is>
      </c>
      <c r="E154" s="14" t="n">
        <v>2</v>
      </c>
      <c r="F154" s="12" t="inlineStr">
        <is>
          <t>Builds the wall</t>
        </is>
      </c>
      <c r="G154" s="12" t="inlineStr">
        <is>
          <t>Four Houston-area component plants: Conroe, Cut N Shoot, East Houston and Houston</t>
        </is>
      </c>
      <c r="H154" s="12" t="inlineStr">
        <is>
          <t>Four Houston-area component plants</t>
        </is>
      </c>
      <c r="I154" s="14" t="inlineStr">
        <is>
          <t>Yes</t>
        </is>
      </c>
      <c r="J154" s="15" t="inlineStr">
        <is>
          <t>Wall panels and components made repeatedly across four Houston-area plants for production builders in the same metro.</t>
        </is>
      </c>
      <c r="K154" s="14" t="inlineStr">
        <is>
          <t>No</t>
        </is>
      </c>
      <c r="L154" s="15" t="inlineStr">
        <is>
          <t>Four plants inside a network of 570 locations is far beyond what one or two printers would cover, and purchasing at this scale sits at a national desk.</t>
        </is>
      </c>
      <c r="M154" s="14" t="inlineStr">
        <is>
          <t>Partly</t>
        </is>
      </c>
      <c r="N154" s="15"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54" s="14" t="inlineStr">
        <is>
          <t>Yes</t>
        </is>
      </c>
      <c r="P154" s="6" t="inlineStr">
        <is>
          <t>https://www.linkedin.com/in/jeff-oliver-ab686814/</t>
        </is>
      </c>
      <c r="Q154" s="12" t="inlineStr"/>
      <c r="R154" s="16">
        <f>IF(P154="","ADD LINKEDIN","ok")</f>
        <v/>
      </c>
      <c r="S154" s="12" t="inlineStr">
        <is>
          <t>https://www.bldr.com/</t>
        </is>
      </c>
      <c r="T154" s="15" t="inlineStr">
        <is>
          <t>The one counterparty in Houston already treating offsite prefabrication and robotic production as stated strategy in a filing.</t>
        </is>
      </c>
      <c r="U154" s="12" t="inlineStr"/>
      <c r="V154" s="15" t="inlineStr">
        <is>
          <t>His profile headline names the company and the product line. No geography is visible on it, so whether the Houston plants sit under him is not established. Builders FirstSource publishes corporate officers only and names no manager on any of its four Houston-area plant pages.</t>
        </is>
      </c>
      <c r="W154" s="12" t="inlineStr"/>
      <c r="X154" s="12" t="inlineStr"/>
      <c r="Y154" s="12" t="inlineStr"/>
      <c r="Z154" s="12" t="inlineStr"/>
      <c r="AA154" s="12" t="inlineStr">
        <is>
          <t>(936) 703-2950</t>
        </is>
      </c>
      <c r="AB154" s="12" t="inlineStr">
        <is>
          <t>Cut N Shoot plant</t>
        </is>
      </c>
      <c r="AC154" s="12" t="inlineStr">
        <is>
          <t>https://www.bldr.com/location/cut-n-shoot-tx-truss/CUTNTXMF</t>
        </is>
      </c>
    </row>
    <row r="155">
      <c r="A155" s="6" t="inlineStr">
        <is>
          <t>Paul McCurdy</t>
        </is>
      </c>
      <c r="B155" s="6" t="inlineStr">
        <is>
          <t>City Masonry</t>
        </is>
      </c>
      <c r="C155" s="6" t="inlineStr">
        <is>
          <t>Chief Executive Officer</t>
        </is>
      </c>
      <c r="D155" s="7" t="inlineStr">
        <is>
          <t>Builds the wall, not the house</t>
        </is>
      </c>
      <c r="E155" s="8" t="n">
        <v>2</v>
      </c>
      <c r="F155" s="6" t="inlineStr">
        <is>
          <t>Builds the wall</t>
        </is>
      </c>
      <c r="G155" s="6" t="inlineStr">
        <is>
          <t>Tomball, serving Texas and the Gulf Coast</t>
        </is>
      </c>
      <c r="H155" s="6" t="inlineStr">
        <is>
          <t>Over 4 million square feet of masonry in the past year</t>
        </is>
      </c>
      <c r="I155" s="8" t="inlineStr">
        <is>
          <t>Yes</t>
        </is>
      </c>
      <c r="J155" s="9" t="inlineStr">
        <is>
          <t>Four million square feet of the same trade laid repeatedly across one region, on commercial and institutional work.</t>
        </is>
      </c>
      <c r="K155" s="8" t="inlineStr">
        <is>
          <t>Partly</t>
        </is>
      </c>
      <c r="L155" s="9" t="inlineStr">
        <is>
          <t>Four million square feet a year is more wall than one or two printers would cover. A machine would be a line inside the business.</t>
        </is>
      </c>
      <c r="M155" s="8" t="inlineStr">
        <is>
          <t>No</t>
        </is>
      </c>
      <c r="N155" s="9" t="inlineStr">
        <is>
          <t>No record of paying for an unproven method. The published position is craft and workforce training.</t>
        </is>
      </c>
      <c r="O155" s="8" t="inlineStr">
        <is>
          <t>Yes</t>
        </is>
      </c>
      <c r="P155" s="10" t="inlineStr"/>
      <c r="Q155" s="6" t="inlineStr"/>
      <c r="R155" s="11">
        <f>IF(P155="","ADD LINKEDIN","ok")</f>
        <v/>
      </c>
      <c r="S155" s="6" t="inlineStr">
        <is>
          <t>https://www.citymasonry.com/</t>
        </is>
      </c>
      <c r="T155" s="9" t="inlineStr">
        <is>
          <t>The largest published masonry throughput in the metro, on load-bearing as well as veneer work, which is the wall a printer would replace.</t>
        </is>
      </c>
      <c r="U155" s="6" t="inlineStr">
        <is>
          <t>YES</t>
        </is>
      </c>
      <c r="V155" s="9" t="inlineStr">
        <is>
          <t>The firm's own team page, and the Associated Masonry Contractors of Houston names him as the firm's principal contact with the same main line.</t>
        </is>
      </c>
      <c r="W155" s="6" t="inlineStr">
        <is>
          <t>https://www.citymasonry.com/team/</t>
        </is>
      </c>
      <c r="X155" s="6" t="inlineStr"/>
      <c r="Y155" s="6" t="inlineStr"/>
      <c r="Z155" s="6" t="inlineStr"/>
      <c r="AA155" s="6" t="inlineStr">
        <is>
          <t>(713) 691-1000</t>
        </is>
      </c>
      <c r="AB155" s="6" t="inlineStr">
        <is>
          <t>main office</t>
        </is>
      </c>
      <c r="AC155" s="6" t="inlineStr">
        <is>
          <t>https://www.citymasonry.com/contact-us/</t>
        </is>
      </c>
    </row>
    <row r="156">
      <c r="A156" s="12" t="inlineStr">
        <is>
          <t>Glenn Whitehead</t>
        </is>
      </c>
      <c r="B156" s="12" t="inlineStr">
        <is>
          <t>City Masonry</t>
        </is>
      </c>
      <c r="C156" s="12" t="inlineStr">
        <is>
          <t>Chief Operating Officer</t>
        </is>
      </c>
      <c r="D156" s="13" t="inlineStr">
        <is>
          <t>Builds the wall, not the house</t>
        </is>
      </c>
      <c r="E156" s="14" t="n">
        <v>2</v>
      </c>
      <c r="F156" s="12" t="inlineStr">
        <is>
          <t>Builds the wall</t>
        </is>
      </c>
      <c r="G156" s="12" t="inlineStr">
        <is>
          <t>Tomball, serving Texas and the Gulf Coast</t>
        </is>
      </c>
      <c r="H156" s="12" t="inlineStr">
        <is>
          <t>Over 4 million square feet of masonry in the past year</t>
        </is>
      </c>
      <c r="I156" s="14" t="inlineStr">
        <is>
          <t>Yes</t>
        </is>
      </c>
      <c r="J156" s="15" t="inlineStr">
        <is>
          <t>Four million square feet of the same trade laid repeatedly across one region, on commercial and institutional work.</t>
        </is>
      </c>
      <c r="K156" s="14" t="inlineStr">
        <is>
          <t>Partly</t>
        </is>
      </c>
      <c r="L156" s="15" t="inlineStr">
        <is>
          <t>Four million square feet a year is more wall than one or two printers would cover. A machine would be a line inside the business.</t>
        </is>
      </c>
      <c r="M156" s="14" t="inlineStr">
        <is>
          <t>No</t>
        </is>
      </c>
      <c r="N156" s="15" t="inlineStr">
        <is>
          <t>No record of paying for an unproven method. The published position is craft and workforce training.</t>
        </is>
      </c>
      <c r="O156" s="14" t="inlineStr">
        <is>
          <t>Yes</t>
        </is>
      </c>
      <c r="P156" s="10" t="inlineStr"/>
      <c r="Q156" s="12" t="inlineStr"/>
      <c r="R156" s="16">
        <f>IF(P156="","ADD LINKEDIN","ok")</f>
        <v/>
      </c>
      <c r="S156" s="12" t="inlineStr">
        <is>
          <t>https://www.citymasonry.com/</t>
        </is>
      </c>
      <c r="T156" s="15" t="inlineStr">
        <is>
          <t>The largest published masonry throughput in the metro, on load-bearing as well as veneer work, which is the wall a printer would replace.</t>
        </is>
      </c>
      <c r="U156" s="12" t="inlineStr"/>
      <c r="V156" s="15" t="inlineStr"/>
      <c r="W156" s="12" t="inlineStr">
        <is>
          <t>https://www.citymasonry.com/team/</t>
        </is>
      </c>
      <c r="X156" s="12" t="inlineStr"/>
      <c r="Y156" s="12" t="inlineStr"/>
      <c r="Z156" s="12" t="inlineStr"/>
      <c r="AA156" s="12" t="inlineStr">
        <is>
          <t>(713) 691-1000</t>
        </is>
      </c>
      <c r="AB156" s="12" t="inlineStr">
        <is>
          <t>main office</t>
        </is>
      </c>
      <c r="AC156" s="12" t="inlineStr">
        <is>
          <t>https://www.citymasonry.com/contact-us/</t>
        </is>
      </c>
    </row>
    <row r="157">
      <c r="A157" s="6" t="inlineStr">
        <is>
          <t>Edwin Rosales</t>
        </is>
      </c>
      <c r="B157" s="6" t="inlineStr">
        <is>
          <t>City Masonry</t>
        </is>
      </c>
      <c r="C157" s="6" t="inlineStr">
        <is>
          <t>Vice President of Operations</t>
        </is>
      </c>
      <c r="D157" s="7" t="inlineStr">
        <is>
          <t>Builds the wall, not the house</t>
        </is>
      </c>
      <c r="E157" s="8" t="n">
        <v>2</v>
      </c>
      <c r="F157" s="6" t="inlineStr">
        <is>
          <t>Builds the wall</t>
        </is>
      </c>
      <c r="G157" s="6" t="inlineStr">
        <is>
          <t>Tomball, serving Texas and the Gulf Coast</t>
        </is>
      </c>
      <c r="H157" s="6" t="inlineStr">
        <is>
          <t>Over 4 million square feet of masonry in the past year</t>
        </is>
      </c>
      <c r="I157" s="8" t="inlineStr">
        <is>
          <t>Yes</t>
        </is>
      </c>
      <c r="J157" s="9" t="inlineStr">
        <is>
          <t>Four million square feet of the same trade laid repeatedly across one region, on commercial and institutional work.</t>
        </is>
      </c>
      <c r="K157" s="8" t="inlineStr">
        <is>
          <t>Partly</t>
        </is>
      </c>
      <c r="L157" s="9" t="inlineStr">
        <is>
          <t>Four million square feet a year is more wall than one or two printers would cover. A machine would be a line inside the business.</t>
        </is>
      </c>
      <c r="M157" s="8" t="inlineStr">
        <is>
          <t>No</t>
        </is>
      </c>
      <c r="N157" s="9" t="inlineStr">
        <is>
          <t>No record of paying for an unproven method. The published position is craft and workforce training.</t>
        </is>
      </c>
      <c r="O157" s="8" t="inlineStr">
        <is>
          <t>Yes</t>
        </is>
      </c>
      <c r="P157" s="10" t="inlineStr"/>
      <c r="Q157" s="6" t="inlineStr"/>
      <c r="R157" s="11">
        <f>IF(P157="","ADD LINKEDIN","ok")</f>
        <v/>
      </c>
      <c r="S157" s="6" t="inlineStr">
        <is>
          <t>https://www.citymasonry.com/</t>
        </is>
      </c>
      <c r="T157" s="9" t="inlineStr">
        <is>
          <t>The largest published masonry throughput in the metro, on load-bearing as well as veneer work, which is the wall a printer would replace.</t>
        </is>
      </c>
      <c r="U157" s="6" t="inlineStr"/>
      <c r="V157" s="9" t="inlineStr"/>
      <c r="W157" s="6" t="inlineStr">
        <is>
          <t>https://www.citymasonry.com/team/</t>
        </is>
      </c>
      <c r="X157" s="6" t="inlineStr"/>
      <c r="Y157" s="6" t="inlineStr"/>
      <c r="Z157" s="6" t="inlineStr"/>
      <c r="AA157" s="6" t="inlineStr">
        <is>
          <t>(713) 691-1000</t>
        </is>
      </c>
      <c r="AB157" s="6" t="inlineStr">
        <is>
          <t>main office</t>
        </is>
      </c>
      <c r="AC157" s="6" t="inlineStr">
        <is>
          <t>https://www.citymasonry.com/contact-us/</t>
        </is>
      </c>
    </row>
    <row r="158">
      <c r="A158" s="12" t="inlineStr">
        <is>
          <t>Brad Burrows</t>
        </is>
      </c>
      <c r="B158" s="12" t="inlineStr">
        <is>
          <t>City Masonry</t>
        </is>
      </c>
      <c r="C158" s="12" t="inlineStr">
        <is>
          <t>Chief Financial Officer</t>
        </is>
      </c>
      <c r="D158" s="13" t="inlineStr">
        <is>
          <t>Builds the wall, not the house</t>
        </is>
      </c>
      <c r="E158" s="14" t="n">
        <v>2</v>
      </c>
      <c r="F158" s="12" t="inlineStr">
        <is>
          <t>Builds the wall</t>
        </is>
      </c>
      <c r="G158" s="12" t="inlineStr">
        <is>
          <t>Tomball, serving Texas and the Gulf Coast</t>
        </is>
      </c>
      <c r="H158" s="12" t="inlineStr">
        <is>
          <t>Over 4 million square feet of masonry in the past year</t>
        </is>
      </c>
      <c r="I158" s="14" t="inlineStr">
        <is>
          <t>Yes</t>
        </is>
      </c>
      <c r="J158" s="15" t="inlineStr">
        <is>
          <t>Four million square feet of the same trade laid repeatedly across one region, on commercial and institutional work.</t>
        </is>
      </c>
      <c r="K158" s="14" t="inlineStr">
        <is>
          <t>Partly</t>
        </is>
      </c>
      <c r="L158" s="15" t="inlineStr">
        <is>
          <t>Four million square feet a year is more wall than one or two printers would cover. A machine would be a line inside the business.</t>
        </is>
      </c>
      <c r="M158" s="14" t="inlineStr">
        <is>
          <t>No</t>
        </is>
      </c>
      <c r="N158" s="15" t="inlineStr">
        <is>
          <t>No record of paying for an unproven method. The published position is craft and workforce training.</t>
        </is>
      </c>
      <c r="O158" s="14" t="inlineStr">
        <is>
          <t>Yes</t>
        </is>
      </c>
      <c r="P158" s="10" t="inlineStr"/>
      <c r="Q158" s="12" t="inlineStr"/>
      <c r="R158" s="16">
        <f>IF(P158="","ADD LINKEDIN","ok")</f>
        <v/>
      </c>
      <c r="S158" s="12" t="inlineStr">
        <is>
          <t>https://www.citymasonry.com/</t>
        </is>
      </c>
      <c r="T158" s="15" t="inlineStr">
        <is>
          <t>The largest published masonry throughput in the metro, on load-bearing as well as veneer work, which is the wall a printer would replace.</t>
        </is>
      </c>
      <c r="U158" s="12" t="inlineStr"/>
      <c r="V158" s="15" t="inlineStr"/>
      <c r="W158" s="12" t="inlineStr">
        <is>
          <t>https://www.citymasonry.com/team/</t>
        </is>
      </c>
      <c r="X158" s="12" t="inlineStr"/>
      <c r="Y158" s="12" t="inlineStr"/>
      <c r="Z158" s="12" t="inlineStr"/>
      <c r="AA158" s="12" t="inlineStr">
        <is>
          <t>(713) 691-1000</t>
        </is>
      </c>
      <c r="AB158" s="12" t="inlineStr">
        <is>
          <t>main office</t>
        </is>
      </c>
      <c r="AC158" s="12" t="inlineStr">
        <is>
          <t>https://www.citymasonry.com/contact-us/</t>
        </is>
      </c>
    </row>
    <row r="159">
      <c r="A159" s="6" t="inlineStr">
        <is>
          <t>Bruce Wardlaw</t>
        </is>
      </c>
      <c r="B159" s="6" t="inlineStr">
        <is>
          <t>Coreslab Structures (Texas)</t>
        </is>
      </c>
      <c r="C159" s="6" t="inlineStr">
        <is>
          <t>Project Consultant, Houston, East Texas and Multifamily</t>
        </is>
      </c>
      <c r="D159" s="7" t="inlineStr">
        <is>
          <t>Builds the wall, not the house</t>
        </is>
      </c>
      <c r="E159" s="8" t="n">
        <v>2</v>
      </c>
      <c r="F159" s="6" t="inlineStr">
        <is>
          <t>Builds the wall</t>
        </is>
      </c>
      <c r="G159" s="6" t="inlineStr">
        <is>
          <t>Cedar Park plant, with a project consultant covering Houston</t>
        </is>
      </c>
      <c r="H159" s="6" t="inlineStr">
        <is>
          <t>The group's only Texas plant</t>
        </is>
      </c>
      <c r="I159" s="8" t="inlineStr">
        <is>
          <t>Yes</t>
        </is>
      </c>
      <c r="J159" s="9" t="inlineStr">
        <is>
          <t>A complete line of architectural and structural products cast repeatedly from one Texas plant since 1988.</t>
        </is>
      </c>
      <c r="K159" s="8" t="inlineStr">
        <is>
          <t>Partly</t>
        </is>
      </c>
      <c r="L159" s="9" t="inlineStr">
        <is>
          <t>A plant serving the whole state from Cedar Park is larger than one or two printers would cover, and Houston is a sales territory rather than a production location.</t>
        </is>
      </c>
      <c r="M159" s="8" t="inlineStr">
        <is>
          <t>No</t>
        </is>
      </c>
      <c r="N159" s="9" t="inlineStr">
        <is>
          <t>No record of paying for an unproven method.</t>
        </is>
      </c>
      <c r="O159" s="8" t="inlineStr">
        <is>
          <t>Yes</t>
        </is>
      </c>
      <c r="P159" s="10" t="inlineStr"/>
      <c r="Q159" s="6" t="inlineStr"/>
      <c r="R159" s="11">
        <f>IF(P159="","ADD LINKEDIN","ok")</f>
        <v/>
      </c>
      <c r="S159" s="6" t="inlineStr">
        <is>
          <t>https://www.coreslab.com/locations/austin-texas-precast-concrete/</t>
        </is>
      </c>
      <c r="T159" s="9" t="inlineStr">
        <is>
          <t>The only precast producer screened whose own staffing names Houston and multifamily in one title.</t>
        </is>
      </c>
      <c r="U159" s="6" t="inlineStr"/>
      <c r="V159" s="9" t="inlineStr">
        <is>
          <t>The plant's own page. The only staffing on this deck that names Houston and multifamily in one title.</t>
        </is>
      </c>
      <c r="W159" s="6" t="inlineStr">
        <is>
          <t>https://www.coreslab.com/locations/austin-texas-precast-concrete/</t>
        </is>
      </c>
      <c r="X159" s="6" t="inlineStr"/>
      <c r="Y159" s="6" t="inlineStr"/>
      <c r="Z159" s="6" t="inlineStr"/>
      <c r="AA159" s="6" t="inlineStr">
        <is>
          <t>(512) 250-0755</t>
        </is>
      </c>
      <c r="AB159" s="6" t="inlineStr">
        <is>
          <t>main</t>
        </is>
      </c>
      <c r="AC159" s="6" t="inlineStr">
        <is>
          <t>https://www.coreslab.com/locations/austin-texas-precast-concrete/</t>
        </is>
      </c>
    </row>
    <row r="160">
      <c r="A160" s="12" t="inlineStr">
        <is>
          <t>Garrett Weidman</t>
        </is>
      </c>
      <c r="B160" s="12" t="inlineStr">
        <is>
          <t>Coreslab Structures (Texas)</t>
        </is>
      </c>
      <c r="C160" s="12" t="inlineStr">
        <is>
          <t>Sales Manager</t>
        </is>
      </c>
      <c r="D160" s="13" t="inlineStr">
        <is>
          <t>Builds the wall, not the house</t>
        </is>
      </c>
      <c r="E160" s="14" t="n">
        <v>2</v>
      </c>
      <c r="F160" s="12" t="inlineStr">
        <is>
          <t>Builds the wall</t>
        </is>
      </c>
      <c r="G160" s="12" t="inlineStr">
        <is>
          <t>Cedar Park plant, with a project consultant covering Houston</t>
        </is>
      </c>
      <c r="H160" s="12" t="inlineStr">
        <is>
          <t>The group's only Texas plant</t>
        </is>
      </c>
      <c r="I160" s="14" t="inlineStr">
        <is>
          <t>Yes</t>
        </is>
      </c>
      <c r="J160" s="15" t="inlineStr">
        <is>
          <t>A complete line of architectural and structural products cast repeatedly from one Texas plant since 1988.</t>
        </is>
      </c>
      <c r="K160" s="14" t="inlineStr">
        <is>
          <t>Partly</t>
        </is>
      </c>
      <c r="L160" s="15" t="inlineStr">
        <is>
          <t>A plant serving the whole state from Cedar Park is larger than one or two printers would cover, and Houston is a sales territory rather than a production location.</t>
        </is>
      </c>
      <c r="M160" s="14" t="inlineStr">
        <is>
          <t>No</t>
        </is>
      </c>
      <c r="N160" s="15" t="inlineStr">
        <is>
          <t>No record of paying for an unproven method.</t>
        </is>
      </c>
      <c r="O160" s="14" t="inlineStr">
        <is>
          <t>Yes</t>
        </is>
      </c>
      <c r="P160" s="10" t="inlineStr"/>
      <c r="Q160" s="12">
        <f>HYPERLINK("https://www.linkedin.com/search/results/people/?keywords=Garrett%20Weidman%20Coreslab%20Structures","search")</f>
        <v/>
      </c>
      <c r="R160" s="16">
        <f>IF(P160="","ADD LINKEDIN","ok")</f>
        <v/>
      </c>
      <c r="S160" s="12" t="inlineStr">
        <is>
          <t>https://www.coreslab.com/locations/austin-texas-precast-concrete/</t>
        </is>
      </c>
      <c r="T160" s="15" t="inlineStr">
        <is>
          <t>The only precast producer screened whose own staffing names Houston and multifamily in one title.</t>
        </is>
      </c>
      <c r="U160" s="12" t="inlineStr"/>
      <c r="V160" s="15" t="inlineStr"/>
      <c r="W160" s="12" t="inlineStr"/>
      <c r="X160" s="12" t="inlineStr"/>
      <c r="Y160" s="12" t="inlineStr"/>
      <c r="Z160" s="12" t="inlineStr"/>
      <c r="AA160" s="12" t="inlineStr">
        <is>
          <t>(512) 250-0755</t>
        </is>
      </c>
      <c r="AB160" s="12" t="inlineStr">
        <is>
          <t>main</t>
        </is>
      </c>
      <c r="AC160" s="12" t="inlineStr">
        <is>
          <t>https://www.coreslab.com/locations/austin-texas-precast-concrete/</t>
        </is>
      </c>
    </row>
    <row r="161">
      <c r="A161" s="6" t="inlineStr">
        <is>
          <t>Garrett Weidman, P.E.</t>
        </is>
      </c>
      <c r="B161" s="6" t="inlineStr">
        <is>
          <t>Coreslab Structures (Texas)</t>
        </is>
      </c>
      <c r="C161" s="6" t="inlineStr">
        <is>
          <t>Sales Manager</t>
        </is>
      </c>
      <c r="D161" s="7" t="inlineStr">
        <is>
          <t>Builds the wall, not the house</t>
        </is>
      </c>
      <c r="E161" s="8" t="n">
        <v>2</v>
      </c>
      <c r="F161" s="6" t="inlineStr">
        <is>
          <t>Builds the wall</t>
        </is>
      </c>
      <c r="G161" s="6" t="inlineStr">
        <is>
          <t>Cedar Park plant, with a project consultant covering Houston</t>
        </is>
      </c>
      <c r="H161" s="6" t="inlineStr">
        <is>
          <t>The group's only Texas plant</t>
        </is>
      </c>
      <c r="I161" s="8" t="inlineStr">
        <is>
          <t>Yes</t>
        </is>
      </c>
      <c r="J161" s="9" t="inlineStr">
        <is>
          <t>A complete line of architectural and structural products cast repeatedly from one Texas plant since 1988.</t>
        </is>
      </c>
      <c r="K161" s="8" t="inlineStr">
        <is>
          <t>Partly</t>
        </is>
      </c>
      <c r="L161" s="9" t="inlineStr">
        <is>
          <t>A plant serving the whole state from Cedar Park is larger than one or two printers would cover, and Houston is a sales territory rather than a production location.</t>
        </is>
      </c>
      <c r="M161" s="8" t="inlineStr">
        <is>
          <t>No</t>
        </is>
      </c>
      <c r="N161" s="9" t="inlineStr">
        <is>
          <t>No record of paying for an unproven method.</t>
        </is>
      </c>
      <c r="O161" s="8" t="inlineStr">
        <is>
          <t>Yes</t>
        </is>
      </c>
      <c r="P161" s="10" t="inlineStr"/>
      <c r="Q161" s="6" t="inlineStr"/>
      <c r="R161" s="11">
        <f>IF(P161="","ADD LINKEDIN","ok")</f>
        <v/>
      </c>
      <c r="S161" s="6" t="inlineStr">
        <is>
          <t>https://www.coreslab.com/locations/austin-texas-precast-concrete/</t>
        </is>
      </c>
      <c r="T161" s="9" t="inlineStr">
        <is>
          <t>The only precast producer screened whose own staffing names Houston and multifamily in one title.</t>
        </is>
      </c>
      <c r="U161" s="6" t="inlineStr"/>
      <c r="V161" s="9" t="inlineStr">
        <is>
          <t>The plant's own page, with a direct line.</t>
        </is>
      </c>
      <c r="W161" s="6" t="inlineStr">
        <is>
          <t>https://www.coreslab.com/locations/austin-texas-precast-concrete/</t>
        </is>
      </c>
      <c r="X161" s="6" t="inlineStr"/>
      <c r="Y161" s="6" t="inlineStr"/>
      <c r="Z161" s="6" t="inlineStr"/>
      <c r="AA161" s="6" t="inlineStr">
        <is>
          <t>(512) 250-0755</t>
        </is>
      </c>
      <c r="AB161" s="6" t="inlineStr">
        <is>
          <t>main</t>
        </is>
      </c>
      <c r="AC161" s="6" t="inlineStr">
        <is>
          <t>https://www.coreslab.com/locations/austin-texas-precast-concrete/</t>
        </is>
      </c>
    </row>
    <row r="162">
      <c r="A162" s="12" t="inlineStr">
        <is>
          <t>Robb Harrington</t>
        </is>
      </c>
      <c r="B162" s="12" t="inlineStr">
        <is>
          <t>Coreslab Structures (Texas)</t>
        </is>
      </c>
      <c r="C162" s="12" t="inlineStr">
        <is>
          <t>Project Consultant, Dallas-Fort Worth and North Texas</t>
        </is>
      </c>
      <c r="D162" s="13" t="inlineStr">
        <is>
          <t>Builds the wall, not the house</t>
        </is>
      </c>
      <c r="E162" s="14" t="n">
        <v>2</v>
      </c>
      <c r="F162" s="12" t="inlineStr">
        <is>
          <t>Builds the wall</t>
        </is>
      </c>
      <c r="G162" s="12" t="inlineStr">
        <is>
          <t>Cedar Park plant, with a project consultant covering Houston</t>
        </is>
      </c>
      <c r="H162" s="12" t="inlineStr">
        <is>
          <t>The group's only Texas plant</t>
        </is>
      </c>
      <c r="I162" s="14" t="inlineStr">
        <is>
          <t>Yes</t>
        </is>
      </c>
      <c r="J162" s="15" t="inlineStr">
        <is>
          <t>A complete line of architectural and structural products cast repeatedly from one Texas plant since 1988.</t>
        </is>
      </c>
      <c r="K162" s="14" t="inlineStr">
        <is>
          <t>Partly</t>
        </is>
      </c>
      <c r="L162" s="15" t="inlineStr">
        <is>
          <t>A plant serving the whole state from Cedar Park is larger than one or two printers would cover, and Houston is a sales territory rather than a production location.</t>
        </is>
      </c>
      <c r="M162" s="14" t="inlineStr">
        <is>
          <t>No</t>
        </is>
      </c>
      <c r="N162" s="15" t="inlineStr">
        <is>
          <t>No record of paying for an unproven method.</t>
        </is>
      </c>
      <c r="O162" s="14" t="inlineStr">
        <is>
          <t>Yes</t>
        </is>
      </c>
      <c r="P162" s="10" t="inlineStr"/>
      <c r="Q162" s="12" t="inlineStr"/>
      <c r="R162" s="16">
        <f>IF(P162="","ADD LINKEDIN","ok")</f>
        <v/>
      </c>
      <c r="S162" s="12" t="inlineStr">
        <is>
          <t>https://www.coreslab.com/locations/austin-texas-precast-concrete/</t>
        </is>
      </c>
      <c r="T162" s="15" t="inlineStr">
        <is>
          <t>The only precast producer screened whose own staffing names Houston and multifamily in one title.</t>
        </is>
      </c>
      <c r="U162" s="12" t="inlineStr"/>
      <c r="V162" s="15" t="inlineStr">
        <is>
          <t>The plant's own page, which completes the Texas coverage map.</t>
        </is>
      </c>
      <c r="W162" s="12" t="inlineStr">
        <is>
          <t>https://www.coreslab.com/locations/austin-texas-precast-concrete/</t>
        </is>
      </c>
      <c r="X162" s="12" t="inlineStr"/>
      <c r="Y162" s="12" t="inlineStr"/>
      <c r="Z162" s="12" t="inlineStr"/>
      <c r="AA162" s="12" t="inlineStr">
        <is>
          <t>(512) 250-0755</t>
        </is>
      </c>
      <c r="AB162" s="12" t="inlineStr">
        <is>
          <t>main</t>
        </is>
      </c>
      <c r="AC162" s="12" t="inlineStr">
        <is>
          <t>https://www.coreslab.com/locations/austin-texas-precast-concrete/</t>
        </is>
      </c>
    </row>
    <row r="163">
      <c r="A163" s="6" t="inlineStr">
        <is>
          <t>Trey Green</t>
        </is>
      </c>
      <c r="B163" s="6" t="inlineStr">
        <is>
          <t>Greco Structures</t>
        </is>
      </c>
      <c r="C163" s="6" t="inlineStr">
        <is>
          <t>Senior Vice President, Self Perform Group, Satterfield and Pontikes</t>
        </is>
      </c>
      <c r="D163" s="7" t="inlineStr">
        <is>
          <t>Builds the wall, not the house</t>
        </is>
      </c>
      <c r="E163" s="8" t="n">
        <v>2</v>
      </c>
      <c r="F163" s="6" t="inlineStr">
        <is>
          <t>Builds the wall</t>
        </is>
      </c>
      <c r="G163" s="6" t="inlineStr">
        <is>
          <t>Houston, working Harris and Fort Bend</t>
        </is>
      </c>
      <c r="H163" s="6" t="inlineStr">
        <is>
          <t>49 panels, tallest 52 feet 7 inches, on one job</t>
        </is>
      </c>
      <c r="I163" s="8" t="inlineStr">
        <is>
          <t>Yes</t>
        </is>
      </c>
      <c r="J163" s="9" t="inlineStr">
        <is>
          <t>Panel and deck work recurring across Houston projects for a standing set of general contractors.</t>
        </is>
      </c>
      <c r="K163" s="8" t="inlineStr">
        <is>
          <t>Partly</t>
        </is>
      </c>
      <c r="L163" s="9" t="inlineStr">
        <is>
          <t>No crew count or annual volume is published, and the purchase would clear through the parent's self-perform group rather than through Greco. On the bands, both of those are a Partly.</t>
        </is>
      </c>
      <c r="M163" s="8" t="inlineStr">
        <is>
          <t>No</t>
        </is>
      </c>
      <c r="N163" s="9" t="inlineStr">
        <is>
          <t>No method statement on record.</t>
        </is>
      </c>
      <c r="O163" s="8" t="inlineStr">
        <is>
          <t>Yes</t>
        </is>
      </c>
      <c r="P163" s="10" t="inlineStr"/>
      <c r="Q163" s="6" t="inlineStr"/>
      <c r="R163" s="11">
        <f>IF(P163="","ADD LINKEDIN","ok")</f>
        <v/>
      </c>
      <c r="S163" s="6" t="inlineStr">
        <is>
          <t>https://grecostructures.com/</t>
        </is>
      </c>
      <c r="T163" s="9" t="inlineStr">
        <is>
          <t>Panels at 52 feet and elevated post-tensioned decks. The work repeats inside one metro and is bought by general contractors rather than by owners.</t>
        </is>
      </c>
      <c r="U163" s="6" t="inlineStr">
        <is>
          <t>YES</t>
        </is>
      </c>
      <c r="V163" s="9" t="inlineStr">
        <is>
          <t>The parent's own team page: he oversees the Self Perform group of Greco Structures, Rollcon, Rocket Pumping and Westway Construction.</t>
        </is>
      </c>
      <c r="W163" s="6" t="inlineStr">
        <is>
          <t>https://www.satpon.com/about/team/</t>
        </is>
      </c>
      <c r="X163" s="6" t="inlineStr"/>
      <c r="Y163" s="6" t="inlineStr">
        <is>
          <t>https://www.satpon.com/about/team/</t>
        </is>
      </c>
      <c r="Z163" s="6" t="inlineStr"/>
      <c r="AA163" s="6" t="inlineStr">
        <is>
          <t>(713) 375-2380</t>
        </is>
      </c>
      <c r="AB163" s="6" t="inlineStr"/>
      <c r="AC163" s="6" t="inlineStr">
        <is>
          <t>https://grecostructures.com/contact/</t>
        </is>
      </c>
    </row>
    <row r="164">
      <c r="A164" s="12" t="inlineStr">
        <is>
          <t>George A. Pontikes Jr.</t>
        </is>
      </c>
      <c r="B164" s="12" t="inlineStr">
        <is>
          <t>Greco Structures</t>
        </is>
      </c>
      <c r="C164" s="12" t="inlineStr">
        <is>
          <t>Chief Executive Officer and Chairman, Satterfield and Pontikes</t>
        </is>
      </c>
      <c r="D164" s="13" t="inlineStr">
        <is>
          <t>Builds the wall, not the house</t>
        </is>
      </c>
      <c r="E164" s="14" t="n">
        <v>2</v>
      </c>
      <c r="F164" s="12" t="inlineStr">
        <is>
          <t>Builds the wall</t>
        </is>
      </c>
      <c r="G164" s="12" t="inlineStr">
        <is>
          <t>Houston, working Harris and Fort Bend</t>
        </is>
      </c>
      <c r="H164" s="12" t="inlineStr">
        <is>
          <t>49 panels, tallest 52 feet 7 inches, on one job</t>
        </is>
      </c>
      <c r="I164" s="14" t="inlineStr">
        <is>
          <t>Yes</t>
        </is>
      </c>
      <c r="J164" s="15" t="inlineStr">
        <is>
          <t>Panel and deck work recurring across Houston projects for a standing set of general contractors.</t>
        </is>
      </c>
      <c r="K164" s="14" t="inlineStr">
        <is>
          <t>Partly</t>
        </is>
      </c>
      <c r="L164" s="15" t="inlineStr">
        <is>
          <t>No crew count or annual volume is published, and the purchase would clear through the parent's self-perform group rather than through Greco. On the bands, both of those are a Partly.</t>
        </is>
      </c>
      <c r="M164" s="14" t="inlineStr">
        <is>
          <t>No</t>
        </is>
      </c>
      <c r="N164" s="15" t="inlineStr">
        <is>
          <t>No method statement on record.</t>
        </is>
      </c>
      <c r="O164" s="14" t="inlineStr">
        <is>
          <t>Yes</t>
        </is>
      </c>
      <c r="P164" s="10" t="inlineStr"/>
      <c r="Q164" s="12" t="inlineStr"/>
      <c r="R164" s="16">
        <f>IF(P164="","ADD LINKEDIN","ok")</f>
        <v/>
      </c>
      <c r="S164" s="12" t="inlineStr">
        <is>
          <t>https://grecostructures.com/</t>
        </is>
      </c>
      <c r="T164" s="15" t="inlineStr">
        <is>
          <t>Panels at 52 feet and elevated post-tensioned decks. The work repeats inside one metro and is bought by general contractors rather than by owners.</t>
        </is>
      </c>
      <c r="U164" s="12" t="inlineStr"/>
      <c r="V164" s="15" t="inlineStr">
        <is>
          <t>The parent's own team page: he founded Satterfield and Pontikes with Tommy Satterfield in 1989.</t>
        </is>
      </c>
      <c r="W164" s="12" t="inlineStr">
        <is>
          <t>https://www.satpon.com/about/team/</t>
        </is>
      </c>
      <c r="X164" s="12" t="inlineStr"/>
      <c r="Y164" s="12" t="inlineStr">
        <is>
          <t>https://www.satpon.com/about/team/</t>
        </is>
      </c>
      <c r="Z164" s="12" t="inlineStr"/>
      <c r="AA164" s="12" t="inlineStr">
        <is>
          <t>(713) 375-2380</t>
        </is>
      </c>
      <c r="AB164" s="12" t="inlineStr"/>
      <c r="AC164" s="12" t="inlineStr">
        <is>
          <t>https://grecostructures.com/contact/</t>
        </is>
      </c>
    </row>
    <row r="165">
      <c r="A165" s="6" t="inlineStr">
        <is>
          <t>Thomas Valentine</t>
        </is>
      </c>
      <c r="B165" s="6" t="inlineStr">
        <is>
          <t>Greco Structures</t>
        </is>
      </c>
      <c r="C165" s="6" t="inlineStr">
        <is>
          <t>Operations Manager</t>
        </is>
      </c>
      <c r="D165" s="7" t="inlineStr">
        <is>
          <t>Builds the wall, not the house</t>
        </is>
      </c>
      <c r="E165" s="8" t="n">
        <v>2</v>
      </c>
      <c r="F165" s="6" t="inlineStr">
        <is>
          <t>Builds the wall</t>
        </is>
      </c>
      <c r="G165" s="6" t="inlineStr">
        <is>
          <t>Houston, working Harris and Fort Bend</t>
        </is>
      </c>
      <c r="H165" s="6" t="inlineStr">
        <is>
          <t>49 panels, tallest 52 feet 7 inches, on one job</t>
        </is>
      </c>
      <c r="I165" s="8" t="inlineStr">
        <is>
          <t>Yes</t>
        </is>
      </c>
      <c r="J165" s="9" t="inlineStr">
        <is>
          <t>Panel and deck work recurring across Houston projects for a standing set of general contractors.</t>
        </is>
      </c>
      <c r="K165" s="8" t="inlineStr">
        <is>
          <t>Partly</t>
        </is>
      </c>
      <c r="L165" s="9" t="inlineStr">
        <is>
          <t>No crew count or annual volume is published, and the purchase would clear through the parent's self-perform group rather than through Greco. On the bands, both of those are a Partly.</t>
        </is>
      </c>
      <c r="M165" s="8" t="inlineStr">
        <is>
          <t>No</t>
        </is>
      </c>
      <c r="N165" s="9" t="inlineStr">
        <is>
          <t>No method statement on record.</t>
        </is>
      </c>
      <c r="O165" s="8" t="inlineStr">
        <is>
          <t>Yes</t>
        </is>
      </c>
      <c r="P165" s="6" t="inlineStr">
        <is>
          <t>https://www.linkedin.com/in/thomas-valentine-6b1a7b117/</t>
        </is>
      </c>
      <c r="Q165" s="6" t="inlineStr"/>
      <c r="R165" s="11">
        <f>IF(P165="","ADD LINKEDIN","ok")</f>
        <v/>
      </c>
      <c r="S165" s="6" t="inlineStr">
        <is>
          <t>https://grecostructures.com/</t>
        </is>
      </c>
      <c r="T165" s="9" t="inlineStr">
        <is>
          <t>Panels at 52 feet and elevated post-tensioned decks. The work repeats inside one metro and is bought by general contractors rather than by owners.</t>
        </is>
      </c>
      <c r="U165" s="6" t="inlineStr"/>
      <c r="V165" s="9" t="inlineStr">
        <is>
          <t>Headline reads Operations Manager at Greco Structures. Spring, Texas.</t>
        </is>
      </c>
      <c r="W165" s="6" t="inlineStr"/>
      <c r="X165" s="6" t="inlineStr"/>
      <c r="Y165" s="6" t="inlineStr">
        <is>
          <t>https://www.satpon.com/about/team/</t>
        </is>
      </c>
      <c r="Z165" s="6" t="inlineStr"/>
      <c r="AA165" s="6" t="inlineStr">
        <is>
          <t>(713) 375-2380</t>
        </is>
      </c>
      <c r="AB165" s="6" t="inlineStr"/>
      <c r="AC165" s="6" t="inlineStr">
        <is>
          <t>https://grecostructures.com/contact/</t>
        </is>
      </c>
    </row>
    <row r="166">
      <c r="A166" s="12" t="inlineStr">
        <is>
          <t>Jordan Lopez</t>
        </is>
      </c>
      <c r="B166" s="12" t="inlineStr">
        <is>
          <t>Greco Structures</t>
        </is>
      </c>
      <c r="C166" s="12" t="inlineStr">
        <is>
          <t>Business Development, Greco Structures and Rollcon</t>
        </is>
      </c>
      <c r="D166" s="13" t="inlineStr">
        <is>
          <t>Builds the wall, not the house</t>
        </is>
      </c>
      <c r="E166" s="14" t="n">
        <v>2</v>
      </c>
      <c r="F166" s="12" t="inlineStr">
        <is>
          <t>Builds the wall</t>
        </is>
      </c>
      <c r="G166" s="12" t="inlineStr">
        <is>
          <t>Houston, working Harris and Fort Bend</t>
        </is>
      </c>
      <c r="H166" s="12" t="inlineStr">
        <is>
          <t>49 panels, tallest 52 feet 7 inches, on one job</t>
        </is>
      </c>
      <c r="I166" s="14" t="inlineStr">
        <is>
          <t>Yes</t>
        </is>
      </c>
      <c r="J166" s="15" t="inlineStr">
        <is>
          <t>Panel and deck work recurring across Houston projects for a standing set of general contractors.</t>
        </is>
      </c>
      <c r="K166" s="14" t="inlineStr">
        <is>
          <t>Partly</t>
        </is>
      </c>
      <c r="L166" s="15" t="inlineStr">
        <is>
          <t>No crew count or annual volume is published, and the purchase would clear through the parent's self-perform group rather than through Greco. On the bands, both of those are a Partly.</t>
        </is>
      </c>
      <c r="M166" s="14" t="inlineStr">
        <is>
          <t>No</t>
        </is>
      </c>
      <c r="N166" s="15" t="inlineStr">
        <is>
          <t>No method statement on record.</t>
        </is>
      </c>
      <c r="O166" s="14" t="inlineStr">
        <is>
          <t>Yes</t>
        </is>
      </c>
      <c r="P166" s="6" t="inlineStr">
        <is>
          <t>https://www.linkedin.com/in/jordan-lopez-528225229/</t>
        </is>
      </c>
      <c r="Q166" s="12" t="inlineStr"/>
      <c r="R166" s="16">
        <f>IF(P166="","ADD LINKEDIN","ok")</f>
        <v/>
      </c>
      <c r="S166" s="12" t="inlineStr">
        <is>
          <t>https://grecostructures.com/</t>
        </is>
      </c>
      <c r="T166" s="15" t="inlineStr">
        <is>
          <t>Panels at 52 feet and elevated post-tensioned decks. The work repeats inside one metro and is bought by general contractors rather than by owners.</t>
        </is>
      </c>
      <c r="U166" s="12" t="inlineStr"/>
      <c r="V166" s="15" t="inlineStr">
        <is>
          <t>Headline reads Business Development Specialist for Greco Structures &amp; Rollcon. Houston, Texas.</t>
        </is>
      </c>
      <c r="W166" s="12" t="inlineStr"/>
      <c r="X166" s="12" t="inlineStr"/>
      <c r="Y166" s="12" t="inlineStr">
        <is>
          <t>https://www.satpon.com/about/team/</t>
        </is>
      </c>
      <c r="Z166" s="12" t="inlineStr"/>
      <c r="AA166" s="12" t="inlineStr">
        <is>
          <t>(713) 375-2380</t>
        </is>
      </c>
      <c r="AB166" s="12" t="inlineStr"/>
      <c r="AC166" s="12" t="inlineStr">
        <is>
          <t>https://grecostructures.com/contact/</t>
        </is>
      </c>
    </row>
    <row r="167">
      <c r="A167" s="6" t="inlineStr">
        <is>
          <t>David E. Harvey Sr.</t>
        </is>
      </c>
      <c r="B167" s="6" t="inlineStr">
        <is>
          <t>Harvey Cleary</t>
        </is>
      </c>
      <c r="C167" s="6" t="inlineStr">
        <is>
          <t>Founder</t>
        </is>
      </c>
      <c r="D167" s="7" t="inlineStr">
        <is>
          <t>Builds the wall, not the house</t>
        </is>
      </c>
      <c r="E167" s="8" t="n">
        <v>2</v>
      </c>
      <c r="F167" s="6" t="inlineStr">
        <is>
          <t>Builds the wall</t>
        </is>
      </c>
      <c r="G167" s="6" t="inlineStr">
        <is>
          <t>Houston, with Austin, San Antonio, Denver and Washington</t>
        </is>
      </c>
      <c r="H167" s="6" t="inlineStr">
        <is>
          <t>$2 billion in volume, 700-plus employees, founded 1957</t>
        </is>
      </c>
      <c r="I167" s="8" t="inlineStr">
        <is>
          <t>Yes</t>
        </is>
      </c>
      <c r="J167" s="9" t="inlineStr">
        <is>
          <t>A standing residential market inside the firm, with multifamily buildings delivered repeatedly alongside the commercial work.</t>
        </is>
      </c>
      <c r="K167" s="8" t="inlineStr">
        <is>
          <t>Partly</t>
        </is>
      </c>
      <c r="L167" s="9" t="inlineStr">
        <is>
          <t>$2 billion in construction volume and more than 700 employees on the firm's own count. One or two printers would be a line inside a business that size rather than the business.</t>
        </is>
      </c>
      <c r="M167" s="8" t="inlineStr">
        <is>
          <t>No</t>
        </is>
      </c>
      <c r="N167" s="9" t="inlineStr">
        <is>
          <t>No method statement on record. Owning the equipment and the crews is not the same as having paid for a method that was new at the time.</t>
        </is>
      </c>
      <c r="O167" s="8" t="inlineStr">
        <is>
          <t>Yes</t>
        </is>
      </c>
      <c r="P167" s="10" t="inlineStr"/>
      <c r="Q167" s="6" t="inlineStr"/>
      <c r="R167" s="11">
        <f>IF(P167="","ADD LINKEDIN","ok")</f>
        <v/>
      </c>
      <c r="S167" s="6" t="inlineStr">
        <is>
          <t>https://www.harveycleary.com/</t>
        </is>
      </c>
      <c r="T167" s="9" t="inlineStr">
        <is>
          <t>It owns formwork, rebar, place and finish, tiltwall erection, architectural precast and tower crane erection, and it builds apartments. No other firm screened discloses that much owned trade.</t>
        </is>
      </c>
      <c r="U167" s="6" t="inlineStr"/>
      <c r="V167" s="9" t="inlineStr">
        <is>
          <t>The firm's own about page: David E. Harvey, Sr. and Gerald D. Hines founded it in 1957, and Harvey was already a proponent of tiltwall.</t>
        </is>
      </c>
      <c r="W167" s="6" t="inlineStr">
        <is>
          <t>https://www.harveycleary.com/about-us/</t>
        </is>
      </c>
      <c r="X167" s="6" t="inlineStr"/>
      <c r="Y167" s="6" t="inlineStr">
        <is>
          <t>https://www.harveycleary.com/about-us/</t>
        </is>
      </c>
      <c r="Z167" s="6" t="inlineStr">
        <is>
          <t>2026 Engineering News-Record. ENR 2026 Top 400 Contractors, where the firm is ranked 72  https://www.enr.com/toplists/2026-Top-400-Contractors-1</t>
        </is>
      </c>
      <c r="AA167" s="6" t="inlineStr"/>
      <c r="AB167" s="6" t="inlineStr"/>
      <c r="AC167" s="6" t="inlineStr"/>
    </row>
    <row r="168">
      <c r="A168" s="12" t="inlineStr">
        <is>
          <t>David Harvey Jr.</t>
        </is>
      </c>
      <c r="B168" s="12" t="inlineStr">
        <is>
          <t>Harvey Cleary</t>
        </is>
      </c>
      <c r="C168" s="12" t="inlineStr">
        <is>
          <t>Took ownership in 1987</t>
        </is>
      </c>
      <c r="D168" s="13" t="inlineStr">
        <is>
          <t>Builds the wall, not the house</t>
        </is>
      </c>
      <c r="E168" s="14" t="n">
        <v>2</v>
      </c>
      <c r="F168" s="12" t="inlineStr">
        <is>
          <t>Builds the wall</t>
        </is>
      </c>
      <c r="G168" s="12" t="inlineStr">
        <is>
          <t>Houston, with Austin, San Antonio, Denver and Washington</t>
        </is>
      </c>
      <c r="H168" s="12" t="inlineStr">
        <is>
          <t>$2 billion in volume, 700-plus employees, founded 1957</t>
        </is>
      </c>
      <c r="I168" s="14" t="inlineStr">
        <is>
          <t>Yes</t>
        </is>
      </c>
      <c r="J168" s="15" t="inlineStr">
        <is>
          <t>A standing residential market inside the firm, with multifamily buildings delivered repeatedly alongside the commercial work.</t>
        </is>
      </c>
      <c r="K168" s="14" t="inlineStr">
        <is>
          <t>Partly</t>
        </is>
      </c>
      <c r="L168" s="15" t="inlineStr">
        <is>
          <t>$2 billion in construction volume and more than 700 employees on the firm's own count. One or two printers would be a line inside a business that size rather than the business.</t>
        </is>
      </c>
      <c r="M168" s="14" t="inlineStr">
        <is>
          <t>No</t>
        </is>
      </c>
      <c r="N168" s="15" t="inlineStr">
        <is>
          <t>No method statement on record. Owning the equipment and the crews is not the same as having paid for a method that was new at the time.</t>
        </is>
      </c>
      <c r="O168" s="14" t="inlineStr">
        <is>
          <t>Yes</t>
        </is>
      </c>
      <c r="P168" s="10" t="inlineStr"/>
      <c r="Q168" s="12" t="inlineStr"/>
      <c r="R168" s="16">
        <f>IF(P168="","ADD LINKEDIN","ok")</f>
        <v/>
      </c>
      <c r="S168" s="12" t="inlineStr">
        <is>
          <t>https://www.harveycleary.com/</t>
        </is>
      </c>
      <c r="T168" s="15" t="inlineStr">
        <is>
          <t>It owns formwork, rebar, place and finish, tiltwall erection, architectural precast and tower crane erection, and it builds apartments. No other firm screened discloses that much owned trade.</t>
        </is>
      </c>
      <c r="U168" s="12" t="inlineStr"/>
      <c r="V168" s="15" t="inlineStr">
        <is>
          <t>The firm's own about page: he and Joseph Cleary both started at Harvey, in 1977 and 1976, and both took ownership in 1987, renaming it Harvey Cleary.</t>
        </is>
      </c>
      <c r="W168" s="12" t="inlineStr">
        <is>
          <t>https://www.harveycleary.com/about-us/</t>
        </is>
      </c>
      <c r="X168" s="12" t="inlineStr"/>
      <c r="Y168" s="12" t="inlineStr">
        <is>
          <t>https://www.harveycleary.com/about-us/</t>
        </is>
      </c>
      <c r="Z168" s="12" t="inlineStr">
        <is>
          <t>2026 Engineering News-Record. ENR 2026 Top 400 Contractors, where the firm is ranked 72  https://www.enr.com/toplists/2026-Top-400-Contractors-1</t>
        </is>
      </c>
      <c r="AA168" s="12" t="inlineStr"/>
      <c r="AB168" s="12" t="inlineStr"/>
      <c r="AC168" s="12" t="inlineStr"/>
    </row>
    <row r="169">
      <c r="A169" s="6" t="inlineStr">
        <is>
          <t>Joseph Cleary</t>
        </is>
      </c>
      <c r="B169" s="6" t="inlineStr">
        <is>
          <t>Harvey Cleary</t>
        </is>
      </c>
      <c r="C169" s="6" t="inlineStr">
        <is>
          <t>Took ownership in 1987</t>
        </is>
      </c>
      <c r="D169" s="7" t="inlineStr">
        <is>
          <t>Builds the wall, not the house</t>
        </is>
      </c>
      <c r="E169" s="8" t="n">
        <v>2</v>
      </c>
      <c r="F169" s="6" t="inlineStr">
        <is>
          <t>Builds the wall</t>
        </is>
      </c>
      <c r="G169" s="6" t="inlineStr">
        <is>
          <t>Houston, with Austin, San Antonio, Denver and Washington</t>
        </is>
      </c>
      <c r="H169" s="6" t="inlineStr">
        <is>
          <t>$2 billion in volume, 700-plus employees, founded 1957</t>
        </is>
      </c>
      <c r="I169" s="8" t="inlineStr">
        <is>
          <t>Yes</t>
        </is>
      </c>
      <c r="J169" s="9" t="inlineStr">
        <is>
          <t>A standing residential market inside the firm, with multifamily buildings delivered repeatedly alongside the commercial work.</t>
        </is>
      </c>
      <c r="K169" s="8" t="inlineStr">
        <is>
          <t>Partly</t>
        </is>
      </c>
      <c r="L169" s="9" t="inlineStr">
        <is>
          <t>$2 billion in construction volume and more than 700 employees on the firm's own count. One or two printers would be a line inside a business that size rather than the business.</t>
        </is>
      </c>
      <c r="M169" s="8" t="inlineStr">
        <is>
          <t>No</t>
        </is>
      </c>
      <c r="N169" s="9" t="inlineStr">
        <is>
          <t>No method statement on record. Owning the equipment and the crews is not the same as having paid for a method that was new at the time.</t>
        </is>
      </c>
      <c r="O169" s="8" t="inlineStr">
        <is>
          <t>Yes</t>
        </is>
      </c>
      <c r="P169" s="10" t="inlineStr"/>
      <c r="Q169" s="6" t="inlineStr"/>
      <c r="R169" s="11">
        <f>IF(P169="","ADD LINKEDIN","ok")</f>
        <v/>
      </c>
      <c r="S169" s="6" t="inlineStr">
        <is>
          <t>https://www.harveycleary.com/</t>
        </is>
      </c>
      <c r="T169" s="9" t="inlineStr">
        <is>
          <t>It owns formwork, rebar, place and finish, tiltwall erection, architectural precast and tower crane erection, and it builds apartments. No other firm screened discloses that much owned trade.</t>
        </is>
      </c>
      <c r="U169" s="6" t="inlineStr"/>
      <c r="V169" s="9" t="inlineStr">
        <is>
          <t>The firm's own about page: he and David Harvey, Jr. both took ownership in 1987, renaming Harvey Builders to Harvey Cleary.</t>
        </is>
      </c>
      <c r="W169" s="6" t="inlineStr">
        <is>
          <t>https://www.harveycleary.com/about-us/</t>
        </is>
      </c>
      <c r="X169" s="6" t="inlineStr"/>
      <c r="Y169" s="6" t="inlineStr">
        <is>
          <t>https://www.harveycleary.com/about-us/</t>
        </is>
      </c>
      <c r="Z169" s="6" t="inlineStr">
        <is>
          <t>2026 Engineering News-Record. ENR 2026 Top 400 Contractors, where the firm is ranked 72  https://www.enr.com/toplists/2026-Top-400-Contractors-1</t>
        </is>
      </c>
      <c r="AA169" s="6" t="inlineStr"/>
      <c r="AB169" s="6" t="inlineStr"/>
      <c r="AC169" s="6" t="inlineStr"/>
    </row>
    <row r="170">
      <c r="A170" s="12" t="inlineStr">
        <is>
          <t>Scott Clarke</t>
        </is>
      </c>
      <c r="B170" s="12" t="inlineStr">
        <is>
          <t>Harvey Cleary</t>
        </is>
      </c>
      <c r="C170" s="12" t="inlineStr">
        <is>
          <t>Chief Operating Officer</t>
        </is>
      </c>
      <c r="D170" s="13" t="inlineStr">
        <is>
          <t>Builds the wall, not the house</t>
        </is>
      </c>
      <c r="E170" s="14" t="n">
        <v>2</v>
      </c>
      <c r="F170" s="12" t="inlineStr">
        <is>
          <t>Builds the wall</t>
        </is>
      </c>
      <c r="G170" s="12" t="inlineStr">
        <is>
          <t>Houston, with Austin, San Antonio, Denver and Washington</t>
        </is>
      </c>
      <c r="H170" s="12" t="inlineStr">
        <is>
          <t>$2 billion in volume, 700-plus employees, founded 1957</t>
        </is>
      </c>
      <c r="I170" s="14" t="inlineStr">
        <is>
          <t>Yes</t>
        </is>
      </c>
      <c r="J170" s="15" t="inlineStr">
        <is>
          <t>A standing residential market inside the firm, with multifamily buildings delivered repeatedly alongside the commercial work.</t>
        </is>
      </c>
      <c r="K170" s="14" t="inlineStr">
        <is>
          <t>Partly</t>
        </is>
      </c>
      <c r="L170" s="15" t="inlineStr">
        <is>
          <t>$2 billion in construction volume and more than 700 employees on the firm's own count. One or two printers would be a line inside a business that size rather than the business.</t>
        </is>
      </c>
      <c r="M170" s="14" t="inlineStr">
        <is>
          <t>No</t>
        </is>
      </c>
      <c r="N170" s="15" t="inlineStr">
        <is>
          <t>No method statement on record. Owning the equipment and the crews is not the same as having paid for a method that was new at the time.</t>
        </is>
      </c>
      <c r="O170" s="14" t="inlineStr">
        <is>
          <t>Yes</t>
        </is>
      </c>
      <c r="P170" s="6" t="inlineStr">
        <is>
          <t>https://www.linkedin.com/in/scott-clarke-a2a1a521/</t>
        </is>
      </c>
      <c r="Q170" s="12" t="inlineStr"/>
      <c r="R170" s="16">
        <f>IF(P170="","ADD LINKEDIN","ok")</f>
        <v/>
      </c>
      <c r="S170" s="12" t="inlineStr">
        <is>
          <t>https://www.harveycleary.com/</t>
        </is>
      </c>
      <c r="T170" s="15" t="inlineStr">
        <is>
          <t>It owns formwork, rebar, place and finish, tiltwall erection, architectural precast and tower crane erection, and it builds apartments. No other firm screened discloses that much owned trade.</t>
        </is>
      </c>
      <c r="U170" s="12" t="inlineStr">
        <is>
          <t>YES</t>
        </is>
      </c>
      <c r="V170" s="15" t="inlineStr">
        <is>
          <t>Headline reads Chief Operating Officer at Harvey | Harvey-Cleary Builders. Houston, Texas.</t>
        </is>
      </c>
      <c r="W170" s="12" t="inlineStr"/>
      <c r="X170" s="12" t="inlineStr"/>
      <c r="Y170" s="12" t="inlineStr">
        <is>
          <t>https://www.harveycleary.com/about-us/</t>
        </is>
      </c>
      <c r="Z170" s="12" t="inlineStr">
        <is>
          <t>2026 Engineering News-Record. ENR 2026 Top 400 Contractors, where the firm is ranked 72  https://www.enr.com/toplists/2026-Top-400-Contractors-1</t>
        </is>
      </c>
      <c r="AA170" s="12" t="inlineStr"/>
      <c r="AB170" s="12" t="inlineStr"/>
      <c r="AC170" s="12" t="inlineStr"/>
    </row>
    <row r="171">
      <c r="A171" s="6" t="inlineStr">
        <is>
          <t>Jarrod Portelance</t>
        </is>
      </c>
      <c r="B171" s="6" t="inlineStr">
        <is>
          <t>Harvey Cleary</t>
        </is>
      </c>
      <c r="C171" s="6" t="inlineStr">
        <is>
          <t>Project Director</t>
        </is>
      </c>
      <c r="D171" s="7" t="inlineStr">
        <is>
          <t>Builds the wall, not the house</t>
        </is>
      </c>
      <c r="E171" s="8" t="n">
        <v>2</v>
      </c>
      <c r="F171" s="6" t="inlineStr">
        <is>
          <t>Builds the wall</t>
        </is>
      </c>
      <c r="G171" s="6" t="inlineStr">
        <is>
          <t>Houston, with Austin, San Antonio, Denver and Washington</t>
        </is>
      </c>
      <c r="H171" s="6" t="inlineStr">
        <is>
          <t>$2 billion in volume, 700-plus employees, founded 1957</t>
        </is>
      </c>
      <c r="I171" s="8" t="inlineStr">
        <is>
          <t>Yes</t>
        </is>
      </c>
      <c r="J171" s="9" t="inlineStr">
        <is>
          <t>A standing residential market inside the firm, with multifamily buildings delivered repeatedly alongside the commercial work.</t>
        </is>
      </c>
      <c r="K171" s="8" t="inlineStr">
        <is>
          <t>Partly</t>
        </is>
      </c>
      <c r="L171" s="9" t="inlineStr">
        <is>
          <t>$2 billion in construction volume and more than 700 employees on the firm's own count. One or two printers would be a line inside a business that size rather than the business.</t>
        </is>
      </c>
      <c r="M171" s="8" t="inlineStr">
        <is>
          <t>No</t>
        </is>
      </c>
      <c r="N171" s="9" t="inlineStr">
        <is>
          <t>No method statement on record. Owning the equipment and the crews is not the same as having paid for a method that was new at the time.</t>
        </is>
      </c>
      <c r="O171" s="8" t="inlineStr">
        <is>
          <t>Yes</t>
        </is>
      </c>
      <c r="P171" s="6" t="inlineStr">
        <is>
          <t>https://www.linkedin.com/in/jarrodportelance/</t>
        </is>
      </c>
      <c r="Q171" s="6" t="inlineStr"/>
      <c r="R171" s="11">
        <f>IF(P171="","ADD LINKEDIN","ok")</f>
        <v/>
      </c>
      <c r="S171" s="6" t="inlineStr">
        <is>
          <t>https://www.harveycleary.com/</t>
        </is>
      </c>
      <c r="T171" s="9" t="inlineStr">
        <is>
          <t>It owns formwork, rebar, place and finish, tiltwall erection, architectural precast and tower crane erection, and it builds apartments. No other firm screened discloses that much owned trade.</t>
        </is>
      </c>
      <c r="U171" s="6" t="inlineStr"/>
      <c r="V171" s="9" t="inlineStr">
        <is>
          <t>Headline reads Project Director at Harvey | Harvey-Cleary Builders. Houston, Texas.</t>
        </is>
      </c>
      <c r="W171" s="6" t="inlineStr"/>
      <c r="X171" s="6" t="inlineStr"/>
      <c r="Y171" s="6" t="inlineStr">
        <is>
          <t>https://www.harveycleary.com/about-us/</t>
        </is>
      </c>
      <c r="Z171" s="6" t="inlineStr">
        <is>
          <t>2026 Engineering News-Record. ENR 2026 Top 400 Contractors, where the firm is ranked 72  https://www.enr.com/toplists/2026-Top-400-Contractors-1</t>
        </is>
      </c>
      <c r="AA171" s="6" t="inlineStr"/>
      <c r="AB171" s="6" t="inlineStr"/>
      <c r="AC171" s="6" t="inlineStr"/>
    </row>
    <row r="172">
      <c r="A172" s="12" t="inlineStr">
        <is>
          <t>Chad Petro</t>
        </is>
      </c>
      <c r="B172" s="12" t="inlineStr">
        <is>
          <t>Heldenfels Enterprises, a Metromont company</t>
        </is>
      </c>
      <c r="C172" s="12" t="inlineStr">
        <is>
          <t>President and Chief Executive Officer</t>
        </is>
      </c>
      <c r="D172" s="13" t="inlineStr">
        <is>
          <t>Builds the wall, not the house</t>
        </is>
      </c>
      <c r="E172" s="14" t="n">
        <v>2</v>
      </c>
      <c r="F172" s="12" t="inlineStr">
        <is>
          <t>Builds the wall</t>
        </is>
      </c>
      <c r="G172" s="12" t="inlineStr">
        <is>
          <t>San Marcos and Corpus Christi plants</t>
        </is>
      </c>
      <c r="H172" s="12" t="inlineStr">
        <is>
          <t>85-acre plant in San Marcos</t>
        </is>
      </c>
      <c r="I172" s="14" t="inlineStr">
        <is>
          <t>Yes</t>
        </is>
      </c>
      <c r="J172" s="15" t="inlineStr">
        <is>
          <t>Prestressed elements cast repeatedly from an 85-acre yard for one region.</t>
        </is>
      </c>
      <c r="K172" s="14" t="inlineStr">
        <is>
          <t>Partly</t>
        </is>
      </c>
      <c r="L172" s="15" t="inlineStr">
        <is>
          <t>Eighty-five acres of casting is well beyond what one or two printers would cover, and the product is infrastructure and stadium work rather than house wall.</t>
        </is>
      </c>
      <c r="M172" s="14" t="inlineStr">
        <is>
          <t>No</t>
        </is>
      </c>
      <c r="N172" s="15" t="inlineStr">
        <is>
          <t>No record of paying for an unproven method on its own account.</t>
        </is>
      </c>
      <c r="O172" s="14" t="inlineStr">
        <is>
          <t>Yes</t>
        </is>
      </c>
      <c r="P172" s="6" t="inlineStr">
        <is>
          <t>https://www.linkedin.com/in/chad-petro-89b7a913/</t>
        </is>
      </c>
      <c r="Q172" s="12" t="inlineStr"/>
      <c r="R172" s="16">
        <f>IF(P172="","ADD LINKEDIN","ok")</f>
        <v/>
      </c>
      <c r="S172" s="12" t="inlineStr">
        <is>
          <t>https://heldenfels.com/</t>
        </is>
      </c>
      <c r="T172" s="15" t="inlineStr">
        <is>
          <t>The largest precast footprint inside Houston's supply radius, in the first year under a new parent, which is when a producer entertains new capability.</t>
        </is>
      </c>
      <c r="U172" s="12" t="inlineStr">
        <is>
          <t>YES</t>
        </is>
      </c>
      <c r="V172" s="15" t="inlineStr">
        <is>
          <t>Metromont's chief executive names him as the continuing president and chief executive in the acquisition coverage of 9 February 2026. The firm's own about page still says Senior Vice President and General Manager and has not been updated.</t>
        </is>
      </c>
      <c r="W172" s="12" t="inlineStr"/>
      <c r="X172" s="12" t="inlineStr"/>
      <c r="Y172" s="12" t="inlineStr"/>
      <c r="Z172" s="12" t="inlineStr"/>
      <c r="AA172" s="12" t="inlineStr">
        <is>
          <t>(512) 396-2376</t>
        </is>
      </c>
      <c r="AB172" s="12" t="inlineStr">
        <is>
          <t>San Marcos main</t>
        </is>
      </c>
      <c r="AC172" s="12" t="inlineStr">
        <is>
          <t>https://heldenfels.com/contact/</t>
        </is>
      </c>
    </row>
    <row r="173">
      <c r="A173" s="6" t="inlineStr">
        <is>
          <t>Larry Miller, P.E.</t>
        </is>
      </c>
      <c r="B173" s="6" t="inlineStr">
        <is>
          <t>Heldenfels Enterprises, a Metromont company</t>
        </is>
      </c>
      <c r="C173" s="6" t="inlineStr">
        <is>
          <t>Vice President, Preconstruction and Business Development</t>
        </is>
      </c>
      <c r="D173" s="7" t="inlineStr">
        <is>
          <t>Builds the wall, not the house</t>
        </is>
      </c>
      <c r="E173" s="8" t="n">
        <v>2</v>
      </c>
      <c r="F173" s="6" t="inlineStr">
        <is>
          <t>Builds the wall</t>
        </is>
      </c>
      <c r="G173" s="6" t="inlineStr">
        <is>
          <t>San Marcos and Corpus Christi plants</t>
        </is>
      </c>
      <c r="H173" s="6" t="inlineStr">
        <is>
          <t>85-acre plant in San Marcos</t>
        </is>
      </c>
      <c r="I173" s="8" t="inlineStr">
        <is>
          <t>Yes</t>
        </is>
      </c>
      <c r="J173" s="9" t="inlineStr">
        <is>
          <t>Prestressed elements cast repeatedly from an 85-acre yard for one region.</t>
        </is>
      </c>
      <c r="K173" s="8" t="inlineStr">
        <is>
          <t>Partly</t>
        </is>
      </c>
      <c r="L173" s="9" t="inlineStr">
        <is>
          <t>Eighty-five acres of casting is well beyond what one or two printers would cover, and the product is infrastructure and stadium work rather than house wall.</t>
        </is>
      </c>
      <c r="M173" s="8" t="inlineStr">
        <is>
          <t>No</t>
        </is>
      </c>
      <c r="N173" s="9" t="inlineStr">
        <is>
          <t>No record of paying for an unproven method on its own account.</t>
        </is>
      </c>
      <c r="O173" s="8" t="inlineStr">
        <is>
          <t>Yes</t>
        </is>
      </c>
      <c r="P173" s="10" t="inlineStr"/>
      <c r="Q173" s="6" t="inlineStr"/>
      <c r="R173" s="11">
        <f>IF(P173="","ADD LINKEDIN","ok")</f>
        <v/>
      </c>
      <c r="S173" s="6" t="inlineStr">
        <is>
          <t>https://heldenfels.com/</t>
        </is>
      </c>
      <c r="T173" s="9" t="inlineStr">
        <is>
          <t>The largest precast footprint inside Houston's supply radius, in the first year under a new parent, which is when a producer entertains new capability.</t>
        </is>
      </c>
      <c r="U173" s="6" t="inlineStr"/>
      <c r="V173" s="9" t="inlineStr"/>
      <c r="W173" s="6" t="inlineStr">
        <is>
          <t>https://heldenfels.com/contact/</t>
        </is>
      </c>
      <c r="X173" s="6" t="inlineStr"/>
      <c r="Y173" s="6" t="inlineStr"/>
      <c r="Z173" s="6" t="inlineStr"/>
      <c r="AA173" s="6" t="inlineStr">
        <is>
          <t>(512) 396-2376</t>
        </is>
      </c>
      <c r="AB173" s="6" t="inlineStr">
        <is>
          <t>San Marcos main</t>
        </is>
      </c>
      <c r="AC173" s="6" t="inlineStr">
        <is>
          <t>https://heldenfels.com/contact/</t>
        </is>
      </c>
    </row>
    <row r="174">
      <c r="A174" s="12" t="inlineStr">
        <is>
          <t>Fred W. Heldenfels IV</t>
        </is>
      </c>
      <c r="B174" s="12" t="inlineStr">
        <is>
          <t>Heldenfels Enterprises, a Metromont company</t>
        </is>
      </c>
      <c r="C174" s="12" t="inlineStr">
        <is>
          <t>Founder</t>
        </is>
      </c>
      <c r="D174" s="13" t="inlineStr">
        <is>
          <t>Builds the wall, not the house</t>
        </is>
      </c>
      <c r="E174" s="14" t="n">
        <v>2</v>
      </c>
      <c r="F174" s="12" t="inlineStr">
        <is>
          <t>Builds the wall</t>
        </is>
      </c>
      <c r="G174" s="12" t="inlineStr">
        <is>
          <t>San Marcos and Corpus Christi plants</t>
        </is>
      </c>
      <c r="H174" s="12" t="inlineStr">
        <is>
          <t>85-acre plant in San Marcos</t>
        </is>
      </c>
      <c r="I174" s="14" t="inlineStr">
        <is>
          <t>Yes</t>
        </is>
      </c>
      <c r="J174" s="15" t="inlineStr">
        <is>
          <t>Prestressed elements cast repeatedly from an 85-acre yard for one region.</t>
        </is>
      </c>
      <c r="K174" s="14" t="inlineStr">
        <is>
          <t>Partly</t>
        </is>
      </c>
      <c r="L174" s="15" t="inlineStr">
        <is>
          <t>Eighty-five acres of casting is well beyond what one or two printers would cover, and the product is infrastructure and stadium work rather than house wall.</t>
        </is>
      </c>
      <c r="M174" s="14" t="inlineStr">
        <is>
          <t>No</t>
        </is>
      </c>
      <c r="N174" s="15" t="inlineStr">
        <is>
          <t>No record of paying for an unproven method on its own account.</t>
        </is>
      </c>
      <c r="O174" s="14" t="inlineStr">
        <is>
          <t>Yes</t>
        </is>
      </c>
      <c r="P174" s="10" t="inlineStr"/>
      <c r="Q174" s="12" t="inlineStr"/>
      <c r="R174" s="16">
        <f>IF(P174="","ADD LINKEDIN","ok")</f>
        <v/>
      </c>
      <c r="S174" s="12" t="inlineStr">
        <is>
          <t>https://heldenfels.com/</t>
        </is>
      </c>
      <c r="T174" s="15" t="inlineStr">
        <is>
          <t>The largest precast footprint inside Houston's supply radius, in the first year under a new parent, which is when a producer entertains new capability.</t>
        </is>
      </c>
      <c r="U174" s="12" t="inlineStr"/>
      <c r="V174" s="15" t="inlineStr">
        <is>
          <t>The firm's own about page: he formed the company in 1995 and bought the precast and prestressed division assets. He sold to Metromont in December 2025 and is likely exiting.</t>
        </is>
      </c>
      <c r="W174" s="12" t="inlineStr">
        <is>
          <t>https://heldenfels.com/about-us/</t>
        </is>
      </c>
      <c r="X174" s="12" t="inlineStr"/>
      <c r="Y174" s="12" t="inlineStr"/>
      <c r="Z174" s="12" t="inlineStr"/>
      <c r="AA174" s="12" t="inlineStr">
        <is>
          <t>(512) 396-2376</t>
        </is>
      </c>
      <c r="AB174" s="12" t="inlineStr">
        <is>
          <t>San Marcos main</t>
        </is>
      </c>
      <c r="AC174" s="12" t="inlineStr">
        <is>
          <t>https://heldenfels.com/contact/</t>
        </is>
      </c>
    </row>
    <row r="175">
      <c r="A175" s="6" t="inlineStr">
        <is>
          <t>Travis Boone</t>
        </is>
      </c>
      <c r="B175" s="6" t="inlineStr">
        <is>
          <t>ORION</t>
        </is>
      </c>
      <c r="C175" s="6" t="inlineStr">
        <is>
          <t>Chief Executive Officer, Orion Group Holdings</t>
        </is>
      </c>
      <c r="D175" s="7" t="inlineStr">
        <is>
          <t>Builds the wall, not the house</t>
        </is>
      </c>
      <c r="E175" s="8" t="n">
        <v>2</v>
      </c>
      <c r="F175" s="6" t="inlineStr">
        <is>
          <t>Builds the wall</t>
        </is>
      </c>
      <c r="G175" s="6" t="inlineStr">
        <is>
          <t>Houston, Harris</t>
        </is>
      </c>
      <c r="H175" s="6" t="inlineStr">
        <is>
          <t>257 panels and 175,820 square feet of wall on one job</t>
        </is>
      </c>
      <c r="I175" s="8" t="inlineStr">
        <is>
          <t>Yes</t>
        </is>
      </c>
      <c r="J175" s="9" t="inlineStr">
        <is>
          <t>Panel production at the top of the metro's range, recurring across institutional and commercial work.</t>
        </is>
      </c>
      <c r="K175" s="8" t="inlineStr">
        <is>
          <t>Partly</t>
        </is>
      </c>
      <c r="L175" s="9" t="inlineStr">
        <is>
          <t>The concrete business is large enough that a printer is a line item, and the capital decision sits with a listed parent rather than in Houston.</t>
        </is>
      </c>
      <c r="M175" s="8" t="inlineStr">
        <is>
          <t>No</t>
        </is>
      </c>
      <c r="N175" s="9" t="inlineStr">
        <is>
          <t>No method statement on record.</t>
        </is>
      </c>
      <c r="O175" s="8" t="inlineStr">
        <is>
          <t>Yes</t>
        </is>
      </c>
      <c r="P175" s="10" t="inlineStr"/>
      <c r="Q175" s="6" t="inlineStr"/>
      <c r="R175" s="11">
        <f>IF(P175="","ADD LINKEDIN","ok")</f>
        <v/>
      </c>
      <c r="S175" s="6" t="inlineStr">
        <is>
          <t>https://www.oriongroupholdingsinc.com/</t>
        </is>
      </c>
      <c r="T175" s="9" t="inlineStr">
        <is>
          <t>The largest single panel production found in the metro, at 257 panels on one school. Purchasing now runs through a listed parent.</t>
        </is>
      </c>
      <c r="U175" s="6" t="inlineStr">
        <is>
          <t>YES</t>
        </is>
      </c>
      <c r="V175" s="9" t="inlineStr">
        <is>
          <t>Quoted as chief executive in the firm's own release of 29 January 2024, announcing that TAS Concrete Construction would trade as Orion.</t>
        </is>
      </c>
      <c r="W175" s="6" t="inlineStr">
        <is>
          <t>https://www.oriongroupholdingsinc.com/investors/press-release/2024/29-01-2024-120203346</t>
        </is>
      </c>
      <c r="X175" s="6" t="inlineStr"/>
      <c r="Y175" s="6" t="inlineStr"/>
      <c r="Z175" s="6" t="inlineStr"/>
      <c r="AA175" s="6" t="inlineStr">
        <is>
          <t>(713) 852-6500</t>
        </is>
      </c>
      <c r="AB175" s="6" t="inlineStr"/>
      <c r="AC175" s="6" t="inlineStr">
        <is>
          <t>https://www.oriongroupholdingsinc.com/</t>
        </is>
      </c>
    </row>
    <row r="176">
      <c r="A176" s="12" t="inlineStr">
        <is>
          <t>Mark Furse</t>
        </is>
      </c>
      <c r="B176" s="12" t="inlineStr">
        <is>
          <t>Texas Building Supply, a US LBM company</t>
        </is>
      </c>
      <c r="C176" s="12" t="inlineStr">
        <is>
          <t>Market President</t>
        </is>
      </c>
      <c r="D176" s="13" t="inlineStr">
        <is>
          <t>Builds the wall, not the house</t>
        </is>
      </c>
      <c r="E176" s="14" t="n">
        <v>2</v>
      </c>
      <c r="F176" s="12" t="inlineStr">
        <is>
          <t>Builds the wall</t>
        </is>
      </c>
      <c r="G176" s="12" t="inlineStr">
        <is>
          <t>Houston branch on Railhead Lane, panel plants in San Antonio, Taylor and Van Alstyne</t>
        </is>
      </c>
      <c r="H176" s="12" t="inlineStr">
        <is>
          <t>Wall panels trucked into a Houston branch</t>
        </is>
      </c>
      <c r="I176" s="14" t="inlineStr">
        <is>
          <t>Yes</t>
        </is>
      </c>
      <c r="J176" s="15" t="inlineStr">
        <is>
          <t>Wall panels made repeatedly across three Texas plants and delivered into Houston.</t>
        </is>
      </c>
      <c r="K176" s="14" t="inlineStr">
        <is>
          <t>Partly</t>
        </is>
      </c>
      <c r="L176" s="15" t="inlineStr">
        <is>
          <t>Three panel plants inside a national parent is more capacity than one or two printers would cover, and Houston is distribution rather than production.</t>
        </is>
      </c>
      <c r="M176" s="14" t="inlineStr">
        <is>
          <t>No</t>
        </is>
      </c>
      <c r="N176" s="15" t="inlineStr">
        <is>
          <t>No record of paying for an unproven method.</t>
        </is>
      </c>
      <c r="O176" s="14" t="inlineStr">
        <is>
          <t>Yes</t>
        </is>
      </c>
      <c r="P176" s="6" t="inlineStr">
        <is>
          <t>https://www.linkedin.com/in/mark-furse-02b1b717/</t>
        </is>
      </c>
      <c r="Q176" s="12" t="inlineStr"/>
      <c r="R176" s="16">
        <f>IF(P176="","ADD LINKEDIN","ok")</f>
        <v/>
      </c>
      <c r="S176" s="12" t="inlineStr">
        <is>
          <t>https://texasbuildingsupply.com/</t>
        </is>
      </c>
      <c r="T176" s="15" t="inlineStr">
        <is>
          <t>Already trucks manufactured wall into Houston from plants elsewhere, which is the logistics problem a local machine removes.</t>
        </is>
      </c>
      <c r="U176" s="12" t="inlineStr"/>
      <c r="V176" s="15" t="inlineStr">
        <is>
          <t>His profile headline names Texas Building Supply and a market president is a regional profit-and-loss seat. Which market is not visible on it, and he is separately associated with the San Antonio legacy banner, so whether he covers Houston is unconfirmed. The company publishes no leadership at all on its own site.</t>
        </is>
      </c>
      <c r="W176" s="12" t="inlineStr"/>
      <c r="X176" s="12" t="inlineStr"/>
      <c r="Y176" s="12" t="inlineStr"/>
      <c r="Z176" s="12" t="inlineStr"/>
      <c r="AA176" s="12" t="inlineStr">
        <is>
          <t>(281) 447-0384</t>
        </is>
      </c>
      <c r="AB176" s="12" t="inlineStr">
        <is>
          <t>Houston branch</t>
        </is>
      </c>
      <c r="AC176" s="12" t="inlineStr">
        <is>
          <t>https://texasbuildingsupply.com/locations</t>
        </is>
      </c>
    </row>
    <row r="177">
      <c r="A177" s="6" t="inlineStr">
        <is>
          <t>Dwain Hutton</t>
        </is>
      </c>
      <c r="B177" s="6" t="inlineStr">
        <is>
          <t>UFP Site Built</t>
        </is>
      </c>
      <c r="C177" s="6" t="inlineStr">
        <is>
          <t>Executive Vice President, UFP Site Built</t>
        </is>
      </c>
      <c r="D177" s="7" t="inlineStr">
        <is>
          <t>Builds the wall, not the house</t>
        </is>
      </c>
      <c r="E177" s="8" t="n">
        <v>2</v>
      </c>
      <c r="F177" s="6" t="inlineStr">
        <is>
          <t>Builds the wall</t>
        </is>
      </c>
      <c r="G177" s="6" t="inlineStr">
        <is>
          <t>Huntsville plant, about 70 miles north, within five Texas plants</t>
        </is>
      </c>
      <c r="H177" s="6" t="inlineStr">
        <is>
          <t>Five Texas plants, wall panels at Huntsville</t>
        </is>
      </c>
      <c r="I177" s="8" t="inlineStr">
        <is>
          <t>Yes</t>
        </is>
      </c>
      <c r="J177" s="9" t="inlineStr">
        <is>
          <t>Wall panels and cassettes made repeatedly from one Texas plant for builders across the region.</t>
        </is>
      </c>
      <c r="K177" s="8" t="inlineStr">
        <is>
          <t>Partly</t>
        </is>
      </c>
      <c r="L177" s="9" t="inlineStr">
        <is>
          <t>One plant within five Texas plants is more capacity than one or two printers would cover, though a single plant is the closer end of that range.</t>
        </is>
      </c>
      <c r="M177" s="8" t="inlineStr">
        <is>
          <t>No</t>
        </is>
      </c>
      <c r="N177" s="9" t="inlineStr">
        <is>
          <t>No record of paying for an unproven method. Manufacturing wall panels is this industry's ordinary business rather than an adoption, and the offsite argument on its site is marketing for the product it already sells.</t>
        </is>
      </c>
      <c r="O177" s="8" t="inlineStr">
        <is>
          <t>Yes</t>
        </is>
      </c>
      <c r="P177" s="10" t="inlineStr"/>
      <c r="Q177" s="6" t="inlineStr"/>
      <c r="R177" s="11">
        <f>IF(P177="","ADD LINKEDIN","ok")</f>
        <v/>
      </c>
      <c r="S177" s="6" t="inlineStr">
        <is>
          <t>https://ufpsitebuilt.com/</t>
        </is>
      </c>
      <c r="T177" s="9" t="inlineStr">
        <is>
          <t>A wall panel plant 70 miles from Houston inside a parent that publishes offsite manufacturing as its stated argument.</t>
        </is>
      </c>
      <c r="U177" s="6" t="inlineStr">
        <is>
          <t>YES</t>
        </is>
      </c>
      <c r="V177" s="9" t="inlineStr">
        <is>
          <t>The division's own leadership page. He heads the Site Built division, which is one level below UFP Industries corporate and the lowest published rung that would sign for a plant. Every regional role the page names is West, and the Huntsville plant page names nobody.</t>
        </is>
      </c>
      <c r="W177" s="6" t="inlineStr">
        <is>
          <t>https://ufpsitebuilt.com/leadershipteam</t>
        </is>
      </c>
      <c r="X177" s="6" t="inlineStr"/>
      <c r="Y177" s="6" t="inlineStr"/>
      <c r="Z177" s="6" t="inlineStr"/>
      <c r="AA177" s="6" t="inlineStr">
        <is>
          <t>(936) 295-3411</t>
        </is>
      </c>
      <c r="AB177" s="6" t="inlineStr">
        <is>
          <t>Huntsville plant</t>
        </is>
      </c>
      <c r="AC177" s="6" t="inlineStr">
        <is>
          <t>https://ufpsitebuilt.com/our-locations/huntsville-tx</t>
        </is>
      </c>
    </row>
    <row r="178">
      <c r="A178" s="12" t="inlineStr">
        <is>
          <t>Dan Juntunen</t>
        </is>
      </c>
      <c r="B178" s="12" t="inlineStr">
        <is>
          <t>Wells, Hillsboro plants</t>
        </is>
      </c>
      <c r="C178" s="12" t="inlineStr">
        <is>
          <t>Chief Executive Officer, Wells</t>
        </is>
      </c>
      <c r="D178" s="13" t="inlineStr">
        <is>
          <t>Builds the wall, not the house</t>
        </is>
      </c>
      <c r="E178" s="14" t="n">
        <v>2</v>
      </c>
      <c r="F178" s="12" t="inlineStr">
        <is>
          <t>Builds the wall</t>
        </is>
      </c>
      <c r="G178" s="12" t="inlineStr">
        <is>
          <t>Hillsboro, two plants on North Waco Street</t>
        </is>
      </c>
      <c r="H178" s="12" t="inlineStr">
        <is>
          <t>102,000 combined square feet, 320-plus people</t>
        </is>
      </c>
      <c r="I178" s="14" t="inlineStr">
        <is>
          <t>Yes</t>
        </is>
      </c>
      <c r="J178" s="15" t="inlineStr">
        <is>
          <t>Wall and structural elements cast repeatedly across two dedicated plants.</t>
        </is>
      </c>
      <c r="K178" s="14" t="inlineStr">
        <is>
          <t>Partly</t>
        </is>
      </c>
      <c r="L178" s="15" t="inlineStr">
        <is>
          <t>A hundred thousand square feet across two plants is beyond what one or two printers would cover.</t>
        </is>
      </c>
      <c r="M178" s="14" t="inlineStr">
        <is>
          <t>No</t>
        </is>
      </c>
      <c r="N178" s="15" t="inlineStr">
        <is>
          <t>No record of paying for an unproven method.</t>
        </is>
      </c>
      <c r="O178" s="14" t="inlineStr">
        <is>
          <t>Yes</t>
        </is>
      </c>
      <c r="P178" s="6" t="inlineStr">
        <is>
          <t>https://www.linkedin.com/in/dan-juntunen-b2765a14/</t>
        </is>
      </c>
      <c r="Q178" s="12" t="inlineStr"/>
      <c r="R178" s="16">
        <f>IF(P178="","ADD LINKEDIN","ok")</f>
        <v/>
      </c>
      <c r="S178" s="12" t="inlineStr">
        <is>
          <t>https://wells.build/contact/locations/hillsboro-texas/</t>
        </is>
      </c>
      <c r="T178" s="15" t="inlineStr">
        <is>
          <t>A two-plant campus making both architectural and structural wall, with half its site still empty.</t>
        </is>
      </c>
      <c r="U178" s="12" t="inlineStr">
        <is>
          <t>YES</t>
        </is>
      </c>
      <c r="V178" s="15" t="inlineStr">
        <is>
          <t>The Hillsboro page names nobody, and this plant is the former Gate Precast architectural yard whose own leadership pages went when gateprecast.com started redirecting to wells.build. Corporate is the only published authority for either Texas site.</t>
        </is>
      </c>
      <c r="W178" s="12" t="inlineStr"/>
      <c r="X178" s="12" t="inlineStr"/>
      <c r="Y178" s="12" t="inlineStr"/>
      <c r="Z178" s="12" t="inlineStr"/>
      <c r="AA178" s="12" t="inlineStr">
        <is>
          <t>(254) 582-7200</t>
        </is>
      </c>
      <c r="AB178" s="12" t="inlineStr">
        <is>
          <t>Hillsboro plant</t>
        </is>
      </c>
      <c r="AC178" s="12" t="inlineStr">
        <is>
          <t>https://wells.build/contact/locations/hillsboro-texas/</t>
        </is>
      </c>
    </row>
    <row r="179">
      <c r="A179" s="6" t="inlineStr">
        <is>
          <t>Dan Juntunen</t>
        </is>
      </c>
      <c r="B179" s="6" t="inlineStr">
        <is>
          <t>Wells, Pearland plant</t>
        </is>
      </c>
      <c r="C179" s="6" t="inlineStr">
        <is>
          <t>Chief Executive Officer, Wells</t>
        </is>
      </c>
      <c r="D179" s="7" t="inlineStr">
        <is>
          <t>Builds the wall, not the house</t>
        </is>
      </c>
      <c r="E179" s="8" t="n">
        <v>2</v>
      </c>
      <c r="F179" s="6" t="inlineStr">
        <is>
          <t>Builds the wall</t>
        </is>
      </c>
      <c r="G179" s="6" t="inlineStr">
        <is>
          <t>Pearland, Brazoria County</t>
        </is>
      </c>
      <c r="H179" s="6" t="inlineStr">
        <is>
          <t>32,000 square foot plant, 125-plus projects a year</t>
        </is>
      </c>
      <c r="I179" s="8" t="inlineStr">
        <is>
          <t>Yes</t>
        </is>
      </c>
      <c r="J179" s="9" t="inlineStr">
        <is>
          <t>One product made repeatedly in one plant for one region.</t>
        </is>
      </c>
      <c r="K179" s="8" t="inlineStr">
        <is>
          <t>Partly</t>
        </is>
      </c>
      <c r="L179" s="9" t="inlineStr">
        <is>
          <t>A plant turning 125-plus projects a year is bigger than one or two machines would cover, and hollowcore is a plank product rather than a wall product, so a printer would serve a line the plant does not currently run.</t>
        </is>
      </c>
      <c r="M179" s="8" t="inlineStr">
        <is>
          <t>No</t>
        </is>
      </c>
      <c r="N179" s="9" t="inlineStr">
        <is>
          <t>No record of paying for an unproven method. The published history is consolidation and certification, not experiment.</t>
        </is>
      </c>
      <c r="O179" s="8" t="inlineStr">
        <is>
          <t>Yes</t>
        </is>
      </c>
      <c r="P179" s="6" t="inlineStr">
        <is>
          <t>https://www.linkedin.com/in/dan-juntunen-b2765a14/</t>
        </is>
      </c>
      <c r="Q179" s="6" t="inlineStr"/>
      <c r="R179" s="11">
        <f>IF(P179="","ADD LINKEDIN","ok")</f>
        <v/>
      </c>
      <c r="S179" s="6" t="inlineStr">
        <is>
          <t>https://wells.build/contact/locations/pearland-texas/</t>
        </is>
      </c>
      <c r="T179" s="9" t="inlineStr">
        <is>
          <t>The only precast plant inside the Houston metro proper, and a narrow one: hollowcore is a single product line rather than a flexible casting yard.</t>
        </is>
      </c>
      <c r="U179" s="6" t="inlineStr">
        <is>
          <t>YES</t>
        </is>
      </c>
      <c r="V179" s="9" t="inlineStr">
        <is>
          <t>Quoted as chief executive in KPS Capital Partners' acquisition release of 10 February 2026. Wells publishes no Texas leader and no plant manager: its company team page lists 36 people and not one carries a state or a plant in the title, so the corporate officer is the only published authority.</t>
        </is>
      </c>
      <c r="W179" s="6" t="inlineStr"/>
      <c r="X179" s="6" t="inlineStr"/>
      <c r="Y179" s="6" t="inlineStr"/>
      <c r="Z179" s="6" t="inlineStr"/>
      <c r="AA179" s="6" t="inlineStr">
        <is>
          <t>(281) 485-3273</t>
        </is>
      </c>
      <c r="AB179" s="6" t="inlineStr">
        <is>
          <t>Pearland plant</t>
        </is>
      </c>
      <c r="AC179" s="6" t="inlineStr">
        <is>
          <t>https://wells.build/contact/locations/pearland-texas/</t>
        </is>
      </c>
    </row>
    <row r="180">
      <c r="A180" s="12" t="inlineStr">
        <is>
          <t>Mark Scully</t>
        </is>
      </c>
      <c r="B180" s="12" t="inlineStr">
        <is>
          <t>Encore Concrete Construction</t>
        </is>
      </c>
      <c r="C180" s="12" t="inlineStr">
        <is>
          <t>President</t>
        </is>
      </c>
      <c r="D180" s="13" t="inlineStr">
        <is>
          <t>Builds the wall, not the house</t>
        </is>
      </c>
      <c r="E180" s="14" t="n">
        <v>2</v>
      </c>
      <c r="F180" s="12" t="inlineStr">
        <is>
          <t>Builds the wall</t>
        </is>
      </c>
      <c r="G180" s="12" t="inlineStr">
        <is>
          <t>Spring, Harris and Montgomery</t>
        </is>
      </c>
      <c r="H180" s="12" t="inlineStr">
        <is>
          <t>Employee-owned, and lists elevated multifamily as a project type</t>
        </is>
      </c>
      <c r="I180" s="14" t="inlineStr">
        <is>
          <t>Yes</t>
        </is>
      </c>
      <c r="J180" s="15" t="inlineStr">
        <is>
          <t>Tilt-up warehouses, retail centres and schools repeating inside the Houston market.</t>
        </is>
      </c>
      <c r="K180" s="14" t="inlineStr">
        <is>
          <t>Partly</t>
        </is>
      </c>
      <c r="L180" s="15" t="inlineStr">
        <is>
          <t>No crew count or annual volume is published. The one published job runs to 32 panels across four floors. On the bands, a firm with no annual figure is a Partly.</t>
        </is>
      </c>
      <c r="M180" s="14" t="inlineStr">
        <is>
          <t>No</t>
        </is>
      </c>
      <c r="N180" s="15" t="inlineStr">
        <is>
          <t>No method statement on record. The 2025 tilt-up award is for execution, not for a new method.</t>
        </is>
      </c>
      <c r="O180" s="14" t="inlineStr">
        <is>
          <t>Partly</t>
        </is>
      </c>
      <c r="P180" s="6" t="inlineStr">
        <is>
          <t>https://www.linkedin.com/in/mark-scully-596648201/</t>
        </is>
      </c>
      <c r="Q180" s="12" t="inlineStr"/>
      <c r="R180" s="16">
        <f>IF(P180="","ADD LINKEDIN","ok")</f>
        <v/>
      </c>
      <c r="S180" s="12" t="inlineStr">
        <is>
          <t>https://www.encoreconcrete.com/</t>
        </is>
      </c>
      <c r="T180" s="15" t="inlineStr">
        <is>
          <t>Employee-owned, so the capital decision is made inside the company. Elevated multifamily is one of the seven project types it publishes.</t>
        </is>
      </c>
      <c r="U180" s="12" t="inlineStr">
        <is>
          <t>YES</t>
        </is>
      </c>
      <c r="V180" s="15" t="inlineStr">
        <is>
          <t>Headline reads President at Encore Concrete Construction. Spring, Texas.</t>
        </is>
      </c>
      <c r="W180" s="12" t="inlineStr"/>
      <c r="X180" s="12" t="inlineStr"/>
      <c r="Y180" s="12" t="inlineStr"/>
      <c r="Z180" s="12" t="inlineStr"/>
      <c r="AA180" s="12" t="inlineStr">
        <is>
          <t>(832) 663-6800</t>
        </is>
      </c>
      <c r="AB180" s="12" t="inlineStr"/>
      <c r="AC180" s="12" t="inlineStr">
        <is>
          <t>https://www.encoreconcrete.com/</t>
        </is>
      </c>
    </row>
    <row r="181">
      <c r="A181" s="6" t="inlineStr">
        <is>
          <t>Tim Manherz</t>
        </is>
      </c>
      <c r="B181" s="6" t="inlineStr">
        <is>
          <t>Encore Concrete Construction</t>
        </is>
      </c>
      <c r="C181" s="6" t="inlineStr">
        <is>
          <t>Vice President</t>
        </is>
      </c>
      <c r="D181" s="7" t="inlineStr">
        <is>
          <t>Builds the wall, not the house</t>
        </is>
      </c>
      <c r="E181" s="8" t="n">
        <v>2</v>
      </c>
      <c r="F181" s="6" t="inlineStr">
        <is>
          <t>Builds the wall</t>
        </is>
      </c>
      <c r="G181" s="6" t="inlineStr">
        <is>
          <t>Spring, Harris and Montgomery</t>
        </is>
      </c>
      <c r="H181" s="6" t="inlineStr">
        <is>
          <t>Employee-owned, and lists elevated multifamily as a project type</t>
        </is>
      </c>
      <c r="I181" s="8" t="inlineStr">
        <is>
          <t>Yes</t>
        </is>
      </c>
      <c r="J181" s="9" t="inlineStr">
        <is>
          <t>Tilt-up warehouses, retail centres and schools repeating inside the Houston market.</t>
        </is>
      </c>
      <c r="K181" s="8" t="inlineStr">
        <is>
          <t>Partly</t>
        </is>
      </c>
      <c r="L181" s="9" t="inlineStr">
        <is>
          <t>No crew count or annual volume is published. The one published job runs to 32 panels across four floors. On the bands, a firm with no annual figure is a Partly.</t>
        </is>
      </c>
      <c r="M181" s="8" t="inlineStr">
        <is>
          <t>No</t>
        </is>
      </c>
      <c r="N181" s="9" t="inlineStr">
        <is>
          <t>No method statement on record. The 2025 tilt-up award is for execution, not for a new method.</t>
        </is>
      </c>
      <c r="O181" s="8" t="inlineStr">
        <is>
          <t>Partly</t>
        </is>
      </c>
      <c r="P181" s="6" t="inlineStr">
        <is>
          <t>https://www.linkedin.com/in/tim-manherz-9a2b62148/</t>
        </is>
      </c>
      <c r="Q181" s="6" t="inlineStr"/>
      <c r="R181" s="11">
        <f>IF(P181="","ADD LINKEDIN","ok")</f>
        <v/>
      </c>
      <c r="S181" s="6" t="inlineStr">
        <is>
          <t>https://www.encoreconcrete.com/</t>
        </is>
      </c>
      <c r="T181" s="9" t="inlineStr">
        <is>
          <t>Employee-owned, so the capital decision is made inside the company. Elevated multifamily is one of the seven project types it publishes.</t>
        </is>
      </c>
      <c r="U181" s="6" t="inlineStr">
        <is>
          <t>YES</t>
        </is>
      </c>
      <c r="V181" s="9" t="inlineStr">
        <is>
          <t>Headline reads Vice President at Encore Concrete Construction. Greater Houston.</t>
        </is>
      </c>
      <c r="W181" s="6" t="inlineStr"/>
      <c r="X181" s="6" t="inlineStr"/>
      <c r="Y181" s="6" t="inlineStr"/>
      <c r="Z181" s="6" t="inlineStr"/>
      <c r="AA181" s="6" t="inlineStr">
        <is>
          <t>(832) 663-6800</t>
        </is>
      </c>
      <c r="AB181" s="6" t="inlineStr"/>
      <c r="AC181" s="6" t="inlineStr">
        <is>
          <t>https://www.encoreconcrete.com/</t>
        </is>
      </c>
    </row>
    <row r="182">
      <c r="A182" s="12" t="inlineStr">
        <is>
          <t>Kevin Medlin</t>
        </is>
      </c>
      <c r="B182" s="12" t="inlineStr">
        <is>
          <t>NAPCO Precast</t>
        </is>
      </c>
      <c r="C182" s="12" t="inlineStr">
        <is>
          <t>President</t>
        </is>
      </c>
      <c r="D182" s="13" t="inlineStr">
        <is>
          <t>Builds the wall, not the house</t>
        </is>
      </c>
      <c r="E182" s="14" t="n">
        <v>2</v>
      </c>
      <c r="F182" s="12" t="inlineStr">
        <is>
          <t>Builds the wall</t>
        </is>
      </c>
      <c r="G182" s="12" t="inlineStr">
        <is>
          <t>San Antonio, Low Bid Lane</t>
        </is>
      </c>
      <c r="H182" s="12" t="inlineStr">
        <is>
          <t>500-plus projects since 1994</t>
        </is>
      </c>
      <c r="I182" s="14" t="inlineStr">
        <is>
          <t>Yes</t>
        </is>
      </c>
      <c r="J182" s="15" t="inlineStr">
        <is>
          <t>Parking structures and multi-family elements cast repeatedly from one plant since 1994.</t>
        </is>
      </c>
      <c r="K182" s="14" t="inlineStr">
        <is>
          <t>Partly</t>
        </is>
      </c>
      <c r="L182" s="15" t="inlineStr">
        <is>
          <t>A single plant serving the whole state is larger than one or two printers would cover, though smaller than the multi-plant producers on this deck.</t>
        </is>
      </c>
      <c r="M182" s="14" t="inlineStr">
        <is>
          <t>No</t>
        </is>
      </c>
      <c r="N182" s="15" t="inlineStr">
        <is>
          <t>No record of paying for an unproven method.</t>
        </is>
      </c>
      <c r="O182" s="14" t="inlineStr">
        <is>
          <t>Partly</t>
        </is>
      </c>
      <c r="P182" s="6" t="inlineStr">
        <is>
          <t>https://www.linkedin.com/in/kevin-medlin-8693832b/</t>
        </is>
      </c>
      <c r="Q182" s="12" t="inlineStr"/>
      <c r="R182" s="16">
        <f>IF(P182="","ADD LINKEDIN","ok")</f>
        <v/>
      </c>
      <c r="S182" s="12" t="inlineStr">
        <is>
          <t>https://www.napcoprecast.com/</t>
        </is>
      </c>
      <c r="T182" s="15" t="inlineStr">
        <is>
          <t>One of only two precast producers screened whose published markets include multi-family residential.</t>
        </is>
      </c>
      <c r="U182" s="12" t="inlineStr">
        <is>
          <t>YES</t>
        </is>
      </c>
      <c r="V182" s="15" t="inlineStr">
        <is>
          <t>The firm's own history, in the present tense: with president Kevin Medlin leading the company, NAPCO is expanding its portfolio and additional product lines.</t>
        </is>
      </c>
      <c r="W182" s="12" t="inlineStr"/>
      <c r="X182" s="12" t="inlineStr"/>
      <c r="Y182" s="12" t="inlineStr"/>
      <c r="Z182" s="12" t="inlineStr"/>
      <c r="AA182" s="12" t="inlineStr">
        <is>
          <t>(210) 509-9100</t>
        </is>
      </c>
      <c r="AB182" s="12" t="inlineStr">
        <is>
          <t>the only number published</t>
        </is>
      </c>
      <c r="AC182" s="12" t="inlineStr">
        <is>
          <t>https://www.napcoprecast.com/contact</t>
        </is>
      </c>
    </row>
    <row r="183">
      <c r="A183" s="6" t="inlineStr">
        <is>
          <t>Jaime Iragorri</t>
        </is>
      </c>
      <c r="B183" s="6" t="inlineStr">
        <is>
          <t>NAPCO Precast</t>
        </is>
      </c>
      <c r="C183" s="6" t="inlineStr">
        <is>
          <t>Founder</t>
        </is>
      </c>
      <c r="D183" s="7" t="inlineStr">
        <is>
          <t>Builds the wall, not the house</t>
        </is>
      </c>
      <c r="E183" s="8" t="n">
        <v>2</v>
      </c>
      <c r="F183" s="6" t="inlineStr">
        <is>
          <t>Builds the wall</t>
        </is>
      </c>
      <c r="G183" s="6" t="inlineStr">
        <is>
          <t>San Antonio, Low Bid Lane</t>
        </is>
      </c>
      <c r="H183" s="6" t="inlineStr">
        <is>
          <t>500-plus projects since 1994</t>
        </is>
      </c>
      <c r="I183" s="8" t="inlineStr">
        <is>
          <t>Yes</t>
        </is>
      </c>
      <c r="J183" s="9" t="inlineStr">
        <is>
          <t>Parking structures and multi-family elements cast repeatedly from one plant since 1994.</t>
        </is>
      </c>
      <c r="K183" s="8" t="inlineStr">
        <is>
          <t>Partly</t>
        </is>
      </c>
      <c r="L183" s="9" t="inlineStr">
        <is>
          <t>A single plant serving the whole state is larger than one or two printers would cover, though smaller than the multi-plant producers on this deck.</t>
        </is>
      </c>
      <c r="M183" s="8" t="inlineStr">
        <is>
          <t>No</t>
        </is>
      </c>
      <c r="N183" s="9" t="inlineStr">
        <is>
          <t>No record of paying for an unproven method.</t>
        </is>
      </c>
      <c r="O183" s="8" t="inlineStr">
        <is>
          <t>Partly</t>
        </is>
      </c>
      <c r="P183" s="10" t="inlineStr"/>
      <c r="Q183" s="6" t="inlineStr"/>
      <c r="R183" s="11">
        <f>IF(P183="","ADD LINKEDIN","ok")</f>
        <v/>
      </c>
      <c r="S183" s="6" t="inlineStr">
        <is>
          <t>https://www.napcoprecast.com/</t>
        </is>
      </c>
      <c r="T183" s="9" t="inlineStr">
        <is>
          <t>One of only two precast producers screened whose published markets include multi-family residential.</t>
        </is>
      </c>
      <c r="U183" s="6" t="inlineStr"/>
      <c r="V183" s="9" t="inlineStr">
        <is>
          <t>The firm's own history: established NAPCO in 1995.</t>
        </is>
      </c>
      <c r="W183" s="6" t="inlineStr">
        <is>
          <t>https://www.napcoprecast.com/the-company/our-story</t>
        </is>
      </c>
      <c r="X183" s="6" t="inlineStr"/>
      <c r="Y183" s="6" t="inlineStr"/>
      <c r="Z183" s="6" t="inlineStr"/>
      <c r="AA183" s="6" t="inlineStr">
        <is>
          <t>(210) 509-9100</t>
        </is>
      </c>
      <c r="AB183" s="6" t="inlineStr">
        <is>
          <t>the only number published</t>
        </is>
      </c>
      <c r="AC183" s="6" t="inlineStr">
        <is>
          <t>https://www.napcoprecast.com/contact</t>
        </is>
      </c>
    </row>
    <row r="184">
      <c r="A184" s="12" t="inlineStr">
        <is>
          <t>Steve Salverino</t>
        </is>
      </c>
      <c r="B184" s="12" t="inlineStr">
        <is>
          <t>Rino Construction</t>
        </is>
      </c>
      <c r="C184" s="12" t="inlineStr">
        <is>
          <t>Chief Executive Officer</t>
        </is>
      </c>
      <c r="D184" s="13" t="inlineStr">
        <is>
          <t>Builds the wall, not the house</t>
        </is>
      </c>
      <c r="E184" s="14" t="n">
        <v>2</v>
      </c>
      <c r="F184" s="12" t="inlineStr">
        <is>
          <t>Builds the wall</t>
        </is>
      </c>
      <c r="G184" s="12" t="inlineStr">
        <is>
          <t>Katy, Harris and Fort Bend, with Austin</t>
        </is>
      </c>
      <c r="H184" s="12" t="inlineStr">
        <is>
          <t>Operating since 1991, tilt-up its stated specialty</t>
        </is>
      </c>
      <c r="I184" s="14" t="inlineStr">
        <is>
          <t>Yes</t>
        </is>
      </c>
      <c r="J184" s="15" t="inlineStr">
        <is>
          <t>Tilt-up buildings recurring across two Texas metros since 1991, at 48 million square feet on its own count.</t>
        </is>
      </c>
      <c r="K184" s="14" t="inlineStr">
        <is>
          <t>Partly</t>
        </is>
      </c>
      <c r="L184" s="15" t="inlineStr">
        <is>
          <t>48 million square feet since 1991 on the firm's own homepage. A second page still carries an older 38 million. No annual figure is published, so this sits at a Partly.</t>
        </is>
      </c>
      <c r="M184" s="14" t="inlineStr">
        <is>
          <t>No</t>
        </is>
      </c>
      <c r="N184" s="15" t="inlineStr">
        <is>
          <t>No method statement on record.</t>
        </is>
      </c>
      <c r="O184" s="14" t="inlineStr">
        <is>
          <t>Partly</t>
        </is>
      </c>
      <c r="P184" s="10" t="inlineStr"/>
      <c r="Q184" s="12" t="inlineStr"/>
      <c r="R184" s="16">
        <f>IF(P184="","ADD LINKEDIN","ok")</f>
        <v/>
      </c>
      <c r="S184" s="12" t="inlineStr">
        <is>
          <t>https://rino-con.com/</t>
        </is>
      </c>
      <c r="T184" s="15" t="inlineStr">
        <is>
          <t>Thirty-five years of tilt-up as the stated specialty. Its own site puts the self-performed concrete in the past tense.</t>
        </is>
      </c>
      <c r="U184" s="12" t="inlineStr"/>
      <c r="V184" s="15" t="inlineStr">
        <is>
          <t>The firm's own leadership page carries the title.</t>
        </is>
      </c>
      <c r="W184" s="12" t="inlineStr">
        <is>
          <t>https://rino-con.com/leadership/</t>
        </is>
      </c>
      <c r="X184" s="12" t="inlineStr"/>
      <c r="Y184" s="12" t="inlineStr">
        <is>
          <t>https://rino-con.com/leadership/</t>
        </is>
      </c>
      <c r="Z184" s="12" t="inlineStr"/>
      <c r="AA184" s="12" t="inlineStr">
        <is>
          <t>(281) 207-0700</t>
        </is>
      </c>
      <c r="AB184" s="12" t="inlineStr">
        <is>
          <t>Houston, at Katy</t>
        </is>
      </c>
      <c r="AC184" s="12" t="inlineStr">
        <is>
          <t>https://rino-con.com/</t>
        </is>
      </c>
    </row>
    <row r="185">
      <c r="A185" s="6" t="inlineStr">
        <is>
          <t>Jacob Aswad</t>
        </is>
      </c>
      <c r="B185" s="6" t="inlineStr">
        <is>
          <t>Rino Construction</t>
        </is>
      </c>
      <c r="C185" s="6" t="inlineStr">
        <is>
          <t>President</t>
        </is>
      </c>
      <c r="D185" s="7" t="inlineStr">
        <is>
          <t>Builds the wall, not the house</t>
        </is>
      </c>
      <c r="E185" s="8" t="n">
        <v>2</v>
      </c>
      <c r="F185" s="6" t="inlineStr">
        <is>
          <t>Builds the wall</t>
        </is>
      </c>
      <c r="G185" s="6" t="inlineStr">
        <is>
          <t>Katy, Harris and Fort Bend, with Austin</t>
        </is>
      </c>
      <c r="H185" s="6" t="inlineStr">
        <is>
          <t>Operating since 1991, tilt-up its stated specialty</t>
        </is>
      </c>
      <c r="I185" s="8" t="inlineStr">
        <is>
          <t>Yes</t>
        </is>
      </c>
      <c r="J185" s="9" t="inlineStr">
        <is>
          <t>Tilt-up buildings recurring across two Texas metros since 1991, at 48 million square feet on its own count.</t>
        </is>
      </c>
      <c r="K185" s="8" t="inlineStr">
        <is>
          <t>Partly</t>
        </is>
      </c>
      <c r="L185" s="9" t="inlineStr">
        <is>
          <t>48 million square feet since 1991 on the firm's own homepage. A second page still carries an older 38 million. No annual figure is published, so this sits at a Partly.</t>
        </is>
      </c>
      <c r="M185" s="8" t="inlineStr">
        <is>
          <t>No</t>
        </is>
      </c>
      <c r="N185" s="9" t="inlineStr">
        <is>
          <t>No method statement on record.</t>
        </is>
      </c>
      <c r="O185" s="8" t="inlineStr">
        <is>
          <t>Partly</t>
        </is>
      </c>
      <c r="P185" s="10" t="inlineStr"/>
      <c r="Q185" s="6" t="inlineStr"/>
      <c r="R185" s="11">
        <f>IF(P185="","ADD LINKEDIN","ok")</f>
        <v/>
      </c>
      <c r="S185" s="6" t="inlineStr">
        <is>
          <t>https://rino-con.com/</t>
        </is>
      </c>
      <c r="T185" s="9" t="inlineStr">
        <is>
          <t>Thirty-five years of tilt-up as the stated specialty. Its own site puts the self-performed concrete in the past tense.</t>
        </is>
      </c>
      <c r="U185" s="6" t="inlineStr"/>
      <c r="V185" s="9" t="inlineStr">
        <is>
          <t>The firm's own leadership page carries the title.</t>
        </is>
      </c>
      <c r="W185" s="6" t="inlineStr">
        <is>
          <t>https://rino-con.com/leadership/</t>
        </is>
      </c>
      <c r="X185" s="6" t="inlineStr"/>
      <c r="Y185" s="6" t="inlineStr">
        <is>
          <t>https://rino-con.com/leadership/</t>
        </is>
      </c>
      <c r="Z185" s="6" t="inlineStr"/>
      <c r="AA185" s="6" t="inlineStr">
        <is>
          <t>(281) 207-0700</t>
        </is>
      </c>
      <c r="AB185" s="6" t="inlineStr">
        <is>
          <t>Houston, at Katy</t>
        </is>
      </c>
      <c r="AC185" s="6" t="inlineStr">
        <is>
          <t>https://rino-con.com/</t>
        </is>
      </c>
    </row>
    <row r="186">
      <c r="A186" s="12" t="inlineStr">
        <is>
          <t>Justin Henderson</t>
        </is>
      </c>
      <c r="B186" s="12" t="inlineStr">
        <is>
          <t>Rino Construction</t>
        </is>
      </c>
      <c r="C186" s="12" t="inlineStr">
        <is>
          <t>Vice President</t>
        </is>
      </c>
      <c r="D186" s="13" t="inlineStr">
        <is>
          <t>Builds the wall, not the house</t>
        </is>
      </c>
      <c r="E186" s="14" t="n">
        <v>2</v>
      </c>
      <c r="F186" s="12" t="inlineStr">
        <is>
          <t>Builds the wall</t>
        </is>
      </c>
      <c r="G186" s="12" t="inlineStr">
        <is>
          <t>Katy, Harris and Fort Bend, with Austin</t>
        </is>
      </c>
      <c r="H186" s="12" t="inlineStr">
        <is>
          <t>Operating since 1991, tilt-up its stated specialty</t>
        </is>
      </c>
      <c r="I186" s="14" t="inlineStr">
        <is>
          <t>Yes</t>
        </is>
      </c>
      <c r="J186" s="15" t="inlineStr">
        <is>
          <t>Tilt-up buildings recurring across two Texas metros since 1991, at 48 million square feet on its own count.</t>
        </is>
      </c>
      <c r="K186" s="14" t="inlineStr">
        <is>
          <t>Partly</t>
        </is>
      </c>
      <c r="L186" s="15" t="inlineStr">
        <is>
          <t>48 million square feet since 1991 on the firm's own homepage. A second page still carries an older 38 million. No annual figure is published, so this sits at a Partly.</t>
        </is>
      </c>
      <c r="M186" s="14" t="inlineStr">
        <is>
          <t>No</t>
        </is>
      </c>
      <c r="N186" s="15" t="inlineStr">
        <is>
          <t>No method statement on record.</t>
        </is>
      </c>
      <c r="O186" s="14" t="inlineStr">
        <is>
          <t>Partly</t>
        </is>
      </c>
      <c r="P186" s="10" t="inlineStr"/>
      <c r="Q186" s="12" t="inlineStr"/>
      <c r="R186" s="16">
        <f>IF(P186="","ADD LINKEDIN","ok")</f>
        <v/>
      </c>
      <c r="S186" s="12" t="inlineStr">
        <is>
          <t>https://rino-con.com/</t>
        </is>
      </c>
      <c r="T186" s="15" t="inlineStr">
        <is>
          <t>Thirty-five years of tilt-up as the stated specialty. Its own site puts the self-performed concrete in the past tense.</t>
        </is>
      </c>
      <c r="U186" s="12" t="inlineStr"/>
      <c r="V186" s="15" t="inlineStr">
        <is>
          <t>The firm's own leadership page carries the title.</t>
        </is>
      </c>
      <c r="W186" s="12" t="inlineStr">
        <is>
          <t>https://rino-con.com/leadership/</t>
        </is>
      </c>
      <c r="X186" s="12" t="inlineStr"/>
      <c r="Y186" s="12" t="inlineStr">
        <is>
          <t>https://rino-con.com/leadership/</t>
        </is>
      </c>
      <c r="Z186" s="12" t="inlineStr"/>
      <c r="AA186" s="12" t="inlineStr">
        <is>
          <t>(281) 207-0700</t>
        </is>
      </c>
      <c r="AB186" s="12" t="inlineStr">
        <is>
          <t>Houston, at Katy</t>
        </is>
      </c>
      <c r="AC186" s="12" t="inlineStr">
        <is>
          <t>https://rino-con.com/</t>
        </is>
      </c>
    </row>
    <row r="187">
      <c r="A187" s="6" t="inlineStr">
        <is>
          <t>Jeff Rager</t>
        </is>
      </c>
      <c r="B187" s="6" t="inlineStr">
        <is>
          <t>Rino Construction</t>
        </is>
      </c>
      <c r="C187" s="6" t="inlineStr">
        <is>
          <t>Senior Project Manager</t>
        </is>
      </c>
      <c r="D187" s="7" t="inlineStr">
        <is>
          <t>Builds the wall, not the house</t>
        </is>
      </c>
      <c r="E187" s="8" t="n">
        <v>2</v>
      </c>
      <c r="F187" s="6" t="inlineStr">
        <is>
          <t>Builds the wall</t>
        </is>
      </c>
      <c r="G187" s="6" t="inlineStr">
        <is>
          <t>Katy, Harris and Fort Bend, with Austin</t>
        </is>
      </c>
      <c r="H187" s="6" t="inlineStr">
        <is>
          <t>Operating since 1991, tilt-up its stated specialty</t>
        </is>
      </c>
      <c r="I187" s="8" t="inlineStr">
        <is>
          <t>Yes</t>
        </is>
      </c>
      <c r="J187" s="9" t="inlineStr">
        <is>
          <t>Tilt-up buildings recurring across two Texas metros since 1991, at 48 million square feet on its own count.</t>
        </is>
      </c>
      <c r="K187" s="8" t="inlineStr">
        <is>
          <t>Partly</t>
        </is>
      </c>
      <c r="L187" s="9" t="inlineStr">
        <is>
          <t>48 million square feet since 1991 on the firm's own homepage. A second page still carries an older 38 million. No annual figure is published, so this sits at a Partly.</t>
        </is>
      </c>
      <c r="M187" s="8" t="inlineStr">
        <is>
          <t>No</t>
        </is>
      </c>
      <c r="N187" s="9" t="inlineStr">
        <is>
          <t>No method statement on record.</t>
        </is>
      </c>
      <c r="O187" s="8" t="inlineStr">
        <is>
          <t>Partly</t>
        </is>
      </c>
      <c r="P187" s="6" t="inlineStr">
        <is>
          <t>https://www.linkedin.com/in/jeff-rager-b0ab6a380/</t>
        </is>
      </c>
      <c r="Q187" s="6" t="inlineStr"/>
      <c r="R187" s="11">
        <f>IF(P187="","ADD LINKEDIN","ok")</f>
        <v/>
      </c>
      <c r="S187" s="6" t="inlineStr">
        <is>
          <t>https://rino-con.com/</t>
        </is>
      </c>
      <c r="T187" s="9" t="inlineStr">
        <is>
          <t>Thirty-five years of tilt-up as the stated specialty. Its own site puts the self-performed concrete in the past tense.</t>
        </is>
      </c>
      <c r="U187" s="6" t="inlineStr"/>
      <c r="V187" s="9" t="inlineStr">
        <is>
          <t>Headline reads Senior Project Manager, Rino (Rosenberger) Construction. Spring, Texas, and it carries both names, which confirms the rename.</t>
        </is>
      </c>
      <c r="W187" s="6" t="inlineStr"/>
      <c r="X187" s="6" t="inlineStr"/>
      <c r="Y187" s="6" t="inlineStr">
        <is>
          <t>https://rino-con.com/leadership/</t>
        </is>
      </c>
      <c r="Z187" s="6" t="inlineStr"/>
      <c r="AA187" s="6" t="inlineStr">
        <is>
          <t>(281) 207-0700</t>
        </is>
      </c>
      <c r="AB187" s="6" t="inlineStr">
        <is>
          <t>Houston, at Katy</t>
        </is>
      </c>
      <c r="AC187" s="6" t="inlineStr">
        <is>
          <t>https://rino-con.com/</t>
        </is>
      </c>
    </row>
    <row r="188">
      <c r="A188" s="12" t="inlineStr">
        <is>
          <t>James Abbate</t>
        </is>
      </c>
      <c r="B188" s="12" t="inlineStr">
        <is>
          <t>Rino Construction</t>
        </is>
      </c>
      <c r="C188" s="12" t="inlineStr">
        <is>
          <t>Controller</t>
        </is>
      </c>
      <c r="D188" s="13" t="inlineStr">
        <is>
          <t>Builds the wall, not the house</t>
        </is>
      </c>
      <c r="E188" s="14" t="n">
        <v>2</v>
      </c>
      <c r="F188" s="12" t="inlineStr">
        <is>
          <t>Builds the wall</t>
        </is>
      </c>
      <c r="G188" s="12" t="inlineStr">
        <is>
          <t>Katy, Harris and Fort Bend, with Austin</t>
        </is>
      </c>
      <c r="H188" s="12" t="inlineStr">
        <is>
          <t>Operating since 1991, tilt-up its stated specialty</t>
        </is>
      </c>
      <c r="I188" s="14" t="inlineStr">
        <is>
          <t>Yes</t>
        </is>
      </c>
      <c r="J188" s="15" t="inlineStr">
        <is>
          <t>Tilt-up buildings recurring across two Texas metros since 1991, at 48 million square feet on its own count.</t>
        </is>
      </c>
      <c r="K188" s="14" t="inlineStr">
        <is>
          <t>Partly</t>
        </is>
      </c>
      <c r="L188" s="15" t="inlineStr">
        <is>
          <t>48 million square feet since 1991 on the firm's own homepage. A second page still carries an older 38 million. No annual figure is published, so this sits at a Partly.</t>
        </is>
      </c>
      <c r="M188" s="14" t="inlineStr">
        <is>
          <t>No</t>
        </is>
      </c>
      <c r="N188" s="15" t="inlineStr">
        <is>
          <t>No method statement on record.</t>
        </is>
      </c>
      <c r="O188" s="14" t="inlineStr">
        <is>
          <t>Partly</t>
        </is>
      </c>
      <c r="P188" s="6" t="inlineStr">
        <is>
          <t>https://www.linkedin.com/in/james-abbate/</t>
        </is>
      </c>
      <c r="Q188" s="12" t="inlineStr"/>
      <c r="R188" s="16">
        <f>IF(P188="","ADD LINKEDIN","ok")</f>
        <v/>
      </c>
      <c r="S188" s="12" t="inlineStr">
        <is>
          <t>https://rino-con.com/</t>
        </is>
      </c>
      <c r="T188" s="15" t="inlineStr">
        <is>
          <t>Thirty-five years of tilt-up as the stated specialty. Its own site puts the self-performed concrete in the past tense.</t>
        </is>
      </c>
      <c r="U188" s="12" t="inlineStr"/>
      <c r="V188" s="15" t="inlineStr">
        <is>
          <t>Headline reads Controller at Rosenberger Construction. Katy, Texas.</t>
        </is>
      </c>
      <c r="W188" s="12" t="inlineStr"/>
      <c r="X188" s="12" t="inlineStr"/>
      <c r="Y188" s="12" t="inlineStr">
        <is>
          <t>https://rino-con.com/leadership/</t>
        </is>
      </c>
      <c r="Z188" s="12" t="inlineStr"/>
      <c r="AA188" s="12" t="inlineStr">
        <is>
          <t>(281) 207-0700</t>
        </is>
      </c>
      <c r="AB188" s="12" t="inlineStr">
        <is>
          <t>Houston, at Katy</t>
        </is>
      </c>
      <c r="AC188" s="12" t="inlineStr">
        <is>
          <t>https://rino-con.com/</t>
        </is>
      </c>
    </row>
    <row r="189">
      <c r="A189" s="6" t="inlineStr">
        <is>
          <t>Don Jackson</t>
        </is>
      </c>
      <c r="B189" s="6" t="inlineStr">
        <is>
          <t>Solid Foundations</t>
        </is>
      </c>
      <c r="C189" s="6" t="inlineStr">
        <is>
          <t>Owner and President</t>
        </is>
      </c>
      <c r="D189" s="7" t="inlineStr">
        <is>
          <t>Builds the wall, not the house</t>
        </is>
      </c>
      <c r="E189" s="8" t="n">
        <v>2</v>
      </c>
      <c r="F189" s="6" t="inlineStr">
        <is>
          <t>Builds the wall</t>
        </is>
      </c>
      <c r="G189" s="6" t="inlineStr">
        <is>
          <t>Conroe, Montgomery County, and across the state</t>
        </is>
      </c>
      <c r="H189" s="6" t="inlineStr">
        <is>
          <t>Founded 1999, rebar and post-tension foundations</t>
        </is>
      </c>
      <c r="I189" s="8" t="inlineStr">
        <is>
          <t>Partly</t>
        </is>
      </c>
      <c r="J189" s="9" t="inlineStr">
        <is>
          <t>A standing post-tension foundation line repeated across the region, though the published project list is commercial rather than production residential.</t>
        </is>
      </c>
      <c r="K189" s="8" t="inlineStr">
        <is>
          <t>Yes</t>
        </is>
      </c>
      <c r="L189" s="9" t="inlineStr">
        <is>
          <t>A single-office contractor of this size is the scale where one or two machines would cover a real share of the work it takes on.</t>
        </is>
      </c>
      <c r="M189" s="8" t="inlineStr">
        <is>
          <t>No</t>
        </is>
      </c>
      <c r="N189" s="9" t="inlineStr">
        <is>
          <t>No record of paying for an unproven method.</t>
        </is>
      </c>
      <c r="O189" s="8" t="inlineStr">
        <is>
          <t>Partly</t>
        </is>
      </c>
      <c r="P189" s="6" t="inlineStr">
        <is>
          <t>https://www.linkedin.com/in/don-jackson-2366351a/</t>
        </is>
      </c>
      <c r="Q189" s="6" t="inlineStr"/>
      <c r="R189" s="11">
        <f>IF(P189="","ADD LINKEDIN","ok")</f>
        <v/>
      </c>
      <c r="S189" s="6" t="inlineStr">
        <is>
          <t>https://solidfoundationsltd.com/about.php</t>
        </is>
      </c>
      <c r="T189" s="9" t="inlineStr">
        <is>
          <t>A Conroe contractor with a standing post-tension line, positioned in the north Houston growth corridor where the production communities are.</t>
        </is>
      </c>
      <c r="U189" s="6" t="inlineStr">
        <is>
          <t>YES</t>
        </is>
      </c>
      <c r="V189" s="9" t="inlineStr">
        <is>
          <t>The firm's own about page: started in 1999 by its owner and president. His profile headline carries the firm, which matters because the name is a common one. The only person this firm publishes.</t>
        </is>
      </c>
      <c r="W189" s="6" t="inlineStr"/>
      <c r="X189" s="6" t="inlineStr"/>
      <c r="Y189" s="6" t="inlineStr"/>
      <c r="Z189" s="6" t="inlineStr"/>
      <c r="AA189" s="6" t="inlineStr">
        <is>
          <t>(281) 798-4821</t>
        </is>
      </c>
      <c r="AB189" s="6" t="inlineStr">
        <is>
          <t>main</t>
        </is>
      </c>
      <c r="AC189" s="6" t="inlineStr">
        <is>
          <t>https://solidfoundationsltd.com/about.php</t>
        </is>
      </c>
    </row>
    <row r="190">
      <c r="A190" s="12" t="inlineStr">
        <is>
          <t>Francisco Trevino</t>
        </is>
      </c>
      <c r="B190" s="12" t="inlineStr">
        <is>
          <t>Texan Pumpers Company</t>
        </is>
      </c>
      <c r="C190" s="12" t="inlineStr"/>
      <c r="D190" s="13" t="inlineStr">
        <is>
          <t>Builds the wall, not the house</t>
        </is>
      </c>
      <c r="E190" s="14" t="n">
        <v>2</v>
      </c>
      <c r="F190" s="12" t="inlineStr">
        <is>
          <t>Builds the wall</t>
        </is>
      </c>
      <c r="G190" s="12" t="inlineStr">
        <is>
          <t>Kingwood, serving a 150-mile radius</t>
        </is>
      </c>
      <c r="H190" s="12" t="inlineStr">
        <is>
          <t>Over 30 pump trucks, 45 to 50 percent annual growth</t>
        </is>
      </c>
      <c r="I190" s="14" t="inlineStr">
        <is>
          <t>Yes</t>
        </is>
      </c>
      <c r="J190" s="15" t="inlineStr">
        <is>
          <t>Placement repeated daily for home builders and contractors across one region from one yard.</t>
        </is>
      </c>
      <c r="K190" s="14" t="inlineStr">
        <is>
          <t>Partly</t>
        </is>
      </c>
      <c r="L190" s="15" t="inlineStr">
        <is>
          <t>Thirty-plus trucks is more placement capacity than one or two printers would cover, though a single-yard operation is the closer end of that range.</t>
        </is>
      </c>
      <c r="M190" s="14" t="inlineStr">
        <is>
          <t>No</t>
        </is>
      </c>
      <c r="N190" s="15" t="inlineStr">
        <is>
          <t>No record of paying for an unproven method. The published position is fleet growth and service.</t>
        </is>
      </c>
      <c r="O190" s="14" t="inlineStr">
        <is>
          <t>Partly</t>
        </is>
      </c>
      <c r="P190" s="6" t="inlineStr">
        <is>
          <t>https://www.linkedin.com/in/francisco-trevino-3b122822b/</t>
        </is>
      </c>
      <c r="Q190" s="12" t="inlineStr"/>
      <c r="R190" s="16">
        <f>IF(P190="","ADD LINKEDIN","ok")</f>
        <v/>
      </c>
      <c r="S190" s="12" t="inlineStr">
        <is>
          <t>https://texconpumping.com/</t>
        </is>
      </c>
      <c r="T190" s="15" t="inlineStr">
        <is>
          <t>The fastest-growing pumping fleet in the metro, already selling placement to home builders, and still buying equipment.</t>
        </is>
      </c>
      <c r="U190" s="12" t="inlineStr"/>
      <c r="V190" s="15" t="inlineStr">
        <is>
          <t>His profile headline names the company. No title is visible on it and the firm publishes no leadership anywhere on its own site, where his name appears only in a page's author metadata. He is the only person this firm can be connected to in any source this deck will use, and his role is unknown.</t>
        </is>
      </c>
      <c r="W190" s="12" t="inlineStr"/>
      <c r="X190" s="12" t="inlineStr"/>
      <c r="Y190" s="12" t="inlineStr"/>
      <c r="Z190" s="12" t="inlineStr"/>
      <c r="AA190" s="12" t="inlineStr">
        <is>
          <t>(713) 588-3500</t>
        </is>
      </c>
      <c r="AB190" s="12" t="inlineStr">
        <is>
          <t>the only number published</t>
        </is>
      </c>
      <c r="AC190" s="12" t="inlineStr">
        <is>
          <t>https://texconpumping.com/</t>
        </is>
      </c>
    </row>
    <row r="191">
      <c r="A191" s="6" t="inlineStr">
        <is>
          <t>David Buzzelli</t>
        </is>
      </c>
      <c r="B191" s="6" t="inlineStr">
        <is>
          <t>Texas A&amp;M Concrete</t>
        </is>
      </c>
      <c r="C191" s="6" t="inlineStr">
        <is>
          <t>Vice President</t>
        </is>
      </c>
      <c r="D191" s="7" t="inlineStr">
        <is>
          <t>Builds the wall, not the house</t>
        </is>
      </c>
      <c r="E191" s="8" t="n">
        <v>2</v>
      </c>
      <c r="F191" s="6" t="inlineStr">
        <is>
          <t>Builds the wall</t>
        </is>
      </c>
      <c r="G191" s="6" t="inlineStr">
        <is>
          <t>Houston, Harris</t>
        </is>
      </c>
      <c r="H191" s="6" t="inlineStr">
        <is>
          <t>79 panels and 52,116 square feet of tilt-up wall on one job</t>
        </is>
      </c>
      <c r="I191" s="8" t="inlineStr">
        <is>
          <t>Yes</t>
        </is>
      </c>
      <c r="J191" s="9" t="inlineStr">
        <is>
          <t>Tilt-up panel production repeats inside one metro even when the buildings differ.</t>
        </is>
      </c>
      <c r="K191" s="8" t="inlineStr">
        <is>
          <t>Partly</t>
        </is>
      </c>
      <c r="L191" s="9" t="inlineStr">
        <is>
          <t>The firm's own site gives a job range of $500,000 to $15 million. A printer would be one line in a book that size.</t>
        </is>
      </c>
      <c r="M191" s="8" t="inlineStr">
        <is>
          <t>No</t>
        </is>
      </c>
      <c r="N191" s="9" t="inlineStr">
        <is>
          <t>No method statement on record. Its published involvement is in concrete standards committees, not in new methods.</t>
        </is>
      </c>
      <c r="O191" s="8" t="inlineStr">
        <is>
          <t>Partly</t>
        </is>
      </c>
      <c r="P191" s="6" t="inlineStr">
        <is>
          <t>https://www.linkedin.com/in/david-buzzelli-faci-77109b29/</t>
        </is>
      </c>
      <c r="Q191" s="6" t="inlineStr"/>
      <c r="R191" s="11">
        <f>IF(P191="","ADD LINKEDIN","ok")</f>
        <v/>
      </c>
      <c r="S191" s="6" t="inlineStr">
        <is>
          <t>https://www.texasamconcrete.com/</t>
        </is>
      </c>
      <c r="T191" s="9" t="inlineStr">
        <is>
          <t>Two award-listed tilt-up jobs in Houston. Panels repeat; the buildings behind them do not.</t>
        </is>
      </c>
      <c r="U191" s="6" t="inlineStr">
        <is>
          <t>YES</t>
        </is>
      </c>
      <c r="V191" s="9" t="inlineStr">
        <is>
          <t>Headline reads Vice President of Texas A&amp;M Concrete, LLC. Houston, Texas. He is also named as a founder in the firm's own dated news post.</t>
        </is>
      </c>
      <c r="W191" s="6" t="inlineStr"/>
      <c r="X191" s="6" t="inlineStr"/>
      <c r="Y191" s="6" t="inlineStr"/>
      <c r="Z191" s="6" t="inlineStr"/>
      <c r="AA191" s="6" t="inlineStr">
        <is>
          <t>(281) 405-9557</t>
        </is>
      </c>
      <c r="AB191" s="6" t="inlineStr">
        <is>
          <t>office</t>
        </is>
      </c>
      <c r="AC191" s="6" t="inlineStr">
        <is>
          <t>https://www.texasamconcrete.com/</t>
        </is>
      </c>
    </row>
    <row r="192">
      <c r="A192" s="12" t="inlineStr">
        <is>
          <t>Adrian Villarreal</t>
        </is>
      </c>
      <c r="B192" s="12" t="inlineStr">
        <is>
          <t>Texas A&amp;M Concrete</t>
        </is>
      </c>
      <c r="C192" s="12" t="inlineStr">
        <is>
          <t>Co-founder</t>
        </is>
      </c>
      <c r="D192" s="13" t="inlineStr">
        <is>
          <t>Builds the wall, not the house</t>
        </is>
      </c>
      <c r="E192" s="14" t="n">
        <v>2</v>
      </c>
      <c r="F192" s="12" t="inlineStr">
        <is>
          <t>Builds the wall</t>
        </is>
      </c>
      <c r="G192" s="12" t="inlineStr">
        <is>
          <t>Houston, Harris</t>
        </is>
      </c>
      <c r="H192" s="12" t="inlineStr">
        <is>
          <t>79 panels and 52,116 square feet of tilt-up wall on one job</t>
        </is>
      </c>
      <c r="I192" s="14" t="inlineStr">
        <is>
          <t>Yes</t>
        </is>
      </c>
      <c r="J192" s="15" t="inlineStr">
        <is>
          <t>Tilt-up panel production repeats inside one metro even when the buildings differ.</t>
        </is>
      </c>
      <c r="K192" s="14" t="inlineStr">
        <is>
          <t>Partly</t>
        </is>
      </c>
      <c r="L192" s="15" t="inlineStr">
        <is>
          <t>The firm's own site gives a job range of $500,000 to $15 million. A printer would be one line in a book that size.</t>
        </is>
      </c>
      <c r="M192" s="14" t="inlineStr">
        <is>
          <t>No</t>
        </is>
      </c>
      <c r="N192" s="15" t="inlineStr">
        <is>
          <t>No method statement on record. Its published involvement is in concrete standards committees, not in new methods.</t>
        </is>
      </c>
      <c r="O192" s="14" t="inlineStr">
        <is>
          <t>Partly</t>
        </is>
      </c>
      <c r="P192" s="10" t="inlineStr"/>
      <c r="Q192" s="12" t="inlineStr"/>
      <c r="R192" s="16">
        <f>IF(P192="","ADD LINKEDIN","ok")</f>
        <v/>
      </c>
      <c r="S192" s="12" t="inlineStr">
        <is>
          <t>https://www.texasamconcrete.com/</t>
        </is>
      </c>
      <c r="T192" s="15" t="inlineStr">
        <is>
          <t>Two award-listed tilt-up jobs in Houston. Panels repeat; the buildings behind them do not.</t>
        </is>
      </c>
      <c r="U192" s="12" t="inlineStr"/>
      <c r="V192" s="15" t="inlineStr"/>
      <c r="W192" s="12" t="inlineStr">
        <is>
          <t>https://www.texasamconcrete.com/blogs/news/texas-concrete-contractor-makes-it-big</t>
        </is>
      </c>
      <c r="X192" s="12" t="inlineStr"/>
      <c r="Y192" s="12" t="inlineStr"/>
      <c r="Z192" s="12" t="inlineStr"/>
      <c r="AA192" s="12" t="inlineStr">
        <is>
          <t>(281) 405-9557</t>
        </is>
      </c>
      <c r="AB192" s="12" t="inlineStr">
        <is>
          <t>office</t>
        </is>
      </c>
      <c r="AC192" s="12" t="inlineStr">
        <is>
          <t>https://www.texasamconcrete.com/</t>
        </is>
      </c>
    </row>
    <row r="193">
      <c r="A193" s="6" t="inlineStr">
        <is>
          <t>Marcos Chavez</t>
        </is>
      </c>
      <c r="B193" s="6" t="inlineStr">
        <is>
          <t>Texas A&amp;M Concrete</t>
        </is>
      </c>
      <c r="C193" s="6" t="inlineStr">
        <is>
          <t>Co-founder</t>
        </is>
      </c>
      <c r="D193" s="7" t="inlineStr">
        <is>
          <t>Builds the wall, not the house</t>
        </is>
      </c>
      <c r="E193" s="8" t="n">
        <v>2</v>
      </c>
      <c r="F193" s="6" t="inlineStr">
        <is>
          <t>Builds the wall</t>
        </is>
      </c>
      <c r="G193" s="6" t="inlineStr">
        <is>
          <t>Houston, Harris</t>
        </is>
      </c>
      <c r="H193" s="6" t="inlineStr">
        <is>
          <t>79 panels and 52,116 square feet of tilt-up wall on one job</t>
        </is>
      </c>
      <c r="I193" s="8" t="inlineStr">
        <is>
          <t>Yes</t>
        </is>
      </c>
      <c r="J193" s="9" t="inlineStr">
        <is>
          <t>Tilt-up panel production repeats inside one metro even when the buildings differ.</t>
        </is>
      </c>
      <c r="K193" s="8" t="inlineStr">
        <is>
          <t>Partly</t>
        </is>
      </c>
      <c r="L193" s="9" t="inlineStr">
        <is>
          <t>The firm's own site gives a job range of $500,000 to $15 million. A printer would be one line in a book that size.</t>
        </is>
      </c>
      <c r="M193" s="8" t="inlineStr">
        <is>
          <t>No</t>
        </is>
      </c>
      <c r="N193" s="9" t="inlineStr">
        <is>
          <t>No method statement on record. Its published involvement is in concrete standards committees, not in new methods.</t>
        </is>
      </c>
      <c r="O193" s="8" t="inlineStr">
        <is>
          <t>Partly</t>
        </is>
      </c>
      <c r="P193" s="10" t="inlineStr"/>
      <c r="Q193" s="6" t="inlineStr"/>
      <c r="R193" s="11">
        <f>IF(P193="","ADD LINKEDIN","ok")</f>
        <v/>
      </c>
      <c r="S193" s="6" t="inlineStr">
        <is>
          <t>https://www.texasamconcrete.com/</t>
        </is>
      </c>
      <c r="T193" s="9" t="inlineStr">
        <is>
          <t>Two award-listed tilt-up jobs in Houston. Panels repeat; the buildings behind them do not.</t>
        </is>
      </c>
      <c r="U193" s="6" t="inlineStr"/>
      <c r="V193" s="9" t="inlineStr"/>
      <c r="W193" s="6" t="inlineStr">
        <is>
          <t>https://www.texasamconcrete.com/blogs/news/texas-concrete-contractor-makes-it-big</t>
        </is>
      </c>
      <c r="X193" s="6" t="inlineStr"/>
      <c r="Y193" s="6" t="inlineStr"/>
      <c r="Z193" s="6" t="inlineStr"/>
      <c r="AA193" s="6" t="inlineStr">
        <is>
          <t>(281) 405-9557</t>
        </is>
      </c>
      <c r="AB193" s="6" t="inlineStr">
        <is>
          <t>office</t>
        </is>
      </c>
      <c r="AC193" s="6" t="inlineStr">
        <is>
          <t>https://www.texasamconcrete.com/</t>
        </is>
      </c>
    </row>
    <row r="194">
      <c r="A194" s="12" t="inlineStr">
        <is>
          <t>Robert May</t>
        </is>
      </c>
      <c r="B194" s="12" t="inlineStr">
        <is>
          <t>Tricon Precast</t>
        </is>
      </c>
      <c r="C194" s="12" t="inlineStr">
        <is>
          <t>Business Development</t>
        </is>
      </c>
      <c r="D194" s="13" t="inlineStr">
        <is>
          <t>Builds the wall, not the house</t>
        </is>
      </c>
      <c r="E194" s="14" t="n">
        <v>2</v>
      </c>
      <c r="F194" s="12" t="inlineStr">
        <is>
          <t>Builds the wall</t>
        </is>
      </c>
      <c r="G194" s="12" t="inlineStr">
        <is>
          <t>Houston, Henry Road, with a second Texas plant</t>
        </is>
      </c>
      <c r="H194" s="12" t="inlineStr">
        <is>
          <t>ACI and PCI Level 1 certified quality control</t>
        </is>
      </c>
      <c r="I194" s="14" t="inlineStr">
        <is>
          <t>Yes</t>
        </is>
      </c>
      <c r="J194" s="15" t="inlineStr">
        <is>
          <t>Bridge and substructure elements cast repeatedly from two Texas plants.</t>
        </is>
      </c>
      <c r="K194" s="14" t="inlineStr">
        <is>
          <t>Partly</t>
        </is>
      </c>
      <c r="L194" s="15" t="inlineStr">
        <is>
          <t>Two plants running certified batching is more capacity than one or two printers would cover, and none of the published product is building wall.</t>
        </is>
      </c>
      <c r="M194" s="14" t="inlineStr">
        <is>
          <t>No</t>
        </is>
      </c>
      <c r="N194" s="15" t="inlineStr">
        <is>
          <t>No record of paying for an unproven method. The published position is certification and quality control.</t>
        </is>
      </c>
      <c r="O194" s="14" t="inlineStr">
        <is>
          <t>Partly</t>
        </is>
      </c>
      <c r="P194" s="6" t="inlineStr">
        <is>
          <t>https://www.linkedin.com/in/robert-may-18560560</t>
        </is>
      </c>
      <c r="Q194" s="12" t="inlineStr"/>
      <c r="R194" s="16">
        <f>IF(P194="","ADD LINKEDIN","ok")</f>
        <v/>
      </c>
      <c r="S194" s="12" t="inlineStr">
        <is>
          <t>https://www.triconprecast.com</t>
        </is>
      </c>
      <c r="T194" s="15" t="inlineStr">
        <is>
          <t>A Houston precast plant with a certified QC regime and a batching line, on a product mix that is infrastructure rather than building wall.</t>
        </is>
      </c>
      <c r="U194" s="12" t="inlineStr"/>
      <c r="V194" s="15" t="inlineStr">
        <is>
          <t>The Texas precast association names him as Tricon's contact and his own profile headline gives the function. Tricon publishes no leadership of any kind on any page that could be read, so there is no decision-maker to mark.</t>
        </is>
      </c>
      <c r="W194" s="12" t="inlineStr"/>
      <c r="X194" s="12" t="inlineStr"/>
      <c r="Y194" s="12" t="inlineStr"/>
      <c r="Z194" s="12" t="inlineStr"/>
      <c r="AA194" s="12" t="inlineStr">
        <is>
          <t>(281) 931-9832</t>
        </is>
      </c>
      <c r="AB194" s="12" t="inlineStr">
        <is>
          <t>Houston, Henry Road</t>
        </is>
      </c>
      <c r="AC194" s="12" t="inlineStr">
        <is>
          <t>https://tricon-industrial.com/contact</t>
        </is>
      </c>
    </row>
    <row r="195">
      <c r="A195" s="6" t="inlineStr">
        <is>
          <t>Don Groom</t>
        </is>
      </c>
      <c r="B195" s="6" t="inlineStr">
        <is>
          <t>Trussworks Operations</t>
        </is>
      </c>
      <c r="C195" s="6" t="inlineStr">
        <is>
          <t>President, Chief Executive Officer and Managing Partner</t>
        </is>
      </c>
      <c r="D195" s="7" t="inlineStr">
        <is>
          <t>Builds the wall, not the house</t>
        </is>
      </c>
      <c r="E195" s="8" t="n">
        <v>2</v>
      </c>
      <c r="F195" s="6" t="inlineStr">
        <is>
          <t>Builds the wall</t>
        </is>
      </c>
      <c r="G195" s="6" t="inlineStr">
        <is>
          <t>Caldwell plant, about 90 minutes from Houston</t>
        </is>
      </c>
      <c r="H195" s="6" t="inlineStr">
        <is>
          <t>Wall panels for production builder projects</t>
        </is>
      </c>
      <c r="I195" s="8" t="inlineStr">
        <is>
          <t>Yes</t>
        </is>
      </c>
      <c r="J195" s="9" t="inlineStr">
        <is>
          <t>Wall panels made repeatedly from one plant for production builders across the region.</t>
        </is>
      </c>
      <c r="K195" s="8" t="inlineStr">
        <is>
          <t>Partly</t>
        </is>
      </c>
      <c r="L195" s="9" t="inlineStr">
        <is>
          <t>Two Texas plants inside a seven-plant group is more than one or two printers would cover, and Caldwell is a regional plant rather than a Houston one.</t>
        </is>
      </c>
      <c r="M195" s="8" t="inlineStr">
        <is>
          <t>No</t>
        </is>
      </c>
      <c r="N195" s="9" t="inlineStr">
        <is>
          <t>No record of paying for an unproven method.</t>
        </is>
      </c>
      <c r="O195" s="8" t="inlineStr">
        <is>
          <t>Partly</t>
        </is>
      </c>
      <c r="P195" s="6" t="inlineStr">
        <is>
          <t>https://www.linkedin.com/in/don-groom-a60811147</t>
        </is>
      </c>
      <c r="Q195" s="6" t="inlineStr"/>
      <c r="R195" s="11">
        <f>IF(P195="","ADD LINKEDIN","ok")</f>
        <v/>
      </c>
      <c r="S195" s="6" t="inlineStr">
        <is>
          <t>https://www.trussworksllc.net/</t>
        </is>
      </c>
      <c r="T195" s="9" t="inlineStr">
        <is>
          <t>A wall panel plant inside Houston's trucking radius whose own stated customer segment is production builders and multifamily.</t>
        </is>
      </c>
      <c r="U195" s="6" t="inlineStr">
        <is>
          <t>YES</t>
        </is>
      </c>
      <c r="V195" s="9" t="inlineStr">
        <is>
          <t>His own staff page on the firm's site. Managing partner is ownership, not just office.</t>
        </is>
      </c>
      <c r="W195" s="6" t="inlineStr"/>
      <c r="X195" s="6" t="inlineStr"/>
      <c r="Y195" s="6" t="inlineStr"/>
      <c r="Z195" s="6" t="inlineStr"/>
      <c r="AA195" s="6" t="inlineStr">
        <is>
          <t>(979) 567-0400</t>
        </is>
      </c>
      <c r="AB195" s="6" t="inlineStr">
        <is>
          <t>the line published against every location</t>
        </is>
      </c>
      <c r="AC195" s="6" t="inlineStr">
        <is>
          <t>https://www.trussworksllc.net/locations</t>
        </is>
      </c>
    </row>
    <row r="196">
      <c r="A196" s="12" t="inlineStr">
        <is>
          <t>Justin Groom</t>
        </is>
      </c>
      <c r="B196" s="12" t="inlineStr">
        <is>
          <t>Trussworks Operations</t>
        </is>
      </c>
      <c r="C196" s="12" t="inlineStr">
        <is>
          <t>Executive Vice President, Manufacturing and Distribution</t>
        </is>
      </c>
      <c r="D196" s="13" t="inlineStr">
        <is>
          <t>Builds the wall, not the house</t>
        </is>
      </c>
      <c r="E196" s="14" t="n">
        <v>2</v>
      </c>
      <c r="F196" s="12" t="inlineStr">
        <is>
          <t>Builds the wall</t>
        </is>
      </c>
      <c r="G196" s="12" t="inlineStr">
        <is>
          <t>Caldwell plant, about 90 minutes from Houston</t>
        </is>
      </c>
      <c r="H196" s="12" t="inlineStr">
        <is>
          <t>Wall panels for production builder projects</t>
        </is>
      </c>
      <c r="I196" s="14" t="inlineStr">
        <is>
          <t>Yes</t>
        </is>
      </c>
      <c r="J196" s="15" t="inlineStr">
        <is>
          <t>Wall panels made repeatedly from one plant for production builders across the region.</t>
        </is>
      </c>
      <c r="K196" s="14" t="inlineStr">
        <is>
          <t>Partly</t>
        </is>
      </c>
      <c r="L196" s="15" t="inlineStr">
        <is>
          <t>Two Texas plants inside a seven-plant group is more than one or two printers would cover, and Caldwell is a regional plant rather than a Houston one.</t>
        </is>
      </c>
      <c r="M196" s="14" t="inlineStr">
        <is>
          <t>No</t>
        </is>
      </c>
      <c r="N196" s="15" t="inlineStr">
        <is>
          <t>No record of paying for an unproven method.</t>
        </is>
      </c>
      <c r="O196" s="14" t="inlineStr">
        <is>
          <t>Partly</t>
        </is>
      </c>
      <c r="P196" s="10" t="inlineStr"/>
      <c r="Q196" s="12" t="inlineStr"/>
      <c r="R196" s="16">
        <f>IF(P196="","ADD LINKEDIN","ok")</f>
        <v/>
      </c>
      <c r="S196" s="12" t="inlineStr">
        <is>
          <t>https://www.trussworksllc.net/</t>
        </is>
      </c>
      <c r="T196" s="15" t="inlineStr">
        <is>
          <t>A wall panel plant inside Houston's trucking radius whose own stated customer segment is production builders and multifamily.</t>
        </is>
      </c>
      <c r="U196" s="12" t="inlineStr">
        <is>
          <t>YES</t>
        </is>
      </c>
      <c r="V196" s="15" t="inlineStr">
        <is>
          <t>The firm's own team page. He owns the plant floor.</t>
        </is>
      </c>
      <c r="W196" s="12" t="inlineStr">
        <is>
          <t>https://www.trussworksllc.net/our-team</t>
        </is>
      </c>
      <c r="X196" s="12" t="inlineStr"/>
      <c r="Y196" s="12" t="inlineStr"/>
      <c r="Z196" s="12" t="inlineStr"/>
      <c r="AA196" s="12" t="inlineStr">
        <is>
          <t>(979) 567-0400</t>
        </is>
      </c>
      <c r="AB196" s="12" t="inlineStr">
        <is>
          <t>the line published against every location</t>
        </is>
      </c>
      <c r="AC196" s="12" t="inlineStr">
        <is>
          <t>https://www.trussworksllc.net/locations</t>
        </is>
      </c>
    </row>
    <row r="197">
      <c r="A197" s="6" t="inlineStr">
        <is>
          <t>Mike Bellows</t>
        </is>
      </c>
      <c r="B197" s="6" t="inlineStr">
        <is>
          <t>Trussworks Operations</t>
        </is>
      </c>
      <c r="C197" s="6" t="inlineStr">
        <is>
          <t>Partner</t>
        </is>
      </c>
      <c r="D197" s="7" t="inlineStr">
        <is>
          <t>Builds the wall, not the house</t>
        </is>
      </c>
      <c r="E197" s="8" t="n">
        <v>2</v>
      </c>
      <c r="F197" s="6" t="inlineStr">
        <is>
          <t>Builds the wall</t>
        </is>
      </c>
      <c r="G197" s="6" t="inlineStr">
        <is>
          <t>Caldwell plant, about 90 minutes from Houston</t>
        </is>
      </c>
      <c r="H197" s="6" t="inlineStr">
        <is>
          <t>Wall panels for production builder projects</t>
        </is>
      </c>
      <c r="I197" s="8" t="inlineStr">
        <is>
          <t>Yes</t>
        </is>
      </c>
      <c r="J197" s="9" t="inlineStr">
        <is>
          <t>Wall panels made repeatedly from one plant for production builders across the region.</t>
        </is>
      </c>
      <c r="K197" s="8" t="inlineStr">
        <is>
          <t>Partly</t>
        </is>
      </c>
      <c r="L197" s="9" t="inlineStr">
        <is>
          <t>Two Texas plants inside a seven-plant group is more than one or two printers would cover, and Caldwell is a regional plant rather than a Houston one.</t>
        </is>
      </c>
      <c r="M197" s="8" t="inlineStr">
        <is>
          <t>No</t>
        </is>
      </c>
      <c r="N197" s="9" t="inlineStr">
        <is>
          <t>No record of paying for an unproven method.</t>
        </is>
      </c>
      <c r="O197" s="8" t="inlineStr">
        <is>
          <t>Partly</t>
        </is>
      </c>
      <c r="P197" s="10" t="inlineStr"/>
      <c r="Q197" s="6" t="inlineStr"/>
      <c r="R197" s="11">
        <f>IF(P197="","ADD LINKEDIN","ok")</f>
        <v/>
      </c>
      <c r="S197" s="6" t="inlineStr">
        <is>
          <t>https://www.trussworksllc.net/</t>
        </is>
      </c>
      <c r="T197" s="9" t="inlineStr">
        <is>
          <t>A wall panel plant inside Houston's trucking radius whose own stated customer segment is production builders and multifamily.</t>
        </is>
      </c>
      <c r="U197" s="6" t="inlineStr"/>
      <c r="V197" s="9" t="inlineStr"/>
      <c r="W197" s="6" t="inlineStr">
        <is>
          <t>https://www.trussworksllc.net/our-team</t>
        </is>
      </c>
      <c r="X197" s="6" t="inlineStr"/>
      <c r="Y197" s="6" t="inlineStr"/>
      <c r="Z197" s="6" t="inlineStr"/>
      <c r="AA197" s="6" t="inlineStr">
        <is>
          <t>(979) 567-0400</t>
        </is>
      </c>
      <c r="AB197" s="6" t="inlineStr">
        <is>
          <t>the line published against every location</t>
        </is>
      </c>
      <c r="AC197" s="6" t="inlineStr">
        <is>
          <t>https://www.trussworksllc.net/locations</t>
        </is>
      </c>
    </row>
    <row r="198">
      <c r="A198" s="12" t="inlineStr">
        <is>
          <t>Tony Urban</t>
        </is>
      </c>
      <c r="B198" s="12" t="inlineStr">
        <is>
          <t>Trussworks Operations</t>
        </is>
      </c>
      <c r="C198" s="12" t="inlineStr">
        <is>
          <t>Partner</t>
        </is>
      </c>
      <c r="D198" s="13" t="inlineStr">
        <is>
          <t>Builds the wall, not the house</t>
        </is>
      </c>
      <c r="E198" s="14" t="n">
        <v>2</v>
      </c>
      <c r="F198" s="12" t="inlineStr">
        <is>
          <t>Builds the wall</t>
        </is>
      </c>
      <c r="G198" s="12" t="inlineStr">
        <is>
          <t>Caldwell plant, about 90 minutes from Houston</t>
        </is>
      </c>
      <c r="H198" s="12" t="inlineStr">
        <is>
          <t>Wall panels for production builder projects</t>
        </is>
      </c>
      <c r="I198" s="14" t="inlineStr">
        <is>
          <t>Yes</t>
        </is>
      </c>
      <c r="J198" s="15" t="inlineStr">
        <is>
          <t>Wall panels made repeatedly from one plant for production builders across the region.</t>
        </is>
      </c>
      <c r="K198" s="14" t="inlineStr">
        <is>
          <t>Partly</t>
        </is>
      </c>
      <c r="L198" s="15" t="inlineStr">
        <is>
          <t>Two Texas plants inside a seven-plant group is more than one or two printers would cover, and Caldwell is a regional plant rather than a Houston one.</t>
        </is>
      </c>
      <c r="M198" s="14" t="inlineStr">
        <is>
          <t>No</t>
        </is>
      </c>
      <c r="N198" s="15" t="inlineStr">
        <is>
          <t>No record of paying for an unproven method.</t>
        </is>
      </c>
      <c r="O198" s="14" t="inlineStr">
        <is>
          <t>Partly</t>
        </is>
      </c>
      <c r="P198" s="10" t="inlineStr"/>
      <c r="Q198" s="12" t="inlineStr"/>
      <c r="R198" s="16">
        <f>IF(P198="","ADD LINKEDIN","ok")</f>
        <v/>
      </c>
      <c r="S198" s="12" t="inlineStr">
        <is>
          <t>https://www.trussworksllc.net/</t>
        </is>
      </c>
      <c r="T198" s="15" t="inlineStr">
        <is>
          <t>A wall panel plant inside Houston's trucking radius whose own stated customer segment is production builders and multifamily.</t>
        </is>
      </c>
      <c r="U198" s="12" t="inlineStr"/>
      <c r="V198" s="15" t="inlineStr"/>
      <c r="W198" s="12" t="inlineStr">
        <is>
          <t>https://www.trussworksllc.net/our-team</t>
        </is>
      </c>
      <c r="X198" s="12" t="inlineStr"/>
      <c r="Y198" s="12" t="inlineStr"/>
      <c r="Z198" s="12" t="inlineStr"/>
      <c r="AA198" s="12" t="inlineStr">
        <is>
          <t>(979) 567-0400</t>
        </is>
      </c>
      <c r="AB198" s="12" t="inlineStr">
        <is>
          <t>the line published against every location</t>
        </is>
      </c>
      <c r="AC198" s="12" t="inlineStr">
        <is>
          <t>https://www.trussworksllc.net/locations</t>
        </is>
      </c>
    </row>
    <row r="199">
      <c r="A199" s="6" t="inlineStr">
        <is>
          <t>David Veazey</t>
        </is>
      </c>
      <c r="B199" s="6" t="inlineStr">
        <is>
          <t>Veazey Enterprises</t>
        </is>
      </c>
      <c r="C199" s="6" t="inlineStr">
        <is>
          <t>President</t>
        </is>
      </c>
      <c r="D199" s="7" t="inlineStr">
        <is>
          <t>Builds the wall, not the house</t>
        </is>
      </c>
      <c r="E199" s="8" t="n">
        <v>2</v>
      </c>
      <c r="F199" s="6" t="inlineStr">
        <is>
          <t>Builds the wall</t>
        </is>
      </c>
      <c r="G199" s="6" t="inlineStr">
        <is>
          <t>Houston, Appleton Street, serving Greater Houston and Galveston</t>
        </is>
      </c>
      <c r="H199" s="6" t="inlineStr">
        <is>
          <t>Four generations, operating since the early 1960s</t>
        </is>
      </c>
      <c r="I199" s="8" t="inlineStr">
        <is>
          <t>Yes</t>
        </is>
      </c>
      <c r="J199" s="9" t="inlineStr">
        <is>
          <t>Commercial masonry laid repeatedly across one metro for four generations.</t>
        </is>
      </c>
      <c r="K199" s="8" t="inlineStr">
        <is>
          <t>Partly</t>
        </is>
      </c>
      <c r="L199" s="9" t="inlineStr">
        <is>
          <t>A firm running its own superintendents across hospitals, colleges and hotels puts up more wall than one or two printers would cover.</t>
        </is>
      </c>
      <c r="M199" s="8" t="inlineStr">
        <is>
          <t>No</t>
        </is>
      </c>
      <c r="N199" s="9" t="inlineStr">
        <is>
          <t>No record of paying for an unproven method.</t>
        </is>
      </c>
      <c r="O199" s="8" t="inlineStr">
        <is>
          <t>Partly</t>
        </is>
      </c>
      <c r="P199" s="6" t="inlineStr">
        <is>
          <t>https://www.linkedin.com/in/david-veazey-0b585b17/</t>
        </is>
      </c>
      <c r="Q199" s="6" t="inlineStr"/>
      <c r="R199" s="11">
        <f>IF(P199="","ADD LINKEDIN","ok")</f>
        <v/>
      </c>
      <c r="S199" s="6" t="inlineStr">
        <is>
          <t>https://vzmasonry.com/</t>
        </is>
      </c>
      <c r="T199" s="9" t="inlineStr">
        <is>
          <t>Four generations of commercial masonry inside the metro, on the institutional work where load-bearing block is still specified.</t>
        </is>
      </c>
      <c r="U199" s="6" t="inlineStr">
        <is>
          <t>YES</t>
        </is>
      </c>
      <c r="V199" s="9" t="inlineStr">
        <is>
          <t>His profile headline carries the title, and he writes the Mason Contractors Association interview under his own byline. The firm's own site names nobody.</t>
        </is>
      </c>
      <c r="W199" s="6" t="inlineStr"/>
      <c r="X199" s="6" t="inlineStr"/>
      <c r="Y199" s="6" t="inlineStr"/>
      <c r="Z199" s="6" t="inlineStr"/>
      <c r="AA199" s="6" t="inlineStr">
        <is>
          <t>(713) 695-6500</t>
        </is>
      </c>
      <c r="AB199" s="6" t="inlineStr">
        <is>
          <t>main line</t>
        </is>
      </c>
      <c r="AC199" s="6" t="inlineStr">
        <is>
          <t>https://vzmasonry.com/</t>
        </is>
      </c>
    </row>
    <row r="200">
      <c r="A200" s="12" t="inlineStr">
        <is>
          <t>Sharon Stelter</t>
        </is>
      </c>
      <c r="B200" s="12" t="inlineStr">
        <is>
          <t>Veazey Enterprises</t>
        </is>
      </c>
      <c r="C200" s="12" t="inlineStr">
        <is>
          <t>Vice President</t>
        </is>
      </c>
      <c r="D200" s="13" t="inlineStr">
        <is>
          <t>Builds the wall, not the house</t>
        </is>
      </c>
      <c r="E200" s="14" t="n">
        <v>2</v>
      </c>
      <c r="F200" s="12" t="inlineStr">
        <is>
          <t>Builds the wall</t>
        </is>
      </c>
      <c r="G200" s="12" t="inlineStr">
        <is>
          <t>Houston, Appleton Street, serving Greater Houston and Galveston</t>
        </is>
      </c>
      <c r="H200" s="12" t="inlineStr">
        <is>
          <t>Four generations, operating since the early 1960s</t>
        </is>
      </c>
      <c r="I200" s="14" t="inlineStr">
        <is>
          <t>Yes</t>
        </is>
      </c>
      <c r="J200" s="15" t="inlineStr">
        <is>
          <t>Commercial masonry laid repeatedly across one metro for four generations.</t>
        </is>
      </c>
      <c r="K200" s="14" t="inlineStr">
        <is>
          <t>Partly</t>
        </is>
      </c>
      <c r="L200" s="15" t="inlineStr">
        <is>
          <t>A firm running its own superintendents across hospitals, colleges and hotels puts up more wall than one or two printers would cover.</t>
        </is>
      </c>
      <c r="M200" s="14" t="inlineStr">
        <is>
          <t>No</t>
        </is>
      </c>
      <c r="N200" s="15" t="inlineStr">
        <is>
          <t>No record of paying for an unproven method.</t>
        </is>
      </c>
      <c r="O200" s="14" t="inlineStr">
        <is>
          <t>Partly</t>
        </is>
      </c>
      <c r="P200" s="10" t="inlineStr"/>
      <c r="Q200" s="12" t="inlineStr"/>
      <c r="R200" s="16">
        <f>IF(P200="","ADD LINKEDIN","ok")</f>
        <v/>
      </c>
      <c r="S200" s="12" t="inlineStr">
        <is>
          <t>https://vzmasonry.com/</t>
        </is>
      </c>
      <c r="T200" s="15" t="inlineStr">
        <is>
          <t>Four generations of commercial masonry inside the metro, on the institutional work where load-bearing block is still specified.</t>
        </is>
      </c>
      <c r="U200" s="12" t="inlineStr"/>
      <c r="V200" s="15" t="inlineStr">
        <is>
          <t>The American Subcontractors Association directory.</t>
        </is>
      </c>
      <c r="W200" s="12" t="inlineStr">
        <is>
          <t>https://members.asaonline.com/directory/Details/veazey-enterprises-inc-542938</t>
        </is>
      </c>
      <c r="X200" s="12" t="inlineStr"/>
      <c r="Y200" s="12" t="inlineStr"/>
      <c r="Z200" s="12" t="inlineStr"/>
      <c r="AA200" s="12" t="inlineStr">
        <is>
          <t>(713) 695-6500</t>
        </is>
      </c>
      <c r="AB200" s="12" t="inlineStr">
        <is>
          <t>main line</t>
        </is>
      </c>
      <c r="AC200" s="12" t="inlineStr">
        <is>
          <t>https://vzmasonry.com/</t>
        </is>
      </c>
    </row>
    <row r="201">
      <c r="A201" s="6" t="inlineStr">
        <is>
          <t>Gerald Guzman</t>
        </is>
      </c>
      <c r="B201" s="6" t="inlineStr">
        <is>
          <t>Winco Masonry</t>
        </is>
      </c>
      <c r="C201" s="6" t="inlineStr">
        <is>
          <t>President</t>
        </is>
      </c>
      <c r="D201" s="7" t="inlineStr">
        <is>
          <t>Builds the wall, not the house</t>
        </is>
      </c>
      <c r="E201" s="8" t="n">
        <v>2</v>
      </c>
      <c r="F201" s="6" t="inlineStr">
        <is>
          <t>Builds the wall</t>
        </is>
      </c>
      <c r="G201" s="6" t="inlineStr">
        <is>
          <t>Porter, Montgomery County</t>
        </is>
      </c>
      <c r="H201" s="6" t="inlineStr">
        <is>
          <t>Serving Texas for over 52 years</t>
        </is>
      </c>
      <c r="I201" s="8" t="inlineStr">
        <is>
          <t>Yes</t>
        </is>
      </c>
      <c r="J201" s="9" t="inlineStr">
        <is>
          <t>Brick, block and cast stone laid repeatedly across one region for more than half a century.</t>
        </is>
      </c>
      <c r="K201" s="8" t="inlineStr">
        <is>
          <t>Partly</t>
        </is>
      </c>
      <c r="L201" s="9" t="inlineStr">
        <is>
          <t>A firm with projects running all over town at once puts up more wall than one or two printers would cover.</t>
        </is>
      </c>
      <c r="M201" s="8" t="inlineStr">
        <is>
          <t>No</t>
        </is>
      </c>
      <c r="N201" s="9" t="inlineStr">
        <is>
          <t>No record of paying for an unproven method. The published position is envelope certification and schedule reliability.</t>
        </is>
      </c>
      <c r="O201" s="8" t="inlineStr">
        <is>
          <t>Partly</t>
        </is>
      </c>
      <c r="P201" s="10" t="inlineStr"/>
      <c r="Q201" s="6" t="inlineStr"/>
      <c r="R201" s="11">
        <f>IF(P201="","ADD LINKEDIN","ok")</f>
        <v/>
      </c>
      <c r="S201" s="6" t="inlineStr">
        <is>
          <t>http://www.wincomasonry.com/</t>
        </is>
      </c>
      <c r="T201" s="9" t="inlineStr">
        <is>
          <t>Fifty-two years of commercial masonry from Montgomery County, with an envelope certification that required an audit.</t>
        </is>
      </c>
      <c r="U201" s="6" t="inlineStr">
        <is>
          <t>YES</t>
        </is>
      </c>
      <c r="V201" s="9" t="inlineStr">
        <is>
          <t>The AGC Houston member directory, which is the only non-aggregator source naming him. Winco's own site publishes no leadership at all: the only people on it are three clients in testimonials.</t>
        </is>
      </c>
      <c r="W201" s="6" t="inlineStr">
        <is>
          <t>https://members.agchouston.org/directory/Details/winco-masonry-inc-2123266</t>
        </is>
      </c>
      <c r="X201" s="6" t="inlineStr"/>
      <c r="Y201" s="6" t="inlineStr"/>
      <c r="Z201" s="6" t="inlineStr"/>
      <c r="AA201" s="6" t="inlineStr">
        <is>
          <t>(281) 354-2515</t>
        </is>
      </c>
      <c r="AB201" s="6" t="inlineStr">
        <is>
          <t>the only number on the firm's own site</t>
        </is>
      </c>
      <c r="AC201" s="6" t="inlineStr">
        <is>
          <t>http://www.wincomasonry.com/</t>
        </is>
      </c>
    </row>
    <row r="202">
      <c r="A202" s="12" t="inlineStr">
        <is>
          <t>no contact identified</t>
        </is>
      </c>
      <c r="B202" s="12" t="inlineStr">
        <is>
          <t>Texas Lite Gauge Steel MFG</t>
        </is>
      </c>
      <c r="C202" s="12" t="inlineStr"/>
      <c r="D202" s="13" t="inlineStr">
        <is>
          <t>Builds the wall, not the house</t>
        </is>
      </c>
      <c r="E202" s="14" t="n">
        <v>2</v>
      </c>
      <c r="F202" s="12" t="inlineStr">
        <is>
          <t>Builds the wall</t>
        </is>
      </c>
      <c r="G202" s="12" t="inlineStr">
        <is>
          <t>Texas, Houston telephone exchange</t>
        </is>
      </c>
      <c r="H202" s="12" t="inlineStr">
        <is>
          <t>Prefab walls to plus or minus 0.3mm</t>
        </is>
      </c>
      <c r="I202" s="14" t="inlineStr">
        <is>
          <t>Partly</t>
        </is>
      </c>
      <c r="J202" s="15" t="inlineStr">
        <is>
          <t>Prefabricated wall made and installed repeatedly, though the site names no market, no city and no repeat customer.</t>
        </is>
      </c>
      <c r="K202" s="14" t="inlineStr">
        <is>
          <t>Yes</t>
        </is>
      </c>
      <c r="L202" s="15" t="inlineStr">
        <is>
          <t>A single-line steel fabricator is the scale where one or two machines would cover a real share of what it ships.</t>
        </is>
      </c>
      <c r="M202" s="14" t="inlineStr">
        <is>
          <t>No</t>
        </is>
      </c>
      <c r="N202" s="15" t="inlineStr">
        <is>
          <t>No record of paying for an unproven method. A published factory tolerance is a manufacturing specification, not a change of method.</t>
        </is>
      </c>
      <c r="O202" s="14" t="inlineStr">
        <is>
          <t>No</t>
        </is>
      </c>
      <c r="P202" s="10" t="inlineStr"/>
      <c r="Q202" s="12" t="inlineStr"/>
      <c r="R202" s="16">
        <f>IF(P202="","ADD LINKEDIN","ok")</f>
        <v/>
      </c>
      <c r="S202" s="12" t="inlineStr">
        <is>
          <t>https://txlitegaugesteel.com/</t>
        </is>
      </c>
      <c r="T202" s="15" t="inlineStr">
        <is>
          <t>Manufactures and installs prefabricated wall to a published tolerance, at a size where a machine would be a real share of the business.</t>
        </is>
      </c>
      <c r="U202" s="12" t="inlineStr"/>
      <c r="V202" s="15" t="inlineStr"/>
      <c r="W202" s="12" t="inlineStr"/>
      <c r="X202" s="12" t="inlineStr"/>
      <c r="Y202" s="12" t="inlineStr"/>
      <c r="Z202" s="12" t="inlineStr"/>
      <c r="AA202" s="12" t="inlineStr">
        <is>
          <t>(281) 799-1501</t>
        </is>
      </c>
      <c r="AB202" s="12" t="inlineStr">
        <is>
          <t>call or text</t>
        </is>
      </c>
      <c r="AC202" s="12" t="inlineStr">
        <is>
          <t>https://txlitegaugesteel.com/</t>
        </is>
      </c>
    </row>
    <row r="203">
      <c r="A203" s="6" t="inlineStr">
        <is>
          <t>Martin Jordana</t>
        </is>
      </c>
      <c r="B203" s="6" t="inlineStr">
        <is>
          <t>Baker Construction</t>
        </is>
      </c>
      <c r="C203" s="6" t="inlineStr">
        <is>
          <t>President, Central and Great West Region</t>
        </is>
      </c>
      <c r="D203" s="7" t="inlineStr">
        <is>
          <t>Builds the wall, not the house</t>
        </is>
      </c>
      <c r="E203" s="8" t="n">
        <v>1</v>
      </c>
      <c r="F203" s="6" t="inlineStr">
        <is>
          <t>Builds the wall</t>
        </is>
      </c>
      <c r="G203" s="6" t="inlineStr">
        <is>
          <t>Houston industrial office, Harris, inside a national firm</t>
        </is>
      </c>
      <c r="H203" s="6" t="inlineStr">
        <is>
          <t>61 panels at 70 feet, the heaviest about 87 tons</t>
        </is>
      </c>
      <c r="I203" s="8" t="inlineStr">
        <is>
          <t>Yes</t>
        </is>
      </c>
      <c r="J203" s="9" t="inlineStr">
        <is>
          <t>Panel and structural concrete work recurring across the Houston market.</t>
        </is>
      </c>
      <c r="K203" s="8" t="inlineStr">
        <is>
          <t>No</t>
        </is>
      </c>
      <c r="L203" s="9" t="inlineStr">
        <is>
          <t>More than 12,500 people across the United States on the firm's own count, and first on a national ranking of concrete specialty contractors. A machine purchase at that size runs through a national desk, which the bands score as a No.</t>
        </is>
      </c>
      <c r="M203" s="8" t="inlineStr">
        <is>
          <t>No</t>
        </is>
      </c>
      <c r="N203" s="9" t="inlineStr">
        <is>
          <t>No method statement on record. Working at the top of the panel size range is difficulty, not a new method.</t>
        </is>
      </c>
      <c r="O203" s="8" t="inlineStr">
        <is>
          <t>Yes</t>
        </is>
      </c>
      <c r="P203" s="10" t="inlineStr"/>
      <c r="Q203" s="6" t="inlineStr"/>
      <c r="R203" s="11">
        <f>IF(P203="","ADD LINKEDIN","ok")</f>
        <v/>
      </c>
      <c r="S203" s="6" t="inlineStr">
        <is>
          <t>https://bakerconstruction.com/</t>
        </is>
      </c>
      <c r="T203" s="9" t="inlineStr">
        <is>
          <t>The top of what the trade attempts here. The firm is national.</t>
        </is>
      </c>
      <c r="U203" s="6" t="inlineStr">
        <is>
          <t>YES</t>
        </is>
      </c>
      <c r="V203" s="9" t="inlineStr">
        <is>
          <t>The regional seat that covers Texas.</t>
        </is>
      </c>
      <c r="W203" s="6" t="inlineStr">
        <is>
          <t>https://bakerconstruction.com/leadership/</t>
        </is>
      </c>
      <c r="X203" s="6" t="inlineStr"/>
      <c r="Y203" s="6" t="inlineStr"/>
      <c r="Z203" s="6" t="inlineStr"/>
      <c r="AA203" s="6" t="inlineStr">
        <is>
          <t>(800) 539-2224</t>
        </is>
      </c>
      <c r="AB203" s="6" t="inlineStr">
        <is>
          <t>headquarters</t>
        </is>
      </c>
      <c r="AC203" s="6" t="inlineStr">
        <is>
          <t>https://bakerconstruction.com/</t>
        </is>
      </c>
    </row>
    <row r="204">
      <c r="A204" s="12" t="inlineStr">
        <is>
          <t>Karl Watson</t>
        </is>
      </c>
      <c r="B204" s="12" t="inlineStr">
        <is>
          <t>Baker Construction</t>
        </is>
      </c>
      <c r="C204" s="12" t="inlineStr">
        <is>
          <t>Chief Executive Officer, Baker Construction Enterprises</t>
        </is>
      </c>
      <c r="D204" s="13" t="inlineStr">
        <is>
          <t>Builds the wall, not the house</t>
        </is>
      </c>
      <c r="E204" s="14" t="n">
        <v>1</v>
      </c>
      <c r="F204" s="12" t="inlineStr">
        <is>
          <t>Builds the wall</t>
        </is>
      </c>
      <c r="G204" s="12" t="inlineStr">
        <is>
          <t>Houston industrial office, Harris, inside a national firm</t>
        </is>
      </c>
      <c r="H204" s="12" t="inlineStr">
        <is>
          <t>61 panels at 70 feet, the heaviest about 87 tons</t>
        </is>
      </c>
      <c r="I204" s="14" t="inlineStr">
        <is>
          <t>Yes</t>
        </is>
      </c>
      <c r="J204" s="15" t="inlineStr">
        <is>
          <t>Panel and structural concrete work recurring across the Houston market.</t>
        </is>
      </c>
      <c r="K204" s="14" t="inlineStr">
        <is>
          <t>No</t>
        </is>
      </c>
      <c r="L204" s="15" t="inlineStr">
        <is>
          <t>More than 12,500 people across the United States on the firm's own count, and first on a national ranking of concrete specialty contractors. A machine purchase at that size runs through a national desk, which the bands score as a No.</t>
        </is>
      </c>
      <c r="M204" s="14" t="inlineStr">
        <is>
          <t>No</t>
        </is>
      </c>
      <c r="N204" s="15" t="inlineStr">
        <is>
          <t>No method statement on record. Working at the top of the panel size range is difficulty, not a new method.</t>
        </is>
      </c>
      <c r="O204" s="14" t="inlineStr">
        <is>
          <t>Yes</t>
        </is>
      </c>
      <c r="P204" s="10" t="inlineStr"/>
      <c r="Q204" s="12" t="inlineStr"/>
      <c r="R204" s="16">
        <f>IF(P204="","ADD LINKEDIN","ok")</f>
        <v/>
      </c>
      <c r="S204" s="12" t="inlineStr">
        <is>
          <t>https://bakerconstruction.com/</t>
        </is>
      </c>
      <c r="T204" s="15" t="inlineStr">
        <is>
          <t>The top of what the trade attempts here. The firm is national.</t>
        </is>
      </c>
      <c r="U204" s="12" t="inlineStr"/>
      <c r="V204" s="15" t="inlineStr"/>
      <c r="W204" s="12" t="inlineStr">
        <is>
          <t>https://bakerconstruction.com/leadership/</t>
        </is>
      </c>
      <c r="X204" s="12" t="inlineStr"/>
      <c r="Y204" s="12" t="inlineStr"/>
      <c r="Z204" s="12" t="inlineStr"/>
      <c r="AA204" s="12" t="inlineStr">
        <is>
          <t>(800) 539-2224</t>
        </is>
      </c>
      <c r="AB204" s="12" t="inlineStr">
        <is>
          <t>headquarters</t>
        </is>
      </c>
      <c r="AC204" s="12" t="inlineStr">
        <is>
          <t>https://bakerconstruction.com/</t>
        </is>
      </c>
    </row>
    <row r="205">
      <c r="A205" s="6" t="inlineStr">
        <is>
          <t>Dan T. Baker</t>
        </is>
      </c>
      <c r="B205" s="6" t="inlineStr">
        <is>
          <t>Baker Construction</t>
        </is>
      </c>
      <c r="C205" s="6" t="inlineStr">
        <is>
          <t>Executive Vice Chair and President</t>
        </is>
      </c>
      <c r="D205" s="7" t="inlineStr">
        <is>
          <t>Builds the wall, not the house</t>
        </is>
      </c>
      <c r="E205" s="8" t="n">
        <v>1</v>
      </c>
      <c r="F205" s="6" t="inlineStr">
        <is>
          <t>Builds the wall</t>
        </is>
      </c>
      <c r="G205" s="6" t="inlineStr">
        <is>
          <t>Houston industrial office, Harris, inside a national firm</t>
        </is>
      </c>
      <c r="H205" s="6" t="inlineStr">
        <is>
          <t>61 panels at 70 feet, the heaviest about 87 tons</t>
        </is>
      </c>
      <c r="I205" s="8" t="inlineStr">
        <is>
          <t>Yes</t>
        </is>
      </c>
      <c r="J205" s="9" t="inlineStr">
        <is>
          <t>Panel and structural concrete work recurring across the Houston market.</t>
        </is>
      </c>
      <c r="K205" s="8" t="inlineStr">
        <is>
          <t>No</t>
        </is>
      </c>
      <c r="L205" s="9" t="inlineStr">
        <is>
          <t>More than 12,500 people across the United States on the firm's own count, and first on a national ranking of concrete specialty contractors. A machine purchase at that size runs through a national desk, which the bands score as a No.</t>
        </is>
      </c>
      <c r="M205" s="8" t="inlineStr">
        <is>
          <t>No</t>
        </is>
      </c>
      <c r="N205" s="9" t="inlineStr">
        <is>
          <t>No method statement on record. Working at the top of the panel size range is difficulty, not a new method.</t>
        </is>
      </c>
      <c r="O205" s="8" t="inlineStr">
        <is>
          <t>Yes</t>
        </is>
      </c>
      <c r="P205" s="10" t="inlineStr"/>
      <c r="Q205" s="6" t="inlineStr"/>
      <c r="R205" s="11">
        <f>IF(P205="","ADD LINKEDIN","ok")</f>
        <v/>
      </c>
      <c r="S205" s="6" t="inlineStr">
        <is>
          <t>https://bakerconstruction.com/</t>
        </is>
      </c>
      <c r="T205" s="9" t="inlineStr">
        <is>
          <t>The top of what the trade attempts here. The firm is national.</t>
        </is>
      </c>
      <c r="U205" s="6" t="inlineStr"/>
      <c r="V205" s="9" t="inlineStr"/>
      <c r="W205" s="6" t="inlineStr">
        <is>
          <t>https://bakerconstruction.com/leadership/</t>
        </is>
      </c>
      <c r="X205" s="6" t="inlineStr"/>
      <c r="Y205" s="6" t="inlineStr"/>
      <c r="Z205" s="6" t="inlineStr"/>
      <c r="AA205" s="6" t="inlineStr">
        <is>
          <t>(800) 539-2224</t>
        </is>
      </c>
      <c r="AB205" s="6" t="inlineStr">
        <is>
          <t>headquarters</t>
        </is>
      </c>
      <c r="AC205" s="6" t="inlineStr">
        <is>
          <t>https://bakerconstruction.com/</t>
        </is>
      </c>
    </row>
    <row r="206">
      <c r="A206" s="12" t="inlineStr">
        <is>
          <t>Gary Engasser</t>
        </is>
      </c>
      <c r="B206" s="12" t="inlineStr">
        <is>
          <t>Tealstone Residential Concrete</t>
        </is>
      </c>
      <c r="C206" s="12" t="inlineStr">
        <is>
          <t>President</t>
        </is>
      </c>
      <c r="D206" s="13" t="inlineStr">
        <is>
          <t>Builds the wall, not the house</t>
        </is>
      </c>
      <c r="E206" s="14" t="n">
        <v>1</v>
      </c>
      <c r="F206" s="12" t="inlineStr">
        <is>
          <t>Builds the wall</t>
        </is>
      </c>
      <c r="G206" s="12" t="inlineStr">
        <is>
          <t>Entire Houston region, plus Dallas-Fort Worth, Austin and San Antonio</t>
        </is>
      </c>
      <c r="H206" s="12" t="inlineStr">
        <is>
          <t>10,000-plus slabs placed a year</t>
        </is>
      </c>
      <c r="I206" s="14" t="inlineStr">
        <is>
          <t>Yes</t>
        </is>
      </c>
      <c r="J206" s="15" t="inlineStr">
        <is>
          <t>Ten thousand foundations a year for production builders, repeated across the same communities in the same metros.</t>
        </is>
      </c>
      <c r="K206" s="14" t="inlineStr">
        <is>
          <t>No</t>
        </is>
      </c>
      <c r="L206" s="15" t="inlineStr">
        <is>
          <t>Ten thousand slabs a year is far beyond what one or two printers would cover. A machine would be a pilot line, not a replacement for the slab business.</t>
        </is>
      </c>
      <c r="M206" s="14" t="inlineStr">
        <is>
          <t>No</t>
        </is>
      </c>
      <c r="N206" s="15" t="inlineStr">
        <is>
          <t>No record of paying for an unproven method. The published position is scale, bonding and builder relationships.</t>
        </is>
      </c>
      <c r="O206" s="14" t="inlineStr">
        <is>
          <t>Yes</t>
        </is>
      </c>
      <c r="P206" s="6" t="inlineStr">
        <is>
          <t>https://www.linkedin.com/in/gary-engasser-1b39b219/</t>
        </is>
      </c>
      <c r="Q206" s="12" t="inlineStr"/>
      <c r="R206" s="16">
        <f>IF(P206="","ADD LINKEDIN","ok")</f>
        <v/>
      </c>
      <c r="S206" s="12" t="inlineStr">
        <is>
          <t>https://www.tealstonelp.com/</t>
        </is>
      </c>
      <c r="T206" s="15" t="inlineStr">
        <is>
          <t>The largest residential slab operation found in Texas, owned by a public infrastructure group with a capital allocation process, and the only contractor on this deck that publishes which builder it pours for.</t>
        </is>
      </c>
      <c r="U206" s="12" t="inlineStr">
        <is>
          <t>YES</t>
        </is>
      </c>
      <c r="V206" s="15" t="inlineStr">
        <is>
          <t>Named as a co-founder staying with the company in Sterling's own acquisition release of 3 April 2017, filed with the SEC, and carried as president on the firm's own leadership page. President of the operating company rather than a Sterling corporate officer.</t>
        </is>
      </c>
      <c r="W206" s="12" t="inlineStr"/>
      <c r="X206" s="12" t="inlineStr"/>
      <c r="Y206" s="12" t="inlineStr"/>
      <c r="Z206" s="12" t="inlineStr"/>
      <c r="AA206" s="12" t="inlineStr">
        <is>
          <t>(940) 383-2887</t>
        </is>
      </c>
      <c r="AB206" s="12" t="inlineStr">
        <is>
          <t>Denton office, the only number on the firm's own site</t>
        </is>
      </c>
      <c r="AC206" s="12" t="inlineStr">
        <is>
          <t>https://www.tealstonelp.com/contact-us/</t>
        </is>
      </c>
    </row>
    <row r="207">
      <c r="A207" s="6" t="inlineStr">
        <is>
          <t>Rick Callihan</t>
        </is>
      </c>
      <c r="B207" s="6" t="inlineStr">
        <is>
          <t>Tealstone Residential Concrete</t>
        </is>
      </c>
      <c r="C207" s="6" t="inlineStr">
        <is>
          <t>Vice President</t>
        </is>
      </c>
      <c r="D207" s="7" t="inlineStr">
        <is>
          <t>Builds the wall, not the house</t>
        </is>
      </c>
      <c r="E207" s="8" t="n">
        <v>1</v>
      </c>
      <c r="F207" s="6" t="inlineStr">
        <is>
          <t>Builds the wall</t>
        </is>
      </c>
      <c r="G207" s="6" t="inlineStr">
        <is>
          <t>Entire Houston region, plus Dallas-Fort Worth, Austin and San Antonio</t>
        </is>
      </c>
      <c r="H207" s="6" t="inlineStr">
        <is>
          <t>10,000-plus slabs placed a year</t>
        </is>
      </c>
      <c r="I207" s="8" t="inlineStr">
        <is>
          <t>Yes</t>
        </is>
      </c>
      <c r="J207" s="9" t="inlineStr">
        <is>
          <t>Ten thousand foundations a year for production builders, repeated across the same communities in the same metros.</t>
        </is>
      </c>
      <c r="K207" s="8" t="inlineStr">
        <is>
          <t>No</t>
        </is>
      </c>
      <c r="L207" s="9" t="inlineStr">
        <is>
          <t>Ten thousand slabs a year is far beyond what one or two printers would cover. A machine would be a pilot line, not a replacement for the slab business.</t>
        </is>
      </c>
      <c r="M207" s="8" t="inlineStr">
        <is>
          <t>No</t>
        </is>
      </c>
      <c r="N207" s="9" t="inlineStr">
        <is>
          <t>No record of paying for an unproven method. The published position is scale, bonding and builder relationships.</t>
        </is>
      </c>
      <c r="O207" s="8" t="inlineStr">
        <is>
          <t>Yes</t>
        </is>
      </c>
      <c r="P207" s="10" t="inlineStr"/>
      <c r="Q207" s="6" t="inlineStr"/>
      <c r="R207" s="11">
        <f>IF(P207="","ADD LINKEDIN","ok")</f>
        <v/>
      </c>
      <c r="S207" s="6" t="inlineStr">
        <is>
          <t>https://www.tealstonelp.com/</t>
        </is>
      </c>
      <c r="T207" s="9" t="inlineStr">
        <is>
          <t>The largest residential slab operation found in Texas, owned by a public infrastructure group with a capital allocation process, and the only contractor on this deck that publishes which builder it pours for.</t>
        </is>
      </c>
      <c r="U207" s="6" t="inlineStr"/>
      <c r="V207" s="9" t="inlineStr"/>
      <c r="W207" s="6" t="inlineStr">
        <is>
          <t>https://www.tealstonelp.com/who-we-are/</t>
        </is>
      </c>
      <c r="X207" s="6" t="inlineStr"/>
      <c r="Y207" s="6" t="inlineStr"/>
      <c r="Z207" s="6" t="inlineStr"/>
      <c r="AA207" s="6" t="inlineStr">
        <is>
          <t>(940) 383-2887</t>
        </is>
      </c>
      <c r="AB207" s="6" t="inlineStr">
        <is>
          <t>Denton office, the only number on the firm's own site</t>
        </is>
      </c>
      <c r="AC207" s="6" t="inlineStr">
        <is>
          <t>https://www.tealstonelp.com/contact-us/</t>
        </is>
      </c>
    </row>
    <row r="208">
      <c r="A208" s="12" t="inlineStr">
        <is>
          <t>Logan Lippoldt</t>
        </is>
      </c>
      <c r="B208" s="12" t="inlineStr">
        <is>
          <t>Tealstone Residential Concrete</t>
        </is>
      </c>
      <c r="C208" s="12" t="inlineStr">
        <is>
          <t>General Superintendent</t>
        </is>
      </c>
      <c r="D208" s="13" t="inlineStr">
        <is>
          <t>Builds the wall, not the house</t>
        </is>
      </c>
      <c r="E208" s="14" t="n">
        <v>1</v>
      </c>
      <c r="F208" s="12" t="inlineStr">
        <is>
          <t>Builds the wall</t>
        </is>
      </c>
      <c r="G208" s="12" t="inlineStr">
        <is>
          <t>Entire Houston region, plus Dallas-Fort Worth, Austin and San Antonio</t>
        </is>
      </c>
      <c r="H208" s="12" t="inlineStr">
        <is>
          <t>10,000-plus slabs placed a year</t>
        </is>
      </c>
      <c r="I208" s="14" t="inlineStr">
        <is>
          <t>Yes</t>
        </is>
      </c>
      <c r="J208" s="15" t="inlineStr">
        <is>
          <t>Ten thousand foundations a year for production builders, repeated across the same communities in the same metros.</t>
        </is>
      </c>
      <c r="K208" s="14" t="inlineStr">
        <is>
          <t>No</t>
        </is>
      </c>
      <c r="L208" s="15" t="inlineStr">
        <is>
          <t>Ten thousand slabs a year is far beyond what one or two printers would cover. A machine would be a pilot line, not a replacement for the slab business.</t>
        </is>
      </c>
      <c r="M208" s="14" t="inlineStr">
        <is>
          <t>No</t>
        </is>
      </c>
      <c r="N208" s="15" t="inlineStr">
        <is>
          <t>No record of paying for an unproven method. The published position is scale, bonding and builder relationships.</t>
        </is>
      </c>
      <c r="O208" s="14" t="inlineStr">
        <is>
          <t>Yes</t>
        </is>
      </c>
      <c r="P208" s="10" t="inlineStr"/>
      <c r="Q208" s="12" t="inlineStr"/>
      <c r="R208" s="16">
        <f>IF(P208="","ADD LINKEDIN","ok")</f>
        <v/>
      </c>
      <c r="S208" s="12" t="inlineStr">
        <is>
          <t>https://www.tealstonelp.com/</t>
        </is>
      </c>
      <c r="T208" s="15" t="inlineStr">
        <is>
          <t>The largest residential slab operation found in Texas, owned by a public infrastructure group with a capital allocation process, and the only contractor on this deck that publishes which builder it pours for.</t>
        </is>
      </c>
      <c r="U208" s="12" t="inlineStr"/>
      <c r="V208" s="15" t="inlineStr">
        <is>
          <t>The Greater Houston Builders Association lists him as the primary contact at Tealstone's Houston address on Fernbush Drive. A superintendent executes a specification rather than choosing one, and he is the named Houston contact at a firm whose leadership is in Denton.</t>
        </is>
      </c>
      <c r="W208" s="12" t="inlineStr">
        <is>
          <t>https://members.ghba.org/memberdirectory/Details/tealstone-residential-concrete-1307510</t>
        </is>
      </c>
      <c r="X208" s="12" t="inlineStr"/>
      <c r="Y208" s="12" t="inlineStr"/>
      <c r="Z208" s="12" t="inlineStr"/>
      <c r="AA208" s="12" t="inlineStr">
        <is>
          <t>(940) 383-2887</t>
        </is>
      </c>
      <c r="AB208" s="12" t="inlineStr">
        <is>
          <t>Denton office, the only number on the firm's own site</t>
        </is>
      </c>
      <c r="AC208" s="12" t="inlineStr">
        <is>
          <t>https://www.tealstonelp.com/contact-us/</t>
        </is>
      </c>
    </row>
    <row r="209">
      <c r="A209" s="6" t="inlineStr">
        <is>
          <t>Brandon Buskohl</t>
        </is>
      </c>
      <c r="B209" s="6" t="inlineStr">
        <is>
          <t>Trussway Manufacturing</t>
        </is>
      </c>
      <c r="C209" s="6" t="inlineStr">
        <is>
          <t>Assistant General Manager</t>
        </is>
      </c>
      <c r="D209" s="7" t="inlineStr">
        <is>
          <t>Builds the wall, not the house</t>
        </is>
      </c>
      <c r="E209" s="8" t="n">
        <v>1</v>
      </c>
      <c r="F209" s="6" t="inlineStr">
        <is>
          <t>Builds the wall</t>
        </is>
      </c>
      <c r="G209" s="6" t="inlineStr">
        <is>
          <t>Houston headquarters, Alcorn Street</t>
        </is>
      </c>
      <c r="H209" s="6" t="inlineStr">
        <is>
          <t>About $340 million in sales, 1,000 employees</t>
        </is>
      </c>
      <c r="I209" s="8" t="inlineStr">
        <is>
          <t>Yes</t>
        </is>
      </c>
      <c r="J209" s="9" t="inlineStr">
        <is>
          <t>Wall panels made repeatedly from a Houston plant for multifamily builders in the same metro.</t>
        </is>
      </c>
      <c r="K209" s="8" t="inlineStr">
        <is>
          <t>No</t>
        </is>
      </c>
      <c r="L209" s="9" t="inlineStr">
        <is>
          <t>Six plants and $340 million of sales is beyond what one or two printers would cover, and purchasing now sits with a national parent.</t>
        </is>
      </c>
      <c r="M209" s="8" t="inlineStr">
        <is>
          <t>No</t>
        </is>
      </c>
      <c r="N209" s="9" t="inlineStr">
        <is>
          <t>No record of paying for an unproven method on its own account.</t>
        </is>
      </c>
      <c r="O209" s="8" t="inlineStr">
        <is>
          <t>Yes</t>
        </is>
      </c>
      <c r="P209" s="6" t="inlineStr">
        <is>
          <t>https://www.linkedin.com/in/brandon-buskohl-40649a75/</t>
        </is>
      </c>
      <c r="Q209" s="6" t="inlineStr"/>
      <c r="R209" s="11">
        <f>IF(P209="","ADD LINKEDIN","ok")</f>
        <v/>
      </c>
      <c r="S209" s="6" t="inlineStr">
        <is>
          <t>https://trussway.com/products/</t>
        </is>
      </c>
      <c r="T209" s="9" t="inlineStr">
        <is>
          <t>A wall panel manufacturer headquartered in Houston, selling into the multifamily builders on this deck, now inside a national parent.</t>
        </is>
      </c>
      <c r="U209" s="6" t="inlineStr"/>
      <c r="V209" s="9" t="inlineStr">
        <is>
          <t>His profile headline names Trussway Manufacturing as a Builders FirstSource company, so it is current. An assistant general manager is below the bar this deck sets for a decision-maker. He is also the only plant-level leader the firm could be shown to have. trussway.com presents a certificate chain that fails verification through every route, so nothing on it could be read.</t>
        </is>
      </c>
      <c r="W209" s="6" t="inlineStr"/>
      <c r="X209" s="6" t="inlineStr"/>
      <c r="Y209" s="6" t="inlineStr"/>
      <c r="Z209" s="6" t="inlineStr"/>
      <c r="AA209" s="6" t="inlineStr">
        <is>
          <t>(713) 691-6900</t>
        </is>
      </c>
      <c r="AB209" s="6" t="inlineStr">
        <is>
          <t>Houston, Alcorn Street</t>
        </is>
      </c>
      <c r="AC209" s="6" t="inlineStr">
        <is>
          <t>https://www.sbcacomponents.com/tmat-directory/trussway</t>
        </is>
      </c>
    </row>
    <row r="210">
      <c r="A210" s="12" t="inlineStr">
        <is>
          <t>Chris Vogler</t>
        </is>
      </c>
      <c r="B210" s="12" t="inlineStr">
        <is>
          <t>Leola Construction</t>
        </is>
      </c>
      <c r="C210" s="12" t="inlineStr">
        <is>
          <t>Business Development Manager</t>
        </is>
      </c>
      <c r="D210" s="13" t="inlineStr">
        <is>
          <t>Builds the wall, not the house</t>
        </is>
      </c>
      <c r="E210" s="14" t="n">
        <v>1</v>
      </c>
      <c r="F210" s="12" t="inlineStr">
        <is>
          <t>Builds the wall</t>
        </is>
      </c>
      <c r="G210" s="12" t="inlineStr">
        <is>
          <t>Houston division, working Harris, Fort Bend, Montgomery and Waller</t>
        </is>
      </c>
      <c r="H210" s="12" t="inlineStr">
        <is>
          <t>9,900 homes a year company-wide, across 300 communities</t>
        </is>
      </c>
      <c r="I210" s="14" t="inlineStr">
        <is>
          <t>Yes</t>
        </is>
      </c>
      <c r="J210" s="15" t="inlineStr">
        <is>
          <t>Single family and townhome communities across the north and west of the metro, taking the same wall package community after community.</t>
        </is>
      </c>
      <c r="K210" s="14" t="inlineStr">
        <is>
          <t>No</t>
        </is>
      </c>
      <c r="L210" s="15" t="inlineStr">
        <is>
          <t>9,900 homes a year on the firm's own count, company-wide across Florida and Texas, far above what one or two printers cover.</t>
        </is>
      </c>
      <c r="M210" s="14" t="inlineStr">
        <is>
          <t>No</t>
        </is>
      </c>
      <c r="N210" s="15" t="inlineStr">
        <is>
          <t>No method statement on record.</t>
        </is>
      </c>
      <c r="O210" s="14" t="inlineStr">
        <is>
          <t>Partly</t>
        </is>
      </c>
      <c r="P210" s="6" t="inlineStr">
        <is>
          <t>https://www.linkedin.com/in/chris-vogler-56239a52/</t>
        </is>
      </c>
      <c r="Q210" s="12" t="inlineStr"/>
      <c r="R210" s="16">
        <f>IF(P210="","ADD LINKEDIN","ok")</f>
        <v/>
      </c>
      <c r="S210" s="12" t="inlineStr">
        <is>
          <t>https://leolaconstruction.com/houston/</t>
        </is>
      </c>
      <c r="T210" s="15" t="inlineStr">
        <is>
          <t>It sells the entire wall package to production builders, which is the procurement a printed wall would displace. It owns almost no direct field labour.</t>
        </is>
      </c>
      <c r="U210" s="12" t="inlineStr"/>
      <c r="V210" s="15" t="inlineStr">
        <is>
          <t>Headline reads Business Development Manager at Leola Construction. Spring, Texas. He is the only Leola person in Greater Houston that a search returns.</t>
        </is>
      </c>
      <c r="W210" s="12" t="inlineStr"/>
      <c r="X210" s="12" t="inlineStr"/>
      <c r="Y210" s="12" t="inlineStr"/>
      <c r="Z210" s="12" t="inlineStr"/>
      <c r="AA210" s="12" t="inlineStr">
        <is>
          <t>(813) 397-6100</t>
        </is>
      </c>
      <c r="AB210" s="12" t="inlineStr"/>
      <c r="AC210" s="12" t="inlineStr">
        <is>
          <t>https://leolaconstruction.com/houston/</t>
        </is>
      </c>
    </row>
    <row r="211">
      <c r="A211" s="6" t="inlineStr">
        <is>
          <t>Michael G. Scheurich</t>
        </is>
      </c>
      <c r="B211" s="6" t="inlineStr">
        <is>
          <t>Arch-Con Corporation</t>
        </is>
      </c>
      <c r="C211" s="6" t="inlineStr">
        <is>
          <t>Founder and Chief Executive Officer</t>
        </is>
      </c>
      <c r="D211" s="7" t="inlineStr">
        <is>
          <t>Builds the wall, not the house</t>
        </is>
      </c>
      <c r="E211" s="8" t="n">
        <v>3</v>
      </c>
      <c r="F211" s="6" t="inlineStr">
        <is>
          <t>Builds the wall</t>
        </is>
      </c>
      <c r="G211" s="6" t="inlineStr">
        <is>
          <t>Houston, Harris</t>
        </is>
      </c>
      <c r="H211" s="6" t="inlineStr">
        <is>
          <t>Reversed the standard tilt-wall sequence to save a month</t>
        </is>
      </c>
      <c r="I211" s="8" t="inlineStr">
        <is>
          <t>Partly</t>
        </is>
      </c>
      <c r="J211" s="9" t="inlineStr">
        <is>
          <t>Eight divisions across commercial, retail, healthcare and multifamily. The buildings differ project to project.</t>
        </is>
      </c>
      <c r="K211" s="8" t="inlineStr">
        <is>
          <t>Partly</t>
        </is>
      </c>
      <c r="L211" s="9" t="inlineStr">
        <is>
          <t>No annual volume is published. The one published job runs to 770,640 square feet, and the panels on it were poured by somebody else.</t>
        </is>
      </c>
      <c r="M211" s="8" t="inlineStr">
        <is>
          <t>Partly</t>
        </is>
      </c>
      <c r="N211" s="9" t="inlineStr">
        <is>
          <t>It reordered the standard tilt-wall sequence on a 770,640 square foot job, setting a 275-ton lattice boom crane on the perimeter to avoid the slab, and published the result. That is method appetite rather than the purchase of a new method.</t>
        </is>
      </c>
      <c r="O211" s="8" t="inlineStr">
        <is>
          <t>Yes</t>
        </is>
      </c>
      <c r="P211" s="6" t="inlineStr">
        <is>
          <t>https://www.linkedin.com/in/michael-scheurich-07811331/</t>
        </is>
      </c>
      <c r="Q211" s="6" t="inlineStr"/>
      <c r="R211" s="11">
        <f>IF(P211="","ADD LINKEDIN","ok")</f>
        <v/>
      </c>
      <c r="S211" s="6" t="inlineStr">
        <is>
          <t>https://www.arch-con.com/</t>
        </is>
      </c>
      <c r="T211" s="9" t="inlineStr">
        <is>
          <t>It published how it reordered a standard method to win a month of schedule. It buys its concrete rather than pouring it.</t>
        </is>
      </c>
      <c r="U211" s="6" t="inlineStr">
        <is>
          <t>YES</t>
        </is>
      </c>
      <c r="V211" s="9" t="inlineStr">
        <is>
          <t>Headline reads Chief Executive Officer at Arch-Con Corporation. Houston, Texas.</t>
        </is>
      </c>
      <c r="W211" s="6" t="inlineStr"/>
      <c r="X211" s="6" t="inlineStr"/>
      <c r="Y211" s="6" t="inlineStr"/>
      <c r="Z211" s="6" t="inlineStr">
        <is>
          <t>2026-07-21 Construction Owners. Arch-Con Tops Out 330-Unit Artis Montrose Apartment Project  https://www.constructionowners.com/news/arch-con-reaches-topping-out-milestone-on-330-unit-artis-montrose-apartment-project</t>
        </is>
      </c>
      <c r="AA211" s="6" t="inlineStr">
        <is>
          <t>(713) 533-1900</t>
        </is>
      </c>
      <c r="AB211" s="6" t="inlineStr">
        <is>
          <t>Houston</t>
        </is>
      </c>
      <c r="AC211" s="6" t="inlineStr">
        <is>
          <t>https://www.arch-con.com/contact-us/</t>
        </is>
      </c>
    </row>
    <row r="212">
      <c r="A212" s="12" t="inlineStr">
        <is>
          <t>Jason M. Cooper</t>
        </is>
      </c>
      <c r="B212" s="12" t="inlineStr">
        <is>
          <t>Arch-Con Corporation</t>
        </is>
      </c>
      <c r="C212" s="12" t="inlineStr">
        <is>
          <t>President</t>
        </is>
      </c>
      <c r="D212" s="13" t="inlineStr">
        <is>
          <t>Builds the wall, not the house</t>
        </is>
      </c>
      <c r="E212" s="14" t="n">
        <v>3</v>
      </c>
      <c r="F212" s="12" t="inlineStr">
        <is>
          <t>Builds the wall</t>
        </is>
      </c>
      <c r="G212" s="12" t="inlineStr">
        <is>
          <t>Houston, Harris</t>
        </is>
      </c>
      <c r="H212" s="12" t="inlineStr">
        <is>
          <t>Reversed the standard tilt-wall sequence to save a month</t>
        </is>
      </c>
      <c r="I212" s="14" t="inlineStr">
        <is>
          <t>Partly</t>
        </is>
      </c>
      <c r="J212" s="15" t="inlineStr">
        <is>
          <t>Eight divisions across commercial, retail, healthcare and multifamily. The buildings differ project to project.</t>
        </is>
      </c>
      <c r="K212" s="14" t="inlineStr">
        <is>
          <t>Partly</t>
        </is>
      </c>
      <c r="L212" s="15" t="inlineStr">
        <is>
          <t>No annual volume is published. The one published job runs to 770,640 square feet, and the panels on it were poured by somebody else.</t>
        </is>
      </c>
      <c r="M212" s="14" t="inlineStr">
        <is>
          <t>Partly</t>
        </is>
      </c>
      <c r="N212" s="15" t="inlineStr">
        <is>
          <t>It reordered the standard tilt-wall sequence on a 770,640 square foot job, setting a 275-ton lattice boom crane on the perimeter to avoid the slab, and published the result. That is method appetite rather than the purchase of a new method.</t>
        </is>
      </c>
      <c r="O212" s="14" t="inlineStr">
        <is>
          <t>Yes</t>
        </is>
      </c>
      <c r="P212" s="10" t="inlineStr"/>
      <c r="Q212" s="12">
        <f>HYPERLINK("https://www.linkedin.com/search/results/people/?keywords=Jason%20M.%20Cooper%20Arch-Con%20Corporation","search")</f>
        <v/>
      </c>
      <c r="R212" s="16">
        <f>IF(P212="","ADD LINKEDIN","ok")</f>
        <v/>
      </c>
      <c r="S212" s="12" t="inlineStr">
        <is>
          <t>https://www.arch-con.com/</t>
        </is>
      </c>
      <c r="T212" s="15" t="inlineStr">
        <is>
          <t>It published how it reordered a standard method to win a month of schedule. It buys its concrete rather than pouring it.</t>
        </is>
      </c>
      <c r="U212" s="12" t="inlineStr">
        <is>
          <t>YES</t>
        </is>
      </c>
      <c r="V212" s="15" t="inlineStr"/>
      <c r="W212" s="12" t="inlineStr"/>
      <c r="X212" s="12" t="inlineStr"/>
      <c r="Y212" s="12" t="inlineStr"/>
      <c r="Z212" s="12" t="inlineStr">
        <is>
          <t>2026-07-21 Construction Owners. Arch-Con Tops Out 330-Unit Artis Montrose Apartment Project  https://www.constructionowners.com/news/arch-con-reaches-topping-out-milestone-on-330-unit-artis-montrose-apartment-project</t>
        </is>
      </c>
      <c r="AA212" s="12" t="inlineStr">
        <is>
          <t>(713) 533-1900</t>
        </is>
      </c>
      <c r="AB212" s="12" t="inlineStr">
        <is>
          <t>Houston</t>
        </is>
      </c>
      <c r="AC212" s="12" t="inlineStr">
        <is>
          <t>https://www.arch-con.com/contact-us/</t>
        </is>
      </c>
    </row>
    <row r="213">
      <c r="A213" s="6" t="inlineStr">
        <is>
          <t>Daniel J. O'Hare</t>
        </is>
      </c>
      <c r="B213" s="6" t="inlineStr">
        <is>
          <t>Arch-Con Corporation</t>
        </is>
      </c>
      <c r="C213" s="6" t="inlineStr">
        <is>
          <t>Chief Financial Officer</t>
        </is>
      </c>
      <c r="D213" s="7" t="inlineStr">
        <is>
          <t>Builds the wall, not the house</t>
        </is>
      </c>
      <c r="E213" s="8" t="n">
        <v>3</v>
      </c>
      <c r="F213" s="6" t="inlineStr">
        <is>
          <t>Builds the wall</t>
        </is>
      </c>
      <c r="G213" s="6" t="inlineStr">
        <is>
          <t>Houston, Harris</t>
        </is>
      </c>
      <c r="H213" s="6" t="inlineStr">
        <is>
          <t>Reversed the standard tilt-wall sequence to save a month</t>
        </is>
      </c>
      <c r="I213" s="8" t="inlineStr">
        <is>
          <t>Partly</t>
        </is>
      </c>
      <c r="J213" s="9" t="inlineStr">
        <is>
          <t>Eight divisions across commercial, retail, healthcare and multifamily. The buildings differ project to project.</t>
        </is>
      </c>
      <c r="K213" s="8" t="inlineStr">
        <is>
          <t>Partly</t>
        </is>
      </c>
      <c r="L213" s="9" t="inlineStr">
        <is>
          <t>No annual volume is published. The one published job runs to 770,640 square feet, and the panels on it were poured by somebody else.</t>
        </is>
      </c>
      <c r="M213" s="8" t="inlineStr">
        <is>
          <t>Partly</t>
        </is>
      </c>
      <c r="N213" s="9" t="inlineStr">
        <is>
          <t>It reordered the standard tilt-wall sequence on a 770,640 square foot job, setting a 275-ton lattice boom crane on the perimeter to avoid the slab, and published the result. That is method appetite rather than the purchase of a new method.</t>
        </is>
      </c>
      <c r="O213" s="8" t="inlineStr">
        <is>
          <t>Yes</t>
        </is>
      </c>
      <c r="P213" s="10" t="inlineStr"/>
      <c r="Q213" s="6">
        <f>HYPERLINK("https://www.linkedin.com/search/results/people/?keywords=Daniel%20J.%20O%27Hare%20Arch-Con%20Corporation","search")</f>
        <v/>
      </c>
      <c r="R213" s="11">
        <f>IF(P213="","ADD LINKEDIN","ok")</f>
        <v/>
      </c>
      <c r="S213" s="6" t="inlineStr">
        <is>
          <t>https://www.arch-con.com/</t>
        </is>
      </c>
      <c r="T213" s="9" t="inlineStr">
        <is>
          <t>It published how it reordered a standard method to win a month of schedule. It buys its concrete rather than pouring it.</t>
        </is>
      </c>
      <c r="U213" s="6" t="inlineStr"/>
      <c r="V213" s="9" t="inlineStr"/>
      <c r="W213" s="6" t="inlineStr"/>
      <c r="X213" s="6" t="inlineStr"/>
      <c r="Y213" s="6" t="inlineStr"/>
      <c r="Z213" s="6" t="inlineStr">
        <is>
          <t>2026-07-21 Construction Owners. Arch-Con Tops Out 330-Unit Artis Montrose Apartment Project  https://www.constructionowners.com/news/arch-con-reaches-topping-out-milestone-on-330-unit-artis-montrose-apartment-project</t>
        </is>
      </c>
      <c r="AA213" s="6" t="inlineStr">
        <is>
          <t>(713) 533-1900</t>
        </is>
      </c>
      <c r="AB213" s="6" t="inlineStr">
        <is>
          <t>Houston</t>
        </is>
      </c>
      <c r="AC213" s="6" t="inlineStr">
        <is>
          <t>https://www.arch-con.com/contact-us/</t>
        </is>
      </c>
    </row>
    <row r="214">
      <c r="A214" s="12" t="inlineStr">
        <is>
          <t>Christopher Scheurich</t>
        </is>
      </c>
      <c r="B214" s="12" t="inlineStr">
        <is>
          <t>Arch-Con Corporation</t>
        </is>
      </c>
      <c r="C214" s="12" t="inlineStr">
        <is>
          <t>General Counsel</t>
        </is>
      </c>
      <c r="D214" s="13" t="inlineStr">
        <is>
          <t>Builds the wall, not the house</t>
        </is>
      </c>
      <c r="E214" s="14" t="n">
        <v>3</v>
      </c>
      <c r="F214" s="12" t="inlineStr">
        <is>
          <t>Builds the wall</t>
        </is>
      </c>
      <c r="G214" s="12" t="inlineStr">
        <is>
          <t>Houston, Harris</t>
        </is>
      </c>
      <c r="H214" s="12" t="inlineStr">
        <is>
          <t>Reversed the standard tilt-wall sequence to save a month</t>
        </is>
      </c>
      <c r="I214" s="14" t="inlineStr">
        <is>
          <t>Partly</t>
        </is>
      </c>
      <c r="J214" s="15" t="inlineStr">
        <is>
          <t>Eight divisions across commercial, retail, healthcare and multifamily. The buildings differ project to project.</t>
        </is>
      </c>
      <c r="K214" s="14" t="inlineStr">
        <is>
          <t>Partly</t>
        </is>
      </c>
      <c r="L214" s="15" t="inlineStr">
        <is>
          <t>No annual volume is published. The one published job runs to 770,640 square feet, and the panels on it were poured by somebody else.</t>
        </is>
      </c>
      <c r="M214" s="14" t="inlineStr">
        <is>
          <t>Partly</t>
        </is>
      </c>
      <c r="N214" s="15" t="inlineStr">
        <is>
          <t>It reordered the standard tilt-wall sequence on a 770,640 square foot job, setting a 275-ton lattice boom crane on the perimeter to avoid the slab, and published the result. That is method appetite rather than the purchase of a new method.</t>
        </is>
      </c>
      <c r="O214" s="14" t="inlineStr">
        <is>
          <t>Yes</t>
        </is>
      </c>
      <c r="P214" s="10" t="inlineStr"/>
      <c r="Q214" s="12">
        <f>HYPERLINK("https://www.linkedin.com/search/results/people/?keywords=Christopher%20Scheurich%20Arch-Con%20Corporation","search")</f>
        <v/>
      </c>
      <c r="R214" s="16">
        <f>IF(P214="","ADD LINKEDIN","ok")</f>
        <v/>
      </c>
      <c r="S214" s="12" t="inlineStr">
        <is>
          <t>https://www.arch-con.com/</t>
        </is>
      </c>
      <c r="T214" s="15" t="inlineStr">
        <is>
          <t>It published how it reordered a standard method to win a month of schedule. It buys its concrete rather than pouring it.</t>
        </is>
      </c>
      <c r="U214" s="12" t="inlineStr"/>
      <c r="V214" s="15" t="inlineStr">
        <is>
          <t>Headline reads General Counsel at Arch-Con Corporation. Houston, Texas.</t>
        </is>
      </c>
      <c r="W214" s="12" t="inlineStr"/>
      <c r="X214" s="12" t="inlineStr"/>
      <c r="Y214" s="12" t="inlineStr"/>
      <c r="Z214" s="12" t="inlineStr">
        <is>
          <t>2026-07-21 Construction Owners. Arch-Con Tops Out 330-Unit Artis Montrose Apartment Project  https://www.constructionowners.com/news/arch-con-reaches-topping-out-milestone-on-330-unit-artis-montrose-apartment-project</t>
        </is>
      </c>
      <c r="AA214" s="12" t="inlineStr">
        <is>
          <t>(713) 533-1900</t>
        </is>
      </c>
      <c r="AB214" s="12" t="inlineStr">
        <is>
          <t>Houston</t>
        </is>
      </c>
      <c r="AC214" s="12" t="inlineStr">
        <is>
          <t>https://www.arch-con.com/contact-us/</t>
        </is>
      </c>
    </row>
    <row r="215">
      <c r="A215" s="6" t="inlineStr">
        <is>
          <t>Trent Tellepsen</t>
        </is>
      </c>
      <c r="B215" s="6" t="inlineStr">
        <is>
          <t>Building Concrete Solutions</t>
        </is>
      </c>
      <c r="C215" s="6" t="inlineStr">
        <is>
          <t>President</t>
        </is>
      </c>
      <c r="D215" s="7" t="inlineStr">
        <is>
          <t>Builds the wall, not the house</t>
        </is>
      </c>
      <c r="E215" s="8" t="n">
        <v>3</v>
      </c>
      <c r="F215" s="6" t="inlineStr">
        <is>
          <t>Builds the wall</t>
        </is>
      </c>
      <c r="G215" s="6" t="inlineStr">
        <is>
          <t>Houston, Harris</t>
        </is>
      </c>
      <c r="H215" s="6" t="inlineStr">
        <is>
          <t>Runs Revit, Tekla, AutoCAD and Navisworks in house</t>
        </is>
      </c>
      <c r="I215" s="8" t="inlineStr">
        <is>
          <t>Partly</t>
        </is>
      </c>
      <c r="J215" s="9" t="inlineStr">
        <is>
          <t>Concrete packages recurring across Houston projects under both delivery models.</t>
        </is>
      </c>
      <c r="K215" s="8" t="inlineStr">
        <is>
          <t>Partly</t>
        </is>
      </c>
      <c r="L215" s="9" t="inlineStr">
        <is>
          <t>No crew count, revenue or project size is published. Nothing on the site sizes the work, so on the bands this is a Partly.</t>
        </is>
      </c>
      <c r="M215" s="8" t="inlineStr">
        <is>
          <t>Partly</t>
        </is>
      </c>
      <c r="N215" s="9" t="inlineStr">
        <is>
          <t>It bought and staffed a modelling stack, Revit, Tekla, AutoCAD and Navisworks, to plan its pours. A printed wall arrives as a model first, so the habit transfers, though modelling is not itself a building method.</t>
        </is>
      </c>
      <c r="O215" s="8" t="inlineStr">
        <is>
          <t>Partly</t>
        </is>
      </c>
      <c r="P215" s="6" t="inlineStr">
        <is>
          <t>https://www.linkedin.com/in/trent-tellepsen-b8608024/</t>
        </is>
      </c>
      <c r="Q215" s="6" t="inlineStr"/>
      <c r="R215" s="11">
        <f>IF(P215="","ADD LINKEDIN","ok")</f>
        <v/>
      </c>
      <c r="S215" s="6" t="inlineStr">
        <is>
          <t>https://www.bcshouston.com/</t>
        </is>
      </c>
      <c r="T215" s="9" t="inlineStr">
        <is>
          <t>A concrete subcontractor that models its own work in three dimensions before pouring it. A printed wall arrives as a model too.</t>
        </is>
      </c>
      <c r="U215" s="6" t="inlineStr">
        <is>
          <t>YES</t>
        </is>
      </c>
      <c r="V215" s="9" t="inlineStr">
        <is>
          <t>Headline reads President at Building Concrete Solutions. Houston, Texas.</t>
        </is>
      </c>
      <c r="W215" s="6" t="inlineStr"/>
      <c r="X215" s="6" t="inlineStr"/>
      <c r="Y215" s="6" t="inlineStr"/>
      <c r="Z215" s="6" t="inlineStr"/>
      <c r="AA215" s="6" t="inlineStr">
        <is>
          <t>(281) 272-7900</t>
        </is>
      </c>
      <c r="AB215" s="6" t="inlineStr"/>
      <c r="AC215" s="6" t="inlineStr">
        <is>
          <t>https://www.bcshouston.com/</t>
        </is>
      </c>
    </row>
    <row r="216">
      <c r="A216" s="12" t="inlineStr">
        <is>
          <t>Daniel Lara</t>
        </is>
      </c>
      <c r="B216" s="12" t="inlineStr">
        <is>
          <t>Building Concrete Solutions</t>
        </is>
      </c>
      <c r="C216" s="12" t="inlineStr">
        <is>
          <t>Vice President</t>
        </is>
      </c>
      <c r="D216" s="13" t="inlineStr">
        <is>
          <t>Builds the wall, not the house</t>
        </is>
      </c>
      <c r="E216" s="14" t="n">
        <v>3</v>
      </c>
      <c r="F216" s="12" t="inlineStr">
        <is>
          <t>Builds the wall</t>
        </is>
      </c>
      <c r="G216" s="12" t="inlineStr">
        <is>
          <t>Houston, Harris</t>
        </is>
      </c>
      <c r="H216" s="12" t="inlineStr">
        <is>
          <t>Runs Revit, Tekla, AutoCAD and Navisworks in house</t>
        </is>
      </c>
      <c r="I216" s="14" t="inlineStr">
        <is>
          <t>Partly</t>
        </is>
      </c>
      <c r="J216" s="15" t="inlineStr">
        <is>
          <t>Concrete packages recurring across Houston projects under both delivery models.</t>
        </is>
      </c>
      <c r="K216" s="14" t="inlineStr">
        <is>
          <t>Partly</t>
        </is>
      </c>
      <c r="L216" s="15" t="inlineStr">
        <is>
          <t>No crew count, revenue or project size is published. Nothing on the site sizes the work, so on the bands this is a Partly.</t>
        </is>
      </c>
      <c r="M216" s="14" t="inlineStr">
        <is>
          <t>Partly</t>
        </is>
      </c>
      <c r="N216" s="15" t="inlineStr">
        <is>
          <t>It bought and staffed a modelling stack, Revit, Tekla, AutoCAD and Navisworks, to plan its pours. A printed wall arrives as a model first, so the habit transfers, though modelling is not itself a building method.</t>
        </is>
      </c>
      <c r="O216" s="14" t="inlineStr">
        <is>
          <t>Partly</t>
        </is>
      </c>
      <c r="P216" s="6" t="inlineStr">
        <is>
          <t>https://www.linkedin.com/in/daniel-lara-24329570/</t>
        </is>
      </c>
      <c r="Q216" s="12" t="inlineStr"/>
      <c r="R216" s="16">
        <f>IF(P216="","ADD LINKEDIN","ok")</f>
        <v/>
      </c>
      <c r="S216" s="12" t="inlineStr">
        <is>
          <t>https://www.bcshouston.com/</t>
        </is>
      </c>
      <c r="T216" s="15" t="inlineStr">
        <is>
          <t>A concrete subcontractor that models its own work in three dimensions before pouring it. A printed wall arrives as a model too.</t>
        </is>
      </c>
      <c r="U216" s="12" t="inlineStr">
        <is>
          <t>YES</t>
        </is>
      </c>
      <c r="V216" s="15" t="inlineStr">
        <is>
          <t>Headline reads Vice President at Building Concrete Solutions. Houston, Texas.</t>
        </is>
      </c>
      <c r="W216" s="12" t="inlineStr"/>
      <c r="X216" s="12" t="inlineStr"/>
      <c r="Y216" s="12" t="inlineStr"/>
      <c r="Z216" s="12" t="inlineStr"/>
      <c r="AA216" s="12" t="inlineStr">
        <is>
          <t>(281) 272-7900</t>
        </is>
      </c>
      <c r="AB216" s="12" t="inlineStr"/>
      <c r="AC216" s="12" t="inlineStr">
        <is>
          <t>https://www.bcshouston.com/</t>
        </is>
      </c>
    </row>
    <row r="217">
      <c r="A217" s="6" t="inlineStr">
        <is>
          <t>Jorge Hernandez</t>
        </is>
      </c>
      <c r="B217" s="6" t="inlineStr">
        <is>
          <t>Building Concrete Solutions</t>
        </is>
      </c>
      <c r="C217" s="6" t="inlineStr">
        <is>
          <t>Manager of Operations</t>
        </is>
      </c>
      <c r="D217" s="7" t="inlineStr">
        <is>
          <t>Builds the wall, not the house</t>
        </is>
      </c>
      <c r="E217" s="8" t="n">
        <v>3</v>
      </c>
      <c r="F217" s="6" t="inlineStr">
        <is>
          <t>Builds the wall</t>
        </is>
      </c>
      <c r="G217" s="6" t="inlineStr">
        <is>
          <t>Houston, Harris</t>
        </is>
      </c>
      <c r="H217" s="6" t="inlineStr">
        <is>
          <t>Runs Revit, Tekla, AutoCAD and Navisworks in house</t>
        </is>
      </c>
      <c r="I217" s="8" t="inlineStr">
        <is>
          <t>Partly</t>
        </is>
      </c>
      <c r="J217" s="9" t="inlineStr">
        <is>
          <t>Concrete packages recurring across Houston projects under both delivery models.</t>
        </is>
      </c>
      <c r="K217" s="8" t="inlineStr">
        <is>
          <t>Partly</t>
        </is>
      </c>
      <c r="L217" s="9" t="inlineStr">
        <is>
          <t>No crew count, revenue or project size is published. Nothing on the site sizes the work, so on the bands this is a Partly.</t>
        </is>
      </c>
      <c r="M217" s="8" t="inlineStr">
        <is>
          <t>Partly</t>
        </is>
      </c>
      <c r="N217" s="9" t="inlineStr">
        <is>
          <t>It bought and staffed a modelling stack, Revit, Tekla, AutoCAD and Navisworks, to plan its pours. A printed wall arrives as a model first, so the habit transfers, though modelling is not itself a building method.</t>
        </is>
      </c>
      <c r="O217" s="8" t="inlineStr">
        <is>
          <t>Partly</t>
        </is>
      </c>
      <c r="P217" s="6" t="inlineStr">
        <is>
          <t>https://www.linkedin.com/in/jorge-hern%C3%A1ndez-614616204/</t>
        </is>
      </c>
      <c r="Q217" s="6" t="inlineStr"/>
      <c r="R217" s="11">
        <f>IF(P217="","ADD LINKEDIN","ok")</f>
        <v/>
      </c>
      <c r="S217" s="6" t="inlineStr">
        <is>
          <t>https://www.bcshouston.com/</t>
        </is>
      </c>
      <c r="T217" s="9" t="inlineStr">
        <is>
          <t>A concrete subcontractor that models its own work in three dimensions before pouring it. A printed wall arrives as a model too.</t>
        </is>
      </c>
      <c r="U217" s="6" t="inlineStr"/>
      <c r="V217" s="9" t="inlineStr">
        <is>
          <t>Headline reads Manager of Operations at Building Concrete Solutions. Houston, Texas.</t>
        </is>
      </c>
      <c r="W217" s="6" t="inlineStr"/>
      <c r="X217" s="6" t="inlineStr"/>
      <c r="Y217" s="6" t="inlineStr"/>
      <c r="Z217" s="6" t="inlineStr"/>
      <c r="AA217" s="6" t="inlineStr">
        <is>
          <t>(281) 272-7900</t>
        </is>
      </c>
      <c r="AB217" s="6" t="inlineStr"/>
      <c r="AC217" s="6" t="inlineStr">
        <is>
          <t>https://www.bcshouston.com/</t>
        </is>
      </c>
    </row>
    <row r="218">
      <c r="A218" s="12" t="inlineStr">
        <is>
          <t>Marc Deer</t>
        </is>
      </c>
      <c r="B218" s="12" t="inlineStr">
        <is>
          <t>M.L. Deer Construction</t>
        </is>
      </c>
      <c r="C218" s="12" t="inlineStr">
        <is>
          <t>Managing General Partner</t>
        </is>
      </c>
      <c r="D218" s="13" t="inlineStr">
        <is>
          <t>Builds the wall, not the house</t>
        </is>
      </c>
      <c r="E218" s="14" t="n">
        <v>3</v>
      </c>
      <c r="F218" s="12" t="inlineStr">
        <is>
          <t>Builds the wall</t>
        </is>
      </c>
      <c r="G218" s="12" t="inlineStr">
        <is>
          <t>Houston, Harris, and the Texas Gulf Coast</t>
        </is>
      </c>
      <c r="H218" s="12" t="inlineStr">
        <is>
          <t>Carries insulated concrete form buildings as a standard offering</t>
        </is>
      </c>
      <c r="I218" s="14" t="inlineStr">
        <is>
          <t>Partly</t>
        </is>
      </c>
      <c r="J218" s="15" t="inlineStr">
        <is>
          <t>Commercial buildings across the Gulf Coast. The structures differ project to project.</t>
        </is>
      </c>
      <c r="K218" s="14" t="inlineStr">
        <is>
          <t>Partly</t>
        </is>
      </c>
      <c r="L218" s="15" t="inlineStr">
        <is>
          <t>No revenue, crew count or project count is published. On the bands, a firm with no published figure is a Partly.</t>
        </is>
      </c>
      <c r="M218" s="14" t="inlineStr">
        <is>
          <t>Partly</t>
        </is>
      </c>
      <c r="N218" s="15" t="inlineStr">
        <is>
          <t>It carries insulated concrete form construction in its standard menu alongside tilt-wall and masonry, so it has sold and built a concrete wall system rather than only a wood one. No named project is published to date it.</t>
        </is>
      </c>
      <c r="O218" s="14" t="inlineStr">
        <is>
          <t>Partly</t>
        </is>
      </c>
      <c r="P218" s="10" t="inlineStr"/>
      <c r="Q218" s="12" t="inlineStr"/>
      <c r="R218" s="16">
        <f>IF(P218="","ADD LINKEDIN","ok")</f>
        <v/>
      </c>
      <c r="S218" s="12" t="inlineStr">
        <is>
          <t>https://www.mldeer.com/</t>
        </is>
      </c>
      <c r="T218" s="15" t="inlineStr">
        <is>
          <t>It already sells a concrete wall system to commercial clients, and it installs gantry cranes. A printer is a gantry that places concrete.</t>
        </is>
      </c>
      <c r="U218" s="12" t="inlineStr"/>
      <c r="V218" s="15" t="inlineStr"/>
      <c r="W218" s="12" t="inlineStr">
        <is>
          <t>https://www.mldeer.com/our-team</t>
        </is>
      </c>
      <c r="X218" s="12" t="inlineStr"/>
      <c r="Y218" s="12" t="inlineStr"/>
      <c r="Z218" s="12" t="inlineStr"/>
      <c r="AA218" s="12" t="inlineStr">
        <is>
          <t>(713) 681-1100</t>
        </is>
      </c>
      <c r="AB218" s="12" t="inlineStr">
        <is>
          <t>office</t>
        </is>
      </c>
      <c r="AC218" s="12" t="inlineStr">
        <is>
          <t>https://www.mldeer.com/</t>
        </is>
      </c>
    </row>
    <row r="219">
      <c r="A219" s="6" t="inlineStr">
        <is>
          <t>Richard Rolland</t>
        </is>
      </c>
      <c r="B219" s="6" t="inlineStr">
        <is>
          <t>M.L. Deer Construction</t>
        </is>
      </c>
      <c r="C219" s="6" t="inlineStr">
        <is>
          <t>Managing General Partner</t>
        </is>
      </c>
      <c r="D219" s="7" t="inlineStr">
        <is>
          <t>Builds the wall, not the house</t>
        </is>
      </c>
      <c r="E219" s="8" t="n">
        <v>3</v>
      </c>
      <c r="F219" s="6" t="inlineStr">
        <is>
          <t>Builds the wall</t>
        </is>
      </c>
      <c r="G219" s="6" t="inlineStr">
        <is>
          <t>Houston, Harris, and the Texas Gulf Coast</t>
        </is>
      </c>
      <c r="H219" s="6" t="inlineStr">
        <is>
          <t>Carries insulated concrete form buildings as a standard offering</t>
        </is>
      </c>
      <c r="I219" s="8" t="inlineStr">
        <is>
          <t>Partly</t>
        </is>
      </c>
      <c r="J219" s="9" t="inlineStr">
        <is>
          <t>Commercial buildings across the Gulf Coast. The structures differ project to project.</t>
        </is>
      </c>
      <c r="K219" s="8" t="inlineStr">
        <is>
          <t>Partly</t>
        </is>
      </c>
      <c r="L219" s="9" t="inlineStr">
        <is>
          <t>No revenue, crew count or project count is published. On the bands, a firm with no published figure is a Partly.</t>
        </is>
      </c>
      <c r="M219" s="8" t="inlineStr">
        <is>
          <t>Partly</t>
        </is>
      </c>
      <c r="N219" s="9" t="inlineStr">
        <is>
          <t>It carries insulated concrete form construction in its standard menu alongside tilt-wall and masonry, so it has sold and built a concrete wall system rather than only a wood one. No named project is published to date it.</t>
        </is>
      </c>
      <c r="O219" s="8" t="inlineStr">
        <is>
          <t>Partly</t>
        </is>
      </c>
      <c r="P219" s="10" t="inlineStr"/>
      <c r="Q219" s="6" t="inlineStr"/>
      <c r="R219" s="11">
        <f>IF(P219="","ADD LINKEDIN","ok")</f>
        <v/>
      </c>
      <c r="S219" s="6" t="inlineStr">
        <is>
          <t>https://www.mldeer.com/</t>
        </is>
      </c>
      <c r="T219" s="9" t="inlineStr">
        <is>
          <t>It already sells a concrete wall system to commercial clients, and it installs gantry cranes. A printer is a gantry that places concrete.</t>
        </is>
      </c>
      <c r="U219" s="6" t="inlineStr"/>
      <c r="V219" s="9" t="inlineStr"/>
      <c r="W219" s="6" t="inlineStr">
        <is>
          <t>https://www.mldeer.com/our-team</t>
        </is>
      </c>
      <c r="X219" s="6" t="inlineStr"/>
      <c r="Y219" s="6" t="inlineStr"/>
      <c r="Z219" s="6" t="inlineStr"/>
      <c r="AA219" s="6" t="inlineStr">
        <is>
          <t>(713) 681-1100</t>
        </is>
      </c>
      <c r="AB219" s="6" t="inlineStr">
        <is>
          <t>office</t>
        </is>
      </c>
      <c r="AC219" s="6" t="inlineStr">
        <is>
          <t>https://www.mldeer.com/</t>
        </is>
      </c>
    </row>
    <row r="220">
      <c r="A220" s="12" t="inlineStr">
        <is>
          <t>Jack Baker</t>
        </is>
      </c>
      <c r="B220" s="12" t="inlineStr">
        <is>
          <t>M.L. Deer Construction</t>
        </is>
      </c>
      <c r="C220" s="12" t="inlineStr">
        <is>
          <t>Senior Project Manager, ML Deer Construction</t>
        </is>
      </c>
      <c r="D220" s="13" t="inlineStr">
        <is>
          <t>Builds the wall, not the house</t>
        </is>
      </c>
      <c r="E220" s="14" t="n">
        <v>3</v>
      </c>
      <c r="F220" s="12" t="inlineStr">
        <is>
          <t>Builds the wall</t>
        </is>
      </c>
      <c r="G220" s="12" t="inlineStr">
        <is>
          <t>Houston, Harris, and the Texas Gulf Coast</t>
        </is>
      </c>
      <c r="H220" s="12" t="inlineStr">
        <is>
          <t>Carries insulated concrete form buildings as a standard offering</t>
        </is>
      </c>
      <c r="I220" s="14" t="inlineStr">
        <is>
          <t>Partly</t>
        </is>
      </c>
      <c r="J220" s="15" t="inlineStr">
        <is>
          <t>Commercial buildings across the Gulf Coast. The structures differ project to project.</t>
        </is>
      </c>
      <c r="K220" s="14" t="inlineStr">
        <is>
          <t>Partly</t>
        </is>
      </c>
      <c r="L220" s="15" t="inlineStr">
        <is>
          <t>No revenue, crew count or project count is published. On the bands, a firm with no published figure is a Partly.</t>
        </is>
      </c>
      <c r="M220" s="14" t="inlineStr">
        <is>
          <t>Partly</t>
        </is>
      </c>
      <c r="N220" s="15" t="inlineStr">
        <is>
          <t>It carries insulated concrete form construction in its standard menu alongside tilt-wall and masonry, so it has sold and built a concrete wall system rather than only a wood one. No named project is published to date it.</t>
        </is>
      </c>
      <c r="O220" s="14" t="inlineStr">
        <is>
          <t>Partly</t>
        </is>
      </c>
      <c r="P220" s="10" t="inlineStr"/>
      <c r="Q220" s="12" t="inlineStr"/>
      <c r="R220" s="16">
        <f>IF(P220="","ADD LINKEDIN","ok")</f>
        <v/>
      </c>
      <c r="S220" s="12" t="inlineStr">
        <is>
          <t>https://www.mldeer.com/</t>
        </is>
      </c>
      <c r="T220" s="15" t="inlineStr">
        <is>
          <t>It already sells a concrete wall system to commercial clients, and it installs gantry cranes. A printer is a gantry that places concrete.</t>
        </is>
      </c>
      <c r="U220" s="12" t="inlineStr"/>
      <c r="V220" s="15" t="inlineStr">
        <is>
          <t>The only construction-side name the firm publishes.</t>
        </is>
      </c>
      <c r="W220" s="12" t="inlineStr">
        <is>
          <t>https://www.mldeer.com/our-team</t>
        </is>
      </c>
      <c r="X220" s="12" t="inlineStr"/>
      <c r="Y220" s="12" t="inlineStr"/>
      <c r="Z220" s="12" t="inlineStr"/>
      <c r="AA220" s="12" t="inlineStr">
        <is>
          <t>(713) 681-1100</t>
        </is>
      </c>
      <c r="AB220" s="12" t="inlineStr">
        <is>
          <t>office</t>
        </is>
      </c>
      <c r="AC220" s="12" t="inlineStr">
        <is>
          <t>https://www.mldeer.com/</t>
        </is>
      </c>
    </row>
    <row r="221">
      <c r="A221" s="6" t="inlineStr">
        <is>
          <t>Ryan Taylor</t>
        </is>
      </c>
      <c r="B221" s="6" t="inlineStr">
        <is>
          <t>T&amp;T Construction</t>
        </is>
      </c>
      <c r="C221" s="6" t="inlineStr">
        <is>
          <t>Third generation, assumed leadership in 2001</t>
        </is>
      </c>
      <c r="D221" s="7" t="inlineStr">
        <is>
          <t>Builds the wall, not the house</t>
        </is>
      </c>
      <c r="E221" s="8" t="n">
        <v>3</v>
      </c>
      <c r="F221" s="6" t="inlineStr">
        <is>
          <t>Builds the wall</t>
        </is>
      </c>
      <c r="G221" s="6" t="inlineStr">
        <is>
          <t>Pasadena, Harris</t>
        </is>
      </c>
      <c r="H221" s="6" t="inlineStr">
        <is>
          <t>65 employees, 1,000-plus Houston projects since 1969</t>
        </is>
      </c>
      <c r="I221" s="8" t="inlineStr">
        <is>
          <t>Partly</t>
        </is>
      </c>
      <c r="J221" s="9" t="inlineStr">
        <is>
          <t>Industrial and commercial concrete recurring across the east side of the metro.</t>
        </is>
      </c>
      <c r="K221" s="8" t="inlineStr">
        <is>
          <t>Partly</t>
        </is>
      </c>
      <c r="L221" s="9" t="inlineStr">
        <is>
          <t>65 employees on average and more than 1,000 Greater Houston projects since 1969, on the firm's own count. No annual wall figure is published, so this sits at a Partly.</t>
        </is>
      </c>
      <c r="M221" s="8" t="inlineStr">
        <is>
          <t>Partly</t>
        </is>
      </c>
      <c r="N221" s="9" t="inlineStr">
        <is>
          <t>It bought volumetric mixers and stood up its own delivery arm rather than buying ready-mix from a plant. That is paying for a different way to get concrete to a site, though it is not a wall method.</t>
        </is>
      </c>
      <c r="O221" s="8" t="inlineStr">
        <is>
          <t>Partly</t>
        </is>
      </c>
      <c r="P221" s="10" t="inlineStr"/>
      <c r="Q221" s="6" t="inlineStr"/>
      <c r="R221" s="11">
        <f>IF(P221="","ADD LINKEDIN","ok")</f>
        <v/>
      </c>
      <c r="S221" s="6" t="inlineStr">
        <is>
          <t>https://tandtconstruction.com/</t>
        </is>
      </c>
      <c r="T221" s="9" t="inlineStr">
        <is>
          <t>It owns the mix as well as the placing. A printer is fed concrete continuously, and this firm delivers its own.</t>
        </is>
      </c>
      <c r="U221" s="6" t="inlineStr"/>
      <c r="V221"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W221" s="6" t="inlineStr">
        <is>
          <t>https://tandtconstruction.com/about-us/</t>
        </is>
      </c>
      <c r="X221" s="6" t="inlineStr"/>
      <c r="Y221" s="6" t="inlineStr">
        <is>
          <t>https://tandtconstruction.com/about-us/</t>
        </is>
      </c>
      <c r="Z221" s="6" t="inlineStr"/>
      <c r="AA221" s="6" t="inlineStr">
        <is>
          <t>(713) 477-6660</t>
        </is>
      </c>
      <c r="AB221" s="6" t="inlineStr"/>
      <c r="AC221" s="6" t="inlineStr">
        <is>
          <t>https://tandtconstruction.com/</t>
        </is>
      </c>
    </row>
    <row r="222">
      <c r="A222" s="12" t="inlineStr">
        <is>
          <t>Jeff Taylor</t>
        </is>
      </c>
      <c r="B222" s="12" t="inlineStr">
        <is>
          <t>T&amp;T Construction</t>
        </is>
      </c>
      <c r="C222" s="12" t="inlineStr">
        <is>
          <t>Second-generation co-owner</t>
        </is>
      </c>
      <c r="D222" s="13" t="inlineStr">
        <is>
          <t>Builds the wall, not the house</t>
        </is>
      </c>
      <c r="E222" s="14" t="n">
        <v>3</v>
      </c>
      <c r="F222" s="12" t="inlineStr">
        <is>
          <t>Builds the wall</t>
        </is>
      </c>
      <c r="G222" s="12" t="inlineStr">
        <is>
          <t>Pasadena, Harris</t>
        </is>
      </c>
      <c r="H222" s="12" t="inlineStr">
        <is>
          <t>65 employees, 1,000-plus Houston projects since 1969</t>
        </is>
      </c>
      <c r="I222" s="14" t="inlineStr">
        <is>
          <t>Partly</t>
        </is>
      </c>
      <c r="J222" s="15" t="inlineStr">
        <is>
          <t>Industrial and commercial concrete recurring across the east side of the metro.</t>
        </is>
      </c>
      <c r="K222" s="14" t="inlineStr">
        <is>
          <t>Partly</t>
        </is>
      </c>
      <c r="L222" s="15" t="inlineStr">
        <is>
          <t>65 employees on average and more than 1,000 Greater Houston projects since 1969, on the firm's own count. No annual wall figure is published, so this sits at a Partly.</t>
        </is>
      </c>
      <c r="M222" s="14" t="inlineStr">
        <is>
          <t>Partly</t>
        </is>
      </c>
      <c r="N222" s="15" t="inlineStr">
        <is>
          <t>It bought volumetric mixers and stood up its own delivery arm rather than buying ready-mix from a plant. That is paying for a different way to get concrete to a site, though it is not a wall method.</t>
        </is>
      </c>
      <c r="O222" s="14" t="inlineStr">
        <is>
          <t>Partly</t>
        </is>
      </c>
      <c r="P222" s="10" t="inlineStr"/>
      <c r="Q222" s="12" t="inlineStr"/>
      <c r="R222" s="16">
        <f>IF(P222="","ADD LINKEDIN","ok")</f>
        <v/>
      </c>
      <c r="S222" s="12" t="inlineStr">
        <is>
          <t>https://tandtconstruction.com/</t>
        </is>
      </c>
      <c r="T222" s="15" t="inlineStr">
        <is>
          <t>It owns the mix as well as the placing. A printer is fed concrete continuously, and this firm delivers its own.</t>
        </is>
      </c>
      <c r="U222" s="12" t="inlineStr"/>
      <c r="V222" s="15" t="inlineStr">
        <is>
          <t>The firm's own about page: Jeff and his wife Dianna continued the family business as co-owners. The page uses first names after the founder.</t>
        </is>
      </c>
      <c r="W222" s="12" t="inlineStr">
        <is>
          <t>https://tandtconstruction.com/about-us/</t>
        </is>
      </c>
      <c r="X222" s="12" t="inlineStr"/>
      <c r="Y222" s="12" t="inlineStr">
        <is>
          <t>https://tandtconstruction.com/about-us/</t>
        </is>
      </c>
      <c r="Z222" s="12" t="inlineStr"/>
      <c r="AA222" s="12" t="inlineStr">
        <is>
          <t>(713) 477-6660</t>
        </is>
      </c>
      <c r="AB222" s="12" t="inlineStr"/>
      <c r="AC222" s="12" t="inlineStr">
        <is>
          <t>https://tandtconstruction.com/</t>
        </is>
      </c>
    </row>
    <row r="223">
      <c r="A223" s="6" t="inlineStr">
        <is>
          <t>Dianna Taylor</t>
        </is>
      </c>
      <c r="B223" s="6" t="inlineStr">
        <is>
          <t>T&amp;T Construction</t>
        </is>
      </c>
      <c r="C223" s="6" t="inlineStr">
        <is>
          <t>Second-generation co-owner</t>
        </is>
      </c>
      <c r="D223" s="7" t="inlineStr">
        <is>
          <t>Builds the wall, not the house</t>
        </is>
      </c>
      <c r="E223" s="8" t="n">
        <v>3</v>
      </c>
      <c r="F223" s="6" t="inlineStr">
        <is>
          <t>Builds the wall</t>
        </is>
      </c>
      <c r="G223" s="6" t="inlineStr">
        <is>
          <t>Pasadena, Harris</t>
        </is>
      </c>
      <c r="H223" s="6" t="inlineStr">
        <is>
          <t>65 employees, 1,000-plus Houston projects since 1969</t>
        </is>
      </c>
      <c r="I223" s="8" t="inlineStr">
        <is>
          <t>Partly</t>
        </is>
      </c>
      <c r="J223" s="9" t="inlineStr">
        <is>
          <t>Industrial and commercial concrete recurring across the east side of the metro.</t>
        </is>
      </c>
      <c r="K223" s="8" t="inlineStr">
        <is>
          <t>Partly</t>
        </is>
      </c>
      <c r="L223" s="9" t="inlineStr">
        <is>
          <t>65 employees on average and more than 1,000 Greater Houston projects since 1969, on the firm's own count. No annual wall figure is published, so this sits at a Partly.</t>
        </is>
      </c>
      <c r="M223" s="8" t="inlineStr">
        <is>
          <t>Partly</t>
        </is>
      </c>
      <c r="N223" s="9" t="inlineStr">
        <is>
          <t>It bought volumetric mixers and stood up its own delivery arm rather than buying ready-mix from a plant. That is paying for a different way to get concrete to a site, though it is not a wall method.</t>
        </is>
      </c>
      <c r="O223" s="8" t="inlineStr">
        <is>
          <t>Partly</t>
        </is>
      </c>
      <c r="P223" s="10" t="inlineStr"/>
      <c r="Q223" s="6" t="inlineStr"/>
      <c r="R223" s="11">
        <f>IF(P223="","ADD LINKEDIN","ok")</f>
        <v/>
      </c>
      <c r="S223" s="6" t="inlineStr">
        <is>
          <t>https://tandtconstruction.com/</t>
        </is>
      </c>
      <c r="T223" s="9" t="inlineStr">
        <is>
          <t>It owns the mix as well as the placing. A printer is fed concrete continuously, and this firm delivers its own.</t>
        </is>
      </c>
      <c r="U223" s="6" t="inlineStr"/>
      <c r="V223" s="9" t="inlineStr">
        <is>
          <t>The firm's own about page: Jeff and his wife Dianna continued the family business as co-owners. The page uses first names after the founder.</t>
        </is>
      </c>
      <c r="W223" s="6" t="inlineStr">
        <is>
          <t>https://tandtconstruction.com/about-us/</t>
        </is>
      </c>
      <c r="X223" s="6" t="inlineStr"/>
      <c r="Y223" s="6" t="inlineStr">
        <is>
          <t>https://tandtconstruction.com/about-us/</t>
        </is>
      </c>
      <c r="Z223" s="6" t="inlineStr"/>
      <c r="AA223" s="6" t="inlineStr">
        <is>
          <t>(713) 477-6660</t>
        </is>
      </c>
      <c r="AB223" s="6" t="inlineStr"/>
      <c r="AC223" s="6" t="inlineStr">
        <is>
          <t>https://tandtconstruction.com/</t>
        </is>
      </c>
    </row>
    <row r="224">
      <c r="A224" s="12" t="inlineStr">
        <is>
          <t>Victor Andrade</t>
        </is>
      </c>
      <c r="B224" s="12" t="inlineStr">
        <is>
          <t>Andrade Construction Companies</t>
        </is>
      </c>
      <c r="C224" s="12" t="inlineStr">
        <is>
          <t>Founder</t>
        </is>
      </c>
      <c r="D224" s="13" t="inlineStr">
        <is>
          <t>Builds the wall, not the house</t>
        </is>
      </c>
      <c r="E224" s="14" t="n">
        <v>2</v>
      </c>
      <c r="F224" s="12" t="inlineStr">
        <is>
          <t>Builds the wall</t>
        </is>
      </c>
      <c r="G224" s="12" t="inlineStr">
        <is>
          <t>Houston, working Harris and Brazoria</t>
        </is>
      </c>
      <c r="H224" s="12" t="inlineStr">
        <is>
          <t>Owns earthwork, utilities and concrete</t>
        </is>
      </c>
      <c r="I224" s="14" t="inlineStr">
        <is>
          <t>Partly</t>
        </is>
      </c>
      <c r="J224" s="15" t="inlineStr">
        <is>
          <t>Site and concrete packages recurring across Houston jobs, though the buildings themselves differ.</t>
        </is>
      </c>
      <c r="K224" s="14" t="inlineStr">
        <is>
          <t>Partly</t>
        </is>
      </c>
      <c r="L224" s="15" t="inlineStr">
        <is>
          <t>No crew count, revenue or annual volume is published. On the bands, a firm with no published figure is a Partly.</t>
        </is>
      </c>
      <c r="M224" s="14" t="inlineStr">
        <is>
          <t>No</t>
        </is>
      </c>
      <c r="N224" s="15" t="inlineStr">
        <is>
          <t>No method statement on record.</t>
        </is>
      </c>
      <c r="O224" s="14" t="inlineStr">
        <is>
          <t>Partly</t>
        </is>
      </c>
      <c r="P224" s="10" t="inlineStr"/>
      <c r="Q224" s="12" t="inlineStr"/>
      <c r="R224" s="16">
        <f>IF(P224="","ADD LINKEDIN","ok")</f>
        <v/>
      </c>
      <c r="S224" s="12" t="inlineStr">
        <is>
          <t>https://andradeconstructioncompanies.com/</t>
        </is>
      </c>
      <c r="T224" s="15" t="inlineStr">
        <is>
          <t>It owns the earthwork, the utilities and the concrete on the same site, so a printer would stand on a slab its own crews poured.</t>
        </is>
      </c>
      <c r="U224" s="12" t="inlineStr"/>
      <c r="V224" s="15" t="inlineStr">
        <is>
          <t>The firm's own about page: founded by Victor Andrade in 2003 in residential construction, into commercial in 2013.</t>
        </is>
      </c>
      <c r="W224" s="12" t="inlineStr">
        <is>
          <t>http://andradeconstructioncompanies.com/about-us/</t>
        </is>
      </c>
      <c r="X224" s="12" t="inlineStr"/>
      <c r="Y224" s="12" t="inlineStr"/>
      <c r="Z224" s="12" t="inlineStr"/>
      <c r="AA224" s="12" t="inlineStr">
        <is>
          <t>(281) 227-8225</t>
        </is>
      </c>
      <c r="AB224" s="12" t="inlineStr"/>
      <c r="AC224" s="12" t="inlineStr">
        <is>
          <t>https://andradeconstructioncompanies.com/</t>
        </is>
      </c>
    </row>
    <row r="225">
      <c r="A225" s="6" t="inlineStr">
        <is>
          <t>Eric Rice</t>
        </is>
      </c>
      <c r="B225" s="6" t="inlineStr">
        <is>
          <t>Andrade Construction Companies</t>
        </is>
      </c>
      <c r="C225" s="6" t="inlineStr">
        <is>
          <t>Business Development Manager</t>
        </is>
      </c>
      <c r="D225" s="7" t="inlineStr">
        <is>
          <t>Builds the wall, not the house</t>
        </is>
      </c>
      <c r="E225" s="8" t="n">
        <v>2</v>
      </c>
      <c r="F225" s="6" t="inlineStr">
        <is>
          <t>Builds the wall</t>
        </is>
      </c>
      <c r="G225" s="6" t="inlineStr">
        <is>
          <t>Houston, working Harris and Brazoria</t>
        </is>
      </c>
      <c r="H225" s="6" t="inlineStr">
        <is>
          <t>Owns earthwork, utilities and concrete</t>
        </is>
      </c>
      <c r="I225" s="8" t="inlineStr">
        <is>
          <t>Partly</t>
        </is>
      </c>
      <c r="J225" s="9" t="inlineStr">
        <is>
          <t>Site and concrete packages recurring across Houston jobs, though the buildings themselves differ.</t>
        </is>
      </c>
      <c r="K225" s="8" t="inlineStr">
        <is>
          <t>Partly</t>
        </is>
      </c>
      <c r="L225" s="9" t="inlineStr">
        <is>
          <t>No crew count, revenue or annual volume is published. On the bands, a firm with no published figure is a Partly.</t>
        </is>
      </c>
      <c r="M225" s="8" t="inlineStr">
        <is>
          <t>No</t>
        </is>
      </c>
      <c r="N225" s="9" t="inlineStr">
        <is>
          <t>No method statement on record.</t>
        </is>
      </c>
      <c r="O225" s="8" t="inlineStr">
        <is>
          <t>Partly</t>
        </is>
      </c>
      <c r="P225" s="6" t="inlineStr">
        <is>
          <t>https://www.linkedin.com/in/eric-rice-177124352/</t>
        </is>
      </c>
      <c r="Q225" s="6" t="inlineStr"/>
      <c r="R225" s="11">
        <f>IF(P225="","ADD LINKEDIN","ok")</f>
        <v/>
      </c>
      <c r="S225" s="6" t="inlineStr">
        <is>
          <t>https://andradeconstructioncompanies.com/</t>
        </is>
      </c>
      <c r="T225" s="9" t="inlineStr">
        <is>
          <t>It owns the earthwork, the utilities and the concrete on the same site, so a printer would stand on a slab its own crews poured.</t>
        </is>
      </c>
      <c r="U225" s="6" t="inlineStr"/>
      <c r="V225" s="9" t="inlineStr">
        <is>
          <t>Headline reads Business Development Manager at Andrade Construction Companies. Houston, Texas.</t>
        </is>
      </c>
      <c r="W225" s="6" t="inlineStr"/>
      <c r="X225" s="6" t="inlineStr"/>
      <c r="Y225" s="6" t="inlineStr"/>
      <c r="Z225" s="6" t="inlineStr"/>
      <c r="AA225" s="6" t="inlineStr">
        <is>
          <t>(281) 227-8225</t>
        </is>
      </c>
      <c r="AB225" s="6" t="inlineStr"/>
      <c r="AC225" s="6" t="inlineStr">
        <is>
          <t>https://andradeconstructioncompanies.com/</t>
        </is>
      </c>
    </row>
    <row r="226">
      <c r="A226" s="12" t="inlineStr">
        <is>
          <t>Luis Andrade</t>
        </is>
      </c>
      <c r="B226" s="12" t="inlineStr">
        <is>
          <t>Andrade Construction Companies</t>
        </is>
      </c>
      <c r="C226" s="12" t="inlineStr">
        <is>
          <t>Chief Operating Officer, Andrade Concrete and Construction</t>
        </is>
      </c>
      <c r="D226" s="13" t="inlineStr">
        <is>
          <t>Builds the wall, not the house</t>
        </is>
      </c>
      <c r="E226" s="14" t="n">
        <v>2</v>
      </c>
      <c r="F226" s="12" t="inlineStr">
        <is>
          <t>Builds the wall</t>
        </is>
      </c>
      <c r="G226" s="12" t="inlineStr">
        <is>
          <t>Houston, working Harris and Brazoria</t>
        </is>
      </c>
      <c r="H226" s="12" t="inlineStr">
        <is>
          <t>Owns earthwork, utilities and concrete</t>
        </is>
      </c>
      <c r="I226" s="14" t="inlineStr">
        <is>
          <t>Partly</t>
        </is>
      </c>
      <c r="J226" s="15" t="inlineStr">
        <is>
          <t>Site and concrete packages recurring across Houston jobs, though the buildings themselves differ.</t>
        </is>
      </c>
      <c r="K226" s="14" t="inlineStr">
        <is>
          <t>Partly</t>
        </is>
      </c>
      <c r="L226" s="15" t="inlineStr">
        <is>
          <t>No crew count, revenue or annual volume is published. On the bands, a firm with no published figure is a Partly.</t>
        </is>
      </c>
      <c r="M226" s="14" t="inlineStr">
        <is>
          <t>No</t>
        </is>
      </c>
      <c r="N226" s="15" t="inlineStr">
        <is>
          <t>No method statement on record.</t>
        </is>
      </c>
      <c r="O226" s="14" t="inlineStr">
        <is>
          <t>Partly</t>
        </is>
      </c>
      <c r="P226" s="6" t="inlineStr">
        <is>
          <t>https://www.linkedin.com/in/luis-andrade-128317159/</t>
        </is>
      </c>
      <c r="Q226" s="12" t="inlineStr"/>
      <c r="R226" s="16">
        <f>IF(P226="","ADD LINKEDIN","ok")</f>
        <v/>
      </c>
      <c r="S226" s="12" t="inlineStr">
        <is>
          <t>https://andradeconstructioncompanies.com/</t>
        </is>
      </c>
      <c r="T226" s="15" t="inlineStr">
        <is>
          <t>It owns the earthwork, the utilities and the concrete on the same site, so a printer would stand on a slab its own crews poured.</t>
        </is>
      </c>
      <c r="U226" s="12" t="inlineStr"/>
      <c r="V226" s="15" t="inlineStr">
        <is>
          <t>Headline reads COO at Andrade Concrete &amp; Construction Inc., which is a different registered name from Andrade Construction Companies. Confirm the two are the same business.</t>
        </is>
      </c>
      <c r="W226" s="12" t="inlineStr"/>
      <c r="X226" s="12" t="inlineStr"/>
      <c r="Y226" s="12" t="inlineStr"/>
      <c r="Z226" s="12" t="inlineStr"/>
      <c r="AA226" s="12" t="inlineStr">
        <is>
          <t>(281) 227-8225</t>
        </is>
      </c>
      <c r="AB226" s="12" t="inlineStr"/>
      <c r="AC226" s="12" t="inlineStr">
        <is>
          <t>https://andradeconstructioncompanies.com/</t>
        </is>
      </c>
    </row>
    <row r="227">
      <c r="A227" s="6" t="inlineStr">
        <is>
          <t>Shawn McAlpin</t>
        </is>
      </c>
      <c r="B227" s="6" t="inlineStr">
        <is>
          <t>Burton Construction</t>
        </is>
      </c>
      <c r="C227" s="6" t="inlineStr">
        <is>
          <t>Chief Executive Officer</t>
        </is>
      </c>
      <c r="D227" s="7" t="inlineStr">
        <is>
          <t>Builds the wall, not the house</t>
        </is>
      </c>
      <c r="E227" s="8" t="n">
        <v>2</v>
      </c>
      <c r="F227" s="6" t="inlineStr">
        <is>
          <t>Builds the wall</t>
        </is>
      </c>
      <c r="G227" s="6" t="inlineStr">
        <is>
          <t>Houston, with Austin, San Antonio and Phoenix</t>
        </is>
      </c>
      <c r="H227" s="6" t="inlineStr">
        <is>
          <t>Founded 2004, with multifamily in its published portfolio</t>
        </is>
      </c>
      <c r="I227" s="8" t="inlineStr">
        <is>
          <t>Partly</t>
        </is>
      </c>
      <c r="J227" s="9" t="inlineStr">
        <is>
          <t>Commercial and multifamily work across four metros. The buildings differ project to project.</t>
        </is>
      </c>
      <c r="K227" s="8" t="inlineStr">
        <is>
          <t>Partly</t>
        </is>
      </c>
      <c r="L227" s="9" t="inlineStr">
        <is>
          <t>No revenue, crew count or project size is published. On the bands, a firm with no published figure is a Partly.</t>
        </is>
      </c>
      <c r="M227" s="8" t="inlineStr">
        <is>
          <t>No</t>
        </is>
      </c>
      <c r="N227" s="9" t="inlineStr">
        <is>
          <t>No method statement on record. The tilt-up award is for execution.</t>
        </is>
      </c>
      <c r="O227" s="8" t="inlineStr">
        <is>
          <t>Partly</t>
        </is>
      </c>
      <c r="P227" s="6" t="inlineStr">
        <is>
          <t>https://www.linkedin.com/in/shawn-mcalpin-b1260312/</t>
        </is>
      </c>
      <c r="Q227" s="6" t="inlineStr"/>
      <c r="R227" s="11">
        <f>IF(P227="","ADD LINKEDIN","ok")</f>
        <v/>
      </c>
      <c r="S227" s="6" t="inlineStr">
        <is>
          <t>https://burtonconstruction.com/</t>
        </is>
      </c>
      <c r="T227" s="9" t="inlineStr">
        <is>
          <t>Twenty-two years old, a tilt-up award in 2024 and multifamily in the published portfolio. The founder is on the firm's own page; the chief executive is not.</t>
        </is>
      </c>
      <c r="U227" s="6" t="inlineStr">
        <is>
          <t>YES</t>
        </is>
      </c>
      <c r="V227" s="9" t="inlineStr">
        <is>
          <t>Headline reads CEO at Burton Construction. Katy, Texas. The firm's own about page names only its founder, so this is the current chief executive and the founder is not.</t>
        </is>
      </c>
      <c r="W227" s="6" t="inlineStr"/>
      <c r="X227" s="6" t="inlineStr"/>
      <c r="Y227" s="6" t="inlineStr"/>
      <c r="Z227" s="6" t="inlineStr"/>
      <c r="AA227" s="6" t="inlineStr">
        <is>
          <t>(281) 313-5055</t>
        </is>
      </c>
      <c r="AB227" s="6" t="inlineStr">
        <is>
          <t>Houston office</t>
        </is>
      </c>
      <c r="AC227" s="6" t="inlineStr">
        <is>
          <t>https://burtonconstruction.com/</t>
        </is>
      </c>
    </row>
    <row r="228">
      <c r="A228" s="12" t="inlineStr">
        <is>
          <t>Cullen Burton</t>
        </is>
      </c>
      <c r="B228" s="12" t="inlineStr">
        <is>
          <t>Burton Construction</t>
        </is>
      </c>
      <c r="C228" s="12" t="inlineStr">
        <is>
          <t>President</t>
        </is>
      </c>
      <c r="D228" s="13" t="inlineStr">
        <is>
          <t>Builds the wall, not the house</t>
        </is>
      </c>
      <c r="E228" s="14" t="n">
        <v>2</v>
      </c>
      <c r="F228" s="12" t="inlineStr">
        <is>
          <t>Builds the wall</t>
        </is>
      </c>
      <c r="G228" s="12" t="inlineStr">
        <is>
          <t>Houston, with Austin, San Antonio and Phoenix</t>
        </is>
      </c>
      <c r="H228" s="12" t="inlineStr">
        <is>
          <t>Founded 2004, with multifamily in its published portfolio</t>
        </is>
      </c>
      <c r="I228" s="14" t="inlineStr">
        <is>
          <t>Partly</t>
        </is>
      </c>
      <c r="J228" s="15" t="inlineStr">
        <is>
          <t>Commercial and multifamily work across four metros. The buildings differ project to project.</t>
        </is>
      </c>
      <c r="K228" s="14" t="inlineStr">
        <is>
          <t>Partly</t>
        </is>
      </c>
      <c r="L228" s="15" t="inlineStr">
        <is>
          <t>No revenue, crew count or project size is published. On the bands, a firm with no published figure is a Partly.</t>
        </is>
      </c>
      <c r="M228" s="14" t="inlineStr">
        <is>
          <t>No</t>
        </is>
      </c>
      <c r="N228" s="15" t="inlineStr">
        <is>
          <t>No method statement on record. The tilt-up award is for execution.</t>
        </is>
      </c>
      <c r="O228" s="14" t="inlineStr">
        <is>
          <t>Partly</t>
        </is>
      </c>
      <c r="P228" s="10" t="inlineStr"/>
      <c r="Q228" s="12" t="inlineStr"/>
      <c r="R228" s="16">
        <f>IF(P228="","ADD LINKEDIN","ok")</f>
        <v/>
      </c>
      <c r="S228" s="12" t="inlineStr">
        <is>
          <t>https://burtonconstruction.com/</t>
        </is>
      </c>
      <c r="T228" s="15" t="inlineStr">
        <is>
          <t>Twenty-two years old, a tilt-up award in 2024 and multifamily in the published portfolio. The founder is on the firm's own page; the chief executive is not.</t>
        </is>
      </c>
      <c r="U228" s="12" t="inlineStr">
        <is>
          <t>YES</t>
        </is>
      </c>
      <c r="V228" s="15" t="inlineStr"/>
      <c r="W228" s="12" t="inlineStr">
        <is>
          <t>https://burtonconstruction.com/leadership/</t>
        </is>
      </c>
      <c r="X228" s="12" t="inlineStr"/>
      <c r="Y228" s="12" t="inlineStr"/>
      <c r="Z228" s="12" t="inlineStr"/>
      <c r="AA228" s="12" t="inlineStr">
        <is>
          <t>(281) 313-5055</t>
        </is>
      </c>
      <c r="AB228" s="12" t="inlineStr">
        <is>
          <t>Houston office</t>
        </is>
      </c>
      <c r="AC228" s="12" t="inlineStr">
        <is>
          <t>https://burtonconstruction.com/</t>
        </is>
      </c>
    </row>
    <row r="229">
      <c r="A229" s="6" t="inlineStr">
        <is>
          <t>J. Cameron Guinn</t>
        </is>
      </c>
      <c r="B229" s="6" t="inlineStr">
        <is>
          <t>HTX Concrete</t>
        </is>
      </c>
      <c r="C229" s="6" t="inlineStr">
        <is>
          <t>Vice President, Business Development</t>
        </is>
      </c>
      <c r="D229" s="7" t="inlineStr">
        <is>
          <t>Builds the wall, not the house</t>
        </is>
      </c>
      <c r="E229" s="8" t="n">
        <v>2</v>
      </c>
      <c r="F229" s="6" t="inlineStr">
        <is>
          <t>Builds the wall</t>
        </is>
      </c>
      <c r="G229" s="6" t="inlineStr">
        <is>
          <t>Houston, working Harris, Fort Bend and Brazoria</t>
        </is>
      </c>
      <c r="H229" s="6" t="inlineStr">
        <is>
          <t>Names a garden-style multifamily project on its own site</t>
        </is>
      </c>
      <c r="I229" s="8" t="inlineStr">
        <is>
          <t>Partly</t>
        </is>
      </c>
      <c r="J229" s="9" t="inlineStr">
        <is>
          <t>Commercial shells and paving across the metro. The published square footages are weighted to paving rather than to wall.</t>
        </is>
      </c>
      <c r="K229" s="8" t="inlineStr">
        <is>
          <t>Partly</t>
        </is>
      </c>
      <c r="L229" s="9" t="inlineStr">
        <is>
          <t>No annual volume is published. The one published wall figure is 12,000 square feet of tilt wall against 155,000 gross square feet of paving on the same job.</t>
        </is>
      </c>
      <c r="M229" s="8" t="inlineStr">
        <is>
          <t>No</t>
        </is>
      </c>
      <c r="N229" s="9" t="inlineStr">
        <is>
          <t>No method statement on record.</t>
        </is>
      </c>
      <c r="O229" s="8" t="inlineStr">
        <is>
          <t>Partly</t>
        </is>
      </c>
      <c r="P229" s="6" t="inlineStr">
        <is>
          <t>https://www.linkedin.com/in/j-cameron-guinn-2047686/</t>
        </is>
      </c>
      <c r="Q229" s="6" t="inlineStr"/>
      <c r="R229" s="11">
        <f>IF(P229="","ADD LINKEDIN","ok")</f>
        <v/>
      </c>
      <c r="S229" s="6" t="inlineStr">
        <is>
          <t>https://htxconcrete.com/</t>
        </is>
      </c>
      <c r="T229" s="9" t="inlineStr">
        <is>
          <t>One of two contractors screened that names an actual multifamily project on its own site. The published work is paving-heavy.</t>
        </is>
      </c>
      <c r="U229" s="6" t="inlineStr"/>
      <c r="V229" s="9" t="inlineStr">
        <is>
          <t>Headline reads Vice President Business Development at HTX Concrete. Houston, Texas.</t>
        </is>
      </c>
      <c r="W229" s="6" t="inlineStr"/>
      <c r="X229" s="6" t="inlineStr"/>
      <c r="Y229" s="6" t="inlineStr"/>
      <c r="Z229" s="6" t="inlineStr"/>
      <c r="AA229" s="6" t="inlineStr">
        <is>
          <t>(832) 930-7739</t>
        </is>
      </c>
      <c r="AB229" s="6" t="inlineStr"/>
      <c r="AC229" s="6" t="inlineStr">
        <is>
          <t>https://htxconcrete.com/</t>
        </is>
      </c>
    </row>
    <row r="230">
      <c r="A230" s="12" t="inlineStr">
        <is>
          <t>Tony Le</t>
        </is>
      </c>
      <c r="B230" s="12" t="inlineStr">
        <is>
          <t>HTX Concrete</t>
        </is>
      </c>
      <c r="C230" s="12" t="inlineStr">
        <is>
          <t>Chief Estimator</t>
        </is>
      </c>
      <c r="D230" s="13" t="inlineStr">
        <is>
          <t>Builds the wall, not the house</t>
        </is>
      </c>
      <c r="E230" s="14" t="n">
        <v>2</v>
      </c>
      <c r="F230" s="12" t="inlineStr">
        <is>
          <t>Builds the wall</t>
        </is>
      </c>
      <c r="G230" s="12" t="inlineStr">
        <is>
          <t>Houston, working Harris, Fort Bend and Brazoria</t>
        </is>
      </c>
      <c r="H230" s="12" t="inlineStr">
        <is>
          <t>Names a garden-style multifamily project on its own site</t>
        </is>
      </c>
      <c r="I230" s="14" t="inlineStr">
        <is>
          <t>Partly</t>
        </is>
      </c>
      <c r="J230" s="15" t="inlineStr">
        <is>
          <t>Commercial shells and paving across the metro. The published square footages are weighted to paving rather than to wall.</t>
        </is>
      </c>
      <c r="K230" s="14" t="inlineStr">
        <is>
          <t>Partly</t>
        </is>
      </c>
      <c r="L230" s="15" t="inlineStr">
        <is>
          <t>No annual volume is published. The one published wall figure is 12,000 square feet of tilt wall against 155,000 gross square feet of paving on the same job.</t>
        </is>
      </c>
      <c r="M230" s="14" t="inlineStr">
        <is>
          <t>No</t>
        </is>
      </c>
      <c r="N230" s="15" t="inlineStr">
        <is>
          <t>No method statement on record.</t>
        </is>
      </c>
      <c r="O230" s="14" t="inlineStr">
        <is>
          <t>Partly</t>
        </is>
      </c>
      <c r="P230" s="6" t="inlineStr">
        <is>
          <t>https://www.linkedin.com/in/tony-le-81ba0032/</t>
        </is>
      </c>
      <c r="Q230" s="12" t="inlineStr"/>
      <c r="R230" s="16">
        <f>IF(P230="","ADD LINKEDIN","ok")</f>
        <v/>
      </c>
      <c r="S230" s="12" t="inlineStr">
        <is>
          <t>https://htxconcrete.com/</t>
        </is>
      </c>
      <c r="T230" s="15" t="inlineStr">
        <is>
          <t>One of two contractors screened that names an actual multifamily project on its own site. The published work is paving-heavy.</t>
        </is>
      </c>
      <c r="U230" s="12" t="inlineStr"/>
      <c r="V230" s="15" t="inlineStr">
        <is>
          <t>Headline reads Chief Estimator at HTX Concrete. Houston, Texas.</t>
        </is>
      </c>
      <c r="W230" s="12" t="inlineStr"/>
      <c r="X230" s="12" t="inlineStr"/>
      <c r="Y230" s="12" t="inlineStr"/>
      <c r="Z230" s="12" t="inlineStr"/>
      <c r="AA230" s="12" t="inlineStr">
        <is>
          <t>(832) 930-7739</t>
        </is>
      </c>
      <c r="AB230" s="12" t="inlineStr"/>
      <c r="AC230" s="12" t="inlineStr">
        <is>
          <t>https://htxconcrete.com/</t>
        </is>
      </c>
    </row>
    <row r="231">
      <c r="A231" s="6" t="inlineStr">
        <is>
          <t>Trent Mitchell</t>
        </is>
      </c>
      <c r="B231" s="6" t="inlineStr">
        <is>
          <t>Silver Spur Concrete Contractors</t>
        </is>
      </c>
      <c r="C231" s="6" t="inlineStr">
        <is>
          <t>Owner</t>
        </is>
      </c>
      <c r="D231" s="7" t="inlineStr">
        <is>
          <t>Builds the wall, not the house</t>
        </is>
      </c>
      <c r="E231" s="8" t="n">
        <v>2</v>
      </c>
      <c r="F231" s="6" t="inlineStr">
        <is>
          <t>Builds the wall</t>
        </is>
      </c>
      <c r="G231" s="6" t="inlineStr">
        <is>
          <t>Tomball and north Houston, Harris and Montgomery</t>
        </is>
      </c>
      <c r="H231" s="6" t="inlineStr">
        <is>
          <t>Publishes a custom residential concrete line</t>
        </is>
      </c>
      <c r="I231" s="8" t="inlineStr">
        <is>
          <t>Partly</t>
        </is>
      </c>
      <c r="J231" s="9" t="inlineStr">
        <is>
          <t>Commercial concrete and metal buildings recurring across the north side of the metro.</t>
        </is>
      </c>
      <c r="K231" s="8" t="inlineStr">
        <is>
          <t>Partly</t>
        </is>
      </c>
      <c r="L231" s="9" t="inlineStr">
        <is>
          <t>No crew count, revenue or project size is published anywhere on the site. On the bands, a firm with no published figure is a Partly.</t>
        </is>
      </c>
      <c r="M231" s="8" t="inlineStr">
        <is>
          <t>No</t>
        </is>
      </c>
      <c r="N231" s="9" t="inlineStr">
        <is>
          <t>No method statement on record.</t>
        </is>
      </c>
      <c r="O231" s="8" t="inlineStr">
        <is>
          <t>Partly</t>
        </is>
      </c>
      <c r="P231" s="10" t="inlineStr"/>
      <c r="Q231" s="6" t="inlineStr"/>
      <c r="R231" s="11">
        <f>IF(P231="","ADD LINKEDIN","ok")</f>
        <v/>
      </c>
      <c r="S231" s="6" t="inlineStr">
        <is>
          <t>https://silverspurconcrete.com/</t>
        </is>
      </c>
      <c r="T231" s="9" t="inlineStr">
        <is>
          <t>The only contractor screened that pairs tilt-wall with a published residential concrete line, including engineered slabs.</t>
        </is>
      </c>
      <c r="U231" s="6" t="inlineStr">
        <is>
          <t>YES</t>
        </is>
      </c>
      <c r="V231" s="9" t="inlineStr">
        <is>
          <t>The firm's own about page names him as owner and lists ExxonMobil World Headquarters, the Texas Children's maternity ward and Baylor College of Medicine among his commercial and industrial work.</t>
        </is>
      </c>
      <c r="W231" s="6" t="inlineStr">
        <is>
          <t>https://www.silverspurconcrete.com/about-silver-spur-concrete-contractors/</t>
        </is>
      </c>
      <c r="X231" s="6" t="inlineStr"/>
      <c r="Y231" s="6" t="inlineStr">
        <is>
          <t>https://www.silverspurconcrete.com/about-silver-spur-concrete-contractors/</t>
        </is>
      </c>
      <c r="Z231" s="6" t="inlineStr"/>
      <c r="AA231" s="6" t="inlineStr">
        <is>
          <t>(713) 482-7712</t>
        </is>
      </c>
      <c r="AB231" s="6" t="inlineStr"/>
      <c r="AC231" s="6" t="inlineStr">
        <is>
          <t>https://silverspurconcrete.com/</t>
        </is>
      </c>
    </row>
    <row r="232">
      <c r="A232" s="12" t="inlineStr">
        <is>
          <t>Scott Arnoldy</t>
        </is>
      </c>
      <c r="B232" s="12" t="inlineStr">
        <is>
          <t>Triten Real Estate Partners</t>
        </is>
      </c>
      <c r="C232" s="12" t="inlineStr">
        <is>
          <t>Chief Executive Officer, Founder</t>
        </is>
      </c>
      <c r="D232" s="13" t="inlineStr">
        <is>
          <t>Creative project, hybrid job</t>
        </is>
      </c>
      <c r="E232" s="14" t="n">
        <v>3</v>
      </c>
      <c r="F232" s="12" t="inlineStr">
        <is>
          <t>Buys walls</t>
        </is>
      </c>
      <c r="G232" s="12" t="inlineStr">
        <is>
          <t>East End / Fort Bend, Harris County</t>
        </is>
      </c>
      <c r="H232" s="12" t="inlineStr">
        <is>
          <t>341 units at The Mill, 294 more under construction at Aliana</t>
        </is>
      </c>
      <c r="I232" s="14" t="inlineStr">
        <is>
          <t>Yes</t>
        </is>
      </c>
      <c r="J232" s="15" t="inlineStr">
        <is>
          <t>341 units at The Mill, 294 more under construction at Aliana.</t>
        </is>
      </c>
      <c r="K232" s="14" t="inlineStr">
        <is>
          <t>Partly</t>
        </is>
      </c>
      <c r="L232" s="15" t="inlineStr">
        <is>
          <t>The Landing at Aliana is 294 units of three-storey garden-style housing on one Fort Bend site. That is the repeating low-rise the band covers.</t>
        </is>
      </c>
      <c r="M232" s="14" t="inlineStr">
        <is>
          <t>Partly</t>
        </is>
      </c>
      <c r="N232" s="15" t="inlineStr">
        <is>
          <t>It expected to use cross-laminated timber on a six-storey office building at The Mill in 2021, contingent on retail leasing. The building is not in its own portfolio entry and no source shows it was built.</t>
        </is>
      </c>
      <c r="O232" s="14" t="inlineStr">
        <is>
          <t>Partly</t>
        </is>
      </c>
      <c r="P232" s="6" t="inlineStr">
        <is>
          <t>https://www.linkedin.com/in/scottarnoldy/</t>
        </is>
      </c>
      <c r="Q232" s="12" t="inlineStr"/>
      <c r="R232" s="16">
        <f>IF(P232="","ADD LINKEDIN","ok")</f>
        <v/>
      </c>
      <c r="S232" s="12" t="inlineStr">
        <is>
          <t>https://www.tritenre.com/</t>
        </is>
      </c>
      <c r="T232" s="15" t="inlineStr">
        <is>
          <t>Financed a cross-laminated timber frame at The Mill. 294 units at Aliana land in Titan's first delivery window.</t>
        </is>
      </c>
      <c r="U232" s="12" t="inlineStr"/>
      <c r="V232" s="15" t="inlineStr">
        <is>
          <t>Founder and CEO, Triten Real Estate Partners. Houston, Texas.</t>
        </is>
      </c>
      <c r="W232" s="12" t="inlineStr"/>
      <c r="X232" s="12" t="inlineStr">
        <is>
          <t>https://www.linkedin.com/company/triten-real-estate-partners</t>
        </is>
      </c>
      <c r="Y232" s="12" t="inlineStr">
        <is>
          <t>https://www.tritenre.com/team</t>
        </is>
      </c>
      <c r="Z232" s="12" t="inlineStr"/>
      <c r="AA232" s="12" t="inlineStr">
        <is>
          <t>(832) 214-5000</t>
        </is>
      </c>
      <c r="AB232" s="12" t="inlineStr"/>
      <c r="AC232" s="12" t="inlineStr">
        <is>
          <t>https://www.tritenre.com/</t>
        </is>
      </c>
    </row>
    <row r="233">
      <c r="A233" s="6" t="inlineStr">
        <is>
          <t>Larry Sloan</t>
        </is>
      </c>
      <c r="B233" s="6" t="inlineStr">
        <is>
          <t>Triten Real Estate Partners</t>
        </is>
      </c>
      <c r="C233" s="6" t="inlineStr">
        <is>
          <t>Partner, Chief Development Officer</t>
        </is>
      </c>
      <c r="D233" s="7" t="inlineStr">
        <is>
          <t>Creative project, hybrid job</t>
        </is>
      </c>
      <c r="E233" s="8" t="n">
        <v>3</v>
      </c>
      <c r="F233" s="6" t="inlineStr">
        <is>
          <t>Buys walls</t>
        </is>
      </c>
      <c r="G233" s="6" t="inlineStr">
        <is>
          <t>East End / Fort Bend, Harris County</t>
        </is>
      </c>
      <c r="H233" s="6" t="inlineStr">
        <is>
          <t>341 units at The Mill, 294 more under construction at Aliana</t>
        </is>
      </c>
      <c r="I233" s="8" t="inlineStr">
        <is>
          <t>Yes</t>
        </is>
      </c>
      <c r="J233" s="9" t="inlineStr">
        <is>
          <t>341 units at The Mill, 294 more under construction at Aliana.</t>
        </is>
      </c>
      <c r="K233" s="8" t="inlineStr">
        <is>
          <t>Partly</t>
        </is>
      </c>
      <c r="L233" s="9" t="inlineStr">
        <is>
          <t>The Landing at Aliana is 294 units of three-storey garden-style housing on one Fort Bend site. That is the repeating low-rise the band covers.</t>
        </is>
      </c>
      <c r="M233" s="8" t="inlineStr">
        <is>
          <t>Partly</t>
        </is>
      </c>
      <c r="N233" s="9" t="inlineStr">
        <is>
          <t>It expected to use cross-laminated timber on a six-storey office building at The Mill in 2021, contingent on retail leasing. The building is not in its own portfolio entry and no source shows it was built.</t>
        </is>
      </c>
      <c r="O233" s="8" t="inlineStr">
        <is>
          <t>Partly</t>
        </is>
      </c>
      <c r="P233" s="6" t="inlineStr">
        <is>
          <t>https://www.linkedin.com/in/larry-sloan-894204b/</t>
        </is>
      </c>
      <c r="Q233" s="6" t="inlineStr"/>
      <c r="R233" s="11">
        <f>IF(P233="","ADD LINKEDIN","ok")</f>
        <v/>
      </c>
      <c r="S233" s="6" t="inlineStr">
        <is>
          <t>https://www.tritenre.com/</t>
        </is>
      </c>
      <c r="T233" s="9" t="inlineStr">
        <is>
          <t>Financed a cross-laminated timber frame at The Mill. 294 units at Aliana land in Titan's first delivery window.</t>
        </is>
      </c>
      <c r="U233" s="6" t="inlineStr"/>
      <c r="V233" s="9" t="inlineStr">
        <is>
          <t>Chief Development Officer (CDO) at Triten Real Estate Partners. Houston, Texas. The same person who left Midway as EVP of investment and development in November 2023.</t>
        </is>
      </c>
      <c r="W233" s="6" t="inlineStr"/>
      <c r="X233" s="6" t="inlineStr">
        <is>
          <t>https://www.linkedin.com/company/triten-real-estate-partners</t>
        </is>
      </c>
      <c r="Y233" s="6" t="inlineStr">
        <is>
          <t>https://www.tritenre.com/team</t>
        </is>
      </c>
      <c r="Z233" s="6" t="inlineStr"/>
      <c r="AA233" s="6" t="inlineStr">
        <is>
          <t>(832) 214-5000</t>
        </is>
      </c>
      <c r="AB233" s="6" t="inlineStr"/>
      <c r="AC233" s="6" t="inlineStr">
        <is>
          <t>https://www.tritenre.com/</t>
        </is>
      </c>
    </row>
    <row r="234">
      <c r="A234" s="12" t="inlineStr">
        <is>
          <t>Brent Ozenbaugh</t>
        </is>
      </c>
      <c r="B234" s="12" t="inlineStr">
        <is>
          <t>Triten Real Estate Partners</t>
        </is>
      </c>
      <c r="C234" s="12" t="inlineStr">
        <is>
          <t>Partner, Chief Operating Officer</t>
        </is>
      </c>
      <c r="D234" s="13" t="inlineStr">
        <is>
          <t>Creative project, hybrid job</t>
        </is>
      </c>
      <c r="E234" s="14" t="n">
        <v>3</v>
      </c>
      <c r="F234" s="12" t="inlineStr">
        <is>
          <t>Buys walls</t>
        </is>
      </c>
      <c r="G234" s="12" t="inlineStr">
        <is>
          <t>East End / Fort Bend, Harris County</t>
        </is>
      </c>
      <c r="H234" s="12" t="inlineStr">
        <is>
          <t>341 units at The Mill, 294 more under construction at Aliana</t>
        </is>
      </c>
      <c r="I234" s="14" t="inlineStr">
        <is>
          <t>Yes</t>
        </is>
      </c>
      <c r="J234" s="15" t="inlineStr">
        <is>
          <t>341 units at The Mill, 294 more under construction at Aliana.</t>
        </is>
      </c>
      <c r="K234" s="14" t="inlineStr">
        <is>
          <t>Partly</t>
        </is>
      </c>
      <c r="L234" s="15" t="inlineStr">
        <is>
          <t>The Landing at Aliana is 294 units of three-storey garden-style housing on one Fort Bend site. That is the repeating low-rise the band covers.</t>
        </is>
      </c>
      <c r="M234" s="14" t="inlineStr">
        <is>
          <t>Partly</t>
        </is>
      </c>
      <c r="N234" s="15" t="inlineStr">
        <is>
          <t>It expected to use cross-laminated timber on a six-storey office building at The Mill in 2021, contingent on retail leasing. The building is not in its own portfolio entry and no source shows it was built.</t>
        </is>
      </c>
      <c r="O234" s="14" t="inlineStr">
        <is>
          <t>Partly</t>
        </is>
      </c>
      <c r="P234" s="6" t="inlineStr">
        <is>
          <t>https://www.linkedin.com/in/brent-ozenbaugh-b99872/</t>
        </is>
      </c>
      <c r="Q234" s="12" t="inlineStr"/>
      <c r="R234" s="16">
        <f>IF(P234="","ADD LINKEDIN","ok")</f>
        <v/>
      </c>
      <c r="S234" s="12" t="inlineStr">
        <is>
          <t>https://www.tritenre.com/</t>
        </is>
      </c>
      <c r="T234" s="15" t="inlineStr">
        <is>
          <t>Financed a cross-laminated timber frame at The Mill. 294 units at Aliana land in Titan's first delivery window.</t>
        </is>
      </c>
      <c r="U234" s="12" t="inlineStr"/>
      <c r="V234" s="15" t="inlineStr">
        <is>
          <t>COO at Triten Real Estate Partners. Greater Houston.</t>
        </is>
      </c>
      <c r="W234" s="12" t="inlineStr"/>
      <c r="X234" s="12" t="inlineStr">
        <is>
          <t>https://www.linkedin.com/company/triten-real-estate-partners</t>
        </is>
      </c>
      <c r="Y234" s="12" t="inlineStr">
        <is>
          <t>https://www.tritenre.com/team</t>
        </is>
      </c>
      <c r="Z234" s="12" t="inlineStr"/>
      <c r="AA234" s="12" t="inlineStr">
        <is>
          <t>(832) 214-5000</t>
        </is>
      </c>
      <c r="AB234" s="12" t="inlineStr"/>
      <c r="AC234" s="12" t="inlineStr">
        <is>
          <t>https://www.tritenre.com/</t>
        </is>
      </c>
    </row>
    <row r="235">
      <c r="A235" s="6" t="inlineStr">
        <is>
          <t>Carter Bechtol</t>
        </is>
      </c>
      <c r="B235" s="6" t="inlineStr">
        <is>
          <t>Triten Real Estate Partners</t>
        </is>
      </c>
      <c r="C235" s="6" t="inlineStr">
        <is>
          <t>Partner, Head of Triten Residential</t>
        </is>
      </c>
      <c r="D235" s="7" t="inlineStr">
        <is>
          <t>Creative project, hybrid job</t>
        </is>
      </c>
      <c r="E235" s="8" t="n">
        <v>3</v>
      </c>
      <c r="F235" s="6" t="inlineStr">
        <is>
          <t>Buys walls</t>
        </is>
      </c>
      <c r="G235" s="6" t="inlineStr">
        <is>
          <t>East End / Fort Bend, Harris County</t>
        </is>
      </c>
      <c r="H235" s="6" t="inlineStr">
        <is>
          <t>341 units at The Mill, 294 more under construction at Aliana</t>
        </is>
      </c>
      <c r="I235" s="8" t="inlineStr">
        <is>
          <t>Yes</t>
        </is>
      </c>
      <c r="J235" s="9" t="inlineStr">
        <is>
          <t>341 units at The Mill, 294 more under construction at Aliana.</t>
        </is>
      </c>
      <c r="K235" s="8" t="inlineStr">
        <is>
          <t>Partly</t>
        </is>
      </c>
      <c r="L235" s="9" t="inlineStr">
        <is>
          <t>The Landing at Aliana is 294 units of three-storey garden-style housing on one Fort Bend site. That is the repeating low-rise the band covers.</t>
        </is>
      </c>
      <c r="M235" s="8" t="inlineStr">
        <is>
          <t>Partly</t>
        </is>
      </c>
      <c r="N235" s="9" t="inlineStr">
        <is>
          <t>It expected to use cross-laminated timber on a six-storey office building at The Mill in 2021, contingent on retail leasing. The building is not in its own portfolio entry and no source shows it was built.</t>
        </is>
      </c>
      <c r="O235" s="8" t="inlineStr">
        <is>
          <t>Partly</t>
        </is>
      </c>
      <c r="P235" s="10" t="inlineStr"/>
      <c r="Q235" s="6">
        <f>HYPERLINK("https://www.linkedin.com/search/results/people/?keywords=Carter%20Bechtol%20Triten%20Real%20Estate%20Partners","search")</f>
        <v/>
      </c>
      <c r="R235" s="11">
        <f>IF(P235="","ADD LINKEDIN","ok")</f>
        <v/>
      </c>
      <c r="S235" s="6" t="inlineStr">
        <is>
          <t>https://www.tritenre.com/</t>
        </is>
      </c>
      <c r="T235" s="9" t="inlineStr">
        <is>
          <t>Financed a cross-laminated timber frame at The Mill. 294 units at Aliana land in Titan's first delivery window.</t>
        </is>
      </c>
      <c r="U235" s="6" t="inlineStr"/>
      <c r="V235" s="9" t="inlineStr">
        <is>
          <t>Triten's own bio page. Partner, Head of Triten Residential. The residential platform is the part of Triten that would buy a repeated wall.</t>
        </is>
      </c>
      <c r="W235" s="6" t="inlineStr">
        <is>
          <t>https://www.tritenre.com/team/carter-becthol</t>
        </is>
      </c>
      <c r="X235" s="6" t="inlineStr">
        <is>
          <t>https://www.linkedin.com/company/triten-real-estate-partners</t>
        </is>
      </c>
      <c r="Y235" s="6" t="inlineStr">
        <is>
          <t>https://www.tritenre.com/team</t>
        </is>
      </c>
      <c r="Z235" s="6" t="inlineStr"/>
      <c r="AA235" s="6" t="inlineStr">
        <is>
          <t>(832) 214-5000</t>
        </is>
      </c>
      <c r="AB235" s="6" t="inlineStr"/>
      <c r="AC235" s="6" t="inlineStr">
        <is>
          <t>https://www.tritenre.com/</t>
        </is>
      </c>
    </row>
    <row r="236">
      <c r="A236" s="12" t="inlineStr">
        <is>
          <t>Steve Radom</t>
        </is>
      </c>
      <c r="B236" s="12" t="inlineStr">
        <is>
          <t>Radom Capital</t>
        </is>
      </c>
      <c r="C236" s="12" t="inlineStr">
        <is>
          <t>Managing Principal</t>
        </is>
      </c>
      <c r="D236" s="13" t="inlineStr">
        <is>
          <t>Creative project, hybrid job</t>
        </is>
      </c>
      <c r="E236" s="14" t="n">
        <v>2</v>
      </c>
      <c r="F236" s="12" t="inlineStr">
        <is>
          <t>Buys walls</t>
        </is>
      </c>
      <c r="G236" s="12" t="inlineStr">
        <is>
          <t>Heights / Montrose, Harris County</t>
        </is>
      </c>
      <c r="H236" s="12" t="inlineStr">
        <is>
          <t>$104.75M Montrose Collective financing</t>
        </is>
      </c>
      <c r="I236" s="14" t="inlineStr">
        <is>
          <t>Partly</t>
        </is>
      </c>
      <c r="J236" s="15" t="inlineStr">
        <is>
          <t>Fifteen projects in one district, 218 units at Clock Tower.</t>
        </is>
      </c>
      <c r="K236" s="14" t="inlineStr">
        <is>
          <t>No</t>
        </is>
      </c>
      <c r="L236" s="15" t="inlineStr">
        <is>
          <t>Adaptive reuse and retail. Every project is its own building.</t>
        </is>
      </c>
      <c r="M236" s="14" t="inlineStr">
        <is>
          <t>Yes</t>
        </is>
      </c>
      <c r="N236" s="15" t="inlineStr">
        <is>
          <t>Commissioned Michael Hsu for Montrose Collective, four-street frontage, $104.75M financed.</t>
        </is>
      </c>
      <c r="O236" s="14" t="inlineStr">
        <is>
          <t>Yes</t>
        </is>
      </c>
      <c r="P236" s="6" t="inlineStr">
        <is>
          <t>https://www.linkedin.com/in/steveradom/</t>
        </is>
      </c>
      <c r="Q236" s="12" t="inlineStr"/>
      <c r="R236" s="16">
        <f>IF(P236="","ADD LINKEDIN","ok")</f>
        <v/>
      </c>
      <c r="S236" s="12" t="inlineStr">
        <is>
          <t>https://www.radomcapital.com/</t>
        </is>
      </c>
      <c r="T236" s="15" t="inlineStr">
        <is>
          <t>Michael Hsu at Montrose Collective, $104.75M financed. Fifteen projects in one district, so volume is concentrated rather than deep.</t>
        </is>
      </c>
      <c r="U236" s="12" t="inlineStr"/>
      <c r="V236" s="15" t="inlineStr"/>
      <c r="W236" s="12" t="inlineStr"/>
      <c r="X236" s="12" t="inlineStr">
        <is>
          <t>https://www.linkedin.com/company/radom-capital-llc</t>
        </is>
      </c>
      <c r="Y236" s="12" t="inlineStr">
        <is>
          <t>https://www.radomcapital.com/team</t>
        </is>
      </c>
      <c r="Z236" s="12" t="inlineStr"/>
      <c r="AA236" s="12" t="inlineStr">
        <is>
          <t>(713) 783-4444</t>
        </is>
      </c>
      <c r="AB236" s="12" t="inlineStr"/>
      <c r="AC236" s="12" t="inlineStr">
        <is>
          <t>https://www.radomcapital.com/</t>
        </is>
      </c>
    </row>
    <row r="237">
      <c r="A237" s="6" t="inlineStr">
        <is>
          <t>Barton Kelly</t>
        </is>
      </c>
      <c r="B237" s="6" t="inlineStr">
        <is>
          <t>Radom Capital</t>
        </is>
      </c>
      <c r="C237" s="6" t="inlineStr">
        <is>
          <t>Principal</t>
        </is>
      </c>
      <c r="D237" s="7" t="inlineStr">
        <is>
          <t>Creative project, hybrid job</t>
        </is>
      </c>
      <c r="E237" s="8" t="n">
        <v>2</v>
      </c>
      <c r="F237" s="6" t="inlineStr">
        <is>
          <t>Buys walls</t>
        </is>
      </c>
      <c r="G237" s="6" t="inlineStr">
        <is>
          <t>Heights / Montrose, Harris County</t>
        </is>
      </c>
      <c r="H237" s="6" t="inlineStr">
        <is>
          <t>$104.75M Montrose Collective financing</t>
        </is>
      </c>
      <c r="I237" s="8" t="inlineStr">
        <is>
          <t>Partly</t>
        </is>
      </c>
      <c r="J237" s="9" t="inlineStr">
        <is>
          <t>Fifteen projects in one district, 218 units at Clock Tower.</t>
        </is>
      </c>
      <c r="K237" s="8" t="inlineStr">
        <is>
          <t>No</t>
        </is>
      </c>
      <c r="L237" s="9" t="inlineStr">
        <is>
          <t>Adaptive reuse and retail. Every project is its own building.</t>
        </is>
      </c>
      <c r="M237" s="8" t="inlineStr">
        <is>
          <t>Yes</t>
        </is>
      </c>
      <c r="N237" s="9" t="inlineStr">
        <is>
          <t>Commissioned Michael Hsu for Montrose Collective, four-street frontage, $104.75M financed.</t>
        </is>
      </c>
      <c r="O237" s="8" t="inlineStr">
        <is>
          <t>Yes</t>
        </is>
      </c>
      <c r="P237" s="6" t="inlineStr">
        <is>
          <t>https://www.linkedin.com/in/bartonk/</t>
        </is>
      </c>
      <c r="Q237" s="6" t="inlineStr"/>
      <c r="R237" s="11">
        <f>IF(P237="","ADD LINKEDIN","ok")</f>
        <v/>
      </c>
      <c r="S237" s="6" t="inlineStr">
        <is>
          <t>https://www.radomcapital.com/</t>
        </is>
      </c>
      <c r="T237" s="9" t="inlineStr">
        <is>
          <t>Michael Hsu at Montrose Collective, $104.75M financed. Fifteen projects in one district, so volume is concentrated rather than deep.</t>
        </is>
      </c>
      <c r="U237" s="6" t="inlineStr"/>
      <c r="V237" s="9" t="inlineStr">
        <is>
          <t>Vice President at Radom Capital LLC, Houston. Barton Kelly's LinkedIn headline reads Vice President at Radom Capital; the firm's own team page lists him as Principal. The titles conflict.</t>
        </is>
      </c>
      <c r="W237" s="6" t="inlineStr"/>
      <c r="X237" s="6" t="inlineStr">
        <is>
          <t>https://www.linkedin.com/company/radom-capital-llc</t>
        </is>
      </c>
      <c r="Y237" s="6" t="inlineStr">
        <is>
          <t>https://www.radomcapital.com/team</t>
        </is>
      </c>
      <c r="Z237" s="6" t="inlineStr"/>
      <c r="AA237" s="6" t="inlineStr">
        <is>
          <t>(713) 783-4444</t>
        </is>
      </c>
      <c r="AB237" s="6" t="inlineStr"/>
      <c r="AC237" s="6" t="inlineStr">
        <is>
          <t>https://www.radomcapital.com/</t>
        </is>
      </c>
    </row>
    <row r="238">
      <c r="A238" s="12" t="inlineStr">
        <is>
          <t>Evan Peterson</t>
        </is>
      </c>
      <c r="B238" s="12" t="inlineStr">
        <is>
          <t>Radom Capital</t>
        </is>
      </c>
      <c r="C238" s="12" t="inlineStr">
        <is>
          <t>Principal</t>
        </is>
      </c>
      <c r="D238" s="13" t="inlineStr">
        <is>
          <t>Creative project, hybrid job</t>
        </is>
      </c>
      <c r="E238" s="14" t="n">
        <v>2</v>
      </c>
      <c r="F238" s="12" t="inlineStr">
        <is>
          <t>Buys walls</t>
        </is>
      </c>
      <c r="G238" s="12" t="inlineStr">
        <is>
          <t>Heights / Montrose, Harris County</t>
        </is>
      </c>
      <c r="H238" s="12" t="inlineStr">
        <is>
          <t>$104.75M Montrose Collective financing</t>
        </is>
      </c>
      <c r="I238" s="14" t="inlineStr">
        <is>
          <t>Partly</t>
        </is>
      </c>
      <c r="J238" s="15" t="inlineStr">
        <is>
          <t>Fifteen projects in one district, 218 units at Clock Tower.</t>
        </is>
      </c>
      <c r="K238" s="14" t="inlineStr">
        <is>
          <t>No</t>
        </is>
      </c>
      <c r="L238" s="15" t="inlineStr">
        <is>
          <t>Adaptive reuse and retail. Every project is its own building.</t>
        </is>
      </c>
      <c r="M238" s="14" t="inlineStr">
        <is>
          <t>Yes</t>
        </is>
      </c>
      <c r="N238" s="15" t="inlineStr">
        <is>
          <t>Commissioned Michael Hsu for Montrose Collective, four-street frontage, $104.75M financed.</t>
        </is>
      </c>
      <c r="O238" s="14" t="inlineStr">
        <is>
          <t>Yes</t>
        </is>
      </c>
      <c r="P238" s="6" t="inlineStr">
        <is>
          <t>https://www.linkedin.com/in/evan-peterson-19656548/</t>
        </is>
      </c>
      <c r="Q238" s="12" t="inlineStr"/>
      <c r="R238" s="16">
        <f>IF(P238="","ADD LINKEDIN","ok")</f>
        <v/>
      </c>
      <c r="S238" s="12" t="inlineStr">
        <is>
          <t>https://www.radomcapital.com/</t>
        </is>
      </c>
      <c r="T238" s="15" t="inlineStr">
        <is>
          <t>Michael Hsu at Montrose Collective, $104.75M financed. Fifteen projects in one district, so volume is concentrated rather than deep.</t>
        </is>
      </c>
      <c r="U238" s="12" t="inlineStr"/>
      <c r="V238" s="15" t="inlineStr">
        <is>
          <t>Principal at Radom Capital LLC. Houston, Texas.</t>
        </is>
      </c>
      <c r="W238" s="12" t="inlineStr"/>
      <c r="X238" s="12" t="inlineStr">
        <is>
          <t>https://www.linkedin.com/company/radom-capital-llc</t>
        </is>
      </c>
      <c r="Y238" s="12" t="inlineStr">
        <is>
          <t>https://www.radomcapital.com/team</t>
        </is>
      </c>
      <c r="Z238" s="12" t="inlineStr"/>
      <c r="AA238" s="12" t="inlineStr">
        <is>
          <t>(713) 783-4444</t>
        </is>
      </c>
      <c r="AB238" s="12" t="inlineStr"/>
      <c r="AC238" s="12" t="inlineStr">
        <is>
          <t>https://www.radomcapital.com/</t>
        </is>
      </c>
    </row>
    <row r="239">
      <c r="A239" s="6" t="inlineStr">
        <is>
          <t>Jon Deal</t>
        </is>
      </c>
      <c r="B239" s="6" t="inlineStr">
        <is>
          <t>The Deal Company (Sawyer Yards)</t>
        </is>
      </c>
      <c r="C239" s="6" t="inlineStr">
        <is>
          <t>Founder and Chief Executive Officer</t>
        </is>
      </c>
      <c r="D239" s="7" t="inlineStr">
        <is>
          <t>Creative project, hybrid job</t>
        </is>
      </c>
      <c r="E239" s="8" t="n">
        <v>2</v>
      </c>
      <c r="F239" s="6" t="inlineStr">
        <is>
          <t>Buys walls</t>
        </is>
      </c>
      <c r="G239" s="6" t="inlineStr">
        <is>
          <t>Washington Corridor, Harris County</t>
        </is>
      </c>
      <c r="H239" s="6" t="inlineStr">
        <is>
          <t>55 acres, 27 buildings, 2M+ sf</t>
        </is>
      </c>
      <c r="I239" s="8" t="inlineStr">
        <is>
          <t>Partly</t>
        </is>
      </c>
      <c r="J239" s="9" t="inlineStr">
        <is>
          <t>27 buildings across 55 acres since 2005.</t>
        </is>
      </c>
      <c r="K239" s="8" t="inlineStr">
        <is>
          <t>No</t>
        </is>
      </c>
      <c r="L239" s="9" t="inlineStr">
        <is>
          <t>Converting industrial buildings leaves almost no new wall to print.</t>
        </is>
      </c>
      <c r="M239" s="8" t="inlineStr">
        <is>
          <t>Yes</t>
        </is>
      </c>
      <c r="N239" s="9" t="inlineStr">
        <is>
          <t>Twenty years of building inside awkward industrial structures.</t>
        </is>
      </c>
      <c r="O239" s="8" t="inlineStr">
        <is>
          <t>No</t>
        </is>
      </c>
      <c r="P239" s="10" t="inlineStr"/>
      <c r="Q239" s="6">
        <f>HYPERLINK("https://www.linkedin.com/search/results/people/?keywords=Jon%20Deal%20The%20Deal%20Company","search")</f>
        <v/>
      </c>
      <c r="R239" s="11">
        <f>IF(P239="","ADD LINKEDIN","ok")</f>
        <v/>
      </c>
      <c r="S239" s="6" t="inlineStr">
        <is>
          <t>https://www.dealco.net/</t>
        </is>
      </c>
      <c r="T239" s="9" t="inlineStr">
        <is>
          <t>Twenty years converting industrial buildings, 27 of them. Adaptive reuse leaves little new wall to print.</t>
        </is>
      </c>
      <c r="U239" s="6" t="inlineStr"/>
      <c r="V239" s="9" t="inlineStr">
        <is>
          <t>Founder and Chief Executive Officer, and co-developer of Sawyer Yards.</t>
        </is>
      </c>
      <c r="W239" s="6" t="inlineStr">
        <is>
          <t>https://www.dealco.net/about/</t>
        </is>
      </c>
      <c r="X239" s="6" t="inlineStr"/>
      <c r="Y239" s="6" t="inlineStr">
        <is>
          <t>https://www.dealco.net/about/</t>
        </is>
      </c>
      <c r="Z239" s="6" t="inlineStr"/>
      <c r="AA239" s="6" t="inlineStr">
        <is>
          <t>(713) 993-9823</t>
        </is>
      </c>
      <c r="AB239" s="6" t="inlineStr">
        <is>
          <t>office</t>
        </is>
      </c>
      <c r="AC239" s="6" t="inlineStr">
        <is>
          <t>https://www.dealco.net/</t>
        </is>
      </c>
    </row>
    <row r="240">
      <c r="A240" s="12" t="inlineStr">
        <is>
          <t>Dougal A. Cameron</t>
        </is>
      </c>
      <c r="B240" s="12" t="inlineStr">
        <is>
          <t>Cameron Management</t>
        </is>
      </c>
      <c r="C240" s="12" t="inlineStr">
        <is>
          <t>President and Owner</t>
        </is>
      </c>
      <c r="D240" s="13" t="inlineStr">
        <is>
          <t>Creative project, hybrid job</t>
        </is>
      </c>
      <c r="E240" s="14" t="n">
        <v>1</v>
      </c>
      <c r="F240" s="12" t="inlineStr">
        <is>
          <t>Buys walls</t>
        </is>
      </c>
      <c r="G240" s="12" t="inlineStr">
        <is>
          <t>Downtown Houston, Harris County</t>
        </is>
      </c>
      <c r="H240" s="12" t="inlineStr">
        <is>
          <t>$50M conversion, up to 100 units</t>
        </is>
      </c>
      <c r="I240" s="14" t="inlineStr">
        <is>
          <t>No</t>
        </is>
      </c>
      <c r="J240" s="15" t="inlineStr">
        <is>
          <t>Two towers, one conversion each. Nothing repeats.</t>
        </is>
      </c>
      <c r="K240" s="14" t="inlineStr">
        <is>
          <t>No</t>
        </is>
      </c>
      <c r="L240" s="15" t="inlineStr">
        <is>
          <t>Converting two 1927 and 1941 office towers to residential. No new exterior wall.</t>
        </is>
      </c>
      <c r="M240" s="14" t="inlineStr">
        <is>
          <t>Yes</t>
        </is>
      </c>
      <c r="N240" s="15" t="inlineStr">
        <is>
          <t>It is taking on a $50 million conversion of two landmark towers from 1927 and 1941, which is a harder build than anything a printer would be asked to do.</t>
        </is>
      </c>
      <c r="O240" s="14" t="inlineStr">
        <is>
          <t>Partly</t>
        </is>
      </c>
      <c r="P240" s="10" t="inlineStr"/>
      <c r="Q240" s="12">
        <f>HYPERLINK("https://www.linkedin.com/search/results/people/?keywords=Dougal%20A.%20Cameron%20Cameron%20Management","search")</f>
        <v/>
      </c>
      <c r="R240" s="16">
        <f>IF(P240="","ADD LINKEDIN","ok")</f>
        <v/>
      </c>
      <c r="S240" s="12" t="inlineStr">
        <is>
          <t>https://cameronmanagement.com/</t>
        </is>
      </c>
      <c r="T240" s="15" t="inlineStr">
        <is>
          <t>Interior conversion of a 1927 tower. Willing to take on a hard build, but almost no new exterior wall.</t>
        </is>
      </c>
      <c r="U240" s="12" t="inlineStr"/>
      <c r="V240" s="15" t="inlineStr">
        <is>
          <t>President. Founded the firm in 1995 after asset and project management at Hines.</t>
        </is>
      </c>
      <c r="W240" s="12" t="inlineStr">
        <is>
          <t>https://cameronmanagement.com/team_member/dougal-a-cameron</t>
        </is>
      </c>
      <c r="X240" s="12" t="inlineStr">
        <is>
          <t>https://www.linkedin.com/company/cameron-management</t>
        </is>
      </c>
      <c r="Y240" s="12" t="inlineStr">
        <is>
          <t>https://cameronmanagement.com/about</t>
        </is>
      </c>
      <c r="Z240" s="12" t="inlineStr"/>
      <c r="AA240" s="12" t="inlineStr">
        <is>
          <t>(713) 224-1663</t>
        </is>
      </c>
      <c r="AB240" s="12" t="inlineStr"/>
      <c r="AC240" s="12" t="inlineStr">
        <is>
          <t>https://cameronmanagement.com/contact</t>
        </is>
      </c>
    </row>
    <row r="241">
      <c r="A241" s="6" t="inlineStr">
        <is>
          <t>William T. Dom</t>
        </is>
      </c>
      <c r="B241" s="6" t="inlineStr">
        <is>
          <t>Cameron Management</t>
        </is>
      </c>
      <c r="C241" s="6" t="inlineStr">
        <is>
          <t>Chief Operating Officer</t>
        </is>
      </c>
      <c r="D241" s="7" t="inlineStr">
        <is>
          <t>Creative project, hybrid job</t>
        </is>
      </c>
      <c r="E241" s="8" t="n">
        <v>1</v>
      </c>
      <c r="F241" s="6" t="inlineStr">
        <is>
          <t>Buys walls</t>
        </is>
      </c>
      <c r="G241" s="6" t="inlineStr">
        <is>
          <t>Downtown Houston, Harris County</t>
        </is>
      </c>
      <c r="H241" s="6" t="inlineStr">
        <is>
          <t>$50M conversion, up to 100 units</t>
        </is>
      </c>
      <c r="I241" s="8" t="inlineStr">
        <is>
          <t>No</t>
        </is>
      </c>
      <c r="J241" s="9" t="inlineStr">
        <is>
          <t>Two towers, one conversion each. Nothing repeats.</t>
        </is>
      </c>
      <c r="K241" s="8" t="inlineStr">
        <is>
          <t>No</t>
        </is>
      </c>
      <c r="L241" s="9" t="inlineStr">
        <is>
          <t>Converting two 1927 and 1941 office towers to residential. No new exterior wall.</t>
        </is>
      </c>
      <c r="M241" s="8" t="inlineStr">
        <is>
          <t>Yes</t>
        </is>
      </c>
      <c r="N241" s="9" t="inlineStr">
        <is>
          <t>It is taking on a $50 million conversion of two landmark towers from 1927 and 1941, which is a harder build than anything a printer would be asked to do.</t>
        </is>
      </c>
      <c r="O241" s="8" t="inlineStr">
        <is>
          <t>Partly</t>
        </is>
      </c>
      <c r="P241" s="10" t="inlineStr"/>
      <c r="Q241" s="6">
        <f>HYPERLINK("https://www.linkedin.com/search/results/people/?keywords=William%20T.%20Dom%20Cameron%20Management","search")</f>
        <v/>
      </c>
      <c r="R241" s="11">
        <f>IF(P241="","ADD LINKEDIN","ok")</f>
        <v/>
      </c>
      <c r="S241" s="6" t="inlineStr">
        <is>
          <t>https://cameronmanagement.com/</t>
        </is>
      </c>
      <c r="T241" s="9" t="inlineStr">
        <is>
          <t>Interior conversion of a 1927 tower. Willing to take on a hard build, but almost no new exterior wall.</t>
        </is>
      </c>
      <c r="U241" s="6" t="inlineStr"/>
      <c r="V241" s="9" t="inlineStr">
        <is>
          <t>Chief Operating Officer and partner since 2000, formerly an asset manager at Hines.</t>
        </is>
      </c>
      <c r="W241" s="6" t="inlineStr">
        <is>
          <t>https://cameronmanagement.com/team_member/william-t-ted-dom</t>
        </is>
      </c>
      <c r="X241" s="6" t="inlineStr">
        <is>
          <t>https://www.linkedin.com/company/cameron-management</t>
        </is>
      </c>
      <c r="Y241" s="6" t="inlineStr">
        <is>
          <t>https://cameronmanagement.com/about</t>
        </is>
      </c>
      <c r="Z241" s="6" t="inlineStr"/>
      <c r="AA241" s="6" t="inlineStr">
        <is>
          <t>(713) 224-1663</t>
        </is>
      </c>
      <c r="AB241" s="6" t="inlineStr"/>
      <c r="AC241" s="6" t="inlineStr">
        <is>
          <t>https://cameronmanagement.com/contact</t>
        </is>
      </c>
    </row>
    <row r="242">
      <c r="A242" s="12" t="inlineStr">
        <is>
          <t>Jim Lemming</t>
        </is>
      </c>
      <c r="B242" s="12" t="inlineStr">
        <is>
          <t>Partners in Building</t>
        </is>
      </c>
      <c r="C242" s="12" t="inlineStr">
        <is>
          <t>Chairman, formerly President and Chief Executive Officer until June 2026</t>
        </is>
      </c>
      <c r="D242" s="13" t="inlineStr">
        <is>
          <t>Creative project, hybrid job</t>
        </is>
      </c>
      <c r="E242" s="14" t="n">
        <v>1</v>
      </c>
      <c r="F242" s="12" t="inlineStr">
        <is>
          <t>Buys walls</t>
        </is>
      </c>
      <c r="G242" s="12" t="inlineStr">
        <is>
          <t>Houston, build on your lot</t>
        </is>
      </c>
      <c r="H242" s="12" t="inlineStr">
        <is>
          <t>More than 300 homes a year in Texas and Tennessee</t>
        </is>
      </c>
      <c r="I242" s="14" t="inlineStr">
        <is>
          <t>No</t>
        </is>
      </c>
      <c r="J242" s="15" t="inlineStr">
        <is>
          <t>Build on your lot, one-of-a-kind by its own description. There is no plan set to repeat.</t>
        </is>
      </c>
      <c r="K242" s="14" t="inlineStr">
        <is>
          <t>Yes</t>
        </is>
      </c>
      <c r="L242" s="15" t="inlineStr">
        <is>
          <t>More than 300 homes a year on the firm's own count, across Texas and Tennessee.</t>
        </is>
      </c>
      <c r="M242" s="14" t="inlineStr">
        <is>
          <t>No</t>
        </is>
      </c>
      <c r="N242" s="15" t="inlineStr">
        <is>
          <t>No method evidence.</t>
        </is>
      </c>
      <c r="O242" s="14" t="inlineStr">
        <is>
          <t>Partly</t>
        </is>
      </c>
      <c r="P242" s="10" t="inlineStr"/>
      <c r="Q242" s="12">
        <f>HYPERLINK("https://www.linkedin.com/search/results/people/?keywords=Jim%20Lemming%20Partners%20in%20Building","search")</f>
        <v/>
      </c>
      <c r="R242" s="16">
        <f>IF(P242="","ADD LINKEDIN","ok")</f>
        <v/>
      </c>
      <c r="S242" s="12" t="inlineStr">
        <is>
          <t>https://partnersinbuilding.com/</t>
        </is>
      </c>
      <c r="T242" s="15" t="inlineStr">
        <is>
          <t>More than 300 homes a year and a vice president of purchasing. Every house is one-of-a-kind. The presidency passed from Jim to Chris Lemming in June 2026.</t>
        </is>
      </c>
      <c r="U242" s="12" t="inlineStr"/>
      <c r="V242" s="15" t="inlineStr">
        <is>
          <t>HousingWire, 15 June 2026: President and CEO Jim Lemming will transition to chairman, and his son Chris Lemming will assume the presidency.</t>
        </is>
      </c>
      <c r="W242" s="12" t="inlineStr">
        <is>
          <t>https://www.housingwire.com/articles/partners-building-succession-plan/</t>
        </is>
      </c>
      <c r="X242" s="12" t="inlineStr"/>
      <c r="Y242" s="12" t="inlineStr"/>
      <c r="Z242" s="12" t="inlineStr"/>
      <c r="AA242" s="12" t="inlineStr">
        <is>
          <t>(713) 937-1121</t>
        </is>
      </c>
      <c r="AB242" s="12" t="inlineStr">
        <is>
          <t>Houston office, corporate</t>
        </is>
      </c>
      <c r="AC242" s="12" t="inlineStr">
        <is>
          <t>https://partnersinbuilding.com/</t>
        </is>
      </c>
    </row>
    <row r="243">
      <c r="A243" s="6" t="inlineStr">
        <is>
          <t>Dewey Hennessee</t>
        </is>
      </c>
      <c r="B243" s="6" t="inlineStr">
        <is>
          <t>Partners in Building</t>
        </is>
      </c>
      <c r="C243" s="6" t="inlineStr">
        <is>
          <t>Vice President of Purchasing</t>
        </is>
      </c>
      <c r="D243" s="7" t="inlineStr">
        <is>
          <t>Creative project, hybrid job</t>
        </is>
      </c>
      <c r="E243" s="8" t="n">
        <v>1</v>
      </c>
      <c r="F243" s="6" t="inlineStr">
        <is>
          <t>Buys walls</t>
        </is>
      </c>
      <c r="G243" s="6" t="inlineStr">
        <is>
          <t>Houston, build on your lot</t>
        </is>
      </c>
      <c r="H243" s="6" t="inlineStr">
        <is>
          <t>More than 300 homes a year in Texas and Tennessee</t>
        </is>
      </c>
      <c r="I243" s="8" t="inlineStr">
        <is>
          <t>No</t>
        </is>
      </c>
      <c r="J243" s="9" t="inlineStr">
        <is>
          <t>Build on your lot, one-of-a-kind by its own description. There is no plan set to repeat.</t>
        </is>
      </c>
      <c r="K243" s="8" t="inlineStr">
        <is>
          <t>Yes</t>
        </is>
      </c>
      <c r="L243" s="9" t="inlineStr">
        <is>
          <t>More than 300 homes a year on the firm's own count, across Texas and Tennessee.</t>
        </is>
      </c>
      <c r="M243" s="8" t="inlineStr">
        <is>
          <t>No</t>
        </is>
      </c>
      <c r="N243" s="9" t="inlineStr">
        <is>
          <t>No method evidence.</t>
        </is>
      </c>
      <c r="O243" s="8" t="inlineStr">
        <is>
          <t>Partly</t>
        </is>
      </c>
      <c r="P243" s="6" t="inlineStr">
        <is>
          <t>https://www.linkedin.com/in/dewey-hennessee-gmb-caps-cgp-95418531</t>
        </is>
      </c>
      <c r="Q243" s="6" t="inlineStr"/>
      <c r="R243" s="11">
        <f>IF(P243="","ADD LINKEDIN","ok")</f>
        <v/>
      </c>
      <c r="S243" s="6" t="inlineStr">
        <is>
          <t>https://partnersinbuilding.com/</t>
        </is>
      </c>
      <c r="T243" s="9" t="inlineStr">
        <is>
          <t>More than 300 homes a year and a vice president of purchasing. Every house is one-of-a-kind. The presidency passed from Jim to Chris Lemming in June 2026.</t>
        </is>
      </c>
      <c r="U243" s="6" t="inlineStr">
        <is>
          <t>YES</t>
        </is>
      </c>
      <c r="V243" s="9" t="inlineStr">
        <is>
          <t>Indexed title reads Dewey Hennessee GMB CAPS CGP, Partners in Building. The title on file comes from the first pass and is not repeated in the index entry.</t>
        </is>
      </c>
      <c r="W243" s="6" t="inlineStr"/>
      <c r="X243" s="6" t="inlineStr"/>
      <c r="Y243" s="6" t="inlineStr"/>
      <c r="Z243" s="6" t="inlineStr"/>
      <c r="AA243" s="6" t="inlineStr">
        <is>
          <t>(713) 937-1121</t>
        </is>
      </c>
      <c r="AB243" s="6" t="inlineStr">
        <is>
          <t>Houston office, corporate</t>
        </is>
      </c>
      <c r="AC243" s="6" t="inlineStr">
        <is>
          <t>https://partnersinbuilding.com/</t>
        </is>
      </c>
    </row>
    <row r="244">
      <c r="A244" s="12" t="inlineStr">
        <is>
          <t>Chris Lemming</t>
        </is>
      </c>
      <c r="B244" s="12" t="inlineStr">
        <is>
          <t>Partners in Building</t>
        </is>
      </c>
      <c r="C244" s="12" t="inlineStr">
        <is>
          <t>President, since June 2026</t>
        </is>
      </c>
      <c r="D244" s="13" t="inlineStr">
        <is>
          <t>Creative project, hybrid job</t>
        </is>
      </c>
      <c r="E244" s="14" t="n">
        <v>1</v>
      </c>
      <c r="F244" s="12" t="inlineStr">
        <is>
          <t>Buys walls</t>
        </is>
      </c>
      <c r="G244" s="12" t="inlineStr">
        <is>
          <t>Houston, build on your lot</t>
        </is>
      </c>
      <c r="H244" s="12" t="inlineStr">
        <is>
          <t>More than 300 homes a year in Texas and Tennessee</t>
        </is>
      </c>
      <c r="I244" s="14" t="inlineStr">
        <is>
          <t>No</t>
        </is>
      </c>
      <c r="J244" s="15" t="inlineStr">
        <is>
          <t>Build on your lot, one-of-a-kind by its own description. There is no plan set to repeat.</t>
        </is>
      </c>
      <c r="K244" s="14" t="inlineStr">
        <is>
          <t>Yes</t>
        </is>
      </c>
      <c r="L244" s="15" t="inlineStr">
        <is>
          <t>More than 300 homes a year on the firm's own count, across Texas and Tennessee.</t>
        </is>
      </c>
      <c r="M244" s="14" t="inlineStr">
        <is>
          <t>No</t>
        </is>
      </c>
      <c r="N244" s="15" t="inlineStr">
        <is>
          <t>No method evidence.</t>
        </is>
      </c>
      <c r="O244" s="14" t="inlineStr">
        <is>
          <t>Partly</t>
        </is>
      </c>
      <c r="P244" s="10" t="inlineStr"/>
      <c r="Q244" s="12">
        <f>HYPERLINK("https://www.linkedin.com/search/results/people/?keywords=Chris%20Lemming%20Partners%20in%20Building","search")</f>
        <v/>
      </c>
      <c r="R244" s="16">
        <f>IF(P244="","ADD LINKEDIN","ok")</f>
        <v/>
      </c>
      <c r="S244" s="12" t="inlineStr">
        <is>
          <t>https://partnersinbuilding.com/</t>
        </is>
      </c>
      <c r="T244" s="15" t="inlineStr">
        <is>
          <t>More than 300 homes a year and a vice president of purchasing. Every house is one-of-a-kind. The presidency passed from Jim to Chris Lemming in June 2026.</t>
        </is>
      </c>
      <c r="U244" s="12" t="inlineStr"/>
      <c r="V244" s="15" t="inlineStr">
        <is>
          <t>HousingWire, 15 June 2026: Chris Lemming assumes the presidency after an eighteen-month succession.</t>
        </is>
      </c>
      <c r="W244" s="12" t="inlineStr">
        <is>
          <t>https://www.housingwire.com/articles/partners-building-succession-plan/</t>
        </is>
      </c>
      <c r="X244" s="12" t="inlineStr"/>
      <c r="Y244" s="12" t="inlineStr"/>
      <c r="Z244" s="12" t="inlineStr"/>
      <c r="AA244" s="12" t="inlineStr">
        <is>
          <t>(713) 937-1121</t>
        </is>
      </c>
      <c r="AB244" s="12" t="inlineStr">
        <is>
          <t>Houston office, corporate</t>
        </is>
      </c>
      <c r="AC244" s="12" t="inlineStr">
        <is>
          <t>https://partnersinbuilding.com/</t>
        </is>
      </c>
    </row>
    <row r="245">
      <c r="A245" s="6" t="inlineStr">
        <is>
          <t>Dan Braun</t>
        </is>
      </c>
      <c r="B245" s="6" t="inlineStr">
        <is>
          <t>Braun Enterprises</t>
        </is>
      </c>
      <c r="C245" s="6" t="inlineStr">
        <is>
          <t>President</t>
        </is>
      </c>
      <c r="D245" s="7" t="inlineStr">
        <is>
          <t>Creative project, hybrid job</t>
        </is>
      </c>
      <c r="E245" s="8" t="n">
        <v>2</v>
      </c>
      <c r="F245" s="6" t="inlineStr">
        <is>
          <t>Buys walls</t>
        </is>
      </c>
      <c r="G245" s="6" t="inlineStr">
        <is>
          <t>Houston, San Antonio and Austin</t>
        </is>
      </c>
      <c r="H245" s="6" t="inlineStr">
        <is>
          <t>Ground-up retail in the Heights and small flex industrial</t>
        </is>
      </c>
      <c r="I245" s="8" t="inlineStr">
        <is>
          <t>Partly</t>
        </is>
      </c>
      <c r="J245" s="9" t="inlineStr">
        <is>
          <t>Small retail buildings repeated across three cities, which is more repetition than anyone else in this category.</t>
        </is>
      </c>
      <c r="K245" s="8" t="inlineStr">
        <is>
          <t>Partly</t>
        </is>
      </c>
      <c r="L245" s="9" t="inlineStr">
        <is>
          <t>Retail shells at 20,000 to 25,000 square feet. A printed wall competes with tilt-wall here, not with stick framing.</t>
        </is>
      </c>
      <c r="M245" s="8" t="inlineStr">
        <is>
          <t>No</t>
        </is>
      </c>
      <c r="N245" s="9" t="inlineStr">
        <is>
          <t>No method evidence on record.</t>
        </is>
      </c>
      <c r="O245" s="8" t="inlineStr">
        <is>
          <t>No</t>
        </is>
      </c>
      <c r="P245" s="6" t="inlineStr">
        <is>
          <t>https://www.linkedin.com/in/dan-braun-36451a15/</t>
        </is>
      </c>
      <c r="Q245" s="6" t="inlineStr"/>
      <c r="R245" s="11">
        <f>IF(P245="","ADD LINKEDIN","ok")</f>
        <v/>
      </c>
      <c r="S245" s="6" t="inlineStr">
        <is>
          <t>https://braunenterprises.com/</t>
        </is>
      </c>
      <c r="T245" s="9" t="inlineStr">
        <is>
          <t>Builds new rather than converting: small-format ground-up retail in the Heights.</t>
        </is>
      </c>
      <c r="U245" s="6" t="inlineStr"/>
      <c r="V245" s="9" t="inlineStr">
        <is>
          <t>Indexed title reads Dan Braun, President at Braun Enterprises. The firm's team page returns a 404, so this is the only link.</t>
        </is>
      </c>
      <c r="W245" s="6" t="inlineStr"/>
      <c r="X245" s="6" t="inlineStr"/>
      <c r="Y245" s="6" t="inlineStr"/>
      <c r="Z245" s="6" t="inlineStr"/>
      <c r="AA245" s="6" t="inlineStr">
        <is>
          <t>(713) 541-0066</t>
        </is>
      </c>
      <c r="AB245" s="6" t="inlineStr"/>
      <c r="AC245" s="6" t="inlineStr">
        <is>
          <t>https://braunenterprises.com/</t>
        </is>
      </c>
    </row>
    <row r="246">
      <c r="A246" s="12" t="inlineStr">
        <is>
          <t>Bradley Freels</t>
        </is>
      </c>
      <c r="B246" s="12" t="inlineStr">
        <is>
          <t>Midway</t>
        </is>
      </c>
      <c r="C246" s="12" t="inlineStr">
        <is>
          <t>Chairman and Chief Executive Officer</t>
        </is>
      </c>
      <c r="D246" s="13" t="inlineStr">
        <is>
          <t>Creative project, hybrid job</t>
        </is>
      </c>
      <c r="E246" s="14" t="n">
        <v>2</v>
      </c>
      <c r="F246" s="12" t="inlineStr">
        <is>
          <t>Buys walls</t>
        </is>
      </c>
      <c r="G246" s="12" t="inlineStr">
        <is>
          <t>Houston HQ / East End, Harris County</t>
        </is>
      </c>
      <c r="H246" s="12" t="inlineStr">
        <is>
          <t>East River: 150 acres, 60 city blocks</t>
        </is>
      </c>
      <c r="I246" s="14" t="inlineStr">
        <is>
          <t>Partly</t>
        </is>
      </c>
      <c r="J246" s="15" t="inlineStr">
        <is>
          <t>East River is 60 city blocks on one site, phased over decades.</t>
        </is>
      </c>
      <c r="K246" s="14" t="inlineStr">
        <is>
          <t>No</t>
        </is>
      </c>
      <c r="L246" s="15" t="inlineStr">
        <is>
          <t>Sixty blocks of mixed-use. The buildings are one-offs, whatever the acreage.</t>
        </is>
      </c>
      <c r="M246" s="14" t="inlineStr">
        <is>
          <t>Partly</t>
        </is>
      </c>
      <c r="N246" s="15" t="inlineStr">
        <is>
          <t>District-scale design ambition, but no specific method precedent was found.</t>
        </is>
      </c>
      <c r="O246" s="14" t="inlineStr">
        <is>
          <t>No</t>
        </is>
      </c>
      <c r="P246" s="10" t="inlineStr"/>
      <c r="Q246" s="12">
        <f>HYPERLINK("https://www.linkedin.com/search/results/people/?keywords=Bradley%20Freels%20Midway","search")</f>
        <v/>
      </c>
      <c r="R246" s="16">
        <f>IF(P246="","ADD LINKEDIN","ok")</f>
        <v/>
      </c>
      <c r="S246" s="12" t="inlineStr">
        <is>
          <t>https://www.midway.team/</t>
        </is>
      </c>
      <c r="T246" s="15" t="inlineStr">
        <is>
          <t>East River is 60 blocks on one site, and Midway kept sole development control after selling out of the Parkway joint venture in December 2024.</t>
        </is>
      </c>
      <c r="U246" s="12" t="inlineStr"/>
      <c r="V246" s="15" t="inlineStr">
        <is>
          <t>Chairman and Chief Executive Officer on Midway's own people page. He has no findable LinkedIn profile, so this is the citation.</t>
        </is>
      </c>
      <c r="W246" s="12" t="inlineStr">
        <is>
          <t>https://www.midway.team/our-people</t>
        </is>
      </c>
      <c r="X246" s="12" t="inlineStr">
        <is>
          <t>https://www.linkedin.com/company/midway</t>
        </is>
      </c>
      <c r="Y246" s="12" t="inlineStr">
        <is>
          <t>https://www.midway.team/our-people</t>
        </is>
      </c>
      <c r="Z246" s="12" t="inlineStr"/>
      <c r="AA246" s="12" t="inlineStr">
        <is>
          <t>(713) 629-5200</t>
        </is>
      </c>
      <c r="AB246" s="12" t="inlineStr"/>
      <c r="AC246" s="12" t="inlineStr">
        <is>
          <t>https://www.midway.team/contact</t>
        </is>
      </c>
    </row>
    <row r="247">
      <c r="A247" s="6" t="inlineStr">
        <is>
          <t>David Hightower</t>
        </is>
      </c>
      <c r="B247" s="6" t="inlineStr">
        <is>
          <t>Midway</t>
        </is>
      </c>
      <c r="C247" s="6" t="inlineStr">
        <is>
          <t>Executive Vice President</t>
        </is>
      </c>
      <c r="D247" s="7" t="inlineStr">
        <is>
          <t>Creative project, hybrid job</t>
        </is>
      </c>
      <c r="E247" s="8" t="n">
        <v>2</v>
      </c>
      <c r="F247" s="6" t="inlineStr">
        <is>
          <t>Buys walls</t>
        </is>
      </c>
      <c r="G247" s="6" t="inlineStr">
        <is>
          <t>Houston HQ / East End, Harris County</t>
        </is>
      </c>
      <c r="H247" s="6" t="inlineStr">
        <is>
          <t>East River: 150 acres, 60 city blocks</t>
        </is>
      </c>
      <c r="I247" s="8" t="inlineStr">
        <is>
          <t>Partly</t>
        </is>
      </c>
      <c r="J247" s="9" t="inlineStr">
        <is>
          <t>East River is 60 city blocks on one site, phased over decades.</t>
        </is>
      </c>
      <c r="K247" s="8" t="inlineStr">
        <is>
          <t>No</t>
        </is>
      </c>
      <c r="L247" s="9" t="inlineStr">
        <is>
          <t>Sixty blocks of mixed-use. The buildings are one-offs, whatever the acreage.</t>
        </is>
      </c>
      <c r="M247" s="8" t="inlineStr">
        <is>
          <t>Partly</t>
        </is>
      </c>
      <c r="N247" s="9" t="inlineStr">
        <is>
          <t>District-scale design ambition, but no specific method precedent was found.</t>
        </is>
      </c>
      <c r="O247" s="8" t="inlineStr">
        <is>
          <t>No</t>
        </is>
      </c>
      <c r="P247" s="6" t="inlineStr">
        <is>
          <t>https://www.linkedin.com/in/dahightower/</t>
        </is>
      </c>
      <c r="Q247" s="6" t="inlineStr"/>
      <c r="R247" s="11">
        <f>IF(P247="","ADD LINKEDIN","ok")</f>
        <v/>
      </c>
      <c r="S247" s="6" t="inlineStr">
        <is>
          <t>https://www.midway.team/</t>
        </is>
      </c>
      <c r="T247" s="9" t="inlineStr">
        <is>
          <t>East River is 60 blocks on one site, and Midway kept sole development control after selling out of the Parkway joint venture in December 2024.</t>
        </is>
      </c>
      <c r="U247" s="6" t="inlineStr"/>
      <c r="V247" s="9" t="inlineStr">
        <is>
          <t>Executive Vice President, Development at Midway Companies. Houston, Texas.</t>
        </is>
      </c>
      <c r="W247" s="6" t="inlineStr"/>
      <c r="X247" s="6" t="inlineStr">
        <is>
          <t>https://www.linkedin.com/company/midway</t>
        </is>
      </c>
      <c r="Y247" s="6" t="inlineStr">
        <is>
          <t>https://www.midway.team/our-people</t>
        </is>
      </c>
      <c r="Z247" s="6" t="inlineStr"/>
      <c r="AA247" s="6" t="inlineStr">
        <is>
          <t>(713) 629-5200</t>
        </is>
      </c>
      <c r="AB247" s="6" t="inlineStr"/>
      <c r="AC247" s="6" t="inlineStr">
        <is>
          <t>https://www.midway.team/contact</t>
        </is>
      </c>
    </row>
    <row r="248">
      <c r="A248" s="12" t="inlineStr">
        <is>
          <t>Clark Thompson</t>
        </is>
      </c>
      <c r="B248" s="12" t="inlineStr">
        <is>
          <t>Midway</t>
        </is>
      </c>
      <c r="C248" s="12" t="inlineStr">
        <is>
          <t>Executive Vice President and General Counsel</t>
        </is>
      </c>
      <c r="D248" s="13" t="inlineStr">
        <is>
          <t>Creative project, hybrid job</t>
        </is>
      </c>
      <c r="E248" s="14" t="n">
        <v>2</v>
      </c>
      <c r="F248" s="12" t="inlineStr">
        <is>
          <t>Buys walls</t>
        </is>
      </c>
      <c r="G248" s="12" t="inlineStr">
        <is>
          <t>Houston HQ / East End, Harris County</t>
        </is>
      </c>
      <c r="H248" s="12" t="inlineStr">
        <is>
          <t>East River: 150 acres, 60 city blocks</t>
        </is>
      </c>
      <c r="I248" s="14" t="inlineStr">
        <is>
          <t>Partly</t>
        </is>
      </c>
      <c r="J248" s="15" t="inlineStr">
        <is>
          <t>East River is 60 city blocks on one site, phased over decades.</t>
        </is>
      </c>
      <c r="K248" s="14" t="inlineStr">
        <is>
          <t>No</t>
        </is>
      </c>
      <c r="L248" s="15" t="inlineStr">
        <is>
          <t>Sixty blocks of mixed-use. The buildings are one-offs, whatever the acreage.</t>
        </is>
      </c>
      <c r="M248" s="14" t="inlineStr">
        <is>
          <t>Partly</t>
        </is>
      </c>
      <c r="N248" s="15" t="inlineStr">
        <is>
          <t>District-scale design ambition, but no specific method precedent was found.</t>
        </is>
      </c>
      <c r="O248" s="14" t="inlineStr">
        <is>
          <t>No</t>
        </is>
      </c>
      <c r="P248" s="10" t="inlineStr"/>
      <c r="Q248" s="12">
        <f>HYPERLINK("https://www.linkedin.com/search/results/people/?keywords=Clark%20Thompson%20Midway","search")</f>
        <v/>
      </c>
      <c r="R248" s="16">
        <f>IF(P248="","ADD LINKEDIN","ok")</f>
        <v/>
      </c>
      <c r="S248" s="12" t="inlineStr">
        <is>
          <t>https://www.midway.team/</t>
        </is>
      </c>
      <c r="T248" s="15" t="inlineStr">
        <is>
          <t>East River is 60 blocks on one site, and Midway kept sole development control after selling out of the Parkway joint venture in December 2024.</t>
        </is>
      </c>
      <c r="U248" s="12" t="inlineStr"/>
      <c r="V248" s="15" t="inlineStr"/>
      <c r="W248" s="12" t="inlineStr">
        <is>
          <t>https://www.midway.team/our-people</t>
        </is>
      </c>
      <c r="X248" s="12" t="inlineStr">
        <is>
          <t>https://www.linkedin.com/company/midway</t>
        </is>
      </c>
      <c r="Y248" s="12" t="inlineStr">
        <is>
          <t>https://www.midway.team/our-people</t>
        </is>
      </c>
      <c r="Z248" s="12" t="inlineStr"/>
      <c r="AA248" s="12" t="inlineStr">
        <is>
          <t>(713) 629-5200</t>
        </is>
      </c>
      <c r="AB248" s="12" t="inlineStr"/>
      <c r="AC248" s="12" t="inlineStr">
        <is>
          <t>https://www.midway.team/contact</t>
        </is>
      </c>
    </row>
    <row r="249">
      <c r="A249" s="6" t="inlineStr">
        <is>
          <t>Rob Sigler</t>
        </is>
      </c>
      <c r="B249" s="6" t="inlineStr">
        <is>
          <t>Midway</t>
        </is>
      </c>
      <c r="C249" s="6" t="inlineStr">
        <is>
          <t>Executive Vice President, Construction, Investment and Development, Midway</t>
        </is>
      </c>
      <c r="D249" s="7" t="inlineStr">
        <is>
          <t>Creative project, hybrid job</t>
        </is>
      </c>
      <c r="E249" s="8" t="n">
        <v>2</v>
      </c>
      <c r="F249" s="6" t="inlineStr">
        <is>
          <t>Buys walls</t>
        </is>
      </c>
      <c r="G249" s="6" t="inlineStr">
        <is>
          <t>Houston HQ / East End, Harris County</t>
        </is>
      </c>
      <c r="H249" s="6" t="inlineStr">
        <is>
          <t>East River: 150 acres, 60 city blocks</t>
        </is>
      </c>
      <c r="I249" s="8" t="inlineStr">
        <is>
          <t>Partly</t>
        </is>
      </c>
      <c r="J249" s="9" t="inlineStr">
        <is>
          <t>East River is 60 city blocks on one site, phased over decades.</t>
        </is>
      </c>
      <c r="K249" s="8" t="inlineStr">
        <is>
          <t>No</t>
        </is>
      </c>
      <c r="L249" s="9" t="inlineStr">
        <is>
          <t>Sixty blocks of mixed-use. The buildings are one-offs, whatever the acreage.</t>
        </is>
      </c>
      <c r="M249" s="8" t="inlineStr">
        <is>
          <t>Partly</t>
        </is>
      </c>
      <c r="N249" s="9" t="inlineStr">
        <is>
          <t>District-scale design ambition, but no specific method precedent was found.</t>
        </is>
      </c>
      <c r="O249" s="8" t="inlineStr">
        <is>
          <t>No</t>
        </is>
      </c>
      <c r="P249" s="6" t="inlineStr">
        <is>
          <t>https://www.linkedin.com/in/robsigler/</t>
        </is>
      </c>
      <c r="Q249" s="6" t="inlineStr"/>
      <c r="R249" s="11">
        <f>IF(P249="","ADD LINKEDIN","ok")</f>
        <v/>
      </c>
      <c r="S249" s="6" t="inlineStr">
        <is>
          <t>https://www.midway.team/</t>
        </is>
      </c>
      <c r="T249" s="9" t="inlineStr">
        <is>
          <t>East River is 60 blocks on one site, and Midway kept sole development control after selling out of the Parkway joint venture in December 2024.</t>
        </is>
      </c>
      <c r="U249" s="6" t="inlineStr">
        <is>
          <t>YES</t>
        </is>
      </c>
      <c r="V249"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249" s="6" t="inlineStr"/>
      <c r="X249" s="6" t="inlineStr">
        <is>
          <t>https://www.linkedin.com/company/midway</t>
        </is>
      </c>
      <c r="Y249" s="6" t="inlineStr">
        <is>
          <t>https://www.midway.team/our-people</t>
        </is>
      </c>
      <c r="Z249" s="6" t="inlineStr"/>
      <c r="AA249" s="6" t="inlineStr">
        <is>
          <t>(713) 629-5200</t>
        </is>
      </c>
      <c r="AB249" s="6" t="inlineStr"/>
      <c r="AC249" s="6" t="inlineStr">
        <is>
          <t>https://www.midway.team/contact</t>
        </is>
      </c>
    </row>
    <row r="250">
      <c r="A250" s="12" t="inlineStr">
        <is>
          <t>Anna Deans</t>
        </is>
      </c>
      <c r="B250" s="12" t="inlineStr">
        <is>
          <t>Midway</t>
        </is>
      </c>
      <c r="C250" s="12" t="inlineStr">
        <is>
          <t>Executive Vice President, Midway</t>
        </is>
      </c>
      <c r="D250" s="13" t="inlineStr">
        <is>
          <t>Creative project, hybrid job</t>
        </is>
      </c>
      <c r="E250" s="14" t="n">
        <v>2</v>
      </c>
      <c r="F250" s="12" t="inlineStr">
        <is>
          <t>Buys walls</t>
        </is>
      </c>
      <c r="G250" s="12" t="inlineStr">
        <is>
          <t>Houston HQ / East End, Harris County</t>
        </is>
      </c>
      <c r="H250" s="12" t="inlineStr">
        <is>
          <t>East River: 150 acres, 60 city blocks</t>
        </is>
      </c>
      <c r="I250" s="14" t="inlineStr">
        <is>
          <t>Partly</t>
        </is>
      </c>
      <c r="J250" s="15" t="inlineStr">
        <is>
          <t>East River is 60 city blocks on one site, phased over decades.</t>
        </is>
      </c>
      <c r="K250" s="14" t="inlineStr">
        <is>
          <t>No</t>
        </is>
      </c>
      <c r="L250" s="15" t="inlineStr">
        <is>
          <t>Sixty blocks of mixed-use. The buildings are one-offs, whatever the acreage.</t>
        </is>
      </c>
      <c r="M250" s="14" t="inlineStr">
        <is>
          <t>Partly</t>
        </is>
      </c>
      <c r="N250" s="15" t="inlineStr">
        <is>
          <t>District-scale design ambition, but no specific method precedent was found.</t>
        </is>
      </c>
      <c r="O250" s="14" t="inlineStr">
        <is>
          <t>No</t>
        </is>
      </c>
      <c r="P250" s="6" t="inlineStr">
        <is>
          <t>https://www.linkedin.com/in/anna-deans-bbbab03/</t>
        </is>
      </c>
      <c r="Q250" s="12" t="inlineStr"/>
      <c r="R250" s="16">
        <f>IF(P250="","ADD LINKEDIN","ok")</f>
        <v/>
      </c>
      <c r="S250" s="12" t="inlineStr">
        <is>
          <t>https://www.midway.team/</t>
        </is>
      </c>
      <c r="T250" s="15" t="inlineStr">
        <is>
          <t>East River is 60 blocks on one site, and Midway kept sole development control after selling out of the Parkway joint venture in December 2024.</t>
        </is>
      </c>
      <c r="U250" s="12" t="inlineStr"/>
      <c r="V250" s="15" t="inlineStr"/>
      <c r="W250" s="12" t="inlineStr"/>
      <c r="X250" s="12" t="inlineStr">
        <is>
          <t>https://www.linkedin.com/company/midway</t>
        </is>
      </c>
      <c r="Y250" s="12" t="inlineStr">
        <is>
          <t>https://www.midway.team/our-people</t>
        </is>
      </c>
      <c r="Z250" s="12" t="inlineStr"/>
      <c r="AA250" s="12" t="inlineStr">
        <is>
          <t>(713) 629-5200</t>
        </is>
      </c>
      <c r="AB250" s="12" t="inlineStr"/>
      <c r="AC250" s="12" t="inlineStr">
        <is>
          <t>https://www.midway.team/contact</t>
        </is>
      </c>
    </row>
    <row r="251">
      <c r="A251" s="6" t="inlineStr">
        <is>
          <t>Paul Coonrod</t>
        </is>
      </c>
      <c r="B251" s="6" t="inlineStr">
        <is>
          <t>Pagewood</t>
        </is>
      </c>
      <c r="C251" s="6" t="inlineStr">
        <is>
          <t>Founder and Managing Principal</t>
        </is>
      </c>
      <c r="D251" s="7" t="inlineStr">
        <is>
          <t>Creative project, hybrid job</t>
        </is>
      </c>
      <c r="E251" s="8" t="n">
        <v>1</v>
      </c>
      <c r="F251" s="6" t="inlineStr">
        <is>
          <t>Buys walls</t>
        </is>
      </c>
      <c r="G251" s="6" t="inlineStr">
        <is>
          <t>Houston</t>
        </is>
      </c>
      <c r="H251" s="6" t="inlineStr">
        <is>
          <t>East Blocks phase one, 30,000 sf across two warehouses</t>
        </is>
      </c>
      <c r="I251" s="8" t="inlineStr">
        <is>
          <t>Partly</t>
        </is>
      </c>
      <c r="J251" s="9" t="inlineStr">
        <is>
          <t>Ten blocks under one plan is concentration, but every building is its own problem.</t>
        </is>
      </c>
      <c r="K251" s="8" t="inlineStr">
        <is>
          <t>No</t>
        </is>
      </c>
      <c r="L251" s="9" t="inlineStr">
        <is>
          <t>Phase one is two warehouses of the same size, done twice. The rest of the district is one-offs, and the build-to-rent line is not in Houston.</t>
        </is>
      </c>
      <c r="M251" s="8" t="inlineStr">
        <is>
          <t>No</t>
        </is>
      </c>
      <c r="N251" s="9" t="inlineStr">
        <is>
          <t>It chose to keep eighty-year-old warehouses that would have been cheaper to demolish. The partner said so on the record.</t>
        </is>
      </c>
      <c r="O251" s="8" t="inlineStr">
        <is>
          <t>Partly</t>
        </is>
      </c>
      <c r="P251" s="10" t="inlineStr"/>
      <c r="Q251" s="6">
        <f>HYPERLINK("https://www.linkedin.com/search/results/people/?keywords=Paul%20Coonrod%20Pagewood","search")</f>
        <v/>
      </c>
      <c r="R251" s="11">
        <f>IF(P251="","ADD LINKEDIN","ok")</f>
        <v/>
      </c>
      <c r="S251" s="6" t="inlineStr">
        <is>
          <t>https://www.pagewood.com/</t>
        </is>
      </c>
      <c r="T251" s="9" t="inlineStr">
        <is>
          <t>Ten contiguous EaDo blocks, 513,000 square feet in phase one, Gensler on design and SWA on landscape. It builds ground-up industrial elsewhere, so it is not conversion-only.</t>
        </is>
      </c>
      <c r="U251" s="6" t="inlineStr"/>
      <c r="V251" s="9" t="inlineStr"/>
      <c r="W251" s="6" t="inlineStr">
        <is>
          <t>https://www.pagewood.com/team</t>
        </is>
      </c>
      <c r="X251" s="6" t="inlineStr"/>
      <c r="Y251" s="6" t="inlineStr"/>
      <c r="Z251" s="6" t="inlineStr"/>
      <c r="AA251" s="6" t="inlineStr">
        <is>
          <t>(713) 804-4000</t>
        </is>
      </c>
      <c r="AB251" s="6" t="inlineStr"/>
      <c r="AC251" s="6" t="inlineStr">
        <is>
          <t>https://www.pagewood.com/</t>
        </is>
      </c>
    </row>
    <row r="252">
      <c r="A252" s="12" t="inlineStr">
        <is>
          <t>Mat Volz</t>
        </is>
      </c>
      <c r="B252" s="12" t="inlineStr">
        <is>
          <t>Pagewood</t>
        </is>
      </c>
      <c r="C252" s="12" t="inlineStr">
        <is>
          <t>Managing Principal</t>
        </is>
      </c>
      <c r="D252" s="13" t="inlineStr">
        <is>
          <t>Creative project, hybrid job</t>
        </is>
      </c>
      <c r="E252" s="14" t="n">
        <v>1</v>
      </c>
      <c r="F252" s="12" t="inlineStr">
        <is>
          <t>Buys walls</t>
        </is>
      </c>
      <c r="G252" s="12" t="inlineStr">
        <is>
          <t>Houston</t>
        </is>
      </c>
      <c r="H252" s="12" t="inlineStr">
        <is>
          <t>East Blocks phase one, 30,000 sf across two warehouses</t>
        </is>
      </c>
      <c r="I252" s="14" t="inlineStr">
        <is>
          <t>Partly</t>
        </is>
      </c>
      <c r="J252" s="15" t="inlineStr">
        <is>
          <t>Ten blocks under one plan is concentration, but every building is its own problem.</t>
        </is>
      </c>
      <c r="K252" s="14" t="inlineStr">
        <is>
          <t>No</t>
        </is>
      </c>
      <c r="L252" s="15" t="inlineStr">
        <is>
          <t>Phase one is two warehouses of the same size, done twice. The rest of the district is one-offs, and the build-to-rent line is not in Houston.</t>
        </is>
      </c>
      <c r="M252" s="14" t="inlineStr">
        <is>
          <t>No</t>
        </is>
      </c>
      <c r="N252" s="15" t="inlineStr">
        <is>
          <t>It chose to keep eighty-year-old warehouses that would have been cheaper to demolish. The partner said so on the record.</t>
        </is>
      </c>
      <c r="O252" s="14" t="inlineStr">
        <is>
          <t>Partly</t>
        </is>
      </c>
      <c r="P252" s="6" t="inlineStr">
        <is>
          <t>https://www.linkedin.com/in/mathew-volz-14684850/</t>
        </is>
      </c>
      <c r="Q252" s="12" t="inlineStr"/>
      <c r="R252" s="16">
        <f>IF(P252="","ADD LINKEDIN","ok")</f>
        <v/>
      </c>
      <c r="S252" s="12" t="inlineStr">
        <is>
          <t>https://www.pagewood.com/</t>
        </is>
      </c>
      <c r="T252" s="15" t="inlineStr">
        <is>
          <t>Ten contiguous EaDo blocks, 513,000 square feet in phase one, Gensler on design and SWA on landscape. It builds ground-up industrial elsewhere, so it is not conversion-only.</t>
        </is>
      </c>
      <c r="U252" s="12" t="inlineStr"/>
      <c r="V252" s="15" t="inlineStr">
        <is>
          <t>Indexed title reads Mathew Volz, Managing Principal at Pagewood. The firm's team page spells the name Mat.</t>
        </is>
      </c>
      <c r="W252" s="12" t="inlineStr">
        <is>
          <t>https://www.pagewood.com/team</t>
        </is>
      </c>
      <c r="X252" s="12" t="inlineStr"/>
      <c r="Y252" s="12" t="inlineStr"/>
      <c r="Z252" s="12" t="inlineStr"/>
      <c r="AA252" s="12" t="inlineStr">
        <is>
          <t>(713) 804-4000</t>
        </is>
      </c>
      <c r="AB252" s="12" t="inlineStr"/>
      <c r="AC252" s="12" t="inlineStr">
        <is>
          <t>https://www.pagewood.com/</t>
        </is>
      </c>
    </row>
    <row r="253">
      <c r="A253" s="6" t="inlineStr">
        <is>
          <t>Preston Luster</t>
        </is>
      </c>
      <c r="B253" s="6" t="inlineStr">
        <is>
          <t>Pagewood</t>
        </is>
      </c>
      <c r="C253" s="6" t="inlineStr">
        <is>
          <t>Senior Construction Manager</t>
        </is>
      </c>
      <c r="D253" s="7" t="inlineStr">
        <is>
          <t>Creative project, hybrid job</t>
        </is>
      </c>
      <c r="E253" s="8" t="n">
        <v>1</v>
      </c>
      <c r="F253" s="6" t="inlineStr">
        <is>
          <t>Buys walls</t>
        </is>
      </c>
      <c r="G253" s="6" t="inlineStr">
        <is>
          <t>Houston</t>
        </is>
      </c>
      <c r="H253" s="6" t="inlineStr">
        <is>
          <t>East Blocks phase one, 30,000 sf across two warehouses</t>
        </is>
      </c>
      <c r="I253" s="8" t="inlineStr">
        <is>
          <t>Partly</t>
        </is>
      </c>
      <c r="J253" s="9" t="inlineStr">
        <is>
          <t>Ten blocks under one plan is concentration, but every building is its own problem.</t>
        </is>
      </c>
      <c r="K253" s="8" t="inlineStr">
        <is>
          <t>No</t>
        </is>
      </c>
      <c r="L253" s="9" t="inlineStr">
        <is>
          <t>Phase one is two warehouses of the same size, done twice. The rest of the district is one-offs, and the build-to-rent line is not in Houston.</t>
        </is>
      </c>
      <c r="M253" s="8" t="inlineStr">
        <is>
          <t>No</t>
        </is>
      </c>
      <c r="N253" s="9" t="inlineStr">
        <is>
          <t>It chose to keep eighty-year-old warehouses that would have been cheaper to demolish. The partner said so on the record.</t>
        </is>
      </c>
      <c r="O253" s="8" t="inlineStr">
        <is>
          <t>Partly</t>
        </is>
      </c>
      <c r="P253" s="10" t="inlineStr"/>
      <c r="Q253" s="6">
        <f>HYPERLINK("https://www.linkedin.com/search/results/people/?keywords=Preston%20Luster%20Pagewood","search")</f>
        <v/>
      </c>
      <c r="R253" s="11">
        <f>IF(P253="","ADD LINKEDIN","ok")</f>
        <v/>
      </c>
      <c r="S253" s="6" t="inlineStr">
        <is>
          <t>https://www.pagewood.com/</t>
        </is>
      </c>
      <c r="T253" s="9" t="inlineStr">
        <is>
          <t>Ten contiguous EaDo blocks, 513,000 square feet in phase one, Gensler on design and SWA on landscape. It builds ground-up industrial elsewhere, so it is not conversion-only.</t>
        </is>
      </c>
      <c r="U253" s="6" t="inlineStr"/>
      <c r="V253" s="9" t="inlineStr"/>
      <c r="W253" s="6" t="inlineStr">
        <is>
          <t>https://www.pagewood.com/team</t>
        </is>
      </c>
      <c r="X253" s="6" t="inlineStr"/>
      <c r="Y253" s="6" t="inlineStr"/>
      <c r="Z253" s="6" t="inlineStr"/>
      <c r="AA253" s="6" t="inlineStr">
        <is>
          <t>(713) 804-4000</t>
        </is>
      </c>
      <c r="AB253" s="6" t="inlineStr"/>
      <c r="AC253" s="6" t="inlineStr">
        <is>
          <t>https://www.pagewood.com/</t>
        </is>
      </c>
    </row>
    <row r="254">
      <c r="A254" s="12" t="inlineStr">
        <is>
          <t>David Kelley</t>
        </is>
      </c>
      <c r="B254" s="12" t="inlineStr">
        <is>
          <t>Concept Neighborhood</t>
        </is>
      </c>
      <c r="C254" s="12" t="inlineStr">
        <is>
          <t>Managing Partner, Projects and Finance</t>
        </is>
      </c>
      <c r="D254" s="13" t="inlineStr">
        <is>
          <t>Creative project, hybrid job</t>
        </is>
      </c>
      <c r="E254" s="14" t="n">
        <v>1</v>
      </c>
      <c r="F254" s="12" t="inlineStr">
        <is>
          <t>Buys walls</t>
        </is>
      </c>
      <c r="G254" s="12" t="inlineStr">
        <is>
          <t>East End, Harris</t>
        </is>
      </c>
      <c r="H254" s="12" t="inlineStr">
        <is>
          <t>17 acres at The Plant, Second Ward</t>
        </is>
      </c>
      <c r="I254" s="14" t="inlineStr">
        <is>
          <t>No</t>
        </is>
      </c>
      <c r="J254" s="15" t="inlineStr">
        <is>
          <t>Four blocks of eighty-year-old industrial buildings, each one different. There is no plan to repeat.</t>
        </is>
      </c>
      <c r="K254" s="14" t="inlineStr">
        <is>
          <t>No</t>
        </is>
      </c>
      <c r="L254" s="15" t="inlineStr">
        <is>
          <t>Conversion work leaves little new wall. A printed element would have to be an addition rather than the building.</t>
        </is>
      </c>
      <c r="M254" s="14" t="inlineStr">
        <is>
          <t>Partly</t>
        </is>
      </c>
      <c r="N254" s="15" t="inlineStr">
        <is>
          <t>They restored an 1890s building to open Axelrad and took a National Register industrial basilica on at The Factory. This is a team that chooses the harder build on purpose.</t>
        </is>
      </c>
      <c r="O254" s="14" t="inlineStr">
        <is>
          <t>No</t>
        </is>
      </c>
      <c r="P254" s="6" t="inlineStr">
        <is>
          <t>https://www.linkedin.com/in/david-kelley-275240105/</t>
        </is>
      </c>
      <c r="Q254" s="12" t="inlineStr"/>
      <c r="R254" s="16">
        <f>IF(P254="","ADD LINKEDIN","ok")</f>
        <v/>
      </c>
      <c r="S254" s="12" t="inlineStr">
        <is>
          <t>https://www.conceptneighborhood.com/</t>
        </is>
      </c>
      <c r="T254" s="15" t="inlineStr">
        <is>
          <t>The only firm screened whose founders operate hospitality themselves rather than leasing to operators. Seventeen acres of industrial conversion in the East End.</t>
        </is>
      </c>
      <c r="U254" s="12" t="inlineStr"/>
      <c r="V254" s="15" t="inlineStr"/>
      <c r="W254" s="12" t="inlineStr">
        <is>
          <t>https://www.conceptneighborhood.com/team</t>
        </is>
      </c>
      <c r="X254" s="12" t="inlineStr"/>
      <c r="Y254" s="12" t="inlineStr"/>
      <c r="Z254" s="12" t="inlineStr"/>
      <c r="AA254" s="12" t="inlineStr">
        <is>
          <t>(713) 821-7052</t>
        </is>
      </c>
      <c r="AB254" s="12" t="inlineStr"/>
      <c r="AC254" s="12" t="inlineStr">
        <is>
          <t>https://www.conceptneighborhood.com/</t>
        </is>
      </c>
    </row>
    <row r="255">
      <c r="A255" s="6" t="inlineStr">
        <is>
          <t>Jeffrey Kaplan</t>
        </is>
      </c>
      <c r="B255" s="6" t="inlineStr">
        <is>
          <t>Concept Neighborhood</t>
        </is>
      </c>
      <c r="C255" s="6" t="inlineStr">
        <is>
          <t>Managing Partner, Brokerage and Placemaking, co-founder of Axelrad</t>
        </is>
      </c>
      <c r="D255" s="7" t="inlineStr">
        <is>
          <t>Creative project, hybrid job</t>
        </is>
      </c>
      <c r="E255" s="8" t="n">
        <v>1</v>
      </c>
      <c r="F255" s="6" t="inlineStr">
        <is>
          <t>Buys walls</t>
        </is>
      </c>
      <c r="G255" s="6" t="inlineStr">
        <is>
          <t>East End, Harris</t>
        </is>
      </c>
      <c r="H255" s="6" t="inlineStr">
        <is>
          <t>17 acres at The Plant, Second Ward</t>
        </is>
      </c>
      <c r="I255" s="8" t="inlineStr">
        <is>
          <t>No</t>
        </is>
      </c>
      <c r="J255" s="9" t="inlineStr">
        <is>
          <t>Four blocks of eighty-year-old industrial buildings, each one different. There is no plan to repeat.</t>
        </is>
      </c>
      <c r="K255" s="8" t="inlineStr">
        <is>
          <t>No</t>
        </is>
      </c>
      <c r="L255" s="9" t="inlineStr">
        <is>
          <t>Conversion work leaves little new wall. A printed element would have to be an addition rather than the building.</t>
        </is>
      </c>
      <c r="M255" s="8" t="inlineStr">
        <is>
          <t>Partly</t>
        </is>
      </c>
      <c r="N255" s="9" t="inlineStr">
        <is>
          <t>They restored an 1890s building to open Axelrad and took a National Register industrial basilica on at The Factory. This is a team that chooses the harder build on purpose.</t>
        </is>
      </c>
      <c r="O255" s="8" t="inlineStr">
        <is>
          <t>No</t>
        </is>
      </c>
      <c r="P255" s="6" t="inlineStr">
        <is>
          <t>https://www.linkedin.com/in/jeffrey-kaplan-71190150/</t>
        </is>
      </c>
      <c r="Q255" s="6" t="inlineStr"/>
      <c r="R255" s="11">
        <f>IF(P255="","ADD LINKEDIN","ok")</f>
        <v/>
      </c>
      <c r="S255" s="6" t="inlineStr">
        <is>
          <t>https://www.conceptneighborhood.com/</t>
        </is>
      </c>
      <c r="T255" s="9" t="inlineStr">
        <is>
          <t>The only firm screened whose founders operate hospitality themselves rather than leasing to operators. Seventeen acres of industrial conversion in the East End.</t>
        </is>
      </c>
      <c r="U255" s="6" t="inlineStr"/>
      <c r="V255" s="9" t="inlineStr"/>
      <c r="W255" s="6" t="inlineStr">
        <is>
          <t>https://www.conceptneighborhood.com/team</t>
        </is>
      </c>
      <c r="X255" s="6" t="inlineStr"/>
      <c r="Y255" s="6" t="inlineStr"/>
      <c r="Z255" s="6" t="inlineStr"/>
      <c r="AA255" s="6" t="inlineStr">
        <is>
          <t>(713) 821-7052</t>
        </is>
      </c>
      <c r="AB255" s="6" t="inlineStr"/>
      <c r="AC255" s="6" t="inlineStr">
        <is>
          <t>https://www.conceptneighborhood.com/</t>
        </is>
      </c>
    </row>
    <row r="256">
      <c r="A256" s="12" t="inlineStr">
        <is>
          <t>Monte Large</t>
        </is>
      </c>
      <c r="B256" s="12" t="inlineStr">
        <is>
          <t>Concept Neighborhood</t>
        </is>
      </c>
      <c r="C256" s="12" t="inlineStr">
        <is>
          <t>Partner, Design and Placemaking</t>
        </is>
      </c>
      <c r="D256" s="13" t="inlineStr">
        <is>
          <t>Creative project, hybrid job</t>
        </is>
      </c>
      <c r="E256" s="14" t="n">
        <v>1</v>
      </c>
      <c r="F256" s="12" t="inlineStr">
        <is>
          <t>Buys walls</t>
        </is>
      </c>
      <c r="G256" s="12" t="inlineStr">
        <is>
          <t>East End, Harris</t>
        </is>
      </c>
      <c r="H256" s="12" t="inlineStr">
        <is>
          <t>17 acres at The Plant, Second Ward</t>
        </is>
      </c>
      <c r="I256" s="14" t="inlineStr">
        <is>
          <t>No</t>
        </is>
      </c>
      <c r="J256" s="15" t="inlineStr">
        <is>
          <t>Four blocks of eighty-year-old industrial buildings, each one different. There is no plan to repeat.</t>
        </is>
      </c>
      <c r="K256" s="14" t="inlineStr">
        <is>
          <t>No</t>
        </is>
      </c>
      <c r="L256" s="15" t="inlineStr">
        <is>
          <t>Conversion work leaves little new wall. A printed element would have to be an addition rather than the building.</t>
        </is>
      </c>
      <c r="M256" s="14" t="inlineStr">
        <is>
          <t>Partly</t>
        </is>
      </c>
      <c r="N256" s="15" t="inlineStr">
        <is>
          <t>They restored an 1890s building to open Axelrad and took a National Register industrial basilica on at The Factory. This is a team that chooses the harder build on purpose.</t>
        </is>
      </c>
      <c r="O256" s="14" t="inlineStr">
        <is>
          <t>No</t>
        </is>
      </c>
      <c r="P256" s="6" t="inlineStr">
        <is>
          <t>https://www.linkedin.com/in/montelarge/</t>
        </is>
      </c>
      <c r="Q256" s="12" t="inlineStr"/>
      <c r="R256" s="16">
        <f>IF(P256="","ADD LINKEDIN","ok")</f>
        <v/>
      </c>
      <c r="S256" s="12" t="inlineStr">
        <is>
          <t>https://www.conceptneighborhood.com/</t>
        </is>
      </c>
      <c r="T256" s="15" t="inlineStr">
        <is>
          <t>The only firm screened whose founders operate hospitality themselves rather than leasing to operators. Seventeen acres of industrial conversion in the East End.</t>
        </is>
      </c>
      <c r="U256" s="12" t="inlineStr"/>
      <c r="V256" s="15" t="inlineStr"/>
      <c r="W256" s="12" t="inlineStr">
        <is>
          <t>https://www.conceptneighborhood.com/team</t>
        </is>
      </c>
      <c r="X256" s="12" t="inlineStr"/>
      <c r="Y256" s="12" t="inlineStr"/>
      <c r="Z256" s="12" t="inlineStr"/>
      <c r="AA256" s="12" t="inlineStr">
        <is>
          <t>(713) 821-7052</t>
        </is>
      </c>
      <c r="AB256" s="12" t="inlineStr"/>
      <c r="AC256" s="12" t="inlineStr">
        <is>
          <t>https://www.conceptneighborhood.com/</t>
        </is>
      </c>
    </row>
    <row r="257">
      <c r="A257" s="6" t="inlineStr">
        <is>
          <t>Jeremy Roberts</t>
        </is>
      </c>
      <c r="B257" s="6" t="inlineStr">
        <is>
          <t>Concept Neighborhood</t>
        </is>
      </c>
      <c r="C257" s="6" t="inlineStr">
        <is>
          <t>Managing Partner, Projects and Legal</t>
        </is>
      </c>
      <c r="D257" s="7" t="inlineStr">
        <is>
          <t>Creative project, hybrid job</t>
        </is>
      </c>
      <c r="E257" s="8" t="n">
        <v>1</v>
      </c>
      <c r="F257" s="6" t="inlineStr">
        <is>
          <t>Buys walls</t>
        </is>
      </c>
      <c r="G257" s="6" t="inlineStr">
        <is>
          <t>East End, Harris</t>
        </is>
      </c>
      <c r="H257" s="6" t="inlineStr">
        <is>
          <t>17 acres at The Plant, Second Ward</t>
        </is>
      </c>
      <c r="I257" s="8" t="inlineStr">
        <is>
          <t>No</t>
        </is>
      </c>
      <c r="J257" s="9" t="inlineStr">
        <is>
          <t>Four blocks of eighty-year-old industrial buildings, each one different. There is no plan to repeat.</t>
        </is>
      </c>
      <c r="K257" s="8" t="inlineStr">
        <is>
          <t>No</t>
        </is>
      </c>
      <c r="L257" s="9" t="inlineStr">
        <is>
          <t>Conversion work leaves little new wall. A printed element would have to be an addition rather than the building.</t>
        </is>
      </c>
      <c r="M257" s="8" t="inlineStr">
        <is>
          <t>Partly</t>
        </is>
      </c>
      <c r="N257" s="9" t="inlineStr">
        <is>
          <t>They restored an 1890s building to open Axelrad and took a National Register industrial basilica on at The Factory. This is a team that chooses the harder build on purpose.</t>
        </is>
      </c>
      <c r="O257" s="8" t="inlineStr">
        <is>
          <t>No</t>
        </is>
      </c>
      <c r="P257" s="6" t="inlineStr">
        <is>
          <t>https://www.linkedin.com/in/jeremyaaronroberts/</t>
        </is>
      </c>
      <c r="Q257" s="6" t="inlineStr"/>
      <c r="R257" s="11">
        <f>IF(P257="","ADD LINKEDIN","ok")</f>
        <v/>
      </c>
      <c r="S257" s="6" t="inlineStr">
        <is>
          <t>https://www.conceptneighborhood.com/</t>
        </is>
      </c>
      <c r="T257" s="9" t="inlineStr">
        <is>
          <t>The only firm screened whose founders operate hospitality themselves rather than leasing to operators. Seventeen acres of industrial conversion in the East End.</t>
        </is>
      </c>
      <c r="U257" s="6" t="inlineStr"/>
      <c r="V257" s="9" t="inlineStr"/>
      <c r="W257" s="6" t="inlineStr">
        <is>
          <t>https://www.conceptneighborhood.com/team</t>
        </is>
      </c>
      <c r="X257" s="6" t="inlineStr"/>
      <c r="Y257" s="6" t="inlineStr"/>
      <c r="Z257" s="6" t="inlineStr"/>
      <c r="AA257" s="6" t="inlineStr">
        <is>
          <t>(713) 821-7052</t>
        </is>
      </c>
      <c r="AB257" s="6" t="inlineStr"/>
      <c r="AC257" s="6" t="inlineStr">
        <is>
          <t>https://www.conceptneighborhood.com/</t>
        </is>
      </c>
    </row>
    <row r="258">
      <c r="A258" s="12" t="inlineStr">
        <is>
          <t>Randolph Wile</t>
        </is>
      </c>
      <c r="B258" s="12" t="inlineStr">
        <is>
          <t>Wile Interests</t>
        </is>
      </c>
      <c r="C258" s="12" t="inlineStr">
        <is>
          <t>Founder and President</t>
        </is>
      </c>
      <c r="D258" s="13" t="inlineStr">
        <is>
          <t>Creative project, hybrid job</t>
        </is>
      </c>
      <c r="E258" s="14" t="n">
        <v>1</v>
      </c>
      <c r="F258" s="12" t="inlineStr">
        <is>
          <t>Buys walls</t>
        </is>
      </c>
      <c r="G258" s="12" t="inlineStr">
        <is>
          <t>Houston and Katy</t>
        </is>
      </c>
      <c r="H258" s="12" t="inlineStr">
        <is>
          <t>Ground-up in Katy, adaptive reuse in EaDo</t>
        </is>
      </c>
      <c r="I258" s="14" t="inlineStr">
        <is>
          <t>Partly</t>
        </is>
      </c>
      <c r="J258" s="15" t="inlineStr">
        <is>
          <t>Two quite different programmes in two submarkets. No repeated unit.</t>
        </is>
      </c>
      <c r="K258" s="14" t="inlineStr">
        <is>
          <t>No</t>
        </is>
      </c>
      <c r="L258" s="15" t="inlineStr">
        <is>
          <t>Medical office and retail shells rather than houses.</t>
        </is>
      </c>
      <c r="M258" s="14" t="inlineStr">
        <is>
          <t>No</t>
        </is>
      </c>
      <c r="N258" s="15" t="inlineStr">
        <is>
          <t>Its president is the one quoted explaining why the firm kept the old warehouses instead of clearing the site.</t>
        </is>
      </c>
      <c r="O258" s="14" t="inlineStr">
        <is>
          <t>No</t>
        </is>
      </c>
      <c r="P258" s="6" t="inlineStr">
        <is>
          <t>https://www.linkedin.com/in/randolph-wile/</t>
        </is>
      </c>
      <c r="Q258" s="12" t="inlineStr"/>
      <c r="R258" s="16">
        <f>IF(P258="","ADD LINKEDIN","ok")</f>
        <v/>
      </c>
      <c r="S258" s="12" t="inlineStr">
        <is>
          <t>https://www.wileinterests.com/</t>
        </is>
      </c>
      <c r="T258" s="15" t="inlineStr">
        <is>
          <t>Ground-up medical and retail in Katy, conversion in EaDo.</t>
        </is>
      </c>
      <c r="U258" s="12" t="inlineStr"/>
      <c r="V258" s="15" t="inlineStr">
        <is>
          <t>Indexed title reads Randolph Wile, Wile Interests, Inc. The Real Deal, November 2023, quotes Wile Interests president Randolph Wile.</t>
        </is>
      </c>
      <c r="W258" s="12" t="inlineStr">
        <is>
          <t>https://therealdeal.com/texas/houston/2023/11/13/pagewood-wile-to-convert-eado-houston-warehouses/</t>
        </is>
      </c>
      <c r="X258" s="12" t="inlineStr"/>
      <c r="Y258" s="12" t="inlineStr"/>
      <c r="Z258" s="12" t="inlineStr"/>
      <c r="AA258" s="12" t="inlineStr"/>
      <c r="AB258" s="12" t="inlineStr"/>
      <c r="AC258" s="12" t="inlineStr"/>
    </row>
    <row r="259">
      <c r="A259" s="6" t="inlineStr">
        <is>
          <t>Paul J. Romanowski</t>
        </is>
      </c>
      <c r="B259" s="6" t="inlineStr">
        <is>
          <t>D.R. Horton, Inc.</t>
        </is>
      </c>
      <c r="C259" s="6" t="inlineStr">
        <is>
          <t>President and Chief Executive Officer</t>
        </is>
      </c>
      <c r="D259" s="7" t="inlineStr">
        <is>
          <t>National scale, pilot not purchase</t>
        </is>
      </c>
      <c r="E259" s="8" t="n">
        <v>3</v>
      </c>
      <c r="F259" s="6" t="inlineStr">
        <is>
          <t>Buys walls</t>
        </is>
      </c>
      <c r="G259" s="6" t="inlineStr">
        <is>
          <t>Arlington HQ / Sugar Land, Richmond, Conroe</t>
        </is>
      </c>
      <c r="H259" s="6" t="inlineStr">
        <is>
          <t>372 Houston permits in August 2026, first in the metro</t>
        </is>
      </c>
      <c r="I259" s="8" t="inlineStr">
        <is>
          <t>Yes</t>
        </is>
      </c>
      <c r="J259" s="9" t="inlineStr">
        <is>
          <t>65 Houston communities and 668 standing homes at one time, on a national plan library.</t>
        </is>
      </c>
      <c r="K259" s="8" t="inlineStr">
        <is>
          <t>Partly</t>
        </is>
      </c>
      <c r="L259" s="9" t="inlineStr">
        <is>
          <t>84,863 closings a year is far above the band one or two printers cover, so the first order is a pilot inside one division rather than a purchase.</t>
        </is>
      </c>
      <c r="M259" s="8" t="inlineStr">
        <is>
          <t>Yes</t>
        </is>
      </c>
      <c r="N259" s="9" t="inlineStr">
        <is>
          <t>Strategic investment in Apis Cor, March 2024, amount undisclosed. It is the only equity position in a printed wall system on this deck.</t>
        </is>
      </c>
      <c r="O259" s="8" t="inlineStr">
        <is>
          <t>Yes</t>
        </is>
      </c>
      <c r="P259" s="10" t="inlineStr"/>
      <c r="Q259" s="6">
        <f>HYPERLINK("https://www.linkedin.com/search/results/people/?keywords=Paul%20J.%20Romanowski%20D.R.%20Horton%2C%20Inc.","search")</f>
        <v/>
      </c>
      <c r="R259" s="11">
        <f>IF(P259="","ADD LINKEDIN","ok")</f>
        <v/>
      </c>
      <c r="S259" s="6" t="inlineStr">
        <is>
          <t>https://www.drhorton.com/texas/houston</t>
        </is>
      </c>
      <c r="T259" s="9" t="inlineStr">
        <is>
          <t>It has already bought equity in a printed wall system, and it builds more houses in Houston than anyone else.</t>
        </is>
      </c>
      <c r="U259" s="6" t="inlineStr"/>
      <c r="V259" s="9" t="inlineStr"/>
      <c r="W259" s="6" t="inlineStr">
        <is>
          <t>https://investor.drhorton.com/corporate-governance/executive-officers</t>
        </is>
      </c>
      <c r="X259" s="6" t="inlineStr"/>
      <c r="Y259" s="6" t="inlineStr"/>
      <c r="Z259" s="6" t="inlineStr"/>
      <c r="AA259" s="6" t="inlineStr"/>
      <c r="AB259" s="6" t="inlineStr"/>
      <c r="AC259" s="6" t="inlineStr">
        <is>
          <t>https://www.drhorton.com/contact-us-page</t>
        </is>
      </c>
    </row>
    <row r="260">
      <c r="A260" s="12" t="inlineStr">
        <is>
          <t>Michael J. Murray</t>
        </is>
      </c>
      <c r="B260" s="12" t="inlineStr">
        <is>
          <t>D.R. Horton, Inc.</t>
        </is>
      </c>
      <c r="C260" s="12" t="inlineStr">
        <is>
          <t>Executive Vice President and Chief Operating Officer</t>
        </is>
      </c>
      <c r="D260" s="13" t="inlineStr">
        <is>
          <t>National scale, pilot not purchase</t>
        </is>
      </c>
      <c r="E260" s="14" t="n">
        <v>3</v>
      </c>
      <c r="F260" s="12" t="inlineStr">
        <is>
          <t>Buys walls</t>
        </is>
      </c>
      <c r="G260" s="12" t="inlineStr">
        <is>
          <t>Arlington HQ / Sugar Land, Richmond, Conroe</t>
        </is>
      </c>
      <c r="H260" s="12" t="inlineStr">
        <is>
          <t>372 Houston permits in August 2026, first in the metro</t>
        </is>
      </c>
      <c r="I260" s="14" t="inlineStr">
        <is>
          <t>Yes</t>
        </is>
      </c>
      <c r="J260" s="15" t="inlineStr">
        <is>
          <t>65 Houston communities and 668 standing homes at one time, on a national plan library.</t>
        </is>
      </c>
      <c r="K260" s="14" t="inlineStr">
        <is>
          <t>Partly</t>
        </is>
      </c>
      <c r="L260" s="15" t="inlineStr">
        <is>
          <t>84,863 closings a year is far above the band one or two printers cover, so the first order is a pilot inside one division rather than a purchase.</t>
        </is>
      </c>
      <c r="M260" s="14" t="inlineStr">
        <is>
          <t>Yes</t>
        </is>
      </c>
      <c r="N260" s="15" t="inlineStr">
        <is>
          <t>Strategic investment in Apis Cor, March 2024, amount undisclosed. It is the only equity position in a printed wall system on this deck.</t>
        </is>
      </c>
      <c r="O260" s="14" t="inlineStr">
        <is>
          <t>Yes</t>
        </is>
      </c>
      <c r="P260" s="10" t="inlineStr"/>
      <c r="Q260" s="12">
        <f>HYPERLINK("https://www.linkedin.com/search/results/people/?keywords=Michael%20J.%20Murray%20D.R.%20Horton%2C%20Inc.","search")</f>
        <v/>
      </c>
      <c r="R260" s="16">
        <f>IF(P260="","ADD LINKEDIN","ok")</f>
        <v/>
      </c>
      <c r="S260" s="12" t="inlineStr">
        <is>
          <t>https://www.drhorton.com/texas/houston</t>
        </is>
      </c>
      <c r="T260" s="15" t="inlineStr">
        <is>
          <t>It has already bought equity in a printed wall system, and it builds more houses in Houston than anyone else.</t>
        </is>
      </c>
      <c r="U260" s="12" t="inlineStr"/>
      <c r="V260" s="15" t="inlineStr"/>
      <c r="W260" s="12" t="inlineStr">
        <is>
          <t>https://investor.drhorton.com/corporate-governance/executive-officers</t>
        </is>
      </c>
      <c r="X260" s="12" t="inlineStr"/>
      <c r="Y260" s="12" t="inlineStr"/>
      <c r="Z260" s="12" t="inlineStr"/>
      <c r="AA260" s="12" t="inlineStr"/>
      <c r="AB260" s="12" t="inlineStr"/>
      <c r="AC260" s="12" t="inlineStr">
        <is>
          <t>https://www.drhorton.com/contact-us-page</t>
        </is>
      </c>
    </row>
    <row r="261">
      <c r="A261" s="6" t="inlineStr">
        <is>
          <t>Brad Conlon</t>
        </is>
      </c>
      <c r="B261" s="6" t="inlineStr">
        <is>
          <t>D.R. Horton, Inc.</t>
        </is>
      </c>
      <c r="C261" s="6" t="inlineStr">
        <is>
          <t>Senior Vice President of Business Development</t>
        </is>
      </c>
      <c r="D261" s="7" t="inlineStr">
        <is>
          <t>National scale, pilot not purchase</t>
        </is>
      </c>
      <c r="E261" s="8" t="n">
        <v>3</v>
      </c>
      <c r="F261" s="6" t="inlineStr">
        <is>
          <t>Buys walls</t>
        </is>
      </c>
      <c r="G261" s="6" t="inlineStr">
        <is>
          <t>Arlington HQ / Sugar Land, Richmond, Conroe</t>
        </is>
      </c>
      <c r="H261" s="6" t="inlineStr">
        <is>
          <t>372 Houston permits in August 2026, first in the metro</t>
        </is>
      </c>
      <c r="I261" s="8" t="inlineStr">
        <is>
          <t>Yes</t>
        </is>
      </c>
      <c r="J261" s="9" t="inlineStr">
        <is>
          <t>65 Houston communities and 668 standing homes at one time, on a national plan library.</t>
        </is>
      </c>
      <c r="K261" s="8" t="inlineStr">
        <is>
          <t>Partly</t>
        </is>
      </c>
      <c r="L261" s="9" t="inlineStr">
        <is>
          <t>84,863 closings a year is far above the band one or two printers cover, so the first order is a pilot inside one division rather than a purchase.</t>
        </is>
      </c>
      <c r="M261" s="8" t="inlineStr">
        <is>
          <t>Yes</t>
        </is>
      </c>
      <c r="N261" s="9" t="inlineStr">
        <is>
          <t>Strategic investment in Apis Cor, March 2024, amount undisclosed. It is the only equity position in a printed wall system on this deck.</t>
        </is>
      </c>
      <c r="O261" s="8" t="inlineStr">
        <is>
          <t>Yes</t>
        </is>
      </c>
      <c r="P261" s="10" t="inlineStr"/>
      <c r="Q261" s="6">
        <f>HYPERLINK("https://www.linkedin.com/search/results/people/?keywords=Brad%20Conlon%20D.R.%20Horton%2C%20Inc.","search")</f>
        <v/>
      </c>
      <c r="R261" s="11">
        <f>IF(P261="","ADD LINKEDIN","ok")</f>
        <v/>
      </c>
      <c r="S261" s="6" t="inlineStr">
        <is>
          <t>https://www.drhorton.com/texas/houston</t>
        </is>
      </c>
      <c r="T261" s="9" t="inlineStr">
        <is>
          <t>It has already bought equity in a printed wall system, and it builds more houses in Houston than anyone else.</t>
        </is>
      </c>
      <c r="U261" s="6" t="inlineStr">
        <is>
          <t>YES</t>
        </is>
      </c>
      <c r="V261" s="9" t="inlineStr">
        <is>
          <t>The seat that spoke for the company on the Apis Cor investment. He is not one of the four executive officers, so this sits below the officer tier.</t>
        </is>
      </c>
      <c r="W261" s="6" t="inlineStr">
        <is>
          <t>https://www.prnewswire.com/news-releases/apis-cor-a-manufacturer-of-construction-3d-printing-robots-announces-strategic-investment-by-dr-horton-302084850.html</t>
        </is>
      </c>
      <c r="X261" s="6" t="inlineStr"/>
      <c r="Y261" s="6" t="inlineStr"/>
      <c r="Z261" s="6" t="inlineStr"/>
      <c r="AA261" s="6" t="inlineStr"/>
      <c r="AB261" s="6" t="inlineStr"/>
      <c r="AC261" s="6" t="inlineStr">
        <is>
          <t>https://www.drhorton.com/contact-us-page</t>
        </is>
      </c>
    </row>
    <row r="262">
      <c r="A262" s="12" t="inlineStr">
        <is>
          <t>Saun Sullivan</t>
        </is>
      </c>
      <c r="B262" s="12" t="inlineStr">
        <is>
          <t>DSLD Homes</t>
        </is>
      </c>
      <c r="C262" s="12" t="inlineStr">
        <is>
          <t>Chief Executive Officer</t>
        </is>
      </c>
      <c r="D262" s="13" t="inlineStr">
        <is>
          <t>National scale, pilot not purchase</t>
        </is>
      </c>
      <c r="E262" s="14" t="n">
        <v>2</v>
      </c>
      <c r="F262" s="12" t="inlineStr">
        <is>
          <t>Buys walls</t>
        </is>
      </c>
      <c r="G262" s="12" t="inlineStr">
        <is>
          <t>Baton Rouge HQ / Bonney, Magnolia, Montgomery</t>
        </is>
      </c>
      <c r="H262" s="12" t="inlineStr">
        <is>
          <t>3,989 closings in 2025, three Houston communities</t>
        </is>
      </c>
      <c r="I262" s="14" t="inlineStr">
        <is>
          <t>Yes</t>
        </is>
      </c>
      <c r="J262" s="15" t="inlineStr">
        <is>
          <t>Three Houston communities drawn from a plan library that runs across six states.</t>
        </is>
      </c>
      <c r="K262" s="14" t="inlineStr">
        <is>
          <t>Partly</t>
        </is>
      </c>
      <c r="L262" s="15" t="inlineStr">
        <is>
          <t>3,989 closings a year sits above the band one or two printers cover. The Houston division is three communities of it.</t>
        </is>
      </c>
      <c r="M262" s="14" t="inlineStr">
        <is>
          <t>No</t>
        </is>
      </c>
      <c r="N262" s="15" t="inlineStr">
        <is>
          <t>Nothing on record. Its about page names energy efficiency and structural excellence and no method.</t>
        </is>
      </c>
      <c r="O262" s="14" t="inlineStr">
        <is>
          <t>Yes</t>
        </is>
      </c>
      <c r="P262" s="10" t="inlineStr"/>
      <c r="Q262" s="12">
        <f>HYPERLINK("https://www.linkedin.com/search/results/people/?keywords=Saun%20Sullivan%20DSLD%20Homes","search")</f>
        <v/>
      </c>
      <c r="R262" s="16">
        <f>IF(P262="","ADD LINKEDIN","ok")</f>
        <v/>
      </c>
      <c r="S262" s="12" t="inlineStr">
        <is>
          <t>https://www.dsldhomes.com/</t>
        </is>
      </c>
      <c r="T262" s="15" t="inlineStr">
        <is>
          <t>Three Houston communities opened out of a 120-community plan library, and a build-to-rent line inside it.</t>
        </is>
      </c>
      <c r="U262" s="12" t="inlineStr"/>
      <c r="V262" s="15" t="inlineStr"/>
      <c r="W262" s="12" t="inlineStr">
        <is>
          <t>https://www.builderonline.com/firms/dsld-homes/</t>
        </is>
      </c>
      <c r="X262" s="12" t="inlineStr"/>
      <c r="Y262" s="12" t="inlineStr"/>
      <c r="Z262" s="12" t="inlineStr"/>
      <c r="AA262" s="12" t="inlineStr">
        <is>
          <t>(844) 767-2713</t>
        </is>
      </c>
      <c r="AB262" s="12" t="inlineStr">
        <is>
          <t>main office, Baton Rouge</t>
        </is>
      </c>
      <c r="AC262" s="12" t="inlineStr">
        <is>
          <t>https://www.dsldhomes.com/</t>
        </is>
      </c>
    </row>
    <row r="263">
      <c r="A263" s="6" t="inlineStr">
        <is>
          <t>Jay Brown</t>
        </is>
      </c>
      <c r="B263" s="6" t="inlineStr">
        <is>
          <t>David Weekley Homes</t>
        </is>
      </c>
      <c r="C263" s="6" t="inlineStr">
        <is>
          <t>Chief Executive Officer</t>
        </is>
      </c>
      <c r="D263" s="7" t="inlineStr">
        <is>
          <t>National scale, pilot not purchase</t>
        </is>
      </c>
      <c r="E263" s="8" t="n">
        <v>2</v>
      </c>
      <c r="F263" s="6" t="inlineStr">
        <is>
          <t>Buys walls</t>
        </is>
      </c>
      <c r="G263" s="6" t="inlineStr">
        <is>
          <t>Houston HQ, Harris County</t>
        </is>
      </c>
      <c r="H263" s="6" t="inlineStr">
        <is>
          <t>125,000+ homes, 19 markets, Houston HQ</t>
        </is>
      </c>
      <c r="I263" s="8" t="inlineStr">
        <is>
          <t>Yes</t>
        </is>
      </c>
      <c r="J263" s="9" t="inlineStr">
        <is>
          <t>Houston is the firm's home market and it builds across the metro.</t>
        </is>
      </c>
      <c r="K263" s="8" t="inlineStr">
        <is>
          <t>No</t>
        </is>
      </c>
      <c r="L263" s="9" t="inlineStr">
        <is>
          <t>A national builder with a national supply chain.</t>
        </is>
      </c>
      <c r="M263" s="8" t="inlineStr">
        <is>
          <t>Partly</t>
        </is>
      </c>
      <c r="N263" s="9" t="inlineStr">
        <is>
          <t>Its 2026 preferred-partner list names cladding, roofing, weather barrier, structural connectors and engineered framing. That is the envelope, and it is a supply-chain commitment rather than a method.</t>
        </is>
      </c>
      <c r="O263" s="8" t="inlineStr">
        <is>
          <t>Partly</t>
        </is>
      </c>
      <c r="P263" s="6" t="inlineStr">
        <is>
          <t>https://www.linkedin.com/in/jay-brown-14305a12/</t>
        </is>
      </c>
      <c r="Q263" s="6" t="inlineStr"/>
      <c r="R263" s="11">
        <f>IF(P263="","ADD LINKEDIN","ok")</f>
        <v/>
      </c>
      <c r="S263" s="6" t="inlineStr">
        <is>
          <t>https://www.davidweekleyhomes.com/</t>
        </is>
      </c>
      <c r="T263" s="9" t="inlineStr">
        <is>
          <t>125,000 homes, Houston HQ, 50 years. Its supplier recognition covers insulation and fire-stopping, not the envelope.</t>
        </is>
      </c>
      <c r="U263" s="6" t="inlineStr"/>
      <c r="V263" s="9" t="inlineStr">
        <is>
          <t>Chief Executive Officer at David Weekley Homes. Houston, Texas.</t>
        </is>
      </c>
      <c r="W263" s="6" t="inlineStr"/>
      <c r="X263" s="6" t="inlineStr">
        <is>
          <t>https://www.linkedin.com/company/david-weekley-homes</t>
        </is>
      </c>
      <c r="Y263" s="6" t="inlineStr">
        <is>
          <t>https://www.davidweekleyhomes.com/about-us/meet-the-team</t>
        </is>
      </c>
      <c r="Z263" s="6" t="inlineStr"/>
      <c r="AA263" s="6" t="inlineStr">
        <is>
          <t>(844) 777-3717</t>
        </is>
      </c>
      <c r="AB263" s="6" t="inlineStr"/>
      <c r="AC263" s="6" t="inlineStr">
        <is>
          <t>https://www.davidweekleyhomes.com/</t>
        </is>
      </c>
    </row>
    <row r="264">
      <c r="A264" s="12" t="inlineStr">
        <is>
          <t>Chris Weekley</t>
        </is>
      </c>
      <c r="B264" s="12" t="inlineStr">
        <is>
          <t>David Weekley Homes</t>
        </is>
      </c>
      <c r="C264" s="12" t="inlineStr">
        <is>
          <t>President and Vice Chairman</t>
        </is>
      </c>
      <c r="D264" s="13" t="inlineStr">
        <is>
          <t>National scale, pilot not purchase</t>
        </is>
      </c>
      <c r="E264" s="14" t="n">
        <v>2</v>
      </c>
      <c r="F264" s="12" t="inlineStr">
        <is>
          <t>Buys walls</t>
        </is>
      </c>
      <c r="G264" s="12" t="inlineStr">
        <is>
          <t>Houston HQ, Harris County</t>
        </is>
      </c>
      <c r="H264" s="12" t="inlineStr">
        <is>
          <t>125,000+ homes, 19 markets, Houston HQ</t>
        </is>
      </c>
      <c r="I264" s="14" t="inlineStr">
        <is>
          <t>Yes</t>
        </is>
      </c>
      <c r="J264" s="15" t="inlineStr">
        <is>
          <t>Houston is the firm's home market and it builds across the metro.</t>
        </is>
      </c>
      <c r="K264" s="14" t="inlineStr">
        <is>
          <t>No</t>
        </is>
      </c>
      <c r="L264" s="15" t="inlineStr">
        <is>
          <t>A national builder with a national supply chain.</t>
        </is>
      </c>
      <c r="M264" s="14" t="inlineStr">
        <is>
          <t>Partly</t>
        </is>
      </c>
      <c r="N264" s="15" t="inlineStr">
        <is>
          <t>Its 2026 preferred-partner list names cladding, roofing, weather barrier, structural connectors and engineered framing. That is the envelope, and it is a supply-chain commitment rather than a method.</t>
        </is>
      </c>
      <c r="O264" s="14" t="inlineStr">
        <is>
          <t>Partly</t>
        </is>
      </c>
      <c r="P264" s="10" t="inlineStr"/>
      <c r="Q264" s="12">
        <f>HYPERLINK("https://www.linkedin.com/search/results/people/?keywords=Chris%20Weekley%20David%20Weekley%20Homes","search")</f>
        <v/>
      </c>
      <c r="R264" s="16">
        <f>IF(P264="","ADD LINKEDIN","ok")</f>
        <v/>
      </c>
      <c r="S264" s="12" t="inlineStr">
        <is>
          <t>https://www.davidweekleyhomes.com/</t>
        </is>
      </c>
      <c r="T264" s="15" t="inlineStr">
        <is>
          <t>125,000 homes, Houston HQ, 50 years. Its supplier recognition covers insulation and fire-stopping, not the envelope.</t>
        </is>
      </c>
      <c r="U264" s="12" t="inlineStr"/>
      <c r="V264" s="15" t="inlineStr">
        <is>
          <t>President and Vice Chairman. The firm's own page credits him with innovation and developer relationships, which is the brief a printed wall would land in.</t>
        </is>
      </c>
      <c r="W264" s="12" t="inlineStr">
        <is>
          <t>https://www.davidweekleyhomes.com/about-us/meet-the-team</t>
        </is>
      </c>
      <c r="X264" s="12" t="inlineStr">
        <is>
          <t>https://www.linkedin.com/company/david-weekley-homes</t>
        </is>
      </c>
      <c r="Y264" s="12" t="inlineStr">
        <is>
          <t>https://www.davidweekleyhomes.com/about-us/meet-the-team</t>
        </is>
      </c>
      <c r="Z264" s="12" t="inlineStr"/>
      <c r="AA264" s="12" t="inlineStr">
        <is>
          <t>(844) 777-3717</t>
        </is>
      </c>
      <c r="AB264" s="12" t="inlineStr"/>
      <c r="AC264" s="12" t="inlineStr">
        <is>
          <t>https://www.davidweekleyhomes.com/</t>
        </is>
      </c>
    </row>
    <row r="265">
      <c r="A265" s="6" t="inlineStr">
        <is>
          <t>David Weekley</t>
        </is>
      </c>
      <c r="B265" s="6" t="inlineStr">
        <is>
          <t>David Weekley Homes</t>
        </is>
      </c>
      <c r="C265" s="6" t="inlineStr">
        <is>
          <t>Chairman and Founder</t>
        </is>
      </c>
      <c r="D265" s="7" t="inlineStr">
        <is>
          <t>National scale, pilot not purchase</t>
        </is>
      </c>
      <c r="E265" s="8" t="n">
        <v>2</v>
      </c>
      <c r="F265" s="6" t="inlineStr">
        <is>
          <t>Buys walls</t>
        </is>
      </c>
      <c r="G265" s="6" t="inlineStr">
        <is>
          <t>Houston HQ, Harris County</t>
        </is>
      </c>
      <c r="H265" s="6" t="inlineStr">
        <is>
          <t>125,000+ homes, 19 markets, Houston HQ</t>
        </is>
      </c>
      <c r="I265" s="8" t="inlineStr">
        <is>
          <t>Yes</t>
        </is>
      </c>
      <c r="J265" s="9" t="inlineStr">
        <is>
          <t>Houston is the firm's home market and it builds across the metro.</t>
        </is>
      </c>
      <c r="K265" s="8" t="inlineStr">
        <is>
          <t>No</t>
        </is>
      </c>
      <c r="L265" s="9" t="inlineStr">
        <is>
          <t>A national builder with a national supply chain.</t>
        </is>
      </c>
      <c r="M265" s="8" t="inlineStr">
        <is>
          <t>Partly</t>
        </is>
      </c>
      <c r="N265" s="9" t="inlineStr">
        <is>
          <t>Its 2026 preferred-partner list names cladding, roofing, weather barrier, structural connectors and engineered framing. That is the envelope, and it is a supply-chain commitment rather than a method.</t>
        </is>
      </c>
      <c r="O265" s="8" t="inlineStr">
        <is>
          <t>Partly</t>
        </is>
      </c>
      <c r="P265" s="10" t="inlineStr"/>
      <c r="Q265" s="6">
        <f>HYPERLINK("https://www.linkedin.com/search/results/people/?keywords=David%20Weekley%20David%20Weekley%20Homes","search")</f>
        <v/>
      </c>
      <c r="R265" s="11">
        <f>IF(P265="","ADD LINKEDIN","ok")</f>
        <v/>
      </c>
      <c r="S265" s="6" t="inlineStr">
        <is>
          <t>https://www.davidweekleyhomes.com/</t>
        </is>
      </c>
      <c r="T265" s="9" t="inlineStr">
        <is>
          <t>125,000 homes, Houston HQ, 50 years. Its supplier recognition covers insulation and fire-stopping, not the envelope.</t>
        </is>
      </c>
      <c r="U265" s="6" t="inlineStr"/>
      <c r="V265" s="9" t="inlineStr">
        <is>
          <t>Chairman, who started the company in 1976 at twenty-three.</t>
        </is>
      </c>
      <c r="W265" s="6" t="inlineStr">
        <is>
          <t>https://www.davidweekleyhomes.com/about-us/meet-the-team</t>
        </is>
      </c>
      <c r="X265" s="6" t="inlineStr">
        <is>
          <t>https://www.linkedin.com/company/david-weekley-homes</t>
        </is>
      </c>
      <c r="Y265" s="6" t="inlineStr">
        <is>
          <t>https://www.davidweekleyhomes.com/about-us/meet-the-team</t>
        </is>
      </c>
      <c r="Z265" s="6" t="inlineStr"/>
      <c r="AA265" s="6" t="inlineStr">
        <is>
          <t>(844) 777-3717</t>
        </is>
      </c>
      <c r="AB265" s="6" t="inlineStr"/>
      <c r="AC265" s="6" t="inlineStr">
        <is>
          <t>https://www.davidweekleyhomes.com/</t>
        </is>
      </c>
    </row>
    <row r="266">
      <c r="A266" s="12" t="inlineStr">
        <is>
          <t>John Schiegg</t>
        </is>
      </c>
      <c r="B266" s="12" t="inlineStr">
        <is>
          <t>David Weekley Homes</t>
        </is>
      </c>
      <c r="C266" s="12" t="inlineStr">
        <is>
          <t>Vice President of Purchasing and Supply Chain, David Weekley Homes</t>
        </is>
      </c>
      <c r="D266" s="13" t="inlineStr">
        <is>
          <t>National scale, pilot not purchase</t>
        </is>
      </c>
      <c r="E266" s="14" t="n">
        <v>2</v>
      </c>
      <c r="F266" s="12" t="inlineStr">
        <is>
          <t>Buys walls</t>
        </is>
      </c>
      <c r="G266" s="12" t="inlineStr">
        <is>
          <t>Houston HQ, Harris County</t>
        </is>
      </c>
      <c r="H266" s="12" t="inlineStr">
        <is>
          <t>125,000+ homes, 19 markets, Houston HQ</t>
        </is>
      </c>
      <c r="I266" s="14" t="inlineStr">
        <is>
          <t>Yes</t>
        </is>
      </c>
      <c r="J266" s="15" t="inlineStr">
        <is>
          <t>Houston is the firm's home market and it builds across the metro.</t>
        </is>
      </c>
      <c r="K266" s="14" t="inlineStr">
        <is>
          <t>No</t>
        </is>
      </c>
      <c r="L266" s="15" t="inlineStr">
        <is>
          <t>A national builder with a national supply chain.</t>
        </is>
      </c>
      <c r="M266" s="14" t="inlineStr">
        <is>
          <t>Partly</t>
        </is>
      </c>
      <c r="N266" s="15" t="inlineStr">
        <is>
          <t>Its 2026 preferred-partner list names cladding, roofing, weather barrier, structural connectors and engineered framing. That is the envelope, and it is a supply-chain commitment rather than a method.</t>
        </is>
      </c>
      <c r="O266" s="14" t="inlineStr">
        <is>
          <t>Partly</t>
        </is>
      </c>
      <c r="P266" s="6" t="inlineStr">
        <is>
          <t>https://www.linkedin.com/in/john-schiegg-7593996/</t>
        </is>
      </c>
      <c r="Q266" s="12" t="inlineStr"/>
      <c r="R266" s="16">
        <f>IF(P266="","ADD LINKEDIN","ok")</f>
        <v/>
      </c>
      <c r="S266" s="12" t="inlineStr">
        <is>
          <t>https://www.davidweekleyhomes.com/</t>
        </is>
      </c>
      <c r="T266" s="15" t="inlineStr">
        <is>
          <t>125,000 homes, Houston HQ, 50 years. Its supplier recognition covers insulation and fire-stopping, not the envelope.</t>
        </is>
      </c>
      <c r="U266" s="12" t="inlineStr">
        <is>
          <t>YES</t>
        </is>
      </c>
      <c r="V266" s="15" t="inlineStr">
        <is>
          <t>Profile opened. Company line reads David Weekley Homes, Houston, Texas. He owns purchasing and supply chain for the largest privately held builder in the country.</t>
        </is>
      </c>
      <c r="W266" s="12" t="inlineStr">
        <is>
          <t>https://www.prnewswire.com/news-releases/david-weekley-homes-announces-2026-national-preferred-partners-302809074.html</t>
        </is>
      </c>
      <c r="X266" s="12" t="inlineStr">
        <is>
          <t>https://www.linkedin.com/company/david-weekley-homes</t>
        </is>
      </c>
      <c r="Y266" s="12" t="inlineStr">
        <is>
          <t>https://www.davidweekleyhomes.com/about-us/meet-the-team</t>
        </is>
      </c>
      <c r="Z266" s="12" t="inlineStr"/>
      <c r="AA266" s="12" t="inlineStr">
        <is>
          <t>(844) 777-3717</t>
        </is>
      </c>
      <c r="AB266" s="12" t="inlineStr"/>
      <c r="AC266" s="12" t="inlineStr">
        <is>
          <t>https://www.davidweekleyhomes.com/</t>
        </is>
      </c>
    </row>
    <row r="267">
      <c r="A267" s="6" t="inlineStr">
        <is>
          <t>Ladd Fargo</t>
        </is>
      </c>
      <c r="B267" s="6" t="inlineStr">
        <is>
          <t>David Weekley Homes</t>
        </is>
      </c>
      <c r="C267" s="6" t="inlineStr">
        <is>
          <t>Chief Operating Officer, David Weekley Homes</t>
        </is>
      </c>
      <c r="D267" s="7" t="inlineStr">
        <is>
          <t>National scale, pilot not purchase</t>
        </is>
      </c>
      <c r="E267" s="8" t="n">
        <v>2</v>
      </c>
      <c r="F267" s="6" t="inlineStr">
        <is>
          <t>Buys walls</t>
        </is>
      </c>
      <c r="G267" s="6" t="inlineStr">
        <is>
          <t>Houston HQ, Harris County</t>
        </is>
      </c>
      <c r="H267" s="6" t="inlineStr">
        <is>
          <t>125,000+ homes, 19 markets, Houston HQ</t>
        </is>
      </c>
      <c r="I267" s="8" t="inlineStr">
        <is>
          <t>Yes</t>
        </is>
      </c>
      <c r="J267" s="9" t="inlineStr">
        <is>
          <t>Houston is the firm's home market and it builds across the metro.</t>
        </is>
      </c>
      <c r="K267" s="8" t="inlineStr">
        <is>
          <t>No</t>
        </is>
      </c>
      <c r="L267" s="9" t="inlineStr">
        <is>
          <t>A national builder with a national supply chain.</t>
        </is>
      </c>
      <c r="M267" s="8" t="inlineStr">
        <is>
          <t>Partly</t>
        </is>
      </c>
      <c r="N267" s="9" t="inlineStr">
        <is>
          <t>Its 2026 preferred-partner list names cladding, roofing, weather barrier, structural connectors and engineered framing. That is the envelope, and it is a supply-chain commitment rather than a method.</t>
        </is>
      </c>
      <c r="O267" s="8" t="inlineStr">
        <is>
          <t>Partly</t>
        </is>
      </c>
      <c r="P267" s="6" t="inlineStr">
        <is>
          <t>https://www.linkedin.com/in/ladd-fargo-241a47259/</t>
        </is>
      </c>
      <c r="Q267" s="6" t="inlineStr"/>
      <c r="R267" s="11">
        <f>IF(P267="","ADD LINKEDIN","ok")</f>
        <v/>
      </c>
      <c r="S267" s="6" t="inlineStr">
        <is>
          <t>https://www.davidweekleyhomes.com/</t>
        </is>
      </c>
      <c r="T267" s="9" t="inlineStr">
        <is>
          <t>125,000 homes, Houston HQ, 50 years. Its supplier recognition covers insulation and fire-stopping, not the envelope.</t>
        </is>
      </c>
      <c r="U267" s="6" t="inlineStr"/>
      <c r="V267" s="9" t="inlineStr"/>
      <c r="W267" s="6" t="inlineStr"/>
      <c r="X267" s="6" t="inlineStr">
        <is>
          <t>https://www.linkedin.com/company/david-weekley-homes</t>
        </is>
      </c>
      <c r="Y267" s="6" t="inlineStr">
        <is>
          <t>https://www.davidweekleyhomes.com/about-us/meet-the-team</t>
        </is>
      </c>
      <c r="Z267" s="6" t="inlineStr"/>
      <c r="AA267" s="6" t="inlineStr">
        <is>
          <t>(844) 777-3717</t>
        </is>
      </c>
      <c r="AB267" s="6" t="inlineStr"/>
      <c r="AC267" s="6" t="inlineStr">
        <is>
          <t>https://www.davidweekleyhomes.com/</t>
        </is>
      </c>
    </row>
    <row r="268">
      <c r="A268" s="12" t="inlineStr">
        <is>
          <t>Eric Lipar</t>
        </is>
      </c>
      <c r="B268" s="12" t="inlineStr">
        <is>
          <t>LGI Homes, Inc.</t>
        </is>
      </c>
      <c r="C268" s="12" t="inlineStr">
        <is>
          <t>Chief Executive Officer and Chairman of the Board</t>
        </is>
      </c>
      <c r="D268" s="13" t="inlineStr">
        <is>
          <t>National scale, pilot not purchase</t>
        </is>
      </c>
      <c r="E268" s="14" t="n">
        <v>1</v>
      </c>
      <c r="F268" s="12" t="inlineStr">
        <is>
          <t>Buys walls</t>
        </is>
      </c>
      <c r="G268" s="12" t="inlineStr">
        <is>
          <t>The Woodlands HQ, Montgomery County</t>
        </is>
      </c>
      <c r="H268" s="12" t="inlineStr">
        <is>
          <t>153 active selling communities, 36 markets, 21 states</t>
        </is>
      </c>
      <c r="I268" s="14" t="inlineStr">
        <is>
          <t>Yes</t>
        </is>
      </c>
      <c r="J268" s="15" t="inlineStr">
        <is>
          <t>153 active selling communities on one systematic plan set.</t>
        </is>
      </c>
      <c r="K268" s="14" t="inlineStr">
        <is>
          <t>No</t>
        </is>
      </c>
      <c r="L268" s="15" t="inlineStr">
        <is>
          <t>Thousands of closings a year across 36 markets in 21 states.</t>
        </is>
      </c>
      <c r="M268" s="14" t="inlineStr">
        <is>
          <t>No</t>
        </is>
      </c>
      <c r="N268" s="15" t="inlineStr">
        <is>
          <t>Nothing on record.</t>
        </is>
      </c>
      <c r="O268" s="14" t="inlineStr">
        <is>
          <t>Yes</t>
        </is>
      </c>
      <c r="P268" s="10" t="inlineStr"/>
      <c r="Q268" s="12">
        <f>HYPERLINK("https://www.linkedin.com/search/results/people/?keywords=Eric%20Lipar%20LGI%20Homes%2C%20Inc.","search")</f>
        <v/>
      </c>
      <c r="R268" s="16">
        <f>IF(P268="","ADD LINKEDIN","ok")</f>
        <v/>
      </c>
      <c r="S268" s="12" t="inlineStr">
        <is>
          <t>https://www.lgihomes.com/</t>
        </is>
      </c>
      <c r="T268" s="15" t="inlineStr">
        <is>
          <t>The most standardised product here, headquartered in the metro. Its Q2 2026 call mentions method, labour and cycle time zero times.</t>
        </is>
      </c>
      <c r="U268" s="12" t="inlineStr"/>
      <c r="V268" s="15" t="inlineStr"/>
      <c r="W268" s="12" t="inlineStr">
        <is>
          <t>https://investor.lgihomes.com/corporate-governance/management</t>
        </is>
      </c>
      <c r="X268" s="12" t="inlineStr">
        <is>
          <t>https://www.linkedin.com/company/lgi-homes</t>
        </is>
      </c>
      <c r="Y268" s="12" t="inlineStr">
        <is>
          <t>https://investor.lgihomes.com/corporate-governance/management</t>
        </is>
      </c>
      <c r="Z268" s="12" t="inlineStr"/>
      <c r="AA268" s="12" t="inlineStr"/>
      <c r="AB268" s="12" t="inlineStr"/>
      <c r="AC268" s="12" t="inlineStr"/>
    </row>
    <row r="269">
      <c r="A269" s="6" t="inlineStr">
        <is>
          <t>Mike Snider</t>
        </is>
      </c>
      <c r="B269" s="6" t="inlineStr">
        <is>
          <t>LGI Homes, Inc.</t>
        </is>
      </c>
      <c r="C269" s="6" t="inlineStr">
        <is>
          <t>President and Chief Operating Officer</t>
        </is>
      </c>
      <c r="D269" s="7" t="inlineStr">
        <is>
          <t>National scale, pilot not purchase</t>
        </is>
      </c>
      <c r="E269" s="8" t="n">
        <v>1</v>
      </c>
      <c r="F269" s="6" t="inlineStr">
        <is>
          <t>Buys walls</t>
        </is>
      </c>
      <c r="G269" s="6" t="inlineStr">
        <is>
          <t>The Woodlands HQ, Montgomery County</t>
        </is>
      </c>
      <c r="H269" s="6" t="inlineStr">
        <is>
          <t>153 active selling communities, 36 markets, 21 states</t>
        </is>
      </c>
      <c r="I269" s="8" t="inlineStr">
        <is>
          <t>Yes</t>
        </is>
      </c>
      <c r="J269" s="9" t="inlineStr">
        <is>
          <t>153 active selling communities on one systematic plan set.</t>
        </is>
      </c>
      <c r="K269" s="8" t="inlineStr">
        <is>
          <t>No</t>
        </is>
      </c>
      <c r="L269" s="9" t="inlineStr">
        <is>
          <t>Thousands of closings a year across 36 markets in 21 states.</t>
        </is>
      </c>
      <c r="M269" s="8" t="inlineStr">
        <is>
          <t>No</t>
        </is>
      </c>
      <c r="N269" s="9" t="inlineStr">
        <is>
          <t>Nothing on record.</t>
        </is>
      </c>
      <c r="O269" s="8" t="inlineStr">
        <is>
          <t>Yes</t>
        </is>
      </c>
      <c r="P269" s="10" t="inlineStr"/>
      <c r="Q269" s="6">
        <f>HYPERLINK("https://www.linkedin.com/search/results/people/?keywords=Mike%20Snider%20LGI%20Homes%2C%20Inc.","search")</f>
        <v/>
      </c>
      <c r="R269" s="11">
        <f>IF(P269="","ADD LINKEDIN","ok")</f>
        <v/>
      </c>
      <c r="S269" s="6" t="inlineStr">
        <is>
          <t>https://www.lgihomes.com/</t>
        </is>
      </c>
      <c r="T269" s="9" t="inlineStr">
        <is>
          <t>The most standardised product here, headquartered in the metro. Its Q2 2026 call mentions method, labour and cycle time zero times.</t>
        </is>
      </c>
      <c r="U269" s="6" t="inlineStr"/>
      <c r="V269" s="9" t="inlineStr"/>
      <c r="W269" s="6" t="inlineStr">
        <is>
          <t>https://investor.lgihomes.com/corporate-governance/management</t>
        </is>
      </c>
      <c r="X269" s="6" t="inlineStr">
        <is>
          <t>https://www.linkedin.com/company/lgi-homes</t>
        </is>
      </c>
      <c r="Y269" s="6" t="inlineStr">
        <is>
          <t>https://investor.lgihomes.com/corporate-governance/management</t>
        </is>
      </c>
      <c r="Z269" s="6" t="inlineStr"/>
      <c r="AA269" s="6" t="inlineStr"/>
      <c r="AB269" s="6" t="inlineStr"/>
      <c r="AC269" s="6" t="inlineStr"/>
    </row>
    <row r="270">
      <c r="A270" s="12" t="inlineStr">
        <is>
          <t>Charles Merdian</t>
        </is>
      </c>
      <c r="B270" s="12" t="inlineStr">
        <is>
          <t>LGI Homes, Inc.</t>
        </is>
      </c>
      <c r="C270" s="12" t="inlineStr">
        <is>
          <t>Chief Financial Officer and Treasurer</t>
        </is>
      </c>
      <c r="D270" s="13" t="inlineStr">
        <is>
          <t>National scale, pilot not purchase</t>
        </is>
      </c>
      <c r="E270" s="14" t="n">
        <v>1</v>
      </c>
      <c r="F270" s="12" t="inlineStr">
        <is>
          <t>Buys walls</t>
        </is>
      </c>
      <c r="G270" s="12" t="inlineStr">
        <is>
          <t>The Woodlands HQ, Montgomery County</t>
        </is>
      </c>
      <c r="H270" s="12" t="inlineStr">
        <is>
          <t>153 active selling communities, 36 markets, 21 states</t>
        </is>
      </c>
      <c r="I270" s="14" t="inlineStr">
        <is>
          <t>Yes</t>
        </is>
      </c>
      <c r="J270" s="15" t="inlineStr">
        <is>
          <t>153 active selling communities on one systematic plan set.</t>
        </is>
      </c>
      <c r="K270" s="14" t="inlineStr">
        <is>
          <t>No</t>
        </is>
      </c>
      <c r="L270" s="15" t="inlineStr">
        <is>
          <t>Thousands of closings a year across 36 markets in 21 states.</t>
        </is>
      </c>
      <c r="M270" s="14" t="inlineStr">
        <is>
          <t>No</t>
        </is>
      </c>
      <c r="N270" s="15" t="inlineStr">
        <is>
          <t>Nothing on record.</t>
        </is>
      </c>
      <c r="O270" s="14" t="inlineStr">
        <is>
          <t>Yes</t>
        </is>
      </c>
      <c r="P270" s="10" t="inlineStr"/>
      <c r="Q270" s="12">
        <f>HYPERLINK("https://www.linkedin.com/search/results/people/?keywords=Charles%20Merdian%20LGI%20Homes%2C%20Inc.","search")</f>
        <v/>
      </c>
      <c r="R270" s="16">
        <f>IF(P270="","ADD LINKEDIN","ok")</f>
        <v/>
      </c>
      <c r="S270" s="12" t="inlineStr">
        <is>
          <t>https://www.lgihomes.com/</t>
        </is>
      </c>
      <c r="T270" s="15" t="inlineStr">
        <is>
          <t>The most standardised product here, headquartered in the metro. Its Q2 2026 call mentions method, labour and cycle time zero times.</t>
        </is>
      </c>
      <c r="U270" s="12" t="inlineStr"/>
      <c r="V270" s="15" t="inlineStr"/>
      <c r="W270" s="12" t="inlineStr">
        <is>
          <t>https://investor.lgihomes.com/corporate-governance/management</t>
        </is>
      </c>
      <c r="X270" s="12" t="inlineStr">
        <is>
          <t>https://www.linkedin.com/company/lgi-homes</t>
        </is>
      </c>
      <c r="Y270" s="12" t="inlineStr">
        <is>
          <t>https://investor.lgihomes.com/corporate-governance/management</t>
        </is>
      </c>
      <c r="Z270" s="12" t="inlineStr"/>
      <c r="AA270" s="12" t="inlineStr"/>
      <c r="AB270" s="12" t="inlineStr"/>
      <c r="AC270" s="12" t="inlineStr"/>
    </row>
    <row r="271">
      <c r="A271" s="6" t="inlineStr">
        <is>
          <t>Chuck Collier</t>
        </is>
      </c>
      <c r="B271" s="6" t="inlineStr">
        <is>
          <t>LGI Homes, Inc.</t>
        </is>
      </c>
      <c r="C271" s="6" t="inlineStr">
        <is>
          <t>Vice President of Construction, Houston, LGI Homes</t>
        </is>
      </c>
      <c r="D271" s="7" t="inlineStr">
        <is>
          <t>National scale, pilot not purchase</t>
        </is>
      </c>
      <c r="E271" s="8" t="n">
        <v>1</v>
      </c>
      <c r="F271" s="6" t="inlineStr">
        <is>
          <t>Buys walls</t>
        </is>
      </c>
      <c r="G271" s="6" t="inlineStr">
        <is>
          <t>The Woodlands HQ, Montgomery County</t>
        </is>
      </c>
      <c r="H271" s="6" t="inlineStr">
        <is>
          <t>153 active selling communities, 36 markets, 21 states</t>
        </is>
      </c>
      <c r="I271" s="8" t="inlineStr">
        <is>
          <t>Yes</t>
        </is>
      </c>
      <c r="J271" s="9" t="inlineStr">
        <is>
          <t>153 active selling communities on one systematic plan set.</t>
        </is>
      </c>
      <c r="K271" s="8" t="inlineStr">
        <is>
          <t>No</t>
        </is>
      </c>
      <c r="L271" s="9" t="inlineStr">
        <is>
          <t>Thousands of closings a year across 36 markets in 21 states.</t>
        </is>
      </c>
      <c r="M271" s="8" t="inlineStr">
        <is>
          <t>No</t>
        </is>
      </c>
      <c r="N271" s="9" t="inlineStr">
        <is>
          <t>Nothing on record.</t>
        </is>
      </c>
      <c r="O271" s="8" t="inlineStr">
        <is>
          <t>Yes</t>
        </is>
      </c>
      <c r="P271" s="6" t="inlineStr">
        <is>
          <t>https://www.linkedin.com/in/chuck-collier-48286829/</t>
        </is>
      </c>
      <c r="Q271" s="6" t="inlineStr"/>
      <c r="R271" s="11">
        <f>IF(P271="","ADD LINKEDIN","ok")</f>
        <v/>
      </c>
      <c r="S271" s="6" t="inlineStr">
        <is>
          <t>https://www.lgihomes.com/</t>
        </is>
      </c>
      <c r="T271" s="9" t="inlineStr">
        <is>
          <t>The most standardised product here, headquartered in the metro. Its Q2 2026 call mentions method, labour and cycle time zero times.</t>
        </is>
      </c>
      <c r="U271" s="6" t="inlineStr">
        <is>
          <t>YES</t>
        </is>
      </c>
      <c r="V271" s="9" t="inlineStr">
        <is>
          <t>VP of Construction, Houston, LGI Homes, stated in his own headline. Location shows only United States.</t>
        </is>
      </c>
      <c r="W271" s="6" t="inlineStr"/>
      <c r="X271" s="6" t="inlineStr">
        <is>
          <t>https://www.linkedin.com/company/lgi-homes</t>
        </is>
      </c>
      <c r="Y271" s="6" t="inlineStr">
        <is>
          <t>https://investor.lgihomes.com/corporate-governance/management</t>
        </is>
      </c>
      <c r="Z271" s="6" t="inlineStr"/>
      <c r="AA271" s="6" t="inlineStr"/>
      <c r="AB271" s="6" t="inlineStr"/>
      <c r="AC271" s="6" t="inlineStr"/>
    </row>
    <row r="272">
      <c r="A272" s="12" t="inlineStr">
        <is>
          <t>Kyle Hanna</t>
        </is>
      </c>
      <c r="B272" s="12" t="inlineStr">
        <is>
          <t>LGI Homes, Inc.</t>
        </is>
      </c>
      <c r="C272" s="12" t="inlineStr">
        <is>
          <t>Vice President of Purchasing, LGI Homes</t>
        </is>
      </c>
      <c r="D272" s="13" t="inlineStr">
        <is>
          <t>National scale, pilot not purchase</t>
        </is>
      </c>
      <c r="E272" s="14" t="n">
        <v>1</v>
      </c>
      <c r="F272" s="12" t="inlineStr">
        <is>
          <t>Buys walls</t>
        </is>
      </c>
      <c r="G272" s="12" t="inlineStr">
        <is>
          <t>The Woodlands HQ, Montgomery County</t>
        </is>
      </c>
      <c r="H272" s="12" t="inlineStr">
        <is>
          <t>153 active selling communities, 36 markets, 21 states</t>
        </is>
      </c>
      <c r="I272" s="14" t="inlineStr">
        <is>
          <t>Yes</t>
        </is>
      </c>
      <c r="J272" s="15" t="inlineStr">
        <is>
          <t>153 active selling communities on one systematic plan set.</t>
        </is>
      </c>
      <c r="K272" s="14" t="inlineStr">
        <is>
          <t>No</t>
        </is>
      </c>
      <c r="L272" s="15" t="inlineStr">
        <is>
          <t>Thousands of closings a year across 36 markets in 21 states.</t>
        </is>
      </c>
      <c r="M272" s="14" t="inlineStr">
        <is>
          <t>No</t>
        </is>
      </c>
      <c r="N272" s="15" t="inlineStr">
        <is>
          <t>Nothing on record.</t>
        </is>
      </c>
      <c r="O272" s="14" t="inlineStr">
        <is>
          <t>Yes</t>
        </is>
      </c>
      <c r="P272" s="6" t="inlineStr">
        <is>
          <t>https://www.linkedin.com/in/kylemhanna/</t>
        </is>
      </c>
      <c r="Q272" s="12" t="inlineStr"/>
      <c r="R272" s="16">
        <f>IF(P272="","ADD LINKEDIN","ok")</f>
        <v/>
      </c>
      <c r="S272" s="12" t="inlineStr">
        <is>
          <t>https://www.lgihomes.com/</t>
        </is>
      </c>
      <c r="T272" s="15" t="inlineStr">
        <is>
          <t>The most standardised product here, headquartered in the metro. Its Q2 2026 call mentions method, labour and cycle time zero times.</t>
        </is>
      </c>
      <c r="U272" s="12" t="inlineStr">
        <is>
          <t>YES</t>
        </is>
      </c>
      <c r="V272" s="15" t="inlineStr">
        <is>
          <t>Vice President of Purchasing at LGI Homes. Conroe, Texas, which is the head office. The construction vice presidents sit in the markets, Austin, San Antonio, Nashville, Denver, Seattle; purchasing is the one that sits in Greater Houston.</t>
        </is>
      </c>
      <c r="W272" s="12" t="inlineStr"/>
      <c r="X272" s="12" t="inlineStr">
        <is>
          <t>https://www.linkedin.com/company/lgi-homes</t>
        </is>
      </c>
      <c r="Y272" s="12" t="inlineStr">
        <is>
          <t>https://investor.lgihomes.com/corporate-governance/management</t>
        </is>
      </c>
      <c r="Z272" s="12" t="inlineStr"/>
      <c r="AA272" s="12" t="inlineStr"/>
      <c r="AB272" s="12" t="inlineStr"/>
      <c r="AC272" s="12" t="inlineStr"/>
    </row>
    <row r="273">
      <c r="A273" s="6" t="inlineStr">
        <is>
          <t>Bob Schottenstein</t>
        </is>
      </c>
      <c r="B273" s="6" t="inlineStr">
        <is>
          <t>M/I Homes, Inc.</t>
        </is>
      </c>
      <c r="C273" s="6" t="inlineStr">
        <is>
          <t>Chief Executive Officer</t>
        </is>
      </c>
      <c r="D273" s="7" t="inlineStr">
        <is>
          <t>National scale, pilot not purchase</t>
        </is>
      </c>
      <c r="E273" s="8" t="n">
        <v>1</v>
      </c>
      <c r="F273" s="6" t="inlineStr">
        <is>
          <t>Buys walls</t>
        </is>
      </c>
      <c r="G273" s="6" t="inlineStr">
        <is>
          <t>Columbus HQ / Liberty, Harris</t>
        </is>
      </c>
      <c r="H273" s="6" t="inlineStr">
        <is>
          <t>3 Houston land deals in 6 months</t>
        </is>
      </c>
      <c r="I273" s="8" t="inlineStr">
        <is>
          <t>Yes</t>
        </is>
      </c>
      <c r="J273" s="9" t="inlineStr">
        <is>
          <t>1,000 homes at Trinity Landing, three Houston land deals in six months.</t>
        </is>
      </c>
      <c r="K273" s="8" t="inlineStr">
        <is>
          <t>No</t>
        </is>
      </c>
      <c r="L273" s="9" t="inlineStr">
        <is>
          <t>A national builder, bought centrally, however good the Houston division is.</t>
        </is>
      </c>
      <c r="M273" s="8" t="inlineStr">
        <is>
          <t>No</t>
        </is>
      </c>
      <c r="N273" s="9" t="inlineStr">
        <is>
          <t>The CEO cites shorter cycle time but not what enabled it.</t>
        </is>
      </c>
      <c r="O273" s="8" t="inlineStr">
        <is>
          <t>Yes</t>
        </is>
      </c>
      <c r="P273" s="10" t="inlineStr"/>
      <c r="Q273" s="6">
        <f>HYPERLINK("https://www.linkedin.com/search/results/people/?keywords=Bob%20Schottenstein%20M/I%20Homes%2C%20Inc.","search")</f>
        <v/>
      </c>
      <c r="R273" s="11">
        <f>IF(P273="","ADD LINKEDIN","ok")</f>
        <v/>
      </c>
      <c r="S273" s="6" t="inlineStr">
        <is>
          <t>https://www.mihomes.com/</t>
        </is>
      </c>
      <c r="T273" s="9" t="inlineStr">
        <is>
          <t>1,000 homes at Trinity Landing and three Houston land deals in six months under a named division president.</t>
        </is>
      </c>
      <c r="U273" s="6" t="inlineStr"/>
      <c r="V273" s="9" t="inlineStr">
        <is>
          <t>Chairman, and Chief Executive Officer since January 2004, on M/I's own officers page.</t>
        </is>
      </c>
      <c r="W273" s="6" t="inlineStr">
        <is>
          <t>https://investors.mihomes.com/investor-relations/officers-directors/default.aspx</t>
        </is>
      </c>
      <c r="X273" s="6" t="inlineStr">
        <is>
          <t>https://www.linkedin.com/company/mihomes/</t>
        </is>
      </c>
      <c r="Y273" s="6" t="inlineStr">
        <is>
          <t>https://investors.mihomes.com/investor-relations/officers-directors/default.aspx</t>
        </is>
      </c>
      <c r="Z273" s="6" t="inlineStr"/>
      <c r="AA273" s="6" t="inlineStr"/>
      <c r="AB273" s="6" t="inlineStr"/>
      <c r="AC273" s="6" t="inlineStr"/>
    </row>
    <row r="274">
      <c r="A274" s="12" t="inlineStr">
        <is>
          <t>Jay McManus</t>
        </is>
      </c>
      <c r="B274" s="12" t="inlineStr">
        <is>
          <t>M/I Homes, Inc.</t>
        </is>
      </c>
      <c r="C274" s="12" t="inlineStr">
        <is>
          <t>Houston Division President</t>
        </is>
      </c>
      <c r="D274" s="13" t="inlineStr">
        <is>
          <t>National scale, pilot not purchase</t>
        </is>
      </c>
      <c r="E274" s="14" t="n">
        <v>1</v>
      </c>
      <c r="F274" s="12" t="inlineStr">
        <is>
          <t>Buys walls</t>
        </is>
      </c>
      <c r="G274" s="12" t="inlineStr">
        <is>
          <t>Columbus HQ / Liberty, Harris</t>
        </is>
      </c>
      <c r="H274" s="12" t="inlineStr">
        <is>
          <t>3 Houston land deals in 6 months</t>
        </is>
      </c>
      <c r="I274" s="14" t="inlineStr">
        <is>
          <t>Yes</t>
        </is>
      </c>
      <c r="J274" s="15" t="inlineStr">
        <is>
          <t>1,000 homes at Trinity Landing, three Houston land deals in six months.</t>
        </is>
      </c>
      <c r="K274" s="14" t="inlineStr">
        <is>
          <t>No</t>
        </is>
      </c>
      <c r="L274" s="15" t="inlineStr">
        <is>
          <t>A national builder, bought centrally, however good the Houston division is.</t>
        </is>
      </c>
      <c r="M274" s="14" t="inlineStr">
        <is>
          <t>No</t>
        </is>
      </c>
      <c r="N274" s="15" t="inlineStr">
        <is>
          <t>The CEO cites shorter cycle time but not what enabled it.</t>
        </is>
      </c>
      <c r="O274" s="14" t="inlineStr">
        <is>
          <t>Yes</t>
        </is>
      </c>
      <c r="P274" s="10" t="inlineStr"/>
      <c r="Q274" s="12">
        <f>HYPERLINK("https://www.linkedin.com/search/results/people/?keywords=Jay%20McManus%20M/I%20Homes%2C%20Inc.","search")</f>
        <v/>
      </c>
      <c r="R274" s="16">
        <f>IF(P274="","ADD LINKEDIN","ok")</f>
        <v/>
      </c>
      <c r="S274" s="12" t="inlineStr">
        <is>
          <t>https://www.mihomes.com/</t>
        </is>
      </c>
      <c r="T274" s="15" t="inlineStr">
        <is>
          <t>1,000 homes at Trinity Landing and three Houston land deals in six months under a named division president.</t>
        </is>
      </c>
      <c r="U274" s="12" t="inlineStr"/>
      <c r="V274" s="15" t="inlineStr">
        <is>
          <t>Named Houston division president for M/I Homes in trade coverage of the division's expansion. M/I's own site names corporate officers only.</t>
        </is>
      </c>
      <c r="W274" s="12" t="inlineStr">
        <is>
          <t>https://houstonagentmagazine.com/2021/08/23/m-i-homes-to-double-presence-in-houston-area/</t>
        </is>
      </c>
      <c r="X274" s="12" t="inlineStr">
        <is>
          <t>https://www.linkedin.com/company/mihomes/</t>
        </is>
      </c>
      <c r="Y274" s="12" t="inlineStr">
        <is>
          <t>https://investors.mihomes.com/investor-relations/officers-directors/default.aspx</t>
        </is>
      </c>
      <c r="Z274" s="12" t="inlineStr"/>
      <c r="AA274" s="12" t="inlineStr"/>
      <c r="AB274" s="12" t="inlineStr"/>
      <c r="AC274" s="12" t="inlineStr"/>
    </row>
    <row r="275">
      <c r="A275" s="6" t="inlineStr">
        <is>
          <t>Patrick Mayhan</t>
        </is>
      </c>
      <c r="B275" s="6" t="inlineStr">
        <is>
          <t>M/I Homes, Inc.</t>
        </is>
      </c>
      <c r="C275" s="6" t="inlineStr">
        <is>
          <t>Vice President of Purchasing, M/I Homes</t>
        </is>
      </c>
      <c r="D275" s="7" t="inlineStr">
        <is>
          <t>National scale, pilot not purchase</t>
        </is>
      </c>
      <c r="E275" s="8" t="n">
        <v>1</v>
      </c>
      <c r="F275" s="6" t="inlineStr">
        <is>
          <t>Buys walls</t>
        </is>
      </c>
      <c r="G275" s="6" t="inlineStr">
        <is>
          <t>Columbus HQ / Liberty, Harris</t>
        </is>
      </c>
      <c r="H275" s="6" t="inlineStr">
        <is>
          <t>3 Houston land deals in 6 months</t>
        </is>
      </c>
      <c r="I275" s="8" t="inlineStr">
        <is>
          <t>Yes</t>
        </is>
      </c>
      <c r="J275" s="9" t="inlineStr">
        <is>
          <t>1,000 homes at Trinity Landing, three Houston land deals in six months.</t>
        </is>
      </c>
      <c r="K275" s="8" t="inlineStr">
        <is>
          <t>No</t>
        </is>
      </c>
      <c r="L275" s="9" t="inlineStr">
        <is>
          <t>A national builder, bought centrally, however good the Houston division is.</t>
        </is>
      </c>
      <c r="M275" s="8" t="inlineStr">
        <is>
          <t>No</t>
        </is>
      </c>
      <c r="N275" s="9" t="inlineStr">
        <is>
          <t>The CEO cites shorter cycle time but not what enabled it.</t>
        </is>
      </c>
      <c r="O275" s="8" t="inlineStr">
        <is>
          <t>Yes</t>
        </is>
      </c>
      <c r="P275" s="6" t="inlineStr">
        <is>
          <t>https://www.linkedin.com/in/patrick-mayhan-5591478/</t>
        </is>
      </c>
      <c r="Q275" s="6" t="inlineStr"/>
      <c r="R275" s="11">
        <f>IF(P275="","ADD LINKEDIN","ok")</f>
        <v/>
      </c>
      <c r="S275" s="6" t="inlineStr">
        <is>
          <t>https://www.mihomes.com/</t>
        </is>
      </c>
      <c r="T275" s="9" t="inlineStr">
        <is>
          <t>1,000 homes at Trinity Landing and three Houston land deals in six months under a named division president.</t>
        </is>
      </c>
      <c r="U275" s="6" t="inlineStr">
        <is>
          <t>YES</t>
        </is>
      </c>
      <c r="V275" s="9" t="inlineStr">
        <is>
          <t>Vice President of Purchasing at M/I Homes, Inc. Houston, Texas. M/I lists two purchasing vice presidents in Houston; his title carries the corporate entity and Randy Barras's carries the Houston division.</t>
        </is>
      </c>
      <c r="W275" s="6" t="inlineStr"/>
      <c r="X275" s="6" t="inlineStr">
        <is>
          <t>https://www.linkedin.com/company/mihomes/</t>
        </is>
      </c>
      <c r="Y275" s="6" t="inlineStr">
        <is>
          <t>https://investors.mihomes.com/investor-relations/officers-directors/default.aspx</t>
        </is>
      </c>
      <c r="Z275" s="6" t="inlineStr"/>
      <c r="AA275" s="6" t="inlineStr"/>
      <c r="AB275" s="6" t="inlineStr"/>
      <c r="AC275" s="6" t="inlineStr"/>
    </row>
    <row r="276">
      <c r="A276" s="12" t="inlineStr">
        <is>
          <t>Randy Barras</t>
        </is>
      </c>
      <c r="B276" s="12" t="inlineStr">
        <is>
          <t>M/I Homes, Inc.</t>
        </is>
      </c>
      <c r="C276" s="12" t="inlineStr">
        <is>
          <t>Vice President of Purchasing, M/I Homes Houston</t>
        </is>
      </c>
      <c r="D276" s="13" t="inlineStr">
        <is>
          <t>National scale, pilot not purchase</t>
        </is>
      </c>
      <c r="E276" s="14" t="n">
        <v>1</v>
      </c>
      <c r="F276" s="12" t="inlineStr">
        <is>
          <t>Buys walls</t>
        </is>
      </c>
      <c r="G276" s="12" t="inlineStr">
        <is>
          <t>Columbus HQ / Liberty, Harris</t>
        </is>
      </c>
      <c r="H276" s="12" t="inlineStr">
        <is>
          <t>3 Houston land deals in 6 months</t>
        </is>
      </c>
      <c r="I276" s="14" t="inlineStr">
        <is>
          <t>Yes</t>
        </is>
      </c>
      <c r="J276" s="15" t="inlineStr">
        <is>
          <t>1,000 homes at Trinity Landing, three Houston land deals in six months.</t>
        </is>
      </c>
      <c r="K276" s="14" t="inlineStr">
        <is>
          <t>No</t>
        </is>
      </c>
      <c r="L276" s="15" t="inlineStr">
        <is>
          <t>A national builder, bought centrally, however good the Houston division is.</t>
        </is>
      </c>
      <c r="M276" s="14" t="inlineStr">
        <is>
          <t>No</t>
        </is>
      </c>
      <c r="N276" s="15" t="inlineStr">
        <is>
          <t>The CEO cites shorter cycle time but not what enabled it.</t>
        </is>
      </c>
      <c r="O276" s="14" t="inlineStr">
        <is>
          <t>Yes</t>
        </is>
      </c>
      <c r="P276" s="6" t="inlineStr">
        <is>
          <t>https://www.linkedin.com/in/rbarras/</t>
        </is>
      </c>
      <c r="Q276" s="12" t="inlineStr"/>
      <c r="R276" s="16">
        <f>IF(P276="","ADD LINKEDIN","ok")</f>
        <v/>
      </c>
      <c r="S276" s="12" t="inlineStr">
        <is>
          <t>https://www.mihomes.com/</t>
        </is>
      </c>
      <c r="T276" s="15" t="inlineStr">
        <is>
          <t>1,000 homes at Trinity Landing and three Houston land deals in six months under a named division president.</t>
        </is>
      </c>
      <c r="U276" s="12" t="inlineStr">
        <is>
          <t>YES</t>
        </is>
      </c>
      <c r="V276" s="15" t="inlineStr"/>
      <c r="W276" s="12" t="inlineStr"/>
      <c r="X276" s="12" t="inlineStr">
        <is>
          <t>https://www.linkedin.com/company/mihomes/</t>
        </is>
      </c>
      <c r="Y276" s="12" t="inlineStr">
        <is>
          <t>https://investors.mihomes.com/investor-relations/officers-directors/default.aspx</t>
        </is>
      </c>
      <c r="Z276" s="12" t="inlineStr"/>
      <c r="AA276" s="12" t="inlineStr"/>
      <c r="AB276" s="12" t="inlineStr"/>
      <c r="AC276" s="12" t="inlineStr"/>
    </row>
    <row r="277">
      <c r="A277" s="6" t="inlineStr">
        <is>
          <t>Darin Rowe</t>
        </is>
      </c>
      <c r="B277" s="6" t="inlineStr">
        <is>
          <t>Taylor Morrison Home Corporation</t>
        </is>
      </c>
      <c r="C277" s="6" t="inlineStr">
        <is>
          <t>National President, Build-to-Rent</t>
        </is>
      </c>
      <c r="D277" s="7" t="inlineStr">
        <is>
          <t>National scale, pilot not purchase</t>
        </is>
      </c>
      <c r="E277" s="8" t="n">
        <v>1</v>
      </c>
      <c r="F277" s="6" t="inlineStr">
        <is>
          <t>Buys walls</t>
        </is>
      </c>
      <c r="G277" s="6" t="inlineStr">
        <is>
          <t>Scottsdale HQ / Harris County</t>
        </is>
      </c>
      <c r="H277" s="6" t="inlineStr">
        <is>
          <t>240-home Houston BTR community</t>
        </is>
      </c>
      <c r="I277" s="8" t="inlineStr">
        <is>
          <t>Yes</t>
        </is>
      </c>
      <c r="J277" s="9" t="inlineStr">
        <is>
          <t>A 240-home Houston build-to-rent community and a dedicated brand.</t>
        </is>
      </c>
      <c r="K277" s="8" t="inlineStr">
        <is>
          <t>No</t>
        </is>
      </c>
      <c r="L277" s="9" t="inlineStr">
        <is>
          <t>A national builder with a national build-to-rent brand.</t>
        </is>
      </c>
      <c r="M277" s="8" t="inlineStr">
        <is>
          <t>No</t>
        </is>
      </c>
      <c r="N277" s="9" t="inlineStr">
        <is>
          <t>Its Yardly retrospective cites input costs with no method detail.</t>
        </is>
      </c>
      <c r="O277" s="8" t="inlineStr">
        <is>
          <t>Yes</t>
        </is>
      </c>
      <c r="P277" s="10" t="inlineStr"/>
      <c r="Q277" s="6">
        <f>HYPERLINK("https://www.linkedin.com/search/results/people/?keywords=Darin%20Rowe%20Taylor%20Morrison%20Home%20Corporation","search")</f>
        <v/>
      </c>
      <c r="R277" s="11">
        <f>IF(P277="","ADD LINKEDIN","ok")</f>
        <v/>
      </c>
      <c r="S277" s="6" t="inlineStr">
        <is>
          <t>https://www.taylormorrison.com/</t>
        </is>
      </c>
      <c r="T277" s="9" t="inlineStr">
        <is>
          <t>A 240-home Houston build-to-rent community and a dedicated brand. The division president role dates to 2018 and is unconfirmed.</t>
        </is>
      </c>
      <c r="U277" s="6" t="inlineStr"/>
      <c r="V277" s="9" t="inlineStr">
        <is>
          <t>Build-to-Rent President, quoted on the launch of the Yardly brand. National, not Houston.</t>
        </is>
      </c>
      <c r="W277" s="6" t="inlineStr">
        <is>
          <t>https://newsroom.taylormorrison.com/2022-11-14-Taylor-Morrison-Unveils-New-Build-To-Rent-Brand,-Yardly</t>
        </is>
      </c>
      <c r="X277" s="6" t="inlineStr">
        <is>
          <t>https://www.linkedin.com/company/taylor-morrison</t>
        </is>
      </c>
      <c r="Y277" s="6" t="inlineStr">
        <is>
          <t>https://newsroom.taylormorrison.com/Leadership</t>
        </is>
      </c>
      <c r="Z277" s="6" t="inlineStr"/>
      <c r="AA277" s="6" t="inlineStr"/>
      <c r="AB277" s="6" t="inlineStr"/>
      <c r="AC277" s="6" t="inlineStr">
        <is>
          <t>https://www.taylormorrison.com/contact-us</t>
        </is>
      </c>
    </row>
    <row r="278">
      <c r="A278" s="12" t="inlineStr">
        <is>
          <t>Amy Rino</t>
        </is>
      </c>
      <c r="B278" s="12" t="inlineStr">
        <is>
          <t>Taylor Morrison Home Corporation</t>
        </is>
      </c>
      <c r="C278" s="12" t="inlineStr">
        <is>
          <t>Chief Customer Officer, Taylor Morrison, Scottsdale (2026); ex-Houston Division President</t>
        </is>
      </c>
      <c r="D278" s="13" t="inlineStr">
        <is>
          <t>National scale, pilot not purchase</t>
        </is>
      </c>
      <c r="E278" s="14" t="n">
        <v>1</v>
      </c>
      <c r="F278" s="12" t="inlineStr">
        <is>
          <t>Buys walls</t>
        </is>
      </c>
      <c r="G278" s="12" t="inlineStr">
        <is>
          <t>Scottsdale HQ / Harris County</t>
        </is>
      </c>
      <c r="H278" s="12" t="inlineStr">
        <is>
          <t>240-home Houston BTR community</t>
        </is>
      </c>
      <c r="I278" s="14" t="inlineStr">
        <is>
          <t>Yes</t>
        </is>
      </c>
      <c r="J278" s="15" t="inlineStr">
        <is>
          <t>A 240-home Houston build-to-rent community and a dedicated brand.</t>
        </is>
      </c>
      <c r="K278" s="14" t="inlineStr">
        <is>
          <t>No</t>
        </is>
      </c>
      <c r="L278" s="15" t="inlineStr">
        <is>
          <t>A national builder with a national build-to-rent brand.</t>
        </is>
      </c>
      <c r="M278" s="14" t="inlineStr">
        <is>
          <t>No</t>
        </is>
      </c>
      <c r="N278" s="15" t="inlineStr">
        <is>
          <t>Its Yardly retrospective cites input costs with no method detail.</t>
        </is>
      </c>
      <c r="O278" s="14" t="inlineStr">
        <is>
          <t>Yes</t>
        </is>
      </c>
      <c r="P278" s="6" t="inlineStr">
        <is>
          <t>https://www.linkedin.com/in/amy-rino-5152b111/</t>
        </is>
      </c>
      <c r="Q278" s="12" t="inlineStr"/>
      <c r="R278" s="16">
        <f>IF(P278="","ADD LINKEDIN","ok")</f>
        <v/>
      </c>
      <c r="S278" s="12" t="inlineStr">
        <is>
          <t>https://www.taylormorrison.com/</t>
        </is>
      </c>
      <c r="T278" s="15" t="inlineStr">
        <is>
          <t>A 240-home Houston build-to-rent community and a dedicated brand. The division president role dates to 2018 and is unconfirmed.</t>
        </is>
      </c>
      <c r="U278" s="12" t="inlineStr"/>
      <c r="V278" s="15" t="inlineStr">
        <is>
          <t>Amy Rino is now Chief Customer Officer at Taylor Morrison in Scottsdale, not Houston division president. No current Houston division leader is identified.</t>
        </is>
      </c>
      <c r="W278" s="12" t="inlineStr"/>
      <c r="X278" s="12" t="inlineStr">
        <is>
          <t>https://www.linkedin.com/company/taylor-morrison</t>
        </is>
      </c>
      <c r="Y278" s="12" t="inlineStr">
        <is>
          <t>https://newsroom.taylormorrison.com/Leadership</t>
        </is>
      </c>
      <c r="Z278" s="12" t="inlineStr"/>
      <c r="AA278" s="12" t="inlineStr"/>
      <c r="AB278" s="12" t="inlineStr"/>
      <c r="AC278" s="12" t="inlineStr">
        <is>
          <t>https://www.taylormorrison.com/contact-us</t>
        </is>
      </c>
    </row>
    <row r="279">
      <c r="A279" s="6" t="inlineStr">
        <is>
          <t>Ken Balogh</t>
        </is>
      </c>
      <c r="B279" s="6" t="inlineStr">
        <is>
          <t>Ashton Woods Homes</t>
        </is>
      </c>
      <c r="C279" s="6" t="inlineStr">
        <is>
          <t>President and Chief Executive Officer</t>
        </is>
      </c>
      <c r="D279" s="7" t="inlineStr">
        <is>
          <t>National scale, pilot not purchase</t>
        </is>
      </c>
      <c r="E279" s="8" t="n">
        <v>1</v>
      </c>
      <c r="F279" s="6" t="inlineStr">
        <is>
          <t>Buys walls</t>
        </is>
      </c>
      <c r="G279" s="6" t="inlineStr">
        <is>
          <t>Alpharetta HQ / Harris, Fort Bend</t>
        </is>
      </c>
      <c r="H279" s="6" t="inlineStr">
        <is>
          <t>14+ named Houston communities</t>
        </is>
      </c>
      <c r="I279" s="8" t="inlineStr">
        <is>
          <t>Yes</t>
        </is>
      </c>
      <c r="J279" s="9" t="inlineStr">
        <is>
          <t>Fourteen named Houston communities.</t>
        </is>
      </c>
      <c r="K279" s="8" t="inlineStr">
        <is>
          <t>No</t>
        </is>
      </c>
      <c r="L279" s="9" t="inlineStr">
        <is>
          <t>A national builder with a corporate purchasing function.</t>
        </is>
      </c>
      <c r="M279" s="8" t="inlineStr">
        <is>
          <t>No</t>
        </is>
      </c>
      <c r="N279" s="9" t="inlineStr">
        <is>
          <t>No firm-specific method evidence found.</t>
        </is>
      </c>
      <c r="O279" s="8" t="inlineStr">
        <is>
          <t>Partly</t>
        </is>
      </c>
      <c r="P279" s="10" t="inlineStr"/>
      <c r="Q279" s="6">
        <f>HYPERLINK("https://www.linkedin.com/search/results/people/?keywords=Ken%20Balogh%20Ashton%20Woods%20Homes","search")</f>
        <v/>
      </c>
      <c r="R279" s="11">
        <f>IF(P279="","ADD LINKEDIN","ok")</f>
        <v/>
      </c>
      <c r="S279" s="6" t="inlineStr">
        <is>
          <t>https://www.ashtonwoods.com/</t>
        </is>
      </c>
      <c r="T279" s="9" t="inlineStr">
        <is>
          <t>14 named Houston communities and a Texas regional president.</t>
        </is>
      </c>
      <c r="U279" s="6" t="inlineStr"/>
      <c r="V279" s="9" t="inlineStr"/>
      <c r="W279" s="6" t="inlineStr">
        <is>
          <t>https://www.ashtonwoods.com/corporate-info</t>
        </is>
      </c>
      <c r="X279" s="6" t="inlineStr">
        <is>
          <t>https://www.linkedin.com/company/ashton-woods-homes</t>
        </is>
      </c>
      <c r="Y279" s="6" t="inlineStr">
        <is>
          <t>https://www.ashtonwoods.com/corporate-info</t>
        </is>
      </c>
      <c r="Z279" s="6" t="inlineStr"/>
      <c r="AA279" s="6" t="inlineStr">
        <is>
          <t>(770) 998-9663</t>
        </is>
      </c>
      <c r="AB279" s="6" t="inlineStr">
        <is>
          <t>corporate headquarters, Alpharetta, Georgia</t>
        </is>
      </c>
      <c r="AC279" s="6" t="inlineStr">
        <is>
          <t>https://www.ashtonwoods.com/corporate-info</t>
        </is>
      </c>
    </row>
    <row r="280">
      <c r="A280" s="12" t="inlineStr">
        <is>
          <t>Lindsay Motley</t>
        </is>
      </c>
      <c r="B280" s="12" t="inlineStr">
        <is>
          <t>Ashton Woods Homes</t>
        </is>
      </c>
      <c r="C280" s="12" t="inlineStr">
        <is>
          <t>Regional President</t>
        </is>
      </c>
      <c r="D280" s="13" t="inlineStr">
        <is>
          <t>National scale, pilot not purchase</t>
        </is>
      </c>
      <c r="E280" s="14" t="n">
        <v>1</v>
      </c>
      <c r="F280" s="12" t="inlineStr">
        <is>
          <t>Buys walls</t>
        </is>
      </c>
      <c r="G280" s="12" t="inlineStr">
        <is>
          <t>Alpharetta HQ / Harris, Fort Bend</t>
        </is>
      </c>
      <c r="H280" s="12" t="inlineStr">
        <is>
          <t>14+ named Houston communities</t>
        </is>
      </c>
      <c r="I280" s="14" t="inlineStr">
        <is>
          <t>Yes</t>
        </is>
      </c>
      <c r="J280" s="15" t="inlineStr">
        <is>
          <t>Fourteen named Houston communities.</t>
        </is>
      </c>
      <c r="K280" s="14" t="inlineStr">
        <is>
          <t>No</t>
        </is>
      </c>
      <c r="L280" s="15" t="inlineStr">
        <is>
          <t>A national builder with a corporate purchasing function.</t>
        </is>
      </c>
      <c r="M280" s="14" t="inlineStr">
        <is>
          <t>No</t>
        </is>
      </c>
      <c r="N280" s="15" t="inlineStr">
        <is>
          <t>No firm-specific method evidence found.</t>
        </is>
      </c>
      <c r="O280" s="14" t="inlineStr">
        <is>
          <t>Partly</t>
        </is>
      </c>
      <c r="P280" s="10" t="inlineStr"/>
      <c r="Q280" s="12">
        <f>HYPERLINK("https://www.linkedin.com/search/results/people/?keywords=Lindsay%20Motley%20Ashton%20Woods%20Homes","search")</f>
        <v/>
      </c>
      <c r="R280" s="16">
        <f>IF(P280="","ADD LINKEDIN","ok")</f>
        <v/>
      </c>
      <c r="S280" s="12" t="inlineStr">
        <is>
          <t>https://www.ashtonwoods.com/</t>
        </is>
      </c>
      <c r="T280" s="15" t="inlineStr">
        <is>
          <t>14 named Houston communities and a Texas regional president.</t>
        </is>
      </c>
      <c r="U280" s="12" t="inlineStr"/>
      <c r="V280" s="15" t="inlineStr">
        <is>
          <t>Regional President. The firm's own announcement names her Austin division president.</t>
        </is>
      </c>
      <c r="W280" s="12" t="inlineStr">
        <is>
          <t>https://www.ashtonwoods.com/corporate-info</t>
        </is>
      </c>
      <c r="X280" s="12" t="inlineStr">
        <is>
          <t>https://www.linkedin.com/company/ashton-woods-homes</t>
        </is>
      </c>
      <c r="Y280" s="12" t="inlineStr">
        <is>
          <t>https://www.ashtonwoods.com/corporate-info</t>
        </is>
      </c>
      <c r="Z280" s="12" t="inlineStr"/>
      <c r="AA280" s="12" t="inlineStr">
        <is>
          <t>(770) 998-9663</t>
        </is>
      </c>
      <c r="AB280" s="12" t="inlineStr">
        <is>
          <t>corporate headquarters, Alpharetta, Georgia</t>
        </is>
      </c>
      <c r="AC280" s="12" t="inlineStr">
        <is>
          <t>https://www.ashtonwoods.com/corporate-info</t>
        </is>
      </c>
    </row>
    <row r="281">
      <c r="A281" s="6" t="inlineStr">
        <is>
          <t>Ryan Lewis</t>
        </is>
      </c>
      <c r="B281" s="6" t="inlineStr">
        <is>
          <t>Ashton Woods Homes</t>
        </is>
      </c>
      <c r="C281" s="6" t="inlineStr">
        <is>
          <t>Chief Operating Officer</t>
        </is>
      </c>
      <c r="D281" s="7" t="inlineStr">
        <is>
          <t>National scale, pilot not purchase</t>
        </is>
      </c>
      <c r="E281" s="8" t="n">
        <v>1</v>
      </c>
      <c r="F281" s="6" t="inlineStr">
        <is>
          <t>Buys walls</t>
        </is>
      </c>
      <c r="G281" s="6" t="inlineStr">
        <is>
          <t>Alpharetta HQ / Harris, Fort Bend</t>
        </is>
      </c>
      <c r="H281" s="6" t="inlineStr">
        <is>
          <t>14+ named Houston communities</t>
        </is>
      </c>
      <c r="I281" s="8" t="inlineStr">
        <is>
          <t>Yes</t>
        </is>
      </c>
      <c r="J281" s="9" t="inlineStr">
        <is>
          <t>Fourteen named Houston communities.</t>
        </is>
      </c>
      <c r="K281" s="8" t="inlineStr">
        <is>
          <t>No</t>
        </is>
      </c>
      <c r="L281" s="9" t="inlineStr">
        <is>
          <t>A national builder with a corporate purchasing function.</t>
        </is>
      </c>
      <c r="M281" s="8" t="inlineStr">
        <is>
          <t>No</t>
        </is>
      </c>
      <c r="N281" s="9" t="inlineStr">
        <is>
          <t>No firm-specific method evidence found.</t>
        </is>
      </c>
      <c r="O281" s="8" t="inlineStr">
        <is>
          <t>Partly</t>
        </is>
      </c>
      <c r="P281" s="10" t="inlineStr"/>
      <c r="Q281" s="6">
        <f>HYPERLINK("https://www.linkedin.com/search/results/people/?keywords=Ryan%20Lewis%20Ashton%20Woods%20Homes","search")</f>
        <v/>
      </c>
      <c r="R281" s="11">
        <f>IF(P281="","ADD LINKEDIN","ok")</f>
        <v/>
      </c>
      <c r="S281" s="6" t="inlineStr">
        <is>
          <t>https://www.ashtonwoods.com/</t>
        </is>
      </c>
      <c r="T281" s="9" t="inlineStr">
        <is>
          <t>14 named Houston communities and a Texas regional president.</t>
        </is>
      </c>
      <c r="U281" s="6" t="inlineStr"/>
      <c r="V281" s="9" t="inlineStr"/>
      <c r="W281" s="6" t="inlineStr">
        <is>
          <t>https://www.ashtonwoods.com/corporate-info</t>
        </is>
      </c>
      <c r="X281" s="6" t="inlineStr">
        <is>
          <t>https://www.linkedin.com/company/ashton-woods-homes</t>
        </is>
      </c>
      <c r="Y281" s="6" t="inlineStr">
        <is>
          <t>https://www.ashtonwoods.com/corporate-info</t>
        </is>
      </c>
      <c r="Z281" s="6" t="inlineStr"/>
      <c r="AA281" s="6" t="inlineStr">
        <is>
          <t>(770) 998-9663</t>
        </is>
      </c>
      <c r="AB281" s="6" t="inlineStr">
        <is>
          <t>corporate headquarters, Alpharetta, Georgia</t>
        </is>
      </c>
      <c r="AC281" s="6" t="inlineStr">
        <is>
          <t>https://www.ashtonwoods.com/corporate-info</t>
        </is>
      </c>
    </row>
    <row r="282">
      <c r="A282" s="12" t="inlineStr">
        <is>
          <t>Adam Weaver</t>
        </is>
      </c>
      <c r="B282" s="12" t="inlineStr">
        <is>
          <t>Ashton Woods Homes</t>
        </is>
      </c>
      <c r="C282" s="12" t="inlineStr">
        <is>
          <t>Senior Vice President of Purchasing</t>
        </is>
      </c>
      <c r="D282" s="13" t="inlineStr">
        <is>
          <t>National scale, pilot not purchase</t>
        </is>
      </c>
      <c r="E282" s="14" t="n">
        <v>1</v>
      </c>
      <c r="F282" s="12" t="inlineStr">
        <is>
          <t>Buys walls</t>
        </is>
      </c>
      <c r="G282" s="12" t="inlineStr">
        <is>
          <t>Alpharetta HQ / Harris, Fort Bend</t>
        </is>
      </c>
      <c r="H282" s="12" t="inlineStr">
        <is>
          <t>14+ named Houston communities</t>
        </is>
      </c>
      <c r="I282" s="14" t="inlineStr">
        <is>
          <t>Yes</t>
        </is>
      </c>
      <c r="J282" s="15" t="inlineStr">
        <is>
          <t>Fourteen named Houston communities.</t>
        </is>
      </c>
      <c r="K282" s="14" t="inlineStr">
        <is>
          <t>No</t>
        </is>
      </c>
      <c r="L282" s="15" t="inlineStr">
        <is>
          <t>A national builder with a corporate purchasing function.</t>
        </is>
      </c>
      <c r="M282" s="14" t="inlineStr">
        <is>
          <t>No</t>
        </is>
      </c>
      <c r="N282" s="15" t="inlineStr">
        <is>
          <t>No firm-specific method evidence found.</t>
        </is>
      </c>
      <c r="O282" s="14" t="inlineStr">
        <is>
          <t>Partly</t>
        </is>
      </c>
      <c r="P282" s="10" t="inlineStr"/>
      <c r="Q282" s="12" t="inlineStr"/>
      <c r="R282" s="16">
        <f>IF(P282="","ADD LINKEDIN","ok")</f>
        <v/>
      </c>
      <c r="S282" s="12" t="inlineStr">
        <is>
          <t>https://www.ashtonwoods.com/</t>
        </is>
      </c>
      <c r="T282" s="15" t="inlineStr">
        <is>
          <t>14 named Houston communities and a Texas regional president.</t>
        </is>
      </c>
      <c r="U282" s="12" t="inlineStr">
        <is>
          <t>YES</t>
        </is>
      </c>
      <c r="V282" s="15" t="inlineStr"/>
      <c r="W282" s="12" t="inlineStr">
        <is>
          <t>https://www.ashtonwoods.com/corporate-info</t>
        </is>
      </c>
      <c r="X282" s="12" t="inlineStr">
        <is>
          <t>https://www.linkedin.com/company/ashton-woods-homes</t>
        </is>
      </c>
      <c r="Y282" s="12" t="inlineStr">
        <is>
          <t>https://www.ashtonwoods.com/corporate-info</t>
        </is>
      </c>
      <c r="Z282" s="12" t="inlineStr"/>
      <c r="AA282" s="12" t="inlineStr">
        <is>
          <t>(770) 998-9663</t>
        </is>
      </c>
      <c r="AB282" s="12" t="inlineStr">
        <is>
          <t>corporate headquarters, Alpharetta, Georgia</t>
        </is>
      </c>
      <c r="AC282" s="12" t="inlineStr">
        <is>
          <t>https://www.ashtonwoods.com/corporate-info</t>
        </is>
      </c>
    </row>
    <row r="283">
      <c r="A283" s="6" t="inlineStr">
        <is>
          <t>Ken Newman</t>
        </is>
      </c>
      <c r="B283" s="6" t="inlineStr">
        <is>
          <t>Ashton Woods Homes</t>
        </is>
      </c>
      <c r="C283" s="6" t="inlineStr">
        <is>
          <t>Senior Vice President of Construction Operations</t>
        </is>
      </c>
      <c r="D283" s="7" t="inlineStr">
        <is>
          <t>National scale, pilot not purchase</t>
        </is>
      </c>
      <c r="E283" s="8" t="n">
        <v>1</v>
      </c>
      <c r="F283" s="6" t="inlineStr">
        <is>
          <t>Buys walls</t>
        </is>
      </c>
      <c r="G283" s="6" t="inlineStr">
        <is>
          <t>Alpharetta HQ / Harris, Fort Bend</t>
        </is>
      </c>
      <c r="H283" s="6" t="inlineStr">
        <is>
          <t>14+ named Houston communities</t>
        </is>
      </c>
      <c r="I283" s="8" t="inlineStr">
        <is>
          <t>Yes</t>
        </is>
      </c>
      <c r="J283" s="9" t="inlineStr">
        <is>
          <t>Fourteen named Houston communities.</t>
        </is>
      </c>
      <c r="K283" s="8" t="inlineStr">
        <is>
          <t>No</t>
        </is>
      </c>
      <c r="L283" s="9" t="inlineStr">
        <is>
          <t>A national builder with a corporate purchasing function.</t>
        </is>
      </c>
      <c r="M283" s="8" t="inlineStr">
        <is>
          <t>No</t>
        </is>
      </c>
      <c r="N283" s="9" t="inlineStr">
        <is>
          <t>No firm-specific method evidence found.</t>
        </is>
      </c>
      <c r="O283" s="8" t="inlineStr">
        <is>
          <t>Partly</t>
        </is>
      </c>
      <c r="P283" s="10" t="inlineStr"/>
      <c r="Q283" s="6" t="inlineStr"/>
      <c r="R283" s="11">
        <f>IF(P283="","ADD LINKEDIN","ok")</f>
        <v/>
      </c>
      <c r="S283" s="6" t="inlineStr">
        <is>
          <t>https://www.ashtonwoods.com/</t>
        </is>
      </c>
      <c r="T283" s="9" t="inlineStr">
        <is>
          <t>14 named Houston communities and a Texas regional president.</t>
        </is>
      </c>
      <c r="U283" s="6" t="inlineStr">
        <is>
          <t>YES</t>
        </is>
      </c>
      <c r="V283" s="9" t="inlineStr"/>
      <c r="W283" s="6" t="inlineStr">
        <is>
          <t>https://www.ashtonwoods.com/corporate-info</t>
        </is>
      </c>
      <c r="X283" s="6" t="inlineStr">
        <is>
          <t>https://www.linkedin.com/company/ashton-woods-homes</t>
        </is>
      </c>
      <c r="Y283" s="6" t="inlineStr">
        <is>
          <t>https://www.ashtonwoods.com/corporate-info</t>
        </is>
      </c>
      <c r="Z283" s="6" t="inlineStr"/>
      <c r="AA283" s="6" t="inlineStr">
        <is>
          <t>(770) 998-9663</t>
        </is>
      </c>
      <c r="AB283" s="6" t="inlineStr">
        <is>
          <t>corporate headquarters, Alpharetta, Georgia</t>
        </is>
      </c>
      <c r="AC283" s="6" t="inlineStr">
        <is>
          <t>https://www.ashtonwoods.com/corporate-info</t>
        </is>
      </c>
    </row>
    <row r="284">
      <c r="A284" s="12" t="inlineStr">
        <is>
          <t>Kathy Britton</t>
        </is>
      </c>
      <c r="B284" s="12" t="inlineStr">
        <is>
          <t>Perry Homes</t>
        </is>
      </c>
      <c r="C284" s="12" t="inlineStr">
        <is>
          <t>Owner and Executive Chair</t>
        </is>
      </c>
      <c r="D284" s="13" t="inlineStr">
        <is>
          <t>National scale, pilot not purchase</t>
        </is>
      </c>
      <c r="E284" s="14" t="n">
        <v>1</v>
      </c>
      <c r="F284" s="12" t="inlineStr">
        <is>
          <t>Buys walls</t>
        </is>
      </c>
      <c r="G284" s="12" t="inlineStr">
        <is>
          <t>Houston HQ, Harris County</t>
        </is>
      </c>
      <c r="H284" s="12" t="inlineStr">
        <is>
          <t>Four Texas markets and five in Florida, no volume published</t>
        </is>
      </c>
      <c r="I284" s="14" t="inlineStr">
        <is>
          <t>Yes</t>
        </is>
      </c>
      <c r="J284" s="15" t="inlineStr">
        <is>
          <t>Nine markets across two states on one plan library.</t>
        </is>
      </c>
      <c r="K284" s="14" t="inlineStr">
        <is>
          <t>No</t>
        </is>
      </c>
      <c r="L284" s="15" t="inlineStr">
        <is>
          <t>Nine markets across two states. The volume is far above what one or two printers cover, and it is bought centrally.</t>
        </is>
      </c>
      <c r="M284" s="14" t="inlineStr">
        <is>
          <t>No</t>
        </is>
      </c>
      <c r="N284" s="15" t="inlineStr">
        <is>
          <t>Its own published definition of innovation is smart-home features and floor plans.</t>
        </is>
      </c>
      <c r="O284" s="14" t="inlineStr">
        <is>
          <t>Partly</t>
        </is>
      </c>
      <c r="P284" s="10" t="inlineStr"/>
      <c r="Q284" s="12">
        <f>HYPERLINK("https://www.linkedin.com/search/results/people/?keywords=Kathy%20Britton%20Perry%20Homes","search")</f>
        <v/>
      </c>
      <c r="R284" s="16">
        <f>IF(P284="","ADD LINKEDIN","ok")</f>
        <v/>
      </c>
      <c r="S284" s="12" t="inlineStr">
        <is>
          <t>https://www.perryhomes.com/</t>
        </is>
      </c>
      <c r="T284" s="15" t="inlineStr">
        <is>
          <t>120 communities and local ownership. Its published innovation page covers smart-home features and floor plans.</t>
        </is>
      </c>
      <c r="U284" s="12" t="inlineStr"/>
      <c r="V284" s="15" t="inlineStr">
        <is>
          <t>Perry's own page: Owner and Executive Chair, having succeeded her father Bob Perry as chief executive.</t>
        </is>
      </c>
      <c r="W284" s="12" t="inlineStr">
        <is>
          <t>https://www.perryhomes.com/about-perry-homes</t>
        </is>
      </c>
      <c r="X284" s="12" t="inlineStr">
        <is>
          <t>https://www.linkedin.com/company/perry-homes</t>
        </is>
      </c>
      <c r="Y284" s="12" t="inlineStr">
        <is>
          <t>https://www.perryhomes.com/about-perry-homes</t>
        </is>
      </c>
      <c r="Z284" s="12" t="inlineStr"/>
      <c r="AA284" s="12" t="inlineStr">
        <is>
          <t>(800) 247-3779</t>
        </is>
      </c>
      <c r="AB284" s="12" t="inlineStr"/>
      <c r="AC284" s="12" t="inlineStr">
        <is>
          <t>https://www.perryhomes.com/contact-us</t>
        </is>
      </c>
    </row>
    <row r="285">
      <c r="A285" s="6" t="inlineStr">
        <is>
          <t>Todd Chachere</t>
        </is>
      </c>
      <c r="B285" s="6" t="inlineStr">
        <is>
          <t>Perry Homes</t>
        </is>
      </c>
      <c r="C285" s="6" t="inlineStr">
        <is>
          <t>Chief Executive Officer</t>
        </is>
      </c>
      <c r="D285" s="7" t="inlineStr">
        <is>
          <t>National scale, pilot not purchase</t>
        </is>
      </c>
      <c r="E285" s="8" t="n">
        <v>1</v>
      </c>
      <c r="F285" s="6" t="inlineStr">
        <is>
          <t>Buys walls</t>
        </is>
      </c>
      <c r="G285" s="6" t="inlineStr">
        <is>
          <t>Houston HQ, Harris County</t>
        </is>
      </c>
      <c r="H285" s="6" t="inlineStr">
        <is>
          <t>Four Texas markets and five in Florida, no volume published</t>
        </is>
      </c>
      <c r="I285" s="8" t="inlineStr">
        <is>
          <t>Yes</t>
        </is>
      </c>
      <c r="J285" s="9" t="inlineStr">
        <is>
          <t>Nine markets across two states on one plan library.</t>
        </is>
      </c>
      <c r="K285" s="8" t="inlineStr">
        <is>
          <t>No</t>
        </is>
      </c>
      <c r="L285" s="9" t="inlineStr">
        <is>
          <t>Nine markets across two states. The volume is far above what one or two printers cover, and it is bought centrally.</t>
        </is>
      </c>
      <c r="M285" s="8" t="inlineStr">
        <is>
          <t>No</t>
        </is>
      </c>
      <c r="N285" s="9" t="inlineStr">
        <is>
          <t>Its own published definition of innovation is smart-home features and floor plans.</t>
        </is>
      </c>
      <c r="O285" s="8" t="inlineStr">
        <is>
          <t>Partly</t>
        </is>
      </c>
      <c r="P285" s="10" t="inlineStr"/>
      <c r="Q285" s="6">
        <f>HYPERLINK("https://www.linkedin.com/search/results/people/?keywords=Todd%20Chachere%20Perry%20Homes","search")</f>
        <v/>
      </c>
      <c r="R285" s="11">
        <f>IF(P285="","ADD LINKEDIN","ok")</f>
        <v/>
      </c>
      <c r="S285" s="6" t="inlineStr">
        <is>
          <t>https://www.perryhomes.com/</t>
        </is>
      </c>
      <c r="T285" s="9" t="inlineStr">
        <is>
          <t>120 communities and local ownership. Its published innovation page covers smart-home features and floor plans.</t>
        </is>
      </c>
      <c r="U285" s="6" t="inlineStr"/>
      <c r="V285" s="9" t="inlineStr"/>
      <c r="W285" s="6" t="inlineStr">
        <is>
          <t>https://www.perryhomes.com/about-perry-homes</t>
        </is>
      </c>
      <c r="X285" s="6" t="inlineStr">
        <is>
          <t>https://www.linkedin.com/company/perry-homes</t>
        </is>
      </c>
      <c r="Y285" s="6" t="inlineStr">
        <is>
          <t>https://www.perryhomes.com/about-perry-homes</t>
        </is>
      </c>
      <c r="Z285" s="6" t="inlineStr"/>
      <c r="AA285" s="6" t="inlineStr">
        <is>
          <t>(800) 247-3779</t>
        </is>
      </c>
      <c r="AB285" s="6" t="inlineStr"/>
      <c r="AC285" s="6" t="inlineStr">
        <is>
          <t>https://www.perryhomes.com/contact-us</t>
        </is>
      </c>
    </row>
    <row r="286">
      <c r="A286" s="12" t="inlineStr">
        <is>
          <t>Ronny Salameh</t>
        </is>
      </c>
      <c r="B286" s="12" t="inlineStr">
        <is>
          <t>Brightland Homes</t>
        </is>
      </c>
      <c r="C286" s="12" t="inlineStr">
        <is>
          <t>President and Chief Executive Officer, The DRB Group</t>
        </is>
      </c>
      <c r="D286" s="13" t="inlineStr">
        <is>
          <t>National scale, pilot not purchase</t>
        </is>
      </c>
      <c r="E286" s="14" t="n">
        <v>1</v>
      </c>
      <c r="F286" s="12" t="inlineStr">
        <is>
          <t>Buys walls</t>
        </is>
      </c>
      <c r="G286" s="12" t="inlineStr">
        <is>
          <t>Addison HQ / Montgomery, Harris</t>
        </is>
      </c>
      <c r="H286" s="12" t="inlineStr">
        <is>
          <t>110 communities, 17,000+ homes delivered</t>
        </is>
      </c>
      <c r="I286" s="14" t="inlineStr">
        <is>
          <t>Partly</t>
        </is>
      </c>
      <c r="J286" s="15" t="inlineStr">
        <is>
          <t>110 active communities.</t>
        </is>
      </c>
      <c r="K286" s="14" t="inlineStr">
        <is>
          <t>No</t>
        </is>
      </c>
      <c r="L286" s="15" t="inlineStr">
        <is>
          <t>110 communities inside the DRB platform, bought by a parent that has put capital into wood.</t>
        </is>
      </c>
      <c r="M286" s="14" t="inlineStr">
        <is>
          <t>No</t>
        </is>
      </c>
      <c r="N286" s="15" t="inlineStr">
        <is>
          <t>Owner Sumitomo Forestry is a timber group, which may cut against a concrete wall.</t>
        </is>
      </c>
      <c r="O286" s="14" t="inlineStr">
        <is>
          <t>Partly</t>
        </is>
      </c>
      <c r="P286" s="10" t="inlineStr"/>
      <c r="Q286" s="12">
        <f>HYPERLINK("https://www.linkedin.com/search/results/people/?keywords=Ronny%20Salameh%20Brightland%20Homes","search")</f>
        <v/>
      </c>
      <c r="R286" s="16">
        <f>IF(P286="","ADD LINKEDIN","ok")</f>
        <v/>
      </c>
      <c r="S286" s="12" t="inlineStr">
        <is>
          <t>https://www.brightlandhomes.com/</t>
        </is>
      </c>
      <c r="T286" s="15" t="inlineStr">
        <is>
          <t>110 communities, but parent Sumitomo Forestry bought a sawmill and is integrating wood framing across the platform Brightland sits in.</t>
        </is>
      </c>
      <c r="U286" s="12" t="inlineStr"/>
      <c r="V286" s="15" t="inlineStr">
        <is>
          <t>President and Chief Executive Officer of The DRB Group, which has owned Brightland since April 2025.</t>
        </is>
      </c>
      <c r="W286" s="12" t="inlineStr">
        <is>
          <t>https://www.drbgroup.com/about</t>
        </is>
      </c>
      <c r="X286" s="12" t="inlineStr">
        <is>
          <t>https://www.linkedin.com/company/brightlandhomes</t>
        </is>
      </c>
      <c r="Y286" s="12" t="inlineStr">
        <is>
          <t>https://www.drbgroup.com/about</t>
        </is>
      </c>
      <c r="Z286" s="12" t="inlineStr"/>
      <c r="AA286" s="12" t="inlineStr">
        <is>
          <t>(281) 201-6961</t>
        </is>
      </c>
      <c r="AB286" s="12" t="inlineStr">
        <is>
          <t>Houston office, published by DRB Homes</t>
        </is>
      </c>
      <c r="AC286" s="12" t="inlineStr">
        <is>
          <t>https://www.drbhomes.com/drbhomes/contact/contact-us</t>
        </is>
      </c>
    </row>
    <row r="287">
      <c r="A287" s="6" t="inlineStr">
        <is>
          <t>Young Nam</t>
        </is>
      </c>
      <c r="B287" s="6" t="inlineStr">
        <is>
          <t>Brightland Homes</t>
        </is>
      </c>
      <c r="C287" s="6" t="inlineStr">
        <is>
          <t>Senior Vice President of Purchasing, The DRB Group</t>
        </is>
      </c>
      <c r="D287" s="7" t="inlineStr">
        <is>
          <t>National scale, pilot not purchase</t>
        </is>
      </c>
      <c r="E287" s="8" t="n">
        <v>1</v>
      </c>
      <c r="F287" s="6" t="inlineStr">
        <is>
          <t>Buys walls</t>
        </is>
      </c>
      <c r="G287" s="6" t="inlineStr">
        <is>
          <t>Addison HQ / Montgomery, Harris</t>
        </is>
      </c>
      <c r="H287" s="6" t="inlineStr">
        <is>
          <t>110 communities, 17,000+ homes delivered</t>
        </is>
      </c>
      <c r="I287" s="8" t="inlineStr">
        <is>
          <t>Partly</t>
        </is>
      </c>
      <c r="J287" s="9" t="inlineStr">
        <is>
          <t>110 active communities.</t>
        </is>
      </c>
      <c r="K287" s="8" t="inlineStr">
        <is>
          <t>No</t>
        </is>
      </c>
      <c r="L287" s="9" t="inlineStr">
        <is>
          <t>110 communities inside the DRB platform, bought by a parent that has put capital into wood.</t>
        </is>
      </c>
      <c r="M287" s="8" t="inlineStr">
        <is>
          <t>No</t>
        </is>
      </c>
      <c r="N287" s="9" t="inlineStr">
        <is>
          <t>Owner Sumitomo Forestry is a timber group, which may cut against a concrete wall.</t>
        </is>
      </c>
      <c r="O287" s="8" t="inlineStr">
        <is>
          <t>Partly</t>
        </is>
      </c>
      <c r="P287" s="6" t="inlineStr">
        <is>
          <t>https://www.linkedin.com/in/young-nam-78b36229/</t>
        </is>
      </c>
      <c r="Q287" s="6" t="inlineStr"/>
      <c r="R287" s="11">
        <f>IF(P287="","ADD LINKEDIN","ok")</f>
        <v/>
      </c>
      <c r="S287" s="6" t="inlineStr">
        <is>
          <t>https://www.brightlandhomes.com/</t>
        </is>
      </c>
      <c r="T287" s="9" t="inlineStr">
        <is>
          <t>110 communities, but parent Sumitomo Forestry bought a sawmill and is integrating wood framing across the platform Brightland sits in.</t>
        </is>
      </c>
      <c r="U287" s="6" t="inlineStr">
        <is>
          <t>YES</t>
        </is>
      </c>
      <c r="V28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87" s="6" t="inlineStr">
        <is>
          <t>https://www.drbgroup.com/about</t>
        </is>
      </c>
      <c r="X287" s="6" t="inlineStr">
        <is>
          <t>https://www.linkedin.com/company/brightlandhomes</t>
        </is>
      </c>
      <c r="Y287" s="6" t="inlineStr">
        <is>
          <t>https://www.drbgroup.com/about</t>
        </is>
      </c>
      <c r="Z287" s="6" t="inlineStr"/>
      <c r="AA287" s="6" t="inlineStr">
        <is>
          <t>(281) 201-6961</t>
        </is>
      </c>
      <c r="AB287" s="6" t="inlineStr">
        <is>
          <t>Houston office, published by DRB Homes</t>
        </is>
      </c>
      <c r="AC287" s="6" t="inlineStr">
        <is>
          <t>https://www.drbhomes.com/drbhomes/contact/contact-us</t>
        </is>
      </c>
    </row>
    <row r="288">
      <c r="A288" s="12" t="inlineStr">
        <is>
          <t>David O'Reilly</t>
        </is>
      </c>
      <c r="B288" s="12" t="inlineStr">
        <is>
          <t>Howard Hughes Holdings Inc.</t>
        </is>
      </c>
      <c r="C288" s="12" t="inlineStr">
        <is>
          <t>Chief Executive Officer</t>
        </is>
      </c>
      <c r="D288" s="13" t="inlineStr">
        <is>
          <t>Masterplan owner</t>
        </is>
      </c>
      <c r="E288" s="14" t="n">
        <v>2</v>
      </c>
      <c r="F288" s="12" t="inlineStr">
        <is>
          <t>Sells lots</t>
        </is>
      </c>
      <c r="G288" s="12" t="inlineStr">
        <is>
          <t>The Woodlands HQ / Harris, Montgomery</t>
        </is>
      </c>
      <c r="H288" s="12" t="inlineStr">
        <is>
          <t>1,802 residential acres left to sell</t>
        </is>
      </c>
      <c r="I288" s="14" t="inlineStr">
        <is>
          <t>Yes</t>
        </is>
      </c>
      <c r="J288" s="15" t="inlineStr">
        <is>
          <t>Three communities on one metro's edge, 1,802 residential acres still to sell.</t>
        </is>
      </c>
      <c r="K288" s="14" t="inlineStr">
        <is>
          <t>No</t>
        </is>
      </c>
      <c r="L288" s="15" t="inlineStr">
        <is>
          <t>It sells finished lots. The builder who buys them buys the wall.</t>
        </is>
      </c>
      <c r="M288" s="14" t="inlineStr">
        <is>
          <t>Yes</t>
        </is>
      </c>
      <c r="N288" s="15" t="inlineStr">
        <is>
          <t>It financed and opened Greater Houston's first mass timber office building, with low-carbon concrete in the same structure.</t>
        </is>
      </c>
      <c r="O288" s="14" t="inlineStr">
        <is>
          <t>Yes</t>
        </is>
      </c>
      <c r="P288" s="10" t="inlineStr"/>
      <c r="Q288" s="12">
        <f>HYPERLINK("https://www.linkedin.com/search/results/people/?keywords=David%20O%27Reilly%20Howard%20Hughes%20Holdings%20Inc.","search")</f>
        <v/>
      </c>
      <c r="R288" s="16">
        <f>IF(P288="","ADD LINKEDIN","ok")</f>
        <v/>
      </c>
      <c r="S288" s="12" t="inlineStr">
        <is>
          <t>https://www.howardhughes.com/</t>
        </is>
      </c>
      <c r="T288" s="15" t="inlineStr">
        <is>
          <t>1,802 residential acres left to sell across three communities, and it paid to put up Greater Houston's first mass timber office. It sells lots, so the builder buys the wall.</t>
        </is>
      </c>
      <c r="U288" s="12" t="inlineStr"/>
      <c r="V288" s="15" t="inlineStr"/>
      <c r="W288" s="12" t="inlineStr">
        <is>
          <t>https://investor.howardhughes.com/governance/leadership</t>
        </is>
      </c>
      <c r="X288" s="12" t="inlineStr">
        <is>
          <t>https://www.linkedin.com/company/the-howard-hughes-corporation</t>
        </is>
      </c>
      <c r="Y288" s="12" t="inlineStr">
        <is>
          <t>https://investor.howardhughes.com/governance/leadership</t>
        </is>
      </c>
      <c r="Z288" s="12" t="inlineStr"/>
      <c r="AA288" s="12" t="inlineStr">
        <is>
          <t>(281) 929-7700</t>
        </is>
      </c>
      <c r="AB288" s="12" t="inlineStr"/>
      <c r="AC288" s="12" t="inlineStr">
        <is>
          <t>https://www.howardhughes.com/contact/</t>
        </is>
      </c>
    </row>
    <row r="289">
      <c r="A289" s="6" t="inlineStr">
        <is>
          <t>Bill Ackman</t>
        </is>
      </c>
      <c r="B289" s="6" t="inlineStr">
        <is>
          <t>Howard Hughes Holdings Inc.</t>
        </is>
      </c>
      <c r="C289" s="6" t="inlineStr">
        <is>
          <t>Executive Chairman of the Board</t>
        </is>
      </c>
      <c r="D289" s="7" t="inlineStr">
        <is>
          <t>Masterplan owner</t>
        </is>
      </c>
      <c r="E289" s="8" t="n">
        <v>2</v>
      </c>
      <c r="F289" s="6" t="inlineStr">
        <is>
          <t>Sells lots</t>
        </is>
      </c>
      <c r="G289" s="6" t="inlineStr">
        <is>
          <t>The Woodlands HQ / Harris, Montgomery</t>
        </is>
      </c>
      <c r="H289" s="6" t="inlineStr">
        <is>
          <t>1,802 residential acres left to sell</t>
        </is>
      </c>
      <c r="I289" s="8" t="inlineStr">
        <is>
          <t>Yes</t>
        </is>
      </c>
      <c r="J289" s="9" t="inlineStr">
        <is>
          <t>Three communities on one metro's edge, 1,802 residential acres still to sell.</t>
        </is>
      </c>
      <c r="K289" s="8" t="inlineStr">
        <is>
          <t>No</t>
        </is>
      </c>
      <c r="L289" s="9" t="inlineStr">
        <is>
          <t>It sells finished lots. The builder who buys them buys the wall.</t>
        </is>
      </c>
      <c r="M289" s="8" t="inlineStr">
        <is>
          <t>Yes</t>
        </is>
      </c>
      <c r="N289" s="9" t="inlineStr">
        <is>
          <t>It financed and opened Greater Houston's first mass timber office building, with low-carbon concrete in the same structure.</t>
        </is>
      </c>
      <c r="O289" s="8" t="inlineStr">
        <is>
          <t>Yes</t>
        </is>
      </c>
      <c r="P289" s="10" t="inlineStr"/>
      <c r="Q289" s="6">
        <f>HYPERLINK("https://www.linkedin.com/search/results/people/?keywords=Bill%20Ackman%20Howard%20Hughes%20Holdings%20Inc.","search")</f>
        <v/>
      </c>
      <c r="R289" s="11">
        <f>IF(P289="","ADD LINKEDIN","ok")</f>
        <v/>
      </c>
      <c r="S289" s="6" t="inlineStr">
        <is>
          <t>https://www.howardhughes.com/</t>
        </is>
      </c>
      <c r="T289" s="9" t="inlineStr">
        <is>
          <t>1,802 residential acres left to sell across three communities, and it paid to put up Greater Houston's first mass timber office. It sells lots, so the builder buys the wall.</t>
        </is>
      </c>
      <c r="U289" s="6" t="inlineStr"/>
      <c r="V289" s="9" t="inlineStr"/>
      <c r="W289" s="6" t="inlineStr">
        <is>
          <t>https://investor.howardhughes.com/governance/leadership</t>
        </is>
      </c>
      <c r="X289" s="6" t="inlineStr">
        <is>
          <t>https://www.linkedin.com/company/the-howard-hughes-corporation</t>
        </is>
      </c>
      <c r="Y289" s="6" t="inlineStr">
        <is>
          <t>https://investor.howardhughes.com/governance/leadership</t>
        </is>
      </c>
      <c r="Z289" s="6" t="inlineStr"/>
      <c r="AA289" s="6" t="inlineStr">
        <is>
          <t>(281) 929-7700</t>
        </is>
      </c>
      <c r="AB289" s="6" t="inlineStr"/>
      <c r="AC289" s="6" t="inlineStr">
        <is>
          <t>https://www.howardhughes.com/contact/</t>
        </is>
      </c>
    </row>
    <row r="290">
      <c r="A290" s="12" t="inlineStr">
        <is>
          <t>Ryan Israel</t>
        </is>
      </c>
      <c r="B290" s="12" t="inlineStr">
        <is>
          <t>Howard Hughes Holdings Inc.</t>
        </is>
      </c>
      <c r="C290" s="12" t="inlineStr">
        <is>
          <t>Chief Investment Officer</t>
        </is>
      </c>
      <c r="D290" s="13" t="inlineStr">
        <is>
          <t>Masterplan owner</t>
        </is>
      </c>
      <c r="E290" s="14" t="n">
        <v>2</v>
      </c>
      <c r="F290" s="12" t="inlineStr">
        <is>
          <t>Sells lots</t>
        </is>
      </c>
      <c r="G290" s="12" t="inlineStr">
        <is>
          <t>The Woodlands HQ / Harris, Montgomery</t>
        </is>
      </c>
      <c r="H290" s="12" t="inlineStr">
        <is>
          <t>1,802 residential acres left to sell</t>
        </is>
      </c>
      <c r="I290" s="14" t="inlineStr">
        <is>
          <t>Yes</t>
        </is>
      </c>
      <c r="J290" s="15" t="inlineStr">
        <is>
          <t>Three communities on one metro's edge, 1,802 residential acres still to sell.</t>
        </is>
      </c>
      <c r="K290" s="14" t="inlineStr">
        <is>
          <t>No</t>
        </is>
      </c>
      <c r="L290" s="15" t="inlineStr">
        <is>
          <t>It sells finished lots. The builder who buys them buys the wall.</t>
        </is>
      </c>
      <c r="M290" s="14" t="inlineStr">
        <is>
          <t>Yes</t>
        </is>
      </c>
      <c r="N290" s="15" t="inlineStr">
        <is>
          <t>It financed and opened Greater Houston's first mass timber office building, with low-carbon concrete in the same structure.</t>
        </is>
      </c>
      <c r="O290" s="14" t="inlineStr">
        <is>
          <t>Yes</t>
        </is>
      </c>
      <c r="P290" s="10" t="inlineStr"/>
      <c r="Q290" s="12">
        <f>HYPERLINK("https://www.linkedin.com/search/results/people/?keywords=Ryan%20Israel%20Howard%20Hughes%20Holdings%20Inc.","search")</f>
        <v/>
      </c>
      <c r="R290" s="16">
        <f>IF(P290="","ADD LINKEDIN","ok")</f>
        <v/>
      </c>
      <c r="S290" s="12" t="inlineStr">
        <is>
          <t>https://www.howardhughes.com/</t>
        </is>
      </c>
      <c r="T290" s="15" t="inlineStr">
        <is>
          <t>1,802 residential acres left to sell across three communities, and it paid to put up Greater Houston's first mass timber office. It sells lots, so the builder buys the wall.</t>
        </is>
      </c>
      <c r="U290" s="12" t="inlineStr"/>
      <c r="V290" s="15" t="inlineStr"/>
      <c r="W290" s="12" t="inlineStr">
        <is>
          <t>https://investor.howardhughes.com/governance/leadership</t>
        </is>
      </c>
      <c r="X290" s="12" t="inlineStr">
        <is>
          <t>https://www.linkedin.com/company/the-howard-hughes-corporation</t>
        </is>
      </c>
      <c r="Y290" s="12" t="inlineStr">
        <is>
          <t>https://investor.howardhughes.com/governance/leadership</t>
        </is>
      </c>
      <c r="Z290" s="12" t="inlineStr"/>
      <c r="AA290" s="12" t="inlineStr">
        <is>
          <t>(281) 929-7700</t>
        </is>
      </c>
      <c r="AB290" s="12" t="inlineStr"/>
      <c r="AC290" s="12" t="inlineStr">
        <is>
          <t>https://www.howardhughes.com/contact/</t>
        </is>
      </c>
    </row>
    <row r="291">
      <c r="A291" s="6" t="inlineStr">
        <is>
          <t>Jim Carman</t>
        </is>
      </c>
      <c r="B291" s="6" t="inlineStr">
        <is>
          <t>Howard Hughes Holdings Inc.</t>
        </is>
      </c>
      <c r="C291" s="6" t="inlineStr">
        <is>
          <t>President, Texas Region</t>
        </is>
      </c>
      <c r="D291" s="7" t="inlineStr">
        <is>
          <t>Masterplan owner</t>
        </is>
      </c>
      <c r="E291" s="8" t="n">
        <v>2</v>
      </c>
      <c r="F291" s="6" t="inlineStr">
        <is>
          <t>Sells lots</t>
        </is>
      </c>
      <c r="G291" s="6" t="inlineStr">
        <is>
          <t>The Woodlands HQ / Harris, Montgomery</t>
        </is>
      </c>
      <c r="H291" s="6" t="inlineStr">
        <is>
          <t>1,802 residential acres left to sell</t>
        </is>
      </c>
      <c r="I291" s="8" t="inlineStr">
        <is>
          <t>Yes</t>
        </is>
      </c>
      <c r="J291" s="9" t="inlineStr">
        <is>
          <t>Three communities on one metro's edge, 1,802 residential acres still to sell.</t>
        </is>
      </c>
      <c r="K291" s="8" t="inlineStr">
        <is>
          <t>No</t>
        </is>
      </c>
      <c r="L291" s="9" t="inlineStr">
        <is>
          <t>It sells finished lots. The builder who buys them buys the wall.</t>
        </is>
      </c>
      <c r="M291" s="8" t="inlineStr">
        <is>
          <t>Yes</t>
        </is>
      </c>
      <c r="N291" s="9" t="inlineStr">
        <is>
          <t>It financed and opened Greater Houston's first mass timber office building, with low-carbon concrete in the same structure.</t>
        </is>
      </c>
      <c r="O291" s="8" t="inlineStr">
        <is>
          <t>Yes</t>
        </is>
      </c>
      <c r="P291" s="6" t="inlineStr">
        <is>
          <t>https://www.linkedin.com/in/carmanjim/</t>
        </is>
      </c>
      <c r="Q291" s="6" t="inlineStr"/>
      <c r="R291" s="11">
        <f>IF(P291="","ADD LINKEDIN","ok")</f>
        <v/>
      </c>
      <c r="S291" s="6" t="inlineStr">
        <is>
          <t>https://www.howardhughes.com/</t>
        </is>
      </c>
      <c r="T291" s="9" t="inlineStr">
        <is>
          <t>1,802 residential acres left to sell across three communities, and it paid to put up Greater Houston's first mass timber office. It sells lots, so the builder buys the wall.</t>
        </is>
      </c>
      <c r="U291" s="6" t="inlineStr"/>
      <c r="V291" s="9" t="inlineStr">
        <is>
          <t>Profile opened. President, Texas Region at Howard Hughes Communities. Greater Houston. His own feed carries Bridgeland's number nine national ranking at 500 home sales by mid-2026 and the 83-acre Toro District with the Houston Texans headquarters.</t>
        </is>
      </c>
      <c r="W291" s="6" t="inlineStr"/>
      <c r="X291" s="6" t="inlineStr">
        <is>
          <t>https://www.linkedin.com/company/the-howard-hughes-corporation</t>
        </is>
      </c>
      <c r="Y291" s="6" t="inlineStr">
        <is>
          <t>https://investor.howardhughes.com/governance/leadership</t>
        </is>
      </c>
      <c r="Z291" s="6" t="inlineStr"/>
      <c r="AA291" s="6" t="inlineStr">
        <is>
          <t>(281) 929-7700</t>
        </is>
      </c>
      <c r="AB291" s="6" t="inlineStr"/>
      <c r="AC291" s="6" t="inlineStr">
        <is>
          <t>https://www.howardhughes.com/contact/</t>
        </is>
      </c>
    </row>
    <row r="292">
      <c r="A292" s="12" t="inlineStr">
        <is>
          <t>Fred Balda</t>
        </is>
      </c>
      <c r="B292" s="12" t="inlineStr">
        <is>
          <t>Hillwood Communities</t>
        </is>
      </c>
      <c r="C292" s="12" t="inlineStr">
        <is>
          <t>President</t>
        </is>
      </c>
      <c r="D292" s="13" t="inlineStr">
        <is>
          <t>Masterplan owner</t>
        </is>
      </c>
      <c r="E292" s="14" t="n">
        <v>2</v>
      </c>
      <c r="F292" s="12" t="inlineStr">
        <is>
          <t>Sells lots</t>
        </is>
      </c>
      <c r="G292" s="12" t="inlineStr">
        <is>
          <t>Dallas HQ / Manvel, Pearland, League City</t>
        </is>
      </c>
      <c r="H292" s="12" t="inlineStr">
        <is>
          <t>Three Houston masterplans, 700 acres at Legacy alone</t>
        </is>
      </c>
      <c r="I292" s="14" t="inlineStr">
        <is>
          <t>Yes</t>
        </is>
      </c>
      <c r="J292" s="15" t="inlineStr">
        <is>
          <t>Three concurrent Houston masterplans, 700 acres at Legacy alone.</t>
        </is>
      </c>
      <c r="K292" s="14" t="inlineStr">
        <is>
          <t>No</t>
        </is>
      </c>
      <c r="L292" s="15" t="inlineStr">
        <is>
          <t>It develops lots and sells them to vertical builders. It does not pour walls.</t>
        </is>
      </c>
      <c r="M292" s="14" t="inlineStr">
        <is>
          <t>Partly</t>
        </is>
      </c>
      <c r="N292" s="15" t="inlineStr">
        <is>
          <t>A hundred printed homes were built inside one of its own communities. Hillwood developed the ground. Lennar bought the printing.</t>
        </is>
      </c>
      <c r="O292" s="14" t="inlineStr">
        <is>
          <t>Yes</t>
        </is>
      </c>
      <c r="P292" s="10" t="inlineStr"/>
      <c r="Q292" s="12">
        <f>HYPERLINK("https://www.linkedin.com/search/results/people/?keywords=Fred%20Balda%20Hillwood%20Communities","search")</f>
        <v/>
      </c>
      <c r="R292" s="16">
        <f>IF(P292="","ADD LINKEDIN","ok")</f>
        <v/>
      </c>
      <c r="S292" s="12" t="inlineStr">
        <is>
          <t>https://www.hillwoodcommunities.com/</t>
        </is>
      </c>
      <c r="T292" s="15" t="inlineStr">
        <is>
          <t>It is the land developer of Wolf Ranch, and it runs three Houston masterplans with a Houston general manager named.</t>
        </is>
      </c>
      <c r="U292" s="12" t="inlineStr"/>
      <c r="V292" s="15" t="inlineStr"/>
      <c r="W292" s="12" t="inlineStr">
        <is>
          <t>https://www.hillwoodcommunities.com/leadership/</t>
        </is>
      </c>
      <c r="X292" s="12" t="inlineStr"/>
      <c r="Y292" s="12" t="inlineStr"/>
      <c r="Z292" s="12" t="inlineStr"/>
      <c r="AA292" s="12" t="inlineStr">
        <is>
          <t>(214) 449-0914</t>
        </is>
      </c>
      <c r="AB292" s="12" t="inlineStr">
        <is>
          <t>Dallas office</t>
        </is>
      </c>
      <c r="AC292" s="12" t="inlineStr">
        <is>
          <t>https://www.hillwoodcommunities.com/</t>
        </is>
      </c>
    </row>
    <row r="293">
      <c r="A293" s="6" t="inlineStr">
        <is>
          <t>Russell Bynum</t>
        </is>
      </c>
      <c r="B293" s="6" t="inlineStr">
        <is>
          <t>Hillwood Communities</t>
        </is>
      </c>
      <c r="C293" s="6" t="inlineStr">
        <is>
          <t>Senior Vice President, General Manager, Houston MSA</t>
        </is>
      </c>
      <c r="D293" s="7" t="inlineStr">
        <is>
          <t>Masterplan owner</t>
        </is>
      </c>
      <c r="E293" s="8" t="n">
        <v>2</v>
      </c>
      <c r="F293" s="6" t="inlineStr">
        <is>
          <t>Sells lots</t>
        </is>
      </c>
      <c r="G293" s="6" t="inlineStr">
        <is>
          <t>Dallas HQ / Manvel, Pearland, League City</t>
        </is>
      </c>
      <c r="H293" s="6" t="inlineStr">
        <is>
          <t>Three Houston masterplans, 700 acres at Legacy alone</t>
        </is>
      </c>
      <c r="I293" s="8" t="inlineStr">
        <is>
          <t>Yes</t>
        </is>
      </c>
      <c r="J293" s="9" t="inlineStr">
        <is>
          <t>Three concurrent Houston masterplans, 700 acres at Legacy alone.</t>
        </is>
      </c>
      <c r="K293" s="8" t="inlineStr">
        <is>
          <t>No</t>
        </is>
      </c>
      <c r="L293" s="9" t="inlineStr">
        <is>
          <t>It develops lots and sells them to vertical builders. It does not pour walls.</t>
        </is>
      </c>
      <c r="M293" s="8" t="inlineStr">
        <is>
          <t>Partly</t>
        </is>
      </c>
      <c r="N293" s="9" t="inlineStr">
        <is>
          <t>A hundred printed homes were built inside one of its own communities. Hillwood developed the ground. Lennar bought the printing.</t>
        </is>
      </c>
      <c r="O293" s="8" t="inlineStr">
        <is>
          <t>Yes</t>
        </is>
      </c>
      <c r="P293" s="10" t="inlineStr"/>
      <c r="Q293" s="6">
        <f>HYPERLINK("https://www.linkedin.com/search/results/people/?keywords=Russell%20Bynum%20Hillwood%20Communities","search")</f>
        <v/>
      </c>
      <c r="R293" s="11">
        <f>IF(P293="","ADD LINKEDIN","ok")</f>
        <v/>
      </c>
      <c r="S293" s="6" t="inlineStr">
        <is>
          <t>https://www.hillwoodcommunities.com/</t>
        </is>
      </c>
      <c r="T293" s="9" t="inlineStr">
        <is>
          <t>It is the land developer of Wolf Ranch, and it runs three Houston masterplans with a Houston general manager named.</t>
        </is>
      </c>
      <c r="U293" s="6" t="inlineStr">
        <is>
          <t>YES</t>
        </is>
      </c>
      <c r="V293" s="9" t="inlineStr"/>
      <c r="W293" s="6" t="inlineStr">
        <is>
          <t>https://www.hillwoodcommunities.com/leadership/</t>
        </is>
      </c>
      <c r="X293" s="6" t="inlineStr"/>
      <c r="Y293" s="6" t="inlineStr"/>
      <c r="Z293" s="6" t="inlineStr"/>
      <c r="AA293" s="6" t="inlineStr">
        <is>
          <t>(214) 449-0914</t>
        </is>
      </c>
      <c r="AB293" s="6" t="inlineStr">
        <is>
          <t>Dallas office</t>
        </is>
      </c>
      <c r="AC293" s="6" t="inlineStr">
        <is>
          <t>https://www.hillwoodcommunities.com/</t>
        </is>
      </c>
    </row>
    <row r="294">
      <c r="A294" s="12" t="inlineStr">
        <is>
          <t>Mark Meyer</t>
        </is>
      </c>
      <c r="B294" s="12" t="inlineStr">
        <is>
          <t>Hillwood Communities</t>
        </is>
      </c>
      <c r="C294" s="12" t="inlineStr">
        <is>
          <t>Senior Vice President, Planning and Innovation</t>
        </is>
      </c>
      <c r="D294" s="13" t="inlineStr">
        <is>
          <t>Masterplan owner</t>
        </is>
      </c>
      <c r="E294" s="14" t="n">
        <v>2</v>
      </c>
      <c r="F294" s="12" t="inlineStr">
        <is>
          <t>Sells lots</t>
        </is>
      </c>
      <c r="G294" s="12" t="inlineStr">
        <is>
          <t>Dallas HQ / Manvel, Pearland, League City</t>
        </is>
      </c>
      <c r="H294" s="12" t="inlineStr">
        <is>
          <t>Three Houston masterplans, 700 acres at Legacy alone</t>
        </is>
      </c>
      <c r="I294" s="14" t="inlineStr">
        <is>
          <t>Yes</t>
        </is>
      </c>
      <c r="J294" s="15" t="inlineStr">
        <is>
          <t>Three concurrent Houston masterplans, 700 acres at Legacy alone.</t>
        </is>
      </c>
      <c r="K294" s="14" t="inlineStr">
        <is>
          <t>No</t>
        </is>
      </c>
      <c r="L294" s="15" t="inlineStr">
        <is>
          <t>It develops lots and sells them to vertical builders. It does not pour walls.</t>
        </is>
      </c>
      <c r="M294" s="14" t="inlineStr">
        <is>
          <t>Partly</t>
        </is>
      </c>
      <c r="N294" s="15" t="inlineStr">
        <is>
          <t>A hundred printed homes were built inside one of its own communities. Hillwood developed the ground. Lennar bought the printing.</t>
        </is>
      </c>
      <c r="O294" s="14" t="inlineStr">
        <is>
          <t>Yes</t>
        </is>
      </c>
      <c r="P294" s="10" t="inlineStr"/>
      <c r="Q294" s="12">
        <f>HYPERLINK("https://www.linkedin.com/search/results/people/?keywords=Mark%20Meyer%20Hillwood%20Communities","search")</f>
        <v/>
      </c>
      <c r="R294" s="16">
        <f>IF(P294="","ADD LINKEDIN","ok")</f>
        <v/>
      </c>
      <c r="S294" s="12" t="inlineStr">
        <is>
          <t>https://www.hillwoodcommunities.com/</t>
        </is>
      </c>
      <c r="T294" s="15" t="inlineStr">
        <is>
          <t>It is the land developer of Wolf Ranch, and it runs three Houston masterplans with a Houston general manager named.</t>
        </is>
      </c>
      <c r="U294" s="12" t="inlineStr"/>
      <c r="V294" s="15" t="inlineStr"/>
      <c r="W294" s="12" t="inlineStr">
        <is>
          <t>https://www.hillwoodcommunities.com/leadership/</t>
        </is>
      </c>
      <c r="X294" s="12" t="inlineStr"/>
      <c r="Y294" s="12" t="inlineStr"/>
      <c r="Z294" s="12" t="inlineStr"/>
      <c r="AA294" s="12" t="inlineStr">
        <is>
          <t>(214) 449-0914</t>
        </is>
      </c>
      <c r="AB294" s="12" t="inlineStr">
        <is>
          <t>Dallas office</t>
        </is>
      </c>
      <c r="AC294" s="12" t="inlineStr">
        <is>
          <t>https://www.hillwoodcommunities.com/</t>
        </is>
      </c>
    </row>
    <row r="295">
      <c r="A295" s="6" t="inlineStr">
        <is>
          <t>Patrick Cowden</t>
        </is>
      </c>
      <c r="B295" s="6" t="inlineStr">
        <is>
          <t>Hillwood Communities</t>
        </is>
      </c>
      <c r="C295" s="6" t="inlineStr">
        <is>
          <t>Senior Vice President, Development</t>
        </is>
      </c>
      <c r="D295" s="7" t="inlineStr">
        <is>
          <t>Masterplan owner</t>
        </is>
      </c>
      <c r="E295" s="8" t="n">
        <v>2</v>
      </c>
      <c r="F295" s="6" t="inlineStr">
        <is>
          <t>Sells lots</t>
        </is>
      </c>
      <c r="G295" s="6" t="inlineStr">
        <is>
          <t>Dallas HQ / Manvel, Pearland, League City</t>
        </is>
      </c>
      <c r="H295" s="6" t="inlineStr">
        <is>
          <t>Three Houston masterplans, 700 acres at Legacy alone</t>
        </is>
      </c>
      <c r="I295" s="8" t="inlineStr">
        <is>
          <t>Yes</t>
        </is>
      </c>
      <c r="J295" s="9" t="inlineStr">
        <is>
          <t>Three concurrent Houston masterplans, 700 acres at Legacy alone.</t>
        </is>
      </c>
      <c r="K295" s="8" t="inlineStr">
        <is>
          <t>No</t>
        </is>
      </c>
      <c r="L295" s="9" t="inlineStr">
        <is>
          <t>It develops lots and sells them to vertical builders. It does not pour walls.</t>
        </is>
      </c>
      <c r="M295" s="8" t="inlineStr">
        <is>
          <t>Partly</t>
        </is>
      </c>
      <c r="N295" s="9" t="inlineStr">
        <is>
          <t>A hundred printed homes were built inside one of its own communities. Hillwood developed the ground. Lennar bought the printing.</t>
        </is>
      </c>
      <c r="O295" s="8" t="inlineStr">
        <is>
          <t>Yes</t>
        </is>
      </c>
      <c r="P295" s="10" t="inlineStr"/>
      <c r="Q295" s="6">
        <f>HYPERLINK("https://www.linkedin.com/search/results/people/?keywords=Patrick%20Cowden%20Hillwood%20Communities","search")</f>
        <v/>
      </c>
      <c r="R295" s="11">
        <f>IF(P295="","ADD LINKEDIN","ok")</f>
        <v/>
      </c>
      <c r="S295" s="6" t="inlineStr">
        <is>
          <t>https://www.hillwoodcommunities.com/</t>
        </is>
      </c>
      <c r="T295" s="9" t="inlineStr">
        <is>
          <t>It is the land developer of Wolf Ranch, and it runs three Houston masterplans with a Houston general manager named.</t>
        </is>
      </c>
      <c r="U295" s="6" t="inlineStr"/>
      <c r="V295" s="9" t="inlineStr"/>
      <c r="W295" s="6" t="inlineStr">
        <is>
          <t>https://www.hillwoodcommunities.com/leadership/</t>
        </is>
      </c>
      <c r="X295" s="6" t="inlineStr"/>
      <c r="Y295" s="6" t="inlineStr"/>
      <c r="Z295" s="6" t="inlineStr"/>
      <c r="AA295" s="6" t="inlineStr">
        <is>
          <t>(214) 449-0914</t>
        </is>
      </c>
      <c r="AB295" s="6" t="inlineStr">
        <is>
          <t>Dallas office</t>
        </is>
      </c>
      <c r="AC295" s="6" t="inlineStr">
        <is>
          <t>https://www.hillwoodcommunities.com/</t>
        </is>
      </c>
    </row>
    <row r="296">
      <c r="A296" s="12" t="inlineStr">
        <is>
          <t>Danny Signorelli</t>
        </is>
      </c>
      <c r="B296" s="12" t="inlineStr">
        <is>
          <t>The Signorelli Company</t>
        </is>
      </c>
      <c r="C296" s="12" t="inlineStr">
        <is>
          <t>Founder and Chief Executive Officer</t>
        </is>
      </c>
      <c r="D296" s="13" t="inlineStr">
        <is>
          <t>Masterplan owner</t>
        </is>
      </c>
      <c r="E296" s="14" t="n">
        <v>2</v>
      </c>
      <c r="F296" s="12" t="inlineStr">
        <is>
          <t>Sells lots</t>
        </is>
      </c>
      <c r="G296" s="12" t="inlineStr">
        <is>
          <t>The Woodlands HQ / Fort Bend, Liberty</t>
        </is>
      </c>
      <c r="H296" s="12" t="inlineStr">
        <is>
          <t>23,000+ paper lots in pipeline</t>
        </is>
      </c>
      <c r="I296" s="14" t="inlineStr">
        <is>
          <t>Yes</t>
        </is>
      </c>
      <c r="J296" s="15" t="inlineStr">
        <is>
          <t>More than 16 masterplans and over 23,000 paper lots in pipeline.</t>
        </is>
      </c>
      <c r="K296" s="14" t="inlineStr">
        <is>
          <t>Partly</t>
        </is>
      </c>
      <c r="L296" s="15" t="inlineStr">
        <is>
          <t>It sells lots, but it owns First America Homes, and one president runs both.</t>
        </is>
      </c>
      <c r="M296" s="14" t="inlineStr">
        <is>
          <t>No</t>
        </is>
      </c>
      <c r="N296" s="15" t="inlineStr">
        <is>
          <t>Nothing on record about how anything inside its communities is built.</t>
        </is>
      </c>
      <c r="O296" s="14" t="inlineStr">
        <is>
          <t>Partly</t>
        </is>
      </c>
      <c r="P296" s="6" t="inlineStr">
        <is>
          <t>https://www.linkedin.com/in/danny-signorelli-6284461b/</t>
        </is>
      </c>
      <c r="Q296" s="12" t="inlineStr"/>
      <c r="R296" s="16">
        <f>IF(P296="","ADD LINKEDIN","ok")</f>
        <v/>
      </c>
      <c r="S296" s="12" t="inlineStr">
        <is>
          <t>https://www.signorellicompany.com/</t>
        </is>
      </c>
      <c r="T296" s="15" t="inlineStr">
        <is>
          <t>Sells lots, but owns First America Homes, which holds all three counts. One president runs both.</t>
        </is>
      </c>
      <c r="U296" s="12" t="inlineStr"/>
      <c r="V296" s="15" t="inlineStr">
        <is>
          <t>CEO, President, The Signorelli Company. Greater Houston.</t>
        </is>
      </c>
      <c r="W296" s="12" t="inlineStr"/>
      <c r="X296" s="12" t="inlineStr">
        <is>
          <t>https://www.linkedin.com/company/signorelli-company</t>
        </is>
      </c>
      <c r="Y296" s="12" t="inlineStr">
        <is>
          <t>https://www.signorellicompany.com/our-leadership</t>
        </is>
      </c>
      <c r="Z296" s="12" t="inlineStr"/>
      <c r="AA296" s="12" t="inlineStr">
        <is>
          <t>(713) 452-1700</t>
        </is>
      </c>
      <c r="AB296" s="12" t="inlineStr"/>
      <c r="AC296" s="12" t="inlineStr">
        <is>
          <t>https://www.signorellicompany.com/</t>
        </is>
      </c>
    </row>
    <row r="297">
      <c r="A297" s="6" t="inlineStr">
        <is>
          <t>Jeff Dewese</t>
        </is>
      </c>
      <c r="B297" s="6" t="inlineStr">
        <is>
          <t>The Signorelli Company</t>
        </is>
      </c>
      <c r="C297" s="6" t="inlineStr">
        <is>
          <t>President, Land Division</t>
        </is>
      </c>
      <c r="D297" s="7" t="inlineStr">
        <is>
          <t>Masterplan owner</t>
        </is>
      </c>
      <c r="E297" s="8" t="n">
        <v>2</v>
      </c>
      <c r="F297" s="6" t="inlineStr">
        <is>
          <t>Sells lots</t>
        </is>
      </c>
      <c r="G297" s="6" t="inlineStr">
        <is>
          <t>The Woodlands HQ / Fort Bend, Liberty</t>
        </is>
      </c>
      <c r="H297" s="6" t="inlineStr">
        <is>
          <t>23,000+ paper lots in pipeline</t>
        </is>
      </c>
      <c r="I297" s="8" t="inlineStr">
        <is>
          <t>Yes</t>
        </is>
      </c>
      <c r="J297" s="9" t="inlineStr">
        <is>
          <t>More than 16 masterplans and over 23,000 paper lots in pipeline.</t>
        </is>
      </c>
      <c r="K297" s="8" t="inlineStr">
        <is>
          <t>Partly</t>
        </is>
      </c>
      <c r="L297" s="9" t="inlineStr">
        <is>
          <t>It sells lots, but it owns First America Homes, and one president runs both.</t>
        </is>
      </c>
      <c r="M297" s="8" t="inlineStr">
        <is>
          <t>No</t>
        </is>
      </c>
      <c r="N297" s="9" t="inlineStr">
        <is>
          <t>Nothing on record about how anything inside its communities is built.</t>
        </is>
      </c>
      <c r="O297" s="8" t="inlineStr">
        <is>
          <t>Partly</t>
        </is>
      </c>
      <c r="P297" s="10" t="inlineStr"/>
      <c r="Q297" s="6">
        <f>HYPERLINK("https://www.linkedin.com/search/results/people/?keywords=Jeff%20Dewese%20The%20Signorelli%20Company","search")</f>
        <v/>
      </c>
      <c r="R297" s="11">
        <f>IF(P297="","ADD LINKEDIN","ok")</f>
        <v/>
      </c>
      <c r="S297" s="6" t="inlineStr">
        <is>
          <t>https://www.signorellicompany.com/</t>
        </is>
      </c>
      <c r="T297" s="9" t="inlineStr">
        <is>
          <t>Sells lots, but owns First America Homes, which holds all three counts. One president runs both.</t>
        </is>
      </c>
      <c r="U297" s="6" t="inlineStr"/>
      <c r="V297" s="9" t="inlineStr">
        <is>
          <t>Signorelli's own bio page. President, Land Division, overseeing land acquisition, planning and construction management for Granger Pines, Cielo and Austin Point.</t>
        </is>
      </c>
      <c r="W297" s="6" t="inlineStr">
        <is>
          <t>https://www.signorellicompany.com/our-leadership/15/jeff-dewese</t>
        </is>
      </c>
      <c r="X297" s="6" t="inlineStr">
        <is>
          <t>https://www.linkedin.com/company/signorelli-company</t>
        </is>
      </c>
      <c r="Y297" s="6" t="inlineStr">
        <is>
          <t>https://www.signorellicompany.com/our-leadership</t>
        </is>
      </c>
      <c r="Z297" s="6" t="inlineStr"/>
      <c r="AA297" s="6" t="inlineStr">
        <is>
          <t>(713) 452-1700</t>
        </is>
      </c>
      <c r="AB297" s="6" t="inlineStr"/>
      <c r="AC297" s="6" t="inlineStr">
        <is>
          <t>https://www.signorellicompany.com/</t>
        </is>
      </c>
    </row>
    <row r="298">
      <c r="A298" s="12" t="inlineStr">
        <is>
          <t>Harry Dinham</t>
        </is>
      </c>
      <c r="B298" s="12" t="inlineStr">
        <is>
          <t>The Signorelli Company</t>
        </is>
      </c>
      <c r="C298" s="12" t="inlineStr">
        <is>
          <t>Chief Financial Officer</t>
        </is>
      </c>
      <c r="D298" s="13" t="inlineStr">
        <is>
          <t>Masterplan owner</t>
        </is>
      </c>
      <c r="E298" s="14" t="n">
        <v>2</v>
      </c>
      <c r="F298" s="12" t="inlineStr">
        <is>
          <t>Sells lots</t>
        </is>
      </c>
      <c r="G298" s="12" t="inlineStr">
        <is>
          <t>The Woodlands HQ / Fort Bend, Liberty</t>
        </is>
      </c>
      <c r="H298" s="12" t="inlineStr">
        <is>
          <t>23,000+ paper lots in pipeline</t>
        </is>
      </c>
      <c r="I298" s="14" t="inlineStr">
        <is>
          <t>Yes</t>
        </is>
      </c>
      <c r="J298" s="15" t="inlineStr">
        <is>
          <t>More than 16 masterplans and over 23,000 paper lots in pipeline.</t>
        </is>
      </c>
      <c r="K298" s="14" t="inlineStr">
        <is>
          <t>Partly</t>
        </is>
      </c>
      <c r="L298" s="15" t="inlineStr">
        <is>
          <t>It sells lots, but it owns First America Homes, and one president runs both.</t>
        </is>
      </c>
      <c r="M298" s="14" t="inlineStr">
        <is>
          <t>No</t>
        </is>
      </c>
      <c r="N298" s="15" t="inlineStr">
        <is>
          <t>Nothing on record about how anything inside its communities is built.</t>
        </is>
      </c>
      <c r="O298" s="14" t="inlineStr">
        <is>
          <t>Partly</t>
        </is>
      </c>
      <c r="P298" s="10" t="inlineStr"/>
      <c r="Q298" s="12">
        <f>HYPERLINK("https://www.linkedin.com/search/results/people/?keywords=Harry%20Dinham%20The%20Signorelli%20Company","search")</f>
        <v/>
      </c>
      <c r="R298" s="16">
        <f>IF(P298="","ADD LINKEDIN","ok")</f>
        <v/>
      </c>
      <c r="S298" s="12" t="inlineStr">
        <is>
          <t>https://www.signorellicompany.com/</t>
        </is>
      </c>
      <c r="T298" s="15" t="inlineStr">
        <is>
          <t>Sells lots, but owns First America Homes, which holds all three counts. One president runs both.</t>
        </is>
      </c>
      <c r="U298" s="12" t="inlineStr"/>
      <c r="V298" s="15" t="inlineStr">
        <is>
          <t>Signorelli's own bio page. Chief Financial Officer on the executive leadership team.</t>
        </is>
      </c>
      <c r="W298" s="12" t="inlineStr">
        <is>
          <t>https://www.signorellicompany.com/our-leadership/30/harry-dinham</t>
        </is>
      </c>
      <c r="X298" s="12" t="inlineStr">
        <is>
          <t>https://www.linkedin.com/company/signorelli-company</t>
        </is>
      </c>
      <c r="Y298" s="12" t="inlineStr">
        <is>
          <t>https://www.signorellicompany.com/our-leadership</t>
        </is>
      </c>
      <c r="Z298" s="12" t="inlineStr"/>
      <c r="AA298" s="12" t="inlineStr">
        <is>
          <t>(713) 452-1700</t>
        </is>
      </c>
      <c r="AB298" s="12" t="inlineStr"/>
      <c r="AC298" s="12" t="inlineStr">
        <is>
          <t>https://www.signorellicompany.com/</t>
        </is>
      </c>
    </row>
    <row r="299">
      <c r="A299" s="6" t="inlineStr">
        <is>
          <t>John Winniford</t>
        </is>
      </c>
      <c r="B299" s="6" t="inlineStr">
        <is>
          <t>The Signorelli Company</t>
        </is>
      </c>
      <c r="C299" s="6" t="inlineStr">
        <is>
          <t>President, Homebuilding, The Signorelli Company</t>
        </is>
      </c>
      <c r="D299" s="7" t="inlineStr">
        <is>
          <t>Masterplan owner</t>
        </is>
      </c>
      <c r="E299" s="8" t="n">
        <v>2</v>
      </c>
      <c r="F299" s="6" t="inlineStr">
        <is>
          <t>Sells lots</t>
        </is>
      </c>
      <c r="G299" s="6" t="inlineStr">
        <is>
          <t>The Woodlands HQ / Fort Bend, Liberty</t>
        </is>
      </c>
      <c r="H299" s="6" t="inlineStr">
        <is>
          <t>23,000+ paper lots in pipeline</t>
        </is>
      </c>
      <c r="I299" s="8" t="inlineStr">
        <is>
          <t>Yes</t>
        </is>
      </c>
      <c r="J299" s="9" t="inlineStr">
        <is>
          <t>More than 16 masterplans and over 23,000 paper lots in pipeline.</t>
        </is>
      </c>
      <c r="K299" s="8" t="inlineStr">
        <is>
          <t>Partly</t>
        </is>
      </c>
      <c r="L299" s="9" t="inlineStr">
        <is>
          <t>It sells lots, but it owns First America Homes, and one president runs both.</t>
        </is>
      </c>
      <c r="M299" s="8" t="inlineStr">
        <is>
          <t>No</t>
        </is>
      </c>
      <c r="N299" s="9" t="inlineStr">
        <is>
          <t>Nothing on record about how anything inside its communities is built.</t>
        </is>
      </c>
      <c r="O299" s="8" t="inlineStr">
        <is>
          <t>Partly</t>
        </is>
      </c>
      <c r="P299" s="10" t="inlineStr"/>
      <c r="Q299" s="6">
        <f>HYPERLINK("https://www.linkedin.com/search/results/people/?keywords=John%20Winniford%20The%20Signorelli%20Company","search")</f>
        <v/>
      </c>
      <c r="R299" s="11">
        <f>IF(P299="","ADD LINKEDIN","ok")</f>
        <v/>
      </c>
      <c r="S299" s="6" t="inlineStr">
        <is>
          <t>https://www.signorellicompany.com/</t>
        </is>
      </c>
      <c r="T299" s="9" t="inlineStr">
        <is>
          <t>Sells lots, but owns First America Homes, which holds all three counts. One president runs both.</t>
        </is>
      </c>
      <c r="U299" s="6" t="inlineStr"/>
      <c r="V299" s="9" t="inlineStr">
        <is>
          <t>President, Homebuilding. The same person who runs First America, which Signorelli owns, so a single approach reaches both the land position and the builder.</t>
        </is>
      </c>
      <c r="W299" s="6" t="inlineStr">
        <is>
          <t>https://www.signorellicompany.com/our-leadership/34/john-winniford</t>
        </is>
      </c>
      <c r="X299" s="6" t="inlineStr">
        <is>
          <t>https://www.linkedin.com/company/signorelli-company</t>
        </is>
      </c>
      <c r="Y299" s="6" t="inlineStr">
        <is>
          <t>https://www.signorellicompany.com/our-leadership</t>
        </is>
      </c>
      <c r="Z299" s="6" t="inlineStr"/>
      <c r="AA299" s="6" t="inlineStr">
        <is>
          <t>(713) 452-1700</t>
        </is>
      </c>
      <c r="AB299" s="6" t="inlineStr"/>
      <c r="AC299" s="6" t="inlineStr">
        <is>
          <t>https://www.signorellicompany.com/</t>
        </is>
      </c>
    </row>
    <row r="300">
      <c r="A300" s="12" t="inlineStr">
        <is>
          <t>Fred Caldwell</t>
        </is>
      </c>
      <c r="B300" s="12" t="inlineStr">
        <is>
          <t>Caldwell Companies</t>
        </is>
      </c>
      <c r="C300" s="12" t="inlineStr">
        <is>
          <t>Chief Executive Officer, Caldwell Companies</t>
        </is>
      </c>
      <c r="D300" s="13" t="inlineStr">
        <is>
          <t>Masterplan owner</t>
        </is>
      </c>
      <c r="E300" s="14" t="n">
        <v>2</v>
      </c>
      <c r="F300" s="12" t="inlineStr">
        <is>
          <t>Sells lots</t>
        </is>
      </c>
      <c r="G300" s="12" t="inlineStr">
        <is>
          <t>Cypress / Montgomery, Harris</t>
        </is>
      </c>
      <c r="H300" s="12" t="inlineStr">
        <is>
          <t>Towne Lake and The Highlands, more than 4,000 homes at The Highlands alone</t>
        </is>
      </c>
      <c r="I300" s="14" t="inlineStr">
        <is>
          <t>Yes</t>
        </is>
      </c>
      <c r="J300" s="15" t="inlineStr">
        <is>
          <t>The Highlands alone carries more than 4,000 planned homes across thirteen builders, and Towne Lake is a second community.</t>
        </is>
      </c>
      <c r="K300" s="14" t="inlineStr">
        <is>
          <t>Partly</t>
        </is>
      </c>
      <c r="L300" s="15" t="inlineStr">
        <is>
          <t>It sells lots, and through Caldwell Homes it also builds. The wall decision exists inside the group.</t>
        </is>
      </c>
      <c r="M300" s="14" t="inlineStr">
        <is>
          <t>No</t>
        </is>
      </c>
      <c r="N300" s="15" t="inlineStr">
        <is>
          <t>Caldwell Companies publishes no construction-method content. Caldwell Homes, its own division, is screened separately on this deck.</t>
        </is>
      </c>
      <c r="O300" s="14" t="inlineStr">
        <is>
          <t>No</t>
        </is>
      </c>
      <c r="P300" s="10" t="inlineStr"/>
      <c r="Q300" s="12">
        <f>HYPERLINK("https://www.linkedin.com/search/results/people/?keywords=Fred%20Caldwell%20Caldwell%20Companies","search")</f>
        <v/>
      </c>
      <c r="R300" s="16">
        <f>IF(P300="","ADD LINKEDIN","ok")</f>
        <v/>
      </c>
      <c r="S300" s="12" t="inlineStr">
        <is>
          <t>https://caldwellcos.com/</t>
        </is>
      </c>
      <c r="T300" s="15" t="inlineStr">
        <is>
          <t>Sells lots. Towne Lake and The Highlands carry 4,000 homes across 12 builders.</t>
        </is>
      </c>
      <c r="U300" s="12" t="inlineStr"/>
      <c r="V300" s="15" t="inlineStr"/>
      <c r="W300" s="12" t="inlineStr">
        <is>
          <t>https://caldwellcos.com/our-team</t>
        </is>
      </c>
      <c r="X300" s="12" t="inlineStr">
        <is>
          <t>https://www.linkedin.com/company/caldwell-companies</t>
        </is>
      </c>
      <c r="Y300" s="12" t="inlineStr">
        <is>
          <t>https://caldwellcos.com/our-team</t>
        </is>
      </c>
      <c r="Z300" s="12" t="inlineStr"/>
      <c r="AA300" s="12" t="inlineStr">
        <is>
          <t>(713) 690-0000</t>
        </is>
      </c>
      <c r="AB300" s="12" t="inlineStr">
        <is>
          <t>Houston and Cypress</t>
        </is>
      </c>
      <c r="AC300" s="12" t="inlineStr">
        <is>
          <t>https://caldwellcos.com/</t>
        </is>
      </c>
    </row>
    <row r="301">
      <c r="A301" s="6" t="inlineStr">
        <is>
          <t>Alan Brende</t>
        </is>
      </c>
      <c r="B301" s="6" t="inlineStr">
        <is>
          <t>Land Tejas</t>
        </is>
      </c>
      <c r="C301" s="6" t="inlineStr">
        <is>
          <t>Co-President, Land Tejas</t>
        </is>
      </c>
      <c r="D301" s="7" t="inlineStr">
        <is>
          <t>Masterplan owner</t>
        </is>
      </c>
      <c r="E301" s="8" t="n">
        <v>1</v>
      </c>
      <c r="F301" s="6" t="inlineStr">
        <is>
          <t>Sells lots</t>
        </is>
      </c>
      <c r="G301" s="6" t="inlineStr">
        <is>
          <t>Houston / Katy, Harris-Waller</t>
        </is>
      </c>
      <c r="H301" s="6" t="inlineStr">
        <is>
          <t>Sunterra in Katy, eighteen builders inside it</t>
        </is>
      </c>
      <c r="I301" s="8" t="inlineStr">
        <is>
          <t>Yes</t>
        </is>
      </c>
      <c r="J301" s="9" t="inlineStr">
        <is>
          <t>Sunterra carries eighteen builders inside one community.</t>
        </is>
      </c>
      <c r="K301" s="8" t="inlineStr">
        <is>
          <t>No</t>
        </is>
      </c>
      <c r="L301" s="9" t="inlineStr">
        <is>
          <t>It sells lots. Eighteen builders buy the wall.</t>
        </is>
      </c>
      <c r="M301" s="8" t="inlineStr">
        <is>
          <t>No</t>
        </is>
      </c>
      <c r="N301" s="9" t="inlineStr">
        <is>
          <t>Nothing on record about construction method.</t>
        </is>
      </c>
      <c r="O301" s="8" t="inlineStr">
        <is>
          <t>Yes</t>
        </is>
      </c>
      <c r="P301" s="10" t="inlineStr"/>
      <c r="Q301" s="6">
        <f>HYPERLINK("https://www.linkedin.com/search/results/people/?keywords=Alan%20Brende%20Land%20Tejas","search")</f>
        <v/>
      </c>
      <c r="R301" s="11">
        <f>IF(P301="","ADD LINKEDIN","ok")</f>
        <v/>
      </c>
      <c r="S301" s="6" t="inlineStr">
        <is>
          <t>https://landtejas.com/</t>
        </is>
      </c>
      <c r="T301" s="9" t="inlineStr">
        <is>
          <t>Sells lots. Sunterra carries 2,303 acres and 15 builders.</t>
        </is>
      </c>
      <c r="U301" s="6" t="inlineStr"/>
      <c r="V301" s="9" t="inlineStr"/>
      <c r="W301" s="6" t="inlineStr">
        <is>
          <t>https://landtejas.com/about-us/our-leadership/</t>
        </is>
      </c>
      <c r="X301" s="6" t="inlineStr">
        <is>
          <t>https://www.linkedin.com/company/land-tejas-companies</t>
        </is>
      </c>
      <c r="Y301" s="6" t="inlineStr">
        <is>
          <t>https://landtejas.com/about-us/our-leadership/</t>
        </is>
      </c>
      <c r="Z301" s="6" t="inlineStr"/>
      <c r="AA301" s="6" t="inlineStr">
        <is>
          <t>(713) 783-6702</t>
        </is>
      </c>
      <c r="AB301" s="6" t="inlineStr"/>
      <c r="AC301" s="6" t="inlineStr">
        <is>
          <t>https://landtejas.com/</t>
        </is>
      </c>
    </row>
    <row r="302">
      <c r="A302" s="12" t="inlineStr">
        <is>
          <t>Melanie Ohl</t>
        </is>
      </c>
      <c r="B302" s="12" t="inlineStr">
        <is>
          <t>Land Tejas</t>
        </is>
      </c>
      <c r="C302" s="12" t="inlineStr">
        <is>
          <t>Co-President, Land Tejas</t>
        </is>
      </c>
      <c r="D302" s="13" t="inlineStr">
        <is>
          <t>Masterplan owner</t>
        </is>
      </c>
      <c r="E302" s="14" t="n">
        <v>1</v>
      </c>
      <c r="F302" s="12" t="inlineStr">
        <is>
          <t>Sells lots</t>
        </is>
      </c>
      <c r="G302" s="12" t="inlineStr">
        <is>
          <t>Houston / Katy, Harris-Waller</t>
        </is>
      </c>
      <c r="H302" s="12" t="inlineStr">
        <is>
          <t>Sunterra in Katy, eighteen builders inside it</t>
        </is>
      </c>
      <c r="I302" s="14" t="inlineStr">
        <is>
          <t>Yes</t>
        </is>
      </c>
      <c r="J302" s="15" t="inlineStr">
        <is>
          <t>Sunterra carries eighteen builders inside one community.</t>
        </is>
      </c>
      <c r="K302" s="14" t="inlineStr">
        <is>
          <t>No</t>
        </is>
      </c>
      <c r="L302" s="15" t="inlineStr">
        <is>
          <t>It sells lots. Eighteen builders buy the wall.</t>
        </is>
      </c>
      <c r="M302" s="14" t="inlineStr">
        <is>
          <t>No</t>
        </is>
      </c>
      <c r="N302" s="15" t="inlineStr">
        <is>
          <t>Nothing on record about construction method.</t>
        </is>
      </c>
      <c r="O302" s="14" t="inlineStr">
        <is>
          <t>Yes</t>
        </is>
      </c>
      <c r="P302" s="10" t="inlineStr"/>
      <c r="Q302" s="12">
        <f>HYPERLINK("https://www.linkedin.com/search/results/people/?keywords=Melanie%20Ohl%20Land%20Tejas","search")</f>
        <v/>
      </c>
      <c r="R302" s="16">
        <f>IF(P302="","ADD LINKEDIN","ok")</f>
        <v/>
      </c>
      <c r="S302" s="12" t="inlineStr">
        <is>
          <t>https://landtejas.com/</t>
        </is>
      </c>
      <c r="T302" s="15" t="inlineStr">
        <is>
          <t>Sells lots. Sunterra carries 2,303 acres and 15 builders.</t>
        </is>
      </c>
      <c r="U302" s="12" t="inlineStr"/>
      <c r="V302" s="15" t="inlineStr"/>
      <c r="W302" s="12" t="inlineStr">
        <is>
          <t>https://landtejas.com/about-us/our-leadership/</t>
        </is>
      </c>
      <c r="X302" s="12" t="inlineStr">
        <is>
          <t>https://www.linkedin.com/company/land-tejas-companies</t>
        </is>
      </c>
      <c r="Y302" s="12" t="inlineStr">
        <is>
          <t>https://landtejas.com/about-us/our-leadership/</t>
        </is>
      </c>
      <c r="Z302" s="12" t="inlineStr"/>
      <c r="AA302" s="12" t="inlineStr">
        <is>
          <t>(713) 783-6702</t>
        </is>
      </c>
      <c r="AB302" s="12" t="inlineStr"/>
      <c r="AC302" s="12" t="inlineStr">
        <is>
          <t>https://landtejas.com/</t>
        </is>
      </c>
    </row>
    <row r="303">
      <c r="A303" s="6" t="inlineStr">
        <is>
          <t>Michael J. Smith</t>
        </is>
      </c>
      <c r="B303" s="6" t="inlineStr">
        <is>
          <t>Johnson Development Corp</t>
        </is>
      </c>
      <c r="C303" s="6" t="inlineStr">
        <is>
          <t>President and Chief Executive Officer, Johnson Development</t>
        </is>
      </c>
      <c r="D303" s="7" t="inlineStr">
        <is>
          <t>Masterplan owner</t>
        </is>
      </c>
      <c r="E303" s="8" t="n">
        <v>1</v>
      </c>
      <c r="F303" s="6" t="inlineStr">
        <is>
          <t>Sells lots</t>
        </is>
      </c>
      <c r="G303" s="6" t="inlineStr">
        <is>
          <t>Houston / Fort Bend, Montgomery</t>
        </is>
      </c>
      <c r="H303" s="6" t="inlineStr">
        <is>
          <t>Fifteen concurrent Houston masterplans</t>
        </is>
      </c>
      <c r="I303" s="8" t="inlineStr">
        <is>
          <t>Yes</t>
        </is>
      </c>
      <c r="J303" s="9" t="inlineStr">
        <is>
          <t>Fifteen concurrent Houston masterplans, by its own count.</t>
        </is>
      </c>
      <c r="K303" s="8" t="inlineStr">
        <is>
          <t>No</t>
        </is>
      </c>
      <c r="L303" s="9" t="inlineStr">
        <is>
          <t>It sells lots and does not pour walls.</t>
        </is>
      </c>
      <c r="M303" s="8" t="inlineStr">
        <is>
          <t>No</t>
        </is>
      </c>
      <c r="N303" s="9" t="inlineStr">
        <is>
          <t>Johnson Development publishes no construction-method content.</t>
        </is>
      </c>
      <c r="O303" s="8" t="inlineStr">
        <is>
          <t>No</t>
        </is>
      </c>
      <c r="P303" s="10" t="inlineStr"/>
      <c r="Q303" s="6">
        <f>HYPERLINK("https://www.linkedin.com/search/results/people/?keywords=Michael%20J.%20Smith%20Johnson%20Development%20Corp","search")</f>
        <v/>
      </c>
      <c r="R303" s="11">
        <f>IF(P303="","ADD LINKEDIN","ok")</f>
        <v/>
      </c>
      <c r="S303" s="6" t="inlineStr">
        <is>
          <t>https://www.johnsondevelopment.com/</t>
        </is>
      </c>
      <c r="T303" s="9" t="inlineStr">
        <is>
          <t>Sells lots across 14 Houston masterplans. Buys no walls.</t>
        </is>
      </c>
      <c r="U303" s="6" t="inlineStr"/>
      <c r="V303" s="9" t="inlineStr"/>
      <c r="W303" s="6" t="inlineStr">
        <is>
          <t>https://www.johnsondevelopment.com/our-leaders</t>
        </is>
      </c>
      <c r="X303" s="6" t="inlineStr">
        <is>
          <t>https://www.linkedin.com/company/the-johnson-development-corp</t>
        </is>
      </c>
      <c r="Y303" s="6" t="inlineStr">
        <is>
          <t>https://www.johnsondevelopment.com/our-leaders</t>
        </is>
      </c>
      <c r="Z303" s="6" t="inlineStr"/>
      <c r="AA303" s="6" t="inlineStr">
        <is>
          <t>(713) 960-9977</t>
        </is>
      </c>
      <c r="AB303" s="6" t="inlineStr"/>
      <c r="AC303" s="6" t="inlineStr">
        <is>
          <t>https://www.johnsondevelopment.com/</t>
        </is>
      </c>
    </row>
    <row r="304">
      <c r="A304" s="12" t="inlineStr">
        <is>
          <t>Alan Bauer</t>
        </is>
      </c>
      <c r="B304" s="12" t="inlineStr">
        <is>
          <t>Newland Communities</t>
        </is>
      </c>
      <c r="C304" s="12" t="inlineStr">
        <is>
          <t>Senior Vice President and Houston Division Manager, Newland (2019)</t>
        </is>
      </c>
      <c r="D304" s="13" t="inlineStr">
        <is>
          <t>Masterplan owner</t>
        </is>
      </c>
      <c r="E304" s="14" t="n">
        <v>1</v>
      </c>
      <c r="F304" s="12" t="inlineStr">
        <is>
          <t>Sells lots</t>
        </is>
      </c>
      <c r="G304" s="12" t="inlineStr">
        <is>
          <t>San Diego HQ / Katy, Harris</t>
        </is>
      </c>
      <c r="H304" s="12" t="inlineStr">
        <is>
          <t>Elyson, 3,600 acres in Katy</t>
        </is>
      </c>
      <c r="I304" s="14" t="inlineStr">
        <is>
          <t>Partly</t>
        </is>
      </c>
      <c r="J304" s="15" t="inlineStr">
        <is>
          <t>One Houston community, Elyson, at 3,600 acres in Katy.</t>
        </is>
      </c>
      <c r="K304" s="14" t="inlineStr">
        <is>
          <t>No</t>
        </is>
      </c>
      <c r="L304" s="15" t="inlineStr">
        <is>
          <t>It sells lots, and the platform now sits inside Brookfield Residential.</t>
        </is>
      </c>
      <c r="M304" s="14" t="inlineStr">
        <is>
          <t>No</t>
        </is>
      </c>
      <c r="N304" s="15" t="inlineStr">
        <is>
          <t>Nothing on record about construction method.</t>
        </is>
      </c>
      <c r="O304" s="14" t="inlineStr">
        <is>
          <t>No</t>
        </is>
      </c>
      <c r="P304" s="10" t="inlineStr"/>
      <c r="Q304" s="12">
        <f>HYPERLINK("https://www.linkedin.com/search/results/people/?keywords=Alan%20Bauer%20Newland%20Communities","search")</f>
        <v/>
      </c>
      <c r="R304" s="16">
        <f>IF(P304="","ADD LINKEDIN","ok")</f>
        <v/>
      </c>
      <c r="S304" s="12" t="inlineStr">
        <is>
          <t>https://newlandco.com/</t>
        </is>
      </c>
      <c r="T304" s="15" t="inlineStr">
        <is>
          <t>3,600-acre Elyson, but Newland has been absorbed into Brookfield Residential and no longer publishes its own leadership. The one Houston name on record is from 2019.</t>
        </is>
      </c>
      <c r="U304" s="12" t="inlineStr"/>
      <c r="V304" s="15" t="inlineStr">
        <is>
          <t>Senior Vice President and Division Manager for Newland's Houston division, per the West Houston Association board announcement. Dated 2019 and unconfirmed since, because Newland no longer publishes its own leadership.</t>
        </is>
      </c>
      <c r="W304" s="12" t="inlineStr">
        <is>
          <t>https://www.westhouston.org/2019/01/18/welcome-to-the-2019-board-or-directors/</t>
        </is>
      </c>
      <c r="X304" s="12" t="inlineStr">
        <is>
          <t>https://www.linkedin.com/company/newland-communities-llc</t>
        </is>
      </c>
      <c r="Y304" s="12" t="inlineStr"/>
      <c r="Z304" s="12" t="inlineStr"/>
      <c r="AA304" s="12" t="inlineStr"/>
      <c r="AB304" s="12" t="inlineStr"/>
      <c r="AC304" s="12" t="inlineStr"/>
    </row>
    <row r="305">
      <c r="A305" s="6" t="inlineStr">
        <is>
          <t>Michael Reamer</t>
        </is>
      </c>
      <c r="B305" s="6" t="inlineStr">
        <is>
          <t>Friendswood Development Company</t>
        </is>
      </c>
      <c r="C305" s="6" t="inlineStr">
        <is>
          <t>President, Friendswood Development Company</t>
        </is>
      </c>
      <c r="D305" s="7" t="inlineStr">
        <is>
          <t>Already working with ICON</t>
        </is>
      </c>
      <c r="E305" s="8" t="n">
        <v>2</v>
      </c>
      <c r="F305" s="6" t="inlineStr">
        <is>
          <t>Sells lots</t>
        </is>
      </c>
      <c r="G305" s="6" t="inlineStr">
        <is>
          <t>Houston / Montgomery, Galveston</t>
        </is>
      </c>
      <c r="H305" s="6" t="inlineStr">
        <is>
          <t>Sells lots inside its own masterplans; Lennar builds</t>
        </is>
      </c>
      <c r="I305" s="8" t="inlineStr">
        <is>
          <t>Partly</t>
        </is>
      </c>
      <c r="J305" s="9" t="inlineStr">
        <is>
          <t>Sells lots inside its own masterplans. Lennar builds the houses.</t>
        </is>
      </c>
      <c r="K305" s="8" t="inlineStr">
        <is>
          <t>No</t>
        </is>
      </c>
      <c r="L305" s="9" t="inlineStr">
        <is>
          <t>Sells lots, wholly owned by Lennar, so the route is Lennar.</t>
        </is>
      </c>
      <c r="M305" s="8" t="inlineStr">
        <is>
          <t>Partly</t>
        </is>
      </c>
      <c r="N305" s="9" t="inlineStr">
        <is>
          <t>The parent, Lennar, built a hundred printed homes with ICON at Wolf Ranch. Friendswood itself buys no walls.</t>
        </is>
      </c>
      <c r="O305" s="8" t="inlineStr">
        <is>
          <t>Partly</t>
        </is>
      </c>
      <c r="P305" s="10" t="inlineStr"/>
      <c r="Q305" s="6">
        <f>HYPERLINK("https://www.linkedin.com/search/results/people/?keywords=Michael%20Reamer%20Friendswood%20Development%20Company","search")</f>
        <v/>
      </c>
      <c r="R305" s="11">
        <f>IF(P305="","ADD LINKEDIN","ok")</f>
        <v/>
      </c>
      <c r="S305" s="6" t="inlineStr">
        <is>
          <t>https://friendswooddevelopment.com/</t>
        </is>
      </c>
      <c r="T305" s="9" t="inlineStr">
        <is>
          <t>Sells lots, wholly owned by Lennar since 2000. Lennar built a hundred printed homes with ICON at Wolf Ranch.</t>
        </is>
      </c>
      <c r="U305" s="6" t="inlineStr"/>
      <c r="V305" s="9" t="inlineStr"/>
      <c r="W305" s="6" t="inlineStr">
        <is>
          <t>https://friendswooddevelopment.com/people</t>
        </is>
      </c>
      <c r="X305" s="6" t="inlineStr">
        <is>
          <t>https://www.linkedin.com/company/friendswood-development-company</t>
        </is>
      </c>
      <c r="Y305" s="6" t="inlineStr">
        <is>
          <t>https://friendswooddevelopment.com/people</t>
        </is>
      </c>
      <c r="Z305" s="6" t="inlineStr"/>
      <c r="AA305" s="6" t="inlineStr">
        <is>
          <t>(281) 875-1552</t>
        </is>
      </c>
      <c r="AB305" s="6" t="inlineStr"/>
      <c r="AC305" s="6" t="inlineStr">
        <is>
          <t>https://friendswooddevelopment.com/contact-us</t>
        </is>
      </c>
    </row>
    <row r="306">
      <c r="A306" s="12" t="inlineStr">
        <is>
          <t>George Kopecky</t>
        </is>
      </c>
      <c r="B306" s="12" t="inlineStr">
        <is>
          <t>GreenEco Builders</t>
        </is>
      </c>
      <c r="C306" s="12" t="inlineStr">
        <is>
          <t>President</t>
        </is>
      </c>
      <c r="D306" s="13" t="inlineStr">
        <is>
          <t>Already working with ICON</t>
        </is>
      </c>
      <c r="E306" s="14" t="n">
        <v>2</v>
      </c>
      <c r="F306" s="12" t="inlineStr">
        <is>
          <t>Buys walls</t>
        </is>
      </c>
      <c r="G306" s="12" t="inlineStr">
        <is>
          <t>Tavola, New Caney</t>
        </is>
      </c>
      <c r="H306" s="12" t="inlineStr">
        <is>
          <t>Owned by Rausch Coleman, which Lennar bought in February 2025</t>
        </is>
      </c>
      <c r="I306" s="14" t="inlineStr">
        <is>
          <t>Partly</t>
        </is>
      </c>
      <c r="J306" s="15" t="inlineStr">
        <is>
          <t>One confirmed community, Tavola in New Caney. The footprint is small.</t>
        </is>
      </c>
      <c r="K306" s="14" t="inlineStr">
        <is>
          <t>Partly</t>
        </is>
      </c>
      <c r="L306" s="15" t="inlineStr">
        <is>
          <t>No volume figure is published for the Houston operation.</t>
        </is>
      </c>
      <c r="M306" s="14" t="inlineStr">
        <is>
          <t>No</t>
        </is>
      </c>
      <c r="N306" s="15" t="inlineStr">
        <is>
          <t>Nothing on record. The energy-product claims this card used to carry came from a page that no longer exists.</t>
        </is>
      </c>
      <c r="O306" s="14" t="inlineStr">
        <is>
          <t>No</t>
        </is>
      </c>
      <c r="P306" s="6" t="inlineStr">
        <is>
          <t>https://www.linkedin.com/in/george-kopecky-7ba08a26/</t>
        </is>
      </c>
      <c r="Q306" s="12" t="inlineStr"/>
      <c r="R306" s="16">
        <f>IF(P306="","ADD LINKEDIN","ok")</f>
        <v/>
      </c>
      <c r="S306" s="12" t="inlineStr">
        <is>
          <t>no website confirmed</t>
        </is>
      </c>
      <c r="T306" s="15" t="inlineStr">
        <is>
          <t>Orders windows per home rather than per community so it can adopt newer products. Owned by Rausch Coleman Homes, which Lennar bought in February 2025.</t>
        </is>
      </c>
      <c r="U306" s="12" t="inlineStr"/>
      <c r="V306" s="15" t="inlineStr">
        <is>
          <t>Indexed title reads George Kopecky, President at GreenEco Builders. Named as the firm's principal in trade coverage of the 2020 sale to Rausch Coleman.</t>
        </is>
      </c>
      <c r="W306" s="12" t="inlineStr"/>
      <c r="X306" s="12" t="inlineStr"/>
      <c r="Y306" s="12" t="inlineStr"/>
      <c r="Z306" s="12" t="inlineStr"/>
      <c r="AA306" s="12" t="inlineStr"/>
      <c r="AB306" s="12" t="inlineStr"/>
      <c r="AC306" s="12" t="inlineStr"/>
    </row>
    <row r="307">
      <c r="A307" s="6" t="inlineStr">
        <is>
          <t>Steven D. Alvis</t>
        </is>
      </c>
      <c r="B307" s="6" t="inlineStr">
        <is>
          <t>NewQuest Properties</t>
        </is>
      </c>
      <c r="C307" s="6" t="inlineStr">
        <is>
          <t>Co-Founder and Managing Partner</t>
        </is>
      </c>
      <c r="D307" s="7" t="inlineStr">
        <is>
          <t>Off deck, screened out</t>
        </is>
      </c>
      <c r="E307" s="8" t="n">
        <v>1</v>
      </c>
      <c r="F307" s="6" t="inlineStr">
        <is>
          <t>Buys walls</t>
        </is>
      </c>
      <c r="G307" s="6" t="inlineStr">
        <is>
          <t>Houston HQ / Fort Bend, Brazoria</t>
        </is>
      </c>
      <c r="H307" s="6" t="inlineStr">
        <is>
          <t>$3.1B portfolio, 12M sf managed</t>
        </is>
      </c>
      <c r="I307" s="8" t="inlineStr">
        <is>
          <t>Yes</t>
        </is>
      </c>
      <c r="J307" s="9" t="inlineStr"/>
      <c r="K307" s="8" t="inlineStr">
        <is>
          <t>No</t>
        </is>
      </c>
      <c r="L307" s="9" t="inlineStr"/>
      <c r="M307" s="8" t="inlineStr">
        <is>
          <t>No</t>
        </is>
      </c>
      <c r="N307" s="9" t="inlineStr"/>
      <c r="O307" s="8" t="inlineStr">
        <is>
          <t>Yes</t>
        </is>
      </c>
      <c r="P307" s="10" t="inlineStr"/>
      <c r="Q307" s="6">
        <f>HYPERLINK("https://www.linkedin.com/search/results/people/?keywords=Steven%20D.%20Alvis%20NewQuest%20Properties","search")</f>
        <v/>
      </c>
      <c r="R307" s="11">
        <f>IF(P307="","ADD LINKEDIN","ok")</f>
        <v/>
      </c>
      <c r="S307" s="6" t="inlineStr">
        <is>
          <t>https://www.newquest.com/</t>
        </is>
      </c>
      <c r="T307" s="9" t="inlineStr">
        <is>
          <t>$3.1B portfolio and a repeated Town Center format. Retail shells compete against tilt-wall, not stick framing.</t>
        </is>
      </c>
      <c r="U307" s="6" t="inlineStr"/>
      <c r="V307" s="9" t="inlineStr"/>
      <c r="W307" s="6" t="inlineStr">
        <is>
          <t>https://www.newquest.com/about-us/leadership/</t>
        </is>
      </c>
      <c r="X307" s="6" t="inlineStr">
        <is>
          <t>https://www.linkedin.com/company/newquest-properties</t>
        </is>
      </c>
      <c r="Y307" s="6" t="inlineStr">
        <is>
          <t>https://www.newquest.com/about-us/leadership/</t>
        </is>
      </c>
      <c r="Z307" s="6" t="inlineStr"/>
      <c r="AA307" s="6" t="inlineStr">
        <is>
          <t>(281) 477-4300</t>
        </is>
      </c>
      <c r="AB307" s="6" t="inlineStr">
        <is>
          <t>contact, corporate headquarters</t>
        </is>
      </c>
      <c r="AC307" s="6" t="inlineStr">
        <is>
          <t>https://www.newquest.com/contact-us/</t>
        </is>
      </c>
    </row>
    <row r="308">
      <c r="A308" s="12" t="inlineStr">
        <is>
          <t>Jay K. Sears</t>
        </is>
      </c>
      <c r="B308" s="12" t="inlineStr">
        <is>
          <t>NewQuest Properties</t>
        </is>
      </c>
      <c r="C308" s="12" t="inlineStr">
        <is>
          <t>Co-Founder and Managing Partner</t>
        </is>
      </c>
      <c r="D308" s="13" t="inlineStr">
        <is>
          <t>Off deck, screened out</t>
        </is>
      </c>
      <c r="E308" s="14" t="n">
        <v>1</v>
      </c>
      <c r="F308" s="12" t="inlineStr">
        <is>
          <t>Buys walls</t>
        </is>
      </c>
      <c r="G308" s="12" t="inlineStr">
        <is>
          <t>Houston HQ / Fort Bend, Brazoria</t>
        </is>
      </c>
      <c r="H308" s="12" t="inlineStr">
        <is>
          <t>$3.1B portfolio, 12M sf managed</t>
        </is>
      </c>
      <c r="I308" s="14" t="inlineStr">
        <is>
          <t>Yes</t>
        </is>
      </c>
      <c r="J308" s="15" t="inlineStr"/>
      <c r="K308" s="14" t="inlineStr">
        <is>
          <t>No</t>
        </is>
      </c>
      <c r="L308" s="15" t="inlineStr"/>
      <c r="M308" s="14" t="inlineStr">
        <is>
          <t>No</t>
        </is>
      </c>
      <c r="N308" s="15" t="inlineStr"/>
      <c r="O308" s="14" t="inlineStr">
        <is>
          <t>Yes</t>
        </is>
      </c>
      <c r="P308" s="10" t="inlineStr"/>
      <c r="Q308" s="12">
        <f>HYPERLINK("https://www.linkedin.com/search/results/people/?keywords=Jay%20K.%20Sears%20NewQuest%20Properties","search")</f>
        <v/>
      </c>
      <c r="R308" s="16">
        <f>IF(P308="","ADD LINKEDIN","ok")</f>
        <v/>
      </c>
      <c r="S308" s="12" t="inlineStr">
        <is>
          <t>https://www.newquest.com/</t>
        </is>
      </c>
      <c r="T308" s="15" t="inlineStr">
        <is>
          <t>$3.1B portfolio and a repeated Town Center format. Retail shells compete against tilt-wall, not stick framing.</t>
        </is>
      </c>
      <c r="U308" s="12" t="inlineStr"/>
      <c r="V308" s="15" t="inlineStr"/>
      <c r="W308" s="12" t="inlineStr">
        <is>
          <t>https://www.newquest.com/about-us/leadership/</t>
        </is>
      </c>
      <c r="X308" s="12" t="inlineStr">
        <is>
          <t>https://www.linkedin.com/company/newquest-properties</t>
        </is>
      </c>
      <c r="Y308" s="12" t="inlineStr">
        <is>
          <t>https://www.newquest.com/about-us/leadership/</t>
        </is>
      </c>
      <c r="Z308" s="12" t="inlineStr"/>
      <c r="AA308" s="12" t="inlineStr">
        <is>
          <t>(281) 477-4300</t>
        </is>
      </c>
      <c r="AB308" s="12" t="inlineStr">
        <is>
          <t>contact, corporate headquarters</t>
        </is>
      </c>
      <c r="AC308" s="12" t="inlineStr">
        <is>
          <t>https://www.newquest.com/contact-us/</t>
        </is>
      </c>
    </row>
    <row r="309">
      <c r="A309" s="6" t="inlineStr">
        <is>
          <t>Austin Alvis</t>
        </is>
      </c>
      <c r="B309" s="6" t="inlineStr">
        <is>
          <t>NewQuest Properties</t>
        </is>
      </c>
      <c r="C309" s="6" t="inlineStr">
        <is>
          <t>President and Chief Development Officer</t>
        </is>
      </c>
      <c r="D309" s="7" t="inlineStr">
        <is>
          <t>Off deck, screened out</t>
        </is>
      </c>
      <c r="E309" s="8" t="n">
        <v>1</v>
      </c>
      <c r="F309" s="6" t="inlineStr">
        <is>
          <t>Buys walls</t>
        </is>
      </c>
      <c r="G309" s="6" t="inlineStr">
        <is>
          <t>Houston HQ / Fort Bend, Brazoria</t>
        </is>
      </c>
      <c r="H309" s="6" t="inlineStr">
        <is>
          <t>$3.1B portfolio, 12M sf managed</t>
        </is>
      </c>
      <c r="I309" s="8" t="inlineStr">
        <is>
          <t>Yes</t>
        </is>
      </c>
      <c r="J309" s="9" t="inlineStr"/>
      <c r="K309" s="8" t="inlineStr">
        <is>
          <t>No</t>
        </is>
      </c>
      <c r="L309" s="9" t="inlineStr"/>
      <c r="M309" s="8" t="inlineStr">
        <is>
          <t>No</t>
        </is>
      </c>
      <c r="N309" s="9" t="inlineStr"/>
      <c r="O309" s="8" t="inlineStr">
        <is>
          <t>Yes</t>
        </is>
      </c>
      <c r="P309" s="10" t="inlineStr"/>
      <c r="Q309" s="6">
        <f>HYPERLINK("https://www.linkedin.com/search/results/people/?keywords=Austin%20Alvis%20NewQuest%20Properties","search")</f>
        <v/>
      </c>
      <c r="R309" s="11">
        <f>IF(P309="","ADD LINKEDIN","ok")</f>
        <v/>
      </c>
      <c r="S309" s="6" t="inlineStr">
        <is>
          <t>https://www.newquest.com/</t>
        </is>
      </c>
      <c r="T309" s="9" t="inlineStr">
        <is>
          <t>$3.1B portfolio and a repeated Town Center format. Retail shells compete against tilt-wall, not stick framing.</t>
        </is>
      </c>
      <c r="U309" s="6" t="inlineStr"/>
      <c r="V309" s="9" t="inlineStr"/>
      <c r="W309" s="6" t="inlineStr">
        <is>
          <t>https://www.newquest.com/about-us/leadership/</t>
        </is>
      </c>
      <c r="X309" s="6" t="inlineStr">
        <is>
          <t>https://www.linkedin.com/company/newquest-properties</t>
        </is>
      </c>
      <c r="Y309" s="6" t="inlineStr">
        <is>
          <t>https://www.newquest.com/about-us/leadership/</t>
        </is>
      </c>
      <c r="Z309" s="6" t="inlineStr"/>
      <c r="AA309" s="6" t="inlineStr">
        <is>
          <t>(281) 477-4300</t>
        </is>
      </c>
      <c r="AB309" s="6" t="inlineStr">
        <is>
          <t>contact, corporate headquarters</t>
        </is>
      </c>
      <c r="AC309" s="6" t="inlineStr">
        <is>
          <t>https://www.newquest.com/contact-us/</t>
        </is>
      </c>
    </row>
    <row r="310">
      <c r="A310" s="12" t="inlineStr">
        <is>
          <t>Jeff Horton</t>
        </is>
      </c>
      <c r="B310" s="12" t="inlineStr">
        <is>
          <t>NewQuest Properties</t>
        </is>
      </c>
      <c r="C310" s="12" t="inlineStr">
        <is>
          <t>Chief Operating Officer and Head of Capital Markets</t>
        </is>
      </c>
      <c r="D310" s="13" t="inlineStr">
        <is>
          <t>Off deck, screened out</t>
        </is>
      </c>
      <c r="E310" s="14" t="n">
        <v>1</v>
      </c>
      <c r="F310" s="12" t="inlineStr">
        <is>
          <t>Buys walls</t>
        </is>
      </c>
      <c r="G310" s="12" t="inlineStr">
        <is>
          <t>Houston HQ / Fort Bend, Brazoria</t>
        </is>
      </c>
      <c r="H310" s="12" t="inlineStr">
        <is>
          <t>$3.1B portfolio, 12M sf managed</t>
        </is>
      </c>
      <c r="I310" s="14" t="inlineStr">
        <is>
          <t>Yes</t>
        </is>
      </c>
      <c r="J310" s="15" t="inlineStr"/>
      <c r="K310" s="14" t="inlineStr">
        <is>
          <t>No</t>
        </is>
      </c>
      <c r="L310" s="15" t="inlineStr"/>
      <c r="M310" s="14" t="inlineStr">
        <is>
          <t>No</t>
        </is>
      </c>
      <c r="N310" s="15" t="inlineStr"/>
      <c r="O310" s="14" t="inlineStr">
        <is>
          <t>Yes</t>
        </is>
      </c>
      <c r="P310" s="10" t="inlineStr"/>
      <c r="Q310" s="12">
        <f>HYPERLINK("https://www.linkedin.com/search/results/people/?keywords=Jeff%20Horton%20NewQuest%20Properties","search")</f>
        <v/>
      </c>
      <c r="R310" s="16">
        <f>IF(P310="","ADD LINKEDIN","ok")</f>
        <v/>
      </c>
      <c r="S310" s="12" t="inlineStr">
        <is>
          <t>https://www.newquest.com/</t>
        </is>
      </c>
      <c r="T310" s="15" t="inlineStr">
        <is>
          <t>$3.1B portfolio and a repeated Town Center format. Retail shells compete against tilt-wall, not stick framing.</t>
        </is>
      </c>
      <c r="U310" s="12" t="inlineStr"/>
      <c r="V310" s="15" t="inlineStr"/>
      <c r="W310" s="12" t="inlineStr">
        <is>
          <t>https://www.newquest.com/about-us/leadership/</t>
        </is>
      </c>
      <c r="X310" s="12" t="inlineStr">
        <is>
          <t>https://www.linkedin.com/company/newquest-properties</t>
        </is>
      </c>
      <c r="Y310" s="12" t="inlineStr">
        <is>
          <t>https://www.newquest.com/about-us/leadership/</t>
        </is>
      </c>
      <c r="Z310" s="12" t="inlineStr"/>
      <c r="AA310" s="12" t="inlineStr">
        <is>
          <t>(281) 477-4300</t>
        </is>
      </c>
      <c r="AB310" s="12" t="inlineStr">
        <is>
          <t>contact, corporate headquarters</t>
        </is>
      </c>
      <c r="AC310" s="12" t="inlineStr">
        <is>
          <t>https://www.newquest.com/contact-us/</t>
        </is>
      </c>
    </row>
    <row r="311">
      <c r="A311" s="6" t="inlineStr">
        <is>
          <t>K. Alan Hassenflu</t>
        </is>
      </c>
      <c r="B311" s="6" t="inlineStr">
        <is>
          <t>Fidelis Realty Partners</t>
        </is>
      </c>
      <c r="C311" s="6" t="inlineStr">
        <is>
          <t>President and Chief Executive Officer</t>
        </is>
      </c>
      <c r="D311" s="7" t="inlineStr">
        <is>
          <t>Off deck, screened out</t>
        </is>
      </c>
      <c r="E311" s="8" t="n">
        <v>1</v>
      </c>
      <c r="F311" s="6" t="inlineStr">
        <is>
          <t>Buys walls</t>
        </is>
      </c>
      <c r="G311" s="6" t="inlineStr">
        <is>
          <t>Houston HQ / Brazoria, Montgomery</t>
        </is>
      </c>
      <c r="H311" s="6" t="inlineStr">
        <is>
          <t>26M sf, ~100 properties, 12 states</t>
        </is>
      </c>
      <c r="I311" s="8" t="inlineStr">
        <is>
          <t>Yes</t>
        </is>
      </c>
      <c r="J311" s="9" t="inlineStr"/>
      <c r="K311" s="8" t="inlineStr">
        <is>
          <t>No</t>
        </is>
      </c>
      <c r="L311" s="9" t="inlineStr"/>
      <c r="M311" s="8" t="inlineStr">
        <is>
          <t>No</t>
        </is>
      </c>
      <c r="N311" s="9" t="inlineStr"/>
      <c r="O311" s="8" t="inlineStr">
        <is>
          <t>Partly</t>
        </is>
      </c>
      <c r="P311" s="10" t="inlineStr"/>
      <c r="Q311" s="6">
        <f>HYPERLINK("https://www.linkedin.com/search/results/people/?keywords=K.%20Alan%20Hassenflu%20Fidelis%20Realty%20Partners","search")</f>
        <v/>
      </c>
      <c r="R311" s="11">
        <f>IF(P311="","ADD LINKEDIN","ok")</f>
        <v/>
      </c>
      <c r="S311" s="6" t="inlineStr">
        <is>
          <t>https://www.frpltd.com/</t>
        </is>
      </c>
      <c r="T311" s="9" t="inlineStr">
        <is>
          <t>Two land positions in target counties within 24 months. Every purchase price is undisclosed.</t>
        </is>
      </c>
      <c r="U311" s="6" t="inlineStr"/>
      <c r="V311" s="9" t="inlineStr">
        <is>
          <t>President and Chief Executive Officer, a founder in 2003, formerly senior managing director at Trammell Crow.</t>
        </is>
      </c>
      <c r="W311" s="6" t="inlineStr">
        <is>
          <t>https://www.frpltd.com/about-fidelis/mission-values</t>
        </is>
      </c>
      <c r="X311" s="6" t="inlineStr">
        <is>
          <t>https://www.linkedin.com/company/fidelis-realty-partners</t>
        </is>
      </c>
      <c r="Y311" s="6" t="inlineStr">
        <is>
          <t>https://www.frpltd.com/about-fidelis/mission-values</t>
        </is>
      </c>
      <c r="Z311" s="6" t="inlineStr"/>
      <c r="AA311" s="6" t="inlineStr">
        <is>
          <t>(713) 623-6800</t>
        </is>
      </c>
      <c r="AB311" s="6" t="inlineStr"/>
      <c r="AC311" s="6" t="inlineStr">
        <is>
          <t>https://www.frpltd.com/</t>
        </is>
      </c>
    </row>
    <row r="312">
      <c r="A312" s="12" t="inlineStr">
        <is>
          <t>Glenn Airola</t>
        </is>
      </c>
      <c r="B312" s="12" t="inlineStr">
        <is>
          <t>Fidelis Realty Partners</t>
        </is>
      </c>
      <c r="C312" s="12" t="inlineStr">
        <is>
          <t>Executive Vice President, General Counsel and Chief Administrative Officer</t>
        </is>
      </c>
      <c r="D312" s="13" t="inlineStr">
        <is>
          <t>Off deck, screened out</t>
        </is>
      </c>
      <c r="E312" s="14" t="n">
        <v>1</v>
      </c>
      <c r="F312" s="12" t="inlineStr">
        <is>
          <t>Buys walls</t>
        </is>
      </c>
      <c r="G312" s="12" t="inlineStr">
        <is>
          <t>Houston HQ / Brazoria, Montgomery</t>
        </is>
      </c>
      <c r="H312" s="12" t="inlineStr">
        <is>
          <t>26M sf, ~100 properties, 12 states</t>
        </is>
      </c>
      <c r="I312" s="14" t="inlineStr">
        <is>
          <t>Yes</t>
        </is>
      </c>
      <c r="J312" s="15" t="inlineStr"/>
      <c r="K312" s="14" t="inlineStr">
        <is>
          <t>No</t>
        </is>
      </c>
      <c r="L312" s="15" t="inlineStr"/>
      <c r="M312" s="14" t="inlineStr">
        <is>
          <t>No</t>
        </is>
      </c>
      <c r="N312" s="15" t="inlineStr"/>
      <c r="O312" s="14" t="inlineStr">
        <is>
          <t>Partly</t>
        </is>
      </c>
      <c r="P312" s="10" t="inlineStr"/>
      <c r="Q312" s="12">
        <f>HYPERLINK("https://www.linkedin.com/search/results/people/?keywords=Glenn%20Airola%20Fidelis%20Realty%20Partners","search")</f>
        <v/>
      </c>
      <c r="R312" s="16">
        <f>IF(P312="","ADD LINKEDIN","ok")</f>
        <v/>
      </c>
      <c r="S312" s="12" t="inlineStr">
        <is>
          <t>https://www.frpltd.com/</t>
        </is>
      </c>
      <c r="T312" s="15" t="inlineStr">
        <is>
          <t>Two land positions in target counties within 24 months. Every purchase price is undisclosed.</t>
        </is>
      </c>
      <c r="U312" s="12" t="inlineStr"/>
      <c r="V312" s="15" t="inlineStr"/>
      <c r="W312" s="12" t="inlineStr">
        <is>
          <t>https://www.frpltd.com/about-fidelis/mission-values</t>
        </is>
      </c>
      <c r="X312" s="12" t="inlineStr">
        <is>
          <t>https://www.linkedin.com/company/fidelis-realty-partners</t>
        </is>
      </c>
      <c r="Y312" s="12" t="inlineStr">
        <is>
          <t>https://www.frpltd.com/about-fidelis/mission-values</t>
        </is>
      </c>
      <c r="Z312" s="12" t="inlineStr"/>
      <c r="AA312" s="12" t="inlineStr">
        <is>
          <t>(713) 623-6800</t>
        </is>
      </c>
      <c r="AB312" s="12" t="inlineStr"/>
      <c r="AC312" s="12" t="inlineStr">
        <is>
          <t>https://www.frpltd.com/</t>
        </is>
      </c>
    </row>
    <row r="313">
      <c r="A313" s="6" t="inlineStr">
        <is>
          <t>R. Carson Wilson IV</t>
        </is>
      </c>
      <c r="B313" s="6" t="inlineStr">
        <is>
          <t>Fidelis Realty Partners</t>
        </is>
      </c>
      <c r="C313" s="6" t="inlineStr">
        <is>
          <t>Vice President, Leasing</t>
        </is>
      </c>
      <c r="D313" s="7" t="inlineStr">
        <is>
          <t>Off deck, screened out</t>
        </is>
      </c>
      <c r="E313" s="8" t="n">
        <v>1</v>
      </c>
      <c r="F313" s="6" t="inlineStr">
        <is>
          <t>Buys walls</t>
        </is>
      </c>
      <c r="G313" s="6" t="inlineStr">
        <is>
          <t>Houston HQ / Brazoria, Montgomery</t>
        </is>
      </c>
      <c r="H313" s="6" t="inlineStr">
        <is>
          <t>26M sf, ~100 properties, 12 states</t>
        </is>
      </c>
      <c r="I313" s="8" t="inlineStr">
        <is>
          <t>Yes</t>
        </is>
      </c>
      <c r="J313" s="9" t="inlineStr"/>
      <c r="K313" s="8" t="inlineStr">
        <is>
          <t>No</t>
        </is>
      </c>
      <c r="L313" s="9" t="inlineStr"/>
      <c r="M313" s="8" t="inlineStr">
        <is>
          <t>No</t>
        </is>
      </c>
      <c r="N313" s="9" t="inlineStr"/>
      <c r="O313" s="8" t="inlineStr">
        <is>
          <t>Partly</t>
        </is>
      </c>
      <c r="P313" s="6" t="inlineStr">
        <is>
          <t>https://www.linkedin.com/in/r-carson-wilson-iv-9b7525292/</t>
        </is>
      </c>
      <c r="Q313" s="6" t="inlineStr"/>
      <c r="R313" s="11">
        <f>IF(P313="","ADD LINKEDIN","ok")</f>
        <v/>
      </c>
      <c r="S313" s="6" t="inlineStr">
        <is>
          <t>https://www.frpltd.com/</t>
        </is>
      </c>
      <c r="T313" s="9" t="inlineStr">
        <is>
          <t>Two land positions in target counties within 24 months. Every purchase price is undisclosed.</t>
        </is>
      </c>
      <c r="U313" s="6" t="inlineStr">
        <is>
          <t>YES</t>
        </is>
      </c>
      <c r="V313" s="9" t="inlineStr">
        <is>
          <t>Executive Vice President - Leasing, Construction and Development at Fidelis Realty Partners. Greater Houston. One title covers all three, so the person who signs the lease also owns the build.</t>
        </is>
      </c>
      <c r="W313" s="6" t="inlineStr"/>
      <c r="X313" s="6" t="inlineStr">
        <is>
          <t>https://www.linkedin.com/company/fidelis-realty-partners</t>
        </is>
      </c>
      <c r="Y313" s="6" t="inlineStr">
        <is>
          <t>https://www.frpltd.com/about-fidelis/mission-values</t>
        </is>
      </c>
      <c r="Z313" s="6" t="inlineStr"/>
      <c r="AA313" s="6" t="inlineStr">
        <is>
          <t>(713) 623-6800</t>
        </is>
      </c>
      <c r="AB313" s="6" t="inlineStr"/>
      <c r="AC313" s="6" t="inlineStr">
        <is>
          <t>https://www.frpltd.com/</t>
        </is>
      </c>
    </row>
    <row r="314">
      <c r="A314" s="12" t="inlineStr">
        <is>
          <t>Brandt Bowden</t>
        </is>
      </c>
      <c r="B314" s="12" t="inlineStr">
        <is>
          <t>The Hanover Company</t>
        </is>
      </c>
      <c r="C314" s="12" t="inlineStr">
        <is>
          <t>Chief Executive Officer</t>
        </is>
      </c>
      <c r="D314" s="13" t="inlineStr">
        <is>
          <t>Off deck, screened out</t>
        </is>
      </c>
      <c r="E314" s="14" t="n">
        <v>1</v>
      </c>
      <c r="F314" s="12" t="inlineStr">
        <is>
          <t>Buys walls</t>
        </is>
      </c>
      <c r="G314" s="12" t="inlineStr">
        <is>
          <t>Houston HQ, Harris County</t>
        </is>
      </c>
      <c r="H314" s="12" t="inlineStr">
        <is>
          <t>19 markets, in-house construction arm</t>
        </is>
      </c>
      <c r="I314" s="14" t="inlineStr">
        <is>
          <t>Yes</t>
        </is>
      </c>
      <c r="J314" s="15" t="inlineStr"/>
      <c r="K314" s="14" t="inlineStr">
        <is>
          <t>No</t>
        </is>
      </c>
      <c r="L314" s="15" t="inlineStr"/>
      <c r="M314" s="14" t="inlineStr">
        <is>
          <t>No</t>
        </is>
      </c>
      <c r="N314" s="15" t="inlineStr"/>
      <c r="O314" s="14" t="inlineStr">
        <is>
          <t>Partly</t>
        </is>
      </c>
      <c r="P314" s="10" t="inlineStr"/>
      <c r="Q314" s="12">
        <f>HYPERLINK("https://www.linkedin.com/search/results/people/?keywords=Brandt%20Bowden%20The%20Hanover%20Company","search")</f>
        <v/>
      </c>
      <c r="R314" s="16">
        <f>IF(P314="","ADD LINKEDIN","ok")</f>
        <v/>
      </c>
      <c r="S314" s="12" t="inlineStr">
        <is>
          <t>https://www.hanoverco.com/</t>
        </is>
      </c>
      <c r="T314" s="15" t="inlineStr">
        <is>
          <t>An in-house construction arm and a Houston HQ since 1982, but no Houston project could be sourced.</t>
        </is>
      </c>
      <c r="U314" s="12" t="inlineStr"/>
      <c r="V314" s="15" t="inlineStr">
        <is>
          <t>Chief Executive Officer of Hanover, overseeing capital, development and construction, previously chief investment officer.</t>
        </is>
      </c>
      <c r="W314" s="12" t="inlineStr">
        <is>
          <t>https://knowledge.uli.org/en/people/b/b/brandt-bowden-f34f</t>
        </is>
      </c>
      <c r="X314" s="12" t="inlineStr"/>
      <c r="Y314" s="12" t="inlineStr">
        <is>
          <t>https://www.hanoverco.com/leadership</t>
        </is>
      </c>
      <c r="Z314" s="12" t="inlineStr"/>
      <c r="AA314" s="12" t="inlineStr">
        <is>
          <t>(713) 267-2100</t>
        </is>
      </c>
      <c r="AB314" s="12" t="inlineStr"/>
      <c r="AC314" s="12" t="inlineStr">
        <is>
          <t>https://www.hanoverco.com/</t>
        </is>
      </c>
    </row>
    <row r="315">
      <c r="A315" s="6" t="inlineStr">
        <is>
          <t>Murry Bowden</t>
        </is>
      </c>
      <c r="B315" s="6" t="inlineStr">
        <is>
          <t>The Hanover Company</t>
        </is>
      </c>
      <c r="C315" s="6" t="inlineStr">
        <is>
          <t>Founder and Executive Chairman</t>
        </is>
      </c>
      <c r="D315" s="7" t="inlineStr">
        <is>
          <t>Off deck, screened out</t>
        </is>
      </c>
      <c r="E315" s="8" t="n">
        <v>1</v>
      </c>
      <c r="F315" s="6" t="inlineStr">
        <is>
          <t>Buys walls</t>
        </is>
      </c>
      <c r="G315" s="6" t="inlineStr">
        <is>
          <t>Houston HQ, Harris County</t>
        </is>
      </c>
      <c r="H315" s="6" t="inlineStr">
        <is>
          <t>19 markets, in-house construction arm</t>
        </is>
      </c>
      <c r="I315" s="8" t="inlineStr">
        <is>
          <t>Yes</t>
        </is>
      </c>
      <c r="J315" s="9" t="inlineStr"/>
      <c r="K315" s="8" t="inlineStr">
        <is>
          <t>No</t>
        </is>
      </c>
      <c r="L315" s="9" t="inlineStr"/>
      <c r="M315" s="8" t="inlineStr">
        <is>
          <t>No</t>
        </is>
      </c>
      <c r="N315" s="9" t="inlineStr"/>
      <c r="O315" s="8" t="inlineStr">
        <is>
          <t>Partly</t>
        </is>
      </c>
      <c r="P315" s="10" t="inlineStr"/>
      <c r="Q315" s="6">
        <f>HYPERLINK("https://www.linkedin.com/search/results/people/?keywords=Murry%20Bowden%20The%20Hanover%20Company","search")</f>
        <v/>
      </c>
      <c r="R315" s="11">
        <f>IF(P315="","ADD LINKEDIN","ok")</f>
        <v/>
      </c>
      <c r="S315" s="6" t="inlineStr">
        <is>
          <t>https://www.hanoverco.com/</t>
        </is>
      </c>
      <c r="T315" s="9" t="inlineStr">
        <is>
          <t>An in-house construction arm and a Houston HQ since 1982, but no Houston project could be sourced.</t>
        </is>
      </c>
      <c r="U315" s="6" t="inlineStr"/>
      <c r="V315" s="9" t="inlineStr">
        <is>
          <t>Founder, Chairman and Chief Executive Officer, responsible for strategy and investment decisions.</t>
        </is>
      </c>
      <c r="W315" s="6" t="inlineStr">
        <is>
          <t>https://www.nmhc.org/meetings/meetings-pages/meeting-materials/j-murry-bowden-biography/</t>
        </is>
      </c>
      <c r="X315" s="6" t="inlineStr"/>
      <c r="Y315" s="6" t="inlineStr">
        <is>
          <t>https://www.hanoverco.com/leadership</t>
        </is>
      </c>
      <c r="Z315" s="6" t="inlineStr"/>
      <c r="AA315" s="6" t="inlineStr">
        <is>
          <t>(713) 267-2100</t>
        </is>
      </c>
      <c r="AB315" s="6" t="inlineStr"/>
      <c r="AC315" s="6" t="inlineStr">
        <is>
          <t>https://www.hanoverco.com/</t>
        </is>
      </c>
    </row>
    <row r="316">
      <c r="A316" s="12" t="inlineStr">
        <is>
          <t>John Nash</t>
        </is>
      </c>
      <c r="B316" s="12" t="inlineStr">
        <is>
          <t>The Hanover Company</t>
        </is>
      </c>
      <c r="C316" s="12" t="inlineStr">
        <is>
          <t>President</t>
        </is>
      </c>
      <c r="D316" s="13" t="inlineStr">
        <is>
          <t>Off deck, screened out</t>
        </is>
      </c>
      <c r="E316" s="14" t="n">
        <v>1</v>
      </c>
      <c r="F316" s="12" t="inlineStr">
        <is>
          <t>Buys walls</t>
        </is>
      </c>
      <c r="G316" s="12" t="inlineStr">
        <is>
          <t>Houston HQ, Harris County</t>
        </is>
      </c>
      <c r="H316" s="12" t="inlineStr">
        <is>
          <t>19 markets, in-house construction arm</t>
        </is>
      </c>
      <c r="I316" s="14" t="inlineStr">
        <is>
          <t>Yes</t>
        </is>
      </c>
      <c r="J316" s="15" t="inlineStr"/>
      <c r="K316" s="14" t="inlineStr">
        <is>
          <t>No</t>
        </is>
      </c>
      <c r="L316" s="15" t="inlineStr"/>
      <c r="M316" s="14" t="inlineStr">
        <is>
          <t>No</t>
        </is>
      </c>
      <c r="N316" s="15" t="inlineStr"/>
      <c r="O316" s="14" t="inlineStr">
        <is>
          <t>Partly</t>
        </is>
      </c>
      <c r="P316" s="10" t="inlineStr"/>
      <c r="Q316" s="12">
        <f>HYPERLINK("https://www.linkedin.com/search/results/people/?keywords=John%20Nash%20The%20Hanover%20Company","search")</f>
        <v/>
      </c>
      <c r="R316" s="16">
        <f>IF(P316="","ADD LINKEDIN","ok")</f>
        <v/>
      </c>
      <c r="S316" s="12" t="inlineStr">
        <is>
          <t>https://www.hanoverco.com/</t>
        </is>
      </c>
      <c r="T316" s="15" t="inlineStr">
        <is>
          <t>An in-house construction arm and a Houston HQ since 1982, but no Houston project could be sourced.</t>
        </is>
      </c>
      <c r="U316" s="12" t="inlineStr"/>
      <c r="V316" s="15" t="inlineStr">
        <is>
          <t>President. Thirty-three years with Hanover, twenty-three of them as president, per the McCombs alumni network.</t>
        </is>
      </c>
      <c r="W316" s="12" t="inlineStr">
        <is>
          <t>https://www.hanoverco.com/leadership</t>
        </is>
      </c>
      <c r="X316" s="12" t="inlineStr"/>
      <c r="Y316" s="12" t="inlineStr">
        <is>
          <t>https://www.hanoverco.com/leadership</t>
        </is>
      </c>
      <c r="Z316" s="12" t="inlineStr"/>
      <c r="AA316" s="12" t="inlineStr">
        <is>
          <t>(713) 267-2100</t>
        </is>
      </c>
      <c r="AB316" s="12" t="inlineStr"/>
      <c r="AC316" s="12" t="inlineStr">
        <is>
          <t>https://www.hanoverco.com/</t>
        </is>
      </c>
    </row>
    <row r="317">
      <c r="A317" s="6" t="inlineStr">
        <is>
          <t>John Garibaldi</t>
        </is>
      </c>
      <c r="B317" s="6" t="inlineStr">
        <is>
          <t>The Hanover Company</t>
        </is>
      </c>
      <c r="C317" s="6" t="inlineStr">
        <is>
          <t>President, Multifamily</t>
        </is>
      </c>
      <c r="D317" s="7" t="inlineStr">
        <is>
          <t>Off deck, screened out</t>
        </is>
      </c>
      <c r="E317" s="8" t="n">
        <v>1</v>
      </c>
      <c r="F317" s="6" t="inlineStr">
        <is>
          <t>Buys walls</t>
        </is>
      </c>
      <c r="G317" s="6" t="inlineStr">
        <is>
          <t>Houston HQ, Harris County</t>
        </is>
      </c>
      <c r="H317" s="6" t="inlineStr">
        <is>
          <t>19 markets, in-house construction arm</t>
        </is>
      </c>
      <c r="I317" s="8" t="inlineStr">
        <is>
          <t>Yes</t>
        </is>
      </c>
      <c r="J317" s="9" t="inlineStr"/>
      <c r="K317" s="8" t="inlineStr">
        <is>
          <t>No</t>
        </is>
      </c>
      <c r="L317" s="9" t="inlineStr"/>
      <c r="M317" s="8" t="inlineStr">
        <is>
          <t>No</t>
        </is>
      </c>
      <c r="N317" s="9" t="inlineStr"/>
      <c r="O317" s="8" t="inlineStr">
        <is>
          <t>Partly</t>
        </is>
      </c>
      <c r="P317" s="10" t="inlineStr"/>
      <c r="Q317" s="6">
        <f>HYPERLINK("https://www.linkedin.com/search/results/people/?keywords=John%20Garibaldi%20The%20Hanover%20Company","search")</f>
        <v/>
      </c>
      <c r="R317" s="11">
        <f>IF(P317="","ADD LINKEDIN","ok")</f>
        <v/>
      </c>
      <c r="S317" s="6" t="inlineStr">
        <is>
          <t>https://www.hanoverco.com/</t>
        </is>
      </c>
      <c r="T317" s="9" t="inlineStr">
        <is>
          <t>An in-house construction arm and a Houston HQ since 1982, but no Houston project could be sourced.</t>
        </is>
      </c>
      <c r="U317" s="6" t="inlineStr"/>
      <c r="V317" s="9" t="inlineStr">
        <is>
          <t>President, Multifamily. Twenty-five years with the firm, starting as a development partner in Houston in 1999.</t>
        </is>
      </c>
      <c r="W317" s="6" t="inlineStr">
        <is>
          <t>https://www.hanoverco.com/leadership</t>
        </is>
      </c>
      <c r="X317" s="6" t="inlineStr"/>
      <c r="Y317" s="6" t="inlineStr">
        <is>
          <t>https://www.hanoverco.com/leadership</t>
        </is>
      </c>
      <c r="Z317" s="6" t="inlineStr"/>
      <c r="AA317" s="6" t="inlineStr">
        <is>
          <t>(713) 267-2100</t>
        </is>
      </c>
      <c r="AB317" s="6" t="inlineStr"/>
      <c r="AC317" s="6" t="inlineStr">
        <is>
          <t>https://www.hanoverco.com/</t>
        </is>
      </c>
    </row>
    <row r="318">
      <c r="A318" s="12" t="inlineStr">
        <is>
          <t>Thomas Knutson</t>
        </is>
      </c>
      <c r="B318" s="12" t="inlineStr">
        <is>
          <t>The Hanover Company</t>
        </is>
      </c>
      <c r="C318" s="12" t="inlineStr">
        <is>
          <t>President of Construction, The Hanover Company</t>
        </is>
      </c>
      <c r="D318" s="13" t="inlineStr">
        <is>
          <t>Off deck, screened out</t>
        </is>
      </c>
      <c r="E318" s="14" t="n">
        <v>1</v>
      </c>
      <c r="F318" s="12" t="inlineStr">
        <is>
          <t>Buys walls</t>
        </is>
      </c>
      <c r="G318" s="12" t="inlineStr">
        <is>
          <t>Houston HQ, Harris County</t>
        </is>
      </c>
      <c r="H318" s="12" t="inlineStr">
        <is>
          <t>19 markets, in-house construction arm</t>
        </is>
      </c>
      <c r="I318" s="14" t="inlineStr">
        <is>
          <t>Yes</t>
        </is>
      </c>
      <c r="J318" s="15" t="inlineStr"/>
      <c r="K318" s="14" t="inlineStr">
        <is>
          <t>No</t>
        </is>
      </c>
      <c r="L318" s="15" t="inlineStr"/>
      <c r="M318" s="14" t="inlineStr">
        <is>
          <t>No</t>
        </is>
      </c>
      <c r="N318" s="15" t="inlineStr"/>
      <c r="O318" s="14" t="inlineStr">
        <is>
          <t>Partly</t>
        </is>
      </c>
      <c r="P318" s="6" t="inlineStr">
        <is>
          <t>https://www.linkedin.com/in/thomas-knutson-a741898/</t>
        </is>
      </c>
      <c r="Q318" s="12" t="inlineStr"/>
      <c r="R318" s="16">
        <f>IF(P318="","ADD LINKEDIN","ok")</f>
        <v/>
      </c>
      <c r="S318" s="12" t="inlineStr">
        <is>
          <t>https://www.hanoverco.com/</t>
        </is>
      </c>
      <c r="T318" s="15" t="inlineStr">
        <is>
          <t>An in-house construction arm and a Houston HQ since 1982, but no Houston project could be sourced.</t>
        </is>
      </c>
      <c r="U318" s="12" t="inlineStr">
        <is>
          <t>YES</t>
        </is>
      </c>
      <c r="V318" s="15" t="inlineStr">
        <is>
          <t>President - Construction at The Hanover Company. Houston, Texas. Hanover builds its own work, so this is the head of the in-house contractor.</t>
        </is>
      </c>
      <c r="W318" s="12" t="inlineStr"/>
      <c r="X318" s="12" t="inlineStr"/>
      <c r="Y318" s="12" t="inlineStr">
        <is>
          <t>https://www.hanoverco.com/leadership</t>
        </is>
      </c>
      <c r="Z318" s="12" t="inlineStr"/>
      <c r="AA318" s="12" t="inlineStr">
        <is>
          <t>(713) 267-2100</t>
        </is>
      </c>
      <c r="AB318" s="12" t="inlineStr"/>
      <c r="AC318" s="12" t="inlineStr">
        <is>
          <t>https://www.hanoverco.com/</t>
        </is>
      </c>
    </row>
    <row r="319">
      <c r="A319" s="6" t="inlineStr">
        <is>
          <t>Mike Wright</t>
        </is>
      </c>
      <c r="B319" s="6" t="inlineStr">
        <is>
          <t>The Hanover Company</t>
        </is>
      </c>
      <c r="C319" s="6" t="inlineStr">
        <is>
          <t>Vice President of Preconstruction and Estimating, The Hanover Company</t>
        </is>
      </c>
      <c r="D319" s="7" t="inlineStr">
        <is>
          <t>Off deck, screened out</t>
        </is>
      </c>
      <c r="E319" s="8" t="n">
        <v>1</v>
      </c>
      <c r="F319" s="6" t="inlineStr">
        <is>
          <t>Buys walls</t>
        </is>
      </c>
      <c r="G319" s="6" t="inlineStr">
        <is>
          <t>Houston HQ, Harris County</t>
        </is>
      </c>
      <c r="H319" s="6" t="inlineStr">
        <is>
          <t>19 markets, in-house construction arm</t>
        </is>
      </c>
      <c r="I319" s="8" t="inlineStr">
        <is>
          <t>Yes</t>
        </is>
      </c>
      <c r="J319" s="9" t="inlineStr"/>
      <c r="K319" s="8" t="inlineStr">
        <is>
          <t>No</t>
        </is>
      </c>
      <c r="L319" s="9" t="inlineStr"/>
      <c r="M319" s="8" t="inlineStr">
        <is>
          <t>No</t>
        </is>
      </c>
      <c r="N319" s="9" t="inlineStr"/>
      <c r="O319" s="8" t="inlineStr">
        <is>
          <t>Partly</t>
        </is>
      </c>
      <c r="P319" s="6" t="inlineStr">
        <is>
          <t>https://www.linkedin.com/in/mike-wright-7795a8b/</t>
        </is>
      </c>
      <c r="Q319" s="6" t="inlineStr"/>
      <c r="R319" s="11">
        <f>IF(P319="","ADD LINKEDIN","ok")</f>
        <v/>
      </c>
      <c r="S319" s="6" t="inlineStr">
        <is>
          <t>https://www.hanoverco.com/</t>
        </is>
      </c>
      <c r="T319" s="9" t="inlineStr">
        <is>
          <t>An in-house construction arm and a Houston HQ since 1982, but no Houston project could be sourced.</t>
        </is>
      </c>
      <c r="U319" s="6" t="inlineStr">
        <is>
          <t>YES</t>
        </is>
      </c>
      <c r="V319" s="9" t="inlineStr">
        <is>
          <t>Vice President of Preconstruction &amp; Estimating at The Hanover Company. Katy, Texas. Preconstruction is where an unfamiliar wall system gets priced or dismissed, so this is the first real test of a printed assembly.</t>
        </is>
      </c>
      <c r="W319" s="6" t="inlineStr"/>
      <c r="X319" s="6" t="inlineStr"/>
      <c r="Y319" s="6" t="inlineStr">
        <is>
          <t>https://www.hanoverco.com/leadership</t>
        </is>
      </c>
      <c r="Z319" s="6" t="inlineStr"/>
      <c r="AA319" s="6" t="inlineStr">
        <is>
          <t>(713) 267-2100</t>
        </is>
      </c>
      <c r="AB319" s="6" t="inlineStr"/>
      <c r="AC319" s="6" t="inlineStr">
        <is>
          <t>https://www.hanoverco.com/</t>
        </is>
      </c>
    </row>
    <row r="320">
      <c r="A320" s="12" t="inlineStr">
        <is>
          <t>Jeff Read</t>
        </is>
      </c>
      <c r="B320" s="12" t="inlineStr">
        <is>
          <t>Read King</t>
        </is>
      </c>
      <c r="C320" s="12" t="inlineStr">
        <is>
          <t>Principal and Co-Founder</t>
        </is>
      </c>
      <c r="D320" s="13" t="inlineStr">
        <is>
          <t>Off deck, screened out</t>
        </is>
      </c>
      <c r="E320" s="14" t="n">
        <v>1</v>
      </c>
      <c r="F320" s="12" t="inlineStr">
        <is>
          <t>Buys walls</t>
        </is>
      </c>
      <c r="G320" s="12" t="inlineStr">
        <is>
          <t>Houston HQ / Fort Bend, Harris</t>
        </is>
      </c>
      <c r="H320" s="12" t="inlineStr">
        <is>
          <t>36 freestanding ER centres, 100+ build-to-suit</t>
        </is>
      </c>
      <c r="I320" s="14" t="inlineStr">
        <is>
          <t>Yes</t>
        </is>
      </c>
      <c r="J320" s="15" t="inlineStr"/>
      <c r="K320" s="14" t="inlineStr">
        <is>
          <t>No</t>
        </is>
      </c>
      <c r="L320" s="15" t="inlineStr"/>
      <c r="M320" s="14" t="inlineStr">
        <is>
          <t>No</t>
        </is>
      </c>
      <c r="N320" s="15" t="inlineStr"/>
      <c r="O320" s="14" t="inlineStr">
        <is>
          <t>No</t>
        </is>
      </c>
      <c r="P320" s="10" t="inlineStr"/>
      <c r="Q320" s="12">
        <f>HYPERLINK("https://www.linkedin.com/search/results/people/?keywords=Jeff%20Read%20Read%20King","search")</f>
        <v/>
      </c>
      <c r="R320" s="16">
        <f>IF(P320="","ADD LINKEDIN","ok")</f>
        <v/>
      </c>
      <c r="S320" s="12" t="inlineStr">
        <is>
          <t>https://read-king.com/</t>
        </is>
      </c>
      <c r="T320" s="15" t="inlineStr">
        <is>
          <t>36 freestanding emergency centres and over 100 build-to-suits, the most repeated small-commercial format screened.</t>
        </is>
      </c>
      <c r="U320" s="12" t="inlineStr"/>
      <c r="V320" s="15" t="inlineStr"/>
      <c r="W320" s="12" t="inlineStr">
        <is>
          <t>https://www.read-king.com/team</t>
        </is>
      </c>
      <c r="X320" s="12" t="inlineStr">
        <is>
          <t>https://www.linkedin.com/company/read-king-inc-</t>
        </is>
      </c>
      <c r="Y320" s="12" t="inlineStr">
        <is>
          <t>https://www.read-king.com/team</t>
        </is>
      </c>
      <c r="Z320" s="12" t="inlineStr"/>
      <c r="AA320" s="12" t="inlineStr">
        <is>
          <t>(713) 782-9000</t>
        </is>
      </c>
      <c r="AB320" s="12" t="inlineStr"/>
      <c r="AC320" s="12" t="inlineStr">
        <is>
          <t>https://read-king.com/</t>
        </is>
      </c>
    </row>
    <row r="321">
      <c r="A321" s="6" t="inlineStr">
        <is>
          <t>Ewing King</t>
        </is>
      </c>
      <c r="B321" s="6" t="inlineStr">
        <is>
          <t>Read King</t>
        </is>
      </c>
      <c r="C321" s="6" t="inlineStr">
        <is>
          <t>Principal</t>
        </is>
      </c>
      <c r="D321" s="7" t="inlineStr">
        <is>
          <t>Off deck, screened out</t>
        </is>
      </c>
      <c r="E321" s="8" t="n">
        <v>1</v>
      </c>
      <c r="F321" s="6" t="inlineStr">
        <is>
          <t>Buys walls</t>
        </is>
      </c>
      <c r="G321" s="6" t="inlineStr">
        <is>
          <t>Houston HQ / Fort Bend, Harris</t>
        </is>
      </c>
      <c r="H321" s="6" t="inlineStr">
        <is>
          <t>36 freestanding ER centres, 100+ build-to-suit</t>
        </is>
      </c>
      <c r="I321" s="8" t="inlineStr">
        <is>
          <t>Yes</t>
        </is>
      </c>
      <c r="J321" s="9" t="inlineStr"/>
      <c r="K321" s="8" t="inlineStr">
        <is>
          <t>No</t>
        </is>
      </c>
      <c r="L321" s="9" t="inlineStr"/>
      <c r="M321" s="8" t="inlineStr">
        <is>
          <t>No</t>
        </is>
      </c>
      <c r="N321" s="9" t="inlineStr"/>
      <c r="O321" s="8" t="inlineStr">
        <is>
          <t>No</t>
        </is>
      </c>
      <c r="P321" s="10" t="inlineStr"/>
      <c r="Q321" s="6">
        <f>HYPERLINK("https://www.linkedin.com/search/results/people/?keywords=Ewing%20King%20Read%20King","search")</f>
        <v/>
      </c>
      <c r="R321" s="11">
        <f>IF(P321="","ADD LINKEDIN","ok")</f>
        <v/>
      </c>
      <c r="S321" s="6" t="inlineStr">
        <is>
          <t>https://read-king.com/</t>
        </is>
      </c>
      <c r="T321" s="9" t="inlineStr">
        <is>
          <t>36 freestanding emergency centres and over 100 build-to-suits, the most repeated small-commercial format screened.</t>
        </is>
      </c>
      <c r="U321" s="6" t="inlineStr"/>
      <c r="V321" s="9" t="inlineStr"/>
      <c r="W321" s="6" t="inlineStr">
        <is>
          <t>https://www.read-king.com/team</t>
        </is>
      </c>
      <c r="X321" s="6" t="inlineStr">
        <is>
          <t>https://www.linkedin.com/company/read-king-inc-</t>
        </is>
      </c>
      <c r="Y321" s="6" t="inlineStr">
        <is>
          <t>https://www.read-king.com/team</t>
        </is>
      </c>
      <c r="Z321" s="6" t="inlineStr"/>
      <c r="AA321" s="6" t="inlineStr">
        <is>
          <t>(713) 782-9000</t>
        </is>
      </c>
      <c r="AB321" s="6" t="inlineStr"/>
      <c r="AC321" s="6" t="inlineStr">
        <is>
          <t>https://read-king.com/</t>
        </is>
      </c>
    </row>
    <row r="322">
      <c r="A322" s="12" t="inlineStr">
        <is>
          <t>Blake Allen</t>
        </is>
      </c>
      <c r="B322" s="12" t="inlineStr">
        <is>
          <t>Read King</t>
        </is>
      </c>
      <c r="C322" s="12" t="inlineStr">
        <is>
          <t>Chief Financial Officer</t>
        </is>
      </c>
      <c r="D322" s="13" t="inlineStr">
        <is>
          <t>Off deck, screened out</t>
        </is>
      </c>
      <c r="E322" s="14" t="n">
        <v>1</v>
      </c>
      <c r="F322" s="12" t="inlineStr">
        <is>
          <t>Buys walls</t>
        </is>
      </c>
      <c r="G322" s="12" t="inlineStr">
        <is>
          <t>Houston HQ / Fort Bend, Harris</t>
        </is>
      </c>
      <c r="H322" s="12" t="inlineStr">
        <is>
          <t>36 freestanding ER centres, 100+ build-to-suit</t>
        </is>
      </c>
      <c r="I322" s="14" t="inlineStr">
        <is>
          <t>Yes</t>
        </is>
      </c>
      <c r="J322" s="15" t="inlineStr"/>
      <c r="K322" s="14" t="inlineStr">
        <is>
          <t>No</t>
        </is>
      </c>
      <c r="L322" s="15" t="inlineStr"/>
      <c r="M322" s="14" t="inlineStr">
        <is>
          <t>No</t>
        </is>
      </c>
      <c r="N322" s="15" t="inlineStr"/>
      <c r="O322" s="14" t="inlineStr">
        <is>
          <t>No</t>
        </is>
      </c>
      <c r="P322" s="10" t="inlineStr"/>
      <c r="Q322" s="12">
        <f>HYPERLINK("https://www.linkedin.com/search/results/people/?keywords=Blake%20Allen%20Read%20King","search")</f>
        <v/>
      </c>
      <c r="R322" s="16">
        <f>IF(P322="","ADD LINKEDIN","ok")</f>
        <v/>
      </c>
      <c r="S322" s="12" t="inlineStr">
        <is>
          <t>https://read-king.com/</t>
        </is>
      </c>
      <c r="T322" s="15" t="inlineStr">
        <is>
          <t>36 freestanding emergency centres and over 100 build-to-suits, the most repeated small-commercial format screened.</t>
        </is>
      </c>
      <c r="U322" s="12" t="inlineStr"/>
      <c r="V322" s="15" t="inlineStr"/>
      <c r="W322" s="12" t="inlineStr">
        <is>
          <t>https://www.read-king.com/team</t>
        </is>
      </c>
      <c r="X322" s="12" t="inlineStr">
        <is>
          <t>https://www.linkedin.com/company/read-king-inc-</t>
        </is>
      </c>
      <c r="Y322" s="12" t="inlineStr">
        <is>
          <t>https://www.read-king.com/team</t>
        </is>
      </c>
      <c r="Z322" s="12" t="inlineStr"/>
      <c r="AA322" s="12" t="inlineStr">
        <is>
          <t>(713) 782-9000</t>
        </is>
      </c>
      <c r="AB322" s="12" t="inlineStr"/>
      <c r="AC322" s="12" t="inlineStr">
        <is>
          <t>https://read-king.com/</t>
        </is>
      </c>
    </row>
    <row r="323">
      <c r="A323" s="6" t="inlineStr">
        <is>
          <t>Telisia Amaning</t>
        </is>
      </c>
      <c r="B323" s="6" t="inlineStr">
        <is>
          <t>Read King</t>
        </is>
      </c>
      <c r="C323" s="6" t="inlineStr">
        <is>
          <t>Chief Operating Officer</t>
        </is>
      </c>
      <c r="D323" s="7" t="inlineStr">
        <is>
          <t>Off deck, screened out</t>
        </is>
      </c>
      <c r="E323" s="8" t="n">
        <v>1</v>
      </c>
      <c r="F323" s="6" t="inlineStr">
        <is>
          <t>Buys walls</t>
        </is>
      </c>
      <c r="G323" s="6" t="inlineStr">
        <is>
          <t>Houston HQ / Fort Bend, Harris</t>
        </is>
      </c>
      <c r="H323" s="6" t="inlineStr">
        <is>
          <t>36 freestanding ER centres, 100+ build-to-suit</t>
        </is>
      </c>
      <c r="I323" s="8" t="inlineStr">
        <is>
          <t>Yes</t>
        </is>
      </c>
      <c r="J323" s="9" t="inlineStr"/>
      <c r="K323" s="8" t="inlineStr">
        <is>
          <t>No</t>
        </is>
      </c>
      <c r="L323" s="9" t="inlineStr"/>
      <c r="M323" s="8" t="inlineStr">
        <is>
          <t>No</t>
        </is>
      </c>
      <c r="N323" s="9" t="inlineStr"/>
      <c r="O323" s="8" t="inlineStr">
        <is>
          <t>No</t>
        </is>
      </c>
      <c r="P323" s="6" t="inlineStr">
        <is>
          <t>https://www.linkedin.com/in/telisiaamaning/</t>
        </is>
      </c>
      <c r="Q323" s="6" t="inlineStr"/>
      <c r="R323" s="11">
        <f>IF(P323="","ADD LINKEDIN","ok")</f>
        <v/>
      </c>
      <c r="S323" s="6" t="inlineStr">
        <is>
          <t>https://read-king.com/</t>
        </is>
      </c>
      <c r="T323" s="9" t="inlineStr">
        <is>
          <t>36 freestanding emergency centres and over 100 build-to-suits, the most repeated small-commercial format screened.</t>
        </is>
      </c>
      <c r="U323" s="6" t="inlineStr"/>
      <c r="V323" s="9" t="inlineStr">
        <is>
          <t>Chief Operating Officer, READ KING. Houston, Texas.</t>
        </is>
      </c>
      <c r="W323" s="6" t="inlineStr"/>
      <c r="X323" s="6" t="inlineStr">
        <is>
          <t>https://www.linkedin.com/company/read-king-inc-</t>
        </is>
      </c>
      <c r="Y323" s="6" t="inlineStr">
        <is>
          <t>https://www.read-king.com/team</t>
        </is>
      </c>
      <c r="Z323" s="6" t="inlineStr"/>
      <c r="AA323" s="6" t="inlineStr">
        <is>
          <t>(713) 782-9000</t>
        </is>
      </c>
      <c r="AB323" s="6" t="inlineStr"/>
      <c r="AC323" s="6" t="inlineStr">
        <is>
          <t>https://read-king.com/</t>
        </is>
      </c>
    </row>
    <row r="324">
      <c r="A324" s="12" t="inlineStr">
        <is>
          <t>Alex Jessett</t>
        </is>
      </c>
      <c r="B324" s="12" t="inlineStr">
        <is>
          <t>Camden Property Trust</t>
        </is>
      </c>
      <c r="C324" s="12" t="inlineStr">
        <is>
          <t>Chief Executive Officer</t>
        </is>
      </c>
      <c r="D324" s="13" t="inlineStr">
        <is>
          <t>Off deck, screened out</t>
        </is>
      </c>
      <c r="E324" s="14" t="n">
        <v>1</v>
      </c>
      <c r="F324" s="12" t="inlineStr">
        <is>
          <t>Buys walls</t>
        </is>
      </c>
      <c r="G324" s="12" t="inlineStr">
        <is>
          <t>Houston HQ / Fort Bend, Montgomery</t>
        </is>
      </c>
      <c r="H324" s="12" t="inlineStr">
        <is>
          <t>$155M into 389 BTR homes</t>
        </is>
      </c>
      <c r="I324" s="14" t="inlineStr">
        <is>
          <t>Partly</t>
        </is>
      </c>
      <c r="J324" s="15" t="inlineStr"/>
      <c r="K324" s="14" t="inlineStr">
        <is>
          <t>No</t>
        </is>
      </c>
      <c r="L324" s="15" t="inlineStr"/>
      <c r="M324" s="14" t="inlineStr">
        <is>
          <t>No</t>
        </is>
      </c>
      <c r="N324" s="15" t="inlineStr"/>
      <c r="O324" s="14" t="inlineStr">
        <is>
          <t>Yes</t>
        </is>
      </c>
      <c r="P324" s="10" t="inlineStr"/>
      <c r="Q324" s="12">
        <f>HYPERLINK("https://www.linkedin.com/search/results/people/?keywords=Alex%20Jessett%20Camden%20Property%20Trust","search")</f>
        <v/>
      </c>
      <c r="R324" s="16">
        <f>IF(P324="","ADD LINKEDIN","ok")</f>
        <v/>
      </c>
      <c r="S324" s="12" t="inlineStr">
        <is>
          <t>https://www.camdenliving.com/</t>
        </is>
      </c>
      <c r="T324" s="15" t="inlineStr">
        <is>
          <t>$155M into 389 build-to-rent homes, Houston HQ, holds long term. Figures date to 2022.</t>
        </is>
      </c>
      <c r="U324" s="12" t="inlineStr"/>
      <c r="V324" s="15" t="inlineStr">
        <is>
          <t>Chief Executive Officer, previously President and Chief Financial Officer, at Camden since 1999.</t>
        </is>
      </c>
      <c r="W324" s="12" t="inlineStr">
        <is>
          <t>https://investors.camdenliving.com/investors/governance/board-of-directors/default.aspx</t>
        </is>
      </c>
      <c r="X324" s="12" t="inlineStr">
        <is>
          <t>https://www.linkedin.com/company/camden-property-trust</t>
        </is>
      </c>
      <c r="Y324" s="12" t="inlineStr">
        <is>
          <t>https://investors.camdenliving.com/investors/governance/board-of-directors/default.aspx</t>
        </is>
      </c>
      <c r="Z324" s="12" t="inlineStr"/>
      <c r="AA324" s="12" t="inlineStr">
        <is>
          <t>(713) 354-2500</t>
        </is>
      </c>
      <c r="AB324" s="12" t="inlineStr"/>
      <c r="AC324" s="12" t="inlineStr">
        <is>
          <t>https://www.camdenliving.com/</t>
        </is>
      </c>
    </row>
    <row r="325">
      <c r="A325" s="6" t="inlineStr">
        <is>
          <t>Richard J. Campo</t>
        </is>
      </c>
      <c r="B325" s="6" t="inlineStr">
        <is>
          <t>Camden Property Trust</t>
        </is>
      </c>
      <c r="C325" s="6" t="inlineStr">
        <is>
          <t>Executive Chairman of the Board of Trust Managers</t>
        </is>
      </c>
      <c r="D325" s="7" t="inlineStr">
        <is>
          <t>Off deck, screened out</t>
        </is>
      </c>
      <c r="E325" s="8" t="n">
        <v>1</v>
      </c>
      <c r="F325" s="6" t="inlineStr">
        <is>
          <t>Buys walls</t>
        </is>
      </c>
      <c r="G325" s="6" t="inlineStr">
        <is>
          <t>Houston HQ / Fort Bend, Montgomery</t>
        </is>
      </c>
      <c r="H325" s="6" t="inlineStr">
        <is>
          <t>$155M into 389 BTR homes</t>
        </is>
      </c>
      <c r="I325" s="8" t="inlineStr">
        <is>
          <t>Partly</t>
        </is>
      </c>
      <c r="J325" s="9" t="inlineStr"/>
      <c r="K325" s="8" t="inlineStr">
        <is>
          <t>No</t>
        </is>
      </c>
      <c r="L325" s="9" t="inlineStr"/>
      <c r="M325" s="8" t="inlineStr">
        <is>
          <t>No</t>
        </is>
      </c>
      <c r="N325" s="9" t="inlineStr"/>
      <c r="O325" s="8" t="inlineStr">
        <is>
          <t>Yes</t>
        </is>
      </c>
      <c r="P325" s="10" t="inlineStr"/>
      <c r="Q325" s="6">
        <f>HYPERLINK("https://www.linkedin.com/search/results/people/?keywords=Richard%20J.%20Campo%20Camden%20Property%20Trust","search")</f>
        <v/>
      </c>
      <c r="R325" s="11">
        <f>IF(P325="","ADD LINKEDIN","ok")</f>
        <v/>
      </c>
      <c r="S325" s="6" t="inlineStr">
        <is>
          <t>https://www.camdenliving.com/</t>
        </is>
      </c>
      <c r="T325" s="9" t="inlineStr">
        <is>
          <t>$155M into 389 build-to-rent homes, Houston HQ, holds long term. Figures date to 2022.</t>
        </is>
      </c>
      <c r="U325" s="6" t="inlineStr"/>
      <c r="V325" s="9" t="inlineStr">
        <is>
          <t>Executive Chairman, chief executive from the 1993 listing until 2026.</t>
        </is>
      </c>
      <c r="W325" s="6" t="inlineStr">
        <is>
          <t>https://investors.camdenliving.com/investors/governance/board-of-directors/default.aspx</t>
        </is>
      </c>
      <c r="X325" s="6" t="inlineStr">
        <is>
          <t>https://www.linkedin.com/company/camden-property-trust</t>
        </is>
      </c>
      <c r="Y325" s="6" t="inlineStr">
        <is>
          <t>https://investors.camdenliving.com/investors/governance/board-of-directors/default.aspx</t>
        </is>
      </c>
      <c r="Z325" s="6" t="inlineStr"/>
      <c r="AA325" s="6" t="inlineStr">
        <is>
          <t>(713) 354-2500</t>
        </is>
      </c>
      <c r="AB325" s="6" t="inlineStr"/>
      <c r="AC325" s="6" t="inlineStr">
        <is>
          <t>https://www.camdenliving.com/</t>
        </is>
      </c>
    </row>
    <row r="326">
      <c r="A326" s="12" t="inlineStr">
        <is>
          <t>Michael Eilertsen</t>
        </is>
      </c>
      <c r="B326" s="12" t="inlineStr">
        <is>
          <t>Camden Property Trust</t>
        </is>
      </c>
      <c r="C326" s="12" t="inlineStr">
        <is>
          <t>Vice President of Construction, Camden Property Trust</t>
        </is>
      </c>
      <c r="D326" s="13" t="inlineStr">
        <is>
          <t>Off deck, screened out</t>
        </is>
      </c>
      <c r="E326" s="14" t="n">
        <v>1</v>
      </c>
      <c r="F326" s="12" t="inlineStr">
        <is>
          <t>Buys walls</t>
        </is>
      </c>
      <c r="G326" s="12" t="inlineStr">
        <is>
          <t>Houston HQ / Fort Bend, Montgomery</t>
        </is>
      </c>
      <c r="H326" s="12" t="inlineStr">
        <is>
          <t>$155M into 389 BTR homes</t>
        </is>
      </c>
      <c r="I326" s="14" t="inlineStr">
        <is>
          <t>Partly</t>
        </is>
      </c>
      <c r="J326" s="15" t="inlineStr"/>
      <c r="K326" s="14" t="inlineStr">
        <is>
          <t>No</t>
        </is>
      </c>
      <c r="L326" s="15" t="inlineStr"/>
      <c r="M326" s="14" t="inlineStr">
        <is>
          <t>No</t>
        </is>
      </c>
      <c r="N326" s="15" t="inlineStr"/>
      <c r="O326" s="14" t="inlineStr">
        <is>
          <t>Yes</t>
        </is>
      </c>
      <c r="P326" s="6" t="inlineStr">
        <is>
          <t>https://www.linkedin.com/in/michael-eilertsen-68a59911/</t>
        </is>
      </c>
      <c r="Q326" s="12" t="inlineStr"/>
      <c r="R326" s="16">
        <f>IF(P326="","ADD LINKEDIN","ok")</f>
        <v/>
      </c>
      <c r="S326" s="12" t="inlineStr">
        <is>
          <t>https://www.camdenliving.com/</t>
        </is>
      </c>
      <c r="T326" s="15" t="inlineStr">
        <is>
          <t>$155M into 389 build-to-rent homes, Houston HQ, holds long term. Figures date to 2022.</t>
        </is>
      </c>
      <c r="U326" s="12" t="inlineStr">
        <is>
          <t>YES</t>
        </is>
      </c>
      <c r="V326" s="15" t="inlineStr"/>
      <c r="W326" s="12" t="inlineStr"/>
      <c r="X326" s="12" t="inlineStr">
        <is>
          <t>https://www.linkedin.com/company/camden-property-trust</t>
        </is>
      </c>
      <c r="Y326" s="12" t="inlineStr">
        <is>
          <t>https://investors.camdenliving.com/investors/governance/board-of-directors/default.aspx</t>
        </is>
      </c>
      <c r="Z326" s="12" t="inlineStr"/>
      <c r="AA326" s="12" t="inlineStr">
        <is>
          <t>(713) 354-2500</t>
        </is>
      </c>
      <c r="AB326" s="12" t="inlineStr"/>
      <c r="AC326" s="12" t="inlineStr">
        <is>
          <t>https://www.camdenliving.com/</t>
        </is>
      </c>
    </row>
    <row r="327">
      <c r="A327" s="6" t="inlineStr">
        <is>
          <t>Bob Faith</t>
        </is>
      </c>
      <c r="B327" s="6" t="inlineStr">
        <is>
          <t>Greystar (Summerwell)</t>
        </is>
      </c>
      <c r="C327" s="6" t="inlineStr">
        <is>
          <t>Founder, Chairman and Chief Executive Officer</t>
        </is>
      </c>
      <c r="D327" s="7" t="inlineStr">
        <is>
          <t>Off deck, screened out</t>
        </is>
      </c>
      <c r="E327" s="8" t="n">
        <v>1</v>
      </c>
      <c r="F327" s="6" t="inlineStr">
        <is>
          <t>Buys walls</t>
        </is>
      </c>
      <c r="G327" s="6" t="inlineStr">
        <is>
          <t>Charleston HQ / Katy, Harris-Waller</t>
        </is>
      </c>
      <c r="H327" s="6" t="inlineStr">
        <is>
          <t>Summerwell: 10,000+ homes, 50 properties</t>
        </is>
      </c>
      <c r="I327" s="8" t="inlineStr">
        <is>
          <t>Partly</t>
        </is>
      </c>
      <c r="J327" s="9" t="inlineStr"/>
      <c r="K327" s="8" t="inlineStr">
        <is>
          <t>No</t>
        </is>
      </c>
      <c r="L327" s="9" t="inlineStr"/>
      <c r="M327" s="8" t="inlineStr">
        <is>
          <t>No</t>
        </is>
      </c>
      <c r="N327" s="9" t="inlineStr"/>
      <c r="O327" s="8" t="inlineStr">
        <is>
          <t>Yes</t>
        </is>
      </c>
      <c r="P327" s="10" t="inlineStr"/>
      <c r="Q327" s="6">
        <f>HYPERLINK("https://www.linkedin.com/search/results/people/?keywords=Bob%20Faith%20Greystar","search")</f>
        <v/>
      </c>
      <c r="R327" s="11">
        <f>IF(P327="","ADD LINKEDIN","ok")</f>
        <v/>
      </c>
      <c r="S327" s="6" t="inlineStr">
        <is>
          <t>https://www.greystar.com/</t>
        </is>
      </c>
      <c r="T327" s="9" t="inlineStr">
        <is>
          <t>156 units inside Sunterra, a Houston-based development director, and a 10,000-home national brand. Costs withheld.</t>
        </is>
      </c>
      <c r="U327" s="6" t="inlineStr"/>
      <c r="V327" s="9" t="inlineStr"/>
      <c r="W327" s="6" t="inlineStr">
        <is>
          <t>https://www.greystar.com/contact-us/our-people/bob-faith</t>
        </is>
      </c>
      <c r="X327" s="6" t="inlineStr">
        <is>
          <t>https://www.linkedin.com/company/greystar</t>
        </is>
      </c>
      <c r="Y327" s="6" t="inlineStr">
        <is>
          <t>https://www.greystar.com/business/about-greystar/our-leadership</t>
        </is>
      </c>
      <c r="Z327" s="6" t="inlineStr"/>
      <c r="AA327" s="6" t="inlineStr"/>
      <c r="AB327" s="6" t="inlineStr"/>
      <c r="AC327" s="6" t="inlineStr"/>
    </row>
    <row r="328">
      <c r="A328" s="12" t="inlineStr">
        <is>
          <t>Brian Herwald</t>
        </is>
      </c>
      <c r="B328" s="12" t="inlineStr">
        <is>
          <t>Greystar (Summerwell)</t>
        </is>
      </c>
      <c r="C328" s="12" t="inlineStr">
        <is>
          <t>Managing Director of Development, Houston</t>
        </is>
      </c>
      <c r="D328" s="13" t="inlineStr">
        <is>
          <t>Off deck, screened out</t>
        </is>
      </c>
      <c r="E328" s="14" t="n">
        <v>1</v>
      </c>
      <c r="F328" s="12" t="inlineStr">
        <is>
          <t>Buys walls</t>
        </is>
      </c>
      <c r="G328" s="12" t="inlineStr">
        <is>
          <t>Charleston HQ / Katy, Harris-Waller</t>
        </is>
      </c>
      <c r="H328" s="12" t="inlineStr">
        <is>
          <t>Summerwell: 10,000+ homes, 50 properties</t>
        </is>
      </c>
      <c r="I328" s="14" t="inlineStr">
        <is>
          <t>Partly</t>
        </is>
      </c>
      <c r="J328" s="15" t="inlineStr"/>
      <c r="K328" s="14" t="inlineStr">
        <is>
          <t>No</t>
        </is>
      </c>
      <c r="L328" s="15" t="inlineStr"/>
      <c r="M328" s="14" t="inlineStr">
        <is>
          <t>No</t>
        </is>
      </c>
      <c r="N328" s="15" t="inlineStr"/>
      <c r="O328" s="14" t="inlineStr">
        <is>
          <t>Yes</t>
        </is>
      </c>
      <c r="P328" s="10" t="inlineStr"/>
      <c r="Q328" s="12">
        <f>HYPERLINK("https://www.linkedin.com/search/results/people/?keywords=Brian%20Herwald%20Greystar","search")</f>
        <v/>
      </c>
      <c r="R328" s="16">
        <f>IF(P328="","ADD LINKEDIN","ok")</f>
        <v/>
      </c>
      <c r="S328" s="12" t="inlineStr">
        <is>
          <t>https://www.greystar.com/</t>
        </is>
      </c>
      <c r="T328" s="15" t="inlineStr">
        <is>
          <t>156 units inside Sunterra, a Houston-based development director, and a 10,000-home national brand. Costs withheld.</t>
        </is>
      </c>
      <c r="U328" s="12" t="inlineStr"/>
      <c r="V328" s="15" t="inlineStr">
        <is>
          <t>Managing Director of Development, quoted on Greystar's first Houston logistics project.</t>
        </is>
      </c>
      <c r="W328" s="12" t="inlineStr">
        <is>
          <t>https://www.greystar.com/business/about-greystar/newsroom/greystar-completes-first-logistics-project-in-houston</t>
        </is>
      </c>
      <c r="X328" s="12" t="inlineStr">
        <is>
          <t>https://www.linkedin.com/company/greystar</t>
        </is>
      </c>
      <c r="Y328" s="12" t="inlineStr">
        <is>
          <t>https://www.greystar.com/business/about-greystar/our-leadership</t>
        </is>
      </c>
      <c r="Z328" s="12" t="inlineStr"/>
      <c r="AA328" s="12" t="inlineStr"/>
      <c r="AB328" s="12" t="inlineStr"/>
      <c r="AC328" s="12" t="inlineStr"/>
    </row>
    <row r="329">
      <c r="A329" s="6" t="inlineStr">
        <is>
          <t>Brian Dinerstein</t>
        </is>
      </c>
      <c r="B329" s="6" t="inlineStr">
        <is>
          <t>The Dinerstein Companies</t>
        </is>
      </c>
      <c r="C329" s="6" t="inlineStr">
        <is>
          <t>Chief Executive Officer</t>
        </is>
      </c>
      <c r="D329" s="7" t="inlineStr">
        <is>
          <t>Off deck, screened out</t>
        </is>
      </c>
      <c r="E329" s="8" t="n">
        <v>1</v>
      </c>
      <c r="F329" s="6" t="inlineStr">
        <is>
          <t>Buys walls</t>
        </is>
      </c>
      <c r="G329" s="6" t="inlineStr">
        <is>
          <t>Houston HQ / Fort Bend</t>
        </is>
      </c>
      <c r="H329" s="6" t="inlineStr">
        <is>
          <t>186 BTR homes, Harrison Street JV</t>
        </is>
      </c>
      <c r="I329" s="8" t="inlineStr">
        <is>
          <t>Partly</t>
        </is>
      </c>
      <c r="J329" s="9" t="inlineStr"/>
      <c r="K329" s="8" t="inlineStr">
        <is>
          <t>No</t>
        </is>
      </c>
      <c r="L329" s="9" t="inlineStr"/>
      <c r="M329" s="8" t="inlineStr">
        <is>
          <t>No</t>
        </is>
      </c>
      <c r="N329" s="9" t="inlineStr"/>
      <c r="O329" s="8" t="inlineStr">
        <is>
          <t>Yes</t>
        </is>
      </c>
      <c r="P329" s="10" t="inlineStr"/>
      <c r="Q329" s="6">
        <f>HYPERLINK("https://www.linkedin.com/search/results/people/?keywords=Brian%20Dinerstein%20The%20Dinerstein%20Companies","search")</f>
        <v/>
      </c>
      <c r="R329" s="11">
        <f>IF(P329="","ADD LINKEDIN","ok")</f>
        <v/>
      </c>
      <c r="S329" s="6" t="inlineStr">
        <is>
          <t>https://www.dinersteincos.com/</t>
        </is>
      </c>
      <c r="T329" s="9" t="inlineStr">
        <is>
          <t>186 build-to-rent homes with Harrison Street and 70 years in Houston. Launch coverage is amenities only.</t>
        </is>
      </c>
      <c r="U329" s="6" t="inlineStr"/>
      <c r="V329" s="9" t="inlineStr">
        <is>
          <t>The firm's own bio page. Chief Executive Officer of a developer and operator with $4.3 billion under management.</t>
        </is>
      </c>
      <c r="W329" s="6" t="inlineStr">
        <is>
          <t>https://www.dinersteincos.com/team/brian-dinerstein</t>
        </is>
      </c>
      <c r="X329" s="6" t="inlineStr">
        <is>
          <t>https://www.linkedin.com/company/the-dinerstein-companies/</t>
        </is>
      </c>
      <c r="Y329" s="6" t="inlineStr">
        <is>
          <t>https://www.dinersteincos.com/about-us</t>
        </is>
      </c>
      <c r="Z329" s="6" t="inlineStr"/>
      <c r="AA329" s="6" t="inlineStr"/>
      <c r="AB329" s="6" t="inlineStr"/>
      <c r="AC329" s="6" t="inlineStr"/>
    </row>
    <row r="330">
      <c r="A330" s="12" t="inlineStr">
        <is>
          <t>Jack Dinerstein</t>
        </is>
      </c>
      <c r="B330" s="12" t="inlineStr">
        <is>
          <t>The Dinerstein Companies</t>
        </is>
      </c>
      <c r="C330" s="12" t="inlineStr">
        <is>
          <t>Executive Chairman</t>
        </is>
      </c>
      <c r="D330" s="13" t="inlineStr">
        <is>
          <t>Off deck, screened out</t>
        </is>
      </c>
      <c r="E330" s="14" t="n">
        <v>1</v>
      </c>
      <c r="F330" s="12" t="inlineStr">
        <is>
          <t>Buys walls</t>
        </is>
      </c>
      <c r="G330" s="12" t="inlineStr">
        <is>
          <t>Houston HQ / Fort Bend</t>
        </is>
      </c>
      <c r="H330" s="12" t="inlineStr">
        <is>
          <t>186 BTR homes, Harrison Street JV</t>
        </is>
      </c>
      <c r="I330" s="14" t="inlineStr">
        <is>
          <t>Partly</t>
        </is>
      </c>
      <c r="J330" s="15" t="inlineStr"/>
      <c r="K330" s="14" t="inlineStr">
        <is>
          <t>No</t>
        </is>
      </c>
      <c r="L330" s="15" t="inlineStr"/>
      <c r="M330" s="14" t="inlineStr">
        <is>
          <t>No</t>
        </is>
      </c>
      <c r="N330" s="15" t="inlineStr"/>
      <c r="O330" s="14" t="inlineStr">
        <is>
          <t>Yes</t>
        </is>
      </c>
      <c r="P330" s="6" t="inlineStr">
        <is>
          <t>https://www.linkedin.com/in/jack-dinerstein-4215073/</t>
        </is>
      </c>
      <c r="Q330" s="12" t="inlineStr"/>
      <c r="R330" s="16">
        <f>IF(P330="","ADD LINKEDIN","ok")</f>
        <v/>
      </c>
      <c r="S330" s="12" t="inlineStr">
        <is>
          <t>https://www.dinersteincos.com/</t>
        </is>
      </c>
      <c r="T330" s="15" t="inlineStr">
        <is>
          <t>186 build-to-rent homes with Harrison Street and 70 years in Houston. Launch coverage is amenities only.</t>
        </is>
      </c>
      <c r="U330" s="12" t="inlineStr"/>
      <c r="V330" s="15" t="inlineStr">
        <is>
          <t>Owner, Dinerstein Companies. Houston, Texas.</t>
        </is>
      </c>
      <c r="W330" s="12" t="inlineStr"/>
      <c r="X330" s="12" t="inlineStr">
        <is>
          <t>https://www.linkedin.com/company/the-dinerstein-companies/</t>
        </is>
      </c>
      <c r="Y330" s="12" t="inlineStr">
        <is>
          <t>https://www.dinersteincos.com/about-us</t>
        </is>
      </c>
      <c r="Z330" s="12" t="inlineStr"/>
      <c r="AA330" s="12" t="inlineStr"/>
      <c r="AB330" s="12" t="inlineStr"/>
      <c r="AC330" s="12" t="inlineStr"/>
    </row>
    <row r="331">
      <c r="A331" s="6" t="inlineStr">
        <is>
          <t>Brad Dinerstein</t>
        </is>
      </c>
      <c r="B331" s="6" t="inlineStr">
        <is>
          <t>The Dinerstein Companies</t>
        </is>
      </c>
      <c r="C331" s="6" t="inlineStr">
        <is>
          <t>Managing Partner of Development and Design</t>
        </is>
      </c>
      <c r="D331" s="7" t="inlineStr">
        <is>
          <t>Off deck, screened out</t>
        </is>
      </c>
      <c r="E331" s="8" t="n">
        <v>1</v>
      </c>
      <c r="F331" s="6" t="inlineStr">
        <is>
          <t>Buys walls</t>
        </is>
      </c>
      <c r="G331" s="6" t="inlineStr">
        <is>
          <t>Houston HQ / Fort Bend</t>
        </is>
      </c>
      <c r="H331" s="6" t="inlineStr">
        <is>
          <t>186 BTR homes, Harrison Street JV</t>
        </is>
      </c>
      <c r="I331" s="8" t="inlineStr">
        <is>
          <t>Partly</t>
        </is>
      </c>
      <c r="J331" s="9" t="inlineStr"/>
      <c r="K331" s="8" t="inlineStr">
        <is>
          <t>No</t>
        </is>
      </c>
      <c r="L331" s="9" t="inlineStr"/>
      <c r="M331" s="8" t="inlineStr">
        <is>
          <t>No</t>
        </is>
      </c>
      <c r="N331" s="9" t="inlineStr"/>
      <c r="O331" s="8" t="inlineStr">
        <is>
          <t>Yes</t>
        </is>
      </c>
      <c r="P331" s="10" t="inlineStr"/>
      <c r="Q331" s="6">
        <f>HYPERLINK("https://www.linkedin.com/search/results/people/?keywords=Brad%20Dinerstein%20The%20Dinerstein%20Companies","search")</f>
        <v/>
      </c>
      <c r="R331" s="11">
        <f>IF(P331="","ADD LINKEDIN","ok")</f>
        <v/>
      </c>
      <c r="S331" s="6" t="inlineStr">
        <is>
          <t>https://www.dinersteincos.com/</t>
        </is>
      </c>
      <c r="T331" s="9" t="inlineStr">
        <is>
          <t>186 build-to-rent homes with Harrison Street and 70 years in Houston. Launch coverage is amenities only.</t>
        </is>
      </c>
      <c r="U331" s="6" t="inlineStr"/>
      <c r="V331" s="9" t="inlineStr"/>
      <c r="W331" s="6" t="inlineStr">
        <is>
          <t>https://www.dinersteincos.com/about-us</t>
        </is>
      </c>
      <c r="X331" s="6" t="inlineStr">
        <is>
          <t>https://www.linkedin.com/company/the-dinerstein-companies/</t>
        </is>
      </c>
      <c r="Y331" s="6" t="inlineStr">
        <is>
          <t>https://www.dinersteincos.com/about-us</t>
        </is>
      </c>
      <c r="Z331" s="6" t="inlineStr"/>
      <c r="AA331" s="6" t="inlineStr"/>
      <c r="AB331" s="6" t="inlineStr"/>
      <c r="AC331" s="6" t="inlineStr"/>
    </row>
    <row r="332">
      <c r="A332" s="12" t="inlineStr">
        <is>
          <t>John Caltagirone</t>
        </is>
      </c>
      <c r="B332" s="12" t="inlineStr">
        <is>
          <t>The Dinerstein Companies</t>
        </is>
      </c>
      <c r="C332" s="12" t="inlineStr">
        <is>
          <t>President and Partner</t>
        </is>
      </c>
      <c r="D332" s="13" t="inlineStr">
        <is>
          <t>Off deck, screened out</t>
        </is>
      </c>
      <c r="E332" s="14" t="n">
        <v>1</v>
      </c>
      <c r="F332" s="12" t="inlineStr">
        <is>
          <t>Buys walls</t>
        </is>
      </c>
      <c r="G332" s="12" t="inlineStr">
        <is>
          <t>Houston HQ / Fort Bend</t>
        </is>
      </c>
      <c r="H332" s="12" t="inlineStr">
        <is>
          <t>186 BTR homes, Harrison Street JV</t>
        </is>
      </c>
      <c r="I332" s="14" t="inlineStr">
        <is>
          <t>Partly</t>
        </is>
      </c>
      <c r="J332" s="15" t="inlineStr"/>
      <c r="K332" s="14" t="inlineStr">
        <is>
          <t>No</t>
        </is>
      </c>
      <c r="L332" s="15" t="inlineStr"/>
      <c r="M332" s="14" t="inlineStr">
        <is>
          <t>No</t>
        </is>
      </c>
      <c r="N332" s="15" t="inlineStr"/>
      <c r="O332" s="14" t="inlineStr">
        <is>
          <t>Yes</t>
        </is>
      </c>
      <c r="P332" s="10" t="inlineStr"/>
      <c r="Q332" s="12">
        <f>HYPERLINK("https://www.linkedin.com/search/results/people/?keywords=John%20Caltagirone%20The%20Dinerstein%20Companies","search")</f>
        <v/>
      </c>
      <c r="R332" s="16">
        <f>IF(P332="","ADD LINKEDIN","ok")</f>
        <v/>
      </c>
      <c r="S332" s="12" t="inlineStr">
        <is>
          <t>https://www.dinersteincos.com/</t>
        </is>
      </c>
      <c r="T332" s="15" t="inlineStr">
        <is>
          <t>186 build-to-rent homes with Harrison Street and 70 years in Houston. Launch coverage is amenities only.</t>
        </is>
      </c>
      <c r="U332" s="12" t="inlineStr"/>
      <c r="V332" s="15" t="inlineStr"/>
      <c r="W332" s="12" t="inlineStr">
        <is>
          <t>https://www.dinersteincos.com/about-us</t>
        </is>
      </c>
      <c r="X332" s="12" t="inlineStr">
        <is>
          <t>https://www.linkedin.com/company/the-dinerstein-companies/</t>
        </is>
      </c>
      <c r="Y332" s="12" t="inlineStr">
        <is>
          <t>https://www.dinersteincos.com/about-us</t>
        </is>
      </c>
      <c r="Z332" s="12" t="inlineStr"/>
      <c r="AA332" s="12" t="inlineStr"/>
      <c r="AB332" s="12" t="inlineStr"/>
      <c r="AC332" s="12" t="inlineStr"/>
    </row>
    <row r="333">
      <c r="A333" s="6" t="inlineStr">
        <is>
          <t>Jason Baker</t>
        </is>
      </c>
      <c r="B333" s="6" t="inlineStr">
        <is>
          <t>Baker Katz</t>
        </is>
      </c>
      <c r="C333" s="6" t="inlineStr">
        <is>
          <t>Leads the tenant representation team, Baker Katz</t>
        </is>
      </c>
      <c r="D333" s="7" t="inlineStr">
        <is>
          <t>Off deck, screened out</t>
        </is>
      </c>
      <c r="E333" s="8" t="n">
        <v>1</v>
      </c>
      <c r="F333" s="6" t="inlineStr">
        <is>
          <t>Buys walls</t>
        </is>
      </c>
      <c r="G333" s="6" t="inlineStr">
        <is>
          <t>Houston / Harris, Galveston</t>
        </is>
      </c>
      <c r="H333" s="6" t="inlineStr"/>
      <c r="I333" s="8" t="inlineStr">
        <is>
          <t>Partly</t>
        </is>
      </c>
      <c r="J333" s="9" t="inlineStr"/>
      <c r="K333" s="8" t="inlineStr">
        <is>
          <t>No</t>
        </is>
      </c>
      <c r="L333" s="9" t="inlineStr"/>
      <c r="M333" s="8" t="inlineStr">
        <is>
          <t>No</t>
        </is>
      </c>
      <c r="N333" s="9" t="inlineStr"/>
      <c r="O333" s="8" t="inlineStr">
        <is>
          <t>Partly</t>
        </is>
      </c>
      <c r="P333" s="10" t="inlineStr"/>
      <c r="Q333" s="6">
        <f>HYPERLINK("https://www.linkedin.com/search/results/people/?keywords=Jason%20Baker%20Baker%20Katz","search")</f>
        <v/>
      </c>
      <c r="R333" s="11">
        <f>IF(P333="","ADD LINKEDIN","ok")</f>
        <v/>
      </c>
      <c r="S333" s="6" t="inlineStr">
        <is>
          <t>https://bakerkatz.com/</t>
        </is>
      </c>
      <c r="T333" s="9" t="inlineStr">
        <is>
          <t>More than 80 retail projects, but recent Houston activity is buying existing centres rather than building.</t>
        </is>
      </c>
      <c r="U333" s="6" t="inlineStr"/>
      <c r="V333" s="9" t="inlineStr">
        <is>
          <t>Leads the tenant representation team, with more than twenty-five years in Houston retail. The page carries bios without formal titles.</t>
        </is>
      </c>
      <c r="W333" s="6" t="inlineStr">
        <is>
          <t>https://bakerkatz.com/about-us/</t>
        </is>
      </c>
      <c r="X333" s="6" t="inlineStr">
        <is>
          <t>https://www.linkedin.com/company/baker-katz</t>
        </is>
      </c>
      <c r="Y333" s="6" t="inlineStr">
        <is>
          <t>https://bakerkatz.com/about-us/</t>
        </is>
      </c>
      <c r="Z333" s="6" t="inlineStr"/>
      <c r="AA333" s="6" t="inlineStr">
        <is>
          <t>(713) 621-2900</t>
        </is>
      </c>
      <c r="AB333" s="6" t="inlineStr"/>
      <c r="AC333" s="6" t="inlineStr">
        <is>
          <t>https://bakerkatz.com/</t>
        </is>
      </c>
    </row>
    <row r="334">
      <c r="A334" s="12" t="inlineStr">
        <is>
          <t>Kenneth Katz</t>
        </is>
      </c>
      <c r="B334" s="12" t="inlineStr">
        <is>
          <t>Baker Katz</t>
        </is>
      </c>
      <c r="C334" s="12" t="inlineStr">
        <is>
          <t>Leads the investment and development practice, Baker Katz</t>
        </is>
      </c>
      <c r="D334" s="13" t="inlineStr">
        <is>
          <t>Off deck, screened out</t>
        </is>
      </c>
      <c r="E334" s="14" t="n">
        <v>1</v>
      </c>
      <c r="F334" s="12" t="inlineStr">
        <is>
          <t>Buys walls</t>
        </is>
      </c>
      <c r="G334" s="12" t="inlineStr">
        <is>
          <t>Houston / Harris, Galveston</t>
        </is>
      </c>
      <c r="H334" s="12" t="inlineStr"/>
      <c r="I334" s="14" t="inlineStr">
        <is>
          <t>Partly</t>
        </is>
      </c>
      <c r="J334" s="15" t="inlineStr"/>
      <c r="K334" s="14" t="inlineStr">
        <is>
          <t>No</t>
        </is>
      </c>
      <c r="L334" s="15" t="inlineStr"/>
      <c r="M334" s="14" t="inlineStr">
        <is>
          <t>No</t>
        </is>
      </c>
      <c r="N334" s="15" t="inlineStr"/>
      <c r="O334" s="14" t="inlineStr">
        <is>
          <t>Partly</t>
        </is>
      </c>
      <c r="P334" s="10" t="inlineStr"/>
      <c r="Q334" s="12">
        <f>HYPERLINK("https://www.linkedin.com/search/results/people/?keywords=Kenneth%20Katz%20Baker%20Katz","search")</f>
        <v/>
      </c>
      <c r="R334" s="16">
        <f>IF(P334="","ADD LINKEDIN","ok")</f>
        <v/>
      </c>
      <c r="S334" s="12" t="inlineStr">
        <is>
          <t>https://bakerkatz.com/</t>
        </is>
      </c>
      <c r="T334" s="15" t="inlineStr">
        <is>
          <t>More than 80 retail projects, but recent Houston activity is buying existing centres rather than building.</t>
        </is>
      </c>
      <c r="U334" s="12" t="inlineStr"/>
      <c r="V334" s="15" t="inlineStr">
        <is>
          <t>Leads the real estate investment and development practice, covering ground-up development and redevelopment.</t>
        </is>
      </c>
      <c r="W334" s="12" t="inlineStr">
        <is>
          <t>https://bakerkatz.com/about-us/</t>
        </is>
      </c>
      <c r="X334" s="12" t="inlineStr">
        <is>
          <t>https://www.linkedin.com/company/baker-katz</t>
        </is>
      </c>
      <c r="Y334" s="12" t="inlineStr">
        <is>
          <t>https://bakerkatz.com/about-us/</t>
        </is>
      </c>
      <c r="Z334" s="12" t="inlineStr"/>
      <c r="AA334" s="12" t="inlineStr">
        <is>
          <t>(713) 621-2900</t>
        </is>
      </c>
      <c r="AB334" s="12" t="inlineStr"/>
      <c r="AC334" s="12" t="inlineStr">
        <is>
          <t>https://bakerkatz.com/</t>
        </is>
      </c>
    </row>
    <row r="335">
      <c r="A335" s="6" t="inlineStr">
        <is>
          <t>Martin Mendoza</t>
        </is>
      </c>
      <c r="B335" s="6" t="inlineStr">
        <is>
          <t>Baker Katz</t>
        </is>
      </c>
      <c r="C335" s="6" t="inlineStr">
        <is>
          <t>Oversees design and construction, Baker Katz</t>
        </is>
      </c>
      <c r="D335" s="7" t="inlineStr">
        <is>
          <t>Off deck, screened out</t>
        </is>
      </c>
      <c r="E335" s="8" t="n">
        <v>1</v>
      </c>
      <c r="F335" s="6" t="inlineStr">
        <is>
          <t>Buys walls</t>
        </is>
      </c>
      <c r="G335" s="6" t="inlineStr">
        <is>
          <t>Houston / Harris, Galveston</t>
        </is>
      </c>
      <c r="H335" s="6" t="inlineStr"/>
      <c r="I335" s="8" t="inlineStr">
        <is>
          <t>Partly</t>
        </is>
      </c>
      <c r="J335" s="9" t="inlineStr"/>
      <c r="K335" s="8" t="inlineStr">
        <is>
          <t>No</t>
        </is>
      </c>
      <c r="L335" s="9" t="inlineStr"/>
      <c r="M335" s="8" t="inlineStr">
        <is>
          <t>No</t>
        </is>
      </c>
      <c r="N335" s="9" t="inlineStr"/>
      <c r="O335" s="8" t="inlineStr">
        <is>
          <t>Partly</t>
        </is>
      </c>
      <c r="P335" s="10" t="inlineStr"/>
      <c r="Q335" s="6">
        <f>HYPERLINK("https://www.linkedin.com/search/results/people/?keywords=Martin%20Mendoza%20Baker%20Katz","search")</f>
        <v/>
      </c>
      <c r="R335" s="11">
        <f>IF(P335="","ADD LINKEDIN","ok")</f>
        <v/>
      </c>
      <c r="S335" s="6" t="inlineStr">
        <is>
          <t>https://bakerkatz.com/</t>
        </is>
      </c>
      <c r="T335" s="9" t="inlineStr">
        <is>
          <t>More than 80 retail projects, but recent Houston activity is buying existing centres rather than building.</t>
        </is>
      </c>
      <c r="U335" s="6" t="inlineStr">
        <is>
          <t>YES</t>
        </is>
      </c>
      <c r="V335" s="9" t="inlineStr">
        <is>
          <t>Joined in August 2024 responsible for overseeing design and construction phases. The page gives no title, so the function rather than the rank is what places him here.</t>
        </is>
      </c>
      <c r="W335" s="6" t="inlineStr">
        <is>
          <t>https://bakerkatz.com/about-us/</t>
        </is>
      </c>
      <c r="X335" s="6" t="inlineStr">
        <is>
          <t>https://www.linkedin.com/company/baker-katz</t>
        </is>
      </c>
      <c r="Y335" s="6" t="inlineStr">
        <is>
          <t>https://bakerkatz.com/about-us/</t>
        </is>
      </c>
      <c r="Z335" s="6" t="inlineStr"/>
      <c r="AA335" s="6" t="inlineStr">
        <is>
          <t>(713) 621-2900</t>
        </is>
      </c>
      <c r="AB335" s="6" t="inlineStr"/>
      <c r="AC335" s="6" t="inlineStr">
        <is>
          <t>https://bakerkatz.com/</t>
        </is>
      </c>
    </row>
    <row r="336">
      <c r="A336" s="12" t="inlineStr">
        <is>
          <t>Bob Sellingsloh</t>
        </is>
      </c>
      <c r="B336" s="12" t="inlineStr">
        <is>
          <t>Wulfe &amp; Co.</t>
        </is>
      </c>
      <c r="C336" s="12" t="inlineStr">
        <is>
          <t>President and Principal, Wulfe &amp; Co.</t>
        </is>
      </c>
      <c r="D336" s="13" t="inlineStr">
        <is>
          <t>Off deck, screened out</t>
        </is>
      </c>
      <c r="E336" s="14" t="n">
        <v>1</v>
      </c>
      <c r="F336" s="12" t="inlineStr">
        <is>
          <t>Buys walls</t>
        </is>
      </c>
      <c r="G336" s="12" t="inlineStr">
        <is>
          <t>Post Oak / Harris, Galveston</t>
        </is>
      </c>
      <c r="H336" s="12" t="inlineStr"/>
      <c r="I336" s="14" t="inlineStr">
        <is>
          <t>Partly</t>
        </is>
      </c>
      <c r="J336" s="15" t="inlineStr"/>
      <c r="K336" s="14" t="inlineStr">
        <is>
          <t>No</t>
        </is>
      </c>
      <c r="L336" s="15" t="inlineStr"/>
      <c r="M336" s="14" t="inlineStr">
        <is>
          <t>No</t>
        </is>
      </c>
      <c r="N336" s="15" t="inlineStr"/>
      <c r="O336" s="14" t="inlineStr">
        <is>
          <t>No</t>
        </is>
      </c>
      <c r="P336" s="10" t="inlineStr"/>
      <c r="Q336" s="12">
        <f>HYPERLINK("https://www.linkedin.com/search/results/people/?keywords=Bob%20Sellingsloh%20Wulfe%20%26%20Co.","search")</f>
        <v/>
      </c>
      <c r="R336" s="16">
        <f>IF(P336="","ADD LINKEDIN","ok")</f>
        <v/>
      </c>
      <c r="S336" s="12" t="inlineStr">
        <is>
          <t>https://www.wulfe.com/</t>
        </is>
      </c>
      <c r="T336" s="15" t="inlineStr">
        <is>
          <t>7.2M sf across nine centres. Current activity is leasing and management, not ground-up.</t>
        </is>
      </c>
      <c r="U336" s="12" t="inlineStr"/>
      <c r="V336" s="15" t="inlineStr">
        <is>
          <t>President and Principal, listed first under leadership. Ed Wulfe no longer appears on the leadership page.</t>
        </is>
      </c>
      <c r="W336" s="12" t="inlineStr">
        <is>
          <t>https://www.wulfe.com/people</t>
        </is>
      </c>
      <c r="X336" s="12" t="inlineStr">
        <is>
          <t>https://www.linkedin.com/company/wulfe</t>
        </is>
      </c>
      <c r="Y336" s="12" t="inlineStr">
        <is>
          <t>https://www.wulfe.com/people</t>
        </is>
      </c>
      <c r="Z336" s="12" t="inlineStr"/>
      <c r="AA336" s="12" t="inlineStr">
        <is>
          <t>(713) 621-1700</t>
        </is>
      </c>
      <c r="AB336" s="12" t="inlineStr"/>
      <c r="AC336" s="12" t="inlineStr">
        <is>
          <t>https://www.wulfe.com/</t>
        </is>
      </c>
    </row>
    <row r="337">
      <c r="A337" s="6" t="inlineStr">
        <is>
          <t>Tammy Smith</t>
        </is>
      </c>
      <c r="B337" s="6" t="inlineStr">
        <is>
          <t>Wulfe &amp; Co.</t>
        </is>
      </c>
      <c r="C337" s="6" t="inlineStr">
        <is>
          <t>Director of Construction, Wulfe &amp; Co.</t>
        </is>
      </c>
      <c r="D337" s="7" t="inlineStr">
        <is>
          <t>Off deck, screened out</t>
        </is>
      </c>
      <c r="E337" s="8" t="n">
        <v>1</v>
      </c>
      <c r="F337" s="6" t="inlineStr">
        <is>
          <t>Buys walls</t>
        </is>
      </c>
      <c r="G337" s="6" t="inlineStr">
        <is>
          <t>Post Oak / Harris, Galveston</t>
        </is>
      </c>
      <c r="H337" s="6" t="inlineStr"/>
      <c r="I337" s="8" t="inlineStr">
        <is>
          <t>Partly</t>
        </is>
      </c>
      <c r="J337" s="9" t="inlineStr"/>
      <c r="K337" s="8" t="inlineStr">
        <is>
          <t>No</t>
        </is>
      </c>
      <c r="L337" s="9" t="inlineStr"/>
      <c r="M337" s="8" t="inlineStr">
        <is>
          <t>No</t>
        </is>
      </c>
      <c r="N337" s="9" t="inlineStr"/>
      <c r="O337" s="8" t="inlineStr">
        <is>
          <t>No</t>
        </is>
      </c>
      <c r="P337" s="10" t="inlineStr"/>
      <c r="Q337" s="6">
        <f>HYPERLINK("https://www.linkedin.com/search/results/people/?keywords=Tammy%20Smith%20Wulfe%20%26%20Co.","search")</f>
        <v/>
      </c>
      <c r="R337" s="11">
        <f>IF(P337="","ADD LINKEDIN","ok")</f>
        <v/>
      </c>
      <c r="S337" s="6" t="inlineStr">
        <is>
          <t>https://www.wulfe.com/</t>
        </is>
      </c>
      <c r="T337" s="9" t="inlineStr">
        <is>
          <t>7.2M sf across nine centres. Current activity is leasing and management, not ground-up.</t>
        </is>
      </c>
      <c r="U337" s="6" t="inlineStr">
        <is>
          <t>YES</t>
        </is>
      </c>
      <c r="V337" s="9" t="inlineStr"/>
      <c r="W337" s="6" t="inlineStr">
        <is>
          <t>https://www.wulfe.com/people</t>
        </is>
      </c>
      <c r="X337" s="6" t="inlineStr">
        <is>
          <t>https://www.linkedin.com/company/wulfe</t>
        </is>
      </c>
      <c r="Y337" s="6" t="inlineStr">
        <is>
          <t>https://www.wulfe.com/people</t>
        </is>
      </c>
      <c r="Z337" s="6" t="inlineStr"/>
      <c r="AA337" s="6" t="inlineStr">
        <is>
          <t>(713) 621-1700</t>
        </is>
      </c>
      <c r="AB337" s="6" t="inlineStr"/>
      <c r="AC337" s="6" t="inlineStr">
        <is>
          <t>https://www.wulfe.com/</t>
        </is>
      </c>
    </row>
    <row r="338">
      <c r="A338" s="12" t="inlineStr">
        <is>
          <t>Vinod Ramani</t>
        </is>
      </c>
      <c r="B338" s="12" t="inlineStr">
        <is>
          <t>Urban Living</t>
        </is>
      </c>
      <c r="C338" s="12" t="inlineStr">
        <is>
          <t>Owner</t>
        </is>
      </c>
      <c r="D338" s="13" t="inlineStr">
        <is>
          <t>Off deck, screened out</t>
        </is>
      </c>
      <c r="E338" s="14" t="n">
        <v>0</v>
      </c>
      <c r="F338" s="12" t="inlineStr">
        <is>
          <t>Buys walls</t>
        </is>
      </c>
      <c r="G338" s="12" t="inlineStr">
        <is>
          <t>Inner-loop Houston, Harris County</t>
        </is>
      </c>
      <c r="H338" s="12" t="inlineStr">
        <is>
          <t>Its own domain no longer resolves to a site</t>
        </is>
      </c>
      <c r="I338" s="14" t="inlineStr">
        <is>
          <t>No</t>
        </is>
      </c>
      <c r="J338" s="15" t="inlineStr">
        <is>
          <t>Nothing is published. The firm's own site is a parked domain.</t>
        </is>
      </c>
      <c r="K338" s="14" t="inlineStr">
        <is>
          <t>No</t>
        </is>
      </c>
      <c r="L338" s="15" t="inlineStr">
        <is>
          <t>No community, unit count or volume figure survives on any page the deck can cite.</t>
        </is>
      </c>
      <c r="M338" s="14" t="inlineStr">
        <is>
          <t>No</t>
        </is>
      </c>
      <c r="N338" s="15" t="inlineStr">
        <is>
          <t>Nothing on record.</t>
        </is>
      </c>
      <c r="O338" s="14" t="inlineStr">
        <is>
          <t>No</t>
        </is>
      </c>
      <c r="P338" s="6" t="inlineStr">
        <is>
          <t>https://www.linkedin.com/in/vinod-ramani-4a46788/</t>
        </is>
      </c>
      <c r="Q338" s="12" t="inlineStr"/>
      <c r="R338" s="16">
        <f>IF(P338="","ADD LINKEDIN","ok")</f>
        <v/>
      </c>
      <c r="S338" s="12" t="inlineStr">
        <is>
          <t>no website confirmed</t>
        </is>
      </c>
      <c r="T338" s="15" t="inlineStr">
        <is>
          <t>Attached townhome production, the product type a printed party wall serves. The owner is held on a LinkedIn headline alone; the firm's own site publishes nobody.</t>
        </is>
      </c>
      <c r="U338" s="12" t="inlineStr"/>
      <c r="V338" s="15" t="inlineStr">
        <is>
          <t>Indexed title reads Vinod Ramani, Urban Living.</t>
        </is>
      </c>
      <c r="W338" s="12" t="inlineStr"/>
      <c r="X338" s="12" t="inlineStr"/>
      <c r="Y338" s="12" t="inlineStr"/>
      <c r="Z338" s="12" t="inlineStr"/>
      <c r="AA338" s="12" t="inlineStr"/>
      <c r="AB338" s="12" t="inlineStr"/>
      <c r="AC338" s="12" t="inlineStr"/>
    </row>
    <row r="340">
      <c r="A340"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64, 2026-09-11.</t>
        </is>
      </c>
    </row>
  </sheetData>
  <autoFilter ref="A6:AC33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2026-09-14T22:25:41Z</dcterms:created>
  <dcterms:modified xmlns:dcterms="http://purl.org/dc/terms/" xmlns:xsi="http://www.w3.org/2001/XMLSchema-instance" xsi:type="dcterms:W3CDTF">2026-09-14T22:25:43Z</dcterms:modified>
</cp:coreProperties>
</file>