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'Contacts'!$A$6:$Z$283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53 · 2026-09-11 · public render. Do not hand-edit the HTML deck; it regenerates from the same file.</t>
        </is>
      </c>
    </row>
    <row r="3">
      <c r="A3" s="2" t="inlineStr">
        <is>
          <t>Contacts</t>
        </is>
      </c>
      <c r="B3" s="3">
        <f>COUNTA($A$7:$A$283)</f>
        <v/>
      </c>
      <c r="C3" s="2" t="inlineStr">
        <is>
          <t>LinkedIn held</t>
        </is>
      </c>
      <c r="D3" s="3">
        <f>COUNTIF($R$7:$R$283,"ok")</f>
        <v/>
      </c>
      <c r="E3" s="2" t="inlineStr">
        <is>
          <t>Still to add</t>
        </is>
      </c>
      <c r="F3" s="3">
        <f>COUNTIF($R$7:$R$283,"ADD LINKEDIN")</f>
        <v/>
      </c>
      <c r="G3" s="2" t="inlineStr">
        <is>
          <t>Strong targets</t>
        </is>
      </c>
      <c r="H3" s="3">
        <f>SUMPRODUCT((COUNTIF(OFFSET($B$7,ROW($B$7:$B$283)-ROW($B$7),0,1,1),$B$7:$B$283)&gt;0)*($D$7:$D$283="Strong target")/COUNTIF($B$7:$B$283,$B$7:$B$283&amp;""))</f>
        <v/>
      </c>
      <c r="I3" s="2" t="inlineStr">
        <is>
          <t>Wall deciders</t>
        </is>
      </c>
      <c r="J3" s="3">
        <f>COUNTIF($V$7:$V$283,"YES")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row>
    <row r="38">
      <c r="A38" s="12" t="inlineStr">
        <is>
          <t>Rame Hruska</t>
        </is>
      </c>
      <c r="B38" s="12" t="inlineStr">
        <is>
          <t>Aura Dwellings and Hospitality</t>
        </is>
      </c>
      <c r="C38" s="12" t="inlineStr">
        <is>
          <t>Co-founder and Chief Executive Officer, named in trade coverage</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f>HYPERLINK("https://www.linkedin.com/search/results/people/?keywords=Rame%20Hruska%20Aura%20Dwellings%20and%20Hospitality","search")</f>
        <v/>
      </c>
      <c r="R38" s="16">
        <f>IF(P38="","ADD LINKEDIN","ok")</f>
        <v/>
      </c>
      <c r="S38" s="12" t="inlineStr">
        <is>
          <t>https://www.auradwellings.com/</t>
        </is>
      </c>
      <c r="T38" s="15" t="inlineStr">
        <is>
          <t>It moved its wall production into a factory and publishes the price list.</t>
        </is>
      </c>
      <c r="U38" s="12" t="inlineStr">
        <is>
          <t>YES</t>
        </is>
      </c>
      <c r="V38" s="15" t="inlineStr"/>
      <c r="W38" s="12" t="inlineStr"/>
      <c r="X38" s="12" t="inlineStr"/>
      <c r="Y38" s="12" t="inlineStr"/>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c r="T53" s="9" t="inlineStr">
        <is>
          <t>$600M across five phases to 2032. Federal money and open procurement, but no method track record.</t>
        </is>
      </c>
      <c r="U53" s="6" t="inlineStr"/>
      <c r="V53" s="9" t="inlineStr"/>
      <c r="W53" s="6" t="inlineStr"/>
      <c r="X53" s="6" t="inlineStr">
        <is>
          <t>https://www.linkedin.com/company/houston-housing-authority</t>
        </is>
      </c>
      <c r="Y53" s="6" t="inlineStr"/>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c r="Z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row>
    <row r="87">
      <c r="A87" s="6" t="inlineStr">
        <is>
          <t>Greg Grahmann</t>
        </is>
      </c>
      <c r="B87" s="6" t="inlineStr">
        <is>
          <t>Imagination Homes</t>
        </is>
      </c>
      <c r="C87" s="6" t="inlineStr">
        <is>
          <t>Director, Imagination Homes; Division President, David Weekley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row>
    <row r="114">
      <c r="A114" s="12" t="inlineStr">
        <is>
          <t>Matt Zetlmeisl</t>
        </is>
      </c>
      <c r="B114" s="12" t="inlineStr">
        <is>
          <t>ICF Constructors</t>
        </is>
      </c>
      <c r="C114" s="12" t="inlineStr">
        <is>
          <t>Owner, named on the firm's own homepage as having owned and operated it since 2002</t>
        </is>
      </c>
      <c r="D114" s="13" t="inlineStr">
        <is>
          <t>Builds the wall, not the house</t>
        </is>
      </c>
      <c r="E114" s="14" t="n">
        <v>3</v>
      </c>
      <c r="F114" s="12" t="inlineStr">
        <is>
          <t>Builds the wall</t>
        </is>
      </c>
      <c r="G114" s="12" t="inlineStr">
        <is>
          <t>Katy, Harris and Fort Bend, and the Texas coast</t>
        </is>
      </c>
      <c r="H114" s="12" t="inlineStr">
        <is>
          <t>Crews trained on 12 form systems, ICF since 2002</t>
        </is>
      </c>
      <c r="I114" s="14" t="inlineStr">
        <is>
          <t>Yes</t>
        </is>
      </c>
      <c r="J114" s="15" t="inlineStr">
        <is>
          <t>The same wall system, installed again and again across Houston and the coast since 2002.</t>
        </is>
      </c>
      <c r="K114" s="14" t="inlineStr">
        <is>
          <t>Partly</t>
        </is>
      </c>
      <c r="L114" s="15" t="inlineStr">
        <is>
          <t>No crew count or homes-a-year figure is published. On the bands, a firm with no published figure is a Partly, and that is the first thing to establish on the call.</t>
        </is>
      </c>
      <c r="M114" s="14" t="inlineStr">
        <is>
          <t>Yes</t>
        </is>
      </c>
      <c r="N114" s="15" t="inlineStr">
        <is>
          <t>Its entire business is a wall method that was new when it adopted it. The crews are trained on twelve form systems and run a twenty-step checklist before every placement.</t>
        </is>
      </c>
      <c r="O114" s="14" t="inlineStr">
        <is>
          <t>No</t>
        </is>
      </c>
      <c r="P114" s="10" t="inlineStr"/>
      <c r="Q114" s="12">
        <f>HYPERLINK("https://www.linkedin.com/search/results/people/?keywords=Matt%20Zetlmeisl%20ICF%20Constructors","search")</f>
        <v/>
      </c>
      <c r="R114" s="16">
        <f>IF(P114="","ADD LINKEDIN","ok")</f>
        <v/>
      </c>
      <c r="S114" s="12" t="inlineStr">
        <is>
          <t>https://icfconstructors.com/</t>
        </is>
      </c>
      <c r="T114" s="15" t="inlineStr">
        <is>
          <t>Twenty-four years building concrete walls instead of wood ones, with its own crews. The only contractor screened whose whole business is a non-conventional wall.</t>
        </is>
      </c>
      <c r="U114" s="12" t="inlineStr">
        <is>
          <t>YES</t>
        </is>
      </c>
      <c r="V114" s="15" t="inlineStr">
        <is>
          <t>Matt Zetlmeisl has no LinkedIn profile. The firm's own site is the only source that names him.</t>
        </is>
      </c>
      <c r="W114" s="12" t="inlineStr"/>
      <c r="X114" s="12" t="inlineStr"/>
      <c r="Y114" s="12" t="inlineStr"/>
      <c r="Z114" s="12" t="inlineStr"/>
    </row>
    <row r="115">
      <c r="A115" s="6" t="inlineStr">
        <is>
          <t>Eleazar Botello</t>
        </is>
      </c>
      <c r="B115" s="6" t="inlineStr">
        <is>
          <t>Botello Builders</t>
        </is>
      </c>
      <c r="C115" s="6" t="inlineStr">
        <is>
          <t>Founder, named on the firm's own site</t>
        </is>
      </c>
      <c r="D115" s="7" t="inlineStr">
        <is>
          <t>Builds the wall, not the house</t>
        </is>
      </c>
      <c r="E115" s="8" t="n">
        <v>2</v>
      </c>
      <c r="F115" s="6" t="inlineStr">
        <is>
          <t>Builds the wall</t>
        </is>
      </c>
      <c r="G115" s="6" t="inlineStr">
        <is>
          <t>Houston, working Harris, Fort Bend, Brazoria and Montgomery</t>
        </is>
      </c>
      <c r="H115" s="6" t="inlineStr">
        <is>
          <t>150-plus employees, founded 2007 by three brothers</t>
        </is>
      </c>
      <c r="I115" s="8" t="inlineStr">
        <is>
          <t>Yes</t>
        </is>
      </c>
      <c r="J115" s="9" t="inlineStr">
        <is>
          <t>Tilt-up and foundation work repeating across four counties from one Houston yard.</t>
        </is>
      </c>
      <c r="K115" s="8" t="inlineStr">
        <is>
          <t>Yes</t>
        </is>
      </c>
      <c r="L115" s="9" t="inlineStr">
        <is>
          <t>150 office and field staff on the firm's own count. That is the only published size in this section, and at that size one or two printers cover a real share of a year's wall.</t>
        </is>
      </c>
      <c r="M115" s="8" t="inlineStr">
        <is>
          <t>No</t>
        </is>
      </c>
      <c r="N115" s="9" t="inlineStr">
        <is>
          <t>No method statement on record. Its published work is conventional tilt-up and foundations.</t>
        </is>
      </c>
      <c r="O115" s="8" t="inlineStr">
        <is>
          <t>Partly</t>
        </is>
      </c>
      <c r="P115" s="6" t="inlineStr">
        <is>
          <t>https://www.linkedin.com/in/eleazarbotello/</t>
        </is>
      </c>
      <c r="Q115" s="6" t="inlineStr"/>
      <c r="R115" s="11">
        <f>IF(P115="","ADD LINKEDIN","ok")</f>
        <v/>
      </c>
      <c r="S115" s="6" t="inlineStr">
        <is>
          <t>https://www.botellobuilders.com/</t>
        </is>
      </c>
      <c r="T115" s="9" t="inlineStr">
        <is>
          <t>A 150-person self-performing concrete sub, still owned by the three brothers who started it. One or two printers would cover a real share of the wall it puts up.</t>
        </is>
      </c>
      <c r="U115" s="6" t="inlineStr">
        <is>
          <t>YES</t>
        </is>
      </c>
      <c r="V115" s="9" t="inlineStr">
        <is>
          <t>Headline reads President at Botello Builders Corporation. Houston, Texas. The firm's own site calls him a founder and gives no title.</t>
        </is>
      </c>
      <c r="W115" s="6" t="inlineStr"/>
      <c r="X115" s="6" t="inlineStr"/>
      <c r="Y115" s="6" t="inlineStr"/>
      <c r="Z115" s="6" t="inlineStr"/>
    </row>
    <row r="116">
      <c r="A116" s="12" t="inlineStr">
        <is>
          <t>Eden Botello</t>
        </is>
      </c>
      <c r="B116" s="12" t="inlineStr">
        <is>
          <t>Botello Builders</t>
        </is>
      </c>
      <c r="C116" s="12" t="inlineStr">
        <is>
          <t>Founder, named on the firm's own site</t>
        </is>
      </c>
      <c r="D116" s="13" t="inlineStr">
        <is>
          <t>Builds the wall, not the house</t>
        </is>
      </c>
      <c r="E116" s="14" t="n">
        <v>2</v>
      </c>
      <c r="F116" s="12" t="inlineStr">
        <is>
          <t>Builds the wall</t>
        </is>
      </c>
      <c r="G116" s="12" t="inlineStr">
        <is>
          <t>Houston, working Harris, Fort Bend, Brazoria and Montgomery</t>
        </is>
      </c>
      <c r="H116" s="12" t="inlineStr">
        <is>
          <t>150-plus employees, founded 2007 by three brothers</t>
        </is>
      </c>
      <c r="I116" s="14" t="inlineStr">
        <is>
          <t>Yes</t>
        </is>
      </c>
      <c r="J116" s="15" t="inlineStr">
        <is>
          <t>Tilt-up and foundation work repeating across four counties from one Houston yard.</t>
        </is>
      </c>
      <c r="K116" s="14" t="inlineStr">
        <is>
          <t>Yes</t>
        </is>
      </c>
      <c r="L116" s="15" t="inlineStr">
        <is>
          <t>150 office and field staff on the firm's own count. That is the only published size in this section, and at that size one or two printers cover a real share of a year's wall.</t>
        </is>
      </c>
      <c r="M116" s="14" t="inlineStr">
        <is>
          <t>No</t>
        </is>
      </c>
      <c r="N116" s="15" t="inlineStr">
        <is>
          <t>No method statement on record. Its published work is conventional tilt-up and foundations.</t>
        </is>
      </c>
      <c r="O116" s="14" t="inlineStr">
        <is>
          <t>Partly</t>
        </is>
      </c>
      <c r="P116" s="6" t="inlineStr">
        <is>
          <t>https://www.linkedin.com/in/eden-botello-28a5691b5/</t>
        </is>
      </c>
      <c r="Q116" s="12" t="inlineStr"/>
      <c r="R116" s="16">
        <f>IF(P116="","ADD LINKEDIN","ok")</f>
        <v/>
      </c>
      <c r="S116" s="12" t="inlineStr">
        <is>
          <t>https://www.botellobuilders.com/</t>
        </is>
      </c>
      <c r="T116" s="15" t="inlineStr">
        <is>
          <t>A 150-person self-performing concrete sub, still owned by the three brothers who started it. One or two printers would cover a real share of the wall it puts up.</t>
        </is>
      </c>
      <c r="U116" s="12" t="inlineStr">
        <is>
          <t>YES</t>
        </is>
      </c>
      <c r="V116" s="15" t="inlineStr">
        <is>
          <t>Headline reads Operations Manager at Botello Builders Corporation. Houston, Texas.</t>
        </is>
      </c>
      <c r="W116" s="12" t="inlineStr"/>
      <c r="X116" s="12" t="inlineStr"/>
      <c r="Y116" s="12" t="inlineStr"/>
      <c r="Z116" s="12" t="inlineStr"/>
    </row>
    <row r="117">
      <c r="A117" s="6" t="inlineStr">
        <is>
          <t>Jose Botello</t>
        </is>
      </c>
      <c r="B117" s="6" t="inlineStr">
        <is>
          <t>Botello Builders</t>
        </is>
      </c>
      <c r="C117" s="6" t="inlineStr">
        <is>
          <t>Founder, named on the firm's own site</t>
        </is>
      </c>
      <c r="D117" s="7" t="inlineStr">
        <is>
          <t>Builds the wall, not the house</t>
        </is>
      </c>
      <c r="E117" s="8" t="n">
        <v>2</v>
      </c>
      <c r="F117" s="6" t="inlineStr">
        <is>
          <t>Builds the wall</t>
        </is>
      </c>
      <c r="G117" s="6" t="inlineStr">
        <is>
          <t>Houston, working Harris, Fort Bend, Brazoria and Montgomery</t>
        </is>
      </c>
      <c r="H117" s="6" t="inlineStr">
        <is>
          <t>150-plus employees, founded 2007 by three brothers</t>
        </is>
      </c>
      <c r="I117" s="8" t="inlineStr">
        <is>
          <t>Yes</t>
        </is>
      </c>
      <c r="J117" s="9" t="inlineStr">
        <is>
          <t>Tilt-up and foundation work repeating across four counties from one Houston yard.</t>
        </is>
      </c>
      <c r="K117" s="8" t="inlineStr">
        <is>
          <t>Yes</t>
        </is>
      </c>
      <c r="L117" s="9" t="inlineStr">
        <is>
          <t>150 office and field staff on the firm's own count. That is the only published size in this section, and at that size one or two printers cover a real share of a year's wall.</t>
        </is>
      </c>
      <c r="M117" s="8" t="inlineStr">
        <is>
          <t>No</t>
        </is>
      </c>
      <c r="N117" s="9" t="inlineStr">
        <is>
          <t>No method statement on record. Its published work is conventional tilt-up and foundations.</t>
        </is>
      </c>
      <c r="O117" s="8" t="inlineStr">
        <is>
          <t>Partly</t>
        </is>
      </c>
      <c r="P117" s="10" t="inlineStr"/>
      <c r="Q117" s="6">
        <f>HYPERLINK("https://www.linkedin.com/search/results/people/?keywords=Jose%20Botello%20Botello%20Builders","search")</f>
        <v/>
      </c>
      <c r="R117" s="11">
        <f>IF(P117="","ADD LINKEDIN","ok")</f>
        <v/>
      </c>
      <c r="S117" s="6" t="inlineStr">
        <is>
          <t>https://www.botellobuilders.com/</t>
        </is>
      </c>
      <c r="T117" s="9" t="inlineStr">
        <is>
          <t>A 150-person self-performing concrete sub, still owned by the three brothers who started it. One or two printers would cover a real share of the wall it puts up.</t>
        </is>
      </c>
      <c r="U117" s="6" t="inlineStr">
        <is>
          <t>YES</t>
        </is>
      </c>
      <c r="V117" s="9" t="inlineStr"/>
      <c r="W117" s="6" t="inlineStr"/>
      <c r="X117" s="6" t="inlineStr"/>
      <c r="Y117" s="6" t="inlineStr"/>
      <c r="Z117" s="6" t="inlineStr"/>
    </row>
    <row r="118">
      <c r="A118" s="12" t="inlineStr">
        <is>
          <t>Scott Anderson</t>
        </is>
      </c>
      <c r="B118" s="12" t="inlineStr">
        <is>
          <t>Keystone Concrete Placement</t>
        </is>
      </c>
      <c r="C118" s="12" t="inlineStr">
        <is>
          <t>Vice President and General Manager, Keystone Structural Concrete</t>
        </is>
      </c>
      <c r="D118" s="13" t="inlineStr">
        <is>
          <t>Builds the wall, not the house</t>
        </is>
      </c>
      <c r="E118" s="14" t="n">
        <v>3</v>
      </c>
      <c r="F118" s="12" t="inlineStr">
        <is>
          <t>Builds the wall</t>
        </is>
      </c>
      <c r="G118" s="12" t="inlineStr">
        <is>
          <t>Houston, with Austin, San Antonio and College Station</t>
        </is>
      </c>
      <c r="H118" s="12" t="inlineStr">
        <is>
          <t>1,500 craftsmen, 975,000 cubic yards a year</t>
        </is>
      </c>
      <c r="I118" s="14" t="inlineStr">
        <is>
          <t>Yes</t>
        </is>
      </c>
      <c r="J118" s="15" t="inlineStr">
        <is>
          <t>Three standing placement divisions in one metro, so the same work recurs rather than arriving one project at a time.</t>
        </is>
      </c>
      <c r="K118" s="14" t="inlineStr">
        <is>
          <t>Partly</t>
        </is>
      </c>
      <c r="L118" s="15" t="inlineStr">
        <is>
          <t>1,500 craftsmen and 975,000 cubic yards a year on the firm's own count. One or two printers would be a line inside the business rather than the business.</t>
        </is>
      </c>
      <c r="M118" s="14" t="inlineStr">
        <is>
          <t>Partly</t>
        </is>
      </c>
      <c r="N118"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8" s="14" t="inlineStr">
        <is>
          <t>Yes</t>
        </is>
      </c>
      <c r="P118" s="6" t="inlineStr">
        <is>
          <t>https://www.linkedin.com/in/scott-anderson-266878141/</t>
        </is>
      </c>
      <c r="Q118" s="12" t="inlineStr"/>
      <c r="R118" s="16">
        <f>IF(P118="","ADD LINKEDIN","ok")</f>
        <v/>
      </c>
      <c r="S118" s="12" t="inlineStr">
        <is>
          <t>https://www.keystoneconcrete.com/</t>
        </is>
      </c>
      <c r="T118" s="15" t="inlineStr">
        <is>
          <t>The only concrete contractor screened that publishes a standing residential division. It already buys its own formwork systems and placing booms.</t>
        </is>
      </c>
      <c r="U118" s="12" t="inlineStr">
        <is>
          <t>YES</t>
        </is>
      </c>
      <c r="V118" s="15" t="inlineStr">
        <is>
          <t>Headline reads Vice President at Keystone Structural Concrete. Houston, Texas.</t>
        </is>
      </c>
      <c r="W118" s="12" t="inlineStr"/>
      <c r="X118" s="12" t="inlineStr"/>
      <c r="Y118" s="12" t="inlineStr"/>
      <c r="Z118" s="12" t="inlineStr"/>
    </row>
    <row r="119">
      <c r="A119" s="6" t="inlineStr">
        <is>
          <t>Rodney Horn</t>
        </is>
      </c>
      <c r="B119" s="6" t="inlineStr">
        <is>
          <t>Keystone Concrete Placement</t>
        </is>
      </c>
      <c r="C119" s="6" t="inlineStr">
        <is>
          <t>Vice President, Keystone Concrete and Key-Scape</t>
        </is>
      </c>
      <c r="D119" s="7" t="inlineStr">
        <is>
          <t>Builds the wall, not the house</t>
        </is>
      </c>
      <c r="E119" s="8" t="n">
        <v>3</v>
      </c>
      <c r="F119" s="6" t="inlineStr">
        <is>
          <t>Builds the wall</t>
        </is>
      </c>
      <c r="G119" s="6" t="inlineStr">
        <is>
          <t>Houston, with Austin, San Antonio and College Station</t>
        </is>
      </c>
      <c r="H119" s="6" t="inlineStr">
        <is>
          <t>1,500 craftsmen, 975,000 cubic yards a year</t>
        </is>
      </c>
      <c r="I119" s="8" t="inlineStr">
        <is>
          <t>Yes</t>
        </is>
      </c>
      <c r="J119" s="9" t="inlineStr">
        <is>
          <t>Three standing placement divisions in one metro, so the same work recurs rather than arriving one project at a time.</t>
        </is>
      </c>
      <c r="K119" s="8" t="inlineStr">
        <is>
          <t>Partly</t>
        </is>
      </c>
      <c r="L119" s="9" t="inlineStr">
        <is>
          <t>1,500 craftsmen and 975,000 cubic yards a year on the firm's own count. One or two printers would be a line inside the business rather than the business.</t>
        </is>
      </c>
      <c r="M119" s="8" t="inlineStr">
        <is>
          <t>Partly</t>
        </is>
      </c>
      <c r="N119" s="9" t="inlineStr">
        <is>
          <t>It owns a fleet of placing booms and multiple complete hydraulic self-jacking formwork systems on its own account. Buying capital equipment to change how concrete gets placed is the habit this count is looking for, though formwork is not a new method.</t>
        </is>
      </c>
      <c r="O119" s="8" t="inlineStr">
        <is>
          <t>Yes</t>
        </is>
      </c>
      <c r="P119" s="6" t="inlineStr">
        <is>
          <t>https://www.linkedin.com/in/rodney-horn-963a8048/</t>
        </is>
      </c>
      <c r="Q119" s="6" t="inlineStr"/>
      <c r="R119" s="11">
        <f>IF(P119="","ADD LINKEDIN","ok")</f>
        <v/>
      </c>
      <c r="S119" s="6" t="inlineStr">
        <is>
          <t>https://www.keystoneconcrete.com/</t>
        </is>
      </c>
      <c r="T119" s="9" t="inlineStr">
        <is>
          <t>The only concrete contractor screened that publishes a standing residential division. It already buys its own formwork systems and placing booms.</t>
        </is>
      </c>
      <c r="U119" s="6" t="inlineStr">
        <is>
          <t>YES</t>
        </is>
      </c>
      <c r="V119" s="9" t="inlineStr">
        <is>
          <t>Headline reads Vice President at Keystone Concrete, LLC/Key-Scape Landscaping. Houston, Texas. Keyscape is the landscaping arm named on the firm's own site.</t>
        </is>
      </c>
      <c r="W119" s="6" t="inlineStr"/>
      <c r="X119" s="6" t="inlineStr"/>
      <c r="Y119" s="6" t="inlineStr"/>
      <c r="Z119" s="6" t="inlineStr"/>
    </row>
    <row r="120">
      <c r="A120" s="12" t="inlineStr">
        <is>
          <t>Phil Nevlud</t>
        </is>
      </c>
      <c r="B120" s="12" t="inlineStr">
        <is>
          <t>MAREK</t>
        </is>
      </c>
      <c r="C120" s="12" t="inlineStr">
        <is>
          <t>Division President</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6" t="inlineStr">
        <is>
          <t>https://www.linkedin.com/in/phil-nevlud-843a391a/</t>
        </is>
      </c>
      <c r="Q120" s="12" t="inlineStr"/>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2" t="inlineStr">
        <is>
          <t>YES</t>
        </is>
      </c>
      <c r="V120" s="15" t="inlineStr">
        <is>
          <t>Headline reads Division President - Houston and does not name the firm. A search for his name with MAREK returns him and nobody else, and MAREK's own site names him Division President.</t>
        </is>
      </c>
      <c r="W120" s="12" t="inlineStr"/>
      <c r="X120" s="12" t="inlineStr"/>
      <c r="Y120" s="12" t="inlineStr"/>
      <c r="Z120" s="12" t="inlineStr"/>
    </row>
    <row r="121">
      <c r="A121" s="6" t="inlineStr">
        <is>
          <t>Ronald Marek</t>
        </is>
      </c>
      <c r="B121" s="6" t="inlineStr">
        <is>
          <t>MAREK</t>
        </is>
      </c>
      <c r="C121" s="6" t="inlineStr">
        <is>
          <t>Multifamily Director</t>
        </is>
      </c>
      <c r="D121" s="7" t="inlineStr">
        <is>
          <t>Builds the wall, not the house</t>
        </is>
      </c>
      <c r="E121" s="8" t="n">
        <v>3</v>
      </c>
      <c r="F121" s="6" t="inlineStr">
        <is>
          <t>Builds the wall</t>
        </is>
      </c>
      <c r="G121" s="6" t="inlineStr">
        <is>
          <t>Houston, Harris, with Austin, Dallas and Fort Worth</t>
        </is>
      </c>
      <c r="H121" s="6" t="inlineStr">
        <is>
          <t>Runs its own prefabrication plant, founded 1938</t>
        </is>
      </c>
      <c r="I121" s="8" t="inlineStr">
        <is>
          <t>Yes</t>
        </is>
      </c>
      <c r="J121" s="9" t="inlineStr">
        <is>
          <t>Interior wall and ceiling packages repeating across multifamily and single family work in one metro.</t>
        </is>
      </c>
      <c r="K121" s="8" t="inlineStr">
        <is>
          <t>Partly</t>
        </is>
      </c>
      <c r="L121" s="9" t="inlineStr">
        <is>
          <t>No employee count or annual unit figure is published. On the bands, a firm with no published figure is a Partly.</t>
        </is>
      </c>
      <c r="M121" s="8" t="inlineStr">
        <is>
          <t>Partly</t>
        </is>
      </c>
      <c r="N121"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1" s="8" t="inlineStr">
        <is>
          <t>Yes</t>
        </is>
      </c>
      <c r="P121" s="10" t="inlineStr"/>
      <c r="Q121" s="6">
        <f>HYPERLINK("https://www.linkedin.com/search/results/people/?keywords=Ronald%20Marek%20MAREK","search")</f>
        <v/>
      </c>
      <c r="R121" s="11">
        <f>IF(P121="","ADD LINKEDIN","ok")</f>
        <v/>
      </c>
      <c r="S121" s="6" t="inlineStr">
        <is>
          <t>https://www.marekbros.com/houston/</t>
        </is>
      </c>
      <c r="T121" s="9" t="inlineStr">
        <is>
          <t>It already owns a prefabrication plant and runs separate multifamily and single family divisions, with a named leader on each. The walls it builds are interior, not structural.</t>
        </is>
      </c>
      <c r="U121" s="6" t="inlineStr">
        <is>
          <t>YES</t>
        </is>
      </c>
      <c r="V121" s="9" t="inlineStr"/>
      <c r="W121" s="6" t="inlineStr"/>
      <c r="X121" s="6" t="inlineStr"/>
      <c r="Y121" s="6" t="inlineStr"/>
      <c r="Z121" s="6" t="inlineStr"/>
    </row>
    <row r="122">
      <c r="A122" s="12" t="inlineStr">
        <is>
          <t>Chris Trojanowsky</t>
        </is>
      </c>
      <c r="B122" s="12" t="inlineStr">
        <is>
          <t>MAREK</t>
        </is>
      </c>
      <c r="C122" s="12" t="inlineStr">
        <is>
          <t>Single Family Division Manager</t>
        </is>
      </c>
      <c r="D122" s="13" t="inlineStr">
        <is>
          <t>Builds the wall, not the house</t>
        </is>
      </c>
      <c r="E122" s="14" t="n">
        <v>3</v>
      </c>
      <c r="F122" s="12" t="inlineStr">
        <is>
          <t>Builds the wall</t>
        </is>
      </c>
      <c r="G122" s="12" t="inlineStr">
        <is>
          <t>Houston, Harris, with Austin, Dallas and Fort Worth</t>
        </is>
      </c>
      <c r="H122" s="12" t="inlineStr">
        <is>
          <t>Runs its own prefabrication plant, founded 1938</t>
        </is>
      </c>
      <c r="I122" s="14" t="inlineStr">
        <is>
          <t>Yes</t>
        </is>
      </c>
      <c r="J122" s="15" t="inlineStr">
        <is>
          <t>Interior wall and ceiling packages repeating across multifamily and single family work in one metro.</t>
        </is>
      </c>
      <c r="K122" s="14" t="inlineStr">
        <is>
          <t>Partly</t>
        </is>
      </c>
      <c r="L122" s="15" t="inlineStr">
        <is>
          <t>No employee count or annual unit figure is published. On the bands, a firm with no published figure is a Partly.</t>
        </is>
      </c>
      <c r="M122" s="14" t="inlineStr">
        <is>
          <t>Partly</t>
        </is>
      </c>
      <c r="N122"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2" s="14" t="inlineStr">
        <is>
          <t>Yes</t>
        </is>
      </c>
      <c r="P122" s="10" t="inlineStr"/>
      <c r="Q122" s="12">
        <f>HYPERLINK("https://www.linkedin.com/search/results/people/?keywords=Chris%20Trojanowsky%20MAREK","search")</f>
        <v/>
      </c>
      <c r="R122" s="16">
        <f>IF(P122="","ADD LINKEDIN","ok")</f>
        <v/>
      </c>
      <c r="S122" s="12" t="inlineStr">
        <is>
          <t>https://www.marekbros.com/houston/</t>
        </is>
      </c>
      <c r="T122" s="15" t="inlineStr">
        <is>
          <t>It already owns a prefabrication plant and runs separate multifamily and single family divisions, with a named leader on each. The walls it builds are interior, not structural.</t>
        </is>
      </c>
      <c r="U122" s="12" t="inlineStr">
        <is>
          <t>YES</t>
        </is>
      </c>
      <c r="V122" s="15" t="inlineStr"/>
      <c r="W122" s="12" t="inlineStr"/>
      <c r="X122" s="12" t="inlineStr"/>
      <c r="Y122" s="12" t="inlineStr"/>
      <c r="Z122" s="12" t="inlineStr"/>
    </row>
    <row r="123">
      <c r="A123" s="6" t="inlineStr">
        <is>
          <t>Jorge Rodriguez</t>
        </is>
      </c>
      <c r="B123" s="6" t="inlineStr">
        <is>
          <t>MAREK</t>
        </is>
      </c>
      <c r="C123" s="6" t="inlineStr">
        <is>
          <t>Managing Director, Field Operations</t>
        </is>
      </c>
      <c r="D123" s="7" t="inlineStr">
        <is>
          <t>Builds the wall, not the house</t>
        </is>
      </c>
      <c r="E123" s="8" t="n">
        <v>3</v>
      </c>
      <c r="F123" s="6" t="inlineStr">
        <is>
          <t>Builds the wall</t>
        </is>
      </c>
      <c r="G123" s="6" t="inlineStr">
        <is>
          <t>Houston, Harris, with Austin, Dallas and Fort Worth</t>
        </is>
      </c>
      <c r="H123" s="6" t="inlineStr">
        <is>
          <t>Runs its own prefabrication plant, founded 1938</t>
        </is>
      </c>
      <c r="I123" s="8" t="inlineStr">
        <is>
          <t>Yes</t>
        </is>
      </c>
      <c r="J123" s="9" t="inlineStr">
        <is>
          <t>Interior wall and ceiling packages repeating across multifamily and single family work in one metro.</t>
        </is>
      </c>
      <c r="K123" s="8" t="inlineStr">
        <is>
          <t>Partly</t>
        </is>
      </c>
      <c r="L123" s="9" t="inlineStr">
        <is>
          <t>No employee count or annual unit figure is published. On the bands, a firm with no published figure is a Partly.</t>
        </is>
      </c>
      <c r="M123" s="8" t="inlineStr">
        <is>
          <t>Partly</t>
        </is>
      </c>
      <c r="N123"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3" s="8" t="inlineStr">
        <is>
          <t>Yes</t>
        </is>
      </c>
      <c r="P123" s="10" t="inlineStr"/>
      <c r="Q123" s="6">
        <f>HYPERLINK("https://www.linkedin.com/search/results/people/?keywords=Jorge%20Rodriguez%20MAREK","search")</f>
        <v/>
      </c>
      <c r="R123" s="11">
        <f>IF(P123="","ADD LINKEDIN","ok")</f>
        <v/>
      </c>
      <c r="S123" s="6" t="inlineStr">
        <is>
          <t>https://www.marekbros.com/houston/</t>
        </is>
      </c>
      <c r="T123" s="9" t="inlineStr">
        <is>
          <t>It already owns a prefabrication plant and runs separate multifamily and single family divisions, with a named leader on each. The walls it builds are interior, not structural.</t>
        </is>
      </c>
      <c r="U123" s="6" t="inlineStr"/>
      <c r="V123" s="9" t="inlineStr"/>
      <c r="W123" s="6" t="inlineStr"/>
      <c r="X123" s="6" t="inlineStr"/>
      <c r="Y123" s="6" t="inlineStr"/>
      <c r="Z123" s="6" t="inlineStr"/>
    </row>
    <row r="124">
      <c r="A124" s="12" t="inlineStr">
        <is>
          <t>Hachem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2" t="inlineStr">
        <is>
          <t>YES</t>
        </is>
      </c>
      <c r="V124" s="15" t="inlineStr">
        <is>
          <t>Headline reads Founder &amp; CEO at CIVE, Inc. Houston, Texas.</t>
        </is>
      </c>
      <c r="W124" s="12" t="inlineStr"/>
      <c r="X124" s="12" t="inlineStr"/>
      <c r="Y124" s="12" t="inlineStr"/>
      <c r="Z124" s="12" t="inlineStr">
        <is>
          <t>2025-03 Construction In Focus. CIVE, Construction and Design at their Finest  https://constructioninfocus.com/2025/03/cive-construction-and-design-at-their-finest/</t>
        </is>
      </c>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6" t="inlineStr">
        <is>
          <t>YES</t>
        </is>
      </c>
      <c r="V125" s="9" t="inlineStr">
        <is>
          <t>Headline reads Head of Structural Engineering at CIVE. Houston, Texas. He is the person broadcast coverage quoted on the printed house in Spring Branch.</t>
        </is>
      </c>
      <c r="W125" s="6" t="inlineStr"/>
      <c r="X125" s="6" t="inlineStr"/>
      <c r="Y125" s="6" t="inlineStr"/>
      <c r="Z125" s="6" t="inlineStr">
        <is>
          <t>2025-03 Construction In Focus. CIVE, Construction and Design at their Finest  https://constructioninfocus.com/2025/03/cive-construction-and-design-at-their-finest/</t>
        </is>
      </c>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2" t="inlineStr"/>
      <c r="V126" s="15" t="inlineStr">
        <is>
          <t>Headline reads Vice President of Construction at CIVE. Houston, Texas. No profile URL was captured in the pass.</t>
        </is>
      </c>
      <c r="W126" s="12" t="inlineStr"/>
      <c r="X126" s="12" t="inlineStr"/>
      <c r="Y126" s="12" t="inlineStr"/>
      <c r="Z126" s="12" t="inlineStr">
        <is>
          <t>2025-03 Construction In Focus. CIVE, Construction and Design at their Finest  https://constructioninfocus.com/2025/03/cive-construction-and-design-at-their-finest/</t>
        </is>
      </c>
    </row>
    <row r="127">
      <c r="A127" s="6" t="inlineStr">
        <is>
          <t>Chris Richardson</t>
        </is>
      </c>
      <c r="B127" s="6" t="inlineStr">
        <is>
          <t>Blazer Building</t>
        </is>
      </c>
      <c r="C127" s="6" t="inlineStr">
        <is>
          <t>Listed under Senior Leadership on the firm's own team page</t>
        </is>
      </c>
      <c r="D127" s="7" t="inlineStr">
        <is>
          <t>Builds the wall, not the house</t>
        </is>
      </c>
      <c r="E127" s="8" t="n">
        <v>2</v>
      </c>
      <c r="F127" s="6" t="inlineStr">
        <is>
          <t>Builds the wall</t>
        </is>
      </c>
      <c r="G127" s="6" t="inlineStr">
        <is>
          <t>Houston, Harris, with Texas growth markets</t>
        </is>
      </c>
      <c r="H127" s="6" t="inlineStr">
        <is>
          <t>Over 44,000 apartment homes in 45-plus years</t>
        </is>
      </c>
      <c r="I127" s="8" t="inlineStr">
        <is>
          <t>Yes</t>
        </is>
      </c>
      <c r="J127" s="9" t="inlineStr">
        <is>
          <t>Garden-style and mid-rise apartment buildings repeating across Texas markets from a Houston office.</t>
        </is>
      </c>
      <c r="K127" s="8" t="inlineStr">
        <is>
          <t>Partly</t>
        </is>
      </c>
      <c r="L127" s="9" t="inlineStr">
        <is>
          <t>Over 44,000 apartment homes in 45 years, so the wall volume is there. It states that it works through trade partners rather than self-performing, so the machine would sit with a subcontractor rather than with Blazer.</t>
        </is>
      </c>
      <c r="M127" s="8" t="inlineStr">
        <is>
          <t>No</t>
        </is>
      </c>
      <c r="N127" s="9" t="inlineStr">
        <is>
          <t>No method statement on record. The only construction-method language on the site is the list of building types it builds.</t>
        </is>
      </c>
      <c r="O127" s="8" t="inlineStr">
        <is>
          <t>Yes</t>
        </is>
      </c>
      <c r="P127" s="10" t="inlineStr"/>
      <c r="Q127" s="6">
        <f>HYPERLINK("https://www.linkedin.com/search/results/people/?keywords=Chris%20Richardson%20Blazer%20Building","search")</f>
        <v/>
      </c>
      <c r="R127" s="11">
        <f>IF(P127="","ADD LINKEDIN","ok")</f>
        <v/>
      </c>
      <c r="S127" s="6" t="inlineStr">
        <is>
          <t>https://www.blazerbuilding.com/</t>
        </is>
      </c>
      <c r="T127" s="9" t="inlineStr">
        <is>
          <t>Over 44,000 apartment homes and 200-plus projects. Garden-style apartments repeat the same wall more than any other product here.</t>
        </is>
      </c>
      <c r="U127" s="6" t="inlineStr"/>
      <c r="V127" s="9" t="inlineStr"/>
      <c r="W127" s="6" t="inlineStr"/>
      <c r="X127" s="6" t="inlineStr"/>
      <c r="Y127" s="6" t="inlineStr"/>
      <c r="Z127" s="6" t="inlineStr"/>
    </row>
    <row r="128">
      <c r="A128" s="12" t="inlineStr">
        <is>
          <t>Chad Hillman</t>
        </is>
      </c>
      <c r="B128" s="12" t="inlineStr">
        <is>
          <t>Blazer Building</t>
        </is>
      </c>
      <c r="C128" s="12" t="inlineStr">
        <is>
          <t>Listed under Senior Leadership on the firm's own team page</t>
        </is>
      </c>
      <c r="D128" s="13" t="inlineStr">
        <is>
          <t>Builds the wall, not the house</t>
        </is>
      </c>
      <c r="E128" s="14" t="n">
        <v>2</v>
      </c>
      <c r="F128" s="12" t="inlineStr">
        <is>
          <t>Builds the wall</t>
        </is>
      </c>
      <c r="G128" s="12" t="inlineStr">
        <is>
          <t>Houston, Harris, with Texas growth markets</t>
        </is>
      </c>
      <c r="H128" s="12" t="inlineStr">
        <is>
          <t>Over 44,000 apartment homes in 45-plus years</t>
        </is>
      </c>
      <c r="I128" s="14" t="inlineStr">
        <is>
          <t>Yes</t>
        </is>
      </c>
      <c r="J128" s="15" t="inlineStr">
        <is>
          <t>Garden-style and mid-rise apartment buildings repeating across Texas markets from a Houston office.</t>
        </is>
      </c>
      <c r="K128" s="14" t="inlineStr">
        <is>
          <t>Partly</t>
        </is>
      </c>
      <c r="L128" s="15" t="inlineStr">
        <is>
          <t>Over 44,000 apartment homes in 45 years, so the wall volume is there. It states that it works through trade partners rather than self-performing, so the machine would sit with a subcontractor rather than with Blazer.</t>
        </is>
      </c>
      <c r="M128" s="14" t="inlineStr">
        <is>
          <t>No</t>
        </is>
      </c>
      <c r="N128" s="15" t="inlineStr">
        <is>
          <t>No method statement on record. The only construction-method language on the site is the list of building types it builds.</t>
        </is>
      </c>
      <c r="O128" s="14" t="inlineStr">
        <is>
          <t>Yes</t>
        </is>
      </c>
      <c r="P128" s="10" t="inlineStr"/>
      <c r="Q128" s="12">
        <f>HYPERLINK("https://www.linkedin.com/search/results/people/?keywords=Chad%20Hillman%20Blazer%20Building","search")</f>
        <v/>
      </c>
      <c r="R128" s="16">
        <f>IF(P128="","ADD LINKEDIN","ok")</f>
        <v/>
      </c>
      <c r="S128" s="12" t="inlineStr">
        <is>
          <t>https://www.blazerbuilding.com/</t>
        </is>
      </c>
      <c r="T128" s="15" t="inlineStr">
        <is>
          <t>Over 44,000 apartment homes and 200-plus projects. Garden-style apartments repeat the same wall more than any other product here.</t>
        </is>
      </c>
      <c r="U128" s="12" t="inlineStr"/>
      <c r="V128" s="15" t="inlineStr"/>
      <c r="W128" s="12" t="inlineStr"/>
      <c r="X128" s="12" t="inlineStr"/>
      <c r="Y128" s="12" t="inlineStr"/>
      <c r="Z128" s="12" t="inlineStr"/>
    </row>
    <row r="129">
      <c r="A129" s="6" t="inlineStr">
        <is>
          <t>Matt Fuqua</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HYPERLINK("https://www.linkedin.com/search/results/people/?keywords=Matt%20Fuqua%20Blazer%20Building","search")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Brian Henderson</t>
        </is>
      </c>
      <c r="B130" s="12" t="inlineStr">
        <is>
          <t>Blazer Building</t>
        </is>
      </c>
      <c r="C130" s="12" t="inlineStr">
        <is>
          <t>Listed under Senior Leadership and Construction Supervision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HYPERLINK("https://www.linkedin.com/search/results/people/?keywords=Brian%20Henderson%20Blazer%20Building","search")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Trey Green</t>
        </is>
      </c>
      <c r="B131" s="6" t="inlineStr">
        <is>
          <t>Greco Structures</t>
        </is>
      </c>
      <c r="C131" s="6" t="inlineStr">
        <is>
          <t>Senior Vice President, Self Perform Group, Satterfield and Pontikes, named on the parent's own team page as overseeing Greco Structures, Rollcon, Rocket Pumping and Westway</t>
        </is>
      </c>
      <c r="D131" s="7" t="inlineStr">
        <is>
          <t>Builds the wall, not the house</t>
        </is>
      </c>
      <c r="E131" s="8" t="n">
        <v>2</v>
      </c>
      <c r="F131" s="6" t="inlineStr">
        <is>
          <t>Builds the wall</t>
        </is>
      </c>
      <c r="G131" s="6" t="inlineStr">
        <is>
          <t>Houston, working Harris and Fort Bend</t>
        </is>
      </c>
      <c r="H131" s="6" t="inlineStr">
        <is>
          <t>49 panels, tallest 52 feet 7 inches, on one job</t>
        </is>
      </c>
      <c r="I131" s="8" t="inlineStr">
        <is>
          <t>Yes</t>
        </is>
      </c>
      <c r="J131" s="9" t="inlineStr">
        <is>
          <t>Panel and deck work recurring across Houston projects for a standing set of general contractors.</t>
        </is>
      </c>
      <c r="K131" s="8" t="inlineStr">
        <is>
          <t>Partly</t>
        </is>
      </c>
      <c r="L131" s="9" t="inlineStr">
        <is>
          <t>No crew count or annual volume is published, and the purchase would clear through the parent's self-perform group rather than through Greco. On the bands, both of those are a Partly.</t>
        </is>
      </c>
      <c r="M131" s="8" t="inlineStr">
        <is>
          <t>No</t>
        </is>
      </c>
      <c r="N131" s="9" t="inlineStr">
        <is>
          <t>No method statement on record.</t>
        </is>
      </c>
      <c r="O131" s="8" t="inlineStr">
        <is>
          <t>Yes</t>
        </is>
      </c>
      <c r="P131" s="10" t="inlineStr"/>
      <c r="Q131" s="6">
        <f>HYPERLINK("https://www.linkedin.com/search/results/people/?keywords=Trey%20Green%20Greco%20Structures","search")</f>
        <v/>
      </c>
      <c r="R131" s="11">
        <f>IF(P131="","ADD LINKEDIN","ok")</f>
        <v/>
      </c>
      <c r="S131" s="6" t="inlineStr">
        <is>
          <t>https://grecostructures.com/</t>
        </is>
      </c>
      <c r="T131" s="9" t="inlineStr">
        <is>
          <t>Panels at 52 feet and elevated post-tensioned decks. The work repeats inside one metro and is bought by general contractors rather than by owners.</t>
        </is>
      </c>
      <c r="U131" s="6" t="inlineStr">
        <is>
          <t>YES</t>
        </is>
      </c>
      <c r="V131" s="9" t="inlineStr">
        <is>
          <t>Trey Green is named on Satterfield and Pontikes' own team page and returns no LinkedIn result against the parent's name.</t>
        </is>
      </c>
      <c r="W131" s="6" t="inlineStr"/>
      <c r="X131" s="6" t="inlineStr"/>
      <c r="Y131" s="6" t="inlineStr"/>
      <c r="Z131" s="6" t="inlineStr"/>
    </row>
    <row r="132">
      <c r="A132" s="12" t="inlineStr">
        <is>
          <t>George A. Pontikes Jr.</t>
        </is>
      </c>
      <c r="B132" s="12" t="inlineStr">
        <is>
          <t>Greco Structures</t>
        </is>
      </c>
      <c r="C132" s="12" t="inlineStr">
        <is>
          <t>Chief Executive Officer and Chairman, Satterfield and Pontikes</t>
        </is>
      </c>
      <c r="D132" s="13" t="inlineStr">
        <is>
          <t>Builds the wall, not the house</t>
        </is>
      </c>
      <c r="E132" s="14" t="n">
        <v>2</v>
      </c>
      <c r="F132" s="12" t="inlineStr">
        <is>
          <t>Builds the wall</t>
        </is>
      </c>
      <c r="G132" s="12" t="inlineStr">
        <is>
          <t>Houston, working Harris and Fort Bend</t>
        </is>
      </c>
      <c r="H132" s="12" t="inlineStr">
        <is>
          <t>49 panels, tallest 52 feet 7 inches, on one job</t>
        </is>
      </c>
      <c r="I132" s="14" t="inlineStr">
        <is>
          <t>Yes</t>
        </is>
      </c>
      <c r="J132" s="15" t="inlineStr">
        <is>
          <t>Panel and deck work recurring across Houston projects for a standing set of general contractors.</t>
        </is>
      </c>
      <c r="K132" s="14" t="inlineStr">
        <is>
          <t>Partly</t>
        </is>
      </c>
      <c r="L132" s="15" t="inlineStr">
        <is>
          <t>No crew count or annual volume is published, and the purchase would clear through the parent's self-perform group rather than through Greco. On the bands, both of those are a Partly.</t>
        </is>
      </c>
      <c r="M132" s="14" t="inlineStr">
        <is>
          <t>No</t>
        </is>
      </c>
      <c r="N132" s="15" t="inlineStr">
        <is>
          <t>No method statement on record.</t>
        </is>
      </c>
      <c r="O132" s="14" t="inlineStr">
        <is>
          <t>Yes</t>
        </is>
      </c>
      <c r="P132" s="10" t="inlineStr"/>
      <c r="Q132" s="12">
        <f>HYPERLINK("https://www.linkedin.com/search/results/people/?keywords=George%20A.%20Pontikes%20Jr.%20Greco%20Structures","search")</f>
        <v/>
      </c>
      <c r="R132" s="16">
        <f>IF(P132="","ADD LINKEDIN","ok")</f>
        <v/>
      </c>
      <c r="S132" s="12" t="inlineStr">
        <is>
          <t>https://grecostructures.com/</t>
        </is>
      </c>
      <c r="T132" s="15" t="inlineStr">
        <is>
          <t>Panels at 52 feet and elevated post-tensioned decks. The work repeats inside one metro and is bought by general contractors rather than by owners.</t>
        </is>
      </c>
      <c r="U132" s="12" t="inlineStr"/>
      <c r="V132" s="15" t="inlineStr"/>
      <c r="W132" s="12" t="inlineStr"/>
      <c r="X132" s="12" t="inlineStr"/>
      <c r="Y132" s="12" t="inlineStr"/>
      <c r="Z132" s="12" t="inlineStr"/>
    </row>
    <row r="133">
      <c r="A133" s="6" t="inlineStr">
        <is>
          <t>Thomas Valentine</t>
        </is>
      </c>
      <c r="B133" s="6" t="inlineStr">
        <is>
          <t>Greco Structures</t>
        </is>
      </c>
      <c r="C133" s="6" t="inlineStr">
        <is>
          <t>Operations Manager</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6" t="inlineStr">
        <is>
          <t>https://www.linkedin.com/in/thomas-valentine-6b1a7b117/</t>
        </is>
      </c>
      <c r="Q133" s="6" t="inlineStr"/>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c r="V133" s="9" t="inlineStr">
        <is>
          <t>Headline reads Operations Manager at Greco Structures. Spring, Texas.</t>
        </is>
      </c>
      <c r="W133" s="6" t="inlineStr"/>
      <c r="X133" s="6" t="inlineStr"/>
      <c r="Y133" s="6" t="inlineStr"/>
      <c r="Z133" s="6" t="inlineStr"/>
    </row>
    <row r="134">
      <c r="A134" s="12" t="inlineStr">
        <is>
          <t>Jordan Lopez</t>
        </is>
      </c>
      <c r="B134" s="12" t="inlineStr">
        <is>
          <t>Greco Structures</t>
        </is>
      </c>
      <c r="C134" s="12" t="inlineStr">
        <is>
          <t>Business Development, Greco Structures and Rollcon</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6" t="inlineStr">
        <is>
          <t>https://www.linkedin.com/in/jordan-lopez-528225229/</t>
        </is>
      </c>
      <c r="Q134" s="12" t="inlineStr"/>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is>
          <t>Headline reads Business Development Specialist for Greco Structures &amp; Rollcon. Houston, Texas.</t>
        </is>
      </c>
      <c r="W134" s="12" t="inlineStr"/>
      <c r="X134" s="12" t="inlineStr"/>
      <c r="Y134" s="12" t="inlineStr"/>
      <c r="Z134" s="12" t="inlineStr"/>
    </row>
    <row r="135">
      <c r="A135" s="6" t="inlineStr">
        <is>
          <t>David E. Harvey Sr.</t>
        </is>
      </c>
      <c r="B135" s="6" t="inlineStr">
        <is>
          <t>Harvey Cleary</t>
        </is>
      </c>
      <c r="C135" s="6" t="inlineStr">
        <is>
          <t>Founder, named on the firm's own about page</t>
        </is>
      </c>
      <c r="D135" s="7" t="inlineStr">
        <is>
          <t>Builds the wall, not the house</t>
        </is>
      </c>
      <c r="E135" s="8" t="n">
        <v>2</v>
      </c>
      <c r="F135" s="6" t="inlineStr">
        <is>
          <t>Builds the wall</t>
        </is>
      </c>
      <c r="G135" s="6" t="inlineStr">
        <is>
          <t>Houston, with Austin, San Antonio, Denver and Washington</t>
        </is>
      </c>
      <c r="H135" s="6" t="inlineStr">
        <is>
          <t>$2 billion in volume, 700-plus employees, founded 1957</t>
        </is>
      </c>
      <c r="I135" s="8" t="inlineStr">
        <is>
          <t>Yes</t>
        </is>
      </c>
      <c r="J135" s="9" t="inlineStr">
        <is>
          <t>A standing residential market inside the firm, with multifamily buildings delivered repeatedly alongside the commercial work.</t>
        </is>
      </c>
      <c r="K135" s="8" t="inlineStr">
        <is>
          <t>Partly</t>
        </is>
      </c>
      <c r="L135" s="9" t="inlineStr">
        <is>
          <t>$2 billion in construction volume and more than 700 employees on the firm's own count. One or two printers would be a line inside a business that size rather than the business.</t>
        </is>
      </c>
      <c r="M135" s="8" t="inlineStr">
        <is>
          <t>No</t>
        </is>
      </c>
      <c r="N135" s="9" t="inlineStr">
        <is>
          <t>No method statement on record. Owning the equipment and the crews is not the same as having paid for a method that was new at the time.</t>
        </is>
      </c>
      <c r="O135" s="8" t="inlineStr">
        <is>
          <t>Yes</t>
        </is>
      </c>
      <c r="P135" s="10" t="inlineStr"/>
      <c r="Q135" s="6">
        <f>HYPERLINK("https://www.linkedin.com/search/results/people/?keywords=David%20E.%20Harvey%20Sr.%20Harvey%20Cleary","search")</f>
        <v/>
      </c>
      <c r="R135" s="11">
        <f>IF(P135="","ADD LINKEDIN","ok")</f>
        <v/>
      </c>
      <c r="S135" s="6" t="inlineStr">
        <is>
          <t>https://www.harveycleary.com/</t>
        </is>
      </c>
      <c r="T135" s="9" t="inlineStr">
        <is>
          <t>It owns formwork, rebar, place and finish, tiltwall erection, architectural precast and tower crane erection, and it builds apartments. No other firm screened discloses that much owned trade.</t>
        </is>
      </c>
      <c r="U135" s="6" t="inlineStr"/>
      <c r="V135" s="9" t="inlineStr"/>
      <c r="W135" s="6" t="inlineStr"/>
      <c r="X135" s="6" t="inlineStr"/>
      <c r="Y135" s="6" t="inlineStr"/>
      <c r="Z135" s="6" t="inlineStr">
        <is>
          <t>2026 Engineering News-Record. ENR 2026 Top 400 Contractors, where the firm is ranked 72  https://www.enr.com/toplists/2026-Top-400-Contractors-1</t>
        </is>
      </c>
    </row>
    <row r="136">
      <c r="A136" s="12" t="inlineStr">
        <is>
          <t>David Harvey Jr.</t>
        </is>
      </c>
      <c r="B136" s="12" t="inlineStr">
        <is>
          <t>Harvey Cleary</t>
        </is>
      </c>
      <c r="C136" s="12" t="inlineStr">
        <is>
          <t>Took ownership in 1987, named on the firm's own about page</t>
        </is>
      </c>
      <c r="D136" s="13" t="inlineStr">
        <is>
          <t>Builds the wall, not the house</t>
        </is>
      </c>
      <c r="E136" s="14" t="n">
        <v>2</v>
      </c>
      <c r="F136" s="12" t="inlineStr">
        <is>
          <t>Builds the wall</t>
        </is>
      </c>
      <c r="G136" s="12" t="inlineStr">
        <is>
          <t>Houston, with Austin, San Antonio, Denver and Washington</t>
        </is>
      </c>
      <c r="H136" s="12" t="inlineStr">
        <is>
          <t>$2 billion in volume, 700-plus employees, founded 1957</t>
        </is>
      </c>
      <c r="I136" s="14" t="inlineStr">
        <is>
          <t>Yes</t>
        </is>
      </c>
      <c r="J136" s="15" t="inlineStr">
        <is>
          <t>A standing residential market inside the firm, with multifamily buildings delivered repeatedly alongside the commercial work.</t>
        </is>
      </c>
      <c r="K136" s="14" t="inlineStr">
        <is>
          <t>Partly</t>
        </is>
      </c>
      <c r="L136" s="15" t="inlineStr">
        <is>
          <t>$2 billion in construction volume and more than 700 employees on the firm's own count. One or two printers would be a line inside a business that size rather than the business.</t>
        </is>
      </c>
      <c r="M136" s="14" t="inlineStr">
        <is>
          <t>No</t>
        </is>
      </c>
      <c r="N136" s="15" t="inlineStr">
        <is>
          <t>No method statement on record. Owning the equipment and the crews is not the same as having paid for a method that was new at the time.</t>
        </is>
      </c>
      <c r="O136" s="14" t="inlineStr">
        <is>
          <t>Yes</t>
        </is>
      </c>
      <c r="P136" s="10" t="inlineStr"/>
      <c r="Q136" s="12">
        <f>HYPERLINK("https://www.linkedin.com/search/results/people/?keywords=David%20Harvey%20Jr.%20Harvey%20Cleary","search")</f>
        <v/>
      </c>
      <c r="R136" s="16">
        <f>IF(P136="","ADD LINKEDIN","ok")</f>
        <v/>
      </c>
      <c r="S136" s="12" t="inlineStr">
        <is>
          <t>https://www.harveycleary.com/</t>
        </is>
      </c>
      <c r="T136" s="15" t="inlineStr">
        <is>
          <t>It owns formwork, rebar, place and finish, tiltwall erection, architectural precast and tower crane erection, and it builds apartments. No other firm screened discloses that much owned trade.</t>
        </is>
      </c>
      <c r="U136" s="12" t="inlineStr"/>
      <c r="V136" s="15" t="inlineStr"/>
      <c r="W136" s="12" t="inlineStr"/>
      <c r="X136" s="12" t="inlineStr"/>
      <c r="Y136" s="12" t="inlineStr"/>
      <c r="Z136" s="12" t="inlineStr">
        <is>
          <t>2026 Engineering News-Record. ENR 2026 Top 400 Contractors, where the firm is ranked 72  https://www.enr.com/toplists/2026-Top-400-Contractors-1</t>
        </is>
      </c>
    </row>
    <row r="137">
      <c r="A137" s="6" t="inlineStr">
        <is>
          <t>Joseph Cleary</t>
        </is>
      </c>
      <c r="B137" s="6" t="inlineStr">
        <is>
          <t>Harvey Cleary</t>
        </is>
      </c>
      <c r="C137" s="6" t="inlineStr">
        <is>
          <t>Took ownership in 1987,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HYPERLINK("https://www.linkedin.com/search/results/people/?keywords=Joseph%20Cleary%20Harvey%20Cleary","search")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Scott Clarke</t>
        </is>
      </c>
      <c r="B138" s="12" t="inlineStr">
        <is>
          <t>Harvey Cleary</t>
        </is>
      </c>
      <c r="C138" s="12" t="inlineStr">
        <is>
          <t>Chief Operating Officer</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6" t="inlineStr">
        <is>
          <t>https://www.linkedin.com/in/scott-clarke-a2a1a521/</t>
        </is>
      </c>
      <c r="Q138" s="12" t="inlineStr"/>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is>
          <t>YES</t>
        </is>
      </c>
      <c r="V138" s="15" t="inlineStr">
        <is>
          <t>Headline reads Chief Operating Officer at Harvey | Harvey-Cleary Builders. Houston, Texas.</t>
        </is>
      </c>
      <c r="W138" s="12" t="inlineStr"/>
      <c r="X138" s="12" t="inlineStr"/>
      <c r="Y138" s="12" t="inlineStr"/>
      <c r="Z138" s="12" t="inlineStr">
        <is>
          <t>2026 Engineering News-Record. ENR 2026 Top 400 Contractors, where the firm is ranked 72  https://www.enr.com/toplists/2026-Top-400-Contractors-1</t>
        </is>
      </c>
    </row>
    <row r="139">
      <c r="A139" s="6" t="inlineStr">
        <is>
          <t>Jarrod Portelance</t>
        </is>
      </c>
      <c r="B139" s="6" t="inlineStr">
        <is>
          <t>Harvey Cleary</t>
        </is>
      </c>
      <c r="C139" s="6" t="inlineStr">
        <is>
          <t>Project Director</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6" t="inlineStr">
        <is>
          <t>https://www.linkedin.com/in/jarrodportelance/</t>
        </is>
      </c>
      <c r="Q139" s="6" t="inlineStr"/>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is>
          <t>Headline reads Project Director at Harvey | Harvey-Cleary Builders. Houston, Texas.</t>
        </is>
      </c>
      <c r="W139" s="6" t="inlineStr"/>
      <c r="X139" s="6" t="inlineStr"/>
      <c r="Y139" s="6" t="inlineStr"/>
      <c r="Z139" s="6" t="inlineStr">
        <is>
          <t>2026 Engineering News-Record. ENR 2026 Top 400 Contractors, where the firm is ranked 72  https://www.enr.com/toplists/2026-Top-400-Contractors-1</t>
        </is>
      </c>
    </row>
    <row r="140">
      <c r="A140" s="12" t="inlineStr">
        <is>
          <t>Travis Boone</t>
        </is>
      </c>
      <c r="B140" s="12" t="inlineStr">
        <is>
          <t>ORION</t>
        </is>
      </c>
      <c r="C140" s="12" t="inlineStr">
        <is>
          <t>Chief Executive Officer, Orion Group Holdings, quoted in the firm's own release of 29 January 2024</t>
        </is>
      </c>
      <c r="D140" s="13" t="inlineStr">
        <is>
          <t>Builds the wall, not the house</t>
        </is>
      </c>
      <c r="E140" s="14" t="n">
        <v>2</v>
      </c>
      <c r="F140" s="12" t="inlineStr">
        <is>
          <t>Builds the wall</t>
        </is>
      </c>
      <c r="G140" s="12" t="inlineStr">
        <is>
          <t>Houston, Harris</t>
        </is>
      </c>
      <c r="H140" s="12" t="inlineStr">
        <is>
          <t>257 panels and 175,820 square feet of wall on one job</t>
        </is>
      </c>
      <c r="I140" s="14" t="inlineStr">
        <is>
          <t>Yes</t>
        </is>
      </c>
      <c r="J140" s="15" t="inlineStr">
        <is>
          <t>Panel production at the top of the metro's range, recurring across institutional and commercial work.</t>
        </is>
      </c>
      <c r="K140" s="14" t="inlineStr">
        <is>
          <t>Partly</t>
        </is>
      </c>
      <c r="L140" s="15" t="inlineStr">
        <is>
          <t>The concrete business is large enough that a printer is a line item, and the capital decision sits with a listed parent rather than in Houston.</t>
        </is>
      </c>
      <c r="M140" s="14" t="inlineStr">
        <is>
          <t>No</t>
        </is>
      </c>
      <c r="N140" s="15" t="inlineStr">
        <is>
          <t>No method statement on record.</t>
        </is>
      </c>
      <c r="O140" s="14" t="inlineStr">
        <is>
          <t>Yes</t>
        </is>
      </c>
      <c r="P140" s="10" t="inlineStr"/>
      <c r="Q140" s="12">
        <f>HYPERLINK("https://www.linkedin.com/search/results/people/?keywords=Travis%20Boone%20ORION","search")</f>
        <v/>
      </c>
      <c r="R140" s="16">
        <f>IF(P140="","ADD LINKEDIN","ok")</f>
        <v/>
      </c>
      <c r="S140" s="12" t="inlineStr">
        <is>
          <t>https://www.oriongroupholdingsinc.com/</t>
        </is>
      </c>
      <c r="T140" s="15" t="inlineStr">
        <is>
          <t>The largest single panel production found in the metro, at 257 panels on one school. Purchasing now runs through a listed parent.</t>
        </is>
      </c>
      <c r="U140" s="12" t="inlineStr">
        <is>
          <t>YES</t>
        </is>
      </c>
      <c r="V140" s="15" t="inlineStr">
        <is>
          <t>Travis Boone runs the listed parent, not the Houston concrete business.</t>
        </is>
      </c>
      <c r="W140" s="12" t="inlineStr"/>
      <c r="X140" s="12" t="inlineStr"/>
      <c r="Y140" s="12" t="inlineStr"/>
      <c r="Z140" s="12" t="inlineStr"/>
    </row>
    <row r="141">
      <c r="A141" s="6" t="inlineStr">
        <is>
          <t>Mark Scully</t>
        </is>
      </c>
      <c r="B141" s="6" t="inlineStr">
        <is>
          <t>Encore Concrete Construction</t>
        </is>
      </c>
      <c r="C141" s="6" t="inlineStr">
        <is>
          <t>President</t>
        </is>
      </c>
      <c r="D141" s="7" t="inlineStr">
        <is>
          <t>Builds the wall, not the house</t>
        </is>
      </c>
      <c r="E141" s="8" t="n">
        <v>2</v>
      </c>
      <c r="F141" s="6" t="inlineStr">
        <is>
          <t>Builds the wall</t>
        </is>
      </c>
      <c r="G141" s="6" t="inlineStr">
        <is>
          <t>Spring, Harris and Montgomery</t>
        </is>
      </c>
      <c r="H141" s="6" t="inlineStr">
        <is>
          <t>Employee-owned, and lists elevated multifamily as a project type</t>
        </is>
      </c>
      <c r="I141" s="8" t="inlineStr">
        <is>
          <t>Yes</t>
        </is>
      </c>
      <c r="J141" s="9" t="inlineStr">
        <is>
          <t>Tilt-up warehouses, retail centres and schools repeating inside the Houston market.</t>
        </is>
      </c>
      <c r="K141" s="8" t="inlineStr">
        <is>
          <t>Partly</t>
        </is>
      </c>
      <c r="L141" s="9" t="inlineStr">
        <is>
          <t>No crew count or annual volume is published. The one published job runs to 32 panels across four floors. On the bands, a firm with no annual figure is a Partly.</t>
        </is>
      </c>
      <c r="M141" s="8" t="inlineStr">
        <is>
          <t>No</t>
        </is>
      </c>
      <c r="N141" s="9" t="inlineStr">
        <is>
          <t>No method statement on record. The 2025 tilt-up award is for execution, not for a new method.</t>
        </is>
      </c>
      <c r="O141" s="8" t="inlineStr">
        <is>
          <t>Partly</t>
        </is>
      </c>
      <c r="P141" s="6" t="inlineStr">
        <is>
          <t>https://www.linkedin.com/in/mark-scully-596648201/</t>
        </is>
      </c>
      <c r="Q141" s="6" t="inlineStr"/>
      <c r="R141" s="11">
        <f>IF(P141="","ADD LINKEDIN","ok")</f>
        <v/>
      </c>
      <c r="S141" s="6" t="inlineStr">
        <is>
          <t>https://www.encoreconcrete.com/</t>
        </is>
      </c>
      <c r="T141" s="9" t="inlineStr">
        <is>
          <t>Employee-owned, so the capital decision is made inside the company. Elevated multifamily is one of the seven project types it publishes.</t>
        </is>
      </c>
      <c r="U141" s="6" t="inlineStr">
        <is>
          <t>YES</t>
        </is>
      </c>
      <c r="V141" s="9" t="inlineStr">
        <is>
          <t>Headline reads President at Encore Concrete Construction. Spring, Texas.</t>
        </is>
      </c>
      <c r="W141" s="6" t="inlineStr"/>
      <c r="X141" s="6" t="inlineStr"/>
      <c r="Y141" s="6" t="inlineStr"/>
      <c r="Z141" s="6" t="inlineStr"/>
    </row>
    <row r="142">
      <c r="A142" s="12" t="inlineStr">
        <is>
          <t>Tim Manherz</t>
        </is>
      </c>
      <c r="B142" s="12" t="inlineStr">
        <is>
          <t>Encore Concrete Construction</t>
        </is>
      </c>
      <c r="C142" s="12" t="inlineStr">
        <is>
          <t>Vice President</t>
        </is>
      </c>
      <c r="D142" s="13" t="inlineStr">
        <is>
          <t>Builds the wall, not the house</t>
        </is>
      </c>
      <c r="E142" s="14" t="n">
        <v>2</v>
      </c>
      <c r="F142" s="12" t="inlineStr">
        <is>
          <t>Builds the wall</t>
        </is>
      </c>
      <c r="G142" s="12" t="inlineStr">
        <is>
          <t>Spring, Harris and Montgomery</t>
        </is>
      </c>
      <c r="H142" s="12" t="inlineStr">
        <is>
          <t>Employee-owned, and lists elevated multifamily as a project type</t>
        </is>
      </c>
      <c r="I142" s="14" t="inlineStr">
        <is>
          <t>Yes</t>
        </is>
      </c>
      <c r="J142" s="15" t="inlineStr">
        <is>
          <t>Tilt-up warehouses, retail centres and schools repeating inside the Houston market.</t>
        </is>
      </c>
      <c r="K142" s="14" t="inlineStr">
        <is>
          <t>Partly</t>
        </is>
      </c>
      <c r="L142" s="15" t="inlineStr">
        <is>
          <t>No crew count or annual volume is published. The one published job runs to 32 panels across four floors. On the bands, a firm with no annual figure is a Partly.</t>
        </is>
      </c>
      <c r="M142" s="14" t="inlineStr">
        <is>
          <t>No</t>
        </is>
      </c>
      <c r="N142" s="15" t="inlineStr">
        <is>
          <t>No method statement on record. The 2025 tilt-up award is for execution, not for a new method.</t>
        </is>
      </c>
      <c r="O142" s="14" t="inlineStr">
        <is>
          <t>Partly</t>
        </is>
      </c>
      <c r="P142" s="6" t="inlineStr">
        <is>
          <t>https://www.linkedin.com/in/tim-manherz-9a2b62148/</t>
        </is>
      </c>
      <c r="Q142" s="12" t="inlineStr"/>
      <c r="R142" s="16">
        <f>IF(P142="","ADD LINKEDIN","ok")</f>
        <v/>
      </c>
      <c r="S142" s="12" t="inlineStr">
        <is>
          <t>https://www.encoreconcrete.com/</t>
        </is>
      </c>
      <c r="T142" s="15" t="inlineStr">
        <is>
          <t>Employee-owned, so the capital decision is made inside the company. Elevated multifamily is one of the seven project types it publishes.</t>
        </is>
      </c>
      <c r="U142" s="12" t="inlineStr">
        <is>
          <t>YES</t>
        </is>
      </c>
      <c r="V142" s="15" t="inlineStr">
        <is>
          <t>Headline reads Vice President at Encore Concrete Construction. Greater Houston.</t>
        </is>
      </c>
      <c r="W142" s="12" t="inlineStr"/>
      <c r="X142" s="12" t="inlineStr"/>
      <c r="Y142" s="12" t="inlineStr"/>
      <c r="Z142" s="12" t="inlineStr"/>
    </row>
    <row r="143">
      <c r="A143" s="6" t="inlineStr">
        <is>
          <t>Steve Salverino</t>
        </is>
      </c>
      <c r="B143" s="6" t="inlineStr">
        <is>
          <t>Rino Construction</t>
        </is>
      </c>
      <c r="C143" s="6" t="inlineStr">
        <is>
          <t>Chief Executive Officer, named on the firm's own leadership page</t>
        </is>
      </c>
      <c r="D143" s="7" t="inlineStr">
        <is>
          <t>Builds the wall, not the house</t>
        </is>
      </c>
      <c r="E143" s="8" t="n">
        <v>2</v>
      </c>
      <c r="F143" s="6" t="inlineStr">
        <is>
          <t>Builds the wall</t>
        </is>
      </c>
      <c r="G143" s="6" t="inlineStr">
        <is>
          <t>Katy, Harris and Fort Bend, with Austin</t>
        </is>
      </c>
      <c r="H143" s="6" t="inlineStr">
        <is>
          <t>Operating since 1991, tilt-up its stated specialty</t>
        </is>
      </c>
      <c r="I143" s="8" t="inlineStr">
        <is>
          <t>Yes</t>
        </is>
      </c>
      <c r="J143" s="9" t="inlineStr">
        <is>
          <t>Tilt-up buildings recurring across two Texas metros since 1991, at 48 million square feet on its own count.</t>
        </is>
      </c>
      <c r="K143" s="8" t="inlineStr">
        <is>
          <t>Partly</t>
        </is>
      </c>
      <c r="L143" s="9" t="inlineStr">
        <is>
          <t>48 million square feet since 1991 on the firm's own homepage. A second page still carries an older 38 million. No annual figure is published, so this sits at a Partly.</t>
        </is>
      </c>
      <c r="M143" s="8" t="inlineStr">
        <is>
          <t>No</t>
        </is>
      </c>
      <c r="N143" s="9" t="inlineStr">
        <is>
          <t>No method statement on record.</t>
        </is>
      </c>
      <c r="O143" s="8" t="inlineStr">
        <is>
          <t>Partly</t>
        </is>
      </c>
      <c r="P143" s="10" t="inlineStr"/>
      <c r="Q143" s="6">
        <f>HYPERLINK("https://www.linkedin.com/search/results/people/?keywords=Steve%20Salverino%20Rino%20Construction","search")</f>
        <v/>
      </c>
      <c r="R143" s="11">
        <f>IF(P143="","ADD LINKEDIN","ok")</f>
        <v/>
      </c>
      <c r="S143" s="6" t="inlineStr">
        <is>
          <t>https://rino-con.com/</t>
        </is>
      </c>
      <c r="T143" s="9" t="inlineStr">
        <is>
          <t>Thirty-five years of tilt-up as the stated specialty. Its own site puts the self-performed concrete in the past tense.</t>
        </is>
      </c>
      <c r="U143" s="6" t="inlineStr"/>
      <c r="V143" s="9" t="inlineStr"/>
      <c r="W143" s="6" t="inlineStr"/>
      <c r="X143" s="6" t="inlineStr"/>
      <c r="Y143" s="6" t="inlineStr"/>
      <c r="Z143" s="6" t="inlineStr"/>
    </row>
    <row r="144">
      <c r="A144" s="12" t="inlineStr">
        <is>
          <t>Jacob Aswad</t>
        </is>
      </c>
      <c r="B144" s="12" t="inlineStr">
        <is>
          <t>Rino Construction</t>
        </is>
      </c>
      <c r="C144" s="12" t="inlineStr">
        <is>
          <t>President, named on the firm's own leadership page</t>
        </is>
      </c>
      <c r="D144" s="13" t="inlineStr">
        <is>
          <t>Builds the wall, not the house</t>
        </is>
      </c>
      <c r="E144" s="14" t="n">
        <v>2</v>
      </c>
      <c r="F144" s="12" t="inlineStr">
        <is>
          <t>Builds the wall</t>
        </is>
      </c>
      <c r="G144" s="12" t="inlineStr">
        <is>
          <t>Katy, Harris and Fort Bend, with Austin</t>
        </is>
      </c>
      <c r="H144" s="12" t="inlineStr">
        <is>
          <t>Operating since 1991, tilt-up its stated specialty</t>
        </is>
      </c>
      <c r="I144" s="14" t="inlineStr">
        <is>
          <t>Yes</t>
        </is>
      </c>
      <c r="J144" s="15" t="inlineStr">
        <is>
          <t>Tilt-up buildings recurring across two Texas metros since 1991, at 48 million square feet on its own count.</t>
        </is>
      </c>
      <c r="K144" s="14" t="inlineStr">
        <is>
          <t>Partly</t>
        </is>
      </c>
      <c r="L144" s="15" t="inlineStr">
        <is>
          <t>48 million square feet since 1991 on the firm's own homepage. A second page still carries an older 38 million. No annual figure is published, so this sits at a Partly.</t>
        </is>
      </c>
      <c r="M144" s="14" t="inlineStr">
        <is>
          <t>No</t>
        </is>
      </c>
      <c r="N144" s="15" t="inlineStr">
        <is>
          <t>No method statement on record.</t>
        </is>
      </c>
      <c r="O144" s="14" t="inlineStr">
        <is>
          <t>Partly</t>
        </is>
      </c>
      <c r="P144" s="10" t="inlineStr"/>
      <c r="Q144" s="12">
        <f>HYPERLINK("https://www.linkedin.com/search/results/people/?keywords=Jacob%20Aswad%20Rino%20Construction","search")</f>
        <v/>
      </c>
      <c r="R144" s="16">
        <f>IF(P144="","ADD LINKEDIN","ok")</f>
        <v/>
      </c>
      <c r="S144" s="12" t="inlineStr">
        <is>
          <t>https://rino-con.com/</t>
        </is>
      </c>
      <c r="T144" s="15" t="inlineStr">
        <is>
          <t>Thirty-five years of tilt-up as the stated specialty. Its own site puts the self-performed concrete in the past tense.</t>
        </is>
      </c>
      <c r="U144" s="12" t="inlineStr"/>
      <c r="V144" s="15" t="inlineStr"/>
      <c r="W144" s="12" t="inlineStr"/>
      <c r="X144" s="12" t="inlineStr"/>
      <c r="Y144" s="12" t="inlineStr"/>
      <c r="Z144" s="12" t="inlineStr"/>
    </row>
    <row r="145">
      <c r="A145" s="6" t="inlineStr">
        <is>
          <t>Justin Henderson</t>
        </is>
      </c>
      <c r="B145" s="6" t="inlineStr">
        <is>
          <t>Rino Construction</t>
        </is>
      </c>
      <c r="C145" s="6" t="inlineStr">
        <is>
          <t>Vice President, named on the firm's own leadership page</t>
        </is>
      </c>
      <c r="D145" s="7" t="inlineStr">
        <is>
          <t>Builds the wall, not the house</t>
        </is>
      </c>
      <c r="E145" s="8" t="n">
        <v>2</v>
      </c>
      <c r="F145" s="6" t="inlineStr">
        <is>
          <t>Builds the wall</t>
        </is>
      </c>
      <c r="G145" s="6" t="inlineStr">
        <is>
          <t>Katy, Harris and Fort Bend, with Austin</t>
        </is>
      </c>
      <c r="H145" s="6" t="inlineStr">
        <is>
          <t>Operating since 1991, tilt-up its stated specialty</t>
        </is>
      </c>
      <c r="I145" s="8" t="inlineStr">
        <is>
          <t>Yes</t>
        </is>
      </c>
      <c r="J145" s="9" t="inlineStr">
        <is>
          <t>Tilt-up buildings recurring across two Texas metros since 1991, at 48 million square feet on its own count.</t>
        </is>
      </c>
      <c r="K145" s="8" t="inlineStr">
        <is>
          <t>Partly</t>
        </is>
      </c>
      <c r="L145" s="9" t="inlineStr">
        <is>
          <t>48 million square feet since 1991 on the firm's own homepage. A second page still carries an older 38 million. No annual figure is published, so this sits at a Partly.</t>
        </is>
      </c>
      <c r="M145" s="8" t="inlineStr">
        <is>
          <t>No</t>
        </is>
      </c>
      <c r="N145" s="9" t="inlineStr">
        <is>
          <t>No method statement on record.</t>
        </is>
      </c>
      <c r="O145" s="8" t="inlineStr">
        <is>
          <t>Partly</t>
        </is>
      </c>
      <c r="P145" s="10" t="inlineStr"/>
      <c r="Q145" s="6">
        <f>HYPERLINK("https://www.linkedin.com/search/results/people/?keywords=Justin%20Henderson%20Rino%20Construction","search")</f>
        <v/>
      </c>
      <c r="R145" s="11">
        <f>IF(P145="","ADD LINKEDIN","ok")</f>
        <v/>
      </c>
      <c r="S145" s="6" t="inlineStr">
        <is>
          <t>https://rino-con.com/</t>
        </is>
      </c>
      <c r="T145" s="9" t="inlineStr">
        <is>
          <t>Thirty-five years of tilt-up as the stated specialty. Its own site puts the self-performed concrete in the past tense.</t>
        </is>
      </c>
      <c r="U145" s="6" t="inlineStr"/>
      <c r="V145" s="9" t="inlineStr"/>
      <c r="W145" s="6" t="inlineStr"/>
      <c r="X145" s="6" t="inlineStr"/>
      <c r="Y145" s="6" t="inlineStr"/>
      <c r="Z145" s="6" t="inlineStr"/>
    </row>
    <row r="146">
      <c r="A146" s="12" t="inlineStr">
        <is>
          <t>Jeff Rager</t>
        </is>
      </c>
      <c r="B146" s="12" t="inlineStr">
        <is>
          <t>Rino Construction</t>
        </is>
      </c>
      <c r="C146" s="12" t="inlineStr">
        <is>
          <t>Senior Project Manager</t>
        </is>
      </c>
      <c r="D146" s="13" t="inlineStr">
        <is>
          <t>Builds the wall, not the house</t>
        </is>
      </c>
      <c r="E146" s="14" t="n">
        <v>2</v>
      </c>
      <c r="F146" s="12" t="inlineStr">
        <is>
          <t>Builds the wall</t>
        </is>
      </c>
      <c r="G146" s="12" t="inlineStr">
        <is>
          <t>Katy, Harris and Fort Bend, with Austin</t>
        </is>
      </c>
      <c r="H146" s="12" t="inlineStr">
        <is>
          <t>Operating since 1991, tilt-up its stated specialty</t>
        </is>
      </c>
      <c r="I146" s="14" t="inlineStr">
        <is>
          <t>Yes</t>
        </is>
      </c>
      <c r="J146" s="15" t="inlineStr">
        <is>
          <t>Tilt-up buildings recurring across two Texas metros since 1991, at 48 million square feet on its own count.</t>
        </is>
      </c>
      <c r="K146" s="14" t="inlineStr">
        <is>
          <t>Partly</t>
        </is>
      </c>
      <c r="L146" s="15" t="inlineStr">
        <is>
          <t>48 million square feet since 1991 on the firm's own homepage. A second page still carries an older 38 million. No annual figure is published, so this sits at a Partly.</t>
        </is>
      </c>
      <c r="M146" s="14" t="inlineStr">
        <is>
          <t>No</t>
        </is>
      </c>
      <c r="N146" s="15" t="inlineStr">
        <is>
          <t>No method statement on record.</t>
        </is>
      </c>
      <c r="O146" s="14" t="inlineStr">
        <is>
          <t>Partly</t>
        </is>
      </c>
      <c r="P146" s="6" t="inlineStr">
        <is>
          <t>https://www.linkedin.com/in/jeff-rager-b0ab6a380/</t>
        </is>
      </c>
      <c r="Q146" s="12" t="inlineStr"/>
      <c r="R146" s="16">
        <f>IF(P146="","ADD LINKEDIN","ok")</f>
        <v/>
      </c>
      <c r="S146" s="12" t="inlineStr">
        <is>
          <t>https://rino-con.com/</t>
        </is>
      </c>
      <c r="T146" s="15" t="inlineStr">
        <is>
          <t>Thirty-five years of tilt-up as the stated specialty. Its own site puts the self-performed concrete in the past tense.</t>
        </is>
      </c>
      <c r="U146" s="12" t="inlineStr"/>
      <c r="V146" s="15" t="inlineStr">
        <is>
          <t>Headline reads Senior Project Manager, Rino (Rosenberger) Construction. Spring, Texas, and it carries both names, which confirms the rename.</t>
        </is>
      </c>
      <c r="W146" s="12" t="inlineStr"/>
      <c r="X146" s="12" t="inlineStr"/>
      <c r="Y146" s="12" t="inlineStr"/>
      <c r="Z146" s="12" t="inlineStr"/>
    </row>
    <row r="147">
      <c r="A147" s="6" t="inlineStr">
        <is>
          <t>James Abbate</t>
        </is>
      </c>
      <c r="B147" s="6" t="inlineStr">
        <is>
          <t>Rino Construction</t>
        </is>
      </c>
      <c r="C147" s="6" t="inlineStr">
        <is>
          <t>Controller</t>
        </is>
      </c>
      <c r="D147" s="7" t="inlineStr">
        <is>
          <t>Builds the wall, not the house</t>
        </is>
      </c>
      <c r="E147" s="8" t="n">
        <v>2</v>
      </c>
      <c r="F147" s="6" t="inlineStr">
        <is>
          <t>Builds the wall</t>
        </is>
      </c>
      <c r="G147" s="6" t="inlineStr">
        <is>
          <t>Katy, Harris and Fort Bend, with Austin</t>
        </is>
      </c>
      <c r="H147" s="6" t="inlineStr">
        <is>
          <t>Operating since 1991, tilt-up its stated specialty</t>
        </is>
      </c>
      <c r="I147" s="8" t="inlineStr">
        <is>
          <t>Yes</t>
        </is>
      </c>
      <c r="J147" s="9" t="inlineStr">
        <is>
          <t>Tilt-up buildings recurring across two Texas metros since 1991, at 48 million square feet on its own count.</t>
        </is>
      </c>
      <c r="K147" s="8" t="inlineStr">
        <is>
          <t>Partly</t>
        </is>
      </c>
      <c r="L147" s="9" t="inlineStr">
        <is>
          <t>48 million square feet since 1991 on the firm's own homepage. A second page still carries an older 38 million. No annual figure is published, so this sits at a Partly.</t>
        </is>
      </c>
      <c r="M147" s="8" t="inlineStr">
        <is>
          <t>No</t>
        </is>
      </c>
      <c r="N147" s="9" t="inlineStr">
        <is>
          <t>No method statement on record.</t>
        </is>
      </c>
      <c r="O147" s="8" t="inlineStr">
        <is>
          <t>Partly</t>
        </is>
      </c>
      <c r="P147" s="6" t="inlineStr">
        <is>
          <t>https://www.linkedin.com/in/james-abbate/</t>
        </is>
      </c>
      <c r="Q147" s="6" t="inlineStr"/>
      <c r="R147" s="11">
        <f>IF(P147="","ADD LINKEDIN","ok")</f>
        <v/>
      </c>
      <c r="S147" s="6" t="inlineStr">
        <is>
          <t>https://rino-con.com/</t>
        </is>
      </c>
      <c r="T147" s="9" t="inlineStr">
        <is>
          <t>Thirty-five years of tilt-up as the stated specialty. Its own site puts the self-performed concrete in the past tense.</t>
        </is>
      </c>
      <c r="U147" s="6" t="inlineStr"/>
      <c r="V147" s="9" t="inlineStr">
        <is>
          <t>Headline reads Controller at Rosenberger Construction. Katy, Texas.</t>
        </is>
      </c>
      <c r="W147" s="6" t="inlineStr"/>
      <c r="X147" s="6" t="inlineStr"/>
      <c r="Y147" s="6" t="inlineStr"/>
      <c r="Z147" s="6" t="inlineStr"/>
    </row>
    <row r="148">
      <c r="A148" s="12" t="inlineStr">
        <is>
          <t>David Buzzelli</t>
        </is>
      </c>
      <c r="B148" s="12" t="inlineStr">
        <is>
          <t>Texas A&amp;M Concrete</t>
        </is>
      </c>
      <c r="C148" s="12" t="inlineStr">
        <is>
          <t>Vice President</t>
        </is>
      </c>
      <c r="D148" s="13" t="inlineStr">
        <is>
          <t>Builds the wall, not the house</t>
        </is>
      </c>
      <c r="E148" s="14" t="n">
        <v>2</v>
      </c>
      <c r="F148" s="12" t="inlineStr">
        <is>
          <t>Builds the wall</t>
        </is>
      </c>
      <c r="G148" s="12" t="inlineStr">
        <is>
          <t>Houston, Harris</t>
        </is>
      </c>
      <c r="H148" s="12" t="inlineStr">
        <is>
          <t>79 panels and 52,116 square feet of tilt-up wall on one job</t>
        </is>
      </c>
      <c r="I148" s="14" t="inlineStr">
        <is>
          <t>Yes</t>
        </is>
      </c>
      <c r="J148" s="15" t="inlineStr">
        <is>
          <t>Tilt-up panel production repeats inside one metro even when the buildings differ.</t>
        </is>
      </c>
      <c r="K148" s="14" t="inlineStr">
        <is>
          <t>Partly</t>
        </is>
      </c>
      <c r="L148" s="15" t="inlineStr">
        <is>
          <t>The firm's own site gives a job range of $500,000 to $15 million. A printer would be one line in a book that size.</t>
        </is>
      </c>
      <c r="M148" s="14" t="inlineStr">
        <is>
          <t>No</t>
        </is>
      </c>
      <c r="N148" s="15" t="inlineStr">
        <is>
          <t>No method statement on record. Its published involvement is in concrete standards committees, not in new methods.</t>
        </is>
      </c>
      <c r="O148" s="14" t="inlineStr">
        <is>
          <t>Partly</t>
        </is>
      </c>
      <c r="P148" s="6" t="inlineStr">
        <is>
          <t>https://www.linkedin.com/in/david-buzzelli-faci-77109b29/</t>
        </is>
      </c>
      <c r="Q148" s="12" t="inlineStr"/>
      <c r="R148" s="16">
        <f>IF(P148="","ADD LINKEDIN","ok")</f>
        <v/>
      </c>
      <c r="S148" s="12" t="inlineStr">
        <is>
          <t>https://www.texasamconcrete.com/</t>
        </is>
      </c>
      <c r="T148" s="15" t="inlineStr">
        <is>
          <t>Two award-listed tilt-up jobs in Houston, one at 79 panels and 52,116 square feet of wall. Panels repeat; the buildings behind them do not.</t>
        </is>
      </c>
      <c r="U148" s="12" t="inlineStr">
        <is>
          <t>YES</t>
        </is>
      </c>
      <c r="V148" s="15" t="inlineStr">
        <is>
          <t>Headline reads Vice President of Texas A&amp;M Concrete, LLC. Houston, Texas. He is also named as a founder in the firm's own dated news post.</t>
        </is>
      </c>
      <c r="W148" s="12" t="inlineStr"/>
      <c r="X148" s="12" t="inlineStr"/>
      <c r="Y148" s="12" t="inlineStr"/>
      <c r="Z148" s="12" t="inlineStr"/>
    </row>
    <row r="149">
      <c r="A149" s="6" t="inlineStr">
        <is>
          <t>Adrian Villarreal</t>
        </is>
      </c>
      <c r="B149" s="6" t="inlineStr">
        <is>
          <t>Texas A&amp;M Concrete</t>
        </is>
      </c>
      <c r="C149" s="6" t="inlineStr">
        <is>
          <t>Co-founder</t>
        </is>
      </c>
      <c r="D149" s="7" t="inlineStr">
        <is>
          <t>Builds the wall, not the house</t>
        </is>
      </c>
      <c r="E149" s="8" t="n">
        <v>2</v>
      </c>
      <c r="F149" s="6" t="inlineStr">
        <is>
          <t>Builds the wall</t>
        </is>
      </c>
      <c r="G149" s="6" t="inlineStr">
        <is>
          <t>Houston, Harris</t>
        </is>
      </c>
      <c r="H149" s="6" t="inlineStr">
        <is>
          <t>79 panels and 52,116 square feet of tilt-up wall on one job</t>
        </is>
      </c>
      <c r="I149" s="8" t="inlineStr">
        <is>
          <t>Yes</t>
        </is>
      </c>
      <c r="J149" s="9" t="inlineStr">
        <is>
          <t>Tilt-up panel production repeats inside one metro even when the buildings differ.</t>
        </is>
      </c>
      <c r="K149" s="8" t="inlineStr">
        <is>
          <t>Partly</t>
        </is>
      </c>
      <c r="L149" s="9" t="inlineStr">
        <is>
          <t>The firm's own site gives a job range of $500,000 to $15 million. A printer would be one line in a book that size.</t>
        </is>
      </c>
      <c r="M149" s="8" t="inlineStr">
        <is>
          <t>No</t>
        </is>
      </c>
      <c r="N149" s="9" t="inlineStr">
        <is>
          <t>No method statement on record. Its published involvement is in concrete standards committees, not in new methods.</t>
        </is>
      </c>
      <c r="O149" s="8" t="inlineStr">
        <is>
          <t>Partly</t>
        </is>
      </c>
      <c r="P149" s="10" t="inlineStr"/>
      <c r="Q149" s="6" t="inlineStr"/>
      <c r="R149" s="11">
        <f>IF(P149="","ADD LINKEDIN","ok")</f>
        <v/>
      </c>
      <c r="S149" s="6" t="inlineStr">
        <is>
          <t>https://www.texasamconcrete.com/</t>
        </is>
      </c>
      <c r="T149" s="9" t="inlineStr">
        <is>
          <t>Two award-listed tilt-up jobs in Houston, one at 79 panels and 52,116 square feet of wall. Panels repeat; the buildings behind them do not.</t>
        </is>
      </c>
      <c r="U149" s="6" t="inlineStr"/>
      <c r="V149" s="9" t="inlineStr"/>
      <c r="W149" s="6" t="inlineStr">
        <is>
          <t>https://www.texasamconcrete.com/blogs/news/texas-concrete-contractor-makes-it-big</t>
        </is>
      </c>
      <c r="X149" s="6" t="inlineStr"/>
      <c r="Y149" s="6" t="inlineStr"/>
      <c r="Z149" s="6" t="inlineStr"/>
    </row>
    <row r="150">
      <c r="A150" s="12" t="inlineStr">
        <is>
          <t>Marcos Chavez</t>
        </is>
      </c>
      <c r="B150" s="12" t="inlineStr">
        <is>
          <t>Texas A&amp;M Concrete</t>
        </is>
      </c>
      <c r="C150" s="12" t="inlineStr">
        <is>
          <t>Co-founder</t>
        </is>
      </c>
      <c r="D150" s="13" t="inlineStr">
        <is>
          <t>Builds the wall, not the house</t>
        </is>
      </c>
      <c r="E150" s="14" t="n">
        <v>2</v>
      </c>
      <c r="F150" s="12" t="inlineStr">
        <is>
          <t>Builds the wall</t>
        </is>
      </c>
      <c r="G150" s="12" t="inlineStr">
        <is>
          <t>Houston, Harris</t>
        </is>
      </c>
      <c r="H150" s="12" t="inlineStr">
        <is>
          <t>79 panels and 52,116 square feet of tilt-up wall on one job</t>
        </is>
      </c>
      <c r="I150" s="14" t="inlineStr">
        <is>
          <t>Yes</t>
        </is>
      </c>
      <c r="J150" s="15" t="inlineStr">
        <is>
          <t>Tilt-up panel production repeats inside one metro even when the buildings differ.</t>
        </is>
      </c>
      <c r="K150" s="14" t="inlineStr">
        <is>
          <t>Partly</t>
        </is>
      </c>
      <c r="L150" s="15" t="inlineStr">
        <is>
          <t>The firm's own site gives a job range of $500,000 to $15 million. A printer would be one line in a book that size.</t>
        </is>
      </c>
      <c r="M150" s="14" t="inlineStr">
        <is>
          <t>No</t>
        </is>
      </c>
      <c r="N150" s="15" t="inlineStr">
        <is>
          <t>No method statement on record. Its published involvement is in concrete standards committees, not in new methods.</t>
        </is>
      </c>
      <c r="O150" s="14" t="inlineStr">
        <is>
          <t>Partly</t>
        </is>
      </c>
      <c r="P150" s="10" t="inlineStr"/>
      <c r="Q150" s="12" t="inlineStr"/>
      <c r="R150" s="16">
        <f>IF(P150="","ADD LINKEDIN","ok")</f>
        <v/>
      </c>
      <c r="S150" s="12" t="inlineStr">
        <is>
          <t>https://www.texasamconcrete.com/</t>
        </is>
      </c>
      <c r="T150" s="15" t="inlineStr">
        <is>
          <t>Two award-listed tilt-up jobs in Houston, one at 79 panels and 52,116 square feet of wall. Panels repeat; the buildings behind them do not.</t>
        </is>
      </c>
      <c r="U150" s="12" t="inlineStr"/>
      <c r="V150" s="15" t="inlineStr"/>
      <c r="W150" s="12" t="inlineStr">
        <is>
          <t>https://www.texasamconcrete.com/blogs/news/texas-concrete-contractor-makes-it-big</t>
        </is>
      </c>
      <c r="X150" s="12" t="inlineStr"/>
      <c r="Y150" s="12" t="inlineStr"/>
      <c r="Z150" s="12" t="inlineStr"/>
    </row>
    <row r="151">
      <c r="A151" s="6" t="inlineStr">
        <is>
          <t>Martin Jordana</t>
        </is>
      </c>
      <c r="B151" s="6" t="inlineStr">
        <is>
          <t>Baker Construction</t>
        </is>
      </c>
      <c r="C151" s="6" t="inlineStr">
        <is>
          <t>President, Central and Great West Region</t>
        </is>
      </c>
      <c r="D151" s="7" t="inlineStr">
        <is>
          <t>Builds the wall, not the house</t>
        </is>
      </c>
      <c r="E151" s="8" t="n">
        <v>1</v>
      </c>
      <c r="F151" s="6" t="inlineStr">
        <is>
          <t>Builds the wall</t>
        </is>
      </c>
      <c r="G151" s="6" t="inlineStr">
        <is>
          <t>Houston industrial office, Harris, inside a national firm</t>
        </is>
      </c>
      <c r="H151" s="6" t="inlineStr">
        <is>
          <t>61 panels at 70 feet, the heaviest about 87 tons</t>
        </is>
      </c>
      <c r="I151" s="8" t="inlineStr">
        <is>
          <t>Yes</t>
        </is>
      </c>
      <c r="J151" s="9" t="inlineStr">
        <is>
          <t>Panel and structural concrete work recurring across the Houston market.</t>
        </is>
      </c>
      <c r="K151" s="8" t="inlineStr">
        <is>
          <t>No</t>
        </is>
      </c>
      <c r="L151" s="9" t="inlineStr">
        <is>
          <t>More than 12,500 people across the United States on the firm's own count, and first on a national ranking of concrete specialty contractors. A machine purchase at that size runs through a national desk, which the bands score as a No.</t>
        </is>
      </c>
      <c r="M151" s="8" t="inlineStr">
        <is>
          <t>No</t>
        </is>
      </c>
      <c r="N151" s="9" t="inlineStr">
        <is>
          <t>No method statement on record. Working at the top of the panel size range is difficulty, not a new method.</t>
        </is>
      </c>
      <c r="O151" s="8" t="inlineStr">
        <is>
          <t>Yes</t>
        </is>
      </c>
      <c r="P151" s="10" t="inlineStr"/>
      <c r="Q151" s="6" t="inlineStr"/>
      <c r="R151" s="11">
        <f>IF(P151="","ADD LINKEDIN","ok")</f>
        <v/>
      </c>
      <c r="S151" s="6" t="inlineStr">
        <is>
          <t>https://bakerconstruction.com/</t>
        </is>
      </c>
      <c r="T151" s="9" t="inlineStr">
        <is>
          <t>Named on a 61-panel job at 70 feet, with the heaviest panel at about 87 tons. That is the top of what the trade attempts here. The firm is national.</t>
        </is>
      </c>
      <c r="U151" s="6" t="inlineStr">
        <is>
          <t>YES</t>
        </is>
      </c>
      <c r="V151" s="9" t="inlineStr">
        <is>
          <t>The regional seat that covers Texas.</t>
        </is>
      </c>
      <c r="W151" s="6" t="inlineStr">
        <is>
          <t>https://bakerconstruction.com/leadership/</t>
        </is>
      </c>
      <c r="X151" s="6" t="inlineStr"/>
      <c r="Y151" s="6" t="inlineStr"/>
      <c r="Z151" s="6" t="inlineStr"/>
    </row>
    <row r="152">
      <c r="A152" s="12" t="inlineStr">
        <is>
          <t>Karl Watson</t>
        </is>
      </c>
      <c r="B152" s="12" t="inlineStr">
        <is>
          <t>Baker Construction</t>
        </is>
      </c>
      <c r="C152" s="12" t="inlineStr">
        <is>
          <t>Chief Executive Officer, Baker Construction Enterprises</t>
        </is>
      </c>
      <c r="D152" s="13" t="inlineStr">
        <is>
          <t>Builds the wall, not the house</t>
        </is>
      </c>
      <c r="E152" s="14" t="n">
        <v>1</v>
      </c>
      <c r="F152" s="12" t="inlineStr">
        <is>
          <t>Builds the wall</t>
        </is>
      </c>
      <c r="G152" s="12" t="inlineStr">
        <is>
          <t>Houston industrial office, Harris, inside a national firm</t>
        </is>
      </c>
      <c r="H152" s="12" t="inlineStr">
        <is>
          <t>61 panels at 70 feet, the heaviest about 87 tons</t>
        </is>
      </c>
      <c r="I152" s="14" t="inlineStr">
        <is>
          <t>Yes</t>
        </is>
      </c>
      <c r="J152" s="15" t="inlineStr">
        <is>
          <t>Panel and structural concrete work recurring across the Houston market.</t>
        </is>
      </c>
      <c r="K152" s="14" t="inlineStr">
        <is>
          <t>No</t>
        </is>
      </c>
      <c r="L152" s="15" t="inlineStr">
        <is>
          <t>More than 12,500 people across the United States on the firm's own count, and first on a national ranking of concrete specialty contractors. A machine purchase at that size runs through a national desk, which the bands score as a No.</t>
        </is>
      </c>
      <c r="M152" s="14" t="inlineStr">
        <is>
          <t>No</t>
        </is>
      </c>
      <c r="N152" s="15" t="inlineStr">
        <is>
          <t>No method statement on record. Working at the top of the panel size range is difficulty, not a new method.</t>
        </is>
      </c>
      <c r="O152" s="14" t="inlineStr">
        <is>
          <t>Yes</t>
        </is>
      </c>
      <c r="P152" s="10" t="inlineStr"/>
      <c r="Q152" s="12" t="inlineStr"/>
      <c r="R152" s="16">
        <f>IF(P152="","ADD LINKEDIN","ok")</f>
        <v/>
      </c>
      <c r="S152" s="12" t="inlineStr">
        <is>
          <t>https://bakerconstruction.com/</t>
        </is>
      </c>
      <c r="T152" s="15" t="inlineStr">
        <is>
          <t>Named on a 61-panel job at 70 feet, with the heaviest panel at about 87 tons. That is the top of what the trade attempts here. The firm is national.</t>
        </is>
      </c>
      <c r="U152" s="12" t="inlineStr"/>
      <c r="V152" s="15" t="inlineStr"/>
      <c r="W152" s="12" t="inlineStr">
        <is>
          <t>https://bakerconstruction.com/leadership/</t>
        </is>
      </c>
      <c r="X152" s="12" t="inlineStr"/>
      <c r="Y152" s="12" t="inlineStr"/>
      <c r="Z152" s="12" t="inlineStr"/>
    </row>
    <row r="153">
      <c r="A153" s="6" t="inlineStr">
        <is>
          <t>Dan T. Baker</t>
        </is>
      </c>
      <c r="B153" s="6" t="inlineStr">
        <is>
          <t>Baker Construction</t>
        </is>
      </c>
      <c r="C153" s="6" t="inlineStr">
        <is>
          <t>Executive Vice Chair and President</t>
        </is>
      </c>
      <c r="D153" s="7" t="inlineStr">
        <is>
          <t>Builds the wall, not the house</t>
        </is>
      </c>
      <c r="E153" s="8" t="n">
        <v>1</v>
      </c>
      <c r="F153" s="6" t="inlineStr">
        <is>
          <t>Builds the wall</t>
        </is>
      </c>
      <c r="G153" s="6" t="inlineStr">
        <is>
          <t>Houston industrial office, Harris, inside a national firm</t>
        </is>
      </c>
      <c r="H153" s="6" t="inlineStr">
        <is>
          <t>61 panels at 70 feet, the heaviest about 87 tons</t>
        </is>
      </c>
      <c r="I153" s="8" t="inlineStr">
        <is>
          <t>Yes</t>
        </is>
      </c>
      <c r="J153" s="9" t="inlineStr">
        <is>
          <t>Panel and structural concrete work recurring across the Houston market.</t>
        </is>
      </c>
      <c r="K153" s="8" t="inlineStr">
        <is>
          <t>No</t>
        </is>
      </c>
      <c r="L153" s="9" t="inlineStr">
        <is>
          <t>More than 12,500 people across the United States on the firm's own count, and first on a national ranking of concrete specialty contractors. A machine purchase at that size runs through a national desk, which the bands score as a No.</t>
        </is>
      </c>
      <c r="M153" s="8" t="inlineStr">
        <is>
          <t>No</t>
        </is>
      </c>
      <c r="N153" s="9" t="inlineStr">
        <is>
          <t>No method statement on record. Working at the top of the panel size range is difficulty, not a new method.</t>
        </is>
      </c>
      <c r="O153" s="8" t="inlineStr">
        <is>
          <t>Yes</t>
        </is>
      </c>
      <c r="P153" s="10" t="inlineStr"/>
      <c r="Q153" s="6" t="inlineStr"/>
      <c r="R153" s="11">
        <f>IF(P153="","ADD LINKEDIN","ok")</f>
        <v/>
      </c>
      <c r="S153" s="6" t="inlineStr">
        <is>
          <t>https://bakerconstruction.com/</t>
        </is>
      </c>
      <c r="T153" s="9" t="inlineStr">
        <is>
          <t>Named on a 61-panel job at 70 feet, with the heaviest panel at about 87 tons. That is the top of what the trade attempts here. The firm is national.</t>
        </is>
      </c>
      <c r="U153" s="6" t="inlineStr"/>
      <c r="V153" s="9" t="inlineStr"/>
      <c r="W153" s="6" t="inlineStr">
        <is>
          <t>https://bakerconstruction.com/leadership/</t>
        </is>
      </c>
      <c r="X153" s="6" t="inlineStr"/>
      <c r="Y153" s="6" t="inlineStr"/>
      <c r="Z153" s="6" t="inlineStr"/>
    </row>
    <row r="154">
      <c r="A154" s="12" t="inlineStr">
        <is>
          <t>Chris Vogler</t>
        </is>
      </c>
      <c r="B154" s="12" t="inlineStr">
        <is>
          <t>Leola Construction</t>
        </is>
      </c>
      <c r="C154" s="12" t="inlineStr">
        <is>
          <t>Business Development Manager</t>
        </is>
      </c>
      <c r="D154" s="13" t="inlineStr">
        <is>
          <t>Builds the wall, not the house</t>
        </is>
      </c>
      <c r="E154" s="14" t="n">
        <v>1</v>
      </c>
      <c r="F154" s="12" t="inlineStr">
        <is>
          <t>Builds the wall</t>
        </is>
      </c>
      <c r="G154" s="12" t="inlineStr">
        <is>
          <t>Houston division, working Harris, Fort Bend, Montgomery and Waller</t>
        </is>
      </c>
      <c r="H154" s="12" t="inlineStr">
        <is>
          <t>9,900 homes a year company-wide, across 300 communities</t>
        </is>
      </c>
      <c r="I154" s="14" t="inlineStr">
        <is>
          <t>Yes</t>
        </is>
      </c>
      <c r="J154" s="15" t="inlineStr">
        <is>
          <t>Single family and townhome communities across the north and west of the metro, taking the same wall package community after community.</t>
        </is>
      </c>
      <c r="K154" s="14" t="inlineStr">
        <is>
          <t>No</t>
        </is>
      </c>
      <c r="L154" s="15" t="inlineStr">
        <is>
          <t>9,900 homes a year on the firm's own count, company-wide across Florida and Texas, far above what one or two printers cover.</t>
        </is>
      </c>
      <c r="M154" s="14" t="inlineStr">
        <is>
          <t>No</t>
        </is>
      </c>
      <c r="N154" s="15" t="inlineStr">
        <is>
          <t>No method statement on record.</t>
        </is>
      </c>
      <c r="O154" s="14" t="inlineStr">
        <is>
          <t>Partly</t>
        </is>
      </c>
      <c r="P154" s="6" t="inlineStr">
        <is>
          <t>https://www.linkedin.com/in/chris-vogler-56239a52/</t>
        </is>
      </c>
      <c r="Q154" s="12" t="inlineStr"/>
      <c r="R154" s="16">
        <f>IF(P154="","ADD LINKEDIN","ok")</f>
        <v/>
      </c>
      <c r="S154" s="12" t="inlineStr">
        <is>
          <t>https://leolaconstruction.com/houston/</t>
        </is>
      </c>
      <c r="T154" s="15" t="inlineStr">
        <is>
          <t>It sells the entire wall package to production builders, which is the procurement a printed wall would displace. It owns almost no direct field labour.</t>
        </is>
      </c>
      <c r="U154" s="12" t="inlineStr"/>
      <c r="V154" s="15" t="inlineStr">
        <is>
          <t>Headline reads Business Development Manager at Leola Construction. Spring, Texas. He is the only Leola person in Greater Houston that a search returns.</t>
        </is>
      </c>
      <c r="W154" s="12" t="inlineStr"/>
      <c r="X154" s="12" t="inlineStr"/>
      <c r="Y154" s="12" t="inlineStr"/>
      <c r="Z154" s="12" t="inlineStr"/>
    </row>
    <row r="155">
      <c r="A155" s="6" t="inlineStr">
        <is>
          <t>Michael G. Scheurich</t>
        </is>
      </c>
      <c r="B155" s="6" t="inlineStr">
        <is>
          <t>Arch-Con Corporation</t>
        </is>
      </c>
      <c r="C155" s="6" t="inlineStr">
        <is>
          <t>Founder and Chief Executive Officer</t>
        </is>
      </c>
      <c r="D155" s="7" t="inlineStr">
        <is>
          <t>Builds the wall, not the house</t>
        </is>
      </c>
      <c r="E155" s="8" t="n">
        <v>3</v>
      </c>
      <c r="F155" s="6" t="inlineStr">
        <is>
          <t>Builds the wall</t>
        </is>
      </c>
      <c r="G155" s="6" t="inlineStr">
        <is>
          <t>Houston, Harris</t>
        </is>
      </c>
      <c r="H155" s="6" t="inlineStr">
        <is>
          <t>Reversed the standard tilt-wall sequence to save a month</t>
        </is>
      </c>
      <c r="I155" s="8" t="inlineStr">
        <is>
          <t>Partly</t>
        </is>
      </c>
      <c r="J155" s="9" t="inlineStr">
        <is>
          <t>Eight divisions across commercial, retail, healthcare and multifamily. The buildings differ project to project.</t>
        </is>
      </c>
      <c r="K155" s="8" t="inlineStr">
        <is>
          <t>Partly</t>
        </is>
      </c>
      <c r="L155" s="9" t="inlineStr">
        <is>
          <t>No annual volume is published. The one published job runs to 770,640 square feet, and the panels on it were poured by somebody else.</t>
        </is>
      </c>
      <c r="M155" s="8" t="inlineStr">
        <is>
          <t>Partly</t>
        </is>
      </c>
      <c r="N155" s="9" t="inlineStr">
        <is>
          <t>It reordered the standard tilt-wall sequence on a 770,640 square foot job, setting a 275-ton lattice boom crane on the perimeter to avoid the slab, and published the result. That is method appetite rather than the purchase of a new method.</t>
        </is>
      </c>
      <c r="O155" s="8" t="inlineStr">
        <is>
          <t>Yes</t>
        </is>
      </c>
      <c r="P155" s="6" t="inlineStr">
        <is>
          <t>https://www.linkedin.com/in/michael-scheurich-07811331/</t>
        </is>
      </c>
      <c r="Q155" s="6" t="inlineStr"/>
      <c r="R155" s="11">
        <f>IF(P155="","ADD LINKEDIN","ok")</f>
        <v/>
      </c>
      <c r="S155" s="6" t="inlineStr">
        <is>
          <t>https://www.arch-con.com/</t>
        </is>
      </c>
      <c r="T155" s="9" t="inlineStr">
        <is>
          <t>It published how it reordered a standard method to win a month of schedule. It buys its concrete rather than pouring it.</t>
        </is>
      </c>
      <c r="U155" s="6" t="inlineStr">
        <is>
          <t>YES</t>
        </is>
      </c>
      <c r="V155" s="9" t="inlineStr">
        <is>
          <t>Headline reads Chief Executive Officer at Arch-Con Corporation. Houston, Texas.</t>
        </is>
      </c>
      <c r="W155" s="6" t="inlineStr"/>
      <c r="X155" s="6" t="inlineStr"/>
      <c r="Y155" s="6" t="inlineStr"/>
      <c r="Z155" s="6" t="inlineStr">
        <is>
          <t>2026-07-21 Construction Owners. Arch-Con Tops Out 330-Unit Artis Montrose Apartment Project  https://www.constructionowners.com/news/arch-con-reaches-topping-out-milestone-on-330-unit-artis-montrose-apartment-project</t>
        </is>
      </c>
    </row>
    <row r="156">
      <c r="A156" s="12" t="inlineStr">
        <is>
          <t>Jason M. Cooper</t>
        </is>
      </c>
      <c r="B156" s="12" t="inlineStr">
        <is>
          <t>Arch-Con Corporation</t>
        </is>
      </c>
      <c r="C156" s="12" t="inlineStr">
        <is>
          <t>President</t>
        </is>
      </c>
      <c r="D156" s="13" t="inlineStr">
        <is>
          <t>Builds the wall, not the house</t>
        </is>
      </c>
      <c r="E156" s="14" t="n">
        <v>3</v>
      </c>
      <c r="F156" s="12" t="inlineStr">
        <is>
          <t>Builds the wall</t>
        </is>
      </c>
      <c r="G156" s="12" t="inlineStr">
        <is>
          <t>Houston, Harris</t>
        </is>
      </c>
      <c r="H156" s="12" t="inlineStr">
        <is>
          <t>Reversed the standard tilt-wall sequence to save a month</t>
        </is>
      </c>
      <c r="I156" s="14" t="inlineStr">
        <is>
          <t>Partly</t>
        </is>
      </c>
      <c r="J156" s="15" t="inlineStr">
        <is>
          <t>Eight divisions across commercial, retail, healthcare and multifamily. The buildings differ project to project.</t>
        </is>
      </c>
      <c r="K156" s="14" t="inlineStr">
        <is>
          <t>Partly</t>
        </is>
      </c>
      <c r="L156" s="15" t="inlineStr">
        <is>
          <t>No annual volume is published. The one published job runs to 770,640 square feet, and the panels on it were poured by somebody else.</t>
        </is>
      </c>
      <c r="M156" s="14" t="inlineStr">
        <is>
          <t>Partly</t>
        </is>
      </c>
      <c r="N156" s="15" t="inlineStr">
        <is>
          <t>It reordered the standard tilt-wall sequence on a 770,640 square foot job, setting a 275-ton lattice boom crane on the perimeter to avoid the slab, and published the result. That is method appetite rather than the purchase of a new method.</t>
        </is>
      </c>
      <c r="O156" s="14" t="inlineStr">
        <is>
          <t>Yes</t>
        </is>
      </c>
      <c r="P156" s="10" t="inlineStr"/>
      <c r="Q156" s="12">
        <f>HYPERLINK("https://www.linkedin.com/search/results/people/?keywords=Jason%20M.%20Cooper%20Arch-Con%20Corporation","search")</f>
        <v/>
      </c>
      <c r="R156" s="16">
        <f>IF(P156="","ADD LINKEDIN","ok")</f>
        <v/>
      </c>
      <c r="S156" s="12" t="inlineStr">
        <is>
          <t>https://www.arch-con.com/</t>
        </is>
      </c>
      <c r="T156" s="15" t="inlineStr">
        <is>
          <t>It published how it reordered a standard method to win a month of schedule. It buys its concrete rather than pouring it.</t>
        </is>
      </c>
      <c r="U156" s="12" t="inlineStr">
        <is>
          <t>YES</t>
        </is>
      </c>
      <c r="V156" s="15" t="inlineStr"/>
      <c r="W156" s="12" t="inlineStr"/>
      <c r="X156" s="12" t="inlineStr"/>
      <c r="Y156" s="12" t="inlineStr"/>
      <c r="Z156" s="12" t="inlineStr">
        <is>
          <t>2026-07-21 Construction Owners. Arch-Con Tops Out 330-Unit Artis Montrose Apartment Project  https://www.constructionowners.com/news/arch-con-reaches-topping-out-milestone-on-330-unit-artis-montrose-apartment-project</t>
        </is>
      </c>
    </row>
    <row r="157">
      <c r="A157" s="6" t="inlineStr">
        <is>
          <t>Daniel J. O'Hare</t>
        </is>
      </c>
      <c r="B157" s="6" t="inlineStr">
        <is>
          <t>Arch-Con Corporation</t>
        </is>
      </c>
      <c r="C157" s="6" t="inlineStr">
        <is>
          <t>Chief Financial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10" t="inlineStr"/>
      <c r="Q157" s="6">
        <f>HYPERLINK("https://www.linkedin.com/search/results/people/?keywords=Daniel%20J.%20O%27Hare%20Arch-Con%20Corporation","search")</f>
        <v/>
      </c>
      <c r="R157" s="11">
        <f>IF(P157="","ADD LINKEDIN","ok")</f>
        <v/>
      </c>
      <c r="S157" s="6" t="inlineStr">
        <is>
          <t>https://www.arch-con.com/</t>
        </is>
      </c>
      <c r="T157" s="9" t="inlineStr">
        <is>
          <t>It published how it reordered a standard method to win a month of schedule. It buys its concrete rather than pouring it.</t>
        </is>
      </c>
      <c r="U157" s="6" t="inlineStr"/>
      <c r="V157" s="9" t="inlineStr"/>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Christopher Scheurich</t>
        </is>
      </c>
      <c r="B158" s="12" t="inlineStr">
        <is>
          <t>Arch-Con Corporation</t>
        </is>
      </c>
      <c r="C158" s="12" t="inlineStr">
        <is>
          <t>General Counsel</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HYPERLINK("https://www.linkedin.com/search/results/people/?keywords=Christopher%20Scheurich%20Arch-Con%20Corporation","search")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c r="V158" s="15" t="inlineStr">
        <is>
          <t>Headline reads General Counsel at Arch-Con Corporation. Houston, Texas.</t>
        </is>
      </c>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Trent Tellepsen</t>
        </is>
      </c>
      <c r="B159" s="6" t="inlineStr">
        <is>
          <t>Building Concrete Solutions</t>
        </is>
      </c>
      <c r="C159" s="6" t="inlineStr">
        <is>
          <t>President</t>
        </is>
      </c>
      <c r="D159" s="7" t="inlineStr">
        <is>
          <t>Builds the wall, not the house</t>
        </is>
      </c>
      <c r="E159" s="8" t="n">
        <v>3</v>
      </c>
      <c r="F159" s="6" t="inlineStr">
        <is>
          <t>Builds the wall</t>
        </is>
      </c>
      <c r="G159" s="6" t="inlineStr">
        <is>
          <t>Houston, Harris</t>
        </is>
      </c>
      <c r="H159" s="6" t="inlineStr">
        <is>
          <t>Runs Revit, Tekla, AutoCAD and Navisworks in house</t>
        </is>
      </c>
      <c r="I159" s="8" t="inlineStr">
        <is>
          <t>Partly</t>
        </is>
      </c>
      <c r="J159" s="9" t="inlineStr">
        <is>
          <t>Concrete packages recurring across Houston projects under both delivery models.</t>
        </is>
      </c>
      <c r="K159" s="8" t="inlineStr">
        <is>
          <t>Partly</t>
        </is>
      </c>
      <c r="L159" s="9" t="inlineStr">
        <is>
          <t>No crew count, revenue or project size is published. Nothing on the site sizes the work, so on the bands this is a Partly.</t>
        </is>
      </c>
      <c r="M159" s="8" t="inlineStr">
        <is>
          <t>Partly</t>
        </is>
      </c>
      <c r="N159" s="9" t="inlineStr">
        <is>
          <t>It bought and staffed a modelling stack, Revit, Tekla, AutoCAD and Navisworks, to plan its pours. A printed wall arrives as a model first, so the habit transfers, though modelling is not itself a building method.</t>
        </is>
      </c>
      <c r="O159" s="8" t="inlineStr">
        <is>
          <t>Partly</t>
        </is>
      </c>
      <c r="P159" s="6" t="inlineStr">
        <is>
          <t>https://www.linkedin.com/in/trent-tellepsen-b8608024/</t>
        </is>
      </c>
      <c r="Q159" s="6" t="inlineStr"/>
      <c r="R159" s="11">
        <f>IF(P159="","ADD LINKEDIN","ok")</f>
        <v/>
      </c>
      <c r="S159" s="6" t="inlineStr">
        <is>
          <t>https://www.bcshouston.com/</t>
        </is>
      </c>
      <c r="T159" s="9" t="inlineStr">
        <is>
          <t>A concrete subcontractor that models its own work in three dimensions before pouring it. A printed wall arrives as a model too.</t>
        </is>
      </c>
      <c r="U159" s="6" t="inlineStr">
        <is>
          <t>YES</t>
        </is>
      </c>
      <c r="V159" s="9" t="inlineStr">
        <is>
          <t>Headline reads President at Building Concrete Solutions. Houston, Texas.</t>
        </is>
      </c>
      <c r="W159" s="6" t="inlineStr"/>
      <c r="X159" s="6" t="inlineStr"/>
      <c r="Y159" s="6" t="inlineStr"/>
      <c r="Z159" s="6" t="inlineStr"/>
    </row>
    <row r="160">
      <c r="A160" s="12" t="inlineStr">
        <is>
          <t>Daniel Lara</t>
        </is>
      </c>
      <c r="B160" s="12" t="inlineStr">
        <is>
          <t>Building Concrete Solutions</t>
        </is>
      </c>
      <c r="C160" s="12" t="inlineStr">
        <is>
          <t>Vice President</t>
        </is>
      </c>
      <c r="D160" s="13" t="inlineStr">
        <is>
          <t>Builds the wall, not the house</t>
        </is>
      </c>
      <c r="E160" s="14" t="n">
        <v>3</v>
      </c>
      <c r="F160" s="12" t="inlineStr">
        <is>
          <t>Builds the wall</t>
        </is>
      </c>
      <c r="G160" s="12" t="inlineStr">
        <is>
          <t>Houston, Harris</t>
        </is>
      </c>
      <c r="H160" s="12" t="inlineStr">
        <is>
          <t>Runs Revit, Tekla, AutoCAD and Navisworks in house</t>
        </is>
      </c>
      <c r="I160" s="14" t="inlineStr">
        <is>
          <t>Partly</t>
        </is>
      </c>
      <c r="J160" s="15" t="inlineStr">
        <is>
          <t>Concrete packages recurring across Houston projects under both delivery models.</t>
        </is>
      </c>
      <c r="K160" s="14" t="inlineStr">
        <is>
          <t>Partly</t>
        </is>
      </c>
      <c r="L160" s="15" t="inlineStr">
        <is>
          <t>No crew count, revenue or project size is published. Nothing on the site sizes the work, so on the bands this is a Partly.</t>
        </is>
      </c>
      <c r="M160" s="14" t="inlineStr">
        <is>
          <t>Partly</t>
        </is>
      </c>
      <c r="N160" s="15" t="inlineStr">
        <is>
          <t>It bought and staffed a modelling stack, Revit, Tekla, AutoCAD and Navisworks, to plan its pours. A printed wall arrives as a model first, so the habit transfers, though modelling is not itself a building method.</t>
        </is>
      </c>
      <c r="O160" s="14" t="inlineStr">
        <is>
          <t>Partly</t>
        </is>
      </c>
      <c r="P160" s="6" t="inlineStr">
        <is>
          <t>https://www.linkedin.com/in/daniel-lara-24329570/</t>
        </is>
      </c>
      <c r="Q160" s="12" t="inlineStr"/>
      <c r="R160" s="16">
        <f>IF(P160="","ADD LINKEDIN","ok")</f>
        <v/>
      </c>
      <c r="S160" s="12" t="inlineStr">
        <is>
          <t>https://www.bcshouston.com/</t>
        </is>
      </c>
      <c r="T160" s="15" t="inlineStr">
        <is>
          <t>A concrete subcontractor that models its own work in three dimensions before pouring it. A printed wall arrives as a model too.</t>
        </is>
      </c>
      <c r="U160" s="12" t="inlineStr">
        <is>
          <t>YES</t>
        </is>
      </c>
      <c r="V160" s="15" t="inlineStr">
        <is>
          <t>Headline reads Vice President at Building Concrete Solutions. Houston, Texas.</t>
        </is>
      </c>
      <c r="W160" s="12" t="inlineStr"/>
      <c r="X160" s="12" t="inlineStr"/>
      <c r="Y160" s="12" t="inlineStr"/>
      <c r="Z160" s="12" t="inlineStr"/>
    </row>
    <row r="161">
      <c r="A161" s="6" t="inlineStr">
        <is>
          <t>Jorge Hernandez</t>
        </is>
      </c>
      <c r="B161" s="6" t="inlineStr">
        <is>
          <t>Building Concrete Solutions</t>
        </is>
      </c>
      <c r="C161" s="6" t="inlineStr">
        <is>
          <t>Manager of Operations</t>
        </is>
      </c>
      <c r="D161" s="7" t="inlineStr">
        <is>
          <t>Builds the wall, not the house</t>
        </is>
      </c>
      <c r="E161" s="8" t="n">
        <v>3</v>
      </c>
      <c r="F161" s="6" t="inlineStr">
        <is>
          <t>Builds the wall</t>
        </is>
      </c>
      <c r="G161" s="6" t="inlineStr">
        <is>
          <t>Houston, Harris</t>
        </is>
      </c>
      <c r="H161" s="6" t="inlineStr">
        <is>
          <t>Runs Revit, Tekla, AutoCAD and Navisworks in house</t>
        </is>
      </c>
      <c r="I161" s="8" t="inlineStr">
        <is>
          <t>Partly</t>
        </is>
      </c>
      <c r="J161" s="9" t="inlineStr">
        <is>
          <t>Concrete packages recurring across Houston projects under both delivery models.</t>
        </is>
      </c>
      <c r="K161" s="8" t="inlineStr">
        <is>
          <t>Partly</t>
        </is>
      </c>
      <c r="L161" s="9" t="inlineStr">
        <is>
          <t>No crew count, revenue or project size is published. Nothing on the site sizes the work, so on the bands this is a Partly.</t>
        </is>
      </c>
      <c r="M161" s="8" t="inlineStr">
        <is>
          <t>Partly</t>
        </is>
      </c>
      <c r="N161" s="9" t="inlineStr">
        <is>
          <t>It bought and staffed a modelling stack, Revit, Tekla, AutoCAD and Navisworks, to plan its pours. A printed wall arrives as a model first, so the habit transfers, though modelling is not itself a building method.</t>
        </is>
      </c>
      <c r="O161" s="8" t="inlineStr">
        <is>
          <t>Partly</t>
        </is>
      </c>
      <c r="P161" s="6" t="inlineStr">
        <is>
          <t>https://www.linkedin.com/in/jorge-hern%C3%A1ndez-614616204/</t>
        </is>
      </c>
      <c r="Q161" s="6" t="inlineStr"/>
      <c r="R161" s="11">
        <f>IF(P161="","ADD LINKEDIN","ok")</f>
        <v/>
      </c>
      <c r="S161" s="6" t="inlineStr">
        <is>
          <t>https://www.bcshouston.com/</t>
        </is>
      </c>
      <c r="T161" s="9" t="inlineStr">
        <is>
          <t>A concrete subcontractor that models its own work in three dimensions before pouring it. A printed wall arrives as a model too.</t>
        </is>
      </c>
      <c r="U161" s="6" t="inlineStr"/>
      <c r="V161" s="9" t="inlineStr">
        <is>
          <t>Headline reads Manager of Operations at Building Concrete Solutions. Houston, Texas.</t>
        </is>
      </c>
      <c r="W161" s="6" t="inlineStr"/>
      <c r="X161" s="6" t="inlineStr"/>
      <c r="Y161" s="6" t="inlineStr"/>
      <c r="Z161" s="6" t="inlineStr"/>
    </row>
    <row r="162">
      <c r="A162" s="12" t="inlineStr">
        <is>
          <t>Marc Deer</t>
        </is>
      </c>
      <c r="B162" s="12" t="inlineStr">
        <is>
          <t>M.L. Deer Construction</t>
        </is>
      </c>
      <c r="C162" s="12" t="inlineStr">
        <is>
          <t>Managing General Partner</t>
        </is>
      </c>
      <c r="D162" s="13" t="inlineStr">
        <is>
          <t>Builds the wall, not the house</t>
        </is>
      </c>
      <c r="E162" s="14" t="n">
        <v>3</v>
      </c>
      <c r="F162" s="12" t="inlineStr">
        <is>
          <t>Builds the wall</t>
        </is>
      </c>
      <c r="G162" s="12" t="inlineStr">
        <is>
          <t>Houston, Harris, and the Texas Gulf Coast</t>
        </is>
      </c>
      <c r="H162" s="12" t="inlineStr">
        <is>
          <t>Carries insulated concrete form buildings as a standard offering</t>
        </is>
      </c>
      <c r="I162" s="14" t="inlineStr">
        <is>
          <t>Partly</t>
        </is>
      </c>
      <c r="J162" s="15" t="inlineStr">
        <is>
          <t>Commercial buildings across the Gulf Coast. The structures differ project to project.</t>
        </is>
      </c>
      <c r="K162" s="14" t="inlineStr">
        <is>
          <t>Partly</t>
        </is>
      </c>
      <c r="L162" s="15" t="inlineStr">
        <is>
          <t>No revenue, crew count or project count is published. On the bands, a firm with no published figure is a Partly.</t>
        </is>
      </c>
      <c r="M162" s="14" t="inlineStr">
        <is>
          <t>Partly</t>
        </is>
      </c>
      <c r="N162" s="15" t="inlineStr">
        <is>
          <t>It carries insulated concrete form construction in its standard menu alongside tilt-wall and masonry, so it has sold and built a concrete wall system rather than only a wood one. No named project is published to date it.</t>
        </is>
      </c>
      <c r="O162" s="14" t="inlineStr">
        <is>
          <t>Partly</t>
        </is>
      </c>
      <c r="P162" s="10" t="inlineStr"/>
      <c r="Q162" s="12" t="inlineStr"/>
      <c r="R162" s="16">
        <f>IF(P162="","ADD LINKEDIN","ok")</f>
        <v/>
      </c>
      <c r="S162" s="12" t="inlineStr">
        <is>
          <t>https://www.mldeer.com/</t>
        </is>
      </c>
      <c r="T162" s="15" t="inlineStr">
        <is>
          <t>It already sells a concrete wall system to commercial clients, and it installs gantry cranes. A printer is a gantry that places concrete.</t>
        </is>
      </c>
      <c r="U162" s="12" t="inlineStr"/>
      <c r="V162" s="15" t="inlineStr"/>
      <c r="W162" s="12" t="inlineStr">
        <is>
          <t>https://www.mldeer.com/our-team</t>
        </is>
      </c>
      <c r="X162" s="12" t="inlineStr"/>
      <c r="Y162" s="12" t="inlineStr"/>
      <c r="Z162" s="12" t="inlineStr"/>
    </row>
    <row r="163">
      <c r="A163" s="6" t="inlineStr">
        <is>
          <t>Richard Rolland</t>
        </is>
      </c>
      <c r="B163" s="6" t="inlineStr">
        <is>
          <t>M.L. Deer Construction</t>
        </is>
      </c>
      <c r="C163" s="6" t="inlineStr">
        <is>
          <t>Managing General Partner</t>
        </is>
      </c>
      <c r="D163" s="7" t="inlineStr">
        <is>
          <t>Builds the wall, not the house</t>
        </is>
      </c>
      <c r="E163" s="8" t="n">
        <v>3</v>
      </c>
      <c r="F163" s="6" t="inlineStr">
        <is>
          <t>Builds the wall</t>
        </is>
      </c>
      <c r="G163" s="6" t="inlineStr">
        <is>
          <t>Houston, Harris, and the Texas Gulf Coast</t>
        </is>
      </c>
      <c r="H163" s="6" t="inlineStr">
        <is>
          <t>Carries insulated concrete form buildings as a standard offering</t>
        </is>
      </c>
      <c r="I163" s="8" t="inlineStr">
        <is>
          <t>Partly</t>
        </is>
      </c>
      <c r="J163" s="9" t="inlineStr">
        <is>
          <t>Commercial buildings across the Gulf Coast. The structures differ project to project.</t>
        </is>
      </c>
      <c r="K163" s="8" t="inlineStr">
        <is>
          <t>Partly</t>
        </is>
      </c>
      <c r="L163" s="9" t="inlineStr">
        <is>
          <t>No revenue, crew count or project count is published. On the bands, a firm with no published figure is a Partly.</t>
        </is>
      </c>
      <c r="M163" s="8" t="inlineStr">
        <is>
          <t>Partly</t>
        </is>
      </c>
      <c r="N163" s="9" t="inlineStr">
        <is>
          <t>It carries insulated concrete form construction in its standard menu alongside tilt-wall and masonry, so it has sold and built a concrete wall system rather than only a wood one. No named project is published to date it.</t>
        </is>
      </c>
      <c r="O163" s="8" t="inlineStr">
        <is>
          <t>Partly</t>
        </is>
      </c>
      <c r="P163" s="10" t="inlineStr"/>
      <c r="Q163" s="6" t="inlineStr"/>
      <c r="R163" s="11">
        <f>IF(P163="","ADD LINKEDIN","ok")</f>
        <v/>
      </c>
      <c r="S163" s="6" t="inlineStr">
        <is>
          <t>https://www.mldeer.com/</t>
        </is>
      </c>
      <c r="T163" s="9" t="inlineStr">
        <is>
          <t>It already sells a concrete wall system to commercial clients, and it installs gantry cranes. A printer is a gantry that places concrete.</t>
        </is>
      </c>
      <c r="U163" s="6" t="inlineStr"/>
      <c r="V163" s="9" t="inlineStr"/>
      <c r="W163" s="6" t="inlineStr">
        <is>
          <t>https://www.mldeer.com/our-team</t>
        </is>
      </c>
      <c r="X163" s="6" t="inlineStr"/>
      <c r="Y163" s="6" t="inlineStr"/>
      <c r="Z163" s="6" t="inlineStr"/>
    </row>
    <row r="164">
      <c r="A164" s="12" t="inlineStr">
        <is>
          <t>Jack Baker</t>
        </is>
      </c>
      <c r="B164" s="12" t="inlineStr">
        <is>
          <t>M.L. Deer Construction</t>
        </is>
      </c>
      <c r="C164" s="12" t="inlineStr">
        <is>
          <t>Senior Project Manager, ML Deer Construction</t>
        </is>
      </c>
      <c r="D164" s="13" t="inlineStr">
        <is>
          <t>Builds the wall, not the house</t>
        </is>
      </c>
      <c r="E164" s="14" t="n">
        <v>3</v>
      </c>
      <c r="F164" s="12" t="inlineStr">
        <is>
          <t>Builds the wall</t>
        </is>
      </c>
      <c r="G164" s="12" t="inlineStr">
        <is>
          <t>Houston, Harris, and the Texas Gulf Coast</t>
        </is>
      </c>
      <c r="H164" s="12" t="inlineStr">
        <is>
          <t>Carries insulated concrete form buildings as a standard offering</t>
        </is>
      </c>
      <c r="I164" s="14" t="inlineStr">
        <is>
          <t>Partly</t>
        </is>
      </c>
      <c r="J164" s="15" t="inlineStr">
        <is>
          <t>Commercial buildings across the Gulf Coast. The structures differ project to project.</t>
        </is>
      </c>
      <c r="K164" s="14" t="inlineStr">
        <is>
          <t>Partly</t>
        </is>
      </c>
      <c r="L164" s="15" t="inlineStr">
        <is>
          <t>No revenue, crew count or project count is published. On the bands, a firm with no published figure is a Partly.</t>
        </is>
      </c>
      <c r="M164" s="14" t="inlineStr">
        <is>
          <t>Partly</t>
        </is>
      </c>
      <c r="N164" s="15" t="inlineStr">
        <is>
          <t>It carries insulated concrete form construction in its standard menu alongside tilt-wall and masonry, so it has sold and built a concrete wall system rather than only a wood one. No named project is published to date it.</t>
        </is>
      </c>
      <c r="O164" s="14" t="inlineStr">
        <is>
          <t>Partly</t>
        </is>
      </c>
      <c r="P164" s="10" t="inlineStr"/>
      <c r="Q164" s="12" t="inlineStr"/>
      <c r="R164" s="16">
        <f>IF(P164="","ADD LINKEDIN","ok")</f>
        <v/>
      </c>
      <c r="S164" s="12" t="inlineStr">
        <is>
          <t>https://www.mldeer.com/</t>
        </is>
      </c>
      <c r="T164" s="15" t="inlineStr">
        <is>
          <t>It already sells a concrete wall system to commercial clients, and it installs gantry cranes. A printer is a gantry that places concrete.</t>
        </is>
      </c>
      <c r="U164" s="12" t="inlineStr"/>
      <c r="V164" s="15" t="inlineStr">
        <is>
          <t>The only construction-side name the firm publishes.</t>
        </is>
      </c>
      <c r="W164" s="12" t="inlineStr">
        <is>
          <t>https://www.mldeer.com/our-team</t>
        </is>
      </c>
      <c r="X164" s="12" t="inlineStr"/>
      <c r="Y164" s="12" t="inlineStr"/>
      <c r="Z164" s="12" t="inlineStr"/>
    </row>
    <row r="165">
      <c r="A165" s="6" t="inlineStr">
        <is>
          <t>Ryan Taylor</t>
        </is>
      </c>
      <c r="B165" s="6" t="inlineStr">
        <is>
          <t>T&amp;T Construction</t>
        </is>
      </c>
      <c r="C165" s="6" t="inlineStr">
        <is>
          <t>Third generation, took leadership in 2001, named on the firm's own about page</t>
        </is>
      </c>
      <c r="D165" s="7" t="inlineStr">
        <is>
          <t>Builds the wall, not the house</t>
        </is>
      </c>
      <c r="E165" s="8" t="n">
        <v>3</v>
      </c>
      <c r="F165" s="6" t="inlineStr">
        <is>
          <t>Builds the wall</t>
        </is>
      </c>
      <c r="G165" s="6" t="inlineStr">
        <is>
          <t>Pasadena, Harris</t>
        </is>
      </c>
      <c r="H165" s="6" t="inlineStr">
        <is>
          <t>65 employees, 1,000-plus Houston projects since 1969</t>
        </is>
      </c>
      <c r="I165" s="8" t="inlineStr">
        <is>
          <t>Partly</t>
        </is>
      </c>
      <c r="J165" s="9" t="inlineStr">
        <is>
          <t>Industrial and commercial concrete recurring across the east side of the metro.</t>
        </is>
      </c>
      <c r="K165" s="8" t="inlineStr">
        <is>
          <t>Partly</t>
        </is>
      </c>
      <c r="L165" s="9" t="inlineStr">
        <is>
          <t>65 employees on average and more than 1,000 Greater Houston projects since 1969, on the firm's own count. No annual wall figure is published, so this sits at a Partly.</t>
        </is>
      </c>
      <c r="M165" s="8" t="inlineStr">
        <is>
          <t>Partly</t>
        </is>
      </c>
      <c r="N165" s="9" t="inlineStr">
        <is>
          <t>It bought volumetric mixers and stood up its own delivery arm rather than buying ready-mix from a plant. That is paying for a different way to get concrete to a site, though it is not a wall method.</t>
        </is>
      </c>
      <c r="O165" s="8" t="inlineStr">
        <is>
          <t>Partly</t>
        </is>
      </c>
      <c r="P165" s="10" t="inlineStr"/>
      <c r="Q165" s="6">
        <f>HYPERLINK("https://www.linkedin.com/search/results/people/?keywords=Ryan%20Taylor%20T%26T%20Construction","search")</f>
        <v/>
      </c>
      <c r="R165" s="11">
        <f>IF(P165="","ADD LINKEDIN","ok")</f>
        <v/>
      </c>
      <c r="S165" s="6" t="inlineStr">
        <is>
          <t>https://tandtconstruction.com/</t>
        </is>
      </c>
      <c r="T165" s="9" t="inlineStr">
        <is>
          <t>It owns the mix as well as the placing. A printer is fed concrete continuously, and this firm delivers its own.</t>
        </is>
      </c>
      <c r="U165" s="6" t="inlineStr"/>
      <c r="V165" s="9" t="inlineStr"/>
      <c r="W165" s="6" t="inlineStr"/>
      <c r="X165" s="6" t="inlineStr"/>
      <c r="Y165" s="6" t="inlineStr"/>
      <c r="Z165" s="6" t="inlineStr"/>
    </row>
    <row r="166">
      <c r="A166" s="12" t="inlineStr">
        <is>
          <t>Jeff Taylor</t>
        </is>
      </c>
      <c r="B166" s="12" t="inlineStr">
        <is>
          <t>T&amp;T Construction</t>
        </is>
      </c>
      <c r="C166" s="12" t="inlineStr">
        <is>
          <t>Second-generation co-owner, named on the firm's own about page</t>
        </is>
      </c>
      <c r="D166" s="13" t="inlineStr">
        <is>
          <t>Builds the wall, not the house</t>
        </is>
      </c>
      <c r="E166" s="14" t="n">
        <v>3</v>
      </c>
      <c r="F166" s="12" t="inlineStr">
        <is>
          <t>Builds the wall</t>
        </is>
      </c>
      <c r="G166" s="12" t="inlineStr">
        <is>
          <t>Pasadena, Harris</t>
        </is>
      </c>
      <c r="H166" s="12" t="inlineStr">
        <is>
          <t>65 employees, 1,000-plus Houston projects since 1969</t>
        </is>
      </c>
      <c r="I166" s="14" t="inlineStr">
        <is>
          <t>Partly</t>
        </is>
      </c>
      <c r="J166" s="15" t="inlineStr">
        <is>
          <t>Industrial and commercial concrete recurring across the east side of the metro.</t>
        </is>
      </c>
      <c r="K166" s="14" t="inlineStr">
        <is>
          <t>Partly</t>
        </is>
      </c>
      <c r="L166" s="15" t="inlineStr">
        <is>
          <t>65 employees on average and more than 1,000 Greater Houston projects since 1969, on the firm's own count. No annual wall figure is published, so this sits at a Partly.</t>
        </is>
      </c>
      <c r="M166" s="14" t="inlineStr">
        <is>
          <t>Partly</t>
        </is>
      </c>
      <c r="N166" s="15" t="inlineStr">
        <is>
          <t>It bought volumetric mixers and stood up its own delivery arm rather than buying ready-mix from a plant. That is paying for a different way to get concrete to a site, though it is not a wall method.</t>
        </is>
      </c>
      <c r="O166" s="14" t="inlineStr">
        <is>
          <t>Partly</t>
        </is>
      </c>
      <c r="P166" s="10" t="inlineStr"/>
      <c r="Q166" s="12">
        <f>HYPERLINK("https://www.linkedin.com/search/results/people/?keywords=Jeff%20Taylor%20T%26T%20Construction","search")</f>
        <v/>
      </c>
      <c r="R166" s="16">
        <f>IF(P166="","ADD LINKEDIN","ok")</f>
        <v/>
      </c>
      <c r="S166" s="12" t="inlineStr">
        <is>
          <t>https://tandtconstruction.com/</t>
        </is>
      </c>
      <c r="T166" s="15" t="inlineStr">
        <is>
          <t>It owns the mix as well as the placing. A printer is fed concrete continuously, and this firm delivers its own.</t>
        </is>
      </c>
      <c r="U166" s="12" t="inlineStr"/>
      <c r="V166" s="15" t="inlineStr"/>
      <c r="W166" s="12" t="inlineStr"/>
      <c r="X166" s="12" t="inlineStr"/>
      <c r="Y166" s="12" t="inlineStr"/>
      <c r="Z166" s="12" t="inlineStr"/>
    </row>
    <row r="167">
      <c r="A167" s="6" t="inlineStr">
        <is>
          <t>Dianna Taylor</t>
        </is>
      </c>
      <c r="B167" s="6" t="inlineStr">
        <is>
          <t>T&amp;T Construction</t>
        </is>
      </c>
      <c r="C167" s="6" t="inlineStr">
        <is>
          <t>Second-generation co-owner, named on the firm's own about page</t>
        </is>
      </c>
      <c r="D167" s="7" t="inlineStr">
        <is>
          <t>Builds the wall, not the house</t>
        </is>
      </c>
      <c r="E167" s="8" t="n">
        <v>3</v>
      </c>
      <c r="F167" s="6" t="inlineStr">
        <is>
          <t>Builds the wall</t>
        </is>
      </c>
      <c r="G167" s="6" t="inlineStr">
        <is>
          <t>Pasadena, Harris</t>
        </is>
      </c>
      <c r="H167" s="6" t="inlineStr">
        <is>
          <t>65 employees, 1,000-plus Houston projects since 1969</t>
        </is>
      </c>
      <c r="I167" s="8" t="inlineStr">
        <is>
          <t>Partly</t>
        </is>
      </c>
      <c r="J167" s="9" t="inlineStr">
        <is>
          <t>Industrial and commercial concrete recurring across the east side of the metro.</t>
        </is>
      </c>
      <c r="K167" s="8" t="inlineStr">
        <is>
          <t>Partly</t>
        </is>
      </c>
      <c r="L167" s="9" t="inlineStr">
        <is>
          <t>65 employees on average and more than 1,000 Greater Houston projects since 1969, on the firm's own count. No annual wall figure is published, so this sits at a Partly.</t>
        </is>
      </c>
      <c r="M167" s="8" t="inlineStr">
        <is>
          <t>Partly</t>
        </is>
      </c>
      <c r="N167" s="9" t="inlineStr">
        <is>
          <t>It bought volumetric mixers and stood up its own delivery arm rather than buying ready-mix from a plant. That is paying for a different way to get concrete to a site, though it is not a wall method.</t>
        </is>
      </c>
      <c r="O167" s="8" t="inlineStr">
        <is>
          <t>Partly</t>
        </is>
      </c>
      <c r="P167" s="10" t="inlineStr"/>
      <c r="Q167" s="6">
        <f>HYPERLINK("https://www.linkedin.com/search/results/people/?keywords=Dianna%20Taylor%20T%26T%20Construction","search")</f>
        <v/>
      </c>
      <c r="R167" s="11">
        <f>IF(P167="","ADD LINKEDIN","ok")</f>
        <v/>
      </c>
      <c r="S167" s="6" t="inlineStr">
        <is>
          <t>https://tandtconstruction.com/</t>
        </is>
      </c>
      <c r="T167" s="9" t="inlineStr">
        <is>
          <t>It owns the mix as well as the placing. A printer is fed concrete continuously, and this firm delivers its own.</t>
        </is>
      </c>
      <c r="U167" s="6" t="inlineStr"/>
      <c r="V167" s="9" t="inlineStr"/>
      <c r="W167" s="6" t="inlineStr"/>
      <c r="X167" s="6" t="inlineStr"/>
      <c r="Y167" s="6" t="inlineStr"/>
      <c r="Z167" s="6" t="inlineStr"/>
    </row>
    <row r="168">
      <c r="A168" s="12" t="inlineStr">
        <is>
          <t>Victor Andrade</t>
        </is>
      </c>
      <c r="B168" s="12" t="inlineStr">
        <is>
          <t>Andrade Construction Companies</t>
        </is>
      </c>
      <c r="C168" s="12" t="inlineStr">
        <is>
          <t>Founder, named on the firm's own about page as having started the firm in 2003</t>
        </is>
      </c>
      <c r="D168" s="13" t="inlineStr">
        <is>
          <t>Builds the wall, not the house</t>
        </is>
      </c>
      <c r="E168" s="14" t="n">
        <v>2</v>
      </c>
      <c r="F168" s="12" t="inlineStr">
        <is>
          <t>Builds the wall</t>
        </is>
      </c>
      <c r="G168" s="12" t="inlineStr">
        <is>
          <t>Houston, working Harris and Brazoria</t>
        </is>
      </c>
      <c r="H168" s="12" t="inlineStr">
        <is>
          <t>Owns earthwork, utilities and concrete</t>
        </is>
      </c>
      <c r="I168" s="14" t="inlineStr">
        <is>
          <t>Partly</t>
        </is>
      </c>
      <c r="J168" s="15" t="inlineStr">
        <is>
          <t>Site and concrete packages recurring across Houston jobs, though the buildings themselves differ.</t>
        </is>
      </c>
      <c r="K168" s="14" t="inlineStr">
        <is>
          <t>Partly</t>
        </is>
      </c>
      <c r="L168" s="15" t="inlineStr">
        <is>
          <t>No crew count, revenue or annual volume is published. On the bands, a firm with no published figure is a Partly.</t>
        </is>
      </c>
      <c r="M168" s="14" t="inlineStr">
        <is>
          <t>No</t>
        </is>
      </c>
      <c r="N168" s="15" t="inlineStr">
        <is>
          <t>No method statement on record.</t>
        </is>
      </c>
      <c r="O168" s="14" t="inlineStr">
        <is>
          <t>Partly</t>
        </is>
      </c>
      <c r="P168" s="10" t="inlineStr"/>
      <c r="Q168" s="12">
        <f>HYPERLINK("https://www.linkedin.com/search/results/people/?keywords=Victor%20Andrade%20Andrade%20Construction%20Companies","search")</f>
        <v/>
      </c>
      <c r="R168" s="16">
        <f>IF(P168="","ADD LINKEDIN","ok")</f>
        <v/>
      </c>
      <c r="S168" s="12" t="inlineStr">
        <is>
          <t>https://andradeconstructioncompanies.com/</t>
        </is>
      </c>
      <c r="T168" s="15" t="inlineStr">
        <is>
          <t>It owns the earthwork, the utilities and the concrete on the same site, so a printer would stand on a slab its own crews poured.</t>
        </is>
      </c>
      <c r="U168" s="12" t="inlineStr"/>
      <c r="V168" s="15" t="inlineStr"/>
      <c r="W168" s="12" t="inlineStr"/>
      <c r="X168" s="12" t="inlineStr"/>
      <c r="Y168" s="12" t="inlineStr"/>
      <c r="Z168" s="12" t="inlineStr"/>
    </row>
    <row r="169">
      <c r="A169" s="6" t="inlineStr">
        <is>
          <t>Eric Rice</t>
        </is>
      </c>
      <c r="B169" s="6" t="inlineStr">
        <is>
          <t>Andrade Construction Companies</t>
        </is>
      </c>
      <c r="C169" s="6" t="inlineStr">
        <is>
          <t>Business Development Manager</t>
        </is>
      </c>
      <c r="D169" s="7" t="inlineStr">
        <is>
          <t>Builds the wall, not the house</t>
        </is>
      </c>
      <c r="E169" s="8" t="n">
        <v>2</v>
      </c>
      <c r="F169" s="6" t="inlineStr">
        <is>
          <t>Builds the wall</t>
        </is>
      </c>
      <c r="G169" s="6" t="inlineStr">
        <is>
          <t>Houston, working Harris and Brazoria</t>
        </is>
      </c>
      <c r="H169" s="6" t="inlineStr">
        <is>
          <t>Owns earthwork, utilities and concrete</t>
        </is>
      </c>
      <c r="I169" s="8" t="inlineStr">
        <is>
          <t>Partly</t>
        </is>
      </c>
      <c r="J169" s="9" t="inlineStr">
        <is>
          <t>Site and concrete packages recurring across Houston jobs, though the buildings themselves differ.</t>
        </is>
      </c>
      <c r="K169" s="8" t="inlineStr">
        <is>
          <t>Partly</t>
        </is>
      </c>
      <c r="L169" s="9" t="inlineStr">
        <is>
          <t>No crew count, revenue or annual volume is published. On the bands, a firm with no published figure is a Partly.</t>
        </is>
      </c>
      <c r="M169" s="8" t="inlineStr">
        <is>
          <t>No</t>
        </is>
      </c>
      <c r="N169" s="9" t="inlineStr">
        <is>
          <t>No method statement on record.</t>
        </is>
      </c>
      <c r="O169" s="8" t="inlineStr">
        <is>
          <t>Partly</t>
        </is>
      </c>
      <c r="P169" s="6" t="inlineStr">
        <is>
          <t>https://www.linkedin.com/in/eric-rice-177124352/</t>
        </is>
      </c>
      <c r="Q169" s="6" t="inlineStr"/>
      <c r="R169" s="11">
        <f>IF(P169="","ADD LINKEDIN","ok")</f>
        <v/>
      </c>
      <c r="S169" s="6" t="inlineStr">
        <is>
          <t>https://andradeconstructioncompanies.com/</t>
        </is>
      </c>
      <c r="T169" s="9" t="inlineStr">
        <is>
          <t>It owns the earthwork, the utilities and the concrete on the same site, so a printer would stand on a slab its own crews poured.</t>
        </is>
      </c>
      <c r="U169" s="6" t="inlineStr"/>
      <c r="V169" s="9" t="inlineStr">
        <is>
          <t>Headline reads Business Development Manager at Andrade Construction Companies. Houston, Texas.</t>
        </is>
      </c>
      <c r="W169" s="6" t="inlineStr"/>
      <c r="X169" s="6" t="inlineStr"/>
      <c r="Y169" s="6" t="inlineStr"/>
      <c r="Z169" s="6" t="inlineStr"/>
    </row>
    <row r="170">
      <c r="A170" s="12" t="inlineStr">
        <is>
          <t>Luis Andrade</t>
        </is>
      </c>
      <c r="B170" s="12" t="inlineStr">
        <is>
          <t>Andrade Construction Companies</t>
        </is>
      </c>
      <c r="C170" s="12" t="inlineStr">
        <is>
          <t>Chief Operating Officer, Andrade Concrete and Construction</t>
        </is>
      </c>
      <c r="D170" s="13" t="inlineStr">
        <is>
          <t>Builds the wall, not the house</t>
        </is>
      </c>
      <c r="E170" s="14" t="n">
        <v>2</v>
      </c>
      <c r="F170" s="12" t="inlineStr">
        <is>
          <t>Builds the wall</t>
        </is>
      </c>
      <c r="G170" s="12" t="inlineStr">
        <is>
          <t>Houston, working Harris and Brazoria</t>
        </is>
      </c>
      <c r="H170" s="12" t="inlineStr">
        <is>
          <t>Owns earthwork, utilities and concrete</t>
        </is>
      </c>
      <c r="I170" s="14" t="inlineStr">
        <is>
          <t>Partly</t>
        </is>
      </c>
      <c r="J170" s="15" t="inlineStr">
        <is>
          <t>Site and concrete packages recurring across Houston jobs, though the buildings themselves differ.</t>
        </is>
      </c>
      <c r="K170" s="14" t="inlineStr">
        <is>
          <t>Partly</t>
        </is>
      </c>
      <c r="L170" s="15" t="inlineStr">
        <is>
          <t>No crew count, revenue or annual volume is published. On the bands, a firm with no published figure is a Partly.</t>
        </is>
      </c>
      <c r="M170" s="14" t="inlineStr">
        <is>
          <t>No</t>
        </is>
      </c>
      <c r="N170" s="15" t="inlineStr">
        <is>
          <t>No method statement on record.</t>
        </is>
      </c>
      <c r="O170" s="14" t="inlineStr">
        <is>
          <t>Partly</t>
        </is>
      </c>
      <c r="P170" s="6" t="inlineStr">
        <is>
          <t>https://www.linkedin.com/in/luis-andrade-128317159/</t>
        </is>
      </c>
      <c r="Q170" s="12" t="inlineStr"/>
      <c r="R170" s="16">
        <f>IF(P170="","ADD LINKEDIN","ok")</f>
        <v/>
      </c>
      <c r="S170" s="12" t="inlineStr">
        <is>
          <t>https://andradeconstructioncompanies.com/</t>
        </is>
      </c>
      <c r="T170" s="15" t="inlineStr">
        <is>
          <t>It owns the earthwork, the utilities and the concrete on the same site, so a printer would stand on a slab its own crews poured.</t>
        </is>
      </c>
      <c r="U170" s="12" t="inlineStr"/>
      <c r="V170" s="15" t="inlineStr">
        <is>
          <t>Headline reads COO at Andrade Concrete &amp; Construction Inc., which is a different registered name from Andrade Construction Companies. Confirm the two are the same business.</t>
        </is>
      </c>
      <c r="W170" s="12" t="inlineStr"/>
      <c r="X170" s="12" t="inlineStr"/>
      <c r="Y170" s="12" t="inlineStr"/>
      <c r="Z170" s="12" t="inlineStr"/>
    </row>
    <row r="171">
      <c r="A171" s="6" t="inlineStr">
        <is>
          <t>Shawn McAlpin</t>
        </is>
      </c>
      <c r="B171" s="6" t="inlineStr">
        <is>
          <t>Burton Construction</t>
        </is>
      </c>
      <c r="C171" s="6" t="inlineStr">
        <is>
          <t>Chief Executive Officer</t>
        </is>
      </c>
      <c r="D171" s="7" t="inlineStr">
        <is>
          <t>Builds the wall, not the house</t>
        </is>
      </c>
      <c r="E171" s="8" t="n">
        <v>2</v>
      </c>
      <c r="F171" s="6" t="inlineStr">
        <is>
          <t>Builds the wall</t>
        </is>
      </c>
      <c r="G171" s="6" t="inlineStr">
        <is>
          <t>Houston, with Austin, San Antonio and Phoenix</t>
        </is>
      </c>
      <c r="H171" s="6" t="inlineStr">
        <is>
          <t>Founded 2004, with multifamily in its published portfolio</t>
        </is>
      </c>
      <c r="I171" s="8" t="inlineStr">
        <is>
          <t>Partly</t>
        </is>
      </c>
      <c r="J171" s="9" t="inlineStr">
        <is>
          <t>Commercial and multifamily work across four metros. The buildings differ project to project.</t>
        </is>
      </c>
      <c r="K171" s="8" t="inlineStr">
        <is>
          <t>Partly</t>
        </is>
      </c>
      <c r="L171" s="9" t="inlineStr">
        <is>
          <t>No revenue, crew count or project size is published. On the bands, a firm with no published figure is a Partly.</t>
        </is>
      </c>
      <c r="M171" s="8" t="inlineStr">
        <is>
          <t>No</t>
        </is>
      </c>
      <c r="N171" s="9" t="inlineStr">
        <is>
          <t>No method statement on record. The tilt-up award is for execution.</t>
        </is>
      </c>
      <c r="O171" s="8" t="inlineStr">
        <is>
          <t>Partly</t>
        </is>
      </c>
      <c r="P171" s="6" t="inlineStr">
        <is>
          <t>https://www.linkedin.com/in/shawn-mcalpin-b1260312/</t>
        </is>
      </c>
      <c r="Q171" s="6" t="inlineStr"/>
      <c r="R171" s="11">
        <f>IF(P171="","ADD LINKEDIN","ok")</f>
        <v/>
      </c>
      <c r="S171" s="6" t="inlineStr">
        <is>
          <t>https://burtonconstruction.com/</t>
        </is>
      </c>
      <c r="T171" s="9" t="inlineStr">
        <is>
          <t>Twenty-two years old, a tilt-up award in 2024 and multifamily in the published portfolio. The founder is on the firm's own page; the chief executive is not.</t>
        </is>
      </c>
      <c r="U171" s="6" t="inlineStr">
        <is>
          <t>YES</t>
        </is>
      </c>
      <c r="V171" s="9" t="inlineStr">
        <is>
          <t>Headline reads CEO at Burton Construction. Katy, Texas. The firm's own about page names only its founder, so this is the current chief executive and the founder is not.</t>
        </is>
      </c>
      <c r="W171" s="6" t="inlineStr"/>
      <c r="X171" s="6" t="inlineStr"/>
      <c r="Y171" s="6" t="inlineStr"/>
      <c r="Z171" s="6" t="inlineStr"/>
    </row>
    <row r="172">
      <c r="A172" s="12" t="inlineStr">
        <is>
          <t>Joshua Cantu</t>
        </is>
      </c>
      <c r="B172" s="12" t="inlineStr">
        <is>
          <t>Burton Construction</t>
        </is>
      </c>
      <c r="C172" s="12" t="inlineStr">
        <is>
          <t>Director</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f>HYPERLINK("https://www.linkedin.com/search/results/people/?keywords=Joshua%20Cantu%20Burton%20Construction","search")</f>
        <v/>
      </c>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c r="V172" s="15" t="inlineStr">
        <is>
          <t>Headline reads Director at Burton Construction. Houston, Texas.</t>
        </is>
      </c>
      <c r="W172" s="12" t="inlineStr"/>
      <c r="X172" s="12" t="inlineStr"/>
      <c r="Y172" s="12" t="inlineStr"/>
      <c r="Z172" s="12" t="inlineStr"/>
    </row>
    <row r="173">
      <c r="A173" s="6" t="inlineStr">
        <is>
          <t>Cullen Burton</t>
        </is>
      </c>
      <c r="B173" s="6" t="inlineStr">
        <is>
          <t>Burton Construction</t>
        </is>
      </c>
      <c r="C173" s="6" t="inlineStr">
        <is>
          <t>President</t>
        </is>
      </c>
      <c r="D173" s="7" t="inlineStr">
        <is>
          <t>Builds the wall, not the house</t>
        </is>
      </c>
      <c r="E173" s="8" t="n">
        <v>2</v>
      </c>
      <c r="F173" s="6" t="inlineStr">
        <is>
          <t>Builds the wall</t>
        </is>
      </c>
      <c r="G173" s="6" t="inlineStr">
        <is>
          <t>Houston, with Austin, San Antonio and Phoenix</t>
        </is>
      </c>
      <c r="H173" s="6" t="inlineStr">
        <is>
          <t>Founded 2004, with multifamily in its published portfolio</t>
        </is>
      </c>
      <c r="I173" s="8" t="inlineStr">
        <is>
          <t>Partly</t>
        </is>
      </c>
      <c r="J173" s="9" t="inlineStr">
        <is>
          <t>Commercial and multifamily work across four metros. The buildings differ project to project.</t>
        </is>
      </c>
      <c r="K173" s="8" t="inlineStr">
        <is>
          <t>Partly</t>
        </is>
      </c>
      <c r="L173" s="9" t="inlineStr">
        <is>
          <t>No revenue, crew count or project size is published. On the bands, a firm with no published figure is a Partly.</t>
        </is>
      </c>
      <c r="M173" s="8" t="inlineStr">
        <is>
          <t>No</t>
        </is>
      </c>
      <c r="N173" s="9" t="inlineStr">
        <is>
          <t>No method statement on record. The tilt-up award is for execution.</t>
        </is>
      </c>
      <c r="O173" s="8" t="inlineStr">
        <is>
          <t>Partly</t>
        </is>
      </c>
      <c r="P173" s="10" t="inlineStr"/>
      <c r="Q173" s="6" t="inlineStr"/>
      <c r="R173" s="11">
        <f>IF(P173="","ADD LINKEDIN","ok")</f>
        <v/>
      </c>
      <c r="S173" s="6" t="inlineStr">
        <is>
          <t>https://burtonconstruction.com/</t>
        </is>
      </c>
      <c r="T173" s="9" t="inlineStr">
        <is>
          <t>Twenty-two years old, a tilt-up award in 2024 and multifamily in the published portfolio. The founder is on the firm's own page; the chief executive is not.</t>
        </is>
      </c>
      <c r="U173" s="6" t="inlineStr">
        <is>
          <t>YES</t>
        </is>
      </c>
      <c r="V173" s="9" t="inlineStr"/>
      <c r="W173" s="6" t="inlineStr">
        <is>
          <t>https://burtonconstruction.com/leadership/</t>
        </is>
      </c>
      <c r="X173" s="6" t="inlineStr"/>
      <c r="Y173" s="6" t="inlineStr"/>
      <c r="Z173" s="6" t="inlineStr"/>
    </row>
    <row r="174">
      <c r="A174" s="12" t="inlineStr">
        <is>
          <t>J. Cameron Guinn</t>
        </is>
      </c>
      <c r="B174" s="12" t="inlineStr">
        <is>
          <t>HTX Concrete</t>
        </is>
      </c>
      <c r="C174" s="12" t="inlineStr">
        <is>
          <t>Vice President, Business Development</t>
        </is>
      </c>
      <c r="D174" s="13" t="inlineStr">
        <is>
          <t>Builds the wall, not the house</t>
        </is>
      </c>
      <c r="E174" s="14" t="n">
        <v>2</v>
      </c>
      <c r="F174" s="12" t="inlineStr">
        <is>
          <t>Builds the wall</t>
        </is>
      </c>
      <c r="G174" s="12" t="inlineStr">
        <is>
          <t>Houston, working Harris, Fort Bend and Brazoria</t>
        </is>
      </c>
      <c r="H174" s="12" t="inlineStr">
        <is>
          <t>Names a garden-style multifamily project on its own site</t>
        </is>
      </c>
      <c r="I174" s="14" t="inlineStr">
        <is>
          <t>Partly</t>
        </is>
      </c>
      <c r="J174" s="15" t="inlineStr">
        <is>
          <t>Commercial shells and paving across the metro. The published square footages are weighted to paving rather than to wall.</t>
        </is>
      </c>
      <c r="K174" s="14" t="inlineStr">
        <is>
          <t>Partly</t>
        </is>
      </c>
      <c r="L174" s="15" t="inlineStr">
        <is>
          <t>No annual volume is published. The one published wall figure is 12,000 square feet of tilt wall against 155,000 gross square feet of paving on the same job.</t>
        </is>
      </c>
      <c r="M174" s="14" t="inlineStr">
        <is>
          <t>No</t>
        </is>
      </c>
      <c r="N174" s="15" t="inlineStr">
        <is>
          <t>No method statement on record.</t>
        </is>
      </c>
      <c r="O174" s="14" t="inlineStr">
        <is>
          <t>Partly</t>
        </is>
      </c>
      <c r="P174" s="6" t="inlineStr">
        <is>
          <t>https://www.linkedin.com/in/j-cameron-guinn-2047686/</t>
        </is>
      </c>
      <c r="Q174" s="12" t="inlineStr"/>
      <c r="R174" s="16">
        <f>IF(P174="","ADD LINKEDIN","ok")</f>
        <v/>
      </c>
      <c r="S174" s="12" t="inlineStr">
        <is>
          <t>https://htxconcrete.com/</t>
        </is>
      </c>
      <c r="T174" s="15" t="inlineStr">
        <is>
          <t>One of two contractors screened that names an actual multifamily project on its own site. The published work is paving-heavy.</t>
        </is>
      </c>
      <c r="U174" s="12" t="inlineStr"/>
      <c r="V174" s="15" t="inlineStr">
        <is>
          <t>Headline reads Vice President Business Development at HTX Concrete. Houston, Texas.</t>
        </is>
      </c>
      <c r="W174" s="12" t="inlineStr"/>
      <c r="X174" s="12" t="inlineStr"/>
      <c r="Y174" s="12" t="inlineStr"/>
      <c r="Z174" s="12" t="inlineStr"/>
    </row>
    <row r="175">
      <c r="A175" s="6" t="inlineStr">
        <is>
          <t>Tony Le</t>
        </is>
      </c>
      <c r="B175" s="6" t="inlineStr">
        <is>
          <t>HTX Concrete</t>
        </is>
      </c>
      <c r="C175" s="6" t="inlineStr">
        <is>
          <t>Chief Estimator</t>
        </is>
      </c>
      <c r="D175" s="7" t="inlineStr">
        <is>
          <t>Builds the wall, not the house</t>
        </is>
      </c>
      <c r="E175" s="8" t="n">
        <v>2</v>
      </c>
      <c r="F175" s="6" t="inlineStr">
        <is>
          <t>Builds the wall</t>
        </is>
      </c>
      <c r="G175" s="6" t="inlineStr">
        <is>
          <t>Houston, working Harris, Fort Bend and Brazoria</t>
        </is>
      </c>
      <c r="H175" s="6" t="inlineStr">
        <is>
          <t>Names a garden-style multifamily project on its own site</t>
        </is>
      </c>
      <c r="I175" s="8" t="inlineStr">
        <is>
          <t>Partly</t>
        </is>
      </c>
      <c r="J175" s="9" t="inlineStr">
        <is>
          <t>Commercial shells and paving across the metro. The published square footages are weighted to paving rather than to wall.</t>
        </is>
      </c>
      <c r="K175" s="8" t="inlineStr">
        <is>
          <t>Partly</t>
        </is>
      </c>
      <c r="L175" s="9" t="inlineStr">
        <is>
          <t>No annual volume is published. The one published wall figure is 12,000 square feet of tilt wall against 155,000 gross square feet of paving on the same job.</t>
        </is>
      </c>
      <c r="M175" s="8" t="inlineStr">
        <is>
          <t>No</t>
        </is>
      </c>
      <c r="N175" s="9" t="inlineStr">
        <is>
          <t>No method statement on record.</t>
        </is>
      </c>
      <c r="O175" s="8" t="inlineStr">
        <is>
          <t>Partly</t>
        </is>
      </c>
      <c r="P175" s="6" t="inlineStr">
        <is>
          <t>https://www.linkedin.com/in/tony-le-81ba0032/</t>
        </is>
      </c>
      <c r="Q175" s="6" t="inlineStr"/>
      <c r="R175" s="11">
        <f>IF(P175="","ADD LINKEDIN","ok")</f>
        <v/>
      </c>
      <c r="S175" s="6" t="inlineStr">
        <is>
          <t>https://htxconcrete.com/</t>
        </is>
      </c>
      <c r="T175" s="9" t="inlineStr">
        <is>
          <t>One of two contractors screened that names an actual multifamily project on its own site. The published work is paving-heavy.</t>
        </is>
      </c>
      <c r="U175" s="6" t="inlineStr"/>
      <c r="V175" s="9" t="inlineStr">
        <is>
          <t>Headline reads Chief Estimator at HTX Concrete. Houston, Texas.</t>
        </is>
      </c>
      <c r="W175" s="6" t="inlineStr"/>
      <c r="X175" s="6" t="inlineStr"/>
      <c r="Y175" s="6" t="inlineStr"/>
      <c r="Z175" s="6" t="inlineStr"/>
    </row>
    <row r="176">
      <c r="A176" s="12" t="inlineStr">
        <is>
          <t>Trent Mitchell</t>
        </is>
      </c>
      <c r="B176" s="12" t="inlineStr">
        <is>
          <t>Silver Spur Concrete Contractors</t>
        </is>
      </c>
      <c r="C176" s="12" t="inlineStr">
        <is>
          <t>Owner, named on the firm's own about page, after eighteen years selling ready-mix to the largest general contractors in Houston</t>
        </is>
      </c>
      <c r="D176" s="13" t="inlineStr">
        <is>
          <t>Builds the wall, not the house</t>
        </is>
      </c>
      <c r="E176" s="14" t="n">
        <v>2</v>
      </c>
      <c r="F176" s="12" t="inlineStr">
        <is>
          <t>Builds the wall</t>
        </is>
      </c>
      <c r="G176" s="12" t="inlineStr">
        <is>
          <t>Tomball and north Houston, Harris and Montgomery</t>
        </is>
      </c>
      <c r="H176" s="12" t="inlineStr">
        <is>
          <t>Publishes a custom residential concrete line</t>
        </is>
      </c>
      <c r="I176" s="14" t="inlineStr">
        <is>
          <t>Partly</t>
        </is>
      </c>
      <c r="J176" s="15" t="inlineStr">
        <is>
          <t>Commercial concrete and metal buildings recurring across the north side of the metro.</t>
        </is>
      </c>
      <c r="K176" s="14" t="inlineStr">
        <is>
          <t>Partly</t>
        </is>
      </c>
      <c r="L176" s="15" t="inlineStr">
        <is>
          <t>No crew count, revenue or project size is published anywhere on the site. On the bands, a firm with no published figure is a Partly.</t>
        </is>
      </c>
      <c r="M176" s="14" t="inlineStr">
        <is>
          <t>No</t>
        </is>
      </c>
      <c r="N176" s="15" t="inlineStr">
        <is>
          <t>No method statement on record.</t>
        </is>
      </c>
      <c r="O176" s="14" t="inlineStr">
        <is>
          <t>Partly</t>
        </is>
      </c>
      <c r="P176" s="10" t="inlineStr"/>
      <c r="Q176" s="12">
        <f>HYPERLINK("https://www.linkedin.com/search/results/people/?keywords=Trent%20Mitchell%20Silver%20Spur%20Concrete%20Contractors","search")</f>
        <v/>
      </c>
      <c r="R176" s="16">
        <f>IF(P176="","ADD LINKEDIN","ok")</f>
        <v/>
      </c>
      <c r="S176" s="12" t="inlineStr">
        <is>
          <t>https://silverspurconcrete.com/</t>
        </is>
      </c>
      <c r="T176" s="15" t="inlineStr">
        <is>
          <t>The only contractor screened that pairs tilt-wall with a published residential concrete line, including engineered slabs.</t>
        </is>
      </c>
      <c r="U176" s="12" t="inlineStr">
        <is>
          <t>YES</t>
        </is>
      </c>
      <c r="V176" s="15" t="inlineStr"/>
      <c r="W176" s="12" t="inlineStr"/>
      <c r="X176" s="12" t="inlineStr"/>
      <c r="Y176" s="12" t="inlineStr"/>
      <c r="Z176" s="12" t="inlineStr"/>
    </row>
    <row r="177">
      <c r="A177" s="6" t="inlineStr">
        <is>
          <t>Scott Arnoldy</t>
        </is>
      </c>
      <c r="B177" s="6" t="inlineStr">
        <is>
          <t>Triten Real Estate Partners</t>
        </is>
      </c>
      <c r="C177" s="6" t="inlineStr">
        <is>
          <t>Chief Executive Officer, Founder</t>
        </is>
      </c>
      <c r="D177" s="7" t="inlineStr">
        <is>
          <t>Creative project, hybrid job</t>
        </is>
      </c>
      <c r="E177" s="8" t="n">
        <v>3</v>
      </c>
      <c r="F177" s="6" t="inlineStr">
        <is>
          <t>Buys walls</t>
        </is>
      </c>
      <c r="G177" s="6" t="inlineStr">
        <is>
          <t>East End / Fort Bend, Harris County</t>
        </is>
      </c>
      <c r="H177" s="6" t="inlineStr">
        <is>
          <t>341 units at The Mill, 294 more under construction at Aliana</t>
        </is>
      </c>
      <c r="I177" s="8" t="inlineStr">
        <is>
          <t>Yes</t>
        </is>
      </c>
      <c r="J177" s="9" t="inlineStr">
        <is>
          <t>341 units at The Mill, 294 more under construction at Aliana.</t>
        </is>
      </c>
      <c r="K177" s="8" t="inlineStr">
        <is>
          <t>Partly</t>
        </is>
      </c>
      <c r="L177" s="9" t="inlineStr">
        <is>
          <t>The Landing at Aliana is 294 units of three-storey garden-style housing on one Fort Bend site. That is the repeating low-rise the band covers.</t>
        </is>
      </c>
      <c r="M177" s="8" t="inlineStr">
        <is>
          <t>Partly</t>
        </is>
      </c>
      <c r="N177" s="9" t="inlineStr">
        <is>
          <t>It expected to use cross-laminated timber on a six-storey office building at The Mill in 2021, contingent on retail leasing. The building is not in its own portfolio entry and no source shows it was built.</t>
        </is>
      </c>
      <c r="O177" s="8" t="inlineStr">
        <is>
          <t>Partly</t>
        </is>
      </c>
      <c r="P177" s="6" t="inlineStr">
        <is>
          <t>https://www.linkedin.com/in/scottarnoldy/</t>
        </is>
      </c>
      <c r="Q177" s="6" t="inlineStr"/>
      <c r="R177" s="11">
        <f>IF(P177="","ADD LINKEDIN","ok")</f>
        <v/>
      </c>
      <c r="S177" s="6" t="inlineStr">
        <is>
          <t>https://www.tritenre.com/</t>
        </is>
      </c>
      <c r="T177" s="9" t="inlineStr">
        <is>
          <t>Financed a cross-laminated timber frame at The Mill. 294 units at Aliana land in Titan's first delivery window.</t>
        </is>
      </c>
      <c r="U177" s="6" t="inlineStr"/>
      <c r="V177" s="9" t="inlineStr">
        <is>
          <t>Founder and CEO, Triten Real Estate Partners. Houston, Texas.</t>
        </is>
      </c>
      <c r="W177" s="6" t="inlineStr"/>
      <c r="X177" s="6" t="inlineStr">
        <is>
          <t>https://www.linkedin.com/company/triten-real-estate-partners</t>
        </is>
      </c>
      <c r="Y177" s="6" t="inlineStr">
        <is>
          <t>https://www.tritenre.com/team</t>
        </is>
      </c>
      <c r="Z177" s="6" t="inlineStr"/>
    </row>
    <row r="178">
      <c r="A178" s="12" t="inlineStr">
        <is>
          <t>Larry Sloan</t>
        </is>
      </c>
      <c r="B178" s="12" t="inlineStr">
        <is>
          <t>Triten Real Estate Partners</t>
        </is>
      </c>
      <c r="C178" s="12" t="inlineStr">
        <is>
          <t>Partner, Chief Development Officer</t>
        </is>
      </c>
      <c r="D178" s="13" t="inlineStr">
        <is>
          <t>Creative project, hybrid job</t>
        </is>
      </c>
      <c r="E178" s="14" t="n">
        <v>3</v>
      </c>
      <c r="F178" s="12" t="inlineStr">
        <is>
          <t>Buys walls</t>
        </is>
      </c>
      <c r="G178" s="12" t="inlineStr">
        <is>
          <t>East End / Fort Bend, Harris County</t>
        </is>
      </c>
      <c r="H178" s="12" t="inlineStr">
        <is>
          <t>341 units at The Mill, 294 more under construction at Aliana</t>
        </is>
      </c>
      <c r="I178" s="14" t="inlineStr">
        <is>
          <t>Yes</t>
        </is>
      </c>
      <c r="J178" s="15" t="inlineStr">
        <is>
          <t>341 units at The Mill, 294 more under construction at Aliana.</t>
        </is>
      </c>
      <c r="K178" s="14" t="inlineStr">
        <is>
          <t>Partly</t>
        </is>
      </c>
      <c r="L178" s="15" t="inlineStr">
        <is>
          <t>The Landing at Aliana is 294 units of three-storey garden-style housing on one Fort Bend site. That is the repeating low-rise the band covers.</t>
        </is>
      </c>
      <c r="M178" s="14" t="inlineStr">
        <is>
          <t>Partly</t>
        </is>
      </c>
      <c r="N178" s="15" t="inlineStr">
        <is>
          <t>It expected to use cross-laminated timber on a six-storey office building at The Mill in 2021, contingent on retail leasing. The building is not in its own portfolio entry and no source shows it was built.</t>
        </is>
      </c>
      <c r="O178" s="14" t="inlineStr">
        <is>
          <t>Partly</t>
        </is>
      </c>
      <c r="P178" s="6" t="inlineStr">
        <is>
          <t>https://www.linkedin.com/in/larry-sloan-894204b/</t>
        </is>
      </c>
      <c r="Q178" s="12" t="inlineStr"/>
      <c r="R178" s="16">
        <f>IF(P178="","ADD LINKEDIN","ok")</f>
        <v/>
      </c>
      <c r="S178" s="12" t="inlineStr">
        <is>
          <t>https://www.tritenre.com/</t>
        </is>
      </c>
      <c r="T178" s="15" t="inlineStr">
        <is>
          <t>Financed a cross-laminated timber frame at The Mill. 294 units at Aliana land in Titan's first delivery window.</t>
        </is>
      </c>
      <c r="U178" s="12" t="inlineStr"/>
      <c r="V178" s="15" t="inlineStr">
        <is>
          <t>Chief Development Officer (CDO) at Triten Real Estate Partners. Houston, Texas. The same person who left Midway as EVP of investment and development in November 2023.</t>
        </is>
      </c>
      <c r="W178" s="12" t="inlineStr"/>
      <c r="X178" s="12" t="inlineStr">
        <is>
          <t>https://www.linkedin.com/company/triten-real-estate-partners</t>
        </is>
      </c>
      <c r="Y178" s="12" t="inlineStr">
        <is>
          <t>https://www.tritenre.com/team</t>
        </is>
      </c>
      <c r="Z178" s="12" t="inlineStr"/>
    </row>
    <row r="179">
      <c r="A179" s="6" t="inlineStr">
        <is>
          <t>Brent Ozenbaugh</t>
        </is>
      </c>
      <c r="B179" s="6" t="inlineStr">
        <is>
          <t>Triten Real Estate Partners</t>
        </is>
      </c>
      <c r="C179" s="6" t="inlineStr">
        <is>
          <t>Partner, Chief Operating Officer</t>
        </is>
      </c>
      <c r="D179" s="7" t="inlineStr">
        <is>
          <t>Creative project, hybrid job</t>
        </is>
      </c>
      <c r="E179" s="8" t="n">
        <v>3</v>
      </c>
      <c r="F179" s="6" t="inlineStr">
        <is>
          <t>Buys walls</t>
        </is>
      </c>
      <c r="G179" s="6" t="inlineStr">
        <is>
          <t>East End / Fort Bend, Harris County</t>
        </is>
      </c>
      <c r="H179" s="6" t="inlineStr">
        <is>
          <t>341 units at The Mill, 294 more under construction at Aliana</t>
        </is>
      </c>
      <c r="I179" s="8" t="inlineStr">
        <is>
          <t>Yes</t>
        </is>
      </c>
      <c r="J179" s="9" t="inlineStr">
        <is>
          <t>341 units at The Mill, 294 more under construction at Aliana.</t>
        </is>
      </c>
      <c r="K179" s="8" t="inlineStr">
        <is>
          <t>Partly</t>
        </is>
      </c>
      <c r="L179" s="9" t="inlineStr">
        <is>
          <t>The Landing at Aliana is 294 units of three-storey garden-style housing on one Fort Bend site. That is the repeating low-rise the band covers.</t>
        </is>
      </c>
      <c r="M179" s="8" t="inlineStr">
        <is>
          <t>Partly</t>
        </is>
      </c>
      <c r="N179" s="9" t="inlineStr">
        <is>
          <t>It expected to use cross-laminated timber on a six-storey office building at The Mill in 2021, contingent on retail leasing. The building is not in its own portfolio entry and no source shows it was built.</t>
        </is>
      </c>
      <c r="O179" s="8" t="inlineStr">
        <is>
          <t>Partly</t>
        </is>
      </c>
      <c r="P179" s="6" t="inlineStr">
        <is>
          <t>https://www.linkedin.com/in/brent-ozenbaugh-b99872/</t>
        </is>
      </c>
      <c r="Q179" s="6" t="inlineStr"/>
      <c r="R179" s="11">
        <f>IF(P179="","ADD LINKEDIN","ok")</f>
        <v/>
      </c>
      <c r="S179" s="6" t="inlineStr">
        <is>
          <t>https://www.tritenre.com/</t>
        </is>
      </c>
      <c r="T179" s="9" t="inlineStr">
        <is>
          <t>Financed a cross-laminated timber frame at The Mill. 294 units at Aliana land in Titan's first delivery window.</t>
        </is>
      </c>
      <c r="U179" s="6" t="inlineStr"/>
      <c r="V179" s="9" t="inlineStr">
        <is>
          <t>COO at Triten Real Estate Partners. Greater Houston.</t>
        </is>
      </c>
      <c r="W179" s="6" t="inlineStr"/>
      <c r="X179" s="6" t="inlineStr">
        <is>
          <t>https://www.linkedin.com/company/triten-real-estate-partners</t>
        </is>
      </c>
      <c r="Y179" s="6" t="inlineStr">
        <is>
          <t>https://www.tritenre.com/team</t>
        </is>
      </c>
      <c r="Z179" s="6" t="inlineStr"/>
    </row>
    <row r="180">
      <c r="A180" s="12" t="inlineStr">
        <is>
          <t>Carter Bechtol</t>
        </is>
      </c>
      <c r="B180" s="12" t="inlineStr">
        <is>
          <t>Triten Real Estate Partners</t>
        </is>
      </c>
      <c r="C180" s="12" t="inlineStr">
        <is>
          <t>Partner, Head of Triten Residential</t>
        </is>
      </c>
      <c r="D180" s="13" t="inlineStr">
        <is>
          <t>Creative project, hybrid job</t>
        </is>
      </c>
      <c r="E180" s="14" t="n">
        <v>3</v>
      </c>
      <c r="F180" s="12" t="inlineStr">
        <is>
          <t>Buys walls</t>
        </is>
      </c>
      <c r="G180" s="12" t="inlineStr">
        <is>
          <t>East End / Fort Bend, Harris County</t>
        </is>
      </c>
      <c r="H180" s="12" t="inlineStr">
        <is>
          <t>341 units at The Mill, 294 more under construction at Aliana</t>
        </is>
      </c>
      <c r="I180" s="14" t="inlineStr">
        <is>
          <t>Yes</t>
        </is>
      </c>
      <c r="J180" s="15" t="inlineStr">
        <is>
          <t>341 units at The Mill, 294 more under construction at Aliana.</t>
        </is>
      </c>
      <c r="K180" s="14" t="inlineStr">
        <is>
          <t>Partly</t>
        </is>
      </c>
      <c r="L180" s="15" t="inlineStr">
        <is>
          <t>The Landing at Aliana is 294 units of three-storey garden-style housing on one Fort Bend site. That is the repeating low-rise the band covers.</t>
        </is>
      </c>
      <c r="M180" s="14" t="inlineStr">
        <is>
          <t>Partly</t>
        </is>
      </c>
      <c r="N180" s="15" t="inlineStr">
        <is>
          <t>It expected to use cross-laminated timber on a six-storey office building at The Mill in 2021, contingent on retail leasing. The building is not in its own portfolio entry and no source shows it was built.</t>
        </is>
      </c>
      <c r="O180" s="14" t="inlineStr">
        <is>
          <t>Partly</t>
        </is>
      </c>
      <c r="P180" s="10" t="inlineStr"/>
      <c r="Q180" s="12">
        <f>HYPERLINK("https://www.linkedin.com/search/results/people/?keywords=Carter%20Bechtol%20Triten%20Real%20Estate%20Partners","search")</f>
        <v/>
      </c>
      <c r="R180" s="16">
        <f>IF(P180="","ADD LINKEDIN","ok")</f>
        <v/>
      </c>
      <c r="S180" s="12" t="inlineStr">
        <is>
          <t>https://www.tritenre.com/</t>
        </is>
      </c>
      <c r="T180" s="15" t="inlineStr">
        <is>
          <t>Financed a cross-laminated timber frame at The Mill. 294 units at Aliana land in Titan's first delivery window.</t>
        </is>
      </c>
      <c r="U180" s="12" t="inlineStr"/>
      <c r="V180" s="15" t="inlineStr">
        <is>
          <t>Triten's own bio page. Partner, Head of Triten Residential. The residential platform is the part of Triten that would buy a repeated wall.</t>
        </is>
      </c>
      <c r="W180" s="12" t="inlineStr">
        <is>
          <t>https://www.tritenre.com/team/carter-becthol</t>
        </is>
      </c>
      <c r="X180" s="12" t="inlineStr">
        <is>
          <t>https://www.linkedin.com/company/triten-real-estate-partners</t>
        </is>
      </c>
      <c r="Y180" s="12" t="inlineStr">
        <is>
          <t>https://www.tritenre.com/team</t>
        </is>
      </c>
      <c r="Z180" s="12" t="inlineStr"/>
    </row>
    <row r="181">
      <c r="A181" s="6" t="inlineStr">
        <is>
          <t>Steve Radom</t>
        </is>
      </c>
      <c r="B181" s="6" t="inlineStr">
        <is>
          <t>Radom Capital</t>
        </is>
      </c>
      <c r="C181" s="6" t="inlineStr">
        <is>
          <t>Managing Principal</t>
        </is>
      </c>
      <c r="D181" s="7" t="inlineStr">
        <is>
          <t>Creative project, hybrid job</t>
        </is>
      </c>
      <c r="E181" s="8" t="n">
        <v>2</v>
      </c>
      <c r="F181" s="6" t="inlineStr">
        <is>
          <t>Buys walls</t>
        </is>
      </c>
      <c r="G181" s="6" t="inlineStr">
        <is>
          <t>Heights / Montrose, Harris County</t>
        </is>
      </c>
      <c r="H181" s="6" t="inlineStr">
        <is>
          <t>$104.75M Montrose Collective financing</t>
        </is>
      </c>
      <c r="I181" s="8" t="inlineStr">
        <is>
          <t>Partly</t>
        </is>
      </c>
      <c r="J181" s="9" t="inlineStr">
        <is>
          <t>Fifteen projects in one district, 218 units at Clock Tower.</t>
        </is>
      </c>
      <c r="K181" s="8" t="inlineStr">
        <is>
          <t>No</t>
        </is>
      </c>
      <c r="L181" s="9" t="inlineStr">
        <is>
          <t>Adaptive reuse and retail. Every project is its own building.</t>
        </is>
      </c>
      <c r="M181" s="8" t="inlineStr">
        <is>
          <t>Yes</t>
        </is>
      </c>
      <c r="N181" s="9" t="inlineStr">
        <is>
          <t>Commissioned Michael Hsu for Montrose Collective, four-street frontage, $104.75M financed.</t>
        </is>
      </c>
      <c r="O181" s="8" t="inlineStr">
        <is>
          <t>Yes</t>
        </is>
      </c>
      <c r="P181" s="6" t="inlineStr">
        <is>
          <t>https://www.linkedin.com/in/steveradom/</t>
        </is>
      </c>
      <c r="Q181" s="6" t="inlineStr"/>
      <c r="R181" s="11">
        <f>IF(P181="","ADD LINKEDIN","ok")</f>
        <v/>
      </c>
      <c r="S181" s="6" t="inlineStr">
        <is>
          <t>https://www.radomcapital.com/</t>
        </is>
      </c>
      <c r="T181" s="9" t="inlineStr">
        <is>
          <t>Michael Hsu at Montrose Collective, $104.75M financed. Fifteen projects in one district, so volume is concentrated rather than deep.</t>
        </is>
      </c>
      <c r="U181" s="6" t="inlineStr"/>
      <c r="V181" s="9" t="inlineStr"/>
      <c r="W181" s="6" t="inlineStr"/>
      <c r="X181" s="6" t="inlineStr">
        <is>
          <t>https://www.linkedin.com/company/radom-capital-llc</t>
        </is>
      </c>
      <c r="Y181" s="6" t="inlineStr">
        <is>
          <t>https://www.radomcapital.com/team</t>
        </is>
      </c>
      <c r="Z181" s="6" t="inlineStr"/>
    </row>
    <row r="182">
      <c r="A182" s="12" t="inlineStr">
        <is>
          <t>Barton Kelly</t>
        </is>
      </c>
      <c r="B182" s="12" t="inlineStr">
        <is>
          <t>Radom Capital</t>
        </is>
      </c>
      <c r="C182" s="12" t="inlineStr">
        <is>
          <t>Principal</t>
        </is>
      </c>
      <c r="D182" s="13" t="inlineStr">
        <is>
          <t>Creative project, hybrid job</t>
        </is>
      </c>
      <c r="E182" s="14" t="n">
        <v>2</v>
      </c>
      <c r="F182" s="12" t="inlineStr">
        <is>
          <t>Buys walls</t>
        </is>
      </c>
      <c r="G182" s="12" t="inlineStr">
        <is>
          <t>Heights / Montrose, Harris County</t>
        </is>
      </c>
      <c r="H182" s="12" t="inlineStr">
        <is>
          <t>$104.75M Montrose Collective financing</t>
        </is>
      </c>
      <c r="I182" s="14" t="inlineStr">
        <is>
          <t>Partly</t>
        </is>
      </c>
      <c r="J182" s="15" t="inlineStr">
        <is>
          <t>Fifteen projects in one district, 218 units at Clock Tower.</t>
        </is>
      </c>
      <c r="K182" s="14" t="inlineStr">
        <is>
          <t>No</t>
        </is>
      </c>
      <c r="L182" s="15" t="inlineStr">
        <is>
          <t>Adaptive reuse and retail. Every project is its own building.</t>
        </is>
      </c>
      <c r="M182" s="14" t="inlineStr">
        <is>
          <t>Yes</t>
        </is>
      </c>
      <c r="N182" s="15" t="inlineStr">
        <is>
          <t>Commissioned Michael Hsu for Montrose Collective, four-street frontage, $104.75M financed.</t>
        </is>
      </c>
      <c r="O182" s="14" t="inlineStr">
        <is>
          <t>Yes</t>
        </is>
      </c>
      <c r="P182" s="6" t="inlineStr">
        <is>
          <t>https://www.linkedin.com/in/bartonk/</t>
        </is>
      </c>
      <c r="Q182" s="12" t="inlineStr"/>
      <c r="R182" s="16">
        <f>IF(P182="","ADD LINKEDIN","ok")</f>
        <v/>
      </c>
      <c r="S182" s="12" t="inlineStr">
        <is>
          <t>https://www.radomcapital.com/</t>
        </is>
      </c>
      <c r="T182" s="15" t="inlineStr">
        <is>
          <t>Michael Hsu at Montrose Collective, $104.75M financed. Fifteen projects in one district, so volume is concentrated rather than deep.</t>
        </is>
      </c>
      <c r="U182" s="12" t="inlineStr"/>
      <c r="V182" s="15" t="inlineStr">
        <is>
          <t>Vice President at Radom Capital LLC, Houston. Barton Kelly's LinkedIn headline reads Vice President at Radom Capital; the firm's own team page lists him as Principal. The titles conflict.</t>
        </is>
      </c>
      <c r="W182" s="12" t="inlineStr"/>
      <c r="X182" s="12" t="inlineStr">
        <is>
          <t>https://www.linkedin.com/company/radom-capital-llc</t>
        </is>
      </c>
      <c r="Y182" s="12" t="inlineStr">
        <is>
          <t>https://www.radomcapital.com/team</t>
        </is>
      </c>
      <c r="Z182" s="12" t="inlineStr"/>
    </row>
    <row r="183">
      <c r="A183" s="6" t="inlineStr">
        <is>
          <t>Evan Peterson</t>
        </is>
      </c>
      <c r="B183" s="6" t="inlineStr">
        <is>
          <t>Radom Capital</t>
        </is>
      </c>
      <c r="C183" s="6" t="inlineStr">
        <is>
          <t>Principal</t>
        </is>
      </c>
      <c r="D183" s="7" t="inlineStr">
        <is>
          <t>Creative project, hybrid job</t>
        </is>
      </c>
      <c r="E183" s="8" t="n">
        <v>2</v>
      </c>
      <c r="F183" s="6" t="inlineStr">
        <is>
          <t>Buys walls</t>
        </is>
      </c>
      <c r="G183" s="6" t="inlineStr">
        <is>
          <t>Heights / Montrose, Harris County</t>
        </is>
      </c>
      <c r="H183" s="6" t="inlineStr">
        <is>
          <t>$104.75M Montrose Collective financing</t>
        </is>
      </c>
      <c r="I183" s="8" t="inlineStr">
        <is>
          <t>Partly</t>
        </is>
      </c>
      <c r="J183" s="9" t="inlineStr">
        <is>
          <t>Fifteen projects in one district, 218 units at Clock Tower.</t>
        </is>
      </c>
      <c r="K183" s="8" t="inlineStr">
        <is>
          <t>No</t>
        </is>
      </c>
      <c r="L183" s="9" t="inlineStr">
        <is>
          <t>Adaptive reuse and retail. Every project is its own building.</t>
        </is>
      </c>
      <c r="M183" s="8" t="inlineStr">
        <is>
          <t>Yes</t>
        </is>
      </c>
      <c r="N183" s="9" t="inlineStr">
        <is>
          <t>Commissioned Michael Hsu for Montrose Collective, four-street frontage, $104.75M financed.</t>
        </is>
      </c>
      <c r="O183" s="8" t="inlineStr">
        <is>
          <t>Yes</t>
        </is>
      </c>
      <c r="P183" s="6" t="inlineStr">
        <is>
          <t>https://www.linkedin.com/in/evan-peterson-19656548/</t>
        </is>
      </c>
      <c r="Q183" s="6" t="inlineStr"/>
      <c r="R183" s="11">
        <f>IF(P183="","ADD LINKEDIN","ok")</f>
        <v/>
      </c>
      <c r="S183" s="6" t="inlineStr">
        <is>
          <t>https://www.radomcapital.com/</t>
        </is>
      </c>
      <c r="T183" s="9" t="inlineStr">
        <is>
          <t>Michael Hsu at Montrose Collective, $104.75M financed. Fifteen projects in one district, so volume is concentrated rather than deep.</t>
        </is>
      </c>
      <c r="U183" s="6" t="inlineStr"/>
      <c r="V183" s="9" t="inlineStr">
        <is>
          <t>Principal at Radom Capital LLC. Houston, Texas.</t>
        </is>
      </c>
      <c r="W183" s="6" t="inlineStr"/>
      <c r="X183" s="6" t="inlineStr">
        <is>
          <t>https://www.linkedin.com/company/radom-capital-llc</t>
        </is>
      </c>
      <c r="Y183" s="6" t="inlineStr">
        <is>
          <t>https://www.radomcapital.com/team</t>
        </is>
      </c>
      <c r="Z183" s="6" t="inlineStr"/>
    </row>
    <row r="184">
      <c r="A184" s="12" t="inlineStr">
        <is>
          <t>Jon Deal</t>
        </is>
      </c>
      <c r="B184" s="12" t="inlineStr">
        <is>
          <t>The Deal Company (Sawyer Yards)</t>
        </is>
      </c>
      <c r="C184" s="12" t="inlineStr">
        <is>
          <t>Founder and Chief Executive Officer</t>
        </is>
      </c>
      <c r="D184" s="13" t="inlineStr">
        <is>
          <t>Creative project, hybrid job</t>
        </is>
      </c>
      <c r="E184" s="14" t="n">
        <v>2</v>
      </c>
      <c r="F184" s="12" t="inlineStr">
        <is>
          <t>Buys walls</t>
        </is>
      </c>
      <c r="G184" s="12" t="inlineStr">
        <is>
          <t>Washington Corridor, Harris County</t>
        </is>
      </c>
      <c r="H184" s="12" t="inlineStr">
        <is>
          <t>55 acres, 27 buildings, 2M+ sf</t>
        </is>
      </c>
      <c r="I184" s="14" t="inlineStr">
        <is>
          <t>Partly</t>
        </is>
      </c>
      <c r="J184" s="15" t="inlineStr">
        <is>
          <t>27 buildings across 55 acres since 2005.</t>
        </is>
      </c>
      <c r="K184" s="14" t="inlineStr">
        <is>
          <t>No</t>
        </is>
      </c>
      <c r="L184" s="15" t="inlineStr">
        <is>
          <t>Converting industrial buildings leaves almost no new wall to print.</t>
        </is>
      </c>
      <c r="M184" s="14" t="inlineStr">
        <is>
          <t>Yes</t>
        </is>
      </c>
      <c r="N184" s="15" t="inlineStr">
        <is>
          <t>Twenty years of building inside awkward industrial structures.</t>
        </is>
      </c>
      <c r="O184" s="14" t="inlineStr">
        <is>
          <t>No</t>
        </is>
      </c>
      <c r="P184" s="10" t="inlineStr"/>
      <c r="Q184" s="12">
        <f>HYPERLINK("https://www.linkedin.com/search/results/people/?keywords=Jon%20Deal%20The%20Deal%20Company","search")</f>
        <v/>
      </c>
      <c r="R184" s="16">
        <f>IF(P184="","ADD LINKEDIN","ok")</f>
        <v/>
      </c>
      <c r="S184" s="12" t="inlineStr">
        <is>
          <t>https://www.dealco.net/</t>
        </is>
      </c>
      <c r="T184" s="15" t="inlineStr">
        <is>
          <t>Twenty years converting industrial buildings, 27 of them. Adaptive reuse leaves little new wall to print.</t>
        </is>
      </c>
      <c r="U184" s="12" t="inlineStr"/>
      <c r="V184" s="15" t="inlineStr">
        <is>
          <t>Founder and Chief Executive Officer, and co-developer of Sawyer Yards.</t>
        </is>
      </c>
      <c r="W184" s="12" t="inlineStr">
        <is>
          <t>https://www.dealco.net/about/</t>
        </is>
      </c>
      <c r="X184" s="12" t="inlineStr"/>
      <c r="Y184" s="12" t="inlineStr">
        <is>
          <t>https://www.dealco.net/about/</t>
        </is>
      </c>
      <c r="Z184" s="12" t="inlineStr"/>
    </row>
    <row r="185">
      <c r="A185" s="6" t="inlineStr">
        <is>
          <t>Dougal A. Cameron</t>
        </is>
      </c>
      <c r="B185" s="6" t="inlineStr">
        <is>
          <t>Cameron Management</t>
        </is>
      </c>
      <c r="C185" s="6" t="inlineStr">
        <is>
          <t>President and Owner</t>
        </is>
      </c>
      <c r="D185" s="7" t="inlineStr">
        <is>
          <t>Creative project, hybrid job</t>
        </is>
      </c>
      <c r="E185" s="8" t="n">
        <v>1</v>
      </c>
      <c r="F185" s="6" t="inlineStr">
        <is>
          <t>Buys walls</t>
        </is>
      </c>
      <c r="G185" s="6" t="inlineStr">
        <is>
          <t>Downtown Houston, Harris County</t>
        </is>
      </c>
      <c r="H185" s="6" t="inlineStr">
        <is>
          <t>$50M conversion, up to 100 units</t>
        </is>
      </c>
      <c r="I185" s="8" t="inlineStr">
        <is>
          <t>No</t>
        </is>
      </c>
      <c r="J185" s="9" t="inlineStr">
        <is>
          <t>Two towers, one conversion each. Nothing repeats.</t>
        </is>
      </c>
      <c r="K185" s="8" t="inlineStr">
        <is>
          <t>No</t>
        </is>
      </c>
      <c r="L185" s="9" t="inlineStr">
        <is>
          <t>Converting two 1927 and 1941 office towers to residential. No new exterior wall.</t>
        </is>
      </c>
      <c r="M185" s="8" t="inlineStr">
        <is>
          <t>Yes</t>
        </is>
      </c>
      <c r="N185" s="9" t="inlineStr">
        <is>
          <t>It is taking on a $50 million conversion of two landmark towers from 1927 and 1941, which is a harder build than anything a printer would be asked to do.</t>
        </is>
      </c>
      <c r="O185" s="8" t="inlineStr">
        <is>
          <t>Partly</t>
        </is>
      </c>
      <c r="P185" s="10" t="inlineStr"/>
      <c r="Q185" s="6">
        <f>HYPERLINK("https://www.linkedin.com/search/results/people/?keywords=Dougal%20A.%20Cameron%20Cameron%20Management","search")</f>
        <v/>
      </c>
      <c r="R185" s="11">
        <f>IF(P185="","ADD LINKEDIN","ok")</f>
        <v/>
      </c>
      <c r="S185" s="6" t="inlineStr">
        <is>
          <t>https://cameronmanagement.com/</t>
        </is>
      </c>
      <c r="T185" s="9" t="inlineStr">
        <is>
          <t>Interior conversion of a 1927 tower. Willing to take on a hard build, but almost no new exterior wall.</t>
        </is>
      </c>
      <c r="U185" s="6" t="inlineStr"/>
      <c r="V185" s="9" t="inlineStr">
        <is>
          <t>President. Founded the firm in 1995 after asset and project management at Hines.</t>
        </is>
      </c>
      <c r="W185" s="6" t="inlineStr">
        <is>
          <t>https://cameronmanagement.com/team_member/dougal-a-cameron</t>
        </is>
      </c>
      <c r="X185" s="6" t="inlineStr">
        <is>
          <t>https://www.linkedin.com/company/cameron-management</t>
        </is>
      </c>
      <c r="Y185" s="6" t="inlineStr">
        <is>
          <t>https://cameronmanagement.com/about</t>
        </is>
      </c>
      <c r="Z185" s="6" t="inlineStr"/>
    </row>
    <row r="186">
      <c r="A186" s="12" t="inlineStr">
        <is>
          <t>William T. Dom</t>
        </is>
      </c>
      <c r="B186" s="12" t="inlineStr">
        <is>
          <t>Cameron Management</t>
        </is>
      </c>
      <c r="C186" s="12" t="inlineStr">
        <is>
          <t>Chief Operating Officer</t>
        </is>
      </c>
      <c r="D186" s="13" t="inlineStr">
        <is>
          <t>Creative project, hybrid job</t>
        </is>
      </c>
      <c r="E186" s="14" t="n">
        <v>1</v>
      </c>
      <c r="F186" s="12" t="inlineStr">
        <is>
          <t>Buys walls</t>
        </is>
      </c>
      <c r="G186" s="12" t="inlineStr">
        <is>
          <t>Downtown Houston, Harris County</t>
        </is>
      </c>
      <c r="H186" s="12" t="inlineStr">
        <is>
          <t>$50M conversion, up to 100 units</t>
        </is>
      </c>
      <c r="I186" s="14" t="inlineStr">
        <is>
          <t>No</t>
        </is>
      </c>
      <c r="J186" s="15" t="inlineStr">
        <is>
          <t>Two towers, one conversion each. Nothing repeats.</t>
        </is>
      </c>
      <c r="K186" s="14" t="inlineStr">
        <is>
          <t>No</t>
        </is>
      </c>
      <c r="L186" s="15" t="inlineStr">
        <is>
          <t>Converting two 1927 and 1941 office towers to residential. No new exterior wall.</t>
        </is>
      </c>
      <c r="M186" s="14" t="inlineStr">
        <is>
          <t>Yes</t>
        </is>
      </c>
      <c r="N186" s="15" t="inlineStr">
        <is>
          <t>It is taking on a $50 million conversion of two landmark towers from 1927 and 1941, which is a harder build than anything a printer would be asked to do.</t>
        </is>
      </c>
      <c r="O186" s="14" t="inlineStr">
        <is>
          <t>Partly</t>
        </is>
      </c>
      <c r="P186" s="10" t="inlineStr"/>
      <c r="Q186" s="12">
        <f>HYPERLINK("https://www.linkedin.com/search/results/people/?keywords=William%20T.%20Dom%20Cameron%20Management","search")</f>
        <v/>
      </c>
      <c r="R186" s="16">
        <f>IF(P186="","ADD LINKEDIN","ok")</f>
        <v/>
      </c>
      <c r="S186" s="12" t="inlineStr">
        <is>
          <t>https://cameronmanagement.com/</t>
        </is>
      </c>
      <c r="T186" s="15" t="inlineStr">
        <is>
          <t>Interior conversion of a 1927 tower. Willing to take on a hard build, but almost no new exterior wall.</t>
        </is>
      </c>
      <c r="U186" s="12" t="inlineStr"/>
      <c r="V186" s="15" t="inlineStr">
        <is>
          <t>Chief Operating Officer and partner since 2000, formerly an asset manager at Hines.</t>
        </is>
      </c>
      <c r="W186" s="12" t="inlineStr">
        <is>
          <t>https://cameronmanagement.com/team_member/william-t-ted-dom</t>
        </is>
      </c>
      <c r="X186" s="12" t="inlineStr">
        <is>
          <t>https://www.linkedin.com/company/cameron-management</t>
        </is>
      </c>
      <c r="Y186" s="12" t="inlineStr">
        <is>
          <t>https://cameronmanagement.com/about</t>
        </is>
      </c>
      <c r="Z186" s="12" t="inlineStr"/>
    </row>
    <row r="187">
      <c r="A187" s="6" t="inlineStr">
        <is>
          <t>Jim Lemming</t>
        </is>
      </c>
      <c r="B187" s="6" t="inlineStr">
        <is>
          <t>Partners in Building</t>
        </is>
      </c>
      <c r="C187" s="6" t="inlineStr">
        <is>
          <t>Chairman, formerly President and Chief Executive Officer until June 2026</t>
        </is>
      </c>
      <c r="D187" s="7" t="inlineStr">
        <is>
          <t>Creative project, hybrid job</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10" t="inlineStr"/>
      <c r="Q187" s="6">
        <f>HYPERLINK("https://www.linkedin.com/search/results/people/?keywords=Jim%20Lemming%20Partners%20in%20Building","search")</f>
        <v/>
      </c>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6" t="inlineStr"/>
      <c r="V187" s="9" t="inlineStr">
        <is>
          <t>HousingWire, 15 June 2026: President and CEO Jim Lemming will transition to chairman, and his son Chris Lemming will assume the presidency.</t>
        </is>
      </c>
      <c r="W187" s="6" t="inlineStr">
        <is>
          <t>https://www.housingwire.com/articles/partners-building-succession-plan/</t>
        </is>
      </c>
      <c r="X187" s="6" t="inlineStr"/>
      <c r="Y187" s="6" t="inlineStr"/>
      <c r="Z187" s="6" t="inlineStr"/>
    </row>
    <row r="188">
      <c r="A188" s="12" t="inlineStr">
        <is>
          <t>Dewey Hennessee</t>
        </is>
      </c>
      <c r="B188" s="12" t="inlineStr">
        <is>
          <t>Partners in Building</t>
        </is>
      </c>
      <c r="C188" s="12" t="inlineStr">
        <is>
          <t>Vice President of Purchasing</t>
        </is>
      </c>
      <c r="D188" s="13" t="inlineStr">
        <is>
          <t>Creative project, hybrid job</t>
        </is>
      </c>
      <c r="E188" s="14" t="n">
        <v>1</v>
      </c>
      <c r="F188" s="12" t="inlineStr">
        <is>
          <t>Buys walls</t>
        </is>
      </c>
      <c r="G188" s="12" t="inlineStr">
        <is>
          <t>Houston, build on your lot</t>
        </is>
      </c>
      <c r="H188" s="12" t="inlineStr">
        <is>
          <t>More than 300 homes a year in Texas and Tennessee</t>
        </is>
      </c>
      <c r="I188" s="14" t="inlineStr">
        <is>
          <t>No</t>
        </is>
      </c>
      <c r="J188" s="15" t="inlineStr">
        <is>
          <t>Build on your lot, one-of-a-kind by its own description. There is no plan set to repeat.</t>
        </is>
      </c>
      <c r="K188" s="14" t="inlineStr">
        <is>
          <t>Yes</t>
        </is>
      </c>
      <c r="L188" s="15" t="inlineStr">
        <is>
          <t>More than 300 homes a year on the firm's own count, across Texas and Tennessee.</t>
        </is>
      </c>
      <c r="M188" s="14" t="inlineStr">
        <is>
          <t>No</t>
        </is>
      </c>
      <c r="N188" s="15" t="inlineStr">
        <is>
          <t>No method evidence.</t>
        </is>
      </c>
      <c r="O188" s="14" t="inlineStr">
        <is>
          <t>Partly</t>
        </is>
      </c>
      <c r="P188" s="6" t="inlineStr">
        <is>
          <t>https://www.linkedin.com/in/dewey-hennessee-gmb-caps-cgp-95418531</t>
        </is>
      </c>
      <c r="Q188" s="12" t="inlineStr"/>
      <c r="R188" s="16">
        <f>IF(P188="","ADD LINKEDIN","ok")</f>
        <v/>
      </c>
      <c r="S188" s="12" t="inlineStr">
        <is>
          <t>https://partnersinbuilding.com/</t>
        </is>
      </c>
      <c r="T188" s="15" t="inlineStr">
        <is>
          <t>More than 300 homes a year and a vice president of purchasing. Every house is one-of-a-kind. The presidency passed from Jim to Chris Lemming in June 2026.</t>
        </is>
      </c>
      <c r="U188" s="12" t="inlineStr">
        <is>
          <t>YES</t>
        </is>
      </c>
      <c r="V188" s="15" t="inlineStr">
        <is>
          <t>Indexed title reads Dewey Hennessee GMB CAPS CGP, Partners in Building. The title on file comes from the first pass and is not repeated in the index entry.</t>
        </is>
      </c>
      <c r="W188" s="12" t="inlineStr"/>
      <c r="X188" s="12" t="inlineStr"/>
      <c r="Y188" s="12" t="inlineStr"/>
      <c r="Z188" s="12" t="inlineStr"/>
    </row>
    <row r="189">
      <c r="A189" s="6" t="inlineStr">
        <is>
          <t>Chris Lemming</t>
        </is>
      </c>
      <c r="B189" s="6" t="inlineStr">
        <is>
          <t>Partners in Building</t>
        </is>
      </c>
      <c r="C189" s="6" t="inlineStr">
        <is>
          <t>President, since June 2026</t>
        </is>
      </c>
      <c r="D189" s="7" t="inlineStr">
        <is>
          <t>Creative project, hybrid job</t>
        </is>
      </c>
      <c r="E189" s="8" t="n">
        <v>1</v>
      </c>
      <c r="F189" s="6" t="inlineStr">
        <is>
          <t>Buys walls</t>
        </is>
      </c>
      <c r="G189" s="6" t="inlineStr">
        <is>
          <t>Houston, build on your lot</t>
        </is>
      </c>
      <c r="H189" s="6" t="inlineStr">
        <is>
          <t>More than 300 homes a year in Texas and Tennessee</t>
        </is>
      </c>
      <c r="I189" s="8" t="inlineStr">
        <is>
          <t>No</t>
        </is>
      </c>
      <c r="J189" s="9" t="inlineStr">
        <is>
          <t>Build on your lot, one-of-a-kind by its own description. There is no plan set to repeat.</t>
        </is>
      </c>
      <c r="K189" s="8" t="inlineStr">
        <is>
          <t>Yes</t>
        </is>
      </c>
      <c r="L189" s="9" t="inlineStr">
        <is>
          <t>More than 300 homes a year on the firm's own count, across Texas and Tennessee.</t>
        </is>
      </c>
      <c r="M189" s="8" t="inlineStr">
        <is>
          <t>No</t>
        </is>
      </c>
      <c r="N189" s="9" t="inlineStr">
        <is>
          <t>No method evidence.</t>
        </is>
      </c>
      <c r="O189" s="8" t="inlineStr">
        <is>
          <t>Partly</t>
        </is>
      </c>
      <c r="P189" s="10" t="inlineStr"/>
      <c r="Q189" s="6">
        <f>HYPERLINK("https://www.linkedin.com/search/results/people/?keywords=Chris%20Lemming%20Partners%20in%20Building","search")</f>
        <v/>
      </c>
      <c r="R189" s="11">
        <f>IF(P189="","ADD LINKEDIN","ok")</f>
        <v/>
      </c>
      <c r="S189" s="6" t="inlineStr">
        <is>
          <t>https://partnersinbuilding.com/</t>
        </is>
      </c>
      <c r="T189" s="9" t="inlineStr">
        <is>
          <t>More than 300 homes a year and a vice president of purchasing. Every house is one-of-a-kind. The presidency passed from Jim to Chris Lemming in June 2026.</t>
        </is>
      </c>
      <c r="U189" s="6" t="inlineStr"/>
      <c r="V189" s="9" t="inlineStr">
        <is>
          <t>HousingWire, 15 June 2026: Chris Lemming assumes the presidency after an eighteen-month succession.</t>
        </is>
      </c>
      <c r="W189" s="6" t="inlineStr">
        <is>
          <t>https://www.housingwire.com/articles/partners-building-succession-plan/</t>
        </is>
      </c>
      <c r="X189" s="6" t="inlineStr"/>
      <c r="Y189" s="6" t="inlineStr"/>
      <c r="Z189" s="6" t="inlineStr"/>
    </row>
    <row r="190">
      <c r="A190" s="12" t="inlineStr">
        <is>
          <t>Dan Braun</t>
        </is>
      </c>
      <c r="B190" s="12" t="inlineStr">
        <is>
          <t>Braun Enterprises</t>
        </is>
      </c>
      <c r="C190" s="12" t="inlineStr">
        <is>
          <t>President</t>
        </is>
      </c>
      <c r="D190" s="13" t="inlineStr">
        <is>
          <t>Creative project, hybrid job</t>
        </is>
      </c>
      <c r="E190" s="14" t="n">
        <v>2</v>
      </c>
      <c r="F190" s="12" t="inlineStr">
        <is>
          <t>Buys walls</t>
        </is>
      </c>
      <c r="G190" s="12" t="inlineStr">
        <is>
          <t>Houston, San Antonio and Austin</t>
        </is>
      </c>
      <c r="H190" s="12" t="inlineStr">
        <is>
          <t>Ground-up retail in the Heights and small flex industrial</t>
        </is>
      </c>
      <c r="I190" s="14" t="inlineStr">
        <is>
          <t>Partly</t>
        </is>
      </c>
      <c r="J190" s="15" t="inlineStr">
        <is>
          <t>Small retail buildings repeated across three cities, which is more repetition than anyone else in this category.</t>
        </is>
      </c>
      <c r="K190" s="14" t="inlineStr">
        <is>
          <t>Partly</t>
        </is>
      </c>
      <c r="L190" s="15" t="inlineStr">
        <is>
          <t>Retail shells at 20,000 to 25,000 square feet. A printed wall competes with tilt-wall here, not with stick framing.</t>
        </is>
      </c>
      <c r="M190" s="14" t="inlineStr">
        <is>
          <t>No</t>
        </is>
      </c>
      <c r="N190" s="15" t="inlineStr">
        <is>
          <t>No method evidence on record.</t>
        </is>
      </c>
      <c r="O190" s="14" t="inlineStr">
        <is>
          <t>No</t>
        </is>
      </c>
      <c r="P190" s="6" t="inlineStr">
        <is>
          <t>https://www.linkedin.com/in/dan-braun-36451a15/</t>
        </is>
      </c>
      <c r="Q190" s="12" t="inlineStr"/>
      <c r="R190" s="16">
        <f>IF(P190="","ADD LINKEDIN","ok")</f>
        <v/>
      </c>
      <c r="S190" s="12" t="inlineStr">
        <is>
          <t>https://braunenterprises.com/</t>
        </is>
      </c>
      <c r="T190" s="15" t="inlineStr">
        <is>
          <t>Builds new rather than converting: small-format ground-up retail in the Heights.</t>
        </is>
      </c>
      <c r="U190" s="12" t="inlineStr"/>
      <c r="V190" s="15" t="inlineStr">
        <is>
          <t>Indexed title reads Dan Braun, President at Braun Enterprises. The firm's team page returns a 404, so this is the only link.</t>
        </is>
      </c>
      <c r="W190" s="12" t="inlineStr"/>
      <c r="X190" s="12" t="inlineStr"/>
      <c r="Y190" s="12" t="inlineStr"/>
      <c r="Z190" s="12" t="inlineStr"/>
    </row>
    <row r="191">
      <c r="A191" s="6" t="inlineStr">
        <is>
          <t>Bradley Freels</t>
        </is>
      </c>
      <c r="B191" s="6" t="inlineStr">
        <is>
          <t>Midway</t>
        </is>
      </c>
      <c r="C191" s="6" t="inlineStr">
        <is>
          <t>Chairman and Chief Executive Officer</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10" t="inlineStr"/>
      <c r="Q191" s="6">
        <f>HYPERLINK("https://www.linkedin.com/search/results/people/?keywords=Bradley%20Freels%20Midway","search")</f>
        <v/>
      </c>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is>
          <t>Chairman and Chief Executive Officer on Midway's own people page. He has no findable LinkedIn profile, so this is the citation.</t>
        </is>
      </c>
      <c r="W191" s="6" t="inlineStr">
        <is>
          <t>https://www.midway.team/our-people</t>
        </is>
      </c>
      <c r="X191" s="6" t="inlineStr">
        <is>
          <t>https://www.linkedin.com/company/midway</t>
        </is>
      </c>
      <c r="Y191" s="6" t="inlineStr">
        <is>
          <t>https://www.midway.team/our-people</t>
        </is>
      </c>
      <c r="Z191" s="6" t="inlineStr"/>
    </row>
    <row r="192">
      <c r="A192" s="12" t="inlineStr">
        <is>
          <t>David Hightower</t>
        </is>
      </c>
      <c r="B192" s="12" t="inlineStr">
        <is>
          <t>Midway</t>
        </is>
      </c>
      <c r="C192" s="12" t="inlineStr">
        <is>
          <t>Executive Vice President</t>
        </is>
      </c>
      <c r="D192" s="13" t="inlineStr">
        <is>
          <t>Creative project, hybrid job</t>
        </is>
      </c>
      <c r="E192" s="14" t="n">
        <v>2</v>
      </c>
      <c r="F192" s="12" t="inlineStr">
        <is>
          <t>Buys walls</t>
        </is>
      </c>
      <c r="G192" s="12" t="inlineStr">
        <is>
          <t>Houston HQ / East End, Harris County</t>
        </is>
      </c>
      <c r="H192" s="12" t="inlineStr">
        <is>
          <t>East River: 150 acres, 60 city blocks</t>
        </is>
      </c>
      <c r="I192" s="14" t="inlineStr">
        <is>
          <t>Partly</t>
        </is>
      </c>
      <c r="J192" s="15" t="inlineStr">
        <is>
          <t>East River is 60 city blocks on one site, phased over decades.</t>
        </is>
      </c>
      <c r="K192" s="14" t="inlineStr">
        <is>
          <t>No</t>
        </is>
      </c>
      <c r="L192" s="15" t="inlineStr">
        <is>
          <t>Sixty blocks of mixed-use. The buildings are one-offs, whatever the acreage.</t>
        </is>
      </c>
      <c r="M192" s="14" t="inlineStr">
        <is>
          <t>Partly</t>
        </is>
      </c>
      <c r="N192" s="15" t="inlineStr">
        <is>
          <t>District-scale design ambition, but no specific method precedent was found.</t>
        </is>
      </c>
      <c r="O192" s="14" t="inlineStr">
        <is>
          <t>No</t>
        </is>
      </c>
      <c r="P192" s="6" t="inlineStr">
        <is>
          <t>https://www.linkedin.com/in/dahightower/</t>
        </is>
      </c>
      <c r="Q192" s="12" t="inlineStr"/>
      <c r="R192" s="16">
        <f>IF(P192="","ADD LINKEDIN","ok")</f>
        <v/>
      </c>
      <c r="S192" s="12" t="inlineStr">
        <is>
          <t>https://www.midway.team/</t>
        </is>
      </c>
      <c r="T192" s="15" t="inlineStr">
        <is>
          <t>East River is 60 blocks on one site, and Midway kept sole development control after selling out of the Parkway joint venture in December 2024.</t>
        </is>
      </c>
      <c r="U192" s="12" t="inlineStr"/>
      <c r="V192" s="15" t="inlineStr">
        <is>
          <t>Executive Vice President, Development at Midway Companies. Houston, Texas.</t>
        </is>
      </c>
      <c r="W192" s="12" t="inlineStr"/>
      <c r="X192" s="12" t="inlineStr">
        <is>
          <t>https://www.linkedin.com/company/midway</t>
        </is>
      </c>
      <c r="Y192" s="12" t="inlineStr">
        <is>
          <t>https://www.midway.team/our-people</t>
        </is>
      </c>
      <c r="Z192" s="12" t="inlineStr"/>
    </row>
    <row r="193">
      <c r="A193" s="6" t="inlineStr">
        <is>
          <t>Clark Thompson</t>
        </is>
      </c>
      <c r="B193" s="6" t="inlineStr">
        <is>
          <t>Midway</t>
        </is>
      </c>
      <c r="C193" s="6" t="inlineStr">
        <is>
          <t>Executive Vice President and General Counsel</t>
        </is>
      </c>
      <c r="D193" s="7" t="inlineStr">
        <is>
          <t>Creative project, hybrid job</t>
        </is>
      </c>
      <c r="E193" s="8" t="n">
        <v>2</v>
      </c>
      <c r="F193" s="6" t="inlineStr">
        <is>
          <t>Buys walls</t>
        </is>
      </c>
      <c r="G193" s="6" t="inlineStr">
        <is>
          <t>Houston HQ / East End, Harris County</t>
        </is>
      </c>
      <c r="H193" s="6" t="inlineStr">
        <is>
          <t>East River: 150 acres, 60 city blocks</t>
        </is>
      </c>
      <c r="I193" s="8" t="inlineStr">
        <is>
          <t>Partly</t>
        </is>
      </c>
      <c r="J193" s="9" t="inlineStr">
        <is>
          <t>East River is 60 city blocks on one site, phased over decades.</t>
        </is>
      </c>
      <c r="K193" s="8" t="inlineStr">
        <is>
          <t>No</t>
        </is>
      </c>
      <c r="L193" s="9" t="inlineStr">
        <is>
          <t>Sixty blocks of mixed-use. The buildings are one-offs, whatever the acreage.</t>
        </is>
      </c>
      <c r="M193" s="8" t="inlineStr">
        <is>
          <t>Partly</t>
        </is>
      </c>
      <c r="N193" s="9" t="inlineStr">
        <is>
          <t>District-scale design ambition, but no specific method precedent was found.</t>
        </is>
      </c>
      <c r="O193" s="8" t="inlineStr">
        <is>
          <t>No</t>
        </is>
      </c>
      <c r="P193" s="10" t="inlineStr"/>
      <c r="Q193" s="6">
        <f>HYPERLINK("https://www.linkedin.com/search/results/people/?keywords=Clark%20Thompson%20Midway","search")</f>
        <v/>
      </c>
      <c r="R193" s="11">
        <f>IF(P193="","ADD LINKEDIN","ok")</f>
        <v/>
      </c>
      <c r="S193" s="6" t="inlineStr">
        <is>
          <t>https://www.midway.team/</t>
        </is>
      </c>
      <c r="T193" s="9" t="inlineStr">
        <is>
          <t>East River is 60 blocks on one site, and Midway kept sole development control after selling out of the Parkway joint venture in December 2024.</t>
        </is>
      </c>
      <c r="U193" s="6" t="inlineStr"/>
      <c r="V193" s="9" t="inlineStr"/>
      <c r="W193" s="6" t="inlineStr">
        <is>
          <t>https://www.midway.team/our-people</t>
        </is>
      </c>
      <c r="X193" s="6" t="inlineStr">
        <is>
          <t>https://www.linkedin.com/company/midway</t>
        </is>
      </c>
      <c r="Y193" s="6" t="inlineStr">
        <is>
          <t>https://www.midway.team/our-people</t>
        </is>
      </c>
      <c r="Z193" s="6" t="inlineStr"/>
    </row>
    <row r="194">
      <c r="A194" s="12" t="inlineStr">
        <is>
          <t>Rob Sigler</t>
        </is>
      </c>
      <c r="B194" s="12" t="inlineStr">
        <is>
          <t>Midway</t>
        </is>
      </c>
      <c r="C194" s="12" t="inlineStr">
        <is>
          <t>Executive Vice President, Construction, Investment and Development, Midway</t>
        </is>
      </c>
      <c r="D194" s="13" t="inlineStr">
        <is>
          <t>Creative project, hybrid job</t>
        </is>
      </c>
      <c r="E194" s="14" t="n">
        <v>2</v>
      </c>
      <c r="F194" s="12" t="inlineStr">
        <is>
          <t>Buys walls</t>
        </is>
      </c>
      <c r="G194" s="12" t="inlineStr">
        <is>
          <t>Houston HQ / East End, Harris County</t>
        </is>
      </c>
      <c r="H194" s="12" t="inlineStr">
        <is>
          <t>East River: 150 acres, 60 city blocks</t>
        </is>
      </c>
      <c r="I194" s="14" t="inlineStr">
        <is>
          <t>Partly</t>
        </is>
      </c>
      <c r="J194" s="15" t="inlineStr">
        <is>
          <t>East River is 60 city blocks on one site, phased over decades.</t>
        </is>
      </c>
      <c r="K194" s="14" t="inlineStr">
        <is>
          <t>No</t>
        </is>
      </c>
      <c r="L194" s="15" t="inlineStr">
        <is>
          <t>Sixty blocks of mixed-use. The buildings are one-offs, whatever the acreage.</t>
        </is>
      </c>
      <c r="M194" s="14" t="inlineStr">
        <is>
          <t>Partly</t>
        </is>
      </c>
      <c r="N194" s="15" t="inlineStr">
        <is>
          <t>District-scale design ambition, but no specific method precedent was found.</t>
        </is>
      </c>
      <c r="O194" s="14" t="inlineStr">
        <is>
          <t>No</t>
        </is>
      </c>
      <c r="P194" s="6" t="inlineStr">
        <is>
          <t>https://www.linkedin.com/in/robsigler/</t>
        </is>
      </c>
      <c r="Q194" s="12" t="inlineStr"/>
      <c r="R194" s="16">
        <f>IF(P194="","ADD LINKEDIN","ok")</f>
        <v/>
      </c>
      <c r="S194" s="12" t="inlineStr">
        <is>
          <t>https://www.midway.team/</t>
        </is>
      </c>
      <c r="T194" s="15" t="inlineStr">
        <is>
          <t>East River is 60 blocks on one site, and Midway kept sole development control after selling out of the Parkway joint venture in December 2024.</t>
        </is>
      </c>
      <c r="U194" s="12" t="inlineStr">
        <is>
          <t>YES</t>
        </is>
      </c>
      <c r="V194"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4" s="12" t="inlineStr"/>
      <c r="X194" s="12" t="inlineStr">
        <is>
          <t>https://www.linkedin.com/company/midway</t>
        </is>
      </c>
      <c r="Y194" s="12" t="inlineStr">
        <is>
          <t>https://www.midway.team/our-people</t>
        </is>
      </c>
      <c r="Z194" s="12" t="inlineStr"/>
    </row>
    <row r="195">
      <c r="A195" s="6" t="inlineStr">
        <is>
          <t>Anna Deans</t>
        </is>
      </c>
      <c r="B195" s="6" t="inlineStr">
        <is>
          <t>Midway</t>
        </is>
      </c>
      <c r="C195" s="6" t="inlineStr">
        <is>
          <t>Executive Vice President, Midway</t>
        </is>
      </c>
      <c r="D195" s="7" t="inlineStr">
        <is>
          <t>Creative project, hybrid job</t>
        </is>
      </c>
      <c r="E195" s="8" t="n">
        <v>2</v>
      </c>
      <c r="F195" s="6" t="inlineStr">
        <is>
          <t>Buys walls</t>
        </is>
      </c>
      <c r="G195" s="6" t="inlineStr">
        <is>
          <t>Houston HQ / East End, Harris County</t>
        </is>
      </c>
      <c r="H195" s="6" t="inlineStr">
        <is>
          <t>East River: 150 acres, 60 city blocks</t>
        </is>
      </c>
      <c r="I195" s="8" t="inlineStr">
        <is>
          <t>Partly</t>
        </is>
      </c>
      <c r="J195" s="9" t="inlineStr">
        <is>
          <t>East River is 60 city blocks on one site, phased over decades.</t>
        </is>
      </c>
      <c r="K195" s="8" t="inlineStr">
        <is>
          <t>No</t>
        </is>
      </c>
      <c r="L195" s="9" t="inlineStr">
        <is>
          <t>Sixty blocks of mixed-use. The buildings are one-offs, whatever the acreage.</t>
        </is>
      </c>
      <c r="M195" s="8" t="inlineStr">
        <is>
          <t>Partly</t>
        </is>
      </c>
      <c r="N195" s="9" t="inlineStr">
        <is>
          <t>District-scale design ambition, but no specific method precedent was found.</t>
        </is>
      </c>
      <c r="O195" s="8" t="inlineStr">
        <is>
          <t>No</t>
        </is>
      </c>
      <c r="P195" s="6" t="inlineStr">
        <is>
          <t>https://www.linkedin.com/in/anna-deans-bbbab03/</t>
        </is>
      </c>
      <c r="Q195" s="6" t="inlineStr"/>
      <c r="R195" s="11">
        <f>IF(P195="","ADD LINKEDIN","ok")</f>
        <v/>
      </c>
      <c r="S195" s="6" t="inlineStr">
        <is>
          <t>https://www.midway.team/</t>
        </is>
      </c>
      <c r="T195" s="9" t="inlineStr">
        <is>
          <t>East River is 60 blocks on one site, and Midway kept sole development control after selling out of the Parkway joint venture in December 2024.</t>
        </is>
      </c>
      <c r="U195" s="6" t="inlineStr"/>
      <c r="V195" s="9" t="inlineStr"/>
      <c r="W195" s="6" t="inlineStr"/>
      <c r="X195" s="6" t="inlineStr">
        <is>
          <t>https://www.linkedin.com/company/midway</t>
        </is>
      </c>
      <c r="Y195" s="6" t="inlineStr">
        <is>
          <t>https://www.midway.team/our-people</t>
        </is>
      </c>
      <c r="Z195" s="6" t="inlineStr"/>
    </row>
    <row r="196">
      <c r="A196" s="12" t="inlineStr">
        <is>
          <t>Paul Coonrod</t>
        </is>
      </c>
      <c r="B196" s="12" t="inlineStr">
        <is>
          <t>Pagewood</t>
        </is>
      </c>
      <c r="C196" s="12" t="inlineStr">
        <is>
          <t>Founder and Managing Principal</t>
        </is>
      </c>
      <c r="D196" s="13" t="inlineStr">
        <is>
          <t>Creative project, hybrid job</t>
        </is>
      </c>
      <c r="E196" s="14" t="n">
        <v>1</v>
      </c>
      <c r="F196" s="12" t="inlineStr">
        <is>
          <t>Buys walls</t>
        </is>
      </c>
      <c r="G196" s="12" t="inlineStr">
        <is>
          <t>Houston</t>
        </is>
      </c>
      <c r="H196" s="12" t="inlineStr">
        <is>
          <t>East Blocks phase one, 30,000 sf across two warehouses</t>
        </is>
      </c>
      <c r="I196" s="14" t="inlineStr">
        <is>
          <t>Partly</t>
        </is>
      </c>
      <c r="J196" s="15" t="inlineStr">
        <is>
          <t>Ten blocks under one plan is concentration, but every building is its own problem.</t>
        </is>
      </c>
      <c r="K196" s="14" t="inlineStr">
        <is>
          <t>No</t>
        </is>
      </c>
      <c r="L196" s="15" t="inlineStr">
        <is>
          <t>The phase-one programme is retail, office and parking rather than repeated units.</t>
        </is>
      </c>
      <c r="M196" s="14" t="inlineStr">
        <is>
          <t>No</t>
        </is>
      </c>
      <c r="N196" s="15" t="inlineStr">
        <is>
          <t>It chose to keep eighty-year-old warehouses that would have been cheaper to demolish. The partner said so on the record.</t>
        </is>
      </c>
      <c r="O196" s="14" t="inlineStr">
        <is>
          <t>Partly</t>
        </is>
      </c>
      <c r="P196" s="10" t="inlineStr"/>
      <c r="Q196" s="12">
        <f>HYPERLINK("https://www.linkedin.com/search/results/people/?keywords=Paul%20Coonrod%20Pagewood","search")</f>
        <v/>
      </c>
      <c r="R196" s="16">
        <f>IF(P196="","ADD LINKEDIN","ok")</f>
        <v/>
      </c>
      <c r="S196" s="12" t="inlineStr">
        <is>
          <t>https://www.pagewood.com/</t>
        </is>
      </c>
      <c r="T196" s="15" t="inlineStr">
        <is>
          <t>Ten contiguous EaDo blocks, 513,000 square feet in phase one, Gensler on design and SWA on landscape. It builds ground-up industrial elsewhere, so it is not conversion-only.</t>
        </is>
      </c>
      <c r="U196" s="12" t="inlineStr"/>
      <c r="V196" s="15" t="inlineStr"/>
      <c r="W196" s="12" t="inlineStr">
        <is>
          <t>https://www.pagewood.com/team</t>
        </is>
      </c>
      <c r="X196" s="12" t="inlineStr"/>
      <c r="Y196" s="12" t="inlineStr"/>
      <c r="Z196" s="12" t="inlineStr"/>
    </row>
    <row r="197">
      <c r="A197" s="6" t="inlineStr">
        <is>
          <t>Mat Volz</t>
        </is>
      </c>
      <c r="B197" s="6" t="inlineStr">
        <is>
          <t>Pagewood</t>
        </is>
      </c>
      <c r="C197" s="6" t="inlineStr">
        <is>
          <t>Managing Principal</t>
        </is>
      </c>
      <c r="D197" s="7" t="inlineStr">
        <is>
          <t>Creative project, hybrid job</t>
        </is>
      </c>
      <c r="E197" s="8" t="n">
        <v>1</v>
      </c>
      <c r="F197" s="6" t="inlineStr">
        <is>
          <t>Buys walls</t>
        </is>
      </c>
      <c r="G197" s="6" t="inlineStr">
        <is>
          <t>Houston</t>
        </is>
      </c>
      <c r="H197" s="6" t="inlineStr">
        <is>
          <t>East Blocks phase one, 30,000 sf across two warehouses</t>
        </is>
      </c>
      <c r="I197" s="8" t="inlineStr">
        <is>
          <t>Partly</t>
        </is>
      </c>
      <c r="J197" s="9" t="inlineStr">
        <is>
          <t>Ten blocks under one plan is concentration, but every building is its own problem.</t>
        </is>
      </c>
      <c r="K197" s="8" t="inlineStr">
        <is>
          <t>No</t>
        </is>
      </c>
      <c r="L197" s="9" t="inlineStr">
        <is>
          <t>The phase-one programme is retail, office and parking rather than repeated units.</t>
        </is>
      </c>
      <c r="M197" s="8" t="inlineStr">
        <is>
          <t>No</t>
        </is>
      </c>
      <c r="N197" s="9" t="inlineStr">
        <is>
          <t>It chose to keep eighty-year-old warehouses that would have been cheaper to demolish. The partner said so on the record.</t>
        </is>
      </c>
      <c r="O197" s="8" t="inlineStr">
        <is>
          <t>Partly</t>
        </is>
      </c>
      <c r="P197" s="6" t="inlineStr">
        <is>
          <t>https://www.linkedin.com/in/mathew-volz-14684850/</t>
        </is>
      </c>
      <c r="Q197" s="6" t="inlineStr"/>
      <c r="R197" s="11">
        <f>IF(P197="","ADD LINKEDIN","ok")</f>
        <v/>
      </c>
      <c r="S197" s="6" t="inlineStr">
        <is>
          <t>https://www.pagewood.com/</t>
        </is>
      </c>
      <c r="T197" s="9" t="inlineStr">
        <is>
          <t>Ten contiguous EaDo blocks, 513,000 square feet in phase one, Gensler on design and SWA on landscape. It builds ground-up industrial elsewhere, so it is not conversion-only.</t>
        </is>
      </c>
      <c r="U197" s="6" t="inlineStr"/>
      <c r="V197" s="9" t="inlineStr">
        <is>
          <t>Indexed title reads Mathew Volz, Managing Principal at Pagewood. The firm's team page spells the name Mat.</t>
        </is>
      </c>
      <c r="W197" s="6" t="inlineStr">
        <is>
          <t>https://www.pagewood.com/team</t>
        </is>
      </c>
      <c r="X197" s="6" t="inlineStr"/>
      <c r="Y197" s="6" t="inlineStr"/>
      <c r="Z197" s="6" t="inlineStr"/>
    </row>
    <row r="198">
      <c r="A198" s="12" t="inlineStr">
        <is>
          <t>Preston Luster</t>
        </is>
      </c>
      <c r="B198" s="12" t="inlineStr">
        <is>
          <t>Pagewood</t>
        </is>
      </c>
      <c r="C198" s="12" t="inlineStr">
        <is>
          <t>Senior Construction Manager</t>
        </is>
      </c>
      <c r="D198" s="13" t="inlineStr">
        <is>
          <t>Creative project, hybrid job</t>
        </is>
      </c>
      <c r="E198" s="14" t="n">
        <v>1</v>
      </c>
      <c r="F198" s="12" t="inlineStr">
        <is>
          <t>Buys walls</t>
        </is>
      </c>
      <c r="G198" s="12" t="inlineStr">
        <is>
          <t>Houston</t>
        </is>
      </c>
      <c r="H198" s="12" t="inlineStr">
        <is>
          <t>East Blocks phase one, 30,000 sf across two warehouses</t>
        </is>
      </c>
      <c r="I198" s="14" t="inlineStr">
        <is>
          <t>Partly</t>
        </is>
      </c>
      <c r="J198" s="15" t="inlineStr">
        <is>
          <t>Ten blocks under one plan is concentration, but every building is its own problem.</t>
        </is>
      </c>
      <c r="K198" s="14" t="inlineStr">
        <is>
          <t>No</t>
        </is>
      </c>
      <c r="L198" s="15" t="inlineStr">
        <is>
          <t>The phase-one programme is retail, office and parking rather than repeated units.</t>
        </is>
      </c>
      <c r="M198" s="14" t="inlineStr">
        <is>
          <t>No</t>
        </is>
      </c>
      <c r="N198" s="15" t="inlineStr">
        <is>
          <t>It chose to keep eighty-year-old warehouses that would have been cheaper to demolish. The partner said so on the record.</t>
        </is>
      </c>
      <c r="O198" s="14" t="inlineStr">
        <is>
          <t>Partly</t>
        </is>
      </c>
      <c r="P198" s="10" t="inlineStr"/>
      <c r="Q198" s="12">
        <f>HYPERLINK("https://www.linkedin.com/search/results/people/?keywords=Preston%20Luster%20Pagewood","search")</f>
        <v/>
      </c>
      <c r="R198" s="16">
        <f>IF(P198="","ADD LINKEDIN","ok")</f>
        <v/>
      </c>
      <c r="S198" s="12" t="inlineStr">
        <is>
          <t>https://www.pagewood.com/</t>
        </is>
      </c>
      <c r="T198" s="15" t="inlineStr">
        <is>
          <t>Ten contiguous EaDo blocks, 513,000 square feet in phase one, Gensler on design and SWA on landscape. It builds ground-up industrial elsewhere, so it is not conversion-only.</t>
        </is>
      </c>
      <c r="U198" s="12" t="inlineStr"/>
      <c r="V198" s="15" t="inlineStr"/>
      <c r="W198" s="12" t="inlineStr">
        <is>
          <t>https://www.pagewood.com/team</t>
        </is>
      </c>
      <c r="X198" s="12" t="inlineStr"/>
      <c r="Y198" s="12" t="inlineStr"/>
      <c r="Z198" s="12" t="inlineStr"/>
    </row>
    <row r="199">
      <c r="A199" s="6" t="inlineStr">
        <is>
          <t>David Kelley</t>
        </is>
      </c>
      <c r="B199" s="6" t="inlineStr">
        <is>
          <t>Concept Neighborhood</t>
        </is>
      </c>
      <c r="C199" s="6" t="inlineStr">
        <is>
          <t>Managing Partner, Projects and Finance</t>
        </is>
      </c>
      <c r="D199" s="7" t="inlineStr">
        <is>
          <t>Creative project, hybrid job</t>
        </is>
      </c>
      <c r="E199" s="8" t="n">
        <v>1</v>
      </c>
      <c r="F199" s="6" t="inlineStr">
        <is>
          <t>Buys walls</t>
        </is>
      </c>
      <c r="G199" s="6" t="inlineStr">
        <is>
          <t>East End, Harris</t>
        </is>
      </c>
      <c r="H199" s="6" t="inlineStr">
        <is>
          <t>17 acres at The Plant, Second Ward</t>
        </is>
      </c>
      <c r="I199" s="8" t="inlineStr">
        <is>
          <t>No</t>
        </is>
      </c>
      <c r="J199" s="9" t="inlineStr">
        <is>
          <t>Four blocks of eighty-year-old industrial buildings, each one different. There is no plan to repeat.</t>
        </is>
      </c>
      <c r="K199" s="8" t="inlineStr">
        <is>
          <t>No</t>
        </is>
      </c>
      <c r="L199" s="9" t="inlineStr">
        <is>
          <t>Conversion work leaves little new wall. A printed element would have to be an addition rather than the building.</t>
        </is>
      </c>
      <c r="M199" s="8" t="inlineStr">
        <is>
          <t>Partly</t>
        </is>
      </c>
      <c r="N199" s="9" t="inlineStr">
        <is>
          <t>They restored an 1890s building to open Axelrad and took a National Register industrial basilica on at The Factory. This is a team that chooses the harder build on purpose.</t>
        </is>
      </c>
      <c r="O199" s="8" t="inlineStr">
        <is>
          <t>No</t>
        </is>
      </c>
      <c r="P199" s="6" t="inlineStr">
        <is>
          <t>https://www.linkedin.com/in/david-kelley-275240105/</t>
        </is>
      </c>
      <c r="Q199" s="6" t="inlineStr"/>
      <c r="R199" s="11">
        <f>IF(P199="","ADD LINKEDIN","ok")</f>
        <v/>
      </c>
      <c r="S199" s="6" t="inlineStr">
        <is>
          <t>https://www.conceptneighborhood.com/</t>
        </is>
      </c>
      <c r="T199" s="9" t="inlineStr">
        <is>
          <t>The only firm screened whose founders operate hospitality themselves rather than leasing to operators. Seventeen acres of industrial conversion in the East End.</t>
        </is>
      </c>
      <c r="U199" s="6" t="inlineStr"/>
      <c r="V199" s="9" t="inlineStr"/>
      <c r="W199" s="6" t="inlineStr">
        <is>
          <t>https://www.conceptneighborhood.com/team</t>
        </is>
      </c>
      <c r="X199" s="6" t="inlineStr"/>
      <c r="Y199" s="6" t="inlineStr"/>
      <c r="Z199" s="6" t="inlineStr"/>
    </row>
    <row r="200">
      <c r="A200" s="12" t="inlineStr">
        <is>
          <t>Jeffrey Kaplan</t>
        </is>
      </c>
      <c r="B200" s="12" t="inlineStr">
        <is>
          <t>Concept Neighborhood</t>
        </is>
      </c>
      <c r="C200" s="12" t="inlineStr">
        <is>
          <t>Managing Partner, Brokerage and Placemaking, co-founder of Axelrad</t>
        </is>
      </c>
      <c r="D200" s="13" t="inlineStr">
        <is>
          <t>Creative project, hybrid job</t>
        </is>
      </c>
      <c r="E200" s="14" t="n">
        <v>1</v>
      </c>
      <c r="F200" s="12" t="inlineStr">
        <is>
          <t>Buys walls</t>
        </is>
      </c>
      <c r="G200" s="12" t="inlineStr">
        <is>
          <t>East End, Harris</t>
        </is>
      </c>
      <c r="H200" s="12" t="inlineStr">
        <is>
          <t>17 acres at The Plant, Second Ward</t>
        </is>
      </c>
      <c r="I200" s="14" t="inlineStr">
        <is>
          <t>No</t>
        </is>
      </c>
      <c r="J200" s="15" t="inlineStr">
        <is>
          <t>Four blocks of eighty-year-old industrial buildings, each one different. There is no plan to repeat.</t>
        </is>
      </c>
      <c r="K200" s="14" t="inlineStr">
        <is>
          <t>No</t>
        </is>
      </c>
      <c r="L200" s="15" t="inlineStr">
        <is>
          <t>Conversion work leaves little new wall. A printed element would have to be an addition rather than the building.</t>
        </is>
      </c>
      <c r="M200" s="14" t="inlineStr">
        <is>
          <t>Partly</t>
        </is>
      </c>
      <c r="N200" s="15" t="inlineStr">
        <is>
          <t>They restored an 1890s building to open Axelrad and took a National Register industrial basilica on at The Factory. This is a team that chooses the harder build on purpose.</t>
        </is>
      </c>
      <c r="O200" s="14" t="inlineStr">
        <is>
          <t>No</t>
        </is>
      </c>
      <c r="P200" s="6" t="inlineStr">
        <is>
          <t>https://www.linkedin.com/in/jeffrey-kaplan-71190150/</t>
        </is>
      </c>
      <c r="Q200" s="12" t="inlineStr"/>
      <c r="R200" s="16">
        <f>IF(P200="","ADD LINKEDIN","ok")</f>
        <v/>
      </c>
      <c r="S200" s="12" t="inlineStr">
        <is>
          <t>https://www.conceptneighborhood.com/</t>
        </is>
      </c>
      <c r="T200" s="15" t="inlineStr">
        <is>
          <t>The only firm screened whose founders operate hospitality themselves rather than leasing to operators. Seventeen acres of industrial conversion in the East End.</t>
        </is>
      </c>
      <c r="U200" s="12" t="inlineStr"/>
      <c r="V200" s="15" t="inlineStr"/>
      <c r="W200" s="12" t="inlineStr">
        <is>
          <t>https://www.conceptneighborhood.com/team</t>
        </is>
      </c>
      <c r="X200" s="12" t="inlineStr"/>
      <c r="Y200" s="12" t="inlineStr"/>
      <c r="Z200" s="12" t="inlineStr"/>
    </row>
    <row r="201">
      <c r="A201" s="6" t="inlineStr">
        <is>
          <t>Monte Large</t>
        </is>
      </c>
      <c r="B201" s="6" t="inlineStr">
        <is>
          <t>Concept Neighborhood</t>
        </is>
      </c>
      <c r="C201" s="6" t="inlineStr">
        <is>
          <t>Partner, Design and Placemaking</t>
        </is>
      </c>
      <c r="D201" s="7" t="inlineStr">
        <is>
          <t>Creative project, hybrid job</t>
        </is>
      </c>
      <c r="E201" s="8" t="n">
        <v>1</v>
      </c>
      <c r="F201" s="6" t="inlineStr">
        <is>
          <t>Buys walls</t>
        </is>
      </c>
      <c r="G201" s="6" t="inlineStr">
        <is>
          <t>East End, Harris</t>
        </is>
      </c>
      <c r="H201" s="6" t="inlineStr">
        <is>
          <t>17 acres at The Plant, Second Ward</t>
        </is>
      </c>
      <c r="I201" s="8" t="inlineStr">
        <is>
          <t>No</t>
        </is>
      </c>
      <c r="J201" s="9" t="inlineStr">
        <is>
          <t>Four blocks of eighty-year-old industrial buildings, each one different. There is no plan to repeat.</t>
        </is>
      </c>
      <c r="K201" s="8" t="inlineStr">
        <is>
          <t>No</t>
        </is>
      </c>
      <c r="L201" s="9" t="inlineStr">
        <is>
          <t>Conversion work leaves little new wall. A printed element would have to be an addition rather than the building.</t>
        </is>
      </c>
      <c r="M201" s="8" t="inlineStr">
        <is>
          <t>Partly</t>
        </is>
      </c>
      <c r="N201" s="9" t="inlineStr">
        <is>
          <t>They restored an 1890s building to open Axelrad and took a National Register industrial basilica on at The Factory. This is a team that chooses the harder build on purpose.</t>
        </is>
      </c>
      <c r="O201" s="8" t="inlineStr">
        <is>
          <t>No</t>
        </is>
      </c>
      <c r="P201" s="6" t="inlineStr">
        <is>
          <t>https://www.linkedin.com/in/montelarge/</t>
        </is>
      </c>
      <c r="Q201" s="6" t="inlineStr"/>
      <c r="R201" s="11">
        <f>IF(P201="","ADD LINKEDIN","ok")</f>
        <v/>
      </c>
      <c r="S201" s="6" t="inlineStr">
        <is>
          <t>https://www.conceptneighborhood.com/</t>
        </is>
      </c>
      <c r="T201" s="9" t="inlineStr">
        <is>
          <t>The only firm screened whose founders operate hospitality themselves rather than leasing to operators. Seventeen acres of industrial conversion in the East End.</t>
        </is>
      </c>
      <c r="U201" s="6" t="inlineStr"/>
      <c r="V201" s="9" t="inlineStr"/>
      <c r="W201" s="6" t="inlineStr">
        <is>
          <t>https://www.conceptneighborhood.com/team</t>
        </is>
      </c>
      <c r="X201" s="6" t="inlineStr"/>
      <c r="Y201" s="6" t="inlineStr"/>
      <c r="Z201" s="6" t="inlineStr"/>
    </row>
    <row r="202">
      <c r="A202" s="12" t="inlineStr">
        <is>
          <t>Jeremy Roberts</t>
        </is>
      </c>
      <c r="B202" s="12" t="inlineStr">
        <is>
          <t>Concept Neighborhood</t>
        </is>
      </c>
      <c r="C202" s="12" t="inlineStr">
        <is>
          <t>Managing Partner, Projects and Legal</t>
        </is>
      </c>
      <c r="D202" s="13" t="inlineStr">
        <is>
          <t>Creative project, hybrid job</t>
        </is>
      </c>
      <c r="E202" s="14" t="n">
        <v>1</v>
      </c>
      <c r="F202" s="12" t="inlineStr">
        <is>
          <t>Buys walls</t>
        </is>
      </c>
      <c r="G202" s="12" t="inlineStr">
        <is>
          <t>East End, Harris</t>
        </is>
      </c>
      <c r="H202" s="12" t="inlineStr">
        <is>
          <t>17 acres at The Plant, Second Ward</t>
        </is>
      </c>
      <c r="I202" s="14" t="inlineStr">
        <is>
          <t>No</t>
        </is>
      </c>
      <c r="J202" s="15" t="inlineStr">
        <is>
          <t>Four blocks of eighty-year-old industrial buildings, each one different. There is no plan to repeat.</t>
        </is>
      </c>
      <c r="K202" s="14" t="inlineStr">
        <is>
          <t>No</t>
        </is>
      </c>
      <c r="L202" s="15" t="inlineStr">
        <is>
          <t>Conversion work leaves little new wall. A printed element would have to be an addition rather than the building.</t>
        </is>
      </c>
      <c r="M202" s="14" t="inlineStr">
        <is>
          <t>Partly</t>
        </is>
      </c>
      <c r="N202" s="15" t="inlineStr">
        <is>
          <t>They restored an 1890s building to open Axelrad and took a National Register industrial basilica on at The Factory. This is a team that chooses the harder build on purpose.</t>
        </is>
      </c>
      <c r="O202" s="14" t="inlineStr">
        <is>
          <t>No</t>
        </is>
      </c>
      <c r="P202" s="6" t="inlineStr">
        <is>
          <t>https://www.linkedin.com/in/jeremyaaronroberts/</t>
        </is>
      </c>
      <c r="Q202" s="12" t="inlineStr"/>
      <c r="R202" s="16">
        <f>IF(P202="","ADD LINKEDIN","ok")</f>
        <v/>
      </c>
      <c r="S202" s="12" t="inlineStr">
        <is>
          <t>https://www.conceptneighborhood.com/</t>
        </is>
      </c>
      <c r="T202" s="15" t="inlineStr">
        <is>
          <t>The only firm screened whose founders operate hospitality themselves rather than leasing to operators. Seventeen acres of industrial conversion in the East End.</t>
        </is>
      </c>
      <c r="U202" s="12" t="inlineStr"/>
      <c r="V202" s="15" t="inlineStr"/>
      <c r="W202" s="12" t="inlineStr">
        <is>
          <t>https://www.conceptneighborhood.com/team</t>
        </is>
      </c>
      <c r="X202" s="12" t="inlineStr"/>
      <c r="Y202" s="12" t="inlineStr"/>
      <c r="Z202" s="12" t="inlineStr"/>
    </row>
    <row r="203">
      <c r="A203" s="6" t="inlineStr">
        <is>
          <t>Randolph Wile</t>
        </is>
      </c>
      <c r="B203" s="6" t="inlineStr">
        <is>
          <t>Wile Interests</t>
        </is>
      </c>
      <c r="C203" s="6" t="inlineStr">
        <is>
          <t>Founder and President</t>
        </is>
      </c>
      <c r="D203" s="7" t="inlineStr">
        <is>
          <t>Creative project, hybrid job</t>
        </is>
      </c>
      <c r="E203" s="8" t="n">
        <v>1</v>
      </c>
      <c r="F203" s="6" t="inlineStr">
        <is>
          <t>Buys walls</t>
        </is>
      </c>
      <c r="G203" s="6" t="inlineStr">
        <is>
          <t>Houston and Katy</t>
        </is>
      </c>
      <c r="H203" s="6" t="inlineStr">
        <is>
          <t>Ground-up in Katy, adaptive reuse in EaDo</t>
        </is>
      </c>
      <c r="I203" s="8" t="inlineStr">
        <is>
          <t>Partly</t>
        </is>
      </c>
      <c r="J203" s="9" t="inlineStr">
        <is>
          <t>Two quite different programmes in two submarkets. No repeated unit.</t>
        </is>
      </c>
      <c r="K203" s="8" t="inlineStr">
        <is>
          <t>No</t>
        </is>
      </c>
      <c r="L203" s="9" t="inlineStr">
        <is>
          <t>Medical office and retail shells rather than houses.</t>
        </is>
      </c>
      <c r="M203" s="8" t="inlineStr">
        <is>
          <t>No</t>
        </is>
      </c>
      <c r="N203" s="9" t="inlineStr">
        <is>
          <t>Its president is the one quoted explaining why the firm kept the old warehouses instead of clearing the site.</t>
        </is>
      </c>
      <c r="O203" s="8" t="inlineStr">
        <is>
          <t>No</t>
        </is>
      </c>
      <c r="P203" s="6" t="inlineStr">
        <is>
          <t>https://www.linkedin.com/in/randolph-wile/</t>
        </is>
      </c>
      <c r="Q203" s="6" t="inlineStr"/>
      <c r="R203" s="11">
        <f>IF(P203="","ADD LINKEDIN","ok")</f>
        <v/>
      </c>
      <c r="S203" s="6" t="inlineStr">
        <is>
          <t>https://www.wileinterests.com/</t>
        </is>
      </c>
      <c r="T203" s="9" t="inlineStr">
        <is>
          <t>Ground-up medical and retail in Katy, conversion in EaDo.</t>
        </is>
      </c>
      <c r="U203" s="6" t="inlineStr"/>
      <c r="V203" s="9" t="inlineStr">
        <is>
          <t>Indexed title reads Randolph Wile, Wile Interests, Inc. The Real Deal, November 2023, quotes Wile Interests president Randolph Wile.</t>
        </is>
      </c>
      <c r="W203" s="6" t="inlineStr">
        <is>
          <t>https://therealdeal.com/texas/houston/2023/11/13/pagewood-wile-to-convert-eado-houston-warehouses/</t>
        </is>
      </c>
      <c r="X203" s="6" t="inlineStr"/>
      <c r="Y203" s="6" t="inlineStr"/>
      <c r="Z203" s="6" t="inlineStr"/>
    </row>
    <row r="204">
      <c r="A204" s="12" t="inlineStr">
        <is>
          <t>Paul J. Romanowski</t>
        </is>
      </c>
      <c r="B204" s="12" t="inlineStr">
        <is>
          <t>D.R. Horton, Inc.</t>
        </is>
      </c>
      <c r="C204" s="12" t="inlineStr">
        <is>
          <t>President and Chief Executive Officer</t>
        </is>
      </c>
      <c r="D204" s="13" t="inlineStr">
        <is>
          <t>National scale, pilot not purchase</t>
        </is>
      </c>
      <c r="E204" s="14" t="n">
        <v>3</v>
      </c>
      <c r="F204" s="12" t="inlineStr">
        <is>
          <t>Buys walls</t>
        </is>
      </c>
      <c r="G204" s="12" t="inlineStr">
        <is>
          <t>Arlington HQ / Sugar Land, Richmond, Conroe</t>
        </is>
      </c>
      <c r="H204" s="12" t="inlineStr">
        <is>
          <t>372 Houston permits in August 2026, first in the metro</t>
        </is>
      </c>
      <c r="I204" s="14" t="inlineStr">
        <is>
          <t>Yes</t>
        </is>
      </c>
      <c r="J204" s="15" t="inlineStr">
        <is>
          <t>65 Houston communities and 668 standing homes at one time, on a national plan library.</t>
        </is>
      </c>
      <c r="K204" s="14" t="inlineStr">
        <is>
          <t>Partly</t>
        </is>
      </c>
      <c r="L204" s="15" t="inlineStr">
        <is>
          <t>84,863 closings a year is far above the band one or two printers cover, so the first order is a pilot inside one division rather than a purchase.</t>
        </is>
      </c>
      <c r="M204" s="14" t="inlineStr">
        <is>
          <t>Yes</t>
        </is>
      </c>
      <c r="N204" s="15" t="inlineStr">
        <is>
          <t>Strategic investment in Apis Cor, March 2024, amount undisclosed. It is the only equity position in a printed wall system on this deck.</t>
        </is>
      </c>
      <c r="O204" s="14" t="inlineStr">
        <is>
          <t>Yes</t>
        </is>
      </c>
      <c r="P204" s="10" t="inlineStr"/>
      <c r="Q204" s="12">
        <f>HYPERLINK("https://www.linkedin.com/search/results/people/?keywords=Paul%20J.%20Romanowski%20D.R.%20Horton%2C%20Inc.","search")</f>
        <v/>
      </c>
      <c r="R204" s="16">
        <f>IF(P204="","ADD LINKEDIN","ok")</f>
        <v/>
      </c>
      <c r="S204" s="12" t="inlineStr">
        <is>
          <t>https://www.drhorton.com/texas/houston</t>
        </is>
      </c>
      <c r="T204" s="15" t="inlineStr">
        <is>
          <t>It has already bought equity in a printed wall system, and it builds more houses in Houston than anyone else.</t>
        </is>
      </c>
      <c r="U204" s="12" t="inlineStr"/>
      <c r="V204" s="15" t="inlineStr"/>
      <c r="W204" s="12" t="inlineStr">
        <is>
          <t>https://investor.drhorton.com/corporate-governance/executive-officers</t>
        </is>
      </c>
      <c r="X204" s="12" t="inlineStr"/>
      <c r="Y204" s="12" t="inlineStr"/>
      <c r="Z204" s="12" t="inlineStr"/>
    </row>
    <row r="205">
      <c r="A205" s="6" t="inlineStr">
        <is>
          <t>Michael J. Murray</t>
        </is>
      </c>
      <c r="B205" s="6" t="inlineStr">
        <is>
          <t>D.R. Horton, Inc.</t>
        </is>
      </c>
      <c r="C205" s="6" t="inlineStr">
        <is>
          <t>Executive Vice President and Chief Operating Officer</t>
        </is>
      </c>
      <c r="D205" s="7" t="inlineStr">
        <is>
          <t>National scale, pilot not purchase</t>
        </is>
      </c>
      <c r="E205" s="8" t="n">
        <v>3</v>
      </c>
      <c r="F205" s="6" t="inlineStr">
        <is>
          <t>Buys walls</t>
        </is>
      </c>
      <c r="G205" s="6" t="inlineStr">
        <is>
          <t>Arlington HQ / Sugar Land, Richmond, Conroe</t>
        </is>
      </c>
      <c r="H205" s="6" t="inlineStr">
        <is>
          <t>372 Houston permits in August 2026, first in the metro</t>
        </is>
      </c>
      <c r="I205" s="8" t="inlineStr">
        <is>
          <t>Yes</t>
        </is>
      </c>
      <c r="J205" s="9" t="inlineStr">
        <is>
          <t>65 Houston communities and 668 standing homes at one time, on a national plan library.</t>
        </is>
      </c>
      <c r="K205" s="8" t="inlineStr">
        <is>
          <t>Partly</t>
        </is>
      </c>
      <c r="L205" s="9" t="inlineStr">
        <is>
          <t>84,863 closings a year is far above the band one or two printers cover, so the first order is a pilot inside one division rather than a purchase.</t>
        </is>
      </c>
      <c r="M205" s="8" t="inlineStr">
        <is>
          <t>Yes</t>
        </is>
      </c>
      <c r="N205" s="9" t="inlineStr">
        <is>
          <t>Strategic investment in Apis Cor, March 2024, amount undisclosed. It is the only equity position in a printed wall system on this deck.</t>
        </is>
      </c>
      <c r="O205" s="8" t="inlineStr">
        <is>
          <t>Yes</t>
        </is>
      </c>
      <c r="P205" s="10" t="inlineStr"/>
      <c r="Q205" s="6">
        <f>HYPERLINK("https://www.linkedin.com/search/results/people/?keywords=Michael%20J.%20Murray%20D.R.%20Horton%2C%20Inc.","search")</f>
        <v/>
      </c>
      <c r="R205" s="11">
        <f>IF(P205="","ADD LINKEDIN","ok")</f>
        <v/>
      </c>
      <c r="S205" s="6" t="inlineStr">
        <is>
          <t>https://www.drhorton.com/texas/houston</t>
        </is>
      </c>
      <c r="T205" s="9" t="inlineStr">
        <is>
          <t>It has already bought equity in a printed wall system, and it builds more houses in Houston than anyone else.</t>
        </is>
      </c>
      <c r="U205" s="6" t="inlineStr"/>
      <c r="V205" s="9" t="inlineStr"/>
      <c r="W205" s="6" t="inlineStr">
        <is>
          <t>https://investor.drhorton.com/corporate-governance/executive-officers</t>
        </is>
      </c>
      <c r="X205" s="6" t="inlineStr"/>
      <c r="Y205" s="6" t="inlineStr"/>
      <c r="Z205" s="6" t="inlineStr"/>
    </row>
    <row r="206">
      <c r="A206" s="12" t="inlineStr">
        <is>
          <t>Brad Conlon</t>
        </is>
      </c>
      <c r="B206" s="12" t="inlineStr">
        <is>
          <t>D.R. Horton, Inc.</t>
        </is>
      </c>
      <c r="C206" s="12" t="inlineStr">
        <is>
          <t>Senior Vice President of Business Development</t>
        </is>
      </c>
      <c r="D206" s="13" t="inlineStr">
        <is>
          <t>National scale, pilot not purchase</t>
        </is>
      </c>
      <c r="E206" s="14" t="n">
        <v>3</v>
      </c>
      <c r="F206" s="12" t="inlineStr">
        <is>
          <t>Buys walls</t>
        </is>
      </c>
      <c r="G206" s="12" t="inlineStr">
        <is>
          <t>Arlington HQ / Sugar Land, Richmond, Conroe</t>
        </is>
      </c>
      <c r="H206" s="12" t="inlineStr">
        <is>
          <t>372 Houston permits in August 2026, first in the metro</t>
        </is>
      </c>
      <c r="I206" s="14" t="inlineStr">
        <is>
          <t>Yes</t>
        </is>
      </c>
      <c r="J206" s="15" t="inlineStr">
        <is>
          <t>65 Houston communities and 668 standing homes at one time, on a national plan library.</t>
        </is>
      </c>
      <c r="K206" s="14" t="inlineStr">
        <is>
          <t>Partly</t>
        </is>
      </c>
      <c r="L206" s="15" t="inlineStr">
        <is>
          <t>84,863 closings a year is far above the band one or two printers cover, so the first order is a pilot inside one division rather than a purchase.</t>
        </is>
      </c>
      <c r="M206" s="14" t="inlineStr">
        <is>
          <t>Yes</t>
        </is>
      </c>
      <c r="N206" s="15" t="inlineStr">
        <is>
          <t>Strategic investment in Apis Cor, March 2024, amount undisclosed. It is the only equity position in a printed wall system on this deck.</t>
        </is>
      </c>
      <c r="O206" s="14" t="inlineStr">
        <is>
          <t>Yes</t>
        </is>
      </c>
      <c r="P206" s="10" t="inlineStr"/>
      <c r="Q206" s="12">
        <f>HYPERLINK("https://www.linkedin.com/search/results/people/?keywords=Brad%20Conlon%20D.R.%20Horton%2C%20Inc.","search")</f>
        <v/>
      </c>
      <c r="R206" s="16">
        <f>IF(P206="","ADD LINKEDIN","ok")</f>
        <v/>
      </c>
      <c r="S206" s="12" t="inlineStr">
        <is>
          <t>https://www.drhorton.com/texas/houston</t>
        </is>
      </c>
      <c r="T206" s="15" t="inlineStr">
        <is>
          <t>It has already bought equity in a printed wall system, and it builds more houses in Houston than anyone else.</t>
        </is>
      </c>
      <c r="U206" s="12" t="inlineStr">
        <is>
          <t>YES</t>
        </is>
      </c>
      <c r="V206" s="15" t="inlineStr">
        <is>
          <t>The seat that spoke for the company on the Apis Cor investment. He is not one of the four executive officers, so this sits below the officer tier.</t>
        </is>
      </c>
      <c r="W206" s="12" t="inlineStr">
        <is>
          <t>https://www.prnewswire.com/news-releases/apis-cor-a-manufacturer-of-construction-3d-printing-robots-announces-strategic-investment-by-dr-horton-302084850.html</t>
        </is>
      </c>
      <c r="X206" s="12" t="inlineStr"/>
      <c r="Y206" s="12" t="inlineStr"/>
      <c r="Z206" s="12" t="inlineStr"/>
    </row>
    <row r="207">
      <c r="A207" s="6" t="inlineStr">
        <is>
          <t>Saun Sullivan</t>
        </is>
      </c>
      <c r="B207" s="6" t="inlineStr">
        <is>
          <t>DSLD Homes</t>
        </is>
      </c>
      <c r="C207" s="6" t="inlineStr">
        <is>
          <t>Chief Executive Officer</t>
        </is>
      </c>
      <c r="D207" s="7" t="inlineStr">
        <is>
          <t>National scale, pilot not purchase</t>
        </is>
      </c>
      <c r="E207" s="8" t="n">
        <v>2</v>
      </c>
      <c r="F207" s="6" t="inlineStr">
        <is>
          <t>Buys walls</t>
        </is>
      </c>
      <c r="G207" s="6" t="inlineStr">
        <is>
          <t>Baton Rouge HQ / Bonney, Magnolia, Montgomery</t>
        </is>
      </c>
      <c r="H207" s="6" t="inlineStr">
        <is>
          <t>3,989 closings in 2025, three Houston communities</t>
        </is>
      </c>
      <c r="I207" s="8" t="inlineStr">
        <is>
          <t>Yes</t>
        </is>
      </c>
      <c r="J207" s="9" t="inlineStr">
        <is>
          <t>Three Houston communities drawn from a plan library that runs across six states.</t>
        </is>
      </c>
      <c r="K207" s="8" t="inlineStr">
        <is>
          <t>Partly</t>
        </is>
      </c>
      <c r="L207" s="9" t="inlineStr">
        <is>
          <t>3,989 closings a year sits above the band one or two printers cover. The Houston division is three communities of it.</t>
        </is>
      </c>
      <c r="M207" s="8" t="inlineStr">
        <is>
          <t>No</t>
        </is>
      </c>
      <c r="N207" s="9" t="inlineStr">
        <is>
          <t>Nothing on record. Its about page names energy efficiency and structural excellence and no method.</t>
        </is>
      </c>
      <c r="O207" s="8" t="inlineStr">
        <is>
          <t>Yes</t>
        </is>
      </c>
      <c r="P207" s="10" t="inlineStr"/>
      <c r="Q207" s="6">
        <f>HYPERLINK("https://www.linkedin.com/search/results/people/?keywords=Saun%20Sullivan%20DSLD%20Homes","search")</f>
        <v/>
      </c>
      <c r="R207" s="11">
        <f>IF(P207="","ADD LINKEDIN","ok")</f>
        <v/>
      </c>
      <c r="S207" s="6" t="inlineStr">
        <is>
          <t>https://www.dsldhomes.com/</t>
        </is>
      </c>
      <c r="T207" s="9" t="inlineStr">
        <is>
          <t>Three Houston communities opened out of a 120-community plan library, and a build-to-rent line inside it.</t>
        </is>
      </c>
      <c r="U207" s="6" t="inlineStr"/>
      <c r="V207" s="9" t="inlineStr"/>
      <c r="W207" s="6" t="inlineStr">
        <is>
          <t>https://www.builderonline.com/firms/dsld-homes/</t>
        </is>
      </c>
      <c r="X207" s="6" t="inlineStr"/>
      <c r="Y207" s="6" t="inlineStr"/>
      <c r="Z207" s="6" t="inlineStr"/>
    </row>
    <row r="208">
      <c r="A208" s="12" t="inlineStr">
        <is>
          <t>Jay Brown</t>
        </is>
      </c>
      <c r="B208" s="12" t="inlineStr">
        <is>
          <t>David Weekley Homes</t>
        </is>
      </c>
      <c r="C208" s="12" t="inlineStr">
        <is>
          <t>Chief Executive Officer</t>
        </is>
      </c>
      <c r="D208" s="13" t="inlineStr">
        <is>
          <t>National scale, pilot not purchase</t>
        </is>
      </c>
      <c r="E208" s="14" t="n">
        <v>2</v>
      </c>
      <c r="F208" s="12" t="inlineStr">
        <is>
          <t>Buys walls</t>
        </is>
      </c>
      <c r="G208" s="12" t="inlineStr">
        <is>
          <t>Houston HQ, Harris County</t>
        </is>
      </c>
      <c r="H208" s="12" t="inlineStr">
        <is>
          <t>125,000+ homes, 19 markets, Houston HQ</t>
        </is>
      </c>
      <c r="I208" s="14" t="inlineStr">
        <is>
          <t>Yes</t>
        </is>
      </c>
      <c r="J208" s="15" t="inlineStr">
        <is>
          <t>Houston is the firm's home market and it builds across the metro.</t>
        </is>
      </c>
      <c r="K208" s="14" t="inlineStr">
        <is>
          <t>No</t>
        </is>
      </c>
      <c r="L208" s="15" t="inlineStr">
        <is>
          <t>A national builder with a national supply chain.</t>
        </is>
      </c>
      <c r="M208" s="14" t="inlineStr">
        <is>
          <t>Partly</t>
        </is>
      </c>
      <c r="N208" s="15" t="inlineStr">
        <is>
          <t>Its 2026 preferred-partner list names cladding, roofing, weather barrier, structural connectors and engineered framing. That is the envelope, and it is a supply-chain commitment rather than a method.</t>
        </is>
      </c>
      <c r="O208" s="14" t="inlineStr">
        <is>
          <t>Partly</t>
        </is>
      </c>
      <c r="P208" s="6" t="inlineStr">
        <is>
          <t>https://www.linkedin.com/in/jay-brown-14305a12/</t>
        </is>
      </c>
      <c r="Q208" s="12" t="inlineStr"/>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Chief Executive Officer at David Weekley Homes. Houston, Texas.</t>
        </is>
      </c>
      <c r="W208" s="12" t="inlineStr"/>
      <c r="X208" s="12" t="inlineStr">
        <is>
          <t>https://www.linkedin.com/company/david-weekley-homes</t>
        </is>
      </c>
      <c r="Y208" s="12" t="inlineStr">
        <is>
          <t>https://www.davidweekleyhomes.com/about-us/meet-the-team</t>
        </is>
      </c>
      <c r="Z208" s="12" t="inlineStr"/>
    </row>
    <row r="209">
      <c r="A209" s="6" t="inlineStr">
        <is>
          <t>Chris Weekley</t>
        </is>
      </c>
      <c r="B209" s="6" t="inlineStr">
        <is>
          <t>David Weekley Homes</t>
        </is>
      </c>
      <c r="C209" s="6" t="inlineStr">
        <is>
          <t>President and Vice Chairman</t>
        </is>
      </c>
      <c r="D209" s="7" t="inlineStr">
        <is>
          <t>National scale, pilot not purchase</t>
        </is>
      </c>
      <c r="E209" s="8" t="n">
        <v>2</v>
      </c>
      <c r="F209" s="6" t="inlineStr">
        <is>
          <t>Buys walls</t>
        </is>
      </c>
      <c r="G209" s="6" t="inlineStr">
        <is>
          <t>Houston HQ, Harris County</t>
        </is>
      </c>
      <c r="H209" s="6" t="inlineStr">
        <is>
          <t>125,000+ homes, 19 markets, Houston HQ</t>
        </is>
      </c>
      <c r="I209" s="8" t="inlineStr">
        <is>
          <t>Yes</t>
        </is>
      </c>
      <c r="J209" s="9" t="inlineStr">
        <is>
          <t>Houston is the firm's home market and it builds across the metro.</t>
        </is>
      </c>
      <c r="K209" s="8" t="inlineStr">
        <is>
          <t>No</t>
        </is>
      </c>
      <c r="L209" s="9" t="inlineStr">
        <is>
          <t>A national builder with a national supply chain.</t>
        </is>
      </c>
      <c r="M209" s="8" t="inlineStr">
        <is>
          <t>Partly</t>
        </is>
      </c>
      <c r="N209" s="9" t="inlineStr">
        <is>
          <t>Its 2026 preferred-partner list names cladding, roofing, weather barrier, structural connectors and engineered framing. That is the envelope, and it is a supply-chain commitment rather than a method.</t>
        </is>
      </c>
      <c r="O209" s="8" t="inlineStr">
        <is>
          <t>Partly</t>
        </is>
      </c>
      <c r="P209" s="10" t="inlineStr"/>
      <c r="Q209" s="6">
        <f>HYPERLINK("https://www.linkedin.com/search/results/people/?keywords=Chris%20Weekley%20David%20Weekley%20Homes","search")</f>
        <v/>
      </c>
      <c r="R209" s="11">
        <f>IF(P209="","ADD LINKEDIN","ok")</f>
        <v/>
      </c>
      <c r="S209" s="6" t="inlineStr">
        <is>
          <t>https://www.davidweekleyhomes.com/</t>
        </is>
      </c>
      <c r="T209" s="9" t="inlineStr">
        <is>
          <t>125,000 homes, Houston HQ, 50 years. Its supplier recognition covers insulation and fire-stopping, not the envelope.</t>
        </is>
      </c>
      <c r="U209" s="6" t="inlineStr"/>
      <c r="V209" s="9" t="inlineStr">
        <is>
          <t>President and Vice Chairman. The firm's own page credits him with innovation and developer relationships, which is the brief a printed wall would land in.</t>
        </is>
      </c>
      <c r="W209" s="6" t="inlineStr">
        <is>
          <t>https://www.davidweekleyhomes.com/about-us/meet-the-team</t>
        </is>
      </c>
      <c r="X209" s="6" t="inlineStr">
        <is>
          <t>https://www.linkedin.com/company/david-weekley-homes</t>
        </is>
      </c>
      <c r="Y209" s="6" t="inlineStr">
        <is>
          <t>https://www.davidweekleyhomes.com/about-us/meet-the-team</t>
        </is>
      </c>
      <c r="Z209" s="6" t="inlineStr"/>
    </row>
    <row r="210">
      <c r="A210" s="12" t="inlineStr">
        <is>
          <t>David Weekley</t>
        </is>
      </c>
      <c r="B210" s="12" t="inlineStr">
        <is>
          <t>David Weekley Homes</t>
        </is>
      </c>
      <c r="C210" s="12" t="inlineStr">
        <is>
          <t>Chairman and Founder</t>
        </is>
      </c>
      <c r="D210" s="13" t="inlineStr">
        <is>
          <t>National scale, pilot not purchase</t>
        </is>
      </c>
      <c r="E210" s="14" t="n">
        <v>2</v>
      </c>
      <c r="F210" s="12" t="inlineStr">
        <is>
          <t>Buys walls</t>
        </is>
      </c>
      <c r="G210" s="12" t="inlineStr">
        <is>
          <t>Houston HQ, Harris County</t>
        </is>
      </c>
      <c r="H210" s="12" t="inlineStr">
        <is>
          <t>125,000+ homes, 19 markets, Houston HQ</t>
        </is>
      </c>
      <c r="I210" s="14" t="inlineStr">
        <is>
          <t>Yes</t>
        </is>
      </c>
      <c r="J210" s="15" t="inlineStr">
        <is>
          <t>Houston is the firm's home market and it builds across the metro.</t>
        </is>
      </c>
      <c r="K210" s="14" t="inlineStr">
        <is>
          <t>No</t>
        </is>
      </c>
      <c r="L210" s="15" t="inlineStr">
        <is>
          <t>A national builder with a national supply chain.</t>
        </is>
      </c>
      <c r="M210" s="14" t="inlineStr">
        <is>
          <t>Partly</t>
        </is>
      </c>
      <c r="N210" s="15" t="inlineStr">
        <is>
          <t>Its 2026 preferred-partner list names cladding, roofing, weather barrier, structural connectors and engineered framing. That is the envelope, and it is a supply-chain commitment rather than a method.</t>
        </is>
      </c>
      <c r="O210" s="14" t="inlineStr">
        <is>
          <t>Partly</t>
        </is>
      </c>
      <c r="P210" s="10" t="inlineStr"/>
      <c r="Q210" s="12">
        <f>HYPERLINK("https://www.linkedin.com/search/results/people/?keywords=David%20Weekley%20David%20Weekley%20Homes","search")</f>
        <v/>
      </c>
      <c r="R210" s="16">
        <f>IF(P210="","ADD LINKEDIN","ok")</f>
        <v/>
      </c>
      <c r="S210" s="12" t="inlineStr">
        <is>
          <t>https://www.davidweekleyhomes.com/</t>
        </is>
      </c>
      <c r="T210" s="15" t="inlineStr">
        <is>
          <t>125,000 homes, Houston HQ, 50 years. Its supplier recognition covers insulation and fire-stopping, not the envelope.</t>
        </is>
      </c>
      <c r="U210" s="12" t="inlineStr"/>
      <c r="V210" s="15" t="inlineStr">
        <is>
          <t>Chairman, who started the company in 1976 at twenty-three.</t>
        </is>
      </c>
      <c r="W210" s="12" t="inlineStr">
        <is>
          <t>https://www.davidweekleyhomes.com/about-us/meet-the-team</t>
        </is>
      </c>
      <c r="X210" s="12" t="inlineStr">
        <is>
          <t>https://www.linkedin.com/company/david-weekley-homes</t>
        </is>
      </c>
      <c r="Y210" s="12" t="inlineStr">
        <is>
          <t>https://www.davidweekleyhomes.com/about-us/meet-the-team</t>
        </is>
      </c>
      <c r="Z210" s="12" t="inlineStr"/>
    </row>
    <row r="211">
      <c r="A211" s="6" t="inlineStr">
        <is>
          <t>John Schiegg</t>
        </is>
      </c>
      <c r="B211" s="6" t="inlineStr">
        <is>
          <t>David Weekley Homes</t>
        </is>
      </c>
      <c r="C211" s="6" t="inlineStr">
        <is>
          <t>Vice President of Purchasing and Supply Chain, David Weekley Homes</t>
        </is>
      </c>
      <c r="D211" s="7" t="inlineStr">
        <is>
          <t>National scale, pilot not purchase</t>
        </is>
      </c>
      <c r="E211" s="8" t="n">
        <v>2</v>
      </c>
      <c r="F211" s="6" t="inlineStr">
        <is>
          <t>Buys walls</t>
        </is>
      </c>
      <c r="G211" s="6" t="inlineStr">
        <is>
          <t>Houston HQ, Harris County</t>
        </is>
      </c>
      <c r="H211" s="6" t="inlineStr">
        <is>
          <t>125,000+ homes, 19 markets, Houston HQ</t>
        </is>
      </c>
      <c r="I211" s="8" t="inlineStr">
        <is>
          <t>Yes</t>
        </is>
      </c>
      <c r="J211" s="9" t="inlineStr">
        <is>
          <t>Houston is the firm's home market and it builds across the metro.</t>
        </is>
      </c>
      <c r="K211" s="8" t="inlineStr">
        <is>
          <t>No</t>
        </is>
      </c>
      <c r="L211" s="9" t="inlineStr">
        <is>
          <t>A national builder with a national supply chain.</t>
        </is>
      </c>
      <c r="M211" s="8" t="inlineStr">
        <is>
          <t>Partly</t>
        </is>
      </c>
      <c r="N211" s="9" t="inlineStr">
        <is>
          <t>Its 2026 preferred-partner list names cladding, roofing, weather barrier, structural connectors and engineered framing. That is the envelope, and it is a supply-chain commitment rather than a method.</t>
        </is>
      </c>
      <c r="O211" s="8" t="inlineStr">
        <is>
          <t>Partly</t>
        </is>
      </c>
      <c r="P211" s="6" t="inlineStr">
        <is>
          <t>https://www.linkedin.com/in/john-schiegg-7593996/</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is>
          <t>YES</t>
        </is>
      </c>
      <c r="V211" s="9" t="inlineStr">
        <is>
          <t>Profile opened. Company line reads David Weekley Homes, Houston, Texas. He owns purchasing and supply chain for the largest privately held builder in the country.</t>
        </is>
      </c>
      <c r="W211" s="6" t="inlineStr">
        <is>
          <t>https://www.prnewswire.com/news-releases/david-weekley-homes-announces-2026-national-preferred-partners-302809074.html</t>
        </is>
      </c>
      <c r="X211" s="6" t="inlineStr">
        <is>
          <t>https://www.linkedin.com/company/david-weekley-homes</t>
        </is>
      </c>
      <c r="Y211" s="6" t="inlineStr">
        <is>
          <t>https://www.davidweekleyhomes.com/about-us/meet-the-team</t>
        </is>
      </c>
      <c r="Z211" s="6" t="inlineStr"/>
    </row>
    <row r="212">
      <c r="A212" s="12" t="inlineStr">
        <is>
          <t>Ladd Fargo</t>
        </is>
      </c>
      <c r="B212" s="12" t="inlineStr">
        <is>
          <t>David Weekley Homes</t>
        </is>
      </c>
      <c r="C212" s="12" t="inlineStr">
        <is>
          <t>Chief Operating Officer, David Weekley Homes</t>
        </is>
      </c>
      <c r="D212" s="13" t="inlineStr">
        <is>
          <t>National scale, pilot not purchase</t>
        </is>
      </c>
      <c r="E212" s="14" t="n">
        <v>2</v>
      </c>
      <c r="F212" s="12" t="inlineStr">
        <is>
          <t>Buys walls</t>
        </is>
      </c>
      <c r="G212" s="12" t="inlineStr">
        <is>
          <t>Houston HQ, Harris County</t>
        </is>
      </c>
      <c r="H212" s="12" t="inlineStr">
        <is>
          <t>125,000+ homes, 19 markets, Houston HQ</t>
        </is>
      </c>
      <c r="I212" s="14" t="inlineStr">
        <is>
          <t>Yes</t>
        </is>
      </c>
      <c r="J212" s="15" t="inlineStr">
        <is>
          <t>Houston is the firm's home market and it builds across the metro.</t>
        </is>
      </c>
      <c r="K212" s="14" t="inlineStr">
        <is>
          <t>No</t>
        </is>
      </c>
      <c r="L212" s="15" t="inlineStr">
        <is>
          <t>A national builder with a national supply chain.</t>
        </is>
      </c>
      <c r="M212" s="14" t="inlineStr">
        <is>
          <t>Partly</t>
        </is>
      </c>
      <c r="N212" s="15" t="inlineStr">
        <is>
          <t>Its 2026 preferred-partner list names cladding, roofing, weather barrier, structural connectors and engineered framing. That is the envelope, and it is a supply-chain commitment rather than a method.</t>
        </is>
      </c>
      <c r="O212" s="14" t="inlineStr">
        <is>
          <t>Partly</t>
        </is>
      </c>
      <c r="P212" s="6" t="inlineStr">
        <is>
          <t>https://www.linkedin.com/in/ladd-fargo-241a47259/</t>
        </is>
      </c>
      <c r="Q212" s="12" t="inlineStr"/>
      <c r="R212" s="16">
        <f>IF(P212="","ADD LINKEDIN","ok")</f>
        <v/>
      </c>
      <c r="S212" s="12" t="inlineStr">
        <is>
          <t>https://www.davidweekleyhomes.com/</t>
        </is>
      </c>
      <c r="T212" s="15" t="inlineStr">
        <is>
          <t>125,000 homes, Houston HQ, 50 years. Its supplier recognition covers insulation and fire-stopping, not the envelope.</t>
        </is>
      </c>
      <c r="U212" s="12" t="inlineStr"/>
      <c r="V212" s="15" t="inlineStr"/>
      <c r="W212" s="12" t="inlineStr"/>
      <c r="X212" s="12" t="inlineStr">
        <is>
          <t>https://www.linkedin.com/company/david-weekley-homes</t>
        </is>
      </c>
      <c r="Y212" s="12" t="inlineStr">
        <is>
          <t>https://www.davidweekleyhomes.com/about-us/meet-the-team</t>
        </is>
      </c>
      <c r="Z212" s="12" t="inlineStr"/>
    </row>
    <row r="213">
      <c r="A213" s="6" t="inlineStr">
        <is>
          <t>Eric Lipar</t>
        </is>
      </c>
      <c r="B213" s="6" t="inlineStr">
        <is>
          <t>LGI Homes, Inc.</t>
        </is>
      </c>
      <c r="C213" s="6" t="inlineStr">
        <is>
          <t>Chief Executive Officer and Chairman of the Board</t>
        </is>
      </c>
      <c r="D213" s="7" t="inlineStr">
        <is>
          <t>National scale, pilot not purchase</t>
        </is>
      </c>
      <c r="E213" s="8" t="n">
        <v>1</v>
      </c>
      <c r="F213" s="6" t="inlineStr">
        <is>
          <t>Buys walls</t>
        </is>
      </c>
      <c r="G213" s="6" t="inlineStr">
        <is>
          <t>The Woodlands HQ, Montgomery County</t>
        </is>
      </c>
      <c r="H213" s="6" t="inlineStr">
        <is>
          <t>153 active selling communities, 36 markets, 21 states</t>
        </is>
      </c>
      <c r="I213" s="8" t="inlineStr">
        <is>
          <t>Yes</t>
        </is>
      </c>
      <c r="J213" s="9" t="inlineStr">
        <is>
          <t>153 active selling communities on one systematic plan set.</t>
        </is>
      </c>
      <c r="K213" s="8" t="inlineStr">
        <is>
          <t>No</t>
        </is>
      </c>
      <c r="L213" s="9" t="inlineStr">
        <is>
          <t>Thousands of closings a year across 36 markets in 21 states.</t>
        </is>
      </c>
      <c r="M213" s="8" t="inlineStr">
        <is>
          <t>No</t>
        </is>
      </c>
      <c r="N213" s="9" t="inlineStr">
        <is>
          <t>Nothing on record.</t>
        </is>
      </c>
      <c r="O213" s="8" t="inlineStr">
        <is>
          <t>Yes</t>
        </is>
      </c>
      <c r="P213" s="10" t="inlineStr"/>
      <c r="Q213" s="6">
        <f>HYPERLINK("https://www.linkedin.com/search/results/people/?keywords=Eric%20Lipar%20LGI%20Homes%2C%20Inc.","search")</f>
        <v/>
      </c>
      <c r="R213" s="11">
        <f>IF(P213="","ADD LINKEDIN","ok")</f>
        <v/>
      </c>
      <c r="S213" s="6" t="inlineStr">
        <is>
          <t>https://www.lgihomes.com/</t>
        </is>
      </c>
      <c r="T213" s="9" t="inlineStr">
        <is>
          <t>The most standardised product here, headquartered in the metro. Its Q2 2026 call mentions method, labour and cycle time zero times.</t>
        </is>
      </c>
      <c r="U213" s="6" t="inlineStr"/>
      <c r="V213" s="9" t="inlineStr"/>
      <c r="W213" s="6" t="inlineStr">
        <is>
          <t>https://investor.lgihomes.com/corporate-governance/management</t>
        </is>
      </c>
      <c r="X213" s="6" t="inlineStr">
        <is>
          <t>https://www.linkedin.com/company/lgi-homes</t>
        </is>
      </c>
      <c r="Y213" s="6" t="inlineStr">
        <is>
          <t>https://investor.lgihomes.com/corporate-governance/management</t>
        </is>
      </c>
      <c r="Z213" s="6" t="inlineStr"/>
    </row>
    <row r="214">
      <c r="A214" s="12" t="inlineStr">
        <is>
          <t>Mike Snider</t>
        </is>
      </c>
      <c r="B214" s="12" t="inlineStr">
        <is>
          <t>LGI Homes, Inc.</t>
        </is>
      </c>
      <c r="C214" s="12" t="inlineStr">
        <is>
          <t>President and Chief Operating Officer</t>
        </is>
      </c>
      <c r="D214" s="13" t="inlineStr">
        <is>
          <t>National scale, pilot not purchase</t>
        </is>
      </c>
      <c r="E214" s="14" t="n">
        <v>1</v>
      </c>
      <c r="F214" s="12" t="inlineStr">
        <is>
          <t>Buys walls</t>
        </is>
      </c>
      <c r="G214" s="12" t="inlineStr">
        <is>
          <t>The Woodlands HQ, Montgomery County</t>
        </is>
      </c>
      <c r="H214" s="12" t="inlineStr">
        <is>
          <t>153 active selling communities, 36 markets, 21 states</t>
        </is>
      </c>
      <c r="I214" s="14" t="inlineStr">
        <is>
          <t>Yes</t>
        </is>
      </c>
      <c r="J214" s="15" t="inlineStr">
        <is>
          <t>153 active selling communities on one systematic plan set.</t>
        </is>
      </c>
      <c r="K214" s="14" t="inlineStr">
        <is>
          <t>No</t>
        </is>
      </c>
      <c r="L214" s="15" t="inlineStr">
        <is>
          <t>Thousands of closings a year across 36 markets in 21 states.</t>
        </is>
      </c>
      <c r="M214" s="14" t="inlineStr">
        <is>
          <t>No</t>
        </is>
      </c>
      <c r="N214" s="15" t="inlineStr">
        <is>
          <t>Nothing on record.</t>
        </is>
      </c>
      <c r="O214" s="14" t="inlineStr">
        <is>
          <t>Yes</t>
        </is>
      </c>
      <c r="P214" s="10" t="inlineStr"/>
      <c r="Q214" s="12">
        <f>HYPERLINK("https://www.linkedin.com/search/results/people/?keywords=Mike%20Snider%20LGI%20Homes%2C%20Inc.","search")</f>
        <v/>
      </c>
      <c r="R214" s="16">
        <f>IF(P214="","ADD LINKEDIN","ok")</f>
        <v/>
      </c>
      <c r="S214" s="12" t="inlineStr">
        <is>
          <t>https://www.lgihomes.com/</t>
        </is>
      </c>
      <c r="T214" s="15" t="inlineStr">
        <is>
          <t>The most standardised product here, headquartered in the metro. Its Q2 2026 call mentions method, labour and cycle time zero times.</t>
        </is>
      </c>
      <c r="U214" s="12" t="inlineStr"/>
      <c r="V214" s="15" t="inlineStr"/>
      <c r="W214" s="12" t="inlineStr">
        <is>
          <t>https://investor.lgihomes.com/corporate-governance/management</t>
        </is>
      </c>
      <c r="X214" s="12" t="inlineStr">
        <is>
          <t>https://www.linkedin.com/company/lgi-homes</t>
        </is>
      </c>
      <c r="Y214" s="12" t="inlineStr">
        <is>
          <t>https://investor.lgihomes.com/corporate-governance/management</t>
        </is>
      </c>
      <c r="Z214" s="12" t="inlineStr"/>
    </row>
    <row r="215">
      <c r="A215" s="6" t="inlineStr">
        <is>
          <t>Charles Merdian</t>
        </is>
      </c>
      <c r="B215" s="6" t="inlineStr">
        <is>
          <t>LGI Homes, Inc.</t>
        </is>
      </c>
      <c r="C215" s="6" t="inlineStr">
        <is>
          <t>Chief Financial Officer and Treasurer</t>
        </is>
      </c>
      <c r="D215" s="7" t="inlineStr">
        <is>
          <t>National scale, pilot not purchase</t>
        </is>
      </c>
      <c r="E215" s="8" t="n">
        <v>1</v>
      </c>
      <c r="F215" s="6" t="inlineStr">
        <is>
          <t>Buys walls</t>
        </is>
      </c>
      <c r="G215" s="6" t="inlineStr">
        <is>
          <t>The Woodlands HQ, Montgomery County</t>
        </is>
      </c>
      <c r="H215" s="6" t="inlineStr">
        <is>
          <t>153 active selling communities, 36 markets, 21 states</t>
        </is>
      </c>
      <c r="I215" s="8" t="inlineStr">
        <is>
          <t>Yes</t>
        </is>
      </c>
      <c r="J215" s="9" t="inlineStr">
        <is>
          <t>153 active selling communities on one systematic plan set.</t>
        </is>
      </c>
      <c r="K215" s="8" t="inlineStr">
        <is>
          <t>No</t>
        </is>
      </c>
      <c r="L215" s="9" t="inlineStr">
        <is>
          <t>Thousands of closings a year across 36 markets in 21 states.</t>
        </is>
      </c>
      <c r="M215" s="8" t="inlineStr">
        <is>
          <t>No</t>
        </is>
      </c>
      <c r="N215" s="9" t="inlineStr">
        <is>
          <t>Nothing on record.</t>
        </is>
      </c>
      <c r="O215" s="8" t="inlineStr">
        <is>
          <t>Yes</t>
        </is>
      </c>
      <c r="P215" s="10" t="inlineStr"/>
      <c r="Q215" s="6">
        <f>HYPERLINK("https://www.linkedin.com/search/results/people/?keywords=Charles%20Merdian%20LGI%20Homes%2C%20Inc.","search")</f>
        <v/>
      </c>
      <c r="R215" s="11">
        <f>IF(P215="","ADD LINKEDIN","ok")</f>
        <v/>
      </c>
      <c r="S215" s="6" t="inlineStr">
        <is>
          <t>https://www.lgihomes.com/</t>
        </is>
      </c>
      <c r="T215" s="9" t="inlineStr">
        <is>
          <t>The most standardised product here, headquartered in the metro. Its Q2 2026 call mentions method, labour and cycle time zero times.</t>
        </is>
      </c>
      <c r="U215" s="6" t="inlineStr"/>
      <c r="V215" s="9" t="inlineStr"/>
      <c r="W215" s="6" t="inlineStr">
        <is>
          <t>https://investor.lgihomes.com/corporate-governance/management</t>
        </is>
      </c>
      <c r="X215" s="6" t="inlineStr">
        <is>
          <t>https://www.linkedin.com/company/lgi-homes</t>
        </is>
      </c>
      <c r="Y215" s="6" t="inlineStr">
        <is>
          <t>https://investor.lgihomes.com/corporate-governance/management</t>
        </is>
      </c>
      <c r="Z215" s="6" t="inlineStr"/>
    </row>
    <row r="216">
      <c r="A216" s="12" t="inlineStr">
        <is>
          <t>Chuck Collier</t>
        </is>
      </c>
      <c r="B216" s="12" t="inlineStr">
        <is>
          <t>LGI Homes, Inc.</t>
        </is>
      </c>
      <c r="C216" s="12" t="inlineStr">
        <is>
          <t>Vice President of Construction, Houston, LGI Homes</t>
        </is>
      </c>
      <c r="D216" s="13" t="inlineStr">
        <is>
          <t>National scale, pilot not purchase</t>
        </is>
      </c>
      <c r="E216" s="14" t="n">
        <v>1</v>
      </c>
      <c r="F216" s="12" t="inlineStr">
        <is>
          <t>Buys walls</t>
        </is>
      </c>
      <c r="G216" s="12" t="inlineStr">
        <is>
          <t>The Woodlands HQ, Montgomery County</t>
        </is>
      </c>
      <c r="H216" s="12" t="inlineStr">
        <is>
          <t>153 active selling communities, 36 markets, 21 states</t>
        </is>
      </c>
      <c r="I216" s="14" t="inlineStr">
        <is>
          <t>Yes</t>
        </is>
      </c>
      <c r="J216" s="15" t="inlineStr">
        <is>
          <t>153 active selling communities on one systematic plan set.</t>
        </is>
      </c>
      <c r="K216" s="14" t="inlineStr">
        <is>
          <t>No</t>
        </is>
      </c>
      <c r="L216" s="15" t="inlineStr">
        <is>
          <t>Thousands of closings a year across 36 markets in 21 states.</t>
        </is>
      </c>
      <c r="M216" s="14" t="inlineStr">
        <is>
          <t>No</t>
        </is>
      </c>
      <c r="N216" s="15" t="inlineStr">
        <is>
          <t>Nothing on record.</t>
        </is>
      </c>
      <c r="O216" s="14" t="inlineStr">
        <is>
          <t>Yes</t>
        </is>
      </c>
      <c r="P216" s="6" t="inlineStr">
        <is>
          <t>https://www.linkedin.com/in/chuck-collier-48286829/</t>
        </is>
      </c>
      <c r="Q216" s="12" t="inlineStr"/>
      <c r="R216" s="16">
        <f>IF(P216="","ADD LINKEDIN","ok")</f>
        <v/>
      </c>
      <c r="S216" s="12" t="inlineStr">
        <is>
          <t>https://www.lgihomes.com/</t>
        </is>
      </c>
      <c r="T216" s="15" t="inlineStr">
        <is>
          <t>The most standardised product here, headquartered in the metro. Its Q2 2026 call mentions method, labour and cycle time zero times.</t>
        </is>
      </c>
      <c r="U216" s="12" t="inlineStr">
        <is>
          <t>YES</t>
        </is>
      </c>
      <c r="V216" s="15" t="inlineStr">
        <is>
          <t>VP of Construction, Houston, LGI Homes, stated in his own headline. Location shows only United States.</t>
        </is>
      </c>
      <c r="W216" s="12" t="inlineStr"/>
      <c r="X216" s="12" t="inlineStr">
        <is>
          <t>https://www.linkedin.com/company/lgi-homes</t>
        </is>
      </c>
      <c r="Y216" s="12" t="inlineStr">
        <is>
          <t>https://investor.lgihomes.com/corporate-governance/management</t>
        </is>
      </c>
      <c r="Z216" s="12" t="inlineStr"/>
    </row>
    <row r="217">
      <c r="A217" s="6" t="inlineStr">
        <is>
          <t>Kyle Hanna</t>
        </is>
      </c>
      <c r="B217" s="6" t="inlineStr">
        <is>
          <t>LGI Homes, Inc.</t>
        </is>
      </c>
      <c r="C217" s="6" t="inlineStr">
        <is>
          <t>Vice President of Purchasing, LGI Homes</t>
        </is>
      </c>
      <c r="D217" s="7" t="inlineStr">
        <is>
          <t>National scale, pilot not purchase</t>
        </is>
      </c>
      <c r="E217" s="8" t="n">
        <v>1</v>
      </c>
      <c r="F217" s="6" t="inlineStr">
        <is>
          <t>Buys walls</t>
        </is>
      </c>
      <c r="G217" s="6" t="inlineStr">
        <is>
          <t>The Woodlands HQ, Montgomery County</t>
        </is>
      </c>
      <c r="H217" s="6" t="inlineStr">
        <is>
          <t>153 active selling communities, 36 markets, 21 states</t>
        </is>
      </c>
      <c r="I217" s="8" t="inlineStr">
        <is>
          <t>Yes</t>
        </is>
      </c>
      <c r="J217" s="9" t="inlineStr">
        <is>
          <t>153 active selling communities on one systematic plan set.</t>
        </is>
      </c>
      <c r="K217" s="8" t="inlineStr">
        <is>
          <t>No</t>
        </is>
      </c>
      <c r="L217" s="9" t="inlineStr">
        <is>
          <t>Thousands of closings a year across 36 markets in 21 states.</t>
        </is>
      </c>
      <c r="M217" s="8" t="inlineStr">
        <is>
          <t>No</t>
        </is>
      </c>
      <c r="N217" s="9" t="inlineStr">
        <is>
          <t>Nothing on record.</t>
        </is>
      </c>
      <c r="O217" s="8" t="inlineStr">
        <is>
          <t>Yes</t>
        </is>
      </c>
      <c r="P217" s="6" t="inlineStr">
        <is>
          <t>https://www.linkedin.com/in/kylemhanna/</t>
        </is>
      </c>
      <c r="Q217" s="6" t="inlineStr"/>
      <c r="R217" s="11">
        <f>IF(P217="","ADD LINKEDIN","ok")</f>
        <v/>
      </c>
      <c r="S217" s="6" t="inlineStr">
        <is>
          <t>https://www.lgihomes.com/</t>
        </is>
      </c>
      <c r="T217" s="9" t="inlineStr">
        <is>
          <t>The most standardised product here, headquartered in the metro. Its Q2 2026 call mentions method, labour and cycle time zero times.</t>
        </is>
      </c>
      <c r="U217" s="6" t="inlineStr">
        <is>
          <t>YES</t>
        </is>
      </c>
      <c r="V217" s="9" t="inlineStr">
        <is>
          <t>Vice President of Purchasing at LGI Homes. Conroe, Texas, which is the head office. The construction vice presidents sit in the markets, Austin, San Antonio, Nashville, Denver, Seattle; purchasing is the one that sits in Greater Houston.</t>
        </is>
      </c>
      <c r="W217" s="6" t="inlineStr"/>
      <c r="X217" s="6" t="inlineStr">
        <is>
          <t>https://www.linkedin.com/company/lgi-homes</t>
        </is>
      </c>
      <c r="Y217" s="6" t="inlineStr">
        <is>
          <t>https://investor.lgihomes.com/corporate-governance/management</t>
        </is>
      </c>
      <c r="Z217" s="6" t="inlineStr"/>
    </row>
    <row r="218">
      <c r="A218" s="12" t="inlineStr">
        <is>
          <t>Bob Schottenstein</t>
        </is>
      </c>
      <c r="B218" s="12" t="inlineStr">
        <is>
          <t>M/I Homes, Inc.</t>
        </is>
      </c>
      <c r="C218" s="12" t="inlineStr">
        <is>
          <t>Chief Executive Officer</t>
        </is>
      </c>
      <c r="D218" s="13" t="inlineStr">
        <is>
          <t>National scale, pilot not purchase</t>
        </is>
      </c>
      <c r="E218" s="14" t="n">
        <v>1</v>
      </c>
      <c r="F218" s="12" t="inlineStr">
        <is>
          <t>Buys walls</t>
        </is>
      </c>
      <c r="G218" s="12" t="inlineStr">
        <is>
          <t>Columbus HQ / Liberty, Harris</t>
        </is>
      </c>
      <c r="H218" s="12" t="inlineStr">
        <is>
          <t>3 Houston land deals in 6 months</t>
        </is>
      </c>
      <c r="I218" s="14" t="inlineStr">
        <is>
          <t>Yes</t>
        </is>
      </c>
      <c r="J218" s="15" t="inlineStr">
        <is>
          <t>1,000 homes at Trinity Landing, three Houston land deals in six months.</t>
        </is>
      </c>
      <c r="K218" s="14" t="inlineStr">
        <is>
          <t>No</t>
        </is>
      </c>
      <c r="L218" s="15" t="inlineStr">
        <is>
          <t>A national builder, bought centrally, however good the Houston division is.</t>
        </is>
      </c>
      <c r="M218" s="14" t="inlineStr">
        <is>
          <t>No</t>
        </is>
      </c>
      <c r="N218" s="15" t="inlineStr">
        <is>
          <t>The CEO cites shorter cycle time but not what enabled it.</t>
        </is>
      </c>
      <c r="O218" s="14" t="inlineStr">
        <is>
          <t>Yes</t>
        </is>
      </c>
      <c r="P218" s="10" t="inlineStr"/>
      <c r="Q218" s="12">
        <f>HYPERLINK("https://www.linkedin.com/search/results/people/?keywords=Bob%20Schottenstein%20M/I%20Homes%2C%20Inc.","search")</f>
        <v/>
      </c>
      <c r="R218" s="16">
        <f>IF(P218="","ADD LINKEDIN","ok")</f>
        <v/>
      </c>
      <c r="S218" s="12" t="inlineStr">
        <is>
          <t>https://www.mihomes.com/</t>
        </is>
      </c>
      <c r="T218" s="15" t="inlineStr">
        <is>
          <t>1,000 homes at Trinity Landing and three Houston land deals in six months under a named division president.</t>
        </is>
      </c>
      <c r="U218" s="12" t="inlineStr"/>
      <c r="V218" s="15" t="inlineStr">
        <is>
          <t>Chairman, and Chief Executive Officer since January 2004, on M/I's own officers page.</t>
        </is>
      </c>
      <c r="W218" s="12" t="inlineStr">
        <is>
          <t>https://investors.mihomes.com/investor-relations/officers-directors/default.aspx</t>
        </is>
      </c>
      <c r="X218" s="12" t="inlineStr">
        <is>
          <t>https://www.linkedin.com/company/mihomes/</t>
        </is>
      </c>
      <c r="Y218" s="12" t="inlineStr">
        <is>
          <t>https://investors.mihomes.com/investor-relations/officers-directors/default.aspx</t>
        </is>
      </c>
      <c r="Z218" s="12" t="inlineStr"/>
    </row>
    <row r="219">
      <c r="A219" s="6" t="inlineStr">
        <is>
          <t>Jay McManus</t>
        </is>
      </c>
      <c r="B219" s="6" t="inlineStr">
        <is>
          <t>M/I Homes, Inc.</t>
        </is>
      </c>
      <c r="C219" s="6" t="inlineStr">
        <is>
          <t>Houston Division President</t>
        </is>
      </c>
      <c r="D219" s="7" t="inlineStr">
        <is>
          <t>National scale, pilot not purchase</t>
        </is>
      </c>
      <c r="E219" s="8" t="n">
        <v>1</v>
      </c>
      <c r="F219" s="6" t="inlineStr">
        <is>
          <t>Buys walls</t>
        </is>
      </c>
      <c r="G219" s="6" t="inlineStr">
        <is>
          <t>Columbus HQ / Liberty, Harris</t>
        </is>
      </c>
      <c r="H219" s="6" t="inlineStr">
        <is>
          <t>3 Houston land deals in 6 months</t>
        </is>
      </c>
      <c r="I219" s="8" t="inlineStr">
        <is>
          <t>Yes</t>
        </is>
      </c>
      <c r="J219" s="9" t="inlineStr">
        <is>
          <t>1,000 homes at Trinity Landing, three Houston land deals in six months.</t>
        </is>
      </c>
      <c r="K219" s="8" t="inlineStr">
        <is>
          <t>No</t>
        </is>
      </c>
      <c r="L219" s="9" t="inlineStr">
        <is>
          <t>A national builder, bought centrally, however good the Houston division is.</t>
        </is>
      </c>
      <c r="M219" s="8" t="inlineStr">
        <is>
          <t>No</t>
        </is>
      </c>
      <c r="N219" s="9" t="inlineStr">
        <is>
          <t>The CEO cites shorter cycle time but not what enabled it.</t>
        </is>
      </c>
      <c r="O219" s="8" t="inlineStr">
        <is>
          <t>Yes</t>
        </is>
      </c>
      <c r="P219" s="10" t="inlineStr"/>
      <c r="Q219" s="6">
        <f>HYPERLINK("https://www.linkedin.com/search/results/people/?keywords=Jay%20McManus%20M/I%20Homes%2C%20Inc.","search")</f>
        <v/>
      </c>
      <c r="R219" s="11">
        <f>IF(P219="","ADD LINKEDIN","ok")</f>
        <v/>
      </c>
      <c r="S219" s="6" t="inlineStr">
        <is>
          <t>https://www.mihomes.com/</t>
        </is>
      </c>
      <c r="T219" s="9" t="inlineStr">
        <is>
          <t>1,000 homes at Trinity Landing and three Houston land deals in six months under a named division president.</t>
        </is>
      </c>
      <c r="U219" s="6" t="inlineStr"/>
      <c r="V219" s="9" t="inlineStr">
        <is>
          <t>Named Houston division president for M/I Homes in trade coverage of the division's expansion. M/I's own site names corporate officers only.</t>
        </is>
      </c>
      <c r="W219" s="6" t="inlineStr">
        <is>
          <t>https://houstonagentmagazine.com/2021/08/23/m-i-homes-to-double-presence-in-houston-area/</t>
        </is>
      </c>
      <c r="X219" s="6" t="inlineStr">
        <is>
          <t>https://www.linkedin.com/company/mihomes/</t>
        </is>
      </c>
      <c r="Y219" s="6" t="inlineStr">
        <is>
          <t>https://investors.mihomes.com/investor-relations/officers-directors/default.aspx</t>
        </is>
      </c>
      <c r="Z219" s="6" t="inlineStr"/>
    </row>
    <row r="220">
      <c r="A220" s="12" t="inlineStr">
        <is>
          <t>Patrick Mayhan</t>
        </is>
      </c>
      <c r="B220" s="12" t="inlineStr">
        <is>
          <t>M/I Homes, Inc.</t>
        </is>
      </c>
      <c r="C220" s="12" t="inlineStr">
        <is>
          <t>Vice President of Purchasing, M/I Homes</t>
        </is>
      </c>
      <c r="D220" s="13" t="inlineStr">
        <is>
          <t>National scale, pilot not purchase</t>
        </is>
      </c>
      <c r="E220" s="14" t="n">
        <v>1</v>
      </c>
      <c r="F220" s="12" t="inlineStr">
        <is>
          <t>Buys walls</t>
        </is>
      </c>
      <c r="G220" s="12" t="inlineStr">
        <is>
          <t>Columbus HQ / Liberty, Harris</t>
        </is>
      </c>
      <c r="H220" s="12" t="inlineStr">
        <is>
          <t>3 Houston land deals in 6 months</t>
        </is>
      </c>
      <c r="I220" s="14" t="inlineStr">
        <is>
          <t>Yes</t>
        </is>
      </c>
      <c r="J220" s="15" t="inlineStr">
        <is>
          <t>1,000 homes at Trinity Landing, three Houston land deals in six months.</t>
        </is>
      </c>
      <c r="K220" s="14" t="inlineStr">
        <is>
          <t>No</t>
        </is>
      </c>
      <c r="L220" s="15" t="inlineStr">
        <is>
          <t>A national builder, bought centrally, however good the Houston division is.</t>
        </is>
      </c>
      <c r="M220" s="14" t="inlineStr">
        <is>
          <t>No</t>
        </is>
      </c>
      <c r="N220" s="15" t="inlineStr">
        <is>
          <t>The CEO cites shorter cycle time but not what enabled it.</t>
        </is>
      </c>
      <c r="O220" s="14" t="inlineStr">
        <is>
          <t>Yes</t>
        </is>
      </c>
      <c r="P220" s="6" t="inlineStr">
        <is>
          <t>https://www.linkedin.com/in/patrick-mayhan-5591478/</t>
        </is>
      </c>
      <c r="Q220" s="12" t="inlineStr"/>
      <c r="R220" s="16">
        <f>IF(P220="","ADD LINKEDIN","ok")</f>
        <v/>
      </c>
      <c r="S220" s="12" t="inlineStr">
        <is>
          <t>https://www.mihomes.com/</t>
        </is>
      </c>
      <c r="T220" s="15" t="inlineStr">
        <is>
          <t>1,000 homes at Trinity Landing and three Houston land deals in six months under a named division president.</t>
        </is>
      </c>
      <c r="U220" s="12" t="inlineStr">
        <is>
          <t>YES</t>
        </is>
      </c>
      <c r="V220" s="15" t="inlineStr">
        <is>
          <t>Vice President of Purchasing at M/I Homes, Inc. Houston, Texas. M/I lists two purchasing vice presidents in Houston; his title carries the corporate entity and Randy Barras's carries the Houston division.</t>
        </is>
      </c>
      <c r="W220" s="12" t="inlineStr"/>
      <c r="X220" s="12" t="inlineStr">
        <is>
          <t>https://www.linkedin.com/company/mihomes/</t>
        </is>
      </c>
      <c r="Y220" s="12" t="inlineStr">
        <is>
          <t>https://investors.mihomes.com/investor-relations/officers-directors/default.aspx</t>
        </is>
      </c>
      <c r="Z220" s="12" t="inlineStr"/>
    </row>
    <row r="221">
      <c r="A221" s="6" t="inlineStr">
        <is>
          <t>Randy Barras</t>
        </is>
      </c>
      <c r="B221" s="6" t="inlineStr">
        <is>
          <t>M/I Homes, Inc.</t>
        </is>
      </c>
      <c r="C221" s="6" t="inlineStr">
        <is>
          <t>Vice President of Purchasing, M/I Homes Houston</t>
        </is>
      </c>
      <c r="D221" s="7" t="inlineStr">
        <is>
          <t>National scale, pilot not purchase</t>
        </is>
      </c>
      <c r="E221" s="8" t="n">
        <v>1</v>
      </c>
      <c r="F221" s="6" t="inlineStr">
        <is>
          <t>Buys walls</t>
        </is>
      </c>
      <c r="G221" s="6" t="inlineStr">
        <is>
          <t>Columbus HQ / Liberty, Harris</t>
        </is>
      </c>
      <c r="H221" s="6" t="inlineStr">
        <is>
          <t>3 Houston land deals in 6 months</t>
        </is>
      </c>
      <c r="I221" s="8" t="inlineStr">
        <is>
          <t>Yes</t>
        </is>
      </c>
      <c r="J221" s="9" t="inlineStr">
        <is>
          <t>1,000 homes at Trinity Landing, three Houston land deals in six months.</t>
        </is>
      </c>
      <c r="K221" s="8" t="inlineStr">
        <is>
          <t>No</t>
        </is>
      </c>
      <c r="L221" s="9" t="inlineStr">
        <is>
          <t>A national builder, bought centrally, however good the Houston division is.</t>
        </is>
      </c>
      <c r="M221" s="8" t="inlineStr">
        <is>
          <t>No</t>
        </is>
      </c>
      <c r="N221" s="9" t="inlineStr">
        <is>
          <t>The CEO cites shorter cycle time but not what enabled it.</t>
        </is>
      </c>
      <c r="O221" s="8" t="inlineStr">
        <is>
          <t>Yes</t>
        </is>
      </c>
      <c r="P221" s="6" t="inlineStr">
        <is>
          <t>https://www.linkedin.com/in/rbarras/</t>
        </is>
      </c>
      <c r="Q221" s="6" t="inlineStr"/>
      <c r="R221" s="11">
        <f>IF(P221="","ADD LINKEDIN","ok")</f>
        <v/>
      </c>
      <c r="S221" s="6" t="inlineStr">
        <is>
          <t>https://www.mihomes.com/</t>
        </is>
      </c>
      <c r="T221" s="9" t="inlineStr">
        <is>
          <t>1,000 homes at Trinity Landing and three Houston land deals in six months under a named division president.</t>
        </is>
      </c>
      <c r="U221" s="6" t="inlineStr">
        <is>
          <t>YES</t>
        </is>
      </c>
      <c r="V221" s="9" t="inlineStr"/>
      <c r="W221" s="6" t="inlineStr"/>
      <c r="X221" s="6" t="inlineStr">
        <is>
          <t>https://www.linkedin.com/company/mihomes/</t>
        </is>
      </c>
      <c r="Y221" s="6" t="inlineStr">
        <is>
          <t>https://investors.mihomes.com/investor-relations/officers-directors/default.aspx</t>
        </is>
      </c>
      <c r="Z221" s="6" t="inlineStr"/>
    </row>
    <row r="222">
      <c r="A222" s="12" t="inlineStr">
        <is>
          <t>Darin Rowe</t>
        </is>
      </c>
      <c r="B222" s="12" t="inlineStr">
        <is>
          <t>Taylor Morrison Home Corporation</t>
        </is>
      </c>
      <c r="C222" s="12" t="inlineStr">
        <is>
          <t>National President, Build-to-Rent</t>
        </is>
      </c>
      <c r="D222" s="13" t="inlineStr">
        <is>
          <t>National scale, pilot not purchase</t>
        </is>
      </c>
      <c r="E222" s="14" t="n">
        <v>1</v>
      </c>
      <c r="F222" s="12" t="inlineStr">
        <is>
          <t>Buys walls</t>
        </is>
      </c>
      <c r="G222" s="12" t="inlineStr">
        <is>
          <t>Scottsdale HQ / Harris County</t>
        </is>
      </c>
      <c r="H222" s="12" t="inlineStr">
        <is>
          <t>240-home Houston BTR community</t>
        </is>
      </c>
      <c r="I222" s="14" t="inlineStr">
        <is>
          <t>Yes</t>
        </is>
      </c>
      <c r="J222" s="15" t="inlineStr">
        <is>
          <t>A 240-home Houston build-to-rent community and a dedicated brand.</t>
        </is>
      </c>
      <c r="K222" s="14" t="inlineStr">
        <is>
          <t>No</t>
        </is>
      </c>
      <c r="L222" s="15" t="inlineStr">
        <is>
          <t>A national builder with a national build-to-rent brand.</t>
        </is>
      </c>
      <c r="M222" s="14" t="inlineStr">
        <is>
          <t>No</t>
        </is>
      </c>
      <c r="N222" s="15" t="inlineStr">
        <is>
          <t>Its Yardly retrospective cites input costs with no method detail.</t>
        </is>
      </c>
      <c r="O222" s="14" t="inlineStr">
        <is>
          <t>Yes</t>
        </is>
      </c>
      <c r="P222" s="10" t="inlineStr"/>
      <c r="Q222" s="12">
        <f>HYPERLINK("https://www.linkedin.com/search/results/people/?keywords=Darin%20Rowe%20Taylor%20Morrison%20Home%20Corporation","search")</f>
        <v/>
      </c>
      <c r="R222" s="16">
        <f>IF(P222="","ADD LINKEDIN","ok")</f>
        <v/>
      </c>
      <c r="S222" s="12" t="inlineStr">
        <is>
          <t>https://www.taylormorrison.com/</t>
        </is>
      </c>
      <c r="T222" s="15" t="inlineStr">
        <is>
          <t>A 240-home Houston build-to-rent community and a dedicated brand. The division president role dates to 2018 and is unconfirmed.</t>
        </is>
      </c>
      <c r="U222" s="12" t="inlineStr"/>
      <c r="V222" s="15" t="inlineStr">
        <is>
          <t>Build-to-Rent President, quoted on the launch of the Yardly brand. National, not Houston.</t>
        </is>
      </c>
      <c r="W222" s="12" t="inlineStr">
        <is>
          <t>https://newsroom.taylormorrison.com/2022-11-14-Taylor-Morrison-Unveils-New-Build-To-Rent-Brand,-Yardly</t>
        </is>
      </c>
      <c r="X222" s="12" t="inlineStr">
        <is>
          <t>https://www.linkedin.com/company/taylor-morrison</t>
        </is>
      </c>
      <c r="Y222" s="12" t="inlineStr">
        <is>
          <t>https://newsroom.taylormorrison.com/Leadership</t>
        </is>
      </c>
      <c r="Z222" s="12" t="inlineStr"/>
    </row>
    <row r="223">
      <c r="A223" s="6" t="inlineStr">
        <is>
          <t>Amy Rino</t>
        </is>
      </c>
      <c r="B223" s="6" t="inlineStr">
        <is>
          <t>Taylor Morrison Home Corporation</t>
        </is>
      </c>
      <c r="C223" s="6" t="inlineStr">
        <is>
          <t>Chief Customer Officer, Taylor Morrison, Scottsdale (2026); ex-Houston Division President</t>
        </is>
      </c>
      <c r="D223" s="7" t="inlineStr">
        <is>
          <t>National scale, pilot not purchase</t>
        </is>
      </c>
      <c r="E223" s="8" t="n">
        <v>1</v>
      </c>
      <c r="F223" s="6" t="inlineStr">
        <is>
          <t>Buys walls</t>
        </is>
      </c>
      <c r="G223" s="6" t="inlineStr">
        <is>
          <t>Scottsdale HQ / Harris County</t>
        </is>
      </c>
      <c r="H223" s="6" t="inlineStr">
        <is>
          <t>240-home Houston BTR community</t>
        </is>
      </c>
      <c r="I223" s="8" t="inlineStr">
        <is>
          <t>Yes</t>
        </is>
      </c>
      <c r="J223" s="9" t="inlineStr">
        <is>
          <t>A 240-home Houston build-to-rent community and a dedicated brand.</t>
        </is>
      </c>
      <c r="K223" s="8" t="inlineStr">
        <is>
          <t>No</t>
        </is>
      </c>
      <c r="L223" s="9" t="inlineStr">
        <is>
          <t>A national builder with a national build-to-rent brand.</t>
        </is>
      </c>
      <c r="M223" s="8" t="inlineStr">
        <is>
          <t>No</t>
        </is>
      </c>
      <c r="N223" s="9" t="inlineStr">
        <is>
          <t>Its Yardly retrospective cites input costs with no method detail.</t>
        </is>
      </c>
      <c r="O223" s="8" t="inlineStr">
        <is>
          <t>Yes</t>
        </is>
      </c>
      <c r="P223" s="6" t="inlineStr">
        <is>
          <t>https://www.linkedin.com/in/amy-rino-5152b111/</t>
        </is>
      </c>
      <c r="Q223" s="6" t="inlineStr"/>
      <c r="R223" s="11">
        <f>IF(P223="","ADD LINKEDIN","ok")</f>
        <v/>
      </c>
      <c r="S223" s="6" t="inlineStr">
        <is>
          <t>https://www.taylormorrison.com/</t>
        </is>
      </c>
      <c r="T223" s="9" t="inlineStr">
        <is>
          <t>A 240-home Houston build-to-rent community and a dedicated brand. The division president role dates to 2018 and is unconfirmed.</t>
        </is>
      </c>
      <c r="U223" s="6" t="inlineStr"/>
      <c r="V223" s="9" t="inlineStr">
        <is>
          <t>Amy Rino is now Chief Customer Officer at Taylor Morrison in Scottsdale, not Houston division president. No current Houston division leader is identified.</t>
        </is>
      </c>
      <c r="W223" s="6" t="inlineStr"/>
      <c r="X223" s="6" t="inlineStr">
        <is>
          <t>https://www.linkedin.com/company/taylor-morrison</t>
        </is>
      </c>
      <c r="Y223" s="6" t="inlineStr">
        <is>
          <t>https://newsroom.taylormorrison.com/Leadership</t>
        </is>
      </c>
      <c r="Z223" s="6" t="inlineStr"/>
    </row>
    <row r="224">
      <c r="A224" s="12" t="inlineStr">
        <is>
          <t>Ken Balogh</t>
        </is>
      </c>
      <c r="B224" s="12" t="inlineStr">
        <is>
          <t>Ashton Woods Homes</t>
        </is>
      </c>
      <c r="C224" s="12" t="inlineStr">
        <is>
          <t>President and Chief Executive Officer</t>
        </is>
      </c>
      <c r="D224" s="13" t="inlineStr">
        <is>
          <t>National scale, pilot not purchase</t>
        </is>
      </c>
      <c r="E224" s="14" t="n">
        <v>1</v>
      </c>
      <c r="F224" s="12" t="inlineStr">
        <is>
          <t>Buys walls</t>
        </is>
      </c>
      <c r="G224" s="12" t="inlineStr">
        <is>
          <t>Alpharetta HQ / Harris, Fort Bend</t>
        </is>
      </c>
      <c r="H224" s="12" t="inlineStr">
        <is>
          <t>14+ named Houston communities</t>
        </is>
      </c>
      <c r="I224" s="14" t="inlineStr">
        <is>
          <t>Yes</t>
        </is>
      </c>
      <c r="J224" s="15" t="inlineStr">
        <is>
          <t>Fourteen named Houston communities.</t>
        </is>
      </c>
      <c r="K224" s="14" t="inlineStr">
        <is>
          <t>No</t>
        </is>
      </c>
      <c r="L224" s="15" t="inlineStr">
        <is>
          <t>A national builder with a corporate purchasing function.</t>
        </is>
      </c>
      <c r="M224" s="14" t="inlineStr">
        <is>
          <t>No</t>
        </is>
      </c>
      <c r="N224" s="15" t="inlineStr">
        <is>
          <t>No firm-specific method evidence found.</t>
        </is>
      </c>
      <c r="O224" s="14" t="inlineStr">
        <is>
          <t>Partly</t>
        </is>
      </c>
      <c r="P224" s="10" t="inlineStr"/>
      <c r="Q224" s="12">
        <f>HYPERLINK("https://www.linkedin.com/search/results/people/?keywords=Ken%20Balogh%20Ashton%20Woods%20Homes","search")</f>
        <v/>
      </c>
      <c r="R224" s="16">
        <f>IF(P224="","ADD LINKEDIN","ok")</f>
        <v/>
      </c>
      <c r="S224" s="12" t="inlineStr">
        <is>
          <t>https://www.ashtonwoods.com/</t>
        </is>
      </c>
      <c r="T224" s="15" t="inlineStr">
        <is>
          <t>14 named Houston communities and a Texas regional president.</t>
        </is>
      </c>
      <c r="U224" s="12" t="inlineStr"/>
      <c r="V224" s="15" t="inlineStr"/>
      <c r="W224" s="12" t="inlineStr">
        <is>
          <t>https://www.ashtonwoods.com/corporate-info</t>
        </is>
      </c>
      <c r="X224" s="12" t="inlineStr">
        <is>
          <t>https://www.linkedin.com/company/ashton-woods-homes</t>
        </is>
      </c>
      <c r="Y224" s="12" t="inlineStr">
        <is>
          <t>https://www.ashtonwoods.com/corporate-info</t>
        </is>
      </c>
      <c r="Z224" s="12" t="inlineStr"/>
    </row>
    <row r="225">
      <c r="A225" s="6" t="inlineStr">
        <is>
          <t>Lindsay Motley</t>
        </is>
      </c>
      <c r="B225" s="6" t="inlineStr">
        <is>
          <t>Ashton Woods Homes</t>
        </is>
      </c>
      <c r="C225" s="6" t="inlineStr">
        <is>
          <t>Regional President</t>
        </is>
      </c>
      <c r="D225" s="7" t="inlineStr">
        <is>
          <t>National scale, pilot not purchase</t>
        </is>
      </c>
      <c r="E225" s="8" t="n">
        <v>1</v>
      </c>
      <c r="F225" s="6" t="inlineStr">
        <is>
          <t>Buys walls</t>
        </is>
      </c>
      <c r="G225" s="6" t="inlineStr">
        <is>
          <t>Alpharetta HQ / Harris, Fort Bend</t>
        </is>
      </c>
      <c r="H225" s="6" t="inlineStr">
        <is>
          <t>14+ named Houston communities</t>
        </is>
      </c>
      <c r="I225" s="8" t="inlineStr">
        <is>
          <t>Yes</t>
        </is>
      </c>
      <c r="J225" s="9" t="inlineStr">
        <is>
          <t>Fourteen named Houston communities.</t>
        </is>
      </c>
      <c r="K225" s="8" t="inlineStr">
        <is>
          <t>No</t>
        </is>
      </c>
      <c r="L225" s="9" t="inlineStr">
        <is>
          <t>A national builder with a corporate purchasing function.</t>
        </is>
      </c>
      <c r="M225" s="8" t="inlineStr">
        <is>
          <t>No</t>
        </is>
      </c>
      <c r="N225" s="9" t="inlineStr">
        <is>
          <t>No firm-specific method evidence found.</t>
        </is>
      </c>
      <c r="O225" s="8" t="inlineStr">
        <is>
          <t>Partly</t>
        </is>
      </c>
      <c r="P225" s="10" t="inlineStr"/>
      <c r="Q225" s="6">
        <f>HYPERLINK("https://www.linkedin.com/search/results/people/?keywords=Lindsay%20Motley%20Ashton%20Woods%20Homes","search")</f>
        <v/>
      </c>
      <c r="R225" s="11">
        <f>IF(P225="","ADD LINKEDIN","ok")</f>
        <v/>
      </c>
      <c r="S225" s="6" t="inlineStr">
        <is>
          <t>https://www.ashtonwoods.com/</t>
        </is>
      </c>
      <c r="T225" s="9" t="inlineStr">
        <is>
          <t>14 named Houston communities and a Texas regional president.</t>
        </is>
      </c>
      <c r="U225" s="6" t="inlineStr"/>
      <c r="V225" s="9" t="inlineStr">
        <is>
          <t>Regional President. The firm's own announcement names her Austin division president.</t>
        </is>
      </c>
      <c r="W225" s="6" t="inlineStr">
        <is>
          <t>https://www.ashtonwoods.com/corporate-info</t>
        </is>
      </c>
      <c r="X225" s="6" t="inlineStr">
        <is>
          <t>https://www.linkedin.com/company/ashton-woods-homes</t>
        </is>
      </c>
      <c r="Y225" s="6" t="inlineStr">
        <is>
          <t>https://www.ashtonwoods.com/corporate-info</t>
        </is>
      </c>
      <c r="Z225" s="6" t="inlineStr"/>
    </row>
    <row r="226">
      <c r="A226" s="12" t="inlineStr">
        <is>
          <t>Ryan Lewis</t>
        </is>
      </c>
      <c r="B226" s="12" t="inlineStr">
        <is>
          <t>Ashton Woods Homes</t>
        </is>
      </c>
      <c r="C226" s="12" t="inlineStr">
        <is>
          <t>Chief Operating Officer</t>
        </is>
      </c>
      <c r="D226" s="13" t="inlineStr">
        <is>
          <t>National scale, pilot not purchase</t>
        </is>
      </c>
      <c r="E226" s="14" t="n">
        <v>1</v>
      </c>
      <c r="F226" s="12" t="inlineStr">
        <is>
          <t>Buys walls</t>
        </is>
      </c>
      <c r="G226" s="12" t="inlineStr">
        <is>
          <t>Alpharetta HQ / Harris, Fort Bend</t>
        </is>
      </c>
      <c r="H226" s="12" t="inlineStr">
        <is>
          <t>14+ named Houston communities</t>
        </is>
      </c>
      <c r="I226" s="14" t="inlineStr">
        <is>
          <t>Yes</t>
        </is>
      </c>
      <c r="J226" s="15" t="inlineStr">
        <is>
          <t>Fourteen named Houston communities.</t>
        </is>
      </c>
      <c r="K226" s="14" t="inlineStr">
        <is>
          <t>No</t>
        </is>
      </c>
      <c r="L226" s="15" t="inlineStr">
        <is>
          <t>A national builder with a corporate purchasing function.</t>
        </is>
      </c>
      <c r="M226" s="14" t="inlineStr">
        <is>
          <t>No</t>
        </is>
      </c>
      <c r="N226" s="15" t="inlineStr">
        <is>
          <t>No firm-specific method evidence found.</t>
        </is>
      </c>
      <c r="O226" s="14" t="inlineStr">
        <is>
          <t>Partly</t>
        </is>
      </c>
      <c r="P226" s="10" t="inlineStr"/>
      <c r="Q226" s="12">
        <f>HYPERLINK("https://www.linkedin.com/search/results/people/?keywords=Ryan%20Lewis%20Ashton%20Woods%20Homes","search")</f>
        <v/>
      </c>
      <c r="R226" s="16">
        <f>IF(P226="","ADD LINKEDIN","ok")</f>
        <v/>
      </c>
      <c r="S226" s="12" t="inlineStr">
        <is>
          <t>https://www.ashtonwoods.com/</t>
        </is>
      </c>
      <c r="T226" s="15" t="inlineStr">
        <is>
          <t>14 named Houston communities and a Texas regional president.</t>
        </is>
      </c>
      <c r="U226" s="12" t="inlineStr"/>
      <c r="V226" s="15" t="inlineStr"/>
      <c r="W226" s="12" t="inlineStr">
        <is>
          <t>https://www.ashtonwoods.com/corporate-info</t>
        </is>
      </c>
      <c r="X226" s="12" t="inlineStr">
        <is>
          <t>https://www.linkedin.com/company/ashton-woods-homes</t>
        </is>
      </c>
      <c r="Y226" s="12" t="inlineStr">
        <is>
          <t>https://www.ashtonwoods.com/corporate-info</t>
        </is>
      </c>
      <c r="Z226" s="12" t="inlineStr"/>
    </row>
    <row r="227">
      <c r="A227" s="6" t="inlineStr">
        <is>
          <t>Adam Weaver</t>
        </is>
      </c>
      <c r="B227" s="6" t="inlineStr">
        <is>
          <t>Ashton Woods Homes</t>
        </is>
      </c>
      <c r="C227" s="6" t="inlineStr">
        <is>
          <t>Senior Vice President of Purchasing</t>
        </is>
      </c>
      <c r="D227" s="7" t="inlineStr">
        <is>
          <t>National scale, pilot not purchase</t>
        </is>
      </c>
      <c r="E227" s="8" t="n">
        <v>1</v>
      </c>
      <c r="F227" s="6" t="inlineStr">
        <is>
          <t>Buys walls</t>
        </is>
      </c>
      <c r="G227" s="6" t="inlineStr">
        <is>
          <t>Alpharetta HQ / Harris, Fort Bend</t>
        </is>
      </c>
      <c r="H227" s="6" t="inlineStr">
        <is>
          <t>14+ named Houston communities</t>
        </is>
      </c>
      <c r="I227" s="8" t="inlineStr">
        <is>
          <t>Yes</t>
        </is>
      </c>
      <c r="J227" s="9" t="inlineStr">
        <is>
          <t>Fourteen named Houston communities.</t>
        </is>
      </c>
      <c r="K227" s="8" t="inlineStr">
        <is>
          <t>No</t>
        </is>
      </c>
      <c r="L227" s="9" t="inlineStr">
        <is>
          <t>A national builder with a corporate purchasing function.</t>
        </is>
      </c>
      <c r="M227" s="8" t="inlineStr">
        <is>
          <t>No</t>
        </is>
      </c>
      <c r="N227" s="9" t="inlineStr">
        <is>
          <t>No firm-specific method evidence found.</t>
        </is>
      </c>
      <c r="O227" s="8" t="inlineStr">
        <is>
          <t>Partly</t>
        </is>
      </c>
      <c r="P227" s="10" t="inlineStr"/>
      <c r="Q227" s="6" t="inlineStr"/>
      <c r="R227" s="11">
        <f>IF(P227="","ADD LINKEDIN","ok")</f>
        <v/>
      </c>
      <c r="S227" s="6" t="inlineStr">
        <is>
          <t>https://www.ashtonwoods.com/</t>
        </is>
      </c>
      <c r="T227" s="9" t="inlineStr">
        <is>
          <t>14 named Houston communities and a Texas regional president.</t>
        </is>
      </c>
      <c r="U227" s="6" t="inlineStr">
        <is>
          <t>YES</t>
        </is>
      </c>
      <c r="V227" s="9" t="inlineStr"/>
      <c r="W227" s="6" t="inlineStr">
        <is>
          <t>https://www.ashtonwoods.com/corporate-info</t>
        </is>
      </c>
      <c r="X227" s="6" t="inlineStr">
        <is>
          <t>https://www.linkedin.com/company/ashton-woods-homes</t>
        </is>
      </c>
      <c r="Y227" s="6" t="inlineStr">
        <is>
          <t>https://www.ashtonwoods.com/corporate-info</t>
        </is>
      </c>
      <c r="Z227" s="6" t="inlineStr"/>
    </row>
    <row r="228">
      <c r="A228" s="12" t="inlineStr">
        <is>
          <t>Ken Newman</t>
        </is>
      </c>
      <c r="B228" s="12" t="inlineStr">
        <is>
          <t>Ashton Woods Homes</t>
        </is>
      </c>
      <c r="C228" s="12" t="inlineStr">
        <is>
          <t>Senior Vice President of Construction Operations</t>
        </is>
      </c>
      <c r="D228" s="13" t="inlineStr">
        <is>
          <t>National scale, pilot not purchase</t>
        </is>
      </c>
      <c r="E228" s="14" t="n">
        <v>1</v>
      </c>
      <c r="F228" s="12" t="inlineStr">
        <is>
          <t>Buys walls</t>
        </is>
      </c>
      <c r="G228" s="12" t="inlineStr">
        <is>
          <t>Alpharetta HQ / Harris, Fort Bend</t>
        </is>
      </c>
      <c r="H228" s="12" t="inlineStr">
        <is>
          <t>14+ named Houston communities</t>
        </is>
      </c>
      <c r="I228" s="14" t="inlineStr">
        <is>
          <t>Yes</t>
        </is>
      </c>
      <c r="J228" s="15" t="inlineStr">
        <is>
          <t>Fourteen named Houston communities.</t>
        </is>
      </c>
      <c r="K228" s="14" t="inlineStr">
        <is>
          <t>No</t>
        </is>
      </c>
      <c r="L228" s="15" t="inlineStr">
        <is>
          <t>A national builder with a corporate purchasing function.</t>
        </is>
      </c>
      <c r="M228" s="14" t="inlineStr">
        <is>
          <t>No</t>
        </is>
      </c>
      <c r="N228" s="15" t="inlineStr">
        <is>
          <t>No firm-specific method evidence found.</t>
        </is>
      </c>
      <c r="O228" s="14" t="inlineStr">
        <is>
          <t>Partly</t>
        </is>
      </c>
      <c r="P228" s="10" t="inlineStr"/>
      <c r="Q228" s="12" t="inlineStr"/>
      <c r="R228" s="16">
        <f>IF(P228="","ADD LINKEDIN","ok")</f>
        <v/>
      </c>
      <c r="S228" s="12" t="inlineStr">
        <is>
          <t>https://www.ashtonwoods.com/</t>
        </is>
      </c>
      <c r="T228" s="15" t="inlineStr">
        <is>
          <t>14 named Houston communities and a Texas regional president.</t>
        </is>
      </c>
      <c r="U228" s="12" t="inlineStr">
        <is>
          <t>YES</t>
        </is>
      </c>
      <c r="V228" s="15" t="inlineStr"/>
      <c r="W228" s="12" t="inlineStr">
        <is>
          <t>https://www.ashtonwoods.com/corporate-info</t>
        </is>
      </c>
      <c r="X228" s="12" t="inlineStr">
        <is>
          <t>https://www.linkedin.com/company/ashton-woods-homes</t>
        </is>
      </c>
      <c r="Y228" s="12" t="inlineStr">
        <is>
          <t>https://www.ashtonwoods.com/corporate-info</t>
        </is>
      </c>
      <c r="Z228" s="12" t="inlineStr"/>
    </row>
    <row r="229">
      <c r="A229" s="6" t="inlineStr">
        <is>
          <t>Kathy Britton</t>
        </is>
      </c>
      <c r="B229" s="6" t="inlineStr">
        <is>
          <t>Perry Homes</t>
        </is>
      </c>
      <c r="C229" s="6" t="inlineStr">
        <is>
          <t>Owner and Executive Chair</t>
        </is>
      </c>
      <c r="D229" s="7" t="inlineStr">
        <is>
          <t>National scale, pilot not purchase</t>
        </is>
      </c>
      <c r="E229" s="8" t="n">
        <v>1</v>
      </c>
      <c r="F229" s="6" t="inlineStr">
        <is>
          <t>Buys walls</t>
        </is>
      </c>
      <c r="G229" s="6" t="inlineStr">
        <is>
          <t>Houston HQ, Harris County</t>
        </is>
      </c>
      <c r="H229" s="6" t="inlineStr">
        <is>
          <t>120+ communities, 65,000+ homes sold</t>
        </is>
      </c>
      <c r="I229" s="8" t="inlineStr">
        <is>
          <t>Yes</t>
        </is>
      </c>
      <c r="J229" s="9" t="inlineStr">
        <is>
          <t>More than 120 communities and 65,000 homes, locally owned.</t>
        </is>
      </c>
      <c r="K229" s="8" t="inlineStr">
        <is>
          <t>No</t>
        </is>
      </c>
      <c r="L229" s="9" t="inlineStr">
        <is>
          <t>120 communities and thousands of closings a year, bought centrally.</t>
        </is>
      </c>
      <c r="M229" s="8" t="inlineStr">
        <is>
          <t>No</t>
        </is>
      </c>
      <c r="N229" s="9" t="inlineStr">
        <is>
          <t>Its own published definition of innovation is smart-home features and floor plans.</t>
        </is>
      </c>
      <c r="O229" s="8" t="inlineStr">
        <is>
          <t>Partly</t>
        </is>
      </c>
      <c r="P229" s="10" t="inlineStr"/>
      <c r="Q229" s="6">
        <f>HYPERLINK("https://www.linkedin.com/search/results/people/?keywords=Kathy%20Britton%20Perry%20Homes","search")</f>
        <v/>
      </c>
      <c r="R229" s="11">
        <f>IF(P229="","ADD LINKEDIN","ok")</f>
        <v/>
      </c>
      <c r="S229" s="6" t="inlineStr">
        <is>
          <t>https://www.perryhomes.com/</t>
        </is>
      </c>
      <c r="T229" s="9" t="inlineStr">
        <is>
          <t>120 communities and local ownership. Its published innovation page covers smart-home features and floor plans.</t>
        </is>
      </c>
      <c r="U229" s="6" t="inlineStr"/>
      <c r="V229" s="9" t="inlineStr">
        <is>
          <t>Perry's own page: Owner and Executive Chair, having succeeded her father Bob Perry as chief executive.</t>
        </is>
      </c>
      <c r="W229" s="6" t="inlineStr">
        <is>
          <t>https://www.perryhomes.com/about-perry-homes</t>
        </is>
      </c>
      <c r="X229" s="6" t="inlineStr">
        <is>
          <t>https://www.linkedin.com/company/perry-homes</t>
        </is>
      </c>
      <c r="Y229" s="6" t="inlineStr">
        <is>
          <t>https://www.perryhomes.com/about-perry-homes</t>
        </is>
      </c>
      <c r="Z229" s="6" t="inlineStr"/>
    </row>
    <row r="230">
      <c r="A230" s="12" t="inlineStr">
        <is>
          <t>Todd Chachere</t>
        </is>
      </c>
      <c r="B230" s="12" t="inlineStr">
        <is>
          <t>Perry Homes</t>
        </is>
      </c>
      <c r="C230" s="12" t="inlineStr">
        <is>
          <t>Chief Executive Officer</t>
        </is>
      </c>
      <c r="D230" s="13" t="inlineStr">
        <is>
          <t>National scale, pilot not purchase</t>
        </is>
      </c>
      <c r="E230" s="14" t="n">
        <v>1</v>
      </c>
      <c r="F230" s="12" t="inlineStr">
        <is>
          <t>Buys walls</t>
        </is>
      </c>
      <c r="G230" s="12" t="inlineStr">
        <is>
          <t>Houston HQ, Harris County</t>
        </is>
      </c>
      <c r="H230" s="12" t="inlineStr">
        <is>
          <t>120+ communities, 65,000+ homes sold</t>
        </is>
      </c>
      <c r="I230" s="14" t="inlineStr">
        <is>
          <t>Yes</t>
        </is>
      </c>
      <c r="J230" s="15" t="inlineStr">
        <is>
          <t>More than 120 communities and 65,000 homes, locally owned.</t>
        </is>
      </c>
      <c r="K230" s="14" t="inlineStr">
        <is>
          <t>No</t>
        </is>
      </c>
      <c r="L230" s="15" t="inlineStr">
        <is>
          <t>120 communities and thousands of closings a year, bought centrally.</t>
        </is>
      </c>
      <c r="M230" s="14" t="inlineStr">
        <is>
          <t>No</t>
        </is>
      </c>
      <c r="N230" s="15" t="inlineStr">
        <is>
          <t>Its own published definition of innovation is smart-home features and floor plans.</t>
        </is>
      </c>
      <c r="O230" s="14" t="inlineStr">
        <is>
          <t>Partly</t>
        </is>
      </c>
      <c r="P230" s="10" t="inlineStr"/>
      <c r="Q230" s="12">
        <f>HYPERLINK("https://www.linkedin.com/search/results/people/?keywords=Todd%20Chachere%20Perry%20Homes","search")</f>
        <v/>
      </c>
      <c r="R230" s="16">
        <f>IF(P230="","ADD LINKEDIN","ok")</f>
        <v/>
      </c>
      <c r="S230" s="12" t="inlineStr">
        <is>
          <t>https://www.perryhomes.com/</t>
        </is>
      </c>
      <c r="T230" s="15" t="inlineStr">
        <is>
          <t>120 communities and local ownership. Its published innovation page covers smart-home features and floor plans.</t>
        </is>
      </c>
      <c r="U230" s="12" t="inlineStr"/>
      <c r="V230" s="15" t="inlineStr"/>
      <c r="W230" s="12" t="inlineStr">
        <is>
          <t>https://www.perryhomes.com/about-perry-homes</t>
        </is>
      </c>
      <c r="X230" s="12" t="inlineStr">
        <is>
          <t>https://www.linkedin.com/company/perry-homes</t>
        </is>
      </c>
      <c r="Y230" s="12" t="inlineStr">
        <is>
          <t>https://www.perryhomes.com/about-perry-homes</t>
        </is>
      </c>
      <c r="Z230" s="12" t="inlineStr"/>
    </row>
    <row r="231">
      <c r="A231" s="6" t="inlineStr">
        <is>
          <t>Ronny Salameh</t>
        </is>
      </c>
      <c r="B231" s="6" t="inlineStr">
        <is>
          <t>Brightland Homes</t>
        </is>
      </c>
      <c r="C231" s="6" t="inlineStr">
        <is>
          <t>President and Chief Executive Officer, The DRB Group</t>
        </is>
      </c>
      <c r="D231" s="7" t="inlineStr">
        <is>
          <t>National scale, pilot not purchase</t>
        </is>
      </c>
      <c r="E231" s="8" t="n">
        <v>1</v>
      </c>
      <c r="F231" s="6" t="inlineStr">
        <is>
          <t>Buys walls</t>
        </is>
      </c>
      <c r="G231" s="6" t="inlineStr">
        <is>
          <t>Addison HQ / Montgomery, Harris</t>
        </is>
      </c>
      <c r="H231" s="6" t="inlineStr">
        <is>
          <t>110 communities, 17,000+ homes delivered</t>
        </is>
      </c>
      <c r="I231" s="8" t="inlineStr">
        <is>
          <t>Partly</t>
        </is>
      </c>
      <c r="J231" s="9" t="inlineStr">
        <is>
          <t>110 active communities.</t>
        </is>
      </c>
      <c r="K231" s="8" t="inlineStr">
        <is>
          <t>No</t>
        </is>
      </c>
      <c r="L231" s="9" t="inlineStr">
        <is>
          <t>110 communities inside the DRB platform, bought by a parent that has put capital into wood.</t>
        </is>
      </c>
      <c r="M231" s="8" t="inlineStr">
        <is>
          <t>No</t>
        </is>
      </c>
      <c r="N231" s="9" t="inlineStr">
        <is>
          <t>Owner Sumitomo Forestry is a timber group, which may cut against a concrete wall.</t>
        </is>
      </c>
      <c r="O231" s="8" t="inlineStr">
        <is>
          <t>Partly</t>
        </is>
      </c>
      <c r="P231" s="10" t="inlineStr"/>
      <c r="Q231" s="6">
        <f>HYPERLINK("https://www.linkedin.com/search/results/people/?keywords=Ronny%20Salameh%20Brightland%20Homes","search")</f>
        <v/>
      </c>
      <c r="R231" s="11">
        <f>IF(P231="","ADD LINKEDIN","ok")</f>
        <v/>
      </c>
      <c r="S231" s="6" t="inlineStr">
        <is>
          <t>https://www.brightlandhomes.com/</t>
        </is>
      </c>
      <c r="T231" s="9" t="inlineStr">
        <is>
          <t>110 communities, but parent Sumitomo Forestry bought a sawmill and is integrating wood framing across the platform Brightland sits in.</t>
        </is>
      </c>
      <c r="U231" s="6" t="inlineStr"/>
      <c r="V231" s="9" t="inlineStr">
        <is>
          <t>President and Chief Executive Officer of The DRB Group, which has owned Brightland since April 2025.</t>
        </is>
      </c>
      <c r="W231" s="6" t="inlineStr">
        <is>
          <t>https://www.drbgroup.com/about</t>
        </is>
      </c>
      <c r="X231" s="6" t="inlineStr">
        <is>
          <t>https://www.linkedin.com/company/brightlandhomes</t>
        </is>
      </c>
      <c r="Y231" s="6" t="inlineStr">
        <is>
          <t>https://www.drbgroup.com/about</t>
        </is>
      </c>
      <c r="Z231" s="6" t="inlineStr"/>
    </row>
    <row r="232">
      <c r="A232" s="12" t="inlineStr">
        <is>
          <t>Young Nam</t>
        </is>
      </c>
      <c r="B232" s="12" t="inlineStr">
        <is>
          <t>Brightland Homes</t>
        </is>
      </c>
      <c r="C232" s="12" t="inlineStr">
        <is>
          <t>Senior Vice President of Purchasing, The DRB Group</t>
        </is>
      </c>
      <c r="D232" s="13" t="inlineStr">
        <is>
          <t>National scale, pilot not purchase</t>
        </is>
      </c>
      <c r="E232" s="14" t="n">
        <v>1</v>
      </c>
      <c r="F232" s="12" t="inlineStr">
        <is>
          <t>Buys walls</t>
        </is>
      </c>
      <c r="G232" s="12" t="inlineStr">
        <is>
          <t>Addison HQ / Montgomery, Harris</t>
        </is>
      </c>
      <c r="H232" s="12" t="inlineStr">
        <is>
          <t>110 communities, 17,000+ homes delivered</t>
        </is>
      </c>
      <c r="I232" s="14" t="inlineStr">
        <is>
          <t>Partly</t>
        </is>
      </c>
      <c r="J232" s="15" t="inlineStr">
        <is>
          <t>110 active communities.</t>
        </is>
      </c>
      <c r="K232" s="14" t="inlineStr">
        <is>
          <t>No</t>
        </is>
      </c>
      <c r="L232" s="15" t="inlineStr">
        <is>
          <t>110 communities inside the DRB platform, bought by a parent that has put capital into wood.</t>
        </is>
      </c>
      <c r="M232" s="14" t="inlineStr">
        <is>
          <t>No</t>
        </is>
      </c>
      <c r="N232" s="15" t="inlineStr">
        <is>
          <t>Owner Sumitomo Forestry is a timber group, which may cut against a concrete wall.</t>
        </is>
      </c>
      <c r="O232" s="14" t="inlineStr">
        <is>
          <t>Partly</t>
        </is>
      </c>
      <c r="P232" s="6" t="inlineStr">
        <is>
          <t>https://www.linkedin.com/in/young-nam-78b36229/</t>
        </is>
      </c>
      <c r="Q232" s="12" t="inlineStr"/>
      <c r="R232" s="16">
        <f>IF(P232="","ADD LINKEDIN","ok")</f>
        <v/>
      </c>
      <c r="S232" s="12" t="inlineStr">
        <is>
          <t>https://www.brightlandhomes.com/</t>
        </is>
      </c>
      <c r="T232" s="15" t="inlineStr">
        <is>
          <t>110 communities, but parent Sumitomo Forestry bought a sawmill and is integrating wood framing across the platform Brightland sits in.</t>
        </is>
      </c>
      <c r="U232" s="12" t="inlineStr">
        <is>
          <t>YES</t>
        </is>
      </c>
      <c r="V232"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2" s="12" t="inlineStr">
        <is>
          <t>https://www.drbgroup.com/about</t>
        </is>
      </c>
      <c r="X232" s="12" t="inlineStr">
        <is>
          <t>https://www.linkedin.com/company/brightlandhomes</t>
        </is>
      </c>
      <c r="Y232" s="12" t="inlineStr">
        <is>
          <t>https://www.drbgroup.com/about</t>
        </is>
      </c>
      <c r="Z232" s="12" t="inlineStr"/>
    </row>
    <row r="233">
      <c r="A233" s="6" t="inlineStr">
        <is>
          <t>David O'Reilly</t>
        </is>
      </c>
      <c r="B233" s="6" t="inlineStr">
        <is>
          <t>Howard Hughes Holdings Inc.</t>
        </is>
      </c>
      <c r="C233" s="6" t="inlineStr">
        <is>
          <t>Chief Executive Officer</t>
        </is>
      </c>
      <c r="D233" s="7" t="inlineStr">
        <is>
          <t>Masterplan owner</t>
        </is>
      </c>
      <c r="E233" s="8" t="n">
        <v>2</v>
      </c>
      <c r="F233" s="6" t="inlineStr">
        <is>
          <t>Sells lots</t>
        </is>
      </c>
      <c r="G233" s="6" t="inlineStr">
        <is>
          <t>The Woodlands HQ / Harris, Montgomery</t>
        </is>
      </c>
      <c r="H233" s="6" t="inlineStr">
        <is>
          <t>1,802 residential acres left to sell</t>
        </is>
      </c>
      <c r="I233" s="8" t="inlineStr">
        <is>
          <t>Yes</t>
        </is>
      </c>
      <c r="J233" s="9" t="inlineStr">
        <is>
          <t>Three communities on one metro's edge, 1,802 residential acres still to sell.</t>
        </is>
      </c>
      <c r="K233" s="8" t="inlineStr">
        <is>
          <t>No</t>
        </is>
      </c>
      <c r="L233" s="9" t="inlineStr">
        <is>
          <t>It sells finished lots. The builder who buys them buys the wall.</t>
        </is>
      </c>
      <c r="M233" s="8" t="inlineStr">
        <is>
          <t>Yes</t>
        </is>
      </c>
      <c r="N233" s="9" t="inlineStr">
        <is>
          <t>It financed and opened Greater Houston's first mass timber office building, with low-carbon concrete in the same structure.</t>
        </is>
      </c>
      <c r="O233" s="8" t="inlineStr">
        <is>
          <t>Yes</t>
        </is>
      </c>
      <c r="P233" s="10" t="inlineStr"/>
      <c r="Q233" s="6">
        <f>HYPERLINK("https://www.linkedin.com/search/results/people/?keywords=David%20O%27Reilly%20Howard%20Hughes%20Holdings%20Inc.","search")</f>
        <v/>
      </c>
      <c r="R233" s="11">
        <f>IF(P233="","ADD LINKEDIN","ok")</f>
        <v/>
      </c>
      <c r="S233" s="6" t="inlineStr">
        <is>
          <t>https://www.howardhughes.com/</t>
        </is>
      </c>
      <c r="T233" s="9" t="inlineStr">
        <is>
          <t>1,802 residential acres left to sell across three communities, and it paid to put up Greater Houston's first mass timber office. It sells lots, so the builder buys the wall.</t>
        </is>
      </c>
      <c r="U233" s="6" t="inlineStr"/>
      <c r="V233" s="9" t="inlineStr"/>
      <c r="W233" s="6" t="inlineStr">
        <is>
          <t>https://investor.howardhughes.com/governance/leadership</t>
        </is>
      </c>
      <c r="X233" s="6" t="inlineStr">
        <is>
          <t>https://www.linkedin.com/company/the-howard-hughes-corporation</t>
        </is>
      </c>
      <c r="Y233" s="6" t="inlineStr">
        <is>
          <t>https://investor.howardhughes.com/governance/leadership</t>
        </is>
      </c>
      <c r="Z233" s="6" t="inlineStr"/>
    </row>
    <row r="234">
      <c r="A234" s="12" t="inlineStr">
        <is>
          <t>Bill Ackman</t>
        </is>
      </c>
      <c r="B234" s="12" t="inlineStr">
        <is>
          <t>Howard Hughes Holdings Inc.</t>
        </is>
      </c>
      <c r="C234" s="12" t="inlineStr">
        <is>
          <t>Executive Chairman of the Board</t>
        </is>
      </c>
      <c r="D234" s="13" t="inlineStr">
        <is>
          <t>Masterplan owner</t>
        </is>
      </c>
      <c r="E234" s="14" t="n">
        <v>2</v>
      </c>
      <c r="F234" s="12" t="inlineStr">
        <is>
          <t>Sells lots</t>
        </is>
      </c>
      <c r="G234" s="12" t="inlineStr">
        <is>
          <t>The Woodlands HQ / Harris, Montgomery</t>
        </is>
      </c>
      <c r="H234" s="12" t="inlineStr">
        <is>
          <t>1,802 residential acres left to sell</t>
        </is>
      </c>
      <c r="I234" s="14" t="inlineStr">
        <is>
          <t>Yes</t>
        </is>
      </c>
      <c r="J234" s="15" t="inlineStr">
        <is>
          <t>Three communities on one metro's edge, 1,802 residential acres still to sell.</t>
        </is>
      </c>
      <c r="K234" s="14" t="inlineStr">
        <is>
          <t>No</t>
        </is>
      </c>
      <c r="L234" s="15" t="inlineStr">
        <is>
          <t>It sells finished lots. The builder who buys them buys the wall.</t>
        </is>
      </c>
      <c r="M234" s="14" t="inlineStr">
        <is>
          <t>Yes</t>
        </is>
      </c>
      <c r="N234" s="15" t="inlineStr">
        <is>
          <t>It financed and opened Greater Houston's first mass timber office building, with low-carbon concrete in the same structure.</t>
        </is>
      </c>
      <c r="O234" s="14" t="inlineStr">
        <is>
          <t>Yes</t>
        </is>
      </c>
      <c r="P234" s="10" t="inlineStr"/>
      <c r="Q234" s="12">
        <f>HYPERLINK("https://www.linkedin.com/search/results/people/?keywords=Bill%20Ackman%20Howard%20Hughes%20Holdings%20Inc.","search")</f>
        <v/>
      </c>
      <c r="R234" s="16">
        <f>IF(P234="","ADD LINKEDIN","ok")</f>
        <v/>
      </c>
      <c r="S234" s="12" t="inlineStr">
        <is>
          <t>https://www.howardhughes.com/</t>
        </is>
      </c>
      <c r="T234" s="15" t="inlineStr">
        <is>
          <t>1,802 residential acres left to sell across three communities, and it paid to put up Greater Houston's first mass timber office. It sells lots, so the builder buys the wall.</t>
        </is>
      </c>
      <c r="U234" s="12" t="inlineStr"/>
      <c r="V234" s="15" t="inlineStr"/>
      <c r="W234" s="12" t="inlineStr">
        <is>
          <t>https://investor.howardhughes.com/governance/leadership</t>
        </is>
      </c>
      <c r="X234" s="12" t="inlineStr">
        <is>
          <t>https://www.linkedin.com/company/the-howard-hughes-corporation</t>
        </is>
      </c>
      <c r="Y234" s="12" t="inlineStr">
        <is>
          <t>https://investor.howardhughes.com/governance/leadership</t>
        </is>
      </c>
      <c r="Z234" s="12" t="inlineStr"/>
    </row>
    <row r="235">
      <c r="A235" s="6" t="inlineStr">
        <is>
          <t>Ryan Israel</t>
        </is>
      </c>
      <c r="B235" s="6" t="inlineStr">
        <is>
          <t>Howard Hughes Holdings Inc.</t>
        </is>
      </c>
      <c r="C235" s="6" t="inlineStr">
        <is>
          <t>Chief Investment Officer</t>
        </is>
      </c>
      <c r="D235" s="7" t="inlineStr">
        <is>
          <t>Masterplan owner</t>
        </is>
      </c>
      <c r="E235" s="8" t="n">
        <v>2</v>
      </c>
      <c r="F235" s="6" t="inlineStr">
        <is>
          <t>Sells lots</t>
        </is>
      </c>
      <c r="G235" s="6" t="inlineStr">
        <is>
          <t>The Woodlands HQ / Harris, Montgomery</t>
        </is>
      </c>
      <c r="H235" s="6" t="inlineStr">
        <is>
          <t>1,802 residential acres left to sell</t>
        </is>
      </c>
      <c r="I235" s="8" t="inlineStr">
        <is>
          <t>Yes</t>
        </is>
      </c>
      <c r="J235" s="9" t="inlineStr">
        <is>
          <t>Three communities on one metro's edge, 1,802 residential acres still to sell.</t>
        </is>
      </c>
      <c r="K235" s="8" t="inlineStr">
        <is>
          <t>No</t>
        </is>
      </c>
      <c r="L235" s="9" t="inlineStr">
        <is>
          <t>It sells finished lots. The builder who buys them buys the wall.</t>
        </is>
      </c>
      <c r="M235" s="8" t="inlineStr">
        <is>
          <t>Yes</t>
        </is>
      </c>
      <c r="N235" s="9" t="inlineStr">
        <is>
          <t>It financed and opened Greater Houston's first mass timber office building, with low-carbon concrete in the same structure.</t>
        </is>
      </c>
      <c r="O235" s="8" t="inlineStr">
        <is>
          <t>Yes</t>
        </is>
      </c>
      <c r="P235" s="10" t="inlineStr"/>
      <c r="Q235" s="6">
        <f>HYPERLINK("https://www.linkedin.com/search/results/people/?keywords=Ryan%20Israel%20Howard%20Hughes%20Holdings%20Inc.","search")</f>
        <v/>
      </c>
      <c r="R235" s="11">
        <f>IF(P235="","ADD LINKEDIN","ok")</f>
        <v/>
      </c>
      <c r="S235" s="6" t="inlineStr">
        <is>
          <t>https://www.howardhughes.com/</t>
        </is>
      </c>
      <c r="T235" s="9" t="inlineStr">
        <is>
          <t>1,802 residential acres left to sell across three communities, and it paid to put up Greater Houston's first mass timber office. It sells lots, so the builder buys the wall.</t>
        </is>
      </c>
      <c r="U235" s="6" t="inlineStr"/>
      <c r="V235" s="9" t="inlineStr"/>
      <c r="W235" s="6" t="inlineStr">
        <is>
          <t>https://investor.howardhughes.com/governance/leadership</t>
        </is>
      </c>
      <c r="X235" s="6" t="inlineStr">
        <is>
          <t>https://www.linkedin.com/company/the-howard-hughes-corporation</t>
        </is>
      </c>
      <c r="Y235" s="6" t="inlineStr">
        <is>
          <t>https://investor.howardhughes.com/governance/leadership</t>
        </is>
      </c>
      <c r="Z235" s="6" t="inlineStr"/>
    </row>
    <row r="236">
      <c r="A236" s="12" t="inlineStr">
        <is>
          <t>Jim Carman</t>
        </is>
      </c>
      <c r="B236" s="12" t="inlineStr">
        <is>
          <t>Howard Hughes Holdings Inc.</t>
        </is>
      </c>
      <c r="C236" s="12" t="inlineStr">
        <is>
          <t>President, Texas Region</t>
        </is>
      </c>
      <c r="D236" s="13" t="inlineStr">
        <is>
          <t>Masterplan owner</t>
        </is>
      </c>
      <c r="E236" s="14" t="n">
        <v>2</v>
      </c>
      <c r="F236" s="12" t="inlineStr">
        <is>
          <t>Sells lots</t>
        </is>
      </c>
      <c r="G236" s="12" t="inlineStr">
        <is>
          <t>The Woodlands HQ / Harris, Montgomery</t>
        </is>
      </c>
      <c r="H236" s="12" t="inlineStr">
        <is>
          <t>1,802 residential acres left to sell</t>
        </is>
      </c>
      <c r="I236" s="14" t="inlineStr">
        <is>
          <t>Yes</t>
        </is>
      </c>
      <c r="J236" s="15" t="inlineStr">
        <is>
          <t>Three communities on one metro's edge, 1,802 residential acres still to sell.</t>
        </is>
      </c>
      <c r="K236" s="14" t="inlineStr">
        <is>
          <t>No</t>
        </is>
      </c>
      <c r="L236" s="15" t="inlineStr">
        <is>
          <t>It sells finished lots. The builder who buys them buys the wall.</t>
        </is>
      </c>
      <c r="M236" s="14" t="inlineStr">
        <is>
          <t>Yes</t>
        </is>
      </c>
      <c r="N236" s="15" t="inlineStr">
        <is>
          <t>It financed and opened Greater Houston's first mass timber office building, with low-carbon concrete in the same structure.</t>
        </is>
      </c>
      <c r="O236" s="14" t="inlineStr">
        <is>
          <t>Yes</t>
        </is>
      </c>
      <c r="P236" s="6" t="inlineStr">
        <is>
          <t>https://www.linkedin.com/in/carmanjim/</t>
        </is>
      </c>
      <c r="Q236" s="12" t="inlineStr"/>
      <c r="R236" s="16">
        <f>IF(P236="","ADD LINKEDIN","ok")</f>
        <v/>
      </c>
      <c r="S236" s="12" t="inlineStr">
        <is>
          <t>https://www.howardhughes.com/</t>
        </is>
      </c>
      <c r="T236" s="15" t="inlineStr">
        <is>
          <t>1,802 residential acres left to sell across three communities, and it paid to put up Greater Houston's first mass timber office. It sells lots, so the builder buys the wall.</t>
        </is>
      </c>
      <c r="U236" s="12" t="inlineStr"/>
      <c r="V236" s="15" t="inlineStr">
        <is>
          <t>Profile opened. President, Texas Region at Howard Hughes Communities. Greater Houston. His own feed carries Bridgeland's number nine national ranking at 500 home sales by mid-2026 and the 83-acre Toro District with the Houston Texans headquarters.</t>
        </is>
      </c>
      <c r="W236" s="12" t="inlineStr"/>
      <c r="X236" s="12" t="inlineStr">
        <is>
          <t>https://www.linkedin.com/company/the-howard-hughes-corporation</t>
        </is>
      </c>
      <c r="Y236" s="12" t="inlineStr">
        <is>
          <t>https://investor.howardhughes.com/governance/leadership</t>
        </is>
      </c>
      <c r="Z236" s="12" t="inlineStr"/>
    </row>
    <row r="237">
      <c r="A237" s="6" t="inlineStr">
        <is>
          <t>Fred Balda</t>
        </is>
      </c>
      <c r="B237" s="6" t="inlineStr">
        <is>
          <t>Hillwood Communities</t>
        </is>
      </c>
      <c r="C237" s="6" t="inlineStr">
        <is>
          <t>President</t>
        </is>
      </c>
      <c r="D237" s="7" t="inlineStr">
        <is>
          <t>Masterplan owner</t>
        </is>
      </c>
      <c r="E237" s="8" t="n">
        <v>2</v>
      </c>
      <c r="F237" s="6" t="inlineStr">
        <is>
          <t>Sells lots</t>
        </is>
      </c>
      <c r="G237" s="6" t="inlineStr">
        <is>
          <t>Dallas HQ / Manvel, Pearland, League City</t>
        </is>
      </c>
      <c r="H237" s="6" t="inlineStr">
        <is>
          <t>Three Houston masterplans, 700 acres at Legacy alone</t>
        </is>
      </c>
      <c r="I237" s="8" t="inlineStr">
        <is>
          <t>Yes</t>
        </is>
      </c>
      <c r="J237" s="9" t="inlineStr">
        <is>
          <t>Three concurrent Houston masterplans, 700 acres at Legacy alone.</t>
        </is>
      </c>
      <c r="K237" s="8" t="inlineStr">
        <is>
          <t>No</t>
        </is>
      </c>
      <c r="L237" s="9" t="inlineStr">
        <is>
          <t>It develops lots and sells them to vertical builders. It does not pour walls.</t>
        </is>
      </c>
      <c r="M237" s="8" t="inlineStr">
        <is>
          <t>Partly</t>
        </is>
      </c>
      <c r="N237" s="9" t="inlineStr">
        <is>
          <t>A hundred printed homes were built inside one of its own communities. Hillwood developed the ground. Lennar bought the printing.</t>
        </is>
      </c>
      <c r="O237" s="8" t="inlineStr">
        <is>
          <t>Yes</t>
        </is>
      </c>
      <c r="P237" s="10" t="inlineStr"/>
      <c r="Q237" s="6">
        <f>HYPERLINK("https://www.linkedin.com/search/results/people/?keywords=Fred%20Balda%20Hillwood%20Communities","search")</f>
        <v/>
      </c>
      <c r="R237" s="11">
        <f>IF(P237="","ADD LINKEDIN","ok")</f>
        <v/>
      </c>
      <c r="S237" s="6" t="inlineStr">
        <is>
          <t>https://www.hillwoodcommunities.com/</t>
        </is>
      </c>
      <c r="T237" s="9" t="inlineStr">
        <is>
          <t>It is the land developer of Wolf Ranch, and it runs three Houston masterplans with a Houston general manager named.</t>
        </is>
      </c>
      <c r="U237" s="6" t="inlineStr"/>
      <c r="V237" s="9" t="inlineStr"/>
      <c r="W237" s="6" t="inlineStr">
        <is>
          <t>https://www.hillwoodcommunities.com/leadership/</t>
        </is>
      </c>
      <c r="X237" s="6" t="inlineStr"/>
      <c r="Y237" s="6" t="inlineStr"/>
      <c r="Z237" s="6" t="inlineStr"/>
    </row>
    <row r="238">
      <c r="A238" s="12" t="inlineStr">
        <is>
          <t>Russell Bynum</t>
        </is>
      </c>
      <c r="B238" s="12" t="inlineStr">
        <is>
          <t>Hillwood Communities</t>
        </is>
      </c>
      <c r="C238" s="12" t="inlineStr">
        <is>
          <t>Senior Vice President, General Manager, Houston MSA</t>
        </is>
      </c>
      <c r="D238" s="13" t="inlineStr">
        <is>
          <t>Masterplan owner</t>
        </is>
      </c>
      <c r="E238" s="14" t="n">
        <v>2</v>
      </c>
      <c r="F238" s="12" t="inlineStr">
        <is>
          <t>Sells lots</t>
        </is>
      </c>
      <c r="G238" s="12" t="inlineStr">
        <is>
          <t>Dallas HQ / Manvel, Pearland, League City</t>
        </is>
      </c>
      <c r="H238" s="12" t="inlineStr">
        <is>
          <t>Three Houston masterplans, 700 acres at Legacy alone</t>
        </is>
      </c>
      <c r="I238" s="14" t="inlineStr">
        <is>
          <t>Yes</t>
        </is>
      </c>
      <c r="J238" s="15" t="inlineStr">
        <is>
          <t>Three concurrent Houston masterplans, 700 acres at Legacy alone.</t>
        </is>
      </c>
      <c r="K238" s="14" t="inlineStr">
        <is>
          <t>No</t>
        </is>
      </c>
      <c r="L238" s="15" t="inlineStr">
        <is>
          <t>It develops lots and sells them to vertical builders. It does not pour walls.</t>
        </is>
      </c>
      <c r="M238" s="14" t="inlineStr">
        <is>
          <t>Partly</t>
        </is>
      </c>
      <c r="N238" s="15" t="inlineStr">
        <is>
          <t>A hundred printed homes were built inside one of its own communities. Hillwood developed the ground. Lennar bought the printing.</t>
        </is>
      </c>
      <c r="O238" s="14" t="inlineStr">
        <is>
          <t>Yes</t>
        </is>
      </c>
      <c r="P238" s="10" t="inlineStr"/>
      <c r="Q238" s="12">
        <f>HYPERLINK("https://www.linkedin.com/search/results/people/?keywords=Russell%20Bynum%20Hillwood%20Communities","search")</f>
        <v/>
      </c>
      <c r="R238" s="16">
        <f>IF(P238="","ADD LINKEDIN","ok")</f>
        <v/>
      </c>
      <c r="S238" s="12" t="inlineStr">
        <is>
          <t>https://www.hillwoodcommunities.com/</t>
        </is>
      </c>
      <c r="T238" s="15" t="inlineStr">
        <is>
          <t>It is the land developer of Wolf Ranch, and it runs three Houston masterplans with a Houston general manager named.</t>
        </is>
      </c>
      <c r="U238" s="12" t="inlineStr">
        <is>
          <t>YES</t>
        </is>
      </c>
      <c r="V238" s="15" t="inlineStr"/>
      <c r="W238" s="12" t="inlineStr">
        <is>
          <t>https://www.hillwoodcommunities.com/leadership/</t>
        </is>
      </c>
      <c r="X238" s="12" t="inlineStr"/>
      <c r="Y238" s="12" t="inlineStr"/>
      <c r="Z238" s="12" t="inlineStr"/>
    </row>
    <row r="239">
      <c r="A239" s="6" t="inlineStr">
        <is>
          <t>Mark Meyer</t>
        </is>
      </c>
      <c r="B239" s="6" t="inlineStr">
        <is>
          <t>Hillwood Communities</t>
        </is>
      </c>
      <c r="C239" s="6" t="inlineStr">
        <is>
          <t>Senior Vice President, Planning and Innovation</t>
        </is>
      </c>
      <c r="D239" s="7" t="inlineStr">
        <is>
          <t>Masterplan owner</t>
        </is>
      </c>
      <c r="E239" s="8" t="n">
        <v>2</v>
      </c>
      <c r="F239" s="6" t="inlineStr">
        <is>
          <t>Sells lots</t>
        </is>
      </c>
      <c r="G239" s="6" t="inlineStr">
        <is>
          <t>Dallas HQ / Manvel, Pearland, League City</t>
        </is>
      </c>
      <c r="H239" s="6" t="inlineStr">
        <is>
          <t>Three Houston masterplans, 700 acres at Legacy alone</t>
        </is>
      </c>
      <c r="I239" s="8" t="inlineStr">
        <is>
          <t>Yes</t>
        </is>
      </c>
      <c r="J239" s="9" t="inlineStr">
        <is>
          <t>Three concurrent Houston masterplans, 700 acres at Legacy alone.</t>
        </is>
      </c>
      <c r="K239" s="8" t="inlineStr">
        <is>
          <t>No</t>
        </is>
      </c>
      <c r="L239" s="9" t="inlineStr">
        <is>
          <t>It develops lots and sells them to vertical builders. It does not pour walls.</t>
        </is>
      </c>
      <c r="M239" s="8" t="inlineStr">
        <is>
          <t>Partly</t>
        </is>
      </c>
      <c r="N239" s="9" t="inlineStr">
        <is>
          <t>A hundred printed homes were built inside one of its own communities. Hillwood developed the ground. Lennar bought the printing.</t>
        </is>
      </c>
      <c r="O239" s="8" t="inlineStr">
        <is>
          <t>Yes</t>
        </is>
      </c>
      <c r="P239" s="10" t="inlineStr"/>
      <c r="Q239" s="6">
        <f>HYPERLINK("https://www.linkedin.com/search/results/people/?keywords=Mark%20Meyer%20Hillwood%20Communities","search")</f>
        <v/>
      </c>
      <c r="R239" s="11">
        <f>IF(P239="","ADD LINKEDIN","ok")</f>
        <v/>
      </c>
      <c r="S239" s="6" t="inlineStr">
        <is>
          <t>https://www.hillwoodcommunities.com/</t>
        </is>
      </c>
      <c r="T239" s="9" t="inlineStr">
        <is>
          <t>It is the land developer of Wolf Ranch, and it runs three Houston masterplans with a Houston general manager named.</t>
        </is>
      </c>
      <c r="U239" s="6" t="inlineStr"/>
      <c r="V239" s="9" t="inlineStr"/>
      <c r="W239" s="6" t="inlineStr">
        <is>
          <t>https://www.hillwoodcommunities.com/leadership/</t>
        </is>
      </c>
      <c r="X239" s="6" t="inlineStr"/>
      <c r="Y239" s="6" t="inlineStr"/>
      <c r="Z239" s="6" t="inlineStr"/>
    </row>
    <row r="240">
      <c r="A240" s="12" t="inlineStr">
        <is>
          <t>Patrick Cowden</t>
        </is>
      </c>
      <c r="B240" s="12" t="inlineStr">
        <is>
          <t>Hillwood Communities</t>
        </is>
      </c>
      <c r="C240" s="12" t="inlineStr">
        <is>
          <t>Senior Vice President, Development</t>
        </is>
      </c>
      <c r="D240" s="13" t="inlineStr">
        <is>
          <t>Masterplan owner</t>
        </is>
      </c>
      <c r="E240" s="14" t="n">
        <v>2</v>
      </c>
      <c r="F240" s="12" t="inlineStr">
        <is>
          <t>Sells lots</t>
        </is>
      </c>
      <c r="G240" s="12" t="inlineStr">
        <is>
          <t>Dallas HQ / Manvel, Pearland, League City</t>
        </is>
      </c>
      <c r="H240" s="12" t="inlineStr">
        <is>
          <t>Three Houston masterplans, 700 acres at Legacy alone</t>
        </is>
      </c>
      <c r="I240" s="14" t="inlineStr">
        <is>
          <t>Yes</t>
        </is>
      </c>
      <c r="J240" s="15" t="inlineStr">
        <is>
          <t>Three concurrent Houston masterplans, 700 acres at Legacy alone.</t>
        </is>
      </c>
      <c r="K240" s="14" t="inlineStr">
        <is>
          <t>No</t>
        </is>
      </c>
      <c r="L240" s="15" t="inlineStr">
        <is>
          <t>It develops lots and sells them to vertical builders. It does not pour walls.</t>
        </is>
      </c>
      <c r="M240" s="14" t="inlineStr">
        <is>
          <t>Partly</t>
        </is>
      </c>
      <c r="N240" s="15" t="inlineStr">
        <is>
          <t>A hundred printed homes were built inside one of its own communities. Hillwood developed the ground. Lennar bought the printing.</t>
        </is>
      </c>
      <c r="O240" s="14" t="inlineStr">
        <is>
          <t>Yes</t>
        </is>
      </c>
      <c r="P240" s="10" t="inlineStr"/>
      <c r="Q240" s="12">
        <f>HYPERLINK("https://www.linkedin.com/search/results/people/?keywords=Patrick%20Cowden%20Hillwood%20Communities","search")</f>
        <v/>
      </c>
      <c r="R240" s="16">
        <f>IF(P240="","ADD LINKEDIN","ok")</f>
        <v/>
      </c>
      <c r="S240" s="12" t="inlineStr">
        <is>
          <t>https://www.hillwoodcommunities.com/</t>
        </is>
      </c>
      <c r="T240" s="15" t="inlineStr">
        <is>
          <t>It is the land developer of Wolf Ranch, and it runs three Houston masterplans with a Houston general manager named.</t>
        </is>
      </c>
      <c r="U240" s="12" t="inlineStr"/>
      <c r="V240" s="15" t="inlineStr"/>
      <c r="W240" s="12" t="inlineStr">
        <is>
          <t>https://www.hillwoodcommunities.com/leadership/</t>
        </is>
      </c>
      <c r="X240" s="12" t="inlineStr"/>
      <c r="Y240" s="12" t="inlineStr"/>
      <c r="Z240" s="12" t="inlineStr"/>
    </row>
    <row r="241">
      <c r="A241" s="6" t="inlineStr">
        <is>
          <t>Danny Signorelli</t>
        </is>
      </c>
      <c r="B241" s="6" t="inlineStr">
        <is>
          <t>The Signorelli Company</t>
        </is>
      </c>
      <c r="C241" s="6" t="inlineStr">
        <is>
          <t>Founder and Chief Executive Officer</t>
        </is>
      </c>
      <c r="D241" s="7" t="inlineStr">
        <is>
          <t>Masterplan owner</t>
        </is>
      </c>
      <c r="E241" s="8" t="n">
        <v>2</v>
      </c>
      <c r="F241" s="6" t="inlineStr">
        <is>
          <t>Sells lots</t>
        </is>
      </c>
      <c r="G241" s="6" t="inlineStr">
        <is>
          <t>The Woodlands HQ / Fort Bend, Liberty</t>
        </is>
      </c>
      <c r="H241" s="6" t="inlineStr">
        <is>
          <t>23,000+ paper lots in pipeline</t>
        </is>
      </c>
      <c r="I241" s="8" t="inlineStr">
        <is>
          <t>Yes</t>
        </is>
      </c>
      <c r="J241" s="9" t="inlineStr">
        <is>
          <t>More than 16 masterplans and over 23,000 paper lots in pipeline.</t>
        </is>
      </c>
      <c r="K241" s="8" t="inlineStr">
        <is>
          <t>Partly</t>
        </is>
      </c>
      <c r="L241" s="9" t="inlineStr">
        <is>
          <t>It sells lots, but it owns First America Homes, and one president runs both.</t>
        </is>
      </c>
      <c r="M241" s="8" t="inlineStr">
        <is>
          <t>No</t>
        </is>
      </c>
      <c r="N241" s="9" t="inlineStr">
        <is>
          <t>Nothing on record about how anything inside its communities is built.</t>
        </is>
      </c>
      <c r="O241" s="8" t="inlineStr">
        <is>
          <t>Partly</t>
        </is>
      </c>
      <c r="P241" s="6" t="inlineStr">
        <is>
          <t>https://www.linkedin.com/in/danny-signorelli-6284461b/</t>
        </is>
      </c>
      <c r="Q241" s="6" t="inlineStr"/>
      <c r="R241" s="11">
        <f>IF(P241="","ADD LINKEDIN","ok")</f>
        <v/>
      </c>
      <c r="S241" s="6" t="inlineStr">
        <is>
          <t>https://www.signorellicompany.com/</t>
        </is>
      </c>
      <c r="T241" s="9" t="inlineStr">
        <is>
          <t>Sells lots, but owns First America Homes, which holds all three counts. One president runs both.</t>
        </is>
      </c>
      <c r="U241" s="6" t="inlineStr"/>
      <c r="V241" s="9" t="inlineStr">
        <is>
          <t>CEO, President, The Signorelli Company. Greater Houston.</t>
        </is>
      </c>
      <c r="W241" s="6" t="inlineStr"/>
      <c r="X241" s="6" t="inlineStr">
        <is>
          <t>https://www.linkedin.com/company/signorelli-company</t>
        </is>
      </c>
      <c r="Y241" s="6" t="inlineStr">
        <is>
          <t>https://www.signorellicompany.com/our-leadership</t>
        </is>
      </c>
      <c r="Z241" s="6" t="inlineStr"/>
    </row>
    <row r="242">
      <c r="A242" s="12" t="inlineStr">
        <is>
          <t>Jeff Dewese</t>
        </is>
      </c>
      <c r="B242" s="12" t="inlineStr">
        <is>
          <t>The Signorelli Company</t>
        </is>
      </c>
      <c r="C242" s="12" t="inlineStr">
        <is>
          <t>President, Land Division</t>
        </is>
      </c>
      <c r="D242" s="13" t="inlineStr">
        <is>
          <t>Masterplan owner</t>
        </is>
      </c>
      <c r="E242" s="14" t="n">
        <v>2</v>
      </c>
      <c r="F242" s="12" t="inlineStr">
        <is>
          <t>Sells lots</t>
        </is>
      </c>
      <c r="G242" s="12" t="inlineStr">
        <is>
          <t>The Woodlands HQ / Fort Bend, Liberty</t>
        </is>
      </c>
      <c r="H242" s="12" t="inlineStr">
        <is>
          <t>23,000+ paper lots in pipeline</t>
        </is>
      </c>
      <c r="I242" s="14" t="inlineStr">
        <is>
          <t>Yes</t>
        </is>
      </c>
      <c r="J242" s="15" t="inlineStr">
        <is>
          <t>More than 16 masterplans and over 23,000 paper lots in pipeline.</t>
        </is>
      </c>
      <c r="K242" s="14" t="inlineStr">
        <is>
          <t>Partly</t>
        </is>
      </c>
      <c r="L242" s="15" t="inlineStr">
        <is>
          <t>It sells lots, but it owns First America Homes, and one president runs both.</t>
        </is>
      </c>
      <c r="M242" s="14" t="inlineStr">
        <is>
          <t>No</t>
        </is>
      </c>
      <c r="N242" s="15" t="inlineStr">
        <is>
          <t>Nothing on record about how anything inside its communities is built.</t>
        </is>
      </c>
      <c r="O242" s="14" t="inlineStr">
        <is>
          <t>Partly</t>
        </is>
      </c>
      <c r="P242" s="10" t="inlineStr"/>
      <c r="Q242" s="12">
        <f>HYPERLINK("https://www.linkedin.com/search/results/people/?keywords=Jeff%20Dewese%20The%20Signorelli%20Company","search")</f>
        <v/>
      </c>
      <c r="R242" s="16">
        <f>IF(P242="","ADD LINKEDIN","ok")</f>
        <v/>
      </c>
      <c r="S242" s="12" t="inlineStr">
        <is>
          <t>https://www.signorellicompany.com/</t>
        </is>
      </c>
      <c r="T242" s="15" t="inlineStr">
        <is>
          <t>Sells lots, but owns First America Homes, which holds all three counts. One president runs both.</t>
        </is>
      </c>
      <c r="U242" s="12" t="inlineStr"/>
      <c r="V242" s="15" t="inlineStr">
        <is>
          <t>Signorelli's own bio page. President, Land Division, overseeing land acquisition, planning and construction management for Granger Pines, Cielo and Austin Point.</t>
        </is>
      </c>
      <c r="W242" s="12" t="inlineStr">
        <is>
          <t>https://www.signorellicompany.com/our-leadership/15/jeff-dewese</t>
        </is>
      </c>
      <c r="X242" s="12" t="inlineStr">
        <is>
          <t>https://www.linkedin.com/company/signorelli-company</t>
        </is>
      </c>
      <c r="Y242" s="12" t="inlineStr">
        <is>
          <t>https://www.signorellicompany.com/our-leadership</t>
        </is>
      </c>
      <c r="Z242" s="12" t="inlineStr"/>
    </row>
    <row r="243">
      <c r="A243" s="6" t="inlineStr">
        <is>
          <t>Harry Dinham</t>
        </is>
      </c>
      <c r="B243" s="6" t="inlineStr">
        <is>
          <t>The Signorelli Company</t>
        </is>
      </c>
      <c r="C243" s="6" t="inlineStr">
        <is>
          <t>Chief Financial Officer</t>
        </is>
      </c>
      <c r="D243" s="7" t="inlineStr">
        <is>
          <t>Masterplan owner</t>
        </is>
      </c>
      <c r="E243" s="8" t="n">
        <v>2</v>
      </c>
      <c r="F243" s="6" t="inlineStr">
        <is>
          <t>Sells lots</t>
        </is>
      </c>
      <c r="G243" s="6" t="inlineStr">
        <is>
          <t>The Woodlands HQ / Fort Bend, Liberty</t>
        </is>
      </c>
      <c r="H243" s="6" t="inlineStr">
        <is>
          <t>23,000+ paper lots in pipeline</t>
        </is>
      </c>
      <c r="I243" s="8" t="inlineStr">
        <is>
          <t>Yes</t>
        </is>
      </c>
      <c r="J243" s="9" t="inlineStr">
        <is>
          <t>More than 16 masterplans and over 23,000 paper lots in pipeline.</t>
        </is>
      </c>
      <c r="K243" s="8" t="inlineStr">
        <is>
          <t>Partly</t>
        </is>
      </c>
      <c r="L243" s="9" t="inlineStr">
        <is>
          <t>It sells lots, but it owns First America Homes, and one president runs both.</t>
        </is>
      </c>
      <c r="M243" s="8" t="inlineStr">
        <is>
          <t>No</t>
        </is>
      </c>
      <c r="N243" s="9" t="inlineStr">
        <is>
          <t>Nothing on record about how anything inside its communities is built.</t>
        </is>
      </c>
      <c r="O243" s="8" t="inlineStr">
        <is>
          <t>Partly</t>
        </is>
      </c>
      <c r="P243" s="10" t="inlineStr"/>
      <c r="Q243" s="6">
        <f>HYPERLINK("https://www.linkedin.com/search/results/people/?keywords=Harry%20Dinham%20The%20Signorelli%20Company","search")</f>
        <v/>
      </c>
      <c r="R243" s="11">
        <f>IF(P243="","ADD LINKEDIN","ok")</f>
        <v/>
      </c>
      <c r="S243" s="6" t="inlineStr">
        <is>
          <t>https://www.signorellicompany.com/</t>
        </is>
      </c>
      <c r="T243" s="9" t="inlineStr">
        <is>
          <t>Sells lots, but owns First America Homes, which holds all three counts. One president runs both.</t>
        </is>
      </c>
      <c r="U243" s="6" t="inlineStr"/>
      <c r="V243" s="9" t="inlineStr">
        <is>
          <t>Signorelli's own bio page. Chief Financial Officer on the executive leadership team.</t>
        </is>
      </c>
      <c r="W243" s="6" t="inlineStr">
        <is>
          <t>https://www.signorellicompany.com/our-leadership/30/harry-dinham</t>
        </is>
      </c>
      <c r="X243" s="6" t="inlineStr">
        <is>
          <t>https://www.linkedin.com/company/signorelli-company</t>
        </is>
      </c>
      <c r="Y243" s="6" t="inlineStr">
        <is>
          <t>https://www.signorellicompany.com/our-leadership</t>
        </is>
      </c>
      <c r="Z243" s="6" t="inlineStr"/>
    </row>
    <row r="244">
      <c r="A244" s="12" t="inlineStr">
        <is>
          <t>John Winniford</t>
        </is>
      </c>
      <c r="B244" s="12" t="inlineStr">
        <is>
          <t>The Signorelli Company</t>
        </is>
      </c>
      <c r="C244" s="12" t="inlineStr">
        <is>
          <t>President, Homebuilding, The Signorelli Company</t>
        </is>
      </c>
      <c r="D244" s="13" t="inlineStr">
        <is>
          <t>Masterplan owner</t>
        </is>
      </c>
      <c r="E244" s="14" t="n">
        <v>2</v>
      </c>
      <c r="F244" s="12" t="inlineStr">
        <is>
          <t>Sells lots</t>
        </is>
      </c>
      <c r="G244" s="12" t="inlineStr">
        <is>
          <t>The Woodlands HQ / Fort Bend, Liberty</t>
        </is>
      </c>
      <c r="H244" s="12" t="inlineStr">
        <is>
          <t>23,000+ paper lots in pipeline</t>
        </is>
      </c>
      <c r="I244" s="14" t="inlineStr">
        <is>
          <t>Yes</t>
        </is>
      </c>
      <c r="J244" s="15" t="inlineStr">
        <is>
          <t>More than 16 masterplans and over 23,000 paper lots in pipeline.</t>
        </is>
      </c>
      <c r="K244" s="14" t="inlineStr">
        <is>
          <t>Partly</t>
        </is>
      </c>
      <c r="L244" s="15" t="inlineStr">
        <is>
          <t>It sells lots, but it owns First America Homes, and one president runs both.</t>
        </is>
      </c>
      <c r="M244" s="14" t="inlineStr">
        <is>
          <t>No</t>
        </is>
      </c>
      <c r="N244" s="15" t="inlineStr">
        <is>
          <t>Nothing on record about how anything inside its communities is built.</t>
        </is>
      </c>
      <c r="O244" s="14" t="inlineStr">
        <is>
          <t>Partly</t>
        </is>
      </c>
      <c r="P244" s="10" t="inlineStr"/>
      <c r="Q244" s="12">
        <f>HYPERLINK("https://www.linkedin.com/search/results/people/?keywords=John%20Winniford%20The%20Signorelli%20Company","search")</f>
        <v/>
      </c>
      <c r="R244" s="16">
        <f>IF(P244="","ADD LINKEDIN","ok")</f>
        <v/>
      </c>
      <c r="S244" s="12" t="inlineStr">
        <is>
          <t>https://www.signorellicompany.com/</t>
        </is>
      </c>
      <c r="T244" s="15" t="inlineStr">
        <is>
          <t>Sells lots, but owns First America Homes, which holds all three counts. One president runs both.</t>
        </is>
      </c>
      <c r="U244" s="12" t="inlineStr"/>
      <c r="V244" s="15" t="inlineStr">
        <is>
          <t>President, Homebuilding. The same person who runs First America, which Signorelli owns, so a single approach reaches both the land position and the builder.</t>
        </is>
      </c>
      <c r="W244" s="12" t="inlineStr">
        <is>
          <t>https://www.signorellicompany.com/our-leadership/34/john-winniford</t>
        </is>
      </c>
      <c r="X244" s="12" t="inlineStr">
        <is>
          <t>https://www.linkedin.com/company/signorelli-company</t>
        </is>
      </c>
      <c r="Y244" s="12" t="inlineStr">
        <is>
          <t>https://www.signorellicompany.com/our-leadership</t>
        </is>
      </c>
      <c r="Z244" s="12" t="inlineStr"/>
    </row>
    <row r="245">
      <c r="A245" s="6" t="inlineStr">
        <is>
          <t>Fred Caldwell</t>
        </is>
      </c>
      <c r="B245" s="6" t="inlineStr">
        <is>
          <t>Caldwell Companies</t>
        </is>
      </c>
      <c r="C245" s="6" t="inlineStr">
        <is>
          <t>Chief Executive Officer, Caldwell Companies</t>
        </is>
      </c>
      <c r="D245" s="7" t="inlineStr">
        <is>
          <t>Masterplan owner</t>
        </is>
      </c>
      <c r="E245" s="8" t="n">
        <v>2</v>
      </c>
      <c r="F245" s="6" t="inlineStr">
        <is>
          <t>Sells lots</t>
        </is>
      </c>
      <c r="G245" s="6" t="inlineStr">
        <is>
          <t>Cypress / Montgomery, Harris</t>
        </is>
      </c>
      <c r="H245" s="6" t="inlineStr">
        <is>
          <t>Towne Lake and The Highlands, more than 4,000 homes at The Highlands alone</t>
        </is>
      </c>
      <c r="I245" s="8" t="inlineStr">
        <is>
          <t>Yes</t>
        </is>
      </c>
      <c r="J245" s="9" t="inlineStr">
        <is>
          <t>The Highlands alone carries more than 4,000 planned homes across thirteen builders, and Towne Lake is a second community.</t>
        </is>
      </c>
      <c r="K245" s="8" t="inlineStr">
        <is>
          <t>Partly</t>
        </is>
      </c>
      <c r="L245" s="9" t="inlineStr">
        <is>
          <t>It sells lots, and through Caldwell Homes it also builds. The wall decision exists inside the group.</t>
        </is>
      </c>
      <c r="M245" s="8" t="inlineStr">
        <is>
          <t>No</t>
        </is>
      </c>
      <c r="N245" s="9" t="inlineStr">
        <is>
          <t>Caldwell Companies publishes no construction-method content. Caldwell Homes, its own division, is screened separately on this deck.</t>
        </is>
      </c>
      <c r="O245" s="8" t="inlineStr">
        <is>
          <t>No</t>
        </is>
      </c>
      <c r="P245" s="10" t="inlineStr"/>
      <c r="Q245" s="6">
        <f>HYPERLINK("https://www.linkedin.com/search/results/people/?keywords=Fred%20Caldwell%20Caldwell%20Companies","search")</f>
        <v/>
      </c>
      <c r="R245" s="11">
        <f>IF(P245="","ADD LINKEDIN","ok")</f>
        <v/>
      </c>
      <c r="S245" s="6" t="inlineStr">
        <is>
          <t>https://caldwellcos.com/</t>
        </is>
      </c>
      <c r="T245" s="9" t="inlineStr">
        <is>
          <t>Sells lots. Towne Lake and The Highlands carry 4,000 homes across 12 builders.</t>
        </is>
      </c>
      <c r="U245" s="6" t="inlineStr"/>
      <c r="V245" s="9" t="inlineStr"/>
      <c r="W245" s="6" t="inlineStr">
        <is>
          <t>https://caldwellcos.com/our-team</t>
        </is>
      </c>
      <c r="X245" s="6" t="inlineStr">
        <is>
          <t>https://www.linkedin.com/company/caldwell-companies</t>
        </is>
      </c>
      <c r="Y245" s="6" t="inlineStr">
        <is>
          <t>https://caldwellcos.com/our-team</t>
        </is>
      </c>
      <c r="Z245" s="6" t="inlineStr"/>
    </row>
    <row r="246">
      <c r="A246" s="12" t="inlineStr">
        <is>
          <t>Alan Brende</t>
        </is>
      </c>
      <c r="B246" s="12" t="inlineStr">
        <is>
          <t>Land Tejas</t>
        </is>
      </c>
      <c r="C246" s="12" t="inlineStr">
        <is>
          <t>Co-President, Land Tejas</t>
        </is>
      </c>
      <c r="D246" s="13" t="inlineStr">
        <is>
          <t>Masterplan owner</t>
        </is>
      </c>
      <c r="E246" s="14" t="n">
        <v>1</v>
      </c>
      <c r="F246" s="12" t="inlineStr">
        <is>
          <t>Sells lots</t>
        </is>
      </c>
      <c r="G246" s="12" t="inlineStr">
        <is>
          <t>Houston / Katy, Harris-Waller</t>
        </is>
      </c>
      <c r="H246" s="12" t="inlineStr">
        <is>
          <t>Sunterra in Katy, eighteen builders inside it</t>
        </is>
      </c>
      <c r="I246" s="14" t="inlineStr">
        <is>
          <t>Yes</t>
        </is>
      </c>
      <c r="J246" s="15" t="inlineStr">
        <is>
          <t>Sunterra carries eighteen builders inside one community.</t>
        </is>
      </c>
      <c r="K246" s="14" t="inlineStr">
        <is>
          <t>No</t>
        </is>
      </c>
      <c r="L246" s="15" t="inlineStr">
        <is>
          <t>It sells lots. Eighteen builders buy the wall.</t>
        </is>
      </c>
      <c r="M246" s="14" t="inlineStr">
        <is>
          <t>No</t>
        </is>
      </c>
      <c r="N246" s="15" t="inlineStr">
        <is>
          <t>Nothing on record about construction method.</t>
        </is>
      </c>
      <c r="O246" s="14" t="inlineStr">
        <is>
          <t>Yes</t>
        </is>
      </c>
      <c r="P246" s="10" t="inlineStr"/>
      <c r="Q246" s="12">
        <f>HYPERLINK("https://www.linkedin.com/search/results/people/?keywords=Alan%20Brende%20Land%20Tejas","search")</f>
        <v/>
      </c>
      <c r="R246" s="16">
        <f>IF(P246="","ADD LINKEDIN","ok")</f>
        <v/>
      </c>
      <c r="S246" s="12" t="inlineStr">
        <is>
          <t>https://landtejas.com/</t>
        </is>
      </c>
      <c r="T246" s="15" t="inlineStr">
        <is>
          <t>Sells lots. Sunterra carries 2,303 acres and 15 builders.</t>
        </is>
      </c>
      <c r="U246" s="12" t="inlineStr"/>
      <c r="V246" s="15" t="inlineStr"/>
      <c r="W246" s="12" t="inlineStr">
        <is>
          <t>https://landtejas.com/about-us/our-leadership/</t>
        </is>
      </c>
      <c r="X246" s="12" t="inlineStr">
        <is>
          <t>https://www.linkedin.com/company/land-tejas-companies</t>
        </is>
      </c>
      <c r="Y246" s="12" t="inlineStr">
        <is>
          <t>https://landtejas.com/about-us/our-leadership/</t>
        </is>
      </c>
      <c r="Z246" s="12" t="inlineStr"/>
    </row>
    <row r="247">
      <c r="A247" s="6" t="inlineStr">
        <is>
          <t>Melanie Ohl</t>
        </is>
      </c>
      <c r="B247" s="6" t="inlineStr">
        <is>
          <t>Land Tejas</t>
        </is>
      </c>
      <c r="C247" s="6" t="inlineStr">
        <is>
          <t>Co-President, Land Tejas</t>
        </is>
      </c>
      <c r="D247" s="7" t="inlineStr">
        <is>
          <t>Masterplan owner</t>
        </is>
      </c>
      <c r="E247" s="8" t="n">
        <v>1</v>
      </c>
      <c r="F247" s="6" t="inlineStr">
        <is>
          <t>Sells lots</t>
        </is>
      </c>
      <c r="G247" s="6" t="inlineStr">
        <is>
          <t>Houston / Katy, Harris-Waller</t>
        </is>
      </c>
      <c r="H247" s="6" t="inlineStr">
        <is>
          <t>Sunterra in Katy, eighteen builders inside it</t>
        </is>
      </c>
      <c r="I247" s="8" t="inlineStr">
        <is>
          <t>Yes</t>
        </is>
      </c>
      <c r="J247" s="9" t="inlineStr">
        <is>
          <t>Sunterra carries eighteen builders inside one community.</t>
        </is>
      </c>
      <c r="K247" s="8" t="inlineStr">
        <is>
          <t>No</t>
        </is>
      </c>
      <c r="L247" s="9" t="inlineStr">
        <is>
          <t>It sells lots. Eighteen builders buy the wall.</t>
        </is>
      </c>
      <c r="M247" s="8" t="inlineStr">
        <is>
          <t>No</t>
        </is>
      </c>
      <c r="N247" s="9" t="inlineStr">
        <is>
          <t>Nothing on record about construction method.</t>
        </is>
      </c>
      <c r="O247" s="8" t="inlineStr">
        <is>
          <t>Yes</t>
        </is>
      </c>
      <c r="P247" s="10" t="inlineStr"/>
      <c r="Q247" s="6">
        <f>HYPERLINK("https://www.linkedin.com/search/results/people/?keywords=Melanie%20Ohl%20Land%20Tejas","search")</f>
        <v/>
      </c>
      <c r="R247" s="11">
        <f>IF(P247="","ADD LINKEDIN","ok")</f>
        <v/>
      </c>
      <c r="S247" s="6" t="inlineStr">
        <is>
          <t>https://landtejas.com/</t>
        </is>
      </c>
      <c r="T247" s="9" t="inlineStr">
        <is>
          <t>Sells lots. Sunterra carries 2,303 acres and 15 builders.</t>
        </is>
      </c>
      <c r="U247" s="6" t="inlineStr"/>
      <c r="V247" s="9" t="inlineStr"/>
      <c r="W247" s="6" t="inlineStr">
        <is>
          <t>https://landtejas.com/about-us/our-leadership/</t>
        </is>
      </c>
      <c r="X247" s="6" t="inlineStr">
        <is>
          <t>https://www.linkedin.com/company/land-tejas-companies</t>
        </is>
      </c>
      <c r="Y247" s="6" t="inlineStr">
        <is>
          <t>https://landtejas.com/about-us/our-leadership/</t>
        </is>
      </c>
      <c r="Z247" s="6" t="inlineStr"/>
    </row>
    <row r="248">
      <c r="A248" s="12" t="inlineStr">
        <is>
          <t>Michael J. Smith</t>
        </is>
      </c>
      <c r="B248" s="12" t="inlineStr">
        <is>
          <t>Johnson Development Corp</t>
        </is>
      </c>
      <c r="C248" s="12" t="inlineStr">
        <is>
          <t>President and Chief Executive Officer, Johnson Development</t>
        </is>
      </c>
      <c r="D248" s="13" t="inlineStr">
        <is>
          <t>Masterplan owner</t>
        </is>
      </c>
      <c r="E248" s="14" t="n">
        <v>1</v>
      </c>
      <c r="F248" s="12" t="inlineStr">
        <is>
          <t>Sells lots</t>
        </is>
      </c>
      <c r="G248" s="12" t="inlineStr">
        <is>
          <t>Houston / Fort Bend, Montgomery</t>
        </is>
      </c>
      <c r="H248" s="12" t="inlineStr">
        <is>
          <t>Fifteen concurrent Houston masterplans</t>
        </is>
      </c>
      <c r="I248" s="14" t="inlineStr">
        <is>
          <t>Yes</t>
        </is>
      </c>
      <c r="J248" s="15" t="inlineStr">
        <is>
          <t>Fifteen concurrent Houston masterplans, by its own count.</t>
        </is>
      </c>
      <c r="K248" s="14" t="inlineStr">
        <is>
          <t>No</t>
        </is>
      </c>
      <c r="L248" s="15" t="inlineStr">
        <is>
          <t>It sells lots and does not pour walls.</t>
        </is>
      </c>
      <c r="M248" s="14" t="inlineStr">
        <is>
          <t>No</t>
        </is>
      </c>
      <c r="N248" s="15" t="inlineStr">
        <is>
          <t>Johnson Development publishes no construction-method content.</t>
        </is>
      </c>
      <c r="O248" s="14" t="inlineStr">
        <is>
          <t>No</t>
        </is>
      </c>
      <c r="P248" s="10" t="inlineStr"/>
      <c r="Q248" s="12">
        <f>HYPERLINK("https://www.linkedin.com/search/results/people/?keywords=Michael%20J.%20Smith%20Johnson%20Development%20Corp","search")</f>
        <v/>
      </c>
      <c r="R248" s="16">
        <f>IF(P248="","ADD LINKEDIN","ok")</f>
        <v/>
      </c>
      <c r="S248" s="12" t="inlineStr">
        <is>
          <t>https://www.johnsondevelopment.com/</t>
        </is>
      </c>
      <c r="T248" s="15" t="inlineStr">
        <is>
          <t>Sells lots across 14 Houston masterplans. Buys no walls.</t>
        </is>
      </c>
      <c r="U248" s="12" t="inlineStr"/>
      <c r="V248" s="15" t="inlineStr"/>
      <c r="W248" s="12" t="inlineStr">
        <is>
          <t>https://www.johnsondevelopment.com/our-leaders</t>
        </is>
      </c>
      <c r="X248" s="12" t="inlineStr">
        <is>
          <t>https://www.linkedin.com/company/the-johnson-development-corp</t>
        </is>
      </c>
      <c r="Y248" s="12" t="inlineStr">
        <is>
          <t>https://www.johnsondevelopment.com/our-leaders</t>
        </is>
      </c>
      <c r="Z248" s="12" t="inlineStr"/>
    </row>
    <row r="249">
      <c r="A249" s="6" t="inlineStr">
        <is>
          <t>Alan Bauer</t>
        </is>
      </c>
      <c r="B249" s="6" t="inlineStr">
        <is>
          <t>Newland Communities</t>
        </is>
      </c>
      <c r="C249" s="6" t="inlineStr">
        <is>
          <t>Senior Vice President and Houston Division Manager, Newland (2019)</t>
        </is>
      </c>
      <c r="D249" s="7" t="inlineStr">
        <is>
          <t>Masterplan owner</t>
        </is>
      </c>
      <c r="E249" s="8" t="n">
        <v>1</v>
      </c>
      <c r="F249" s="6" t="inlineStr">
        <is>
          <t>Sells lots</t>
        </is>
      </c>
      <c r="G249" s="6" t="inlineStr">
        <is>
          <t>San Diego HQ / Katy, Harris</t>
        </is>
      </c>
      <c r="H249" s="6" t="inlineStr">
        <is>
          <t>Elyson, 3,600 acres in Katy</t>
        </is>
      </c>
      <c r="I249" s="8" t="inlineStr">
        <is>
          <t>Partly</t>
        </is>
      </c>
      <c r="J249" s="9" t="inlineStr">
        <is>
          <t>One Houston community, Elyson, at 3,600 acres in Katy.</t>
        </is>
      </c>
      <c r="K249" s="8" t="inlineStr">
        <is>
          <t>No</t>
        </is>
      </c>
      <c r="L249" s="9" t="inlineStr">
        <is>
          <t>It sells lots, and the platform now sits inside Brookfield Residential.</t>
        </is>
      </c>
      <c r="M249" s="8" t="inlineStr">
        <is>
          <t>No</t>
        </is>
      </c>
      <c r="N249" s="9" t="inlineStr">
        <is>
          <t>Nothing on record about construction method.</t>
        </is>
      </c>
      <c r="O249" s="8" t="inlineStr">
        <is>
          <t>No</t>
        </is>
      </c>
      <c r="P249" s="10" t="inlineStr"/>
      <c r="Q249" s="6">
        <f>HYPERLINK("https://www.linkedin.com/search/results/people/?keywords=Alan%20Bauer%20Newland%20Communities","search")</f>
        <v/>
      </c>
      <c r="R249" s="11">
        <f>IF(P249="","ADD LINKEDIN","ok")</f>
        <v/>
      </c>
      <c r="S249" s="6" t="inlineStr">
        <is>
          <t>https://newlandco.com/</t>
        </is>
      </c>
      <c r="T249" s="9" t="inlineStr">
        <is>
          <t>3,600-acre Elyson, but Newland has been absorbed into Brookfield Residential and no longer publishes its own leadership. The one Houston name on record is from 2019.</t>
        </is>
      </c>
      <c r="U249" s="6" t="inlineStr"/>
      <c r="V249" s="9" t="inlineStr">
        <is>
          <t>Senior Vice President and Division Manager for Newland's Houston division, per the West Houston Association board announcement. Dated 2019 and unconfirmed since, because Newland no longer publishes its own leadership.</t>
        </is>
      </c>
      <c r="W249" s="6" t="inlineStr">
        <is>
          <t>https://www.westhouston.org/2019/01/18/welcome-to-the-2019-board-or-directors/</t>
        </is>
      </c>
      <c r="X249" s="6" t="inlineStr">
        <is>
          <t>https://www.linkedin.com/company/newland-communities-llc</t>
        </is>
      </c>
      <c r="Y249" s="6" t="inlineStr"/>
      <c r="Z249" s="6" t="inlineStr"/>
    </row>
    <row r="250">
      <c r="A250" s="12" t="inlineStr">
        <is>
          <t>Michael Reamer</t>
        </is>
      </c>
      <c r="B250" s="12" t="inlineStr">
        <is>
          <t>Friendswood Development Company</t>
        </is>
      </c>
      <c r="C250" s="12" t="inlineStr">
        <is>
          <t>President, Friendswood Development Company</t>
        </is>
      </c>
      <c r="D250" s="13" t="inlineStr">
        <is>
          <t>Already working with ICON</t>
        </is>
      </c>
      <c r="E250" s="14" t="n">
        <v>2</v>
      </c>
      <c r="F250" s="12" t="inlineStr">
        <is>
          <t>Sells lots</t>
        </is>
      </c>
      <c r="G250" s="12" t="inlineStr">
        <is>
          <t>Houston / Montgomery, Galveston</t>
        </is>
      </c>
      <c r="H250" s="12" t="inlineStr">
        <is>
          <t>Sells lots inside its own masterplans; Lennar builds</t>
        </is>
      </c>
      <c r="I250" s="14" t="inlineStr">
        <is>
          <t>Partly</t>
        </is>
      </c>
      <c r="J250" s="15" t="inlineStr">
        <is>
          <t>Sells lots inside its own masterplans. Lennar builds the houses.</t>
        </is>
      </c>
      <c r="K250" s="14" t="inlineStr">
        <is>
          <t>No</t>
        </is>
      </c>
      <c r="L250" s="15" t="inlineStr">
        <is>
          <t>Sells lots, wholly owned by Lennar, so the route is Lennar.</t>
        </is>
      </c>
      <c r="M250" s="14" t="inlineStr">
        <is>
          <t>Partly</t>
        </is>
      </c>
      <c r="N250" s="15" t="inlineStr">
        <is>
          <t>The parent, Lennar, built a hundred printed homes with ICON at Wolf Ranch. Friendswood itself buys no walls.</t>
        </is>
      </c>
      <c r="O250" s="14" t="inlineStr">
        <is>
          <t>Partly</t>
        </is>
      </c>
      <c r="P250" s="10" t="inlineStr"/>
      <c r="Q250" s="12">
        <f>HYPERLINK("https://www.linkedin.com/search/results/people/?keywords=Michael%20Reamer%20Friendswood%20Development%20Company","search")</f>
        <v/>
      </c>
      <c r="R250" s="16">
        <f>IF(P250="","ADD LINKEDIN","ok")</f>
        <v/>
      </c>
      <c r="S250" s="12" t="inlineStr">
        <is>
          <t>https://friendswooddevelopment.com/</t>
        </is>
      </c>
      <c r="T250" s="15" t="inlineStr">
        <is>
          <t>Sells lots, wholly owned by Lennar since 2000. Lennar built a hundred printed homes with ICON at Wolf Ranch.</t>
        </is>
      </c>
      <c r="U250" s="12" t="inlineStr"/>
      <c r="V250" s="15" t="inlineStr"/>
      <c r="W250" s="12" t="inlineStr">
        <is>
          <t>https://friendswooddevelopment.com/people</t>
        </is>
      </c>
      <c r="X250" s="12" t="inlineStr">
        <is>
          <t>https://www.linkedin.com/company/friendswood-development-company</t>
        </is>
      </c>
      <c r="Y250" s="12" t="inlineStr">
        <is>
          <t>https://friendswooddevelopment.com/people</t>
        </is>
      </c>
      <c r="Z250" s="12" t="inlineStr"/>
    </row>
    <row r="251">
      <c r="A251" s="6" t="inlineStr">
        <is>
          <t>George Kopecky</t>
        </is>
      </c>
      <c r="B251" s="6" t="inlineStr">
        <is>
          <t>GreenEco Builders</t>
        </is>
      </c>
      <c r="C251" s="6" t="inlineStr">
        <is>
          <t>President</t>
        </is>
      </c>
      <c r="D251" s="7" t="inlineStr">
        <is>
          <t>Already working with ICON</t>
        </is>
      </c>
      <c r="E251" s="8" t="n">
        <v>2</v>
      </c>
      <c r="F251" s="6" t="inlineStr">
        <is>
          <t>Buys walls</t>
        </is>
      </c>
      <c r="G251" s="6" t="inlineStr">
        <is>
          <t>Tavola, New Caney</t>
        </is>
      </c>
      <c r="H251" s="6" t="inlineStr">
        <is>
          <t>Owned by Rausch Coleman, which Lennar bought in February 2025</t>
        </is>
      </c>
      <c r="I251" s="8" t="inlineStr">
        <is>
          <t>Partly</t>
        </is>
      </c>
      <c r="J251" s="9" t="inlineStr">
        <is>
          <t>One confirmed community, Tavola in New Caney. The footprint is small.</t>
        </is>
      </c>
      <c r="K251" s="8" t="inlineStr">
        <is>
          <t>Partly</t>
        </is>
      </c>
      <c r="L251" s="9" t="inlineStr">
        <is>
          <t>No volume figure is published for the Houston operation.</t>
        </is>
      </c>
      <c r="M251" s="8" t="inlineStr">
        <is>
          <t>No</t>
        </is>
      </c>
      <c r="N251" s="9" t="inlineStr">
        <is>
          <t>Nothing on record. The energy-product claims this card used to carry came from a page that no longer exists.</t>
        </is>
      </c>
      <c r="O251" s="8" t="inlineStr">
        <is>
          <t>No</t>
        </is>
      </c>
      <c r="P251" s="6" t="inlineStr">
        <is>
          <t>https://www.linkedin.com/in/george-kopecky-7ba08a26/</t>
        </is>
      </c>
      <c r="Q251" s="6" t="inlineStr"/>
      <c r="R251" s="11">
        <f>IF(P251="","ADD LINKEDIN","ok")</f>
        <v/>
      </c>
      <c r="S251" s="6" t="inlineStr"/>
      <c r="T251" s="9" t="inlineStr">
        <is>
          <t>Orders windows per home rather than per community so it can adopt newer products. Owned by Rausch Coleman Homes, which Lennar bought in February 2025.</t>
        </is>
      </c>
      <c r="U251" s="6" t="inlineStr"/>
      <c r="V251" s="9" t="inlineStr">
        <is>
          <t>Indexed title reads George Kopecky, President at GreenEco Builders. Named as the firm's principal in trade coverage of the 2020 sale to Rausch Coleman.</t>
        </is>
      </c>
      <c r="W251" s="6" t="inlineStr"/>
      <c r="X251" s="6" t="inlineStr"/>
      <c r="Y251" s="6" t="inlineStr"/>
      <c r="Z251" s="6" t="inlineStr"/>
    </row>
    <row r="252">
      <c r="A252" s="12" t="inlineStr">
        <is>
          <t>Steven D. Alvis</t>
        </is>
      </c>
      <c r="B252" s="12" t="inlineStr">
        <is>
          <t>NewQuest Properties</t>
        </is>
      </c>
      <c r="C252" s="12" t="inlineStr">
        <is>
          <t>Co-Founder and Managing Partner</t>
        </is>
      </c>
      <c r="D252" s="13" t="inlineStr">
        <is>
          <t>Off deck, screened out</t>
        </is>
      </c>
      <c r="E252" s="14" t="n">
        <v>1</v>
      </c>
      <c r="F252" s="12" t="inlineStr">
        <is>
          <t>Buys walls</t>
        </is>
      </c>
      <c r="G252" s="12" t="inlineStr">
        <is>
          <t>Houston HQ / Fort Bend, Brazoria</t>
        </is>
      </c>
      <c r="H252" s="12" t="inlineStr">
        <is>
          <t>$3.1B portfolio, 12M sf managed</t>
        </is>
      </c>
      <c r="I252" s="14" t="inlineStr">
        <is>
          <t>Yes</t>
        </is>
      </c>
      <c r="J252" s="15" t="inlineStr"/>
      <c r="K252" s="14" t="inlineStr">
        <is>
          <t>No</t>
        </is>
      </c>
      <c r="L252" s="15" t="inlineStr"/>
      <c r="M252" s="14" t="inlineStr">
        <is>
          <t>No</t>
        </is>
      </c>
      <c r="N252" s="15" t="inlineStr"/>
      <c r="O252" s="14" t="inlineStr">
        <is>
          <t>Yes</t>
        </is>
      </c>
      <c r="P252" s="10" t="inlineStr"/>
      <c r="Q252" s="12">
        <f>HYPERLINK("https://www.linkedin.com/search/results/people/?keywords=Steven%20D.%20Alvis%20NewQuest%20Properties","search")</f>
        <v/>
      </c>
      <c r="R252" s="16">
        <f>IF(P252="","ADD LINKEDIN","ok")</f>
        <v/>
      </c>
      <c r="S252" s="12" t="inlineStr">
        <is>
          <t>https://www.newquest.com/</t>
        </is>
      </c>
      <c r="T252" s="15" t="inlineStr">
        <is>
          <t>$3.1B portfolio and a repeated Town Center format. Retail shells compete against tilt-wall, not stick framing.</t>
        </is>
      </c>
      <c r="U252" s="12" t="inlineStr"/>
      <c r="V252" s="15" t="inlineStr"/>
      <c r="W252" s="12" t="inlineStr">
        <is>
          <t>https://www.newquest.com/about-us/leadership/</t>
        </is>
      </c>
      <c r="X252" s="12" t="inlineStr">
        <is>
          <t>https://www.linkedin.com/company/newquest-properties</t>
        </is>
      </c>
      <c r="Y252" s="12" t="inlineStr">
        <is>
          <t>https://www.newquest.com/about-us/leadership/</t>
        </is>
      </c>
      <c r="Z252" s="12" t="inlineStr"/>
    </row>
    <row r="253">
      <c r="A253" s="6" t="inlineStr">
        <is>
          <t>Jay K. Sears</t>
        </is>
      </c>
      <c r="B253" s="6" t="inlineStr">
        <is>
          <t>NewQuest Properties</t>
        </is>
      </c>
      <c r="C253" s="6" t="inlineStr">
        <is>
          <t>Co-Founder and Managing Partner</t>
        </is>
      </c>
      <c r="D253" s="7" t="inlineStr">
        <is>
          <t>Off deck, screened out</t>
        </is>
      </c>
      <c r="E253" s="8" t="n">
        <v>1</v>
      </c>
      <c r="F253" s="6" t="inlineStr">
        <is>
          <t>Buys walls</t>
        </is>
      </c>
      <c r="G253" s="6" t="inlineStr">
        <is>
          <t>Houston HQ / Fort Bend, Brazoria</t>
        </is>
      </c>
      <c r="H253" s="6" t="inlineStr">
        <is>
          <t>$3.1B portfolio, 12M sf managed</t>
        </is>
      </c>
      <c r="I253" s="8" t="inlineStr">
        <is>
          <t>Yes</t>
        </is>
      </c>
      <c r="J253" s="9" t="inlineStr"/>
      <c r="K253" s="8" t="inlineStr">
        <is>
          <t>No</t>
        </is>
      </c>
      <c r="L253" s="9" t="inlineStr"/>
      <c r="M253" s="8" t="inlineStr">
        <is>
          <t>No</t>
        </is>
      </c>
      <c r="N253" s="9" t="inlineStr"/>
      <c r="O253" s="8" t="inlineStr">
        <is>
          <t>Yes</t>
        </is>
      </c>
      <c r="P253" s="10" t="inlineStr"/>
      <c r="Q253" s="6">
        <f>HYPERLINK("https://www.linkedin.com/search/results/people/?keywords=Jay%20K.%20Sears%20NewQuest%20Properties","search")</f>
        <v/>
      </c>
      <c r="R253" s="11">
        <f>IF(P253="","ADD LINKEDIN","ok")</f>
        <v/>
      </c>
      <c r="S253" s="6" t="inlineStr">
        <is>
          <t>https://www.newquest.com/</t>
        </is>
      </c>
      <c r="T253" s="9" t="inlineStr">
        <is>
          <t>$3.1B portfolio and a repeated Town Center format. Retail shells compete against tilt-wall, not stick framing.</t>
        </is>
      </c>
      <c r="U253" s="6" t="inlineStr"/>
      <c r="V253" s="9" t="inlineStr"/>
      <c r="W253" s="6" t="inlineStr">
        <is>
          <t>https://www.newquest.com/about-us/leadership/</t>
        </is>
      </c>
      <c r="X253" s="6" t="inlineStr">
        <is>
          <t>https://www.linkedin.com/company/newquest-properties</t>
        </is>
      </c>
      <c r="Y253" s="6" t="inlineStr">
        <is>
          <t>https://www.newquest.com/about-us/leadership/</t>
        </is>
      </c>
      <c r="Z253" s="6" t="inlineStr"/>
    </row>
    <row r="254">
      <c r="A254" s="12" t="inlineStr">
        <is>
          <t>Austin Alvis</t>
        </is>
      </c>
      <c r="B254" s="12" t="inlineStr">
        <is>
          <t>NewQuest Properties</t>
        </is>
      </c>
      <c r="C254" s="12" t="inlineStr">
        <is>
          <t>President and Chief Development Officer</t>
        </is>
      </c>
      <c r="D254" s="13" t="inlineStr">
        <is>
          <t>Off deck, screened out</t>
        </is>
      </c>
      <c r="E254" s="14" t="n">
        <v>1</v>
      </c>
      <c r="F254" s="12" t="inlineStr">
        <is>
          <t>Buys walls</t>
        </is>
      </c>
      <c r="G254" s="12" t="inlineStr">
        <is>
          <t>Houston HQ / Fort Bend, Brazoria</t>
        </is>
      </c>
      <c r="H254" s="12" t="inlineStr">
        <is>
          <t>$3.1B portfolio, 12M sf managed</t>
        </is>
      </c>
      <c r="I254" s="14" t="inlineStr">
        <is>
          <t>Yes</t>
        </is>
      </c>
      <c r="J254" s="15" t="inlineStr"/>
      <c r="K254" s="14" t="inlineStr">
        <is>
          <t>No</t>
        </is>
      </c>
      <c r="L254" s="15" t="inlineStr"/>
      <c r="M254" s="14" t="inlineStr">
        <is>
          <t>No</t>
        </is>
      </c>
      <c r="N254" s="15" t="inlineStr"/>
      <c r="O254" s="14" t="inlineStr">
        <is>
          <t>Yes</t>
        </is>
      </c>
      <c r="P254" s="10" t="inlineStr"/>
      <c r="Q254" s="12">
        <f>HYPERLINK("https://www.linkedin.com/search/results/people/?keywords=Austin%20Alvis%20NewQuest%20Properties","search")</f>
        <v/>
      </c>
      <c r="R254" s="16">
        <f>IF(P254="","ADD LINKEDIN","ok")</f>
        <v/>
      </c>
      <c r="S254" s="12" t="inlineStr">
        <is>
          <t>https://www.newquest.com/</t>
        </is>
      </c>
      <c r="T254" s="15" t="inlineStr">
        <is>
          <t>$3.1B portfolio and a repeated Town Center format. Retail shells compete against tilt-wall, not stick framing.</t>
        </is>
      </c>
      <c r="U254" s="12" t="inlineStr"/>
      <c r="V254" s="15" t="inlineStr"/>
      <c r="W254" s="12" t="inlineStr">
        <is>
          <t>https://www.newquest.com/about-us/leadership/</t>
        </is>
      </c>
      <c r="X254" s="12" t="inlineStr">
        <is>
          <t>https://www.linkedin.com/company/newquest-properties</t>
        </is>
      </c>
      <c r="Y254" s="12" t="inlineStr">
        <is>
          <t>https://www.newquest.com/about-us/leadership/</t>
        </is>
      </c>
      <c r="Z254" s="12" t="inlineStr"/>
    </row>
    <row r="255">
      <c r="A255" s="6" t="inlineStr">
        <is>
          <t>Jeff Horton</t>
        </is>
      </c>
      <c r="B255" s="6" t="inlineStr">
        <is>
          <t>NewQuest Properties</t>
        </is>
      </c>
      <c r="C255" s="6" t="inlineStr">
        <is>
          <t>Chief Operating Officer and Head of Capital Markets</t>
        </is>
      </c>
      <c r="D255" s="7" t="inlineStr">
        <is>
          <t>Off deck, screened out</t>
        </is>
      </c>
      <c r="E255" s="8" t="n">
        <v>1</v>
      </c>
      <c r="F255" s="6" t="inlineStr">
        <is>
          <t>Buys walls</t>
        </is>
      </c>
      <c r="G255" s="6" t="inlineStr">
        <is>
          <t>Houston HQ / Fort Bend, Brazoria</t>
        </is>
      </c>
      <c r="H255" s="6" t="inlineStr">
        <is>
          <t>$3.1B portfolio, 12M sf managed</t>
        </is>
      </c>
      <c r="I255" s="8" t="inlineStr">
        <is>
          <t>Yes</t>
        </is>
      </c>
      <c r="J255" s="9" t="inlineStr"/>
      <c r="K255" s="8" t="inlineStr">
        <is>
          <t>No</t>
        </is>
      </c>
      <c r="L255" s="9" t="inlineStr"/>
      <c r="M255" s="8" t="inlineStr">
        <is>
          <t>No</t>
        </is>
      </c>
      <c r="N255" s="9" t="inlineStr"/>
      <c r="O255" s="8" t="inlineStr">
        <is>
          <t>Yes</t>
        </is>
      </c>
      <c r="P255" s="10" t="inlineStr"/>
      <c r="Q255" s="6">
        <f>HYPERLINK("https://www.linkedin.com/search/results/people/?keywords=Jeff%20Horton%20NewQuest%20Properties","search")</f>
        <v/>
      </c>
      <c r="R255" s="11">
        <f>IF(P255="","ADD LINKEDIN","ok")</f>
        <v/>
      </c>
      <c r="S255" s="6" t="inlineStr">
        <is>
          <t>https://www.newquest.com/</t>
        </is>
      </c>
      <c r="T255" s="9" t="inlineStr">
        <is>
          <t>$3.1B portfolio and a repeated Town Center format. Retail shells compete against tilt-wall, not stick framing.</t>
        </is>
      </c>
      <c r="U255" s="6" t="inlineStr"/>
      <c r="V255" s="9" t="inlineStr"/>
      <c r="W255" s="6" t="inlineStr">
        <is>
          <t>https://www.newquest.com/about-us/leadership/</t>
        </is>
      </c>
      <c r="X255" s="6" t="inlineStr">
        <is>
          <t>https://www.linkedin.com/company/newquest-properties</t>
        </is>
      </c>
      <c r="Y255" s="6" t="inlineStr">
        <is>
          <t>https://www.newquest.com/about-us/leadership/</t>
        </is>
      </c>
      <c r="Z255" s="6" t="inlineStr"/>
    </row>
    <row r="256">
      <c r="A256" s="12" t="inlineStr">
        <is>
          <t>K. Alan Hassenflu</t>
        </is>
      </c>
      <c r="B256" s="12" t="inlineStr">
        <is>
          <t>Fidelis Realty Partners</t>
        </is>
      </c>
      <c r="C256" s="12" t="inlineStr">
        <is>
          <t>President and Chief Executive Officer</t>
        </is>
      </c>
      <c r="D256" s="13" t="inlineStr">
        <is>
          <t>Off deck, screened out</t>
        </is>
      </c>
      <c r="E256" s="14" t="n">
        <v>1</v>
      </c>
      <c r="F256" s="12" t="inlineStr">
        <is>
          <t>Buys walls</t>
        </is>
      </c>
      <c r="G256" s="12" t="inlineStr">
        <is>
          <t>Houston HQ / Brazoria, Montgomery</t>
        </is>
      </c>
      <c r="H256" s="12" t="inlineStr">
        <is>
          <t>26M sf, ~100 properties, 12 states</t>
        </is>
      </c>
      <c r="I256" s="14" t="inlineStr">
        <is>
          <t>Yes</t>
        </is>
      </c>
      <c r="J256" s="15" t="inlineStr"/>
      <c r="K256" s="14" t="inlineStr">
        <is>
          <t>No</t>
        </is>
      </c>
      <c r="L256" s="15" t="inlineStr"/>
      <c r="M256" s="14" t="inlineStr">
        <is>
          <t>No</t>
        </is>
      </c>
      <c r="N256" s="15" t="inlineStr"/>
      <c r="O256" s="14" t="inlineStr">
        <is>
          <t>Partly</t>
        </is>
      </c>
      <c r="P256" s="10" t="inlineStr"/>
      <c r="Q256" s="12">
        <f>HYPERLINK("https://www.linkedin.com/search/results/people/?keywords=K.%20Alan%20Hassenflu%20Fidelis%20Realty%20Partners","search")</f>
        <v/>
      </c>
      <c r="R256" s="16">
        <f>IF(P256="","ADD LINKEDIN","ok")</f>
        <v/>
      </c>
      <c r="S256" s="12" t="inlineStr">
        <is>
          <t>https://www.frpltd.com/</t>
        </is>
      </c>
      <c r="T256" s="15" t="inlineStr">
        <is>
          <t>Two land positions in target counties within 24 months. Every purchase price is undisclosed.</t>
        </is>
      </c>
      <c r="U256" s="12" t="inlineStr"/>
      <c r="V256" s="15" t="inlineStr">
        <is>
          <t>President and Chief Executive Officer, a founder in 2003, formerly senior managing director at Trammell Crow.</t>
        </is>
      </c>
      <c r="W256" s="12" t="inlineStr">
        <is>
          <t>https://www.frpltd.com/about-fidelis/mission-values</t>
        </is>
      </c>
      <c r="X256" s="12" t="inlineStr">
        <is>
          <t>https://www.linkedin.com/company/fidelis-realty-partners</t>
        </is>
      </c>
      <c r="Y256" s="12" t="inlineStr">
        <is>
          <t>https://www.frpltd.com/about-fidelis/mission-values</t>
        </is>
      </c>
      <c r="Z256" s="12" t="inlineStr"/>
    </row>
    <row r="257">
      <c r="A257" s="6" t="inlineStr">
        <is>
          <t>Glenn Airola</t>
        </is>
      </c>
      <c r="B257" s="6" t="inlineStr">
        <is>
          <t>Fidelis Realty Partners</t>
        </is>
      </c>
      <c r="C257" s="6" t="inlineStr">
        <is>
          <t>Executive Vice President, General Counsel and Chief Administrative Officer</t>
        </is>
      </c>
      <c r="D257" s="7" t="inlineStr">
        <is>
          <t>Off deck, screened out</t>
        </is>
      </c>
      <c r="E257" s="8" t="n">
        <v>1</v>
      </c>
      <c r="F257" s="6" t="inlineStr">
        <is>
          <t>Buys walls</t>
        </is>
      </c>
      <c r="G257" s="6" t="inlineStr">
        <is>
          <t>Houston HQ / Brazoria, Montgomery</t>
        </is>
      </c>
      <c r="H257" s="6" t="inlineStr">
        <is>
          <t>26M sf, ~100 properties, 12 states</t>
        </is>
      </c>
      <c r="I257" s="8" t="inlineStr">
        <is>
          <t>Yes</t>
        </is>
      </c>
      <c r="J257" s="9" t="inlineStr"/>
      <c r="K257" s="8" t="inlineStr">
        <is>
          <t>No</t>
        </is>
      </c>
      <c r="L257" s="9" t="inlineStr"/>
      <c r="M257" s="8" t="inlineStr">
        <is>
          <t>No</t>
        </is>
      </c>
      <c r="N257" s="9" t="inlineStr"/>
      <c r="O257" s="8" t="inlineStr">
        <is>
          <t>Partly</t>
        </is>
      </c>
      <c r="P257" s="10" t="inlineStr"/>
      <c r="Q257" s="6">
        <f>HYPERLINK("https://www.linkedin.com/search/results/people/?keywords=Glenn%20Airola%20Fidelis%20Realty%20Partners","search")</f>
        <v/>
      </c>
      <c r="R257" s="11">
        <f>IF(P257="","ADD LINKEDIN","ok")</f>
        <v/>
      </c>
      <c r="S257" s="6" t="inlineStr">
        <is>
          <t>https://www.frpltd.com/</t>
        </is>
      </c>
      <c r="T257" s="9" t="inlineStr">
        <is>
          <t>Two land positions in target counties within 24 months. Every purchase price is undisclosed.</t>
        </is>
      </c>
      <c r="U257" s="6" t="inlineStr"/>
      <c r="V257" s="9" t="inlineStr"/>
      <c r="W257" s="6" t="inlineStr">
        <is>
          <t>https://www.frpltd.com/about-fidelis/mission-values</t>
        </is>
      </c>
      <c r="X257" s="6" t="inlineStr">
        <is>
          <t>https://www.linkedin.com/company/fidelis-realty-partners</t>
        </is>
      </c>
      <c r="Y257" s="6" t="inlineStr">
        <is>
          <t>https://www.frpltd.com/about-fidelis/mission-values</t>
        </is>
      </c>
      <c r="Z257" s="6" t="inlineStr"/>
    </row>
    <row r="258">
      <c r="A258" s="12" t="inlineStr">
        <is>
          <t>R. Carson Wilson IV</t>
        </is>
      </c>
      <c r="B258" s="12" t="inlineStr">
        <is>
          <t>Fidelis Realty Partners</t>
        </is>
      </c>
      <c r="C258" s="12" t="inlineStr">
        <is>
          <t>Vice President, Leasing</t>
        </is>
      </c>
      <c r="D258" s="13" t="inlineStr">
        <is>
          <t>Off deck, screened out</t>
        </is>
      </c>
      <c r="E258" s="14" t="n">
        <v>1</v>
      </c>
      <c r="F258" s="12" t="inlineStr">
        <is>
          <t>Buys walls</t>
        </is>
      </c>
      <c r="G258" s="12" t="inlineStr">
        <is>
          <t>Houston HQ / Brazoria, Montgomery</t>
        </is>
      </c>
      <c r="H258" s="12" t="inlineStr">
        <is>
          <t>26M sf, ~100 properties, 12 states</t>
        </is>
      </c>
      <c r="I258" s="14" t="inlineStr">
        <is>
          <t>Yes</t>
        </is>
      </c>
      <c r="J258" s="15" t="inlineStr"/>
      <c r="K258" s="14" t="inlineStr">
        <is>
          <t>No</t>
        </is>
      </c>
      <c r="L258" s="15" t="inlineStr"/>
      <c r="M258" s="14" t="inlineStr">
        <is>
          <t>No</t>
        </is>
      </c>
      <c r="N258" s="15" t="inlineStr"/>
      <c r="O258" s="14" t="inlineStr">
        <is>
          <t>Partly</t>
        </is>
      </c>
      <c r="P258" s="6" t="inlineStr">
        <is>
          <t>https://www.linkedin.com/in/r-carson-wilson-iv-9b7525292/</t>
        </is>
      </c>
      <c r="Q258" s="12" t="inlineStr"/>
      <c r="R258" s="16">
        <f>IF(P258="","ADD LINKEDIN","ok")</f>
        <v/>
      </c>
      <c r="S258" s="12" t="inlineStr">
        <is>
          <t>https://www.frpltd.com/</t>
        </is>
      </c>
      <c r="T258" s="15" t="inlineStr">
        <is>
          <t>Two land positions in target counties within 24 months. Every purchase price is undisclosed.</t>
        </is>
      </c>
      <c r="U258" s="12" t="inlineStr">
        <is>
          <t>YES</t>
        </is>
      </c>
      <c r="V258" s="15" t="inlineStr">
        <is>
          <t>Executive Vice President - Leasing, Construction and Development at Fidelis Realty Partners. Greater Houston. One title covers all three, so the person who signs the lease also owns the build.</t>
        </is>
      </c>
      <c r="W258" s="12" t="inlineStr"/>
      <c r="X258" s="12" t="inlineStr">
        <is>
          <t>https://www.linkedin.com/company/fidelis-realty-partners</t>
        </is>
      </c>
      <c r="Y258" s="12" t="inlineStr">
        <is>
          <t>https://www.frpltd.com/about-fidelis/mission-values</t>
        </is>
      </c>
      <c r="Z258" s="12" t="inlineStr"/>
    </row>
    <row r="259">
      <c r="A259" s="6" t="inlineStr">
        <is>
          <t>Brandt Bowden</t>
        </is>
      </c>
      <c r="B259" s="6" t="inlineStr">
        <is>
          <t>The Hanover Company</t>
        </is>
      </c>
      <c r="C259" s="6" t="inlineStr">
        <is>
          <t>Chief Executive Officer</t>
        </is>
      </c>
      <c r="D259" s="7" t="inlineStr">
        <is>
          <t>Off deck, screened out</t>
        </is>
      </c>
      <c r="E259" s="8" t="n">
        <v>1</v>
      </c>
      <c r="F259" s="6" t="inlineStr">
        <is>
          <t>Buys walls</t>
        </is>
      </c>
      <c r="G259" s="6" t="inlineStr">
        <is>
          <t>Houston HQ, Harris County</t>
        </is>
      </c>
      <c r="H259" s="6" t="inlineStr">
        <is>
          <t>19 markets, in-house construction arm</t>
        </is>
      </c>
      <c r="I259" s="8" t="inlineStr">
        <is>
          <t>Yes</t>
        </is>
      </c>
      <c r="J259" s="9" t="inlineStr"/>
      <c r="K259" s="8" t="inlineStr">
        <is>
          <t>No</t>
        </is>
      </c>
      <c r="L259" s="9" t="inlineStr"/>
      <c r="M259" s="8" t="inlineStr">
        <is>
          <t>No</t>
        </is>
      </c>
      <c r="N259" s="9" t="inlineStr"/>
      <c r="O259" s="8" t="inlineStr">
        <is>
          <t>Partly</t>
        </is>
      </c>
      <c r="P259" s="10" t="inlineStr"/>
      <c r="Q259" s="6">
        <f>HYPERLINK("https://www.linkedin.com/search/results/people/?keywords=Brandt%20Bowden%20The%20Hanover%20Company","search")</f>
        <v/>
      </c>
      <c r="R259" s="11">
        <f>IF(P259="","ADD LINKEDIN","ok")</f>
        <v/>
      </c>
      <c r="S259" s="6" t="inlineStr">
        <is>
          <t>https://www.hanoverco.com/</t>
        </is>
      </c>
      <c r="T259" s="9" t="inlineStr">
        <is>
          <t>An in-house construction arm and a Houston HQ since 1982, but no Houston project could be sourced.</t>
        </is>
      </c>
      <c r="U259" s="6" t="inlineStr"/>
      <c r="V259" s="9" t="inlineStr">
        <is>
          <t>Chief Executive Officer of Hanover, overseeing capital, development and construction, previously chief investment officer.</t>
        </is>
      </c>
      <c r="W259" s="6" t="inlineStr">
        <is>
          <t>https://knowledge.uli.org/en/people/b/b/brandt-bowden-f34f</t>
        </is>
      </c>
      <c r="X259" s="6" t="inlineStr"/>
      <c r="Y259" s="6" t="inlineStr">
        <is>
          <t>https://www.hanoverco.com/leadership</t>
        </is>
      </c>
      <c r="Z259" s="6" t="inlineStr"/>
    </row>
    <row r="260">
      <c r="A260" s="12" t="inlineStr">
        <is>
          <t>Murry Bowden</t>
        </is>
      </c>
      <c r="B260" s="12" t="inlineStr">
        <is>
          <t>The Hanover Company</t>
        </is>
      </c>
      <c r="C260" s="12" t="inlineStr">
        <is>
          <t>Founder and Executive Chairman</t>
        </is>
      </c>
      <c r="D260" s="13" t="inlineStr">
        <is>
          <t>Off deck, screened out</t>
        </is>
      </c>
      <c r="E260" s="14" t="n">
        <v>1</v>
      </c>
      <c r="F260" s="12" t="inlineStr">
        <is>
          <t>Buys walls</t>
        </is>
      </c>
      <c r="G260" s="12" t="inlineStr">
        <is>
          <t>Houston HQ, Harris County</t>
        </is>
      </c>
      <c r="H260" s="12" t="inlineStr">
        <is>
          <t>19 markets, in-house construction arm</t>
        </is>
      </c>
      <c r="I260" s="14" t="inlineStr">
        <is>
          <t>Yes</t>
        </is>
      </c>
      <c r="J260" s="15" t="inlineStr"/>
      <c r="K260" s="14" t="inlineStr">
        <is>
          <t>No</t>
        </is>
      </c>
      <c r="L260" s="15" t="inlineStr"/>
      <c r="M260" s="14" t="inlineStr">
        <is>
          <t>No</t>
        </is>
      </c>
      <c r="N260" s="15" t="inlineStr"/>
      <c r="O260" s="14" t="inlineStr">
        <is>
          <t>Partly</t>
        </is>
      </c>
      <c r="P260" s="10" t="inlineStr"/>
      <c r="Q260" s="12">
        <f>HYPERLINK("https://www.linkedin.com/search/results/people/?keywords=Murry%20Bowden%20The%20Hanover%20Company","search")</f>
        <v/>
      </c>
      <c r="R260" s="16">
        <f>IF(P260="","ADD LINKEDIN","ok")</f>
        <v/>
      </c>
      <c r="S260" s="12" t="inlineStr">
        <is>
          <t>https://www.hanoverco.com/</t>
        </is>
      </c>
      <c r="T260" s="15" t="inlineStr">
        <is>
          <t>An in-house construction arm and a Houston HQ since 1982, but no Houston project could be sourced.</t>
        </is>
      </c>
      <c r="U260" s="12" t="inlineStr"/>
      <c r="V260" s="15" t="inlineStr">
        <is>
          <t>Founder, Chairman and Chief Executive Officer, responsible for strategy and investment decisions.</t>
        </is>
      </c>
      <c r="W260" s="12" t="inlineStr">
        <is>
          <t>https://www.nmhc.org/meetings/meetings-pages/meeting-materials/j-murry-bowden-biography/</t>
        </is>
      </c>
      <c r="X260" s="12" t="inlineStr"/>
      <c r="Y260" s="12" t="inlineStr">
        <is>
          <t>https://www.hanoverco.com/leadership</t>
        </is>
      </c>
      <c r="Z260" s="12" t="inlineStr"/>
    </row>
    <row r="261">
      <c r="A261" s="6" t="inlineStr">
        <is>
          <t>John Nash</t>
        </is>
      </c>
      <c r="B261" s="6" t="inlineStr">
        <is>
          <t>The Hanover Company</t>
        </is>
      </c>
      <c r="C261" s="6" t="inlineStr">
        <is>
          <t>President</t>
        </is>
      </c>
      <c r="D261" s="7" t="inlineStr">
        <is>
          <t>Off deck, screened out</t>
        </is>
      </c>
      <c r="E261" s="8" t="n">
        <v>1</v>
      </c>
      <c r="F261" s="6" t="inlineStr">
        <is>
          <t>Buys walls</t>
        </is>
      </c>
      <c r="G261" s="6" t="inlineStr">
        <is>
          <t>Houston HQ, Harris County</t>
        </is>
      </c>
      <c r="H261" s="6" t="inlineStr">
        <is>
          <t>19 markets, in-house construction arm</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HYPERLINK("https://www.linkedin.com/search/results/people/?keywords=John%20Nash%20The%20Hanover%20Company","search")</f>
        <v/>
      </c>
      <c r="R261" s="11">
        <f>IF(P261="","ADD LINKEDIN","ok")</f>
        <v/>
      </c>
      <c r="S261" s="6" t="inlineStr">
        <is>
          <t>https://www.hanoverco.com/</t>
        </is>
      </c>
      <c r="T261" s="9" t="inlineStr">
        <is>
          <t>An in-house construction arm and a Houston HQ since 1982, but no Houston project could be sourced.</t>
        </is>
      </c>
      <c r="U261" s="6" t="inlineStr"/>
      <c r="V261" s="9" t="inlineStr">
        <is>
          <t>President. Thirty-three years with Hanover, twenty-three of them as president, per the McCombs alumni network.</t>
        </is>
      </c>
      <c r="W261" s="6" t="inlineStr">
        <is>
          <t>https://www.hanoverco.com/leadership</t>
        </is>
      </c>
      <c r="X261" s="6" t="inlineStr"/>
      <c r="Y261" s="6" t="inlineStr">
        <is>
          <t>https://www.hanoverco.com/leadership</t>
        </is>
      </c>
      <c r="Z261" s="6" t="inlineStr"/>
    </row>
    <row r="262">
      <c r="A262" s="12" t="inlineStr">
        <is>
          <t>John Garibaldi</t>
        </is>
      </c>
      <c r="B262" s="12" t="inlineStr">
        <is>
          <t>The Hanover Company</t>
        </is>
      </c>
      <c r="C262" s="12" t="inlineStr">
        <is>
          <t>President, Multifamily</t>
        </is>
      </c>
      <c r="D262" s="13" t="inlineStr">
        <is>
          <t>Off deck, screened out</t>
        </is>
      </c>
      <c r="E262" s="14" t="n">
        <v>1</v>
      </c>
      <c r="F262" s="12" t="inlineStr">
        <is>
          <t>Buys walls</t>
        </is>
      </c>
      <c r="G262" s="12" t="inlineStr">
        <is>
          <t>Houston HQ, Harris County</t>
        </is>
      </c>
      <c r="H262" s="12" t="inlineStr">
        <is>
          <t>19 markets, in-house construction arm</t>
        </is>
      </c>
      <c r="I262" s="14" t="inlineStr">
        <is>
          <t>Yes</t>
        </is>
      </c>
      <c r="J262" s="15" t="inlineStr"/>
      <c r="K262" s="14" t="inlineStr">
        <is>
          <t>No</t>
        </is>
      </c>
      <c r="L262" s="15" t="inlineStr"/>
      <c r="M262" s="14" t="inlineStr">
        <is>
          <t>No</t>
        </is>
      </c>
      <c r="N262" s="15" t="inlineStr"/>
      <c r="O262" s="14" t="inlineStr">
        <is>
          <t>Partly</t>
        </is>
      </c>
      <c r="P262" s="10" t="inlineStr"/>
      <c r="Q262" s="12">
        <f>HYPERLINK("https://www.linkedin.com/search/results/people/?keywords=John%20Garibaldi%20The%20Hanover%20Company","search")</f>
        <v/>
      </c>
      <c r="R262" s="16">
        <f>IF(P262="","ADD LINKEDIN","ok")</f>
        <v/>
      </c>
      <c r="S262" s="12" t="inlineStr">
        <is>
          <t>https://www.hanoverco.com/</t>
        </is>
      </c>
      <c r="T262" s="15" t="inlineStr">
        <is>
          <t>An in-house construction arm and a Houston HQ since 1982, but no Houston project could be sourced.</t>
        </is>
      </c>
      <c r="U262" s="12" t="inlineStr"/>
      <c r="V262" s="15" t="inlineStr">
        <is>
          <t>President, Multifamily. Twenty-five years with the firm, starting as a development partner in Houston in 1999.</t>
        </is>
      </c>
      <c r="W262" s="12" t="inlineStr">
        <is>
          <t>https://www.hanoverco.com/leadership</t>
        </is>
      </c>
      <c r="X262" s="12" t="inlineStr"/>
      <c r="Y262" s="12" t="inlineStr">
        <is>
          <t>https://www.hanoverco.com/leadership</t>
        </is>
      </c>
      <c r="Z262" s="12" t="inlineStr"/>
    </row>
    <row r="263">
      <c r="A263" s="6" t="inlineStr">
        <is>
          <t>Thomas Knutson</t>
        </is>
      </c>
      <c r="B263" s="6" t="inlineStr">
        <is>
          <t>The Hanover Company</t>
        </is>
      </c>
      <c r="C263" s="6" t="inlineStr">
        <is>
          <t>President of Construction, The Hanover Company</t>
        </is>
      </c>
      <c r="D263" s="7" t="inlineStr">
        <is>
          <t>Off deck, screened out</t>
        </is>
      </c>
      <c r="E263" s="8" t="n">
        <v>1</v>
      </c>
      <c r="F263" s="6" t="inlineStr">
        <is>
          <t>Buys walls</t>
        </is>
      </c>
      <c r="G263" s="6" t="inlineStr">
        <is>
          <t>Houston HQ, Harris County</t>
        </is>
      </c>
      <c r="H263" s="6" t="inlineStr">
        <is>
          <t>19 markets, in-house construction arm</t>
        </is>
      </c>
      <c r="I263" s="8" t="inlineStr">
        <is>
          <t>Yes</t>
        </is>
      </c>
      <c r="J263" s="9" t="inlineStr"/>
      <c r="K263" s="8" t="inlineStr">
        <is>
          <t>No</t>
        </is>
      </c>
      <c r="L263" s="9" t="inlineStr"/>
      <c r="M263" s="8" t="inlineStr">
        <is>
          <t>No</t>
        </is>
      </c>
      <c r="N263" s="9" t="inlineStr"/>
      <c r="O263" s="8" t="inlineStr">
        <is>
          <t>Partly</t>
        </is>
      </c>
      <c r="P263" s="6" t="inlineStr">
        <is>
          <t>https://www.linkedin.com/in/thomas-knutson-a741898/</t>
        </is>
      </c>
      <c r="Q263" s="6" t="inlineStr"/>
      <c r="R263" s="11">
        <f>IF(P263="","ADD LINKEDIN","ok")</f>
        <v/>
      </c>
      <c r="S263" s="6" t="inlineStr">
        <is>
          <t>https://www.hanoverco.com/</t>
        </is>
      </c>
      <c r="T263" s="9" t="inlineStr">
        <is>
          <t>An in-house construction arm and a Houston HQ since 1982, but no Houston project could be sourced.</t>
        </is>
      </c>
      <c r="U263" s="6" t="inlineStr">
        <is>
          <t>YES</t>
        </is>
      </c>
      <c r="V263" s="9" t="inlineStr">
        <is>
          <t>President - Construction at The Hanover Company. Houston, Texas. Hanover builds its own work, so this is the head of the in-house contractor.</t>
        </is>
      </c>
      <c r="W263" s="6" t="inlineStr"/>
      <c r="X263" s="6" t="inlineStr"/>
      <c r="Y263" s="6" t="inlineStr">
        <is>
          <t>https://www.hanoverco.com/leadership</t>
        </is>
      </c>
      <c r="Z263" s="6" t="inlineStr"/>
    </row>
    <row r="264">
      <c r="A264" s="12" t="inlineStr">
        <is>
          <t>Mike Wright</t>
        </is>
      </c>
      <c r="B264" s="12" t="inlineStr">
        <is>
          <t>The Hanover Company</t>
        </is>
      </c>
      <c r="C264" s="12" t="inlineStr">
        <is>
          <t>Vice President of Preconstruction and Estimating, The Hanover Company</t>
        </is>
      </c>
      <c r="D264" s="13" t="inlineStr">
        <is>
          <t>Off deck, screened out</t>
        </is>
      </c>
      <c r="E264" s="14" t="n">
        <v>1</v>
      </c>
      <c r="F264" s="12" t="inlineStr">
        <is>
          <t>Buys walls</t>
        </is>
      </c>
      <c r="G264" s="12" t="inlineStr">
        <is>
          <t>Houston HQ, Harris County</t>
        </is>
      </c>
      <c r="H264" s="12" t="inlineStr">
        <is>
          <t>19 markets, in-house construction arm</t>
        </is>
      </c>
      <c r="I264" s="14" t="inlineStr">
        <is>
          <t>Yes</t>
        </is>
      </c>
      <c r="J264" s="15" t="inlineStr"/>
      <c r="K264" s="14" t="inlineStr">
        <is>
          <t>No</t>
        </is>
      </c>
      <c r="L264" s="15" t="inlineStr"/>
      <c r="M264" s="14" t="inlineStr">
        <is>
          <t>No</t>
        </is>
      </c>
      <c r="N264" s="15" t="inlineStr"/>
      <c r="O264" s="14" t="inlineStr">
        <is>
          <t>Partly</t>
        </is>
      </c>
      <c r="P264" s="6" t="inlineStr">
        <is>
          <t>https://www.linkedin.com/in/mike-wright-7795a8b/</t>
        </is>
      </c>
      <c r="Q264" s="12" t="inlineStr"/>
      <c r="R264" s="16">
        <f>IF(P264="","ADD LINKEDIN","ok")</f>
        <v/>
      </c>
      <c r="S264" s="12" t="inlineStr">
        <is>
          <t>https://www.hanoverco.com/</t>
        </is>
      </c>
      <c r="T264" s="15" t="inlineStr">
        <is>
          <t>An in-house construction arm and a Houston HQ since 1982, but no Houston project could be sourced.</t>
        </is>
      </c>
      <c r="U264" s="12" t="inlineStr">
        <is>
          <t>YES</t>
        </is>
      </c>
      <c r="V264" s="15" t="inlineStr">
        <is>
          <t>Vice President of Preconstruction &amp; Estimating at The Hanover Company. Katy, Texas. Preconstruction is where an unfamiliar wall system gets priced or dismissed, so this is the first real test of a printed assembly.</t>
        </is>
      </c>
      <c r="W264" s="12" t="inlineStr"/>
      <c r="X264" s="12" t="inlineStr"/>
      <c r="Y264" s="12" t="inlineStr">
        <is>
          <t>https://www.hanoverco.com/leadership</t>
        </is>
      </c>
      <c r="Z264" s="12" t="inlineStr"/>
    </row>
    <row r="265">
      <c r="A265" s="6" t="inlineStr">
        <is>
          <t>Jeff Read</t>
        </is>
      </c>
      <c r="B265" s="6" t="inlineStr">
        <is>
          <t>Read King</t>
        </is>
      </c>
      <c r="C265" s="6" t="inlineStr">
        <is>
          <t>Principal and Co-Founder</t>
        </is>
      </c>
      <c r="D265" s="7" t="inlineStr">
        <is>
          <t>Off deck, screened out</t>
        </is>
      </c>
      <c r="E265" s="8" t="n">
        <v>1</v>
      </c>
      <c r="F265" s="6" t="inlineStr">
        <is>
          <t>Buys walls</t>
        </is>
      </c>
      <c r="G265" s="6" t="inlineStr">
        <is>
          <t>Houston HQ / Fort Bend, Harris</t>
        </is>
      </c>
      <c r="H265" s="6" t="inlineStr">
        <is>
          <t>36 freestanding ER centres, 100+ build-to-suit</t>
        </is>
      </c>
      <c r="I265" s="8" t="inlineStr">
        <is>
          <t>Yes</t>
        </is>
      </c>
      <c r="J265" s="9" t="inlineStr"/>
      <c r="K265" s="8" t="inlineStr">
        <is>
          <t>No</t>
        </is>
      </c>
      <c r="L265" s="9" t="inlineStr"/>
      <c r="M265" s="8" t="inlineStr">
        <is>
          <t>No</t>
        </is>
      </c>
      <c r="N265" s="9" t="inlineStr"/>
      <c r="O265" s="8" t="inlineStr">
        <is>
          <t>No</t>
        </is>
      </c>
      <c r="P265" s="10" t="inlineStr"/>
      <c r="Q265" s="6">
        <f>HYPERLINK("https://www.linkedin.com/search/results/people/?keywords=Jeff%20Read%20Read%20King","search")</f>
        <v/>
      </c>
      <c r="R265" s="11">
        <f>IF(P265="","ADD LINKEDIN","ok")</f>
        <v/>
      </c>
      <c r="S265" s="6" t="inlineStr">
        <is>
          <t>https://read-king.com/</t>
        </is>
      </c>
      <c r="T265" s="9" t="inlineStr">
        <is>
          <t>36 freestanding emergency centres and over 100 build-to-suits, the most repeated small-commercial format screened.</t>
        </is>
      </c>
      <c r="U265" s="6" t="inlineStr"/>
      <c r="V265" s="9" t="inlineStr"/>
      <c r="W265" s="6" t="inlineStr">
        <is>
          <t>https://www.read-king.com/team</t>
        </is>
      </c>
      <c r="X265" s="6" t="inlineStr">
        <is>
          <t>https://www.linkedin.com/company/read-king-inc-</t>
        </is>
      </c>
      <c r="Y265" s="6" t="inlineStr">
        <is>
          <t>https://www.read-king.com/team</t>
        </is>
      </c>
      <c r="Z265" s="6" t="inlineStr"/>
    </row>
    <row r="266">
      <c r="A266" s="12" t="inlineStr">
        <is>
          <t>Ewing King</t>
        </is>
      </c>
      <c r="B266" s="12" t="inlineStr">
        <is>
          <t>Read King</t>
        </is>
      </c>
      <c r="C266" s="12" t="inlineStr">
        <is>
          <t>Principal</t>
        </is>
      </c>
      <c r="D266" s="13" t="inlineStr">
        <is>
          <t>Off deck, screened out</t>
        </is>
      </c>
      <c r="E266" s="14" t="n">
        <v>1</v>
      </c>
      <c r="F266" s="12" t="inlineStr">
        <is>
          <t>Buys walls</t>
        </is>
      </c>
      <c r="G266" s="12" t="inlineStr">
        <is>
          <t>Houston HQ / Fort Bend, Harris</t>
        </is>
      </c>
      <c r="H266" s="12" t="inlineStr">
        <is>
          <t>36 freestanding ER centres, 100+ build-to-suit</t>
        </is>
      </c>
      <c r="I266" s="14" t="inlineStr">
        <is>
          <t>Yes</t>
        </is>
      </c>
      <c r="J266" s="15" t="inlineStr"/>
      <c r="K266" s="14" t="inlineStr">
        <is>
          <t>No</t>
        </is>
      </c>
      <c r="L266" s="15" t="inlineStr"/>
      <c r="M266" s="14" t="inlineStr">
        <is>
          <t>No</t>
        </is>
      </c>
      <c r="N266" s="15" t="inlineStr"/>
      <c r="O266" s="14" t="inlineStr">
        <is>
          <t>No</t>
        </is>
      </c>
      <c r="P266" s="10" t="inlineStr"/>
      <c r="Q266" s="12">
        <f>HYPERLINK("https://www.linkedin.com/search/results/people/?keywords=Ewing%20King%20Read%20King","search")</f>
        <v/>
      </c>
      <c r="R266" s="16">
        <f>IF(P266="","ADD LINKEDIN","ok")</f>
        <v/>
      </c>
      <c r="S266" s="12" t="inlineStr">
        <is>
          <t>https://read-king.com/</t>
        </is>
      </c>
      <c r="T266" s="15" t="inlineStr">
        <is>
          <t>36 freestanding emergency centres and over 100 build-to-suits, the most repeated small-commercial format screened.</t>
        </is>
      </c>
      <c r="U266" s="12" t="inlineStr"/>
      <c r="V266" s="15" t="inlineStr"/>
      <c r="W266" s="12" t="inlineStr">
        <is>
          <t>https://www.read-king.com/team</t>
        </is>
      </c>
      <c r="X266" s="12" t="inlineStr">
        <is>
          <t>https://www.linkedin.com/company/read-king-inc-</t>
        </is>
      </c>
      <c r="Y266" s="12" t="inlineStr">
        <is>
          <t>https://www.read-king.com/team</t>
        </is>
      </c>
      <c r="Z266" s="12" t="inlineStr"/>
    </row>
    <row r="267">
      <c r="A267" s="6" t="inlineStr">
        <is>
          <t>Blake Allen</t>
        </is>
      </c>
      <c r="B267" s="6" t="inlineStr">
        <is>
          <t>Read King</t>
        </is>
      </c>
      <c r="C267" s="6" t="inlineStr">
        <is>
          <t>Chief Financial Officer</t>
        </is>
      </c>
      <c r="D267" s="7" t="inlineStr">
        <is>
          <t>Off deck, screened out</t>
        </is>
      </c>
      <c r="E267" s="8" t="n">
        <v>1</v>
      </c>
      <c r="F267" s="6" t="inlineStr">
        <is>
          <t>Buys walls</t>
        </is>
      </c>
      <c r="G267" s="6" t="inlineStr">
        <is>
          <t>Houston HQ / Fort Bend, Harris</t>
        </is>
      </c>
      <c r="H267" s="6" t="inlineStr">
        <is>
          <t>36 freestanding ER centres, 100+ build-to-suit</t>
        </is>
      </c>
      <c r="I267" s="8" t="inlineStr">
        <is>
          <t>Yes</t>
        </is>
      </c>
      <c r="J267" s="9" t="inlineStr"/>
      <c r="K267" s="8" t="inlineStr">
        <is>
          <t>No</t>
        </is>
      </c>
      <c r="L267" s="9" t="inlineStr"/>
      <c r="M267" s="8" t="inlineStr">
        <is>
          <t>No</t>
        </is>
      </c>
      <c r="N267" s="9" t="inlineStr"/>
      <c r="O267" s="8" t="inlineStr">
        <is>
          <t>No</t>
        </is>
      </c>
      <c r="P267" s="10" t="inlineStr"/>
      <c r="Q267" s="6">
        <f>HYPERLINK("https://www.linkedin.com/search/results/people/?keywords=Blake%20Allen%20Read%20King","search")</f>
        <v/>
      </c>
      <c r="R267" s="11">
        <f>IF(P267="","ADD LINKEDIN","ok")</f>
        <v/>
      </c>
      <c r="S267" s="6" t="inlineStr">
        <is>
          <t>https://read-king.com/</t>
        </is>
      </c>
      <c r="T267" s="9" t="inlineStr">
        <is>
          <t>36 freestanding emergency centres and over 100 build-to-suits, the most repeated small-commercial format screened.</t>
        </is>
      </c>
      <c r="U267" s="6" t="inlineStr"/>
      <c r="V267" s="9" t="inlineStr"/>
      <c r="W267" s="6" t="inlineStr">
        <is>
          <t>https://www.read-king.com/team</t>
        </is>
      </c>
      <c r="X267" s="6" t="inlineStr">
        <is>
          <t>https://www.linkedin.com/company/read-king-inc-</t>
        </is>
      </c>
      <c r="Y267" s="6" t="inlineStr">
        <is>
          <t>https://www.read-king.com/team</t>
        </is>
      </c>
      <c r="Z267" s="6" t="inlineStr"/>
    </row>
    <row r="268">
      <c r="A268" s="12" t="inlineStr">
        <is>
          <t>Telisia Amaning</t>
        </is>
      </c>
      <c r="B268" s="12" t="inlineStr">
        <is>
          <t>Read King</t>
        </is>
      </c>
      <c r="C268" s="12" t="inlineStr">
        <is>
          <t>Chief Operating Officer</t>
        </is>
      </c>
      <c r="D268" s="13" t="inlineStr">
        <is>
          <t>Off deck, screened out</t>
        </is>
      </c>
      <c r="E268" s="14" t="n">
        <v>1</v>
      </c>
      <c r="F268" s="12" t="inlineStr">
        <is>
          <t>Buys walls</t>
        </is>
      </c>
      <c r="G268" s="12" t="inlineStr">
        <is>
          <t>Houston HQ / Fort Bend, Harris</t>
        </is>
      </c>
      <c r="H268" s="12" t="inlineStr">
        <is>
          <t>36 freestanding ER centres, 100+ build-to-suit</t>
        </is>
      </c>
      <c r="I268" s="14" t="inlineStr">
        <is>
          <t>Yes</t>
        </is>
      </c>
      <c r="J268" s="15" t="inlineStr"/>
      <c r="K268" s="14" t="inlineStr">
        <is>
          <t>No</t>
        </is>
      </c>
      <c r="L268" s="15" t="inlineStr"/>
      <c r="M268" s="14" t="inlineStr">
        <is>
          <t>No</t>
        </is>
      </c>
      <c r="N268" s="15" t="inlineStr"/>
      <c r="O268" s="14" t="inlineStr">
        <is>
          <t>No</t>
        </is>
      </c>
      <c r="P268" s="6" t="inlineStr">
        <is>
          <t>https://www.linkedin.com/in/telisiaamaning/</t>
        </is>
      </c>
      <c r="Q268" s="12" t="inlineStr"/>
      <c r="R268" s="16">
        <f>IF(P268="","ADD LINKEDIN","ok")</f>
        <v/>
      </c>
      <c r="S268" s="12" t="inlineStr">
        <is>
          <t>https://read-king.com/</t>
        </is>
      </c>
      <c r="T268" s="15" t="inlineStr">
        <is>
          <t>36 freestanding emergency centres and over 100 build-to-suits, the most repeated small-commercial format screened.</t>
        </is>
      </c>
      <c r="U268" s="12" t="inlineStr"/>
      <c r="V268" s="15" t="inlineStr">
        <is>
          <t>Chief Operating Officer, READ KING. Houston, Texas.</t>
        </is>
      </c>
      <c r="W268" s="12" t="inlineStr"/>
      <c r="X268" s="12" t="inlineStr">
        <is>
          <t>https://www.linkedin.com/company/read-king-inc-</t>
        </is>
      </c>
      <c r="Y268" s="12" t="inlineStr">
        <is>
          <t>https://www.read-king.com/team</t>
        </is>
      </c>
      <c r="Z268" s="12" t="inlineStr"/>
    </row>
    <row r="269">
      <c r="A269" s="6" t="inlineStr">
        <is>
          <t>Alex Jessett</t>
        </is>
      </c>
      <c r="B269" s="6" t="inlineStr">
        <is>
          <t>Camden Property Trust</t>
        </is>
      </c>
      <c r="C269" s="6" t="inlineStr">
        <is>
          <t>Chief Executive Officer</t>
        </is>
      </c>
      <c r="D269" s="7" t="inlineStr">
        <is>
          <t>Off deck, screened out</t>
        </is>
      </c>
      <c r="E269" s="8" t="n">
        <v>1</v>
      </c>
      <c r="F269" s="6" t="inlineStr">
        <is>
          <t>Buys walls</t>
        </is>
      </c>
      <c r="G269" s="6" t="inlineStr">
        <is>
          <t>Houston HQ / Fort Bend, Montgomery</t>
        </is>
      </c>
      <c r="H269" s="6" t="inlineStr">
        <is>
          <t>$155M into 389 BTR homes</t>
        </is>
      </c>
      <c r="I269" s="8" t="inlineStr">
        <is>
          <t>Partly</t>
        </is>
      </c>
      <c r="J269" s="9" t="inlineStr"/>
      <c r="K269" s="8" t="inlineStr">
        <is>
          <t>No</t>
        </is>
      </c>
      <c r="L269" s="9" t="inlineStr"/>
      <c r="M269" s="8" t="inlineStr">
        <is>
          <t>No</t>
        </is>
      </c>
      <c r="N269" s="9" t="inlineStr"/>
      <c r="O269" s="8" t="inlineStr">
        <is>
          <t>Yes</t>
        </is>
      </c>
      <c r="P269" s="10" t="inlineStr"/>
      <c r="Q269" s="6">
        <f>HYPERLINK("https://www.linkedin.com/search/results/people/?keywords=Alex%20Jessett%20Camden%20Property%20Trust","search")</f>
        <v/>
      </c>
      <c r="R269" s="11">
        <f>IF(P269="","ADD LINKEDIN","ok")</f>
        <v/>
      </c>
      <c r="S269" s="6" t="inlineStr">
        <is>
          <t>https://www.camdenliving.com/</t>
        </is>
      </c>
      <c r="T269" s="9" t="inlineStr">
        <is>
          <t>$155M into 389 build-to-rent homes, Houston HQ, holds long term. Figures date to 2022.</t>
        </is>
      </c>
      <c r="U269" s="6" t="inlineStr"/>
      <c r="V269" s="9" t="inlineStr">
        <is>
          <t>Chief Executive Officer, previously President and Chief Financial Officer, at Camden since 1999.</t>
        </is>
      </c>
      <c r="W269" s="6" t="inlineStr">
        <is>
          <t>https://investors.camdenliving.com/investors/governance/board-of-directors/default.aspx</t>
        </is>
      </c>
      <c r="X269" s="6" t="inlineStr">
        <is>
          <t>https://www.linkedin.com/company/camden-property-trust</t>
        </is>
      </c>
      <c r="Y269" s="6" t="inlineStr">
        <is>
          <t>https://investors.camdenliving.com/investors/governance/board-of-directors/default.aspx</t>
        </is>
      </c>
      <c r="Z269" s="6" t="inlineStr"/>
    </row>
    <row r="270">
      <c r="A270" s="12" t="inlineStr">
        <is>
          <t>Richard J. Campo</t>
        </is>
      </c>
      <c r="B270" s="12" t="inlineStr">
        <is>
          <t>Camden Property Trust</t>
        </is>
      </c>
      <c r="C270" s="12" t="inlineStr">
        <is>
          <t>Executive Chairman of the Board of Trust Managers</t>
        </is>
      </c>
      <c r="D270" s="13" t="inlineStr">
        <is>
          <t>Off deck, screened out</t>
        </is>
      </c>
      <c r="E270" s="14" t="n">
        <v>1</v>
      </c>
      <c r="F270" s="12" t="inlineStr">
        <is>
          <t>Buys walls</t>
        </is>
      </c>
      <c r="G270" s="12" t="inlineStr">
        <is>
          <t>Houston HQ / Fort Bend, Montgomery</t>
        </is>
      </c>
      <c r="H270" s="12" t="inlineStr">
        <is>
          <t>$155M into 389 BTR homes</t>
        </is>
      </c>
      <c r="I270" s="14" t="inlineStr">
        <is>
          <t>Partly</t>
        </is>
      </c>
      <c r="J270" s="15" t="inlineStr"/>
      <c r="K270" s="14" t="inlineStr">
        <is>
          <t>No</t>
        </is>
      </c>
      <c r="L270" s="15" t="inlineStr"/>
      <c r="M270" s="14" t="inlineStr">
        <is>
          <t>No</t>
        </is>
      </c>
      <c r="N270" s="15" t="inlineStr"/>
      <c r="O270" s="14" t="inlineStr">
        <is>
          <t>Yes</t>
        </is>
      </c>
      <c r="P270" s="10" t="inlineStr"/>
      <c r="Q270" s="12">
        <f>HYPERLINK("https://www.linkedin.com/search/results/people/?keywords=Richard%20J.%20Campo%20Camden%20Property%20Trust","search")</f>
        <v/>
      </c>
      <c r="R270" s="16">
        <f>IF(P270="","ADD LINKEDIN","ok")</f>
        <v/>
      </c>
      <c r="S270" s="12" t="inlineStr">
        <is>
          <t>https://www.camdenliving.com/</t>
        </is>
      </c>
      <c r="T270" s="15" t="inlineStr">
        <is>
          <t>$155M into 389 build-to-rent homes, Houston HQ, holds long term. Figures date to 2022.</t>
        </is>
      </c>
      <c r="U270" s="12" t="inlineStr"/>
      <c r="V270" s="15" t="inlineStr">
        <is>
          <t>Executive Chairman, chief executive from the 1993 listing until 2026.</t>
        </is>
      </c>
      <c r="W270" s="12" t="inlineStr">
        <is>
          <t>https://investors.camdenliving.com/investors/governance/board-of-directors/default.aspx</t>
        </is>
      </c>
      <c r="X270" s="12" t="inlineStr">
        <is>
          <t>https://www.linkedin.com/company/camden-property-trust</t>
        </is>
      </c>
      <c r="Y270" s="12" t="inlineStr">
        <is>
          <t>https://investors.camdenliving.com/investors/governance/board-of-directors/default.aspx</t>
        </is>
      </c>
      <c r="Z270" s="12" t="inlineStr"/>
    </row>
    <row r="271">
      <c r="A271" s="6" t="inlineStr">
        <is>
          <t>Michael Eilertsen</t>
        </is>
      </c>
      <c r="B271" s="6" t="inlineStr">
        <is>
          <t>Camden Property Trust</t>
        </is>
      </c>
      <c r="C271" s="6" t="inlineStr">
        <is>
          <t>Vice President of Construction, Camden Property Trust</t>
        </is>
      </c>
      <c r="D271" s="7" t="inlineStr">
        <is>
          <t>Off deck, screened out</t>
        </is>
      </c>
      <c r="E271" s="8" t="n">
        <v>1</v>
      </c>
      <c r="F271" s="6" t="inlineStr">
        <is>
          <t>Buys walls</t>
        </is>
      </c>
      <c r="G271" s="6" t="inlineStr">
        <is>
          <t>Houston HQ / Fort Bend, Montgomery</t>
        </is>
      </c>
      <c r="H271" s="6" t="inlineStr">
        <is>
          <t>$155M into 389 BTR homes</t>
        </is>
      </c>
      <c r="I271" s="8" t="inlineStr">
        <is>
          <t>Partly</t>
        </is>
      </c>
      <c r="J271" s="9" t="inlineStr"/>
      <c r="K271" s="8" t="inlineStr">
        <is>
          <t>No</t>
        </is>
      </c>
      <c r="L271" s="9" t="inlineStr"/>
      <c r="M271" s="8" t="inlineStr">
        <is>
          <t>No</t>
        </is>
      </c>
      <c r="N271" s="9" t="inlineStr"/>
      <c r="O271" s="8" t="inlineStr">
        <is>
          <t>Yes</t>
        </is>
      </c>
      <c r="P271" s="6" t="inlineStr">
        <is>
          <t>https://www.linkedin.com/in/michael-eilertsen-68a59911/</t>
        </is>
      </c>
      <c r="Q271" s="6" t="inlineStr"/>
      <c r="R271" s="11">
        <f>IF(P271="","ADD LINKEDIN","ok")</f>
        <v/>
      </c>
      <c r="S271" s="6" t="inlineStr">
        <is>
          <t>https://www.camdenliving.com/</t>
        </is>
      </c>
      <c r="T271" s="9" t="inlineStr">
        <is>
          <t>$155M into 389 build-to-rent homes, Houston HQ, holds long term. Figures date to 2022.</t>
        </is>
      </c>
      <c r="U271" s="6" t="inlineStr">
        <is>
          <t>YES</t>
        </is>
      </c>
      <c r="V271" s="9" t="inlineStr"/>
      <c r="W271" s="6" t="inlineStr"/>
      <c r="X271" s="6" t="inlineStr">
        <is>
          <t>https://www.linkedin.com/company/camden-property-trust</t>
        </is>
      </c>
      <c r="Y271" s="6" t="inlineStr">
        <is>
          <t>https://investors.camdenliving.com/investors/governance/board-of-directors/default.aspx</t>
        </is>
      </c>
      <c r="Z271" s="6" t="inlineStr"/>
    </row>
    <row r="272">
      <c r="A272" s="12" t="inlineStr">
        <is>
          <t>Bob Faith</t>
        </is>
      </c>
      <c r="B272" s="12" t="inlineStr">
        <is>
          <t>Greystar (Summerwell)</t>
        </is>
      </c>
      <c r="C272" s="12" t="inlineStr">
        <is>
          <t>Founder, Chairman and Chief Executive Officer</t>
        </is>
      </c>
      <c r="D272" s="13" t="inlineStr">
        <is>
          <t>Off deck, screened out</t>
        </is>
      </c>
      <c r="E272" s="14" t="n">
        <v>1</v>
      </c>
      <c r="F272" s="12" t="inlineStr">
        <is>
          <t>Buys walls</t>
        </is>
      </c>
      <c r="G272" s="12" t="inlineStr">
        <is>
          <t>Charleston HQ / Katy, Harris-Waller</t>
        </is>
      </c>
      <c r="H272" s="12" t="inlineStr">
        <is>
          <t>Summerwell: 10,000+ homes, 50 properties</t>
        </is>
      </c>
      <c r="I272" s="14" t="inlineStr">
        <is>
          <t>Partly</t>
        </is>
      </c>
      <c r="J272" s="15" t="inlineStr"/>
      <c r="K272" s="14" t="inlineStr">
        <is>
          <t>No</t>
        </is>
      </c>
      <c r="L272" s="15" t="inlineStr"/>
      <c r="M272" s="14" t="inlineStr">
        <is>
          <t>No</t>
        </is>
      </c>
      <c r="N272" s="15" t="inlineStr"/>
      <c r="O272" s="14" t="inlineStr">
        <is>
          <t>Yes</t>
        </is>
      </c>
      <c r="P272" s="10" t="inlineStr"/>
      <c r="Q272" s="12">
        <f>HYPERLINK("https://www.linkedin.com/search/results/people/?keywords=Bob%20Faith%20Greystar","search")</f>
        <v/>
      </c>
      <c r="R272" s="16">
        <f>IF(P272="","ADD LINKEDIN","ok")</f>
        <v/>
      </c>
      <c r="S272" s="12" t="inlineStr">
        <is>
          <t>https://www.greystar.com/</t>
        </is>
      </c>
      <c r="T272" s="15" t="inlineStr">
        <is>
          <t>156 units inside Sunterra, a Houston-based development director, and a 10,000-home national brand. Costs withheld.</t>
        </is>
      </c>
      <c r="U272" s="12" t="inlineStr"/>
      <c r="V272" s="15" t="inlineStr"/>
      <c r="W272" s="12" t="inlineStr">
        <is>
          <t>https://www.greystar.com/contact-us/our-people/bob-faith</t>
        </is>
      </c>
      <c r="X272" s="12" t="inlineStr">
        <is>
          <t>https://www.linkedin.com/company/greystar</t>
        </is>
      </c>
      <c r="Y272" s="12" t="inlineStr">
        <is>
          <t>https://www.greystar.com/business/about-greystar/our-leadership</t>
        </is>
      </c>
      <c r="Z272" s="12" t="inlineStr"/>
    </row>
    <row r="273">
      <c r="A273" s="6" t="inlineStr">
        <is>
          <t>Brian Herwald</t>
        </is>
      </c>
      <c r="B273" s="6" t="inlineStr">
        <is>
          <t>Greystar (Summerwell)</t>
        </is>
      </c>
      <c r="C273" s="6" t="inlineStr">
        <is>
          <t>Managing Director of Development, Houston</t>
        </is>
      </c>
      <c r="D273" s="7" t="inlineStr">
        <is>
          <t>Off deck, screened out</t>
        </is>
      </c>
      <c r="E273" s="8" t="n">
        <v>1</v>
      </c>
      <c r="F273" s="6" t="inlineStr">
        <is>
          <t>Buys walls</t>
        </is>
      </c>
      <c r="G273" s="6" t="inlineStr">
        <is>
          <t>Charleston HQ / Katy, Harris-Waller</t>
        </is>
      </c>
      <c r="H273" s="6" t="inlineStr">
        <is>
          <t>Summerwell: 10,000+ homes, 50 properties</t>
        </is>
      </c>
      <c r="I273" s="8" t="inlineStr">
        <is>
          <t>Partly</t>
        </is>
      </c>
      <c r="J273" s="9" t="inlineStr"/>
      <c r="K273" s="8" t="inlineStr">
        <is>
          <t>No</t>
        </is>
      </c>
      <c r="L273" s="9" t="inlineStr"/>
      <c r="M273" s="8" t="inlineStr">
        <is>
          <t>No</t>
        </is>
      </c>
      <c r="N273" s="9" t="inlineStr"/>
      <c r="O273" s="8" t="inlineStr">
        <is>
          <t>Yes</t>
        </is>
      </c>
      <c r="P273" s="10" t="inlineStr"/>
      <c r="Q273" s="6">
        <f>HYPERLINK("https://www.linkedin.com/search/results/people/?keywords=Brian%20Herwald%20Greystar","search")</f>
        <v/>
      </c>
      <c r="R273" s="11">
        <f>IF(P273="","ADD LINKEDIN","ok")</f>
        <v/>
      </c>
      <c r="S273" s="6" t="inlineStr">
        <is>
          <t>https://www.greystar.com/</t>
        </is>
      </c>
      <c r="T273" s="9" t="inlineStr">
        <is>
          <t>156 units inside Sunterra, a Houston-based development director, and a 10,000-home national brand. Costs withheld.</t>
        </is>
      </c>
      <c r="U273" s="6" t="inlineStr"/>
      <c r="V273" s="9" t="inlineStr">
        <is>
          <t>Managing Director of Development, quoted on Greystar's first Houston logistics project.</t>
        </is>
      </c>
      <c r="W273" s="6" t="inlineStr">
        <is>
          <t>https://www.greystar.com/business/about-greystar/newsroom/greystar-completes-first-logistics-project-in-houston</t>
        </is>
      </c>
      <c r="X273" s="6" t="inlineStr">
        <is>
          <t>https://www.linkedin.com/company/greystar</t>
        </is>
      </c>
      <c r="Y273" s="6" t="inlineStr">
        <is>
          <t>https://www.greystar.com/business/about-greystar/our-leadership</t>
        </is>
      </c>
      <c r="Z273" s="6" t="inlineStr"/>
    </row>
    <row r="274">
      <c r="A274" s="12" t="inlineStr">
        <is>
          <t>Brian Dinerstein</t>
        </is>
      </c>
      <c r="B274" s="12" t="inlineStr">
        <is>
          <t>The Dinerstein Companies</t>
        </is>
      </c>
      <c r="C274" s="12" t="inlineStr">
        <is>
          <t>Chief Executive Officer</t>
        </is>
      </c>
      <c r="D274" s="13" t="inlineStr">
        <is>
          <t>Off deck, screened out</t>
        </is>
      </c>
      <c r="E274" s="14" t="n">
        <v>1</v>
      </c>
      <c r="F274" s="12" t="inlineStr">
        <is>
          <t>Buys walls</t>
        </is>
      </c>
      <c r="G274" s="12" t="inlineStr">
        <is>
          <t>Houston HQ / Fort Bend</t>
        </is>
      </c>
      <c r="H274" s="12" t="inlineStr">
        <is>
          <t>186 BTR homes, Harrison Street JV</t>
        </is>
      </c>
      <c r="I274" s="14" t="inlineStr">
        <is>
          <t>Partly</t>
        </is>
      </c>
      <c r="J274" s="15" t="inlineStr"/>
      <c r="K274" s="14" t="inlineStr">
        <is>
          <t>No</t>
        </is>
      </c>
      <c r="L274" s="15" t="inlineStr"/>
      <c r="M274" s="14" t="inlineStr">
        <is>
          <t>No</t>
        </is>
      </c>
      <c r="N274" s="15" t="inlineStr"/>
      <c r="O274" s="14" t="inlineStr">
        <is>
          <t>Yes</t>
        </is>
      </c>
      <c r="P274" s="10" t="inlineStr"/>
      <c r="Q274" s="12">
        <f>HYPERLINK("https://www.linkedin.com/search/results/people/?keywords=Brian%20Dinerstein%20The%20Dinerstein%20Companies","search")</f>
        <v/>
      </c>
      <c r="R274" s="16">
        <f>IF(P274="","ADD LINKEDIN","ok")</f>
        <v/>
      </c>
      <c r="S274" s="12" t="inlineStr">
        <is>
          <t>https://www.dinersteincos.com/</t>
        </is>
      </c>
      <c r="T274" s="15" t="inlineStr">
        <is>
          <t>186 build-to-rent homes with Harrison Street and 70 years in Houston. Launch coverage is amenities only.</t>
        </is>
      </c>
      <c r="U274" s="12" t="inlineStr"/>
      <c r="V274" s="15" t="inlineStr">
        <is>
          <t>The firm's own bio page. Chief Executive Officer of a developer and operator with $4.3 billion under management.</t>
        </is>
      </c>
      <c r="W274" s="12" t="inlineStr">
        <is>
          <t>https://www.dinersteincos.com/team/brian-dinerstein</t>
        </is>
      </c>
      <c r="X274" s="12" t="inlineStr">
        <is>
          <t>https://www.linkedin.com/company/the-dinerstein-companies/</t>
        </is>
      </c>
      <c r="Y274" s="12" t="inlineStr">
        <is>
          <t>https://www.dinersteincos.com/about-us</t>
        </is>
      </c>
      <c r="Z274" s="12" t="inlineStr"/>
    </row>
    <row r="275">
      <c r="A275" s="6" t="inlineStr">
        <is>
          <t>Jack Dinerstein</t>
        </is>
      </c>
      <c r="B275" s="6" t="inlineStr">
        <is>
          <t>The Dinerstein Companies</t>
        </is>
      </c>
      <c r="C275" s="6" t="inlineStr">
        <is>
          <t>Executive Chairman</t>
        </is>
      </c>
      <c r="D275" s="7" t="inlineStr">
        <is>
          <t>Off deck, screened out</t>
        </is>
      </c>
      <c r="E275" s="8" t="n">
        <v>1</v>
      </c>
      <c r="F275" s="6" t="inlineStr">
        <is>
          <t>Buys walls</t>
        </is>
      </c>
      <c r="G275" s="6" t="inlineStr">
        <is>
          <t>Houston HQ / Fort Bend</t>
        </is>
      </c>
      <c r="H275" s="6" t="inlineStr">
        <is>
          <t>186 BTR homes, Harrison Street JV</t>
        </is>
      </c>
      <c r="I275" s="8" t="inlineStr">
        <is>
          <t>Partly</t>
        </is>
      </c>
      <c r="J275" s="9" t="inlineStr"/>
      <c r="K275" s="8" t="inlineStr">
        <is>
          <t>No</t>
        </is>
      </c>
      <c r="L275" s="9" t="inlineStr"/>
      <c r="M275" s="8" t="inlineStr">
        <is>
          <t>No</t>
        </is>
      </c>
      <c r="N275" s="9" t="inlineStr"/>
      <c r="O275" s="8" t="inlineStr">
        <is>
          <t>Yes</t>
        </is>
      </c>
      <c r="P275" s="6" t="inlineStr">
        <is>
          <t>https://www.linkedin.com/in/jack-dinerstein-4215073/</t>
        </is>
      </c>
      <c r="Q275" s="6" t="inlineStr"/>
      <c r="R275" s="11">
        <f>IF(P275="","ADD LINKEDIN","ok")</f>
        <v/>
      </c>
      <c r="S275" s="6" t="inlineStr">
        <is>
          <t>https://www.dinersteincos.com/</t>
        </is>
      </c>
      <c r="T275" s="9" t="inlineStr">
        <is>
          <t>186 build-to-rent homes with Harrison Street and 70 years in Houston. Launch coverage is amenities only.</t>
        </is>
      </c>
      <c r="U275" s="6" t="inlineStr"/>
      <c r="V275" s="9" t="inlineStr">
        <is>
          <t>Owner, Dinerstein Companies. Houston, Texas.</t>
        </is>
      </c>
      <c r="W275" s="6" t="inlineStr"/>
      <c r="X275" s="6" t="inlineStr">
        <is>
          <t>https://www.linkedin.com/company/the-dinerstein-companies/</t>
        </is>
      </c>
      <c r="Y275" s="6" t="inlineStr">
        <is>
          <t>https://www.dinersteincos.com/about-us</t>
        </is>
      </c>
      <c r="Z275" s="6" t="inlineStr"/>
    </row>
    <row r="276">
      <c r="A276" s="12" t="inlineStr">
        <is>
          <t>Brad Dinerstein</t>
        </is>
      </c>
      <c r="B276" s="12" t="inlineStr">
        <is>
          <t>The Dinerstein Companies</t>
        </is>
      </c>
      <c r="C276" s="12" t="inlineStr">
        <is>
          <t>Managing Partner of Development and Design</t>
        </is>
      </c>
      <c r="D276" s="13" t="inlineStr">
        <is>
          <t>Off deck, screened out</t>
        </is>
      </c>
      <c r="E276" s="14" t="n">
        <v>1</v>
      </c>
      <c r="F276" s="12" t="inlineStr">
        <is>
          <t>Buys walls</t>
        </is>
      </c>
      <c r="G276" s="12" t="inlineStr">
        <is>
          <t>Houston HQ / Fort Bend</t>
        </is>
      </c>
      <c r="H276" s="12" t="inlineStr">
        <is>
          <t>186 BTR homes, Harrison Street JV</t>
        </is>
      </c>
      <c r="I276" s="14" t="inlineStr">
        <is>
          <t>Partly</t>
        </is>
      </c>
      <c r="J276" s="15" t="inlineStr"/>
      <c r="K276" s="14" t="inlineStr">
        <is>
          <t>No</t>
        </is>
      </c>
      <c r="L276" s="15" t="inlineStr"/>
      <c r="M276" s="14" t="inlineStr">
        <is>
          <t>No</t>
        </is>
      </c>
      <c r="N276" s="15" t="inlineStr"/>
      <c r="O276" s="14" t="inlineStr">
        <is>
          <t>Yes</t>
        </is>
      </c>
      <c r="P276" s="10" t="inlineStr"/>
      <c r="Q276" s="12">
        <f>HYPERLINK("https://www.linkedin.com/search/results/people/?keywords=Brad%20Dinerstein%20The%20Dinerstein%20Companies","search")</f>
        <v/>
      </c>
      <c r="R276" s="16">
        <f>IF(P276="","ADD LINKEDIN","ok")</f>
        <v/>
      </c>
      <c r="S276" s="12" t="inlineStr">
        <is>
          <t>https://www.dinersteincos.com/</t>
        </is>
      </c>
      <c r="T276" s="15" t="inlineStr">
        <is>
          <t>186 build-to-rent homes with Harrison Street and 70 years in Houston. Launch coverage is amenities only.</t>
        </is>
      </c>
      <c r="U276" s="12" t="inlineStr"/>
      <c r="V276" s="15" t="inlineStr"/>
      <c r="W276" s="12" t="inlineStr">
        <is>
          <t>https://www.dinersteincos.com/about-us</t>
        </is>
      </c>
      <c r="X276" s="12" t="inlineStr">
        <is>
          <t>https://www.linkedin.com/company/the-dinerstein-companies/</t>
        </is>
      </c>
      <c r="Y276" s="12" t="inlineStr">
        <is>
          <t>https://www.dinersteincos.com/about-us</t>
        </is>
      </c>
      <c r="Z276" s="12" t="inlineStr"/>
    </row>
    <row r="277">
      <c r="A277" s="6" t="inlineStr">
        <is>
          <t>John Caltagirone</t>
        </is>
      </c>
      <c r="B277" s="6" t="inlineStr">
        <is>
          <t>The Dinerstein Companies</t>
        </is>
      </c>
      <c r="C277" s="6" t="inlineStr">
        <is>
          <t>President and Partner</t>
        </is>
      </c>
      <c r="D277" s="7" t="inlineStr">
        <is>
          <t>Off deck, screened out</t>
        </is>
      </c>
      <c r="E277" s="8" t="n">
        <v>1</v>
      </c>
      <c r="F277" s="6" t="inlineStr">
        <is>
          <t>Buys walls</t>
        </is>
      </c>
      <c r="G277" s="6" t="inlineStr">
        <is>
          <t>Houston HQ / Fort Bend</t>
        </is>
      </c>
      <c r="H277" s="6" t="inlineStr">
        <is>
          <t>186 BTR homes, Harrison Street JV</t>
        </is>
      </c>
      <c r="I277" s="8" t="inlineStr">
        <is>
          <t>Partly</t>
        </is>
      </c>
      <c r="J277" s="9" t="inlineStr"/>
      <c r="K277" s="8" t="inlineStr">
        <is>
          <t>No</t>
        </is>
      </c>
      <c r="L277" s="9" t="inlineStr"/>
      <c r="M277" s="8" t="inlineStr">
        <is>
          <t>No</t>
        </is>
      </c>
      <c r="N277" s="9" t="inlineStr"/>
      <c r="O277" s="8" t="inlineStr">
        <is>
          <t>Yes</t>
        </is>
      </c>
      <c r="P277" s="10" t="inlineStr"/>
      <c r="Q277" s="6">
        <f>HYPERLINK("https://www.linkedin.com/search/results/people/?keywords=John%20Caltagirone%20The%20Dinerstein%20Companies","search")</f>
        <v/>
      </c>
      <c r="R277" s="11">
        <f>IF(P277="","ADD LINKEDIN","ok")</f>
        <v/>
      </c>
      <c r="S277" s="6" t="inlineStr">
        <is>
          <t>https://www.dinersteincos.com/</t>
        </is>
      </c>
      <c r="T277" s="9" t="inlineStr">
        <is>
          <t>186 build-to-rent homes with Harrison Street and 70 years in Houston. Launch coverage is amenities only.</t>
        </is>
      </c>
      <c r="U277" s="6" t="inlineStr"/>
      <c r="V277" s="9" t="inlineStr"/>
      <c r="W277" s="6" t="inlineStr">
        <is>
          <t>https://www.dinersteincos.com/about-us</t>
        </is>
      </c>
      <c r="X277" s="6" t="inlineStr">
        <is>
          <t>https://www.linkedin.com/company/the-dinerstein-companies/</t>
        </is>
      </c>
      <c r="Y277" s="6" t="inlineStr">
        <is>
          <t>https://www.dinersteincos.com/about-us</t>
        </is>
      </c>
      <c r="Z277" s="6" t="inlineStr"/>
    </row>
    <row r="278">
      <c r="A278" s="12" t="inlineStr">
        <is>
          <t>Jason Baker</t>
        </is>
      </c>
      <c r="B278" s="12" t="inlineStr">
        <is>
          <t>Baker Katz</t>
        </is>
      </c>
      <c r="C278" s="12" t="inlineStr">
        <is>
          <t>Leads the tenant representation team, Baker Katz</t>
        </is>
      </c>
      <c r="D278" s="13" t="inlineStr">
        <is>
          <t>Off deck, screened out</t>
        </is>
      </c>
      <c r="E278" s="14" t="n">
        <v>1</v>
      </c>
      <c r="F278" s="12" t="inlineStr">
        <is>
          <t>Buys walls</t>
        </is>
      </c>
      <c r="G278" s="12" t="inlineStr">
        <is>
          <t>Houston / Harris, Galveston</t>
        </is>
      </c>
      <c r="H278" s="12" t="inlineStr"/>
      <c r="I278" s="14" t="inlineStr">
        <is>
          <t>Partly</t>
        </is>
      </c>
      <c r="J278" s="15" t="inlineStr"/>
      <c r="K278" s="14" t="inlineStr">
        <is>
          <t>No</t>
        </is>
      </c>
      <c r="L278" s="15" t="inlineStr"/>
      <c r="M278" s="14" t="inlineStr">
        <is>
          <t>No</t>
        </is>
      </c>
      <c r="N278" s="15" t="inlineStr"/>
      <c r="O278" s="14" t="inlineStr">
        <is>
          <t>Partly</t>
        </is>
      </c>
      <c r="P278" s="10" t="inlineStr"/>
      <c r="Q278" s="12">
        <f>HYPERLINK("https://www.linkedin.com/search/results/people/?keywords=Jason%20Baker%20Baker%20Katz","search")</f>
        <v/>
      </c>
      <c r="R278" s="16">
        <f>IF(P278="","ADD LINKEDIN","ok")</f>
        <v/>
      </c>
      <c r="S278" s="12" t="inlineStr">
        <is>
          <t>https://bakerkatz.com/</t>
        </is>
      </c>
      <c r="T278" s="15" t="inlineStr">
        <is>
          <t>More than 80 retail projects, but recent Houston activity is buying existing centres rather than building.</t>
        </is>
      </c>
      <c r="U278" s="12" t="inlineStr"/>
      <c r="V278" s="15" t="inlineStr">
        <is>
          <t>Leads the tenant representation team, with more than twenty-five years in Houston retail. The page carries bios without formal titles.</t>
        </is>
      </c>
      <c r="W278" s="12" t="inlineStr">
        <is>
          <t>https://bakerkatz.com/about-us/</t>
        </is>
      </c>
      <c r="X278" s="12" t="inlineStr">
        <is>
          <t>https://www.linkedin.com/company/baker-katz</t>
        </is>
      </c>
      <c r="Y278" s="12" t="inlineStr">
        <is>
          <t>https://bakerkatz.com/about-us/</t>
        </is>
      </c>
      <c r="Z278" s="12" t="inlineStr"/>
    </row>
    <row r="279">
      <c r="A279" s="6" t="inlineStr">
        <is>
          <t>Kenneth Katz</t>
        </is>
      </c>
      <c r="B279" s="6" t="inlineStr">
        <is>
          <t>Baker Katz</t>
        </is>
      </c>
      <c r="C279" s="6" t="inlineStr">
        <is>
          <t>Leads the investment and development practice, Baker Katz</t>
        </is>
      </c>
      <c r="D279" s="7" t="inlineStr">
        <is>
          <t>Off deck, screened out</t>
        </is>
      </c>
      <c r="E279" s="8" t="n">
        <v>1</v>
      </c>
      <c r="F279" s="6" t="inlineStr">
        <is>
          <t>Buys walls</t>
        </is>
      </c>
      <c r="G279" s="6" t="inlineStr">
        <is>
          <t>Houston / Harris, Galveston</t>
        </is>
      </c>
      <c r="H279" s="6" t="inlineStr"/>
      <c r="I279" s="8" t="inlineStr">
        <is>
          <t>Partly</t>
        </is>
      </c>
      <c r="J279" s="9" t="inlineStr"/>
      <c r="K279" s="8" t="inlineStr">
        <is>
          <t>No</t>
        </is>
      </c>
      <c r="L279" s="9" t="inlineStr"/>
      <c r="M279" s="8" t="inlineStr">
        <is>
          <t>No</t>
        </is>
      </c>
      <c r="N279" s="9" t="inlineStr"/>
      <c r="O279" s="8" t="inlineStr">
        <is>
          <t>Partly</t>
        </is>
      </c>
      <c r="P279" s="10" t="inlineStr"/>
      <c r="Q279" s="6">
        <f>HYPERLINK("https://www.linkedin.com/search/results/people/?keywords=Kenneth%20Katz%20Baker%20Katz","search")</f>
        <v/>
      </c>
      <c r="R279" s="11">
        <f>IF(P279="","ADD LINKEDIN","ok")</f>
        <v/>
      </c>
      <c r="S279" s="6" t="inlineStr">
        <is>
          <t>https://bakerkatz.com/</t>
        </is>
      </c>
      <c r="T279" s="9" t="inlineStr">
        <is>
          <t>More than 80 retail projects, but recent Houston activity is buying existing centres rather than building.</t>
        </is>
      </c>
      <c r="U279" s="6" t="inlineStr"/>
      <c r="V279" s="9" t="inlineStr">
        <is>
          <t>Leads the real estate investment and development practice, covering ground-up development and redevelopment.</t>
        </is>
      </c>
      <c r="W279" s="6" t="inlineStr">
        <is>
          <t>https://bakerkatz.com/about-us/</t>
        </is>
      </c>
      <c r="X279" s="6" t="inlineStr">
        <is>
          <t>https://www.linkedin.com/company/baker-katz</t>
        </is>
      </c>
      <c r="Y279" s="6" t="inlineStr">
        <is>
          <t>https://bakerkatz.com/about-us/</t>
        </is>
      </c>
      <c r="Z279" s="6" t="inlineStr"/>
    </row>
    <row r="280">
      <c r="A280" s="12" t="inlineStr">
        <is>
          <t>Martin Mendoza</t>
        </is>
      </c>
      <c r="B280" s="12" t="inlineStr">
        <is>
          <t>Baker Katz</t>
        </is>
      </c>
      <c r="C280" s="12" t="inlineStr">
        <is>
          <t>Oversees design and construction, Baker Katz</t>
        </is>
      </c>
      <c r="D280" s="13" t="inlineStr">
        <is>
          <t>Off deck, screened out</t>
        </is>
      </c>
      <c r="E280" s="14" t="n">
        <v>1</v>
      </c>
      <c r="F280" s="12" t="inlineStr">
        <is>
          <t>Buys walls</t>
        </is>
      </c>
      <c r="G280" s="12" t="inlineStr">
        <is>
          <t>Houston / Harris, Galveston</t>
        </is>
      </c>
      <c r="H280" s="12" t="inlineStr"/>
      <c r="I280" s="14" t="inlineStr">
        <is>
          <t>Partly</t>
        </is>
      </c>
      <c r="J280" s="15" t="inlineStr"/>
      <c r="K280" s="14" t="inlineStr">
        <is>
          <t>No</t>
        </is>
      </c>
      <c r="L280" s="15" t="inlineStr"/>
      <c r="M280" s="14" t="inlineStr">
        <is>
          <t>No</t>
        </is>
      </c>
      <c r="N280" s="15" t="inlineStr"/>
      <c r="O280" s="14" t="inlineStr">
        <is>
          <t>Partly</t>
        </is>
      </c>
      <c r="P280" s="10" t="inlineStr"/>
      <c r="Q280" s="12">
        <f>HYPERLINK("https://www.linkedin.com/search/results/people/?keywords=Martin%20Mendoza%20Baker%20Katz","search")</f>
        <v/>
      </c>
      <c r="R280" s="16">
        <f>IF(P280="","ADD LINKEDIN","ok")</f>
        <v/>
      </c>
      <c r="S280" s="12" t="inlineStr">
        <is>
          <t>https://bakerkatz.com/</t>
        </is>
      </c>
      <c r="T280" s="15" t="inlineStr">
        <is>
          <t>More than 80 retail projects, but recent Houston activity is buying existing centres rather than building.</t>
        </is>
      </c>
      <c r="U280" s="12" t="inlineStr">
        <is>
          <t>YES</t>
        </is>
      </c>
      <c r="V280" s="15" t="inlineStr">
        <is>
          <t>Joined in August 2024 responsible for overseeing design and construction phases. The page gives no title, so the function rather than the rank is what places him here.</t>
        </is>
      </c>
      <c r="W280" s="12" t="inlineStr">
        <is>
          <t>https://bakerkatz.com/about-us/</t>
        </is>
      </c>
      <c r="X280" s="12" t="inlineStr">
        <is>
          <t>https://www.linkedin.com/company/baker-katz</t>
        </is>
      </c>
      <c r="Y280" s="12" t="inlineStr">
        <is>
          <t>https://bakerkatz.com/about-us/</t>
        </is>
      </c>
      <c r="Z280" s="12" t="inlineStr"/>
    </row>
    <row r="281">
      <c r="A281" s="6" t="inlineStr">
        <is>
          <t>Bob Sellingsloh</t>
        </is>
      </c>
      <c r="B281" s="6" t="inlineStr">
        <is>
          <t>Wulfe &amp; Co.</t>
        </is>
      </c>
      <c r="C281" s="6" t="inlineStr">
        <is>
          <t>President and Principal, Wulfe &amp; Co.</t>
        </is>
      </c>
      <c r="D281" s="7" t="inlineStr">
        <is>
          <t>Off deck, screened out</t>
        </is>
      </c>
      <c r="E281" s="8" t="n">
        <v>1</v>
      </c>
      <c r="F281" s="6" t="inlineStr">
        <is>
          <t>Buys walls</t>
        </is>
      </c>
      <c r="G281" s="6" t="inlineStr">
        <is>
          <t>Post Oak / Harris, Galveston</t>
        </is>
      </c>
      <c r="H281" s="6" t="inlineStr"/>
      <c r="I281" s="8" t="inlineStr">
        <is>
          <t>Partly</t>
        </is>
      </c>
      <c r="J281" s="9" t="inlineStr"/>
      <c r="K281" s="8" t="inlineStr">
        <is>
          <t>No</t>
        </is>
      </c>
      <c r="L281" s="9" t="inlineStr"/>
      <c r="M281" s="8" t="inlineStr">
        <is>
          <t>No</t>
        </is>
      </c>
      <c r="N281" s="9" t="inlineStr"/>
      <c r="O281" s="8" t="inlineStr">
        <is>
          <t>No</t>
        </is>
      </c>
      <c r="P281" s="10" t="inlineStr"/>
      <c r="Q281" s="6">
        <f>HYPERLINK("https://www.linkedin.com/search/results/people/?keywords=Bob%20Sellingsloh%20Wulfe%20%26%20Co.","search")</f>
        <v/>
      </c>
      <c r="R281" s="11">
        <f>IF(P281="","ADD LINKEDIN","ok")</f>
        <v/>
      </c>
      <c r="S281" s="6" t="inlineStr">
        <is>
          <t>https://www.wulfe.com/</t>
        </is>
      </c>
      <c r="T281" s="9" t="inlineStr">
        <is>
          <t>7.2M sf across nine centres. Current activity is leasing and management, not ground-up.</t>
        </is>
      </c>
      <c r="U281" s="6" t="inlineStr"/>
      <c r="V281" s="9" t="inlineStr">
        <is>
          <t>President and Principal, listed first under leadership. Ed Wulfe no longer appears on the leadership page.</t>
        </is>
      </c>
      <c r="W281" s="6" t="inlineStr">
        <is>
          <t>https://www.wulfe.com/people</t>
        </is>
      </c>
      <c r="X281" s="6" t="inlineStr">
        <is>
          <t>https://www.linkedin.com/company/wulfe</t>
        </is>
      </c>
      <c r="Y281" s="6" t="inlineStr">
        <is>
          <t>https://www.wulfe.com/people</t>
        </is>
      </c>
      <c r="Z281" s="6" t="inlineStr"/>
    </row>
    <row r="282">
      <c r="A282" s="12" t="inlineStr">
        <is>
          <t>Tammy Smith</t>
        </is>
      </c>
      <c r="B282" s="12" t="inlineStr">
        <is>
          <t>Wulfe &amp; Co.</t>
        </is>
      </c>
      <c r="C282" s="12" t="inlineStr">
        <is>
          <t>Director of Construction, Wulfe &amp; Co.</t>
        </is>
      </c>
      <c r="D282" s="13" t="inlineStr">
        <is>
          <t>Off deck, screened out</t>
        </is>
      </c>
      <c r="E282" s="14" t="n">
        <v>1</v>
      </c>
      <c r="F282" s="12" t="inlineStr">
        <is>
          <t>Buys walls</t>
        </is>
      </c>
      <c r="G282" s="12" t="inlineStr">
        <is>
          <t>Post Oak / Harris, Galveston</t>
        </is>
      </c>
      <c r="H282" s="12" t="inlineStr"/>
      <c r="I282" s="14" t="inlineStr">
        <is>
          <t>Partly</t>
        </is>
      </c>
      <c r="J282" s="15" t="inlineStr"/>
      <c r="K282" s="14" t="inlineStr">
        <is>
          <t>No</t>
        </is>
      </c>
      <c r="L282" s="15" t="inlineStr"/>
      <c r="M282" s="14" t="inlineStr">
        <is>
          <t>No</t>
        </is>
      </c>
      <c r="N282" s="15" t="inlineStr"/>
      <c r="O282" s="14" t="inlineStr">
        <is>
          <t>No</t>
        </is>
      </c>
      <c r="P282" s="10" t="inlineStr"/>
      <c r="Q282" s="12">
        <f>HYPERLINK("https://www.linkedin.com/search/results/people/?keywords=Tammy%20Smith%20Wulfe%20%26%20Co.","search")</f>
        <v/>
      </c>
      <c r="R282" s="16">
        <f>IF(P282="","ADD LINKEDIN","ok")</f>
        <v/>
      </c>
      <c r="S282" s="12" t="inlineStr">
        <is>
          <t>https://www.wulfe.com/</t>
        </is>
      </c>
      <c r="T282" s="15" t="inlineStr">
        <is>
          <t>7.2M sf across nine centres. Current activity is leasing and management, not ground-up.</t>
        </is>
      </c>
      <c r="U282" s="12" t="inlineStr">
        <is>
          <t>YES</t>
        </is>
      </c>
      <c r="V282" s="15" t="inlineStr"/>
      <c r="W282" s="12" t="inlineStr">
        <is>
          <t>https://www.wulfe.com/people</t>
        </is>
      </c>
      <c r="X282" s="12" t="inlineStr">
        <is>
          <t>https://www.linkedin.com/company/wulfe</t>
        </is>
      </c>
      <c r="Y282" s="12" t="inlineStr">
        <is>
          <t>https://www.wulfe.com/people</t>
        </is>
      </c>
      <c r="Z282" s="12" t="inlineStr"/>
    </row>
    <row r="283">
      <c r="A283" s="6" t="inlineStr">
        <is>
          <t>Vinod Ramani</t>
        </is>
      </c>
      <c r="B283" s="6" t="inlineStr">
        <is>
          <t>Urban Living</t>
        </is>
      </c>
      <c r="C283" s="6" t="inlineStr">
        <is>
          <t>Owner</t>
        </is>
      </c>
      <c r="D283" s="7" t="inlineStr">
        <is>
          <t>Off deck, screened out</t>
        </is>
      </c>
      <c r="E283" s="8" t="n">
        <v>0</v>
      </c>
      <c r="F283" s="6" t="inlineStr">
        <is>
          <t>Buys walls</t>
        </is>
      </c>
      <c r="G283" s="6" t="inlineStr">
        <is>
          <t>Inner-loop Houston, Harris County</t>
        </is>
      </c>
      <c r="H283" s="6" t="inlineStr">
        <is>
          <t>Its own domain no longer resolves to a site</t>
        </is>
      </c>
      <c r="I283" s="8" t="inlineStr">
        <is>
          <t>No</t>
        </is>
      </c>
      <c r="J283" s="9" t="inlineStr">
        <is>
          <t>Nothing is published. The firm's own site is a parked domain.</t>
        </is>
      </c>
      <c r="K283" s="8" t="inlineStr">
        <is>
          <t>No</t>
        </is>
      </c>
      <c r="L283" s="9" t="inlineStr">
        <is>
          <t>No community, unit count or volume figure survives on any page the deck can cite.</t>
        </is>
      </c>
      <c r="M283" s="8" t="inlineStr">
        <is>
          <t>No</t>
        </is>
      </c>
      <c r="N283" s="9" t="inlineStr">
        <is>
          <t>Nothing on record.</t>
        </is>
      </c>
      <c r="O283" s="8" t="inlineStr">
        <is>
          <t>No</t>
        </is>
      </c>
      <c r="P283" s="6" t="inlineStr">
        <is>
          <t>https://www.linkedin.com/in/vinod-ramani-4a46788/</t>
        </is>
      </c>
      <c r="Q283" s="6" t="inlineStr"/>
      <c r="R283" s="11">
        <f>IF(P283="","ADD LINKEDIN","ok")</f>
        <v/>
      </c>
      <c r="S283" s="6" t="inlineStr"/>
      <c r="T283" s="9" t="inlineStr">
        <is>
          <t>Attached townhome production, the product type a printed party wall serves. The owner is held on a LinkedIn headline alone; the firm's own site publishes nobody.</t>
        </is>
      </c>
      <c r="U283" s="6" t="inlineStr"/>
      <c r="V283" s="9" t="inlineStr">
        <is>
          <t>Indexed title reads Vinod Ramani, Urban Living.</t>
        </is>
      </c>
      <c r="W283" s="6" t="inlineStr"/>
      <c r="X283" s="6" t="inlineStr"/>
      <c r="Y283" s="6" t="inlineStr"/>
      <c r="Z283" s="6" t="inlineStr"/>
    </row>
    <row r="285">
      <c r="A285"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53, 2026-09-11.</t>
        </is>
      </c>
    </row>
  </sheetData>
  <autoFilter ref="A6:Z28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2026-09-12T22:52:43Z</dcterms:created>
  <dcterms:modified xmlns:dcterms="http://purl.org/dc/terms/" xmlns:xsi="http://www.w3.org/2001/XMLSchema-instance" xsi:type="dcterms:W3CDTF">2026-09-12T22:52:44Z</dcterms:modified>
</cp:coreProperties>
</file>