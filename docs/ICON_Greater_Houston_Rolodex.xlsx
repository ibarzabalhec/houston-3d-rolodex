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'Contacts'!$A$6:$Z$265</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49 · 2026-09-11 · public render. Do not hand-edit the HTML deck; it regenerates from the same file.</t>
        </is>
      </c>
    </row>
    <row r="3">
      <c r="A3" s="2" t="inlineStr">
        <is>
          <t>Contacts</t>
        </is>
      </c>
      <c r="B3" s="3">
        <f>COUNTA($A$7:$A$265)</f>
        <v/>
      </c>
      <c r="C3" s="2" t="inlineStr">
        <is>
          <t>LinkedIn held</t>
        </is>
      </c>
      <c r="D3" s="3">
        <f>COUNTIF($R$7:$R$265,"ok")</f>
        <v/>
      </c>
      <c r="E3" s="2" t="inlineStr">
        <is>
          <t>Still to add</t>
        </is>
      </c>
      <c r="F3" s="3">
        <f>COUNTIF($R$7:$R$265,"ADD LINKEDIN")</f>
        <v/>
      </c>
      <c r="G3" s="2" t="inlineStr">
        <is>
          <t>Strong targets</t>
        </is>
      </c>
      <c r="H3" s="3">
        <f>SUMPRODUCT((COUNTIF(OFFSET($B$7,ROW($B$7:$B$265)-ROW($B$7),0,1,1),$B$7:$B$265)&gt;0)*($D$7:$D$265="Strong target")/COUNTIF($B$7:$B$265,$B$7:$B$265&amp;""))</f>
        <v/>
      </c>
      <c r="I3" s="2" t="inlineStr">
        <is>
          <t>Wall deciders</t>
        </is>
      </c>
      <c r="J3" s="3">
        <f>COUNTIF($V$7:$V$265,"YES")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building in Sunterra.</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building in Sunterra.</t>
        </is>
      </c>
      <c r="U93" s="6" t="inlineStr"/>
      <c r="V93" s="9" t="inlineStr">
        <is>
          <t>Indexed title reads Matthew Zaist, President and CEO at Risewell Homes. Confirmed on the firm's team page.</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t>
        </is>
      </c>
      <c r="U102" s="12" t="inlineStr"/>
      <c r="V102" s="15" t="inlineStr"/>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t>
        </is>
      </c>
      <c r="U104" s="12" t="inlineStr"/>
      <c r="V104" s="15" t="inlineStr"/>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and Midway kept sole development control after selling out of the Parkway joint venture in December 2024.</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and Midway kept sole development control after selling out of the Parkway joint venture in December 2024.</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and Midway kept sole development control after selling out of the Parkway joint venture in December 2024.</t>
        </is>
      </c>
      <c r="U180" s="12" t="inlineStr"/>
      <c r="V180" s="15" t="inlineStr"/>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and Midway kept sole development control after selling out of the Parkway joint venture in December 2024.</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and Midway kept sole development control after selling out of the Parkway joint venture in December 2024.</t>
        </is>
      </c>
      <c r="U182" s="12" t="inlineStr"/>
      <c r="V182" s="15" t="inlineStr"/>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t>
        </is>
      </c>
      <c r="U202" s="12" t="inlineStr"/>
      <c r="V202" s="15" t="inlineStr"/>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t>
        </is>
      </c>
      <c r="U204" s="12" t="inlineStr"/>
      <c r="V204" s="15" t="inlineStr"/>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David O'Reilly</t>
        </is>
      </c>
      <c r="B218" s="12" t="inlineStr">
        <is>
          <t>Howard Hughes Holdings Inc.</t>
        </is>
      </c>
      <c r="C218" s="12" t="inlineStr">
        <is>
          <t>Chief Executive Officer</t>
        </is>
      </c>
      <c r="D218" s="13" t="inlineStr">
        <is>
          <t>Masterplan owner</t>
        </is>
      </c>
      <c r="E218" s="14" t="n">
        <v>2</v>
      </c>
      <c r="F218" s="12" t="inlineStr">
        <is>
          <t>Sells lots</t>
        </is>
      </c>
      <c r="G218" s="12" t="inlineStr">
        <is>
          <t>The Woodlands HQ / Harris, Montgomery</t>
        </is>
      </c>
      <c r="H218" s="12" t="inlineStr">
        <is>
          <t>1,802 residential acres left to sell</t>
        </is>
      </c>
      <c r="I218" s="14" t="inlineStr">
        <is>
          <t>Yes</t>
        </is>
      </c>
      <c r="J218" s="15" t="inlineStr">
        <is>
          <t>Three communities on one metro's edge, 1,802 residential acres still to sell.</t>
        </is>
      </c>
      <c r="K218" s="14" t="inlineStr">
        <is>
          <t>No</t>
        </is>
      </c>
      <c r="L218" s="15" t="inlineStr">
        <is>
          <t>It sells finished lots. The builder who buys them buys the wall.</t>
        </is>
      </c>
      <c r="M218" s="14" t="inlineStr">
        <is>
          <t>Yes</t>
        </is>
      </c>
      <c r="N218" s="15" t="inlineStr">
        <is>
          <t>Financed and opened Greater Houston's first mass timber office building, with low-carbon concrete in the same structure.</t>
        </is>
      </c>
      <c r="O218" s="14" t="inlineStr">
        <is>
          <t>Yes</t>
        </is>
      </c>
      <c r="P218" s="10" t="inlineStr"/>
      <c r="Q218" s="12">
        <f>HYPERLINK("https://www.linkedin.com/search/results/people/?keywords=David%20O%27Reilly%20Howard%20Hughes%20Holdings%20Inc.","search")</f>
        <v/>
      </c>
      <c r="R218" s="16">
        <f>IF(P218="","ADD LINKEDIN","ok")</f>
        <v/>
      </c>
      <c r="S218" s="12" t="inlineStr">
        <is>
          <t>https://www.howardhughes.com/</t>
        </is>
      </c>
      <c r="T218" s="15" t="inlineStr">
        <is>
          <t>1,802 residential acres left to sell across three communities, and it paid to put up Greater Houston's first mass timber office. It sells lots, so the builder buys the wall.</t>
        </is>
      </c>
      <c r="U218" s="12" t="inlineStr"/>
      <c r="V218" s="15" t="inlineStr">
        <is>
          <t>Chief Executive Officer on Howard Hughes's own leadership page.</t>
        </is>
      </c>
      <c r="W218" s="12" t="inlineStr">
        <is>
          <t>https://investor.howardhughes.com/governance/leadership</t>
        </is>
      </c>
      <c r="X218" s="12" t="inlineStr">
        <is>
          <t>https://www.linkedin.com/company/the-howard-hughes-corporation</t>
        </is>
      </c>
      <c r="Y218" s="12" t="inlineStr">
        <is>
          <t>https://investor.howardhughes.com/governance/leadership</t>
        </is>
      </c>
      <c r="Z218" s="12" t="inlineStr"/>
    </row>
    <row r="219">
      <c r="A219" s="6" t="inlineStr">
        <is>
          <t>Bill Ackman</t>
        </is>
      </c>
      <c r="B219" s="6" t="inlineStr">
        <is>
          <t>Howard Hughes Holdings Inc.</t>
        </is>
      </c>
      <c r="C219" s="6" t="inlineStr">
        <is>
          <t>Executive Chairman of the Board</t>
        </is>
      </c>
      <c r="D219" s="7" t="inlineStr">
        <is>
          <t>Masterplan owner</t>
        </is>
      </c>
      <c r="E219" s="8" t="n">
        <v>2</v>
      </c>
      <c r="F219" s="6" t="inlineStr">
        <is>
          <t>Sells lots</t>
        </is>
      </c>
      <c r="G219" s="6" t="inlineStr">
        <is>
          <t>The Woodlands HQ / Harris, Montgomery</t>
        </is>
      </c>
      <c r="H219" s="6" t="inlineStr">
        <is>
          <t>1,802 residential acres left to sell</t>
        </is>
      </c>
      <c r="I219" s="8" t="inlineStr">
        <is>
          <t>Yes</t>
        </is>
      </c>
      <c r="J219" s="9" t="inlineStr">
        <is>
          <t>Three communities on one metro's edge, 1,802 residential acres still to sell.</t>
        </is>
      </c>
      <c r="K219" s="8" t="inlineStr">
        <is>
          <t>No</t>
        </is>
      </c>
      <c r="L219" s="9" t="inlineStr">
        <is>
          <t>It sells finished lots. The builder who buys them buys the wall.</t>
        </is>
      </c>
      <c r="M219" s="8" t="inlineStr">
        <is>
          <t>Yes</t>
        </is>
      </c>
      <c r="N219" s="9" t="inlineStr">
        <is>
          <t>Financed and opened Greater Houston's first mass timber office building, with low-carbon concrete in the same structure.</t>
        </is>
      </c>
      <c r="O219" s="8" t="inlineStr">
        <is>
          <t>Yes</t>
        </is>
      </c>
      <c r="P219" s="10" t="inlineStr"/>
      <c r="Q219" s="6">
        <f>HYPERLINK("https://www.linkedin.com/search/results/people/?keywords=Bill%20Ackman%20Howard%20Hughes%20Holdings%20Inc.","search")</f>
        <v/>
      </c>
      <c r="R219" s="11">
        <f>IF(P219="","ADD LINKEDIN","ok")</f>
        <v/>
      </c>
      <c r="S219" s="6" t="inlineStr">
        <is>
          <t>https://www.howardhughes.com/</t>
        </is>
      </c>
      <c r="T219" s="9" t="inlineStr">
        <is>
          <t>1,802 residential acres left to sell across three communities, and it paid to put up Greater Houston's first mass timber office. It sells lots, so the builder buys the wall.</t>
        </is>
      </c>
      <c r="U219" s="6" t="inlineStr"/>
      <c r="V219" s="9" t="inlineStr">
        <is>
          <t>Executive Chairman on Howard Hughes's own leadership page.</t>
        </is>
      </c>
      <c r="W219" s="6" t="inlineStr">
        <is>
          <t>https://investor.howardhughes.com/governance/leadership</t>
        </is>
      </c>
      <c r="X219" s="6" t="inlineStr">
        <is>
          <t>https://www.linkedin.com/company/the-howard-hughes-corporation</t>
        </is>
      </c>
      <c r="Y219" s="6" t="inlineStr">
        <is>
          <t>https://investor.howardhughes.com/governance/leadership</t>
        </is>
      </c>
      <c r="Z219" s="6" t="inlineStr"/>
    </row>
    <row r="220">
      <c r="A220" s="12" t="inlineStr">
        <is>
          <t>Ryan Israel</t>
        </is>
      </c>
      <c r="B220" s="12" t="inlineStr">
        <is>
          <t>Howard Hughes Holdings Inc.</t>
        </is>
      </c>
      <c r="C220" s="12" t="inlineStr">
        <is>
          <t>Chief Investment Officer</t>
        </is>
      </c>
      <c r="D220" s="13" t="inlineStr">
        <is>
          <t>Masterplan owner</t>
        </is>
      </c>
      <c r="E220" s="14" t="n">
        <v>2</v>
      </c>
      <c r="F220" s="12" t="inlineStr">
        <is>
          <t>Sells lots</t>
        </is>
      </c>
      <c r="G220" s="12" t="inlineStr">
        <is>
          <t>The Woodlands HQ / Harris, Montgomery</t>
        </is>
      </c>
      <c r="H220" s="12" t="inlineStr">
        <is>
          <t>1,802 residential acres left to sell</t>
        </is>
      </c>
      <c r="I220" s="14" t="inlineStr">
        <is>
          <t>Yes</t>
        </is>
      </c>
      <c r="J220" s="15" t="inlineStr">
        <is>
          <t>Three communities on one metro's edge, 1,802 residential acres still to sell.</t>
        </is>
      </c>
      <c r="K220" s="14" t="inlineStr">
        <is>
          <t>No</t>
        </is>
      </c>
      <c r="L220" s="15" t="inlineStr">
        <is>
          <t>It sells finished lots. The builder who buys them buys the wall.</t>
        </is>
      </c>
      <c r="M220" s="14" t="inlineStr">
        <is>
          <t>Yes</t>
        </is>
      </c>
      <c r="N220" s="15" t="inlineStr">
        <is>
          <t>Financed and opened Greater Houston's first mass timber office building, with low-carbon concrete in the same structure.</t>
        </is>
      </c>
      <c r="O220" s="14" t="inlineStr">
        <is>
          <t>Yes</t>
        </is>
      </c>
      <c r="P220" s="10" t="inlineStr"/>
      <c r="Q220" s="12">
        <f>HYPERLINK("https://www.linkedin.com/search/results/people/?keywords=Ryan%20Israel%20Howard%20Hughes%20Holdings%20Inc.","search")</f>
        <v/>
      </c>
      <c r="R220" s="16">
        <f>IF(P220="","ADD LINKEDIN","ok")</f>
        <v/>
      </c>
      <c r="S220" s="12" t="inlineStr">
        <is>
          <t>https://www.howardhughes.com/</t>
        </is>
      </c>
      <c r="T220" s="15" t="inlineStr">
        <is>
          <t>1,802 residential acres left to sell across three communities, and it paid to put up Greater Houston's first mass timber office. It sells lots, so the builder buys the wall.</t>
        </is>
      </c>
      <c r="U220" s="12" t="inlineStr"/>
      <c r="V220" s="15" t="inlineStr">
        <is>
          <t>Chief Investment Officer on Howard Hughes's own leadership page.</t>
        </is>
      </c>
      <c r="W220" s="12" t="inlineStr">
        <is>
          <t>https://investor.howardhughes.com/governance/leadership</t>
        </is>
      </c>
      <c r="X220" s="12" t="inlineStr">
        <is>
          <t>https://www.linkedin.com/company/the-howard-hughes-corporation</t>
        </is>
      </c>
      <c r="Y220" s="12" t="inlineStr">
        <is>
          <t>https://investor.howardhughes.com/governance/leadership</t>
        </is>
      </c>
      <c r="Z220" s="12" t="inlineStr"/>
    </row>
    <row r="221">
      <c r="A221" s="6" t="inlineStr">
        <is>
          <t>Jim Carman</t>
        </is>
      </c>
      <c r="B221" s="6" t="inlineStr">
        <is>
          <t>Howard Hughes Holdings Inc.</t>
        </is>
      </c>
      <c r="C221" s="6" t="inlineStr">
        <is>
          <t>President, Texas Region</t>
        </is>
      </c>
      <c r="D221" s="7" t="inlineStr">
        <is>
          <t>Masterplan owner</t>
        </is>
      </c>
      <c r="E221" s="8" t="n">
        <v>2</v>
      </c>
      <c r="F221" s="6" t="inlineStr">
        <is>
          <t>Sells lots</t>
        </is>
      </c>
      <c r="G221" s="6" t="inlineStr">
        <is>
          <t>The Woodlands HQ / Harris, Montgomery</t>
        </is>
      </c>
      <c r="H221" s="6" t="inlineStr">
        <is>
          <t>1,802 residential acres left to sell</t>
        </is>
      </c>
      <c r="I221" s="8" t="inlineStr">
        <is>
          <t>Yes</t>
        </is>
      </c>
      <c r="J221" s="9" t="inlineStr">
        <is>
          <t>Three communities on one metro's edge, 1,802 residential acres still to sell.</t>
        </is>
      </c>
      <c r="K221" s="8" t="inlineStr">
        <is>
          <t>No</t>
        </is>
      </c>
      <c r="L221" s="9" t="inlineStr">
        <is>
          <t>It sells finished lots. The builder who buys them buys the wall.</t>
        </is>
      </c>
      <c r="M221" s="8" t="inlineStr">
        <is>
          <t>Yes</t>
        </is>
      </c>
      <c r="N221" s="9" t="inlineStr">
        <is>
          <t>Financed and opened Greater Houston's first mass timber office building, with low-carbon concrete in the same structure.</t>
        </is>
      </c>
      <c r="O221" s="8" t="inlineStr">
        <is>
          <t>Yes</t>
        </is>
      </c>
      <c r="P221" s="6" t="inlineStr">
        <is>
          <t>https://www.linkedin.com/in/carmanjim/</t>
        </is>
      </c>
      <c r="Q221" s="6" t="inlineStr"/>
      <c r="R221" s="11">
        <f>IF(P221="","ADD LINKEDIN","ok")</f>
        <v/>
      </c>
      <c r="S221" s="6" t="inlineStr">
        <is>
          <t>https://www.howardhughes.com/</t>
        </is>
      </c>
      <c r="T221" s="9" t="inlineStr">
        <is>
          <t>1,802 residential acres left to sell across three communities, and it paid to put up Greater Houston's first mass timber office. It sells lots, so the builder buys the wall.</t>
        </is>
      </c>
      <c r="U221" s="6" t="inlineStr"/>
      <c r="V221" s="9" t="inlineStr">
        <is>
          <t>Profile opened. President, Texas Region at Howard Hughes Communities. Greater Houston. His own feed carries Bridgeland's number nine national ranking at 500 home sales by mid-2026 and the 83-acre Toro District with the Houston Texans headquarters.</t>
        </is>
      </c>
      <c r="W221" s="6" t="inlineStr"/>
      <c r="X221" s="6" t="inlineStr">
        <is>
          <t>https://www.linkedin.com/company/the-howard-hughes-corporation</t>
        </is>
      </c>
      <c r="Y221" s="6" t="inlineStr">
        <is>
          <t>https://investor.howardhughes.com/governance/leadership</t>
        </is>
      </c>
      <c r="Z221" s="6" t="inlineStr"/>
    </row>
    <row r="222">
      <c r="A222" s="12" t="inlineStr">
        <is>
          <t>Stephen Sams</t>
        </is>
      </c>
      <c r="B222" s="12" t="inlineStr">
        <is>
          <t>Howard Hughes Holdings Inc.</t>
        </is>
      </c>
      <c r="C222" s="12" t="inlineStr">
        <is>
          <t>Senior Vice President, Master Planned Communities, Residential Development, Houston Region</t>
        </is>
      </c>
      <c r="D222" s="13" t="inlineStr">
        <is>
          <t>Masterplan owner</t>
        </is>
      </c>
      <c r="E222" s="14" t="n">
        <v>2</v>
      </c>
      <c r="F222" s="12" t="inlineStr">
        <is>
          <t>Sells lots</t>
        </is>
      </c>
      <c r="G222" s="12" t="inlineStr">
        <is>
          <t>The Woodlands HQ / Harris, Montgomery</t>
        </is>
      </c>
      <c r="H222" s="12" t="inlineStr">
        <is>
          <t>1,802 residential acres left to sell</t>
        </is>
      </c>
      <c r="I222" s="14" t="inlineStr">
        <is>
          <t>Yes</t>
        </is>
      </c>
      <c r="J222" s="15" t="inlineStr">
        <is>
          <t>Three communities on one metro's edge, 1,802 residential acres still to sell.</t>
        </is>
      </c>
      <c r="K222" s="14" t="inlineStr">
        <is>
          <t>No</t>
        </is>
      </c>
      <c r="L222" s="15" t="inlineStr">
        <is>
          <t>It sells finished lots. The builder who buys them buys the wall.</t>
        </is>
      </c>
      <c r="M222" s="14" t="inlineStr">
        <is>
          <t>Yes</t>
        </is>
      </c>
      <c r="N222" s="15" t="inlineStr">
        <is>
          <t>Financed and opened Greater Houston's first mass timber office building, with low-carbon concrete in the same structure.</t>
        </is>
      </c>
      <c r="O222" s="14" t="inlineStr">
        <is>
          <t>Yes</t>
        </is>
      </c>
      <c r="P222" s="10" t="inlineStr"/>
      <c r="Q222" s="12" t="inlineStr"/>
      <c r="R222" s="16">
        <f>IF(P222="","ADD LINKEDIN","ok")</f>
        <v/>
      </c>
      <c r="S222" s="12" t="inlineStr">
        <is>
          <t>https://www.howardhughes.com/</t>
        </is>
      </c>
      <c r="T222" s="15" t="inlineStr">
        <is>
          <t>1,802 residential acres left to sell across three communities, and it paid to put up Greater Houston's first mass timber office. It sells lots, so the builder buys the wall.</t>
        </is>
      </c>
      <c r="U222" s="12" t="inlineStr">
        <is>
          <t>YES</t>
        </is>
      </c>
      <c r="V222" s="15" t="inlineStr">
        <is>
          <t>Named in the firm's own April 2022 appointment release, reporting to Jim Carman and covering The Woodlands, Bridgeland and The Woodlands Hills. No later source confirms he still holds it.</t>
        </is>
      </c>
      <c r="W222" s="12" t="inlineStr">
        <is>
          <t>https://www.bridgeland.com/the-howard-hughes-corporation-appoints-stephen-sams-as-senior-vice-president-mpc-of-residential-development-in-the-houston-region/</t>
        </is>
      </c>
      <c r="X222" s="12" t="inlineStr">
        <is>
          <t>https://www.linkedin.com/company/the-howard-hughes-corporation</t>
        </is>
      </c>
      <c r="Y222" s="12" t="inlineStr">
        <is>
          <t>https://investor.howardhughes.com/governance/leadership</t>
        </is>
      </c>
      <c r="Z222" s="12" t="inlineStr"/>
    </row>
    <row r="223">
      <c r="A223" s="6" t="inlineStr">
        <is>
          <t>Danny Signorelli</t>
        </is>
      </c>
      <c r="B223" s="6" t="inlineStr">
        <is>
          <t>The Signorelli Company</t>
        </is>
      </c>
      <c r="C223" s="6" t="inlineStr">
        <is>
          <t>Founder and Chief Executive Officer</t>
        </is>
      </c>
      <c r="D223" s="7" t="inlineStr">
        <is>
          <t>Masterplan owner</t>
        </is>
      </c>
      <c r="E223" s="8" t="n">
        <v>2</v>
      </c>
      <c r="F223" s="6" t="inlineStr">
        <is>
          <t>Sells lots</t>
        </is>
      </c>
      <c r="G223" s="6" t="inlineStr">
        <is>
          <t>The Woodlands HQ / Fort Bend, Liberty</t>
        </is>
      </c>
      <c r="H223" s="6" t="inlineStr">
        <is>
          <t>23,000+ paper lots in pipeline</t>
        </is>
      </c>
      <c r="I223" s="8" t="inlineStr">
        <is>
          <t>Yes</t>
        </is>
      </c>
      <c r="J223" s="9" t="inlineStr">
        <is>
          <t>More than 16 masterplans and over 23,000 paper lots in pipeline.</t>
        </is>
      </c>
      <c r="K223" s="8" t="inlineStr">
        <is>
          <t>Partly</t>
        </is>
      </c>
      <c r="L223" s="9" t="inlineStr">
        <is>
          <t>It sells lots, but it owns First America Homes, and one president runs both.</t>
        </is>
      </c>
      <c r="M223" s="8" t="inlineStr">
        <is>
          <t>No</t>
        </is>
      </c>
      <c r="N223" s="9" t="inlineStr">
        <is>
          <t>Nothing on record about how anything inside its communities is built.</t>
        </is>
      </c>
      <c r="O223" s="8" t="inlineStr">
        <is>
          <t>Partly</t>
        </is>
      </c>
      <c r="P223" s="6" t="inlineStr">
        <is>
          <t>https://www.linkedin.com/in/danny-signorelli-6284461b/</t>
        </is>
      </c>
      <c r="Q223" s="6" t="inlineStr"/>
      <c r="R223" s="11">
        <f>IF(P223="","ADD LINKEDIN","ok")</f>
        <v/>
      </c>
      <c r="S223" s="6" t="inlineStr">
        <is>
          <t>https://www.signorellicompany.com/</t>
        </is>
      </c>
      <c r="T223" s="9" t="inlineStr">
        <is>
          <t>Sells lots, but owns First America Homes, which holds all three counts. One president runs both.</t>
        </is>
      </c>
      <c r="U223" s="6" t="inlineStr"/>
      <c r="V223" s="9" t="inlineStr">
        <is>
          <t>CEO, President, The Signorelli Company. Greater Houston.</t>
        </is>
      </c>
      <c r="W223" s="6" t="inlineStr"/>
      <c r="X223" s="6" t="inlineStr">
        <is>
          <t>https://www.linkedin.com/company/signorelli-company</t>
        </is>
      </c>
      <c r="Y223" s="6" t="inlineStr">
        <is>
          <t>https://www.signorellicompany.com/our-leadership</t>
        </is>
      </c>
      <c r="Z223" s="6" t="inlineStr"/>
    </row>
    <row r="224">
      <c r="A224" s="12" t="inlineStr">
        <is>
          <t>Jeff Dewese</t>
        </is>
      </c>
      <c r="B224" s="12" t="inlineStr">
        <is>
          <t>The Signorelli Company</t>
        </is>
      </c>
      <c r="C224" s="12" t="inlineStr">
        <is>
          <t>President, Land Division</t>
        </is>
      </c>
      <c r="D224" s="13" t="inlineStr">
        <is>
          <t>Masterplan owner</t>
        </is>
      </c>
      <c r="E224" s="14" t="n">
        <v>2</v>
      </c>
      <c r="F224" s="12" t="inlineStr">
        <is>
          <t>Sells lots</t>
        </is>
      </c>
      <c r="G224" s="12" t="inlineStr">
        <is>
          <t>The Woodlands HQ / Fort Bend, Liberty</t>
        </is>
      </c>
      <c r="H224" s="12" t="inlineStr">
        <is>
          <t>23,000+ paper lots in pipeline</t>
        </is>
      </c>
      <c r="I224" s="14" t="inlineStr">
        <is>
          <t>Yes</t>
        </is>
      </c>
      <c r="J224" s="15" t="inlineStr">
        <is>
          <t>More than 16 masterplans and over 23,000 paper lots in pipeline.</t>
        </is>
      </c>
      <c r="K224" s="14" t="inlineStr">
        <is>
          <t>Partly</t>
        </is>
      </c>
      <c r="L224" s="15" t="inlineStr">
        <is>
          <t>It sells lots, but it owns First America Homes, and one president runs both.</t>
        </is>
      </c>
      <c r="M224" s="14" t="inlineStr">
        <is>
          <t>No</t>
        </is>
      </c>
      <c r="N224" s="15" t="inlineStr">
        <is>
          <t>Nothing on record about how anything inside its communities is built.</t>
        </is>
      </c>
      <c r="O224" s="14" t="inlineStr">
        <is>
          <t>Partly</t>
        </is>
      </c>
      <c r="P224" s="10" t="inlineStr"/>
      <c r="Q224" s="12">
        <f>HYPERLINK("https://www.linkedin.com/search/results/people/?keywords=Jeff%20Dewese%20The%20Signorelli%20Company","search")</f>
        <v/>
      </c>
      <c r="R224" s="16">
        <f>IF(P224="","ADD LINKEDIN","ok")</f>
        <v/>
      </c>
      <c r="S224" s="12" t="inlineStr">
        <is>
          <t>https://www.signorellicompany.com/</t>
        </is>
      </c>
      <c r="T224" s="15" t="inlineStr">
        <is>
          <t>Sells lots, but owns First America Homes, which holds all three counts. One president runs both.</t>
        </is>
      </c>
      <c r="U224" s="12" t="inlineStr"/>
      <c r="V224" s="15" t="inlineStr">
        <is>
          <t>Signorelli's own bio page. President, Land Division, overseeing land acquisition, planning and construction management for Granger Pines, Cielo and Austin Point.</t>
        </is>
      </c>
      <c r="W224" s="12" t="inlineStr">
        <is>
          <t>https://www.signorellicompany.com/our-leadership/15/jeff-dewese</t>
        </is>
      </c>
      <c r="X224" s="12" t="inlineStr">
        <is>
          <t>https://www.linkedin.com/company/signorelli-company</t>
        </is>
      </c>
      <c r="Y224" s="12" t="inlineStr">
        <is>
          <t>https://www.signorellicompany.com/our-leadership</t>
        </is>
      </c>
      <c r="Z224" s="12" t="inlineStr"/>
    </row>
    <row r="225">
      <c r="A225" s="6" t="inlineStr">
        <is>
          <t>Harry Dinham</t>
        </is>
      </c>
      <c r="B225" s="6" t="inlineStr">
        <is>
          <t>The Signorelli Company</t>
        </is>
      </c>
      <c r="C225" s="6" t="inlineStr">
        <is>
          <t>Chief Financial Officer</t>
        </is>
      </c>
      <c r="D225" s="7" t="inlineStr">
        <is>
          <t>Masterplan owner</t>
        </is>
      </c>
      <c r="E225" s="8" t="n">
        <v>2</v>
      </c>
      <c r="F225" s="6" t="inlineStr">
        <is>
          <t>Sells lots</t>
        </is>
      </c>
      <c r="G225" s="6" t="inlineStr">
        <is>
          <t>The Woodlands HQ / Fort Bend, Liberty</t>
        </is>
      </c>
      <c r="H225" s="6" t="inlineStr">
        <is>
          <t>23,000+ paper lots in pipeline</t>
        </is>
      </c>
      <c r="I225" s="8" t="inlineStr">
        <is>
          <t>Yes</t>
        </is>
      </c>
      <c r="J225" s="9" t="inlineStr">
        <is>
          <t>More than 16 masterplans and over 23,000 paper lots in pipeline.</t>
        </is>
      </c>
      <c r="K225" s="8" t="inlineStr">
        <is>
          <t>Partly</t>
        </is>
      </c>
      <c r="L225" s="9" t="inlineStr">
        <is>
          <t>It sells lots, but it owns First America Homes, and one president runs both.</t>
        </is>
      </c>
      <c r="M225" s="8" t="inlineStr">
        <is>
          <t>No</t>
        </is>
      </c>
      <c r="N225" s="9" t="inlineStr">
        <is>
          <t>Nothing on record about how anything inside its communities is built.</t>
        </is>
      </c>
      <c r="O225" s="8" t="inlineStr">
        <is>
          <t>Partly</t>
        </is>
      </c>
      <c r="P225" s="10" t="inlineStr"/>
      <c r="Q225" s="6">
        <f>HYPERLINK("https://www.linkedin.com/search/results/people/?keywords=Harry%20Dinham%20The%20Signorelli%20Company","search")</f>
        <v/>
      </c>
      <c r="R225" s="11">
        <f>IF(P225="","ADD LINKEDIN","ok")</f>
        <v/>
      </c>
      <c r="S225" s="6" t="inlineStr">
        <is>
          <t>https://www.signorellicompany.com/</t>
        </is>
      </c>
      <c r="T225" s="9" t="inlineStr">
        <is>
          <t>Sells lots, but owns First America Homes, which holds all three counts. One president runs both.</t>
        </is>
      </c>
      <c r="U225" s="6" t="inlineStr"/>
      <c r="V225" s="9" t="inlineStr">
        <is>
          <t>Signorelli's own bio page. Chief Financial Officer on the executive leadership team.</t>
        </is>
      </c>
      <c r="W225" s="6" t="inlineStr">
        <is>
          <t>https://www.signorellicompany.com/our-leadership/30/harry-dinham</t>
        </is>
      </c>
      <c r="X225" s="6" t="inlineStr">
        <is>
          <t>https://www.linkedin.com/company/signorelli-company</t>
        </is>
      </c>
      <c r="Y225" s="6" t="inlineStr">
        <is>
          <t>https://www.signorellicompany.com/our-leadership</t>
        </is>
      </c>
      <c r="Z225" s="6" t="inlineStr"/>
    </row>
    <row r="226">
      <c r="A226" s="12" t="inlineStr">
        <is>
          <t>John Winniford</t>
        </is>
      </c>
      <c r="B226" s="12" t="inlineStr">
        <is>
          <t>The Signorelli Company</t>
        </is>
      </c>
      <c r="C226" s="12" t="inlineStr">
        <is>
          <t>President, Homebuilding, The Signorelli Company</t>
        </is>
      </c>
      <c r="D226" s="13" t="inlineStr">
        <is>
          <t>Masterplan owner</t>
        </is>
      </c>
      <c r="E226" s="14" t="n">
        <v>2</v>
      </c>
      <c r="F226" s="12" t="inlineStr">
        <is>
          <t>Sells lots</t>
        </is>
      </c>
      <c r="G226" s="12" t="inlineStr">
        <is>
          <t>The Woodlands HQ / Fort Bend, Liberty</t>
        </is>
      </c>
      <c r="H226" s="12" t="inlineStr">
        <is>
          <t>23,000+ paper lots in pipeline</t>
        </is>
      </c>
      <c r="I226" s="14" t="inlineStr">
        <is>
          <t>Yes</t>
        </is>
      </c>
      <c r="J226" s="15" t="inlineStr">
        <is>
          <t>More than 16 masterplans and over 23,000 paper lots in pipeline.</t>
        </is>
      </c>
      <c r="K226" s="14" t="inlineStr">
        <is>
          <t>Partly</t>
        </is>
      </c>
      <c r="L226" s="15" t="inlineStr">
        <is>
          <t>It sells lots, but it owns First America Homes, and one president runs both.</t>
        </is>
      </c>
      <c r="M226" s="14" t="inlineStr">
        <is>
          <t>No</t>
        </is>
      </c>
      <c r="N226" s="15" t="inlineStr">
        <is>
          <t>Nothing on record about how anything inside its communities is built.</t>
        </is>
      </c>
      <c r="O226" s="14" t="inlineStr">
        <is>
          <t>Partly</t>
        </is>
      </c>
      <c r="P226" s="10" t="inlineStr"/>
      <c r="Q226" s="12">
        <f>HYPERLINK("https://www.linkedin.com/search/results/people/?keywords=John%20Winniford%20The%20Signorelli%20Company","search")</f>
        <v/>
      </c>
      <c r="R226" s="16">
        <f>IF(P226="","ADD LINKEDIN","ok")</f>
        <v/>
      </c>
      <c r="S226" s="12" t="inlineStr">
        <is>
          <t>https://www.signorellicompany.com/</t>
        </is>
      </c>
      <c r="T226" s="15" t="inlineStr">
        <is>
          <t>Sells lots, but owns First America Homes, which holds all three counts. One president runs both.</t>
        </is>
      </c>
      <c r="U226" s="12" t="inlineStr"/>
      <c r="V226" s="15" t="inlineStr">
        <is>
          <t>President, Homebuilding. The same person who runs First America, which Signorelli owns, so a single approach reaches both the land position and the builder.</t>
        </is>
      </c>
      <c r="W226" s="12" t="inlineStr">
        <is>
          <t>https://www.signorellicompany.com/our-leadership/34/john-winniford</t>
        </is>
      </c>
      <c r="X226" s="12" t="inlineStr">
        <is>
          <t>https://www.linkedin.com/company/signorelli-company</t>
        </is>
      </c>
      <c r="Y226" s="12" t="inlineStr">
        <is>
          <t>https://www.signorellicompany.com/our-leadership</t>
        </is>
      </c>
      <c r="Z226" s="12" t="inlineStr"/>
    </row>
    <row r="227">
      <c r="A227" s="6" t="inlineStr">
        <is>
          <t>Alan Brende</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is>
          <t>Sunterra alone is 2,303 acres in Katy with fifteen builders inside it.</t>
        </is>
      </c>
      <c r="K227" s="8" t="inlineStr">
        <is>
          <t>No</t>
        </is>
      </c>
      <c r="L227" s="9" t="inlineStr">
        <is>
          <t>It sells lots. Fifteen builders buy the wall.</t>
        </is>
      </c>
      <c r="M227" s="8" t="inlineStr">
        <is>
          <t>No</t>
        </is>
      </c>
      <c r="N227" s="9" t="inlineStr">
        <is>
          <t>Nothing on record about construction method.</t>
        </is>
      </c>
      <c r="O227" s="8" t="inlineStr">
        <is>
          <t>Yes</t>
        </is>
      </c>
      <c r="P227" s="10" t="inlineStr"/>
      <c r="Q227" s="6">
        <f>HYPERLINK("https://www.linkedin.com/search/results/people/?keywords=Alan%20Brende%20Land%20Tejas","search")</f>
        <v/>
      </c>
      <c r="R227" s="11">
        <f>IF(P227="","ADD LINKEDIN","ok")</f>
        <v/>
      </c>
      <c r="S227" s="6" t="inlineStr">
        <is>
          <t>https://landtejas.com/</t>
        </is>
      </c>
      <c r="T227" s="9" t="inlineStr">
        <is>
          <t>Sells lots. Sunterra carries 2,303 acres and 15 builders.</t>
        </is>
      </c>
      <c r="U227" s="6" t="inlineStr"/>
      <c r="V227" s="9" t="inlineStr"/>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Melanie Ohl</t>
        </is>
      </c>
      <c r="B228" s="12" t="inlineStr">
        <is>
          <t>Land Tejas</t>
        </is>
      </c>
      <c r="C228" s="12" t="inlineStr">
        <is>
          <t>Co-President, Land Tejas</t>
        </is>
      </c>
      <c r="D228" s="13" t="inlineStr">
        <is>
          <t>Masterplan owner</t>
        </is>
      </c>
      <c r="E228" s="14" t="n">
        <v>1</v>
      </c>
      <c r="F228" s="12" t="inlineStr">
        <is>
          <t>Sells lots</t>
        </is>
      </c>
      <c r="G228" s="12" t="inlineStr">
        <is>
          <t>Houston / Katy, Harris-Waller</t>
        </is>
      </c>
      <c r="H228" s="12" t="inlineStr">
        <is>
          <t>Sunterra, 2,303 acres in Katy, fifteen builders</t>
        </is>
      </c>
      <c r="I228" s="14" t="inlineStr">
        <is>
          <t>Yes</t>
        </is>
      </c>
      <c r="J228" s="15" t="inlineStr">
        <is>
          <t>Sunterra alone is 2,303 acres in Katy with fifteen builders inside it.</t>
        </is>
      </c>
      <c r="K228" s="14" t="inlineStr">
        <is>
          <t>No</t>
        </is>
      </c>
      <c r="L228" s="15" t="inlineStr">
        <is>
          <t>It sells lots. Fifteen builders buy the wall.</t>
        </is>
      </c>
      <c r="M228" s="14" t="inlineStr">
        <is>
          <t>No</t>
        </is>
      </c>
      <c r="N228" s="15" t="inlineStr">
        <is>
          <t>Nothing on record about construction method.</t>
        </is>
      </c>
      <c r="O228" s="14" t="inlineStr">
        <is>
          <t>Yes</t>
        </is>
      </c>
      <c r="P228" s="10" t="inlineStr"/>
      <c r="Q228" s="12">
        <f>HYPERLINK("https://www.linkedin.com/search/results/people/?keywords=Melanie%20Ohl%20Land%20Tejas","search")</f>
        <v/>
      </c>
      <c r="R228" s="16">
        <f>IF(P228="","ADD LINKEDIN","ok")</f>
        <v/>
      </c>
      <c r="S228" s="12" t="inlineStr">
        <is>
          <t>https://landtejas.com/</t>
        </is>
      </c>
      <c r="T228" s="15" t="inlineStr">
        <is>
          <t>Sells lots. Sunterra carries 2,303 acres and 15 builders.</t>
        </is>
      </c>
      <c r="U228" s="12" t="inlineStr"/>
      <c r="V228" s="15" t="inlineStr"/>
      <c r="W228" s="12" t="inlineStr">
        <is>
          <t>https://landtejas.com/about-us/our-leadership/</t>
        </is>
      </c>
      <c r="X228" s="12" t="inlineStr">
        <is>
          <t>https://www.linkedin.com/company/land-tejas-companies</t>
        </is>
      </c>
      <c r="Y228" s="12" t="inlineStr">
        <is>
          <t>https://landtejas.com/about-us/our-leadership/</t>
        </is>
      </c>
      <c r="Z228" s="12" t="inlineStr"/>
    </row>
    <row r="229">
      <c r="A229" s="6" t="inlineStr">
        <is>
          <t>Fred Caldwell</t>
        </is>
      </c>
      <c r="B229" s="6" t="inlineStr">
        <is>
          <t>Caldwell Companies</t>
        </is>
      </c>
      <c r="C229" s="6" t="inlineStr">
        <is>
          <t>Chief Executive Officer, Caldwell Companies</t>
        </is>
      </c>
      <c r="D229" s="7" t="inlineStr">
        <is>
          <t>Masterplan owner</t>
        </is>
      </c>
      <c r="E229" s="8" t="n">
        <v>1</v>
      </c>
      <c r="F229" s="6" t="inlineStr">
        <is>
          <t>Sells lots</t>
        </is>
      </c>
      <c r="G229" s="6" t="inlineStr">
        <is>
          <t>Cypress / Montgomery, Harris</t>
        </is>
      </c>
      <c r="H229" s="6" t="inlineStr">
        <is>
          <t>Towne Lake and The Highlands, about 4,000 homes</t>
        </is>
      </c>
      <c r="I229" s="8" t="inlineStr">
        <is>
          <t>Yes</t>
        </is>
      </c>
      <c r="J229" s="9" t="inlineStr">
        <is>
          <t>Towne Lake and The Highlands carry about 4,000 planned homes across 12 builders.</t>
        </is>
      </c>
      <c r="K229" s="8" t="inlineStr">
        <is>
          <t>No</t>
        </is>
      </c>
      <c r="L229" s="9" t="inlineStr">
        <is>
          <t>It sells lots and does not pour walls.</t>
        </is>
      </c>
      <c r="M229" s="8" t="inlineStr">
        <is>
          <t>No</t>
        </is>
      </c>
      <c r="N229" s="9" t="inlineStr">
        <is>
          <t>Publishes no construction-method content.</t>
        </is>
      </c>
      <c r="O229" s="8" t="inlineStr">
        <is>
          <t>No</t>
        </is>
      </c>
      <c r="P229" s="10" t="inlineStr"/>
      <c r="Q229" s="6">
        <f>HYPERLINK("https://www.linkedin.com/search/results/people/?keywords=Fred%20Caldwell%20Caldwell%20Companies","search")</f>
        <v/>
      </c>
      <c r="R229" s="11">
        <f>IF(P229="","ADD LINKEDIN","ok")</f>
        <v/>
      </c>
      <c r="S229" s="6" t="inlineStr">
        <is>
          <t>https://caldwellcos.com/</t>
        </is>
      </c>
      <c r="T229" s="9" t="inlineStr">
        <is>
          <t>Sells lots. Towne Lake and The Highlands carry 4,000 homes across 12 builders.</t>
        </is>
      </c>
      <c r="U229" s="6" t="inlineStr"/>
      <c r="V229" s="9" t="inlineStr"/>
      <c r="W229" s="6" t="inlineStr">
        <is>
          <t>https://caldwellcos.com/our-team</t>
        </is>
      </c>
      <c r="X229" s="6" t="inlineStr">
        <is>
          <t>https://www.linkedin.com/company/caldwell-companies</t>
        </is>
      </c>
      <c r="Y229" s="6" t="inlineStr">
        <is>
          <t>https://caldwellcos.com/our-team</t>
        </is>
      </c>
      <c r="Z229" s="6" t="inlineStr"/>
    </row>
    <row r="230">
      <c r="A230" s="12" t="inlineStr">
        <is>
          <t>Michael J. Smith</t>
        </is>
      </c>
      <c r="B230" s="12" t="inlineStr">
        <is>
          <t>Johnson Development Corp</t>
        </is>
      </c>
      <c r="C230" s="12" t="inlineStr">
        <is>
          <t>President and Chief Executive Officer, Johnson Development</t>
        </is>
      </c>
      <c r="D230" s="13" t="inlineStr">
        <is>
          <t>Masterplan owner</t>
        </is>
      </c>
      <c r="E230" s="14" t="n">
        <v>1</v>
      </c>
      <c r="F230" s="12" t="inlineStr">
        <is>
          <t>Sells lots</t>
        </is>
      </c>
      <c r="G230" s="12" t="inlineStr">
        <is>
          <t>Houston / Fort Bend, Montgomery</t>
        </is>
      </c>
      <c r="H230" s="12" t="inlineStr">
        <is>
          <t>Fourteen concurrent Houston masterplans</t>
        </is>
      </c>
      <c r="I230" s="14" t="inlineStr">
        <is>
          <t>Yes</t>
        </is>
      </c>
      <c r="J230" s="15" t="inlineStr">
        <is>
          <t>Fourteen concurrent Houston masterplans.</t>
        </is>
      </c>
      <c r="K230" s="14" t="inlineStr">
        <is>
          <t>No</t>
        </is>
      </c>
      <c r="L230" s="15" t="inlineStr">
        <is>
          <t>It sells lots across all fourteen. The builders inside buy the wall.</t>
        </is>
      </c>
      <c r="M230" s="14" t="inlineStr">
        <is>
          <t>No</t>
        </is>
      </c>
      <c r="N230" s="15" t="inlineStr">
        <is>
          <t>Publishes no construction-method content.</t>
        </is>
      </c>
      <c r="O230" s="14" t="inlineStr">
        <is>
          <t>No</t>
        </is>
      </c>
      <c r="P230" s="10" t="inlineStr"/>
      <c r="Q230" s="12">
        <f>HYPERLINK("https://www.linkedin.com/search/results/people/?keywords=Michael%20J.%20Smith%20Johnson%20Development%20Corp","search")</f>
        <v/>
      </c>
      <c r="R230" s="16">
        <f>IF(P230="","ADD LINKEDIN","ok")</f>
        <v/>
      </c>
      <c r="S230" s="12" t="inlineStr">
        <is>
          <t>https://www.johnsondevelopment.com/</t>
        </is>
      </c>
      <c r="T230" s="15" t="inlineStr">
        <is>
          <t>Sells lots across 14 Houston masterplans. Buys no walls.</t>
        </is>
      </c>
      <c r="U230" s="12" t="inlineStr"/>
      <c r="V230" s="15" t="inlineStr"/>
      <c r="W230" s="12" t="inlineStr">
        <is>
          <t>https://www.johnsondevelopment.com/our-leaders</t>
        </is>
      </c>
      <c r="X230" s="12" t="inlineStr">
        <is>
          <t>https://www.linkedin.com/company/the-johnson-development-corp</t>
        </is>
      </c>
      <c r="Y230" s="12" t="inlineStr">
        <is>
          <t>https://www.johnsondevelopment.com/our-leaders</t>
        </is>
      </c>
      <c r="Z230" s="12" t="inlineStr"/>
    </row>
    <row r="231">
      <c r="A231" s="6" t="inlineStr">
        <is>
          <t>Alan Bauer</t>
        </is>
      </c>
      <c r="B231" s="6" t="inlineStr">
        <is>
          <t>Newland Communities</t>
        </is>
      </c>
      <c r="C231" s="6" t="inlineStr">
        <is>
          <t>Senior Vice President and Houston Division Manager, Newland (2019)</t>
        </is>
      </c>
      <c r="D231" s="7" t="inlineStr">
        <is>
          <t>Masterplan owner</t>
        </is>
      </c>
      <c r="E231" s="8" t="n">
        <v>1</v>
      </c>
      <c r="F231" s="6" t="inlineStr">
        <is>
          <t>Sells lots</t>
        </is>
      </c>
      <c r="G231" s="6" t="inlineStr">
        <is>
          <t>San Diego HQ / Katy, Harris</t>
        </is>
      </c>
      <c r="H231" s="6" t="inlineStr">
        <is>
          <t>Elyson, 3,600 acres in Katy</t>
        </is>
      </c>
      <c r="I231" s="8" t="inlineStr">
        <is>
          <t>Partly</t>
        </is>
      </c>
      <c r="J231" s="9" t="inlineStr">
        <is>
          <t>One Houston community, Elyson, at 3,600 acres in Katy.</t>
        </is>
      </c>
      <c r="K231" s="8" t="inlineStr">
        <is>
          <t>No</t>
        </is>
      </c>
      <c r="L231" s="9" t="inlineStr">
        <is>
          <t>It sells lots, and the platform now sits inside Brookfield Residential.</t>
        </is>
      </c>
      <c r="M231" s="8" t="inlineStr">
        <is>
          <t>No</t>
        </is>
      </c>
      <c r="N231" s="9" t="inlineStr">
        <is>
          <t>Nothing on record about construction method.</t>
        </is>
      </c>
      <c r="O231" s="8" t="inlineStr">
        <is>
          <t>No</t>
        </is>
      </c>
      <c r="P231" s="10" t="inlineStr"/>
      <c r="Q231" s="6">
        <f>HYPERLINK("https://www.linkedin.com/search/results/people/?keywords=Alan%20Bauer%20Newland%20Communities","search")</f>
        <v/>
      </c>
      <c r="R231" s="11">
        <f>IF(P231="","ADD LINKEDIN","ok")</f>
        <v/>
      </c>
      <c r="S231" s="6" t="inlineStr">
        <is>
          <t>https://newlandco.com/</t>
        </is>
      </c>
      <c r="T231" s="9" t="inlineStr">
        <is>
          <t>3,600-acre Elyson, but Newland has been absorbed into Brookfield Residential and no longer publishes its own leadership. The one Houston name on record is from 2019.</t>
        </is>
      </c>
      <c r="U231" s="6" t="inlineStr"/>
      <c r="V231" s="9" t="inlineStr">
        <is>
          <t>Senior Vice President and Division Manager for Newland's Houston division, per the West Houston Association board announcement. Dated 2019 and unconfirmed since, because Newland no longer publishes its own leadership.</t>
        </is>
      </c>
      <c r="W231" s="6" t="inlineStr">
        <is>
          <t>https://www.westhouston.org/2019/01/18/welcome-to-the-2019-board-or-directors/</t>
        </is>
      </c>
      <c r="X231" s="6" t="inlineStr">
        <is>
          <t>https://www.linkedin.com/company/newland-communities-llc</t>
        </is>
      </c>
      <c r="Y231" s="6" t="inlineStr"/>
      <c r="Z231" s="6" t="inlineStr"/>
    </row>
    <row r="232">
      <c r="A232" s="12" t="inlineStr">
        <is>
          <t>George Kopecky</t>
        </is>
      </c>
      <c r="B232" s="12" t="inlineStr">
        <is>
          <t>GreenEco Builders</t>
        </is>
      </c>
      <c r="C232" s="12" t="inlineStr">
        <is>
          <t>President</t>
        </is>
      </c>
      <c r="D232" s="13" t="inlineStr">
        <is>
          <t>Already working with ICON</t>
        </is>
      </c>
      <c r="E232" s="14" t="n">
        <v>3</v>
      </c>
      <c r="F232" s="12" t="inlineStr">
        <is>
          <t>Buys walls</t>
        </is>
      </c>
      <c r="G232" s="12" t="inlineStr">
        <is>
          <t>Tavola, New Caney</t>
        </is>
      </c>
      <c r="H232" s="12" t="inlineStr">
        <is>
          <t>Orders windows per home to keep adopting newer products</t>
        </is>
      </c>
      <c r="I232" s="14" t="inlineStr">
        <is>
          <t>Partly</t>
        </is>
      </c>
      <c r="J232" s="15" t="inlineStr">
        <is>
          <t>One confirmed community, Tavola in New Caney. The footprint is small.</t>
        </is>
      </c>
      <c r="K232" s="14" t="inlineStr">
        <is>
          <t>Partly</t>
        </is>
      </c>
      <c r="L232" s="15" t="inlineStr">
        <is>
          <t>Owned by Rausch Coleman Homes since 2020, and Lennar completed its purchase of Rausch Coleman on 10 February 2025. No volume figure is published for the brand; purchasing sits with the parent.</t>
        </is>
      </c>
      <c r="M232" s="14" t="inlineStr">
        <is>
          <t>Partly</t>
        </is>
      </c>
      <c r="N232" s="15" t="inlineStr">
        <is>
          <t>It orders windows per home rather than per community specifically so it can adopt newer energy products as they appear. That is a procurement habit built for method change.</t>
        </is>
      </c>
      <c r="O232" s="14" t="inlineStr">
        <is>
          <t>No</t>
        </is>
      </c>
      <c r="P232" s="6" t="inlineStr">
        <is>
          <t>https://www.linkedin.com/in/george-kopecky-7ba08a26/</t>
        </is>
      </c>
      <c r="Q232" s="12" t="inlineStr"/>
      <c r="R232" s="16">
        <f>IF(P232="","ADD LINKEDIN","ok")</f>
        <v/>
      </c>
      <c r="S232" s="12" t="inlineStr">
        <is>
          <t>https://greenecobuilders.com/</t>
        </is>
      </c>
      <c r="T232" s="15" t="inlineStr">
        <is>
          <t>Orders windows per home rather than per community so it can adopt newer products. Owned by Rausch Coleman Homes, which Lennar bought in February 2025.</t>
        </is>
      </c>
      <c r="U232" s="12" t="inlineStr"/>
      <c r="V232" s="15" t="inlineStr">
        <is>
          <t>Indexed title reads George Kopecky, President at GreenEco Builders. Named as the firm's principal in trade coverage of the 2020 sale to Rausch Coleman.</t>
        </is>
      </c>
      <c r="W232" s="12" t="inlineStr"/>
      <c r="X232" s="12" t="inlineStr"/>
      <c r="Y232" s="12" t="inlineStr"/>
      <c r="Z232" s="12" t="inlineStr"/>
    </row>
    <row r="233">
      <c r="A233" s="6" t="inlineStr">
        <is>
          <t>Michael Reamer</t>
        </is>
      </c>
      <c r="B233" s="6" t="inlineStr">
        <is>
          <t>Friendswood Development Company</t>
        </is>
      </c>
      <c r="C233" s="6" t="inlineStr">
        <is>
          <t>President, Friendswood Development Company</t>
        </is>
      </c>
      <c r="D233" s="7" t="inlineStr">
        <is>
          <t>Already working with ICON</t>
        </is>
      </c>
      <c r="E233" s="8" t="n">
        <v>2</v>
      </c>
      <c r="F233" s="6" t="inlineStr">
        <is>
          <t>Sells lots</t>
        </is>
      </c>
      <c r="G233" s="6" t="inlineStr">
        <is>
          <t>Houston / Montgomery, Galveston</t>
        </is>
      </c>
      <c r="H233" s="6" t="inlineStr">
        <is>
          <t>Sells lots inside its own masterplans; Lennar builds</t>
        </is>
      </c>
      <c r="I233" s="8" t="inlineStr">
        <is>
          <t>Partly</t>
        </is>
      </c>
      <c r="J233" s="9" t="inlineStr">
        <is>
          <t>Sells lots inside its own masterplans. Lennar builds the houses.</t>
        </is>
      </c>
      <c r="K233" s="8" t="inlineStr">
        <is>
          <t>No</t>
        </is>
      </c>
      <c r="L233" s="9" t="inlineStr">
        <is>
          <t>Sells lots, wholly owned by Lennar, so the route is Lennar.</t>
        </is>
      </c>
      <c r="M233" s="8" t="inlineStr">
        <is>
          <t>Partly</t>
        </is>
      </c>
      <c r="N233" s="9" t="inlineStr">
        <is>
          <t>The parent, Lennar, built a hundred printed homes with ICON at Wolf Ranch. Friendswood itself buys no walls.</t>
        </is>
      </c>
      <c r="O233" s="8" t="inlineStr">
        <is>
          <t>Partly</t>
        </is>
      </c>
      <c r="P233" s="10" t="inlineStr"/>
      <c r="Q233" s="6">
        <f>HYPERLINK("https://www.linkedin.com/search/results/people/?keywords=Michael%20Reamer%20Friendswood%20Development%20Company","search")</f>
        <v/>
      </c>
      <c r="R233" s="11">
        <f>IF(P233="","ADD LINKEDIN","ok")</f>
        <v/>
      </c>
      <c r="S233" s="6" t="inlineStr">
        <is>
          <t>https://friendswooddevelopment.com/</t>
        </is>
      </c>
      <c r="T233" s="9" t="inlineStr">
        <is>
          <t>Sells lots, wholly owned by Lennar since 2000. Lennar built a hundred printed homes with ICON at Wolf Ranch.</t>
        </is>
      </c>
      <c r="U233" s="6" t="inlineStr"/>
      <c r="V233" s="9" t="inlineStr"/>
      <c r="W233" s="6" t="inlineStr">
        <is>
          <t>https://friendswooddevelopment.com/people</t>
        </is>
      </c>
      <c r="X233" s="6" t="inlineStr">
        <is>
          <t>https://www.linkedin.com/company/friendswood-development-company</t>
        </is>
      </c>
      <c r="Y233" s="6" t="inlineStr">
        <is>
          <t>https://friendswooddevelopment.com/people</t>
        </is>
      </c>
      <c r="Z233" s="6" t="inlineStr"/>
    </row>
    <row r="234">
      <c r="A234" s="12" t="inlineStr">
        <is>
          <t>Steven D. Alvis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HYPERLINK("https://www.linkedin.com/search/results/people/?keywords=Steven%20D.%20Alvis%20NewQuest%20Properties","search")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Jay K. Sears</t>
        </is>
      </c>
      <c r="B235" s="6" t="inlineStr">
        <is>
          <t>NewQuest Properties</t>
        </is>
      </c>
      <c r="C235" s="6" t="inlineStr">
        <is>
          <t>Co-Founder and Managing Partner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HYPERLINK("https://www.linkedin.com/search/results/people/?keywords=Jay%20K.%20Sears%20NewQuest%20Properties","search")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c r="W235" s="6" t="inlineStr">
        <is>
          <t>https://www.newquest.com/about-us/leadership/</t>
        </is>
      </c>
      <c r="X235" s="6" t="inlineStr">
        <is>
          <t>https://www.linkedin.com/company/newquest-properties</t>
        </is>
      </c>
      <c r="Y235" s="6" t="inlineStr">
        <is>
          <t>https://www.newquest.com/about-us/leadership/</t>
        </is>
      </c>
      <c r="Z235" s="6" t="inlineStr"/>
    </row>
    <row r="236">
      <c r="A236" s="12" t="inlineStr">
        <is>
          <t>Austin Alvis</t>
        </is>
      </c>
      <c r="B236" s="12" t="inlineStr">
        <is>
          <t>NewQuest Properties</t>
        </is>
      </c>
      <c r="C236" s="12" t="inlineStr">
        <is>
          <t>President and Chief Development Officer</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HYPERLINK("https://www.linkedin.com/search/results/people/?keywords=Austin%20Alvis%20NewQuest%20Properties","search")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Jeff Horton</t>
        </is>
      </c>
      <c r="B237" s="6" t="inlineStr">
        <is>
          <t>NewQuest Properties</t>
        </is>
      </c>
      <c r="C237" s="6" t="inlineStr">
        <is>
          <t>Chief Operating Officer and Head of Capital Markets</t>
        </is>
      </c>
      <c r="D237" s="7" t="inlineStr">
        <is>
          <t>Off deck, screened out</t>
        </is>
      </c>
      <c r="E237" s="8" t="n">
        <v>1</v>
      </c>
      <c r="F237" s="6" t="inlineStr">
        <is>
          <t>Buys walls</t>
        </is>
      </c>
      <c r="G237" s="6" t="inlineStr">
        <is>
          <t>Houston HQ / Fort Bend, Brazoria</t>
        </is>
      </c>
      <c r="H237" s="6" t="inlineStr">
        <is>
          <t>$3.1B portfolio, 12M sf managed</t>
        </is>
      </c>
      <c r="I237" s="8" t="inlineStr">
        <is>
          <t>Yes</t>
        </is>
      </c>
      <c r="J237" s="9" t="inlineStr"/>
      <c r="K237" s="8" t="inlineStr">
        <is>
          <t>No</t>
        </is>
      </c>
      <c r="L237" s="9" t="inlineStr"/>
      <c r="M237" s="8" t="inlineStr">
        <is>
          <t>No</t>
        </is>
      </c>
      <c r="N237" s="9" t="inlineStr"/>
      <c r="O237" s="8" t="inlineStr">
        <is>
          <t>Yes</t>
        </is>
      </c>
      <c r="P237" s="10" t="inlineStr"/>
      <c r="Q237" s="6">
        <f>HYPERLINK("https://www.linkedin.com/search/results/people/?keywords=Jeff%20Horton%20NewQuest%20Properties","search")</f>
        <v/>
      </c>
      <c r="R237" s="11">
        <f>IF(P237="","ADD LINKEDIN","ok")</f>
        <v/>
      </c>
      <c r="S237" s="6" t="inlineStr">
        <is>
          <t>https://www.newquest.com/</t>
        </is>
      </c>
      <c r="T237" s="9" t="inlineStr">
        <is>
          <t>$3.1B portfolio and a repeated Town Center format. Retail shells compete against tilt-wall, not stick framing.</t>
        </is>
      </c>
      <c r="U237" s="6" t="inlineStr"/>
      <c r="V237" s="9" t="inlineStr"/>
      <c r="W237" s="6" t="inlineStr">
        <is>
          <t>https://www.newquest.com/about-us/leadership/</t>
        </is>
      </c>
      <c r="X237" s="6" t="inlineStr">
        <is>
          <t>https://www.linkedin.com/company/newquest-properties</t>
        </is>
      </c>
      <c r="Y237" s="6" t="inlineStr">
        <is>
          <t>https://www.newquest.com/about-us/leadership/</t>
        </is>
      </c>
      <c r="Z237" s="6" t="inlineStr"/>
    </row>
    <row r="238">
      <c r="A238" s="12" t="inlineStr">
        <is>
          <t>K. Alan Hassenflu</t>
        </is>
      </c>
      <c r="B238" s="12" t="inlineStr">
        <is>
          <t>Fidelis Realty Partners</t>
        </is>
      </c>
      <c r="C238" s="12" t="inlineStr">
        <is>
          <t>Chairman and Chief Executive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HYPERLINK("https://www.linkedin.com/search/results/people/?keywords=K.%20Alan%20Hassenflu%20Fidelis%20Realty%20Partners","search")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President and Chief Executive Officer, a founder in 2003, formerly senior managing director at Trammell Crow.</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Glenn Airola</t>
        </is>
      </c>
      <c r="B239" s="6" t="inlineStr">
        <is>
          <t>Fidelis Realty Partners</t>
        </is>
      </c>
      <c r="C239" s="6" t="inlineStr">
        <is>
          <t>Co-President and Chief Operating Officer</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10" t="inlineStr"/>
      <c r="Q239" s="6">
        <f>HYPERLINK("https://www.linkedin.com/search/results/people/?keywords=Glenn%20Airola%20Fidelis%20Realty%20Partners","search")</f>
        <v/>
      </c>
      <c r="R239" s="11">
        <f>IF(P239="","ADD LINKEDIN","ok")</f>
        <v/>
      </c>
      <c r="S239" s="6" t="inlineStr">
        <is>
          <t>https://www.frpltd.com/</t>
        </is>
      </c>
      <c r="T239" s="9" t="inlineStr">
        <is>
          <t>Two land positions in target counties within 24 months. Every purchase price is undisclosed.</t>
        </is>
      </c>
      <c r="U239" s="6" t="inlineStr"/>
      <c r="V239" s="9" t="inlineStr">
        <is>
          <t>Executive Vice President, General Counsel and Chief Administrative Officer since 2007.</t>
        </is>
      </c>
      <c r="W239" s="6" t="inlineStr">
        <is>
          <t>https://www.frpltd.com/about-fidelis/mission-values</t>
        </is>
      </c>
      <c r="X239" s="6" t="inlineStr">
        <is>
          <t>https://www.linkedin.com/company/fidelis-realty-partners</t>
        </is>
      </c>
      <c r="Y239" s="6" t="inlineStr">
        <is>
          <t>https://www.frpltd.com/about-fidelis/mission-values</t>
        </is>
      </c>
      <c r="Z239" s="6" t="inlineStr"/>
    </row>
    <row r="240">
      <c r="A240" s="12" t="inlineStr">
        <is>
          <t>R. Carson Wilson IV</t>
        </is>
      </c>
      <c r="B240" s="12" t="inlineStr">
        <is>
          <t>Fidelis Realty Partners</t>
        </is>
      </c>
      <c r="C240" s="12" t="inlineStr">
        <is>
          <t>Executive Vice President of Leasing, Construction and Development, Fidelis Realty Partners</t>
        </is>
      </c>
      <c r="D240" s="13" t="inlineStr">
        <is>
          <t>Off deck, screened out</t>
        </is>
      </c>
      <c r="E240" s="14" t="n">
        <v>1</v>
      </c>
      <c r="F240" s="12" t="inlineStr">
        <is>
          <t>Buys walls</t>
        </is>
      </c>
      <c r="G240" s="12" t="inlineStr">
        <is>
          <t>Houston HQ / Brazoria, Montgomery</t>
        </is>
      </c>
      <c r="H240" s="12" t="inlineStr">
        <is>
          <t>26M sf, ~100 properties, 12 states</t>
        </is>
      </c>
      <c r="I240" s="14" t="inlineStr">
        <is>
          <t>Yes</t>
        </is>
      </c>
      <c r="J240" s="15" t="inlineStr"/>
      <c r="K240" s="14" t="inlineStr">
        <is>
          <t>No</t>
        </is>
      </c>
      <c r="L240" s="15" t="inlineStr"/>
      <c r="M240" s="14" t="inlineStr">
        <is>
          <t>No</t>
        </is>
      </c>
      <c r="N240" s="15" t="inlineStr"/>
      <c r="O240" s="14" t="inlineStr">
        <is>
          <t>Partly</t>
        </is>
      </c>
      <c r="P240" s="6" t="inlineStr">
        <is>
          <t>https://www.linkedin.com/in/r-carson-wilson-iv-9b7525292/</t>
        </is>
      </c>
      <c r="Q240" s="12" t="inlineStr"/>
      <c r="R240" s="16">
        <f>IF(P240="","ADD LINKEDIN","ok")</f>
        <v/>
      </c>
      <c r="S240" s="12" t="inlineStr">
        <is>
          <t>https://www.frpltd.com/</t>
        </is>
      </c>
      <c r="T240" s="15" t="inlineStr">
        <is>
          <t>Two land positions in target counties within 24 months. Every purchase price is undisclosed.</t>
        </is>
      </c>
      <c r="U240" s="12" t="inlineStr">
        <is>
          <t>YES</t>
        </is>
      </c>
      <c r="V240" s="15" t="inlineStr">
        <is>
          <t>Executive Vice President - Leasing, Construction and Development at Fidelis Realty Partners. Greater Houston. One title covers all three, so the person who signs the lease also owns the build.</t>
        </is>
      </c>
      <c r="W240" s="12" t="inlineStr"/>
      <c r="X240" s="12" t="inlineStr">
        <is>
          <t>https://www.linkedin.com/company/fidelis-realty-partners</t>
        </is>
      </c>
      <c r="Y240" s="12" t="inlineStr">
        <is>
          <t>https://www.frpltd.com/about-fidelis/mission-values</t>
        </is>
      </c>
      <c r="Z240" s="12" t="inlineStr"/>
    </row>
    <row r="241">
      <c r="A241" s="6" t="inlineStr">
        <is>
          <t>Brandt Bowden</t>
        </is>
      </c>
      <c r="B241" s="6" t="inlineStr">
        <is>
          <t>The Hanover Company</t>
        </is>
      </c>
      <c r="C241" s="6" t="inlineStr">
        <is>
          <t>Chief Executive Officer</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HYPERLINK("https://www.linkedin.com/search/results/people/?keywords=Brandt%20Bowden%20The%20Hanover%20Company","search")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Chief Executive Officer of Hanover, overseeing capital, development and construction, previously chief investment officer.</t>
        </is>
      </c>
      <c r="W241" s="6" t="inlineStr">
        <is>
          <t>https://knowledge.uli.org/en/people/b/b/brandt-bowden-f34f</t>
        </is>
      </c>
      <c r="X241" s="6" t="inlineStr"/>
      <c r="Y241" s="6" t="inlineStr">
        <is>
          <t>https://www.hanoverco.com/leadership</t>
        </is>
      </c>
      <c r="Z241" s="6" t="inlineStr"/>
    </row>
    <row r="242">
      <c r="A242" s="12" t="inlineStr">
        <is>
          <t>Murry Bowden</t>
        </is>
      </c>
      <c r="B242" s="12" t="inlineStr">
        <is>
          <t>The Hanover Company</t>
        </is>
      </c>
      <c r="C242" s="12" t="inlineStr">
        <is>
          <t>Founder and Executive Chairman</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HYPERLINK("https://www.linkedin.com/search/results/people/?keywords=Murry%20Bowden%20The%20Hanover%20Company","search")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Founder, Chairman and Chief Executive Officer, responsible for strategy and investment decisions.</t>
        </is>
      </c>
      <c r="W242" s="12" t="inlineStr">
        <is>
          <t>https://www.nmhc.org/meetings/meetings-pages/meeting-materials/j-murry-bowden-biography/</t>
        </is>
      </c>
      <c r="X242" s="12" t="inlineStr"/>
      <c r="Y242" s="12" t="inlineStr">
        <is>
          <t>https://www.hanoverco.com/leadership</t>
        </is>
      </c>
      <c r="Z242" s="12" t="inlineStr"/>
    </row>
    <row r="243">
      <c r="A243" s="6" t="inlineStr">
        <is>
          <t>John Nash</t>
        </is>
      </c>
      <c r="B243" s="6" t="inlineStr">
        <is>
          <t>The Hanover Company</t>
        </is>
      </c>
      <c r="C243" s="6" t="inlineStr">
        <is>
          <t>President</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HYPERLINK("https://www.linkedin.com/search/results/people/?keywords=John%20Nash%20The%20Hanover%20Company","search")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Thirty-three years with Hanover, twenty-three of them as president, per the McCombs alumni network.</t>
        </is>
      </c>
      <c r="W243" s="6" t="inlineStr">
        <is>
          <t>https://www.hanoverco.com/leadership</t>
        </is>
      </c>
      <c r="X243" s="6" t="inlineStr"/>
      <c r="Y243" s="6" t="inlineStr">
        <is>
          <t>https://www.hanoverco.com/leadership</t>
        </is>
      </c>
      <c r="Z243" s="6" t="inlineStr"/>
    </row>
    <row r="244">
      <c r="A244" s="12" t="inlineStr">
        <is>
          <t>John Garibaldi</t>
        </is>
      </c>
      <c r="B244" s="12" t="inlineStr">
        <is>
          <t>The Hanover Company</t>
        </is>
      </c>
      <c r="C244" s="12" t="inlineStr">
        <is>
          <t>President, Multifamily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10" t="inlineStr"/>
      <c r="Q244" s="12">
        <f>HYPERLINK("https://www.linkedin.com/search/results/people/?keywords=John%20Garibaldi%20The%20Hanover%20Company","search")</f>
        <v/>
      </c>
      <c r="R244" s="16">
        <f>IF(P244="","ADD LINKEDIN","ok")</f>
        <v/>
      </c>
      <c r="S244" s="12" t="inlineStr">
        <is>
          <t>https://www.hanoverco.com/</t>
        </is>
      </c>
      <c r="T244" s="15" t="inlineStr">
        <is>
          <t>An in-house construction arm and a Houston HQ since 1982, but no Houston project could be sourced.</t>
        </is>
      </c>
      <c r="U244" s="12" t="inlineStr"/>
      <c r="V244" s="15" t="inlineStr">
        <is>
          <t>President, Multifamily. Twenty-five years with the firm, starting as a development partner in Houston in 1999.</t>
        </is>
      </c>
      <c r="W244" s="12" t="inlineStr">
        <is>
          <t>https://www.hanoverco.com/leadership</t>
        </is>
      </c>
      <c r="X244" s="12" t="inlineStr"/>
      <c r="Y244" s="12" t="inlineStr">
        <is>
          <t>https://www.hanoverco.com/leadership</t>
        </is>
      </c>
      <c r="Z244" s="12" t="inlineStr"/>
    </row>
    <row r="245">
      <c r="A245" s="6" t="inlineStr">
        <is>
          <t>Thomas Knutson</t>
        </is>
      </c>
      <c r="B245" s="6" t="inlineStr">
        <is>
          <t>The Hanover Company</t>
        </is>
      </c>
      <c r="C245" s="6" t="inlineStr">
        <is>
          <t>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https://www.linkedin.com/in/thomas-knutson-a741898/</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President - Construction at The Hanover Company. Houston, Texas. Hanover builds its own work, so this is the head of the in-house contractor.</t>
        </is>
      </c>
      <c r="W245" s="6" t="inlineStr"/>
      <c r="X245" s="6" t="inlineStr"/>
      <c r="Y245" s="6" t="inlineStr">
        <is>
          <t>https://www.hanoverco.com/leadership</t>
        </is>
      </c>
      <c r="Z245" s="6" t="inlineStr"/>
    </row>
    <row r="246">
      <c r="A246" s="12" t="inlineStr">
        <is>
          <t>Mark Wood</t>
        </is>
      </c>
      <c r="B246" s="12" t="inlineStr">
        <is>
          <t>The Hanover Company</t>
        </is>
      </c>
      <c r="C246" s="12" t="inlineStr">
        <is>
          <t>Vice President of Construction,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https://www.linkedin.com/in/mark-wood-49713011/</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 Construction at The Hanover Company. Houston, Texas.</t>
        </is>
      </c>
      <c r="W246" s="12" t="inlineStr"/>
      <c r="X246" s="12" t="inlineStr"/>
      <c r="Y246" s="12" t="inlineStr">
        <is>
          <t>https://www.hanoverco.com/leadership</t>
        </is>
      </c>
      <c r="Z246" s="12" t="inlineStr"/>
    </row>
    <row r="247">
      <c r="A247" s="6" t="inlineStr">
        <is>
          <t>Mike Wright</t>
        </is>
      </c>
      <c r="B247" s="6" t="inlineStr">
        <is>
          <t>The Hanover Company</t>
        </is>
      </c>
      <c r="C247" s="6" t="inlineStr">
        <is>
          <t>Vice President of Preconstruction and Estimating, The Hanover Company</t>
        </is>
      </c>
      <c r="D247" s="7" t="inlineStr">
        <is>
          <t>Off deck, screened out</t>
        </is>
      </c>
      <c r="E247" s="8" t="n">
        <v>1</v>
      </c>
      <c r="F247" s="6" t="inlineStr">
        <is>
          <t>Buys walls</t>
        </is>
      </c>
      <c r="G247" s="6" t="inlineStr">
        <is>
          <t>Houston HQ, Harris County</t>
        </is>
      </c>
      <c r="H247" s="6" t="inlineStr">
        <is>
          <t>19 markets, in-house construction arm</t>
        </is>
      </c>
      <c r="I247" s="8" t="inlineStr">
        <is>
          <t>Yes</t>
        </is>
      </c>
      <c r="J247" s="9" t="inlineStr"/>
      <c r="K247" s="8" t="inlineStr">
        <is>
          <t>No</t>
        </is>
      </c>
      <c r="L247" s="9" t="inlineStr"/>
      <c r="M247" s="8" t="inlineStr">
        <is>
          <t>No</t>
        </is>
      </c>
      <c r="N247" s="9" t="inlineStr"/>
      <c r="O247" s="8" t="inlineStr">
        <is>
          <t>Partly</t>
        </is>
      </c>
      <c r="P247" s="6" t="inlineStr">
        <is>
          <t>https://www.linkedin.com/in/mike-wright-7795a8b/</t>
        </is>
      </c>
      <c r="Q247" s="6" t="inlineStr"/>
      <c r="R247" s="11">
        <f>IF(P247="","ADD LINKEDIN","ok")</f>
        <v/>
      </c>
      <c r="S247" s="6" t="inlineStr">
        <is>
          <t>https://www.hanoverco.com/</t>
        </is>
      </c>
      <c r="T247" s="9" t="inlineStr">
        <is>
          <t>An in-house construction arm and a Houston HQ since 1982, but no Houston project could be sourced.</t>
        </is>
      </c>
      <c r="U247" s="6" t="inlineStr">
        <is>
          <t>YES</t>
        </is>
      </c>
      <c r="V247" s="9" t="inlineStr">
        <is>
          <t>Vice President of Preconstruction &amp; Estimating at The Hanover Company. Katy, Texas. Preconstruction is where an unfamiliar wall system gets priced or dismissed, so this is the first real test of a printed assembly.</t>
        </is>
      </c>
      <c r="W247" s="6" t="inlineStr"/>
      <c r="X247" s="6" t="inlineStr"/>
      <c r="Y247" s="6" t="inlineStr">
        <is>
          <t>https://www.hanoverco.com/leadership</t>
        </is>
      </c>
      <c r="Z247" s="6" t="inlineStr"/>
    </row>
    <row r="248">
      <c r="A248" s="12" t="inlineStr">
        <is>
          <t>Jeff Read</t>
        </is>
      </c>
      <c r="B248" s="12" t="inlineStr">
        <is>
          <t>Read King</t>
        </is>
      </c>
      <c r="C248" s="12" t="inlineStr">
        <is>
          <t>Principal and Co-Founder</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HYPERLINK("https://www.linkedin.com/search/results/people/?keywords=Jeff%20Read%20Read%20King","search")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c r="W248" s="12" t="inlineStr">
        <is>
          <t>https://www.read-king.com/team</t>
        </is>
      </c>
      <c r="X248" s="12" t="inlineStr">
        <is>
          <t>https://www.linkedin.com/company/read-king-inc-</t>
        </is>
      </c>
      <c r="Y248" s="12" t="inlineStr">
        <is>
          <t>https://www.read-king.com/team</t>
        </is>
      </c>
      <c r="Z248" s="12" t="inlineStr"/>
    </row>
    <row r="249">
      <c r="A249" s="6" t="inlineStr">
        <is>
          <t>Ewing King</t>
        </is>
      </c>
      <c r="B249" s="6" t="inlineStr">
        <is>
          <t>Read King</t>
        </is>
      </c>
      <c r="C249" s="6" t="inlineStr">
        <is>
          <t>Principal</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HYPERLINK("https://www.linkedin.com/search/results/people/?keywords=Ewing%20King%20Read%20King","search")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c r="W249" s="6" t="inlineStr">
        <is>
          <t>https://www.read-king.com/team</t>
        </is>
      </c>
      <c r="X249" s="6" t="inlineStr">
        <is>
          <t>https://www.linkedin.com/company/read-king-inc-</t>
        </is>
      </c>
      <c r="Y249" s="6" t="inlineStr">
        <is>
          <t>https://www.read-king.com/team</t>
        </is>
      </c>
      <c r="Z249" s="6" t="inlineStr"/>
    </row>
    <row r="250">
      <c r="A250" s="12" t="inlineStr">
        <is>
          <t>Blake Allen</t>
        </is>
      </c>
      <c r="B250" s="12" t="inlineStr">
        <is>
          <t>Read King</t>
        </is>
      </c>
      <c r="C250" s="12" t="inlineStr">
        <is>
          <t>Chief Financial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10" t="inlineStr"/>
      <c r="Q250" s="12">
        <f>HYPERLINK("https://www.linkedin.com/search/results/people/?keywords=Blake%20Allen%20Read%20King","search")</f>
        <v/>
      </c>
      <c r="R250" s="16">
        <f>IF(P250="","ADD LINKEDIN","ok")</f>
        <v/>
      </c>
      <c r="S250" s="12" t="inlineStr">
        <is>
          <t>https://read-king.com/</t>
        </is>
      </c>
      <c r="T250" s="15" t="inlineStr">
        <is>
          <t>36 freestanding emergency centres and over 100 build-to-suits, the most repeated small-commercial format screened.</t>
        </is>
      </c>
      <c r="U250" s="12" t="inlineStr"/>
      <c r="V250" s="15" t="inlineStr"/>
      <c r="W250" s="12" t="inlineStr">
        <is>
          <t>https://www.read-king.com/team</t>
        </is>
      </c>
      <c r="X250" s="12" t="inlineStr">
        <is>
          <t>https://www.linkedin.com/company/read-king-inc-</t>
        </is>
      </c>
      <c r="Y250" s="12" t="inlineStr">
        <is>
          <t>https://www.read-king.com/team</t>
        </is>
      </c>
      <c r="Z250" s="12" t="inlineStr"/>
    </row>
    <row r="251">
      <c r="A251" s="6" t="inlineStr">
        <is>
          <t>Telisia Amaning</t>
        </is>
      </c>
      <c r="B251" s="6" t="inlineStr">
        <is>
          <t>Read King</t>
        </is>
      </c>
      <c r="C251" s="6" t="inlineStr">
        <is>
          <t>Chief Operating Officer</t>
        </is>
      </c>
      <c r="D251" s="7" t="inlineStr">
        <is>
          <t>Off deck, screened out</t>
        </is>
      </c>
      <c r="E251" s="8" t="n">
        <v>1</v>
      </c>
      <c r="F251" s="6" t="inlineStr">
        <is>
          <t>Buys walls</t>
        </is>
      </c>
      <c r="G251" s="6" t="inlineStr">
        <is>
          <t>Houston HQ / Fort Bend, Harris</t>
        </is>
      </c>
      <c r="H251" s="6" t="inlineStr">
        <is>
          <t>36 freestanding ER centres, 100+ build-to-suit</t>
        </is>
      </c>
      <c r="I251" s="8" t="inlineStr">
        <is>
          <t>Yes</t>
        </is>
      </c>
      <c r="J251" s="9" t="inlineStr"/>
      <c r="K251" s="8" t="inlineStr">
        <is>
          <t>No</t>
        </is>
      </c>
      <c r="L251" s="9" t="inlineStr"/>
      <c r="M251" s="8" t="inlineStr">
        <is>
          <t>No</t>
        </is>
      </c>
      <c r="N251" s="9" t="inlineStr"/>
      <c r="O251" s="8" t="inlineStr">
        <is>
          <t>No</t>
        </is>
      </c>
      <c r="P251" s="6" t="inlineStr">
        <is>
          <t>https://www.linkedin.com/in/telisiaamaning/</t>
        </is>
      </c>
      <c r="Q251" s="6" t="inlineStr"/>
      <c r="R251" s="11">
        <f>IF(P251="","ADD LINKEDIN","ok")</f>
        <v/>
      </c>
      <c r="S251" s="6" t="inlineStr">
        <is>
          <t>https://read-king.com/</t>
        </is>
      </c>
      <c r="T251" s="9" t="inlineStr">
        <is>
          <t>36 freestanding emergency centres and over 100 build-to-suits, the most repeated small-commercial format screened.</t>
        </is>
      </c>
      <c r="U251" s="6" t="inlineStr"/>
      <c r="V251" s="9" t="inlineStr">
        <is>
          <t>Chief Operating Officer, READ KING. Houston, Texas.</t>
        </is>
      </c>
      <c r="W251" s="6" t="inlineStr"/>
      <c r="X251" s="6" t="inlineStr">
        <is>
          <t>https://www.linkedin.com/company/read-king-inc-</t>
        </is>
      </c>
      <c r="Y251" s="6" t="inlineStr">
        <is>
          <t>https://www.read-king.com/team</t>
        </is>
      </c>
      <c r="Z251" s="6" t="inlineStr"/>
    </row>
    <row r="252">
      <c r="A252" s="12" t="inlineStr">
        <is>
          <t>Alex Jessett</t>
        </is>
      </c>
      <c r="B252" s="12" t="inlineStr">
        <is>
          <t>Camden Property Trust</t>
        </is>
      </c>
      <c r="C252" s="12" t="inlineStr">
        <is>
          <t>Chief Executive Officer</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HYPERLINK("https://www.linkedin.com/search/results/people/?keywords=Alex%20Jessett%20Camden%20Property%20Trust","search")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Chief Executive Officer, previously President and Chief Financial Officer, at Camden since 1999.</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Richard J. Campo</t>
        </is>
      </c>
      <c r="B253" s="6" t="inlineStr">
        <is>
          <t>Camden Property Trust</t>
        </is>
      </c>
      <c r="C253" s="6" t="inlineStr">
        <is>
          <t>Executive Chairman of the Board of Trust Managers</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10" t="inlineStr"/>
      <c r="Q253" s="6">
        <f>HYPERLINK("https://www.linkedin.com/search/results/people/?keywords=Richard%20J.%20Campo%20Camden%20Property%20Trust","search")</f>
        <v/>
      </c>
      <c r="R253" s="11">
        <f>IF(P253="","ADD LINKEDIN","ok")</f>
        <v/>
      </c>
      <c r="S253" s="6" t="inlineStr">
        <is>
          <t>https://www.camdenliving.com/</t>
        </is>
      </c>
      <c r="T253" s="9" t="inlineStr">
        <is>
          <t>$155M into 389 build-to-rent homes, Houston HQ, holds long term. Figures date to 2022.</t>
        </is>
      </c>
      <c r="U253" s="6" t="inlineStr"/>
      <c r="V253" s="9" t="inlineStr">
        <is>
          <t>Executive Chairman, chief executive from the 1993 listing until 2026.</t>
        </is>
      </c>
      <c r="W253" s="6" t="inlineStr">
        <is>
          <t>https://investors.camdenliving.com/investors/governance/board-of-directors/default.aspx</t>
        </is>
      </c>
      <c r="X253" s="6" t="inlineStr">
        <is>
          <t>https://www.linkedin.com/company/camden-property-trust</t>
        </is>
      </c>
      <c r="Y253" s="6" t="inlineStr">
        <is>
          <t>https://investors.camdenliving.com/investors/governance/board-of-directors/default.aspx</t>
        </is>
      </c>
      <c r="Z253" s="6" t="inlineStr"/>
    </row>
    <row r="254">
      <c r="A254" s="12" t="inlineStr">
        <is>
          <t>Michael Eilertsen</t>
        </is>
      </c>
      <c r="B254" s="12" t="inlineStr">
        <is>
          <t>Camden Property Trust</t>
        </is>
      </c>
      <c r="C254" s="12" t="inlineStr">
        <is>
          <t>Vice President of Construction, Camden Property Trust</t>
        </is>
      </c>
      <c r="D254" s="13" t="inlineStr">
        <is>
          <t>Off deck, screened out</t>
        </is>
      </c>
      <c r="E254" s="14" t="n">
        <v>1</v>
      </c>
      <c r="F254" s="12" t="inlineStr">
        <is>
          <t>Buys walls</t>
        </is>
      </c>
      <c r="G254" s="12" t="inlineStr">
        <is>
          <t>Houston HQ / Fort Bend, Montgomery</t>
        </is>
      </c>
      <c r="H254" s="12" t="inlineStr">
        <is>
          <t>$155M into 389 BTR homes</t>
        </is>
      </c>
      <c r="I254" s="14" t="inlineStr">
        <is>
          <t>Partly</t>
        </is>
      </c>
      <c r="J254" s="15" t="inlineStr"/>
      <c r="K254" s="14" t="inlineStr">
        <is>
          <t>No</t>
        </is>
      </c>
      <c r="L254" s="15" t="inlineStr"/>
      <c r="M254" s="14" t="inlineStr">
        <is>
          <t>No</t>
        </is>
      </c>
      <c r="N254" s="15" t="inlineStr"/>
      <c r="O254" s="14" t="inlineStr">
        <is>
          <t>Yes</t>
        </is>
      </c>
      <c r="P254" s="6" t="inlineStr">
        <is>
          <t>https://www.linkedin.com/in/michael-eilertsen-68a59911/</t>
        </is>
      </c>
      <c r="Q254" s="12" t="inlineStr"/>
      <c r="R254" s="16">
        <f>IF(P254="","ADD LINKEDIN","ok")</f>
        <v/>
      </c>
      <c r="S254" s="12" t="inlineStr">
        <is>
          <t>https://www.camdenliving.com/</t>
        </is>
      </c>
      <c r="T254" s="15" t="inlineStr">
        <is>
          <t>$155M into 389 build-to-rent homes, Houston HQ, holds long term. Figures date to 2022.</t>
        </is>
      </c>
      <c r="U254" s="12" t="inlineStr">
        <is>
          <t>YES</t>
        </is>
      </c>
      <c r="V254" s="15" t="inlineStr">
        <is>
          <t>Vice President Of Construction at Camden Property Trust. Houston, Texas.</t>
        </is>
      </c>
      <c r="W254" s="12" t="inlineStr"/>
      <c r="X254" s="12" t="inlineStr">
        <is>
          <t>https://www.linkedin.com/company/camden-property-trust</t>
        </is>
      </c>
      <c r="Y254" s="12" t="inlineStr">
        <is>
          <t>https://investors.camdenliving.com/investors/governance/board-of-directors/default.aspx</t>
        </is>
      </c>
      <c r="Z254" s="12" t="inlineStr"/>
    </row>
    <row r="255">
      <c r="A255" s="6" t="inlineStr">
        <is>
          <t>Bob Faith</t>
        </is>
      </c>
      <c r="B255" s="6" t="inlineStr">
        <is>
          <t>Greystar (Summerwell)</t>
        </is>
      </c>
      <c r="C255" s="6" t="inlineStr">
        <is>
          <t>Founder, Chairman and Chief Executive Officer</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HYPERLINK("https://www.linkedin.com/search/results/people/?keywords=Bob%20Faith%20Greystar","search")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Founder, Chairman and Chief Executive Officer on Greystar's own bio page.</t>
        </is>
      </c>
      <c r="W255" s="6" t="inlineStr">
        <is>
          <t>https://www.greystar.com/contact-us/our-people/bob-faith</t>
        </is>
      </c>
      <c r="X255" s="6" t="inlineStr">
        <is>
          <t>https://www.linkedin.com/company/greystar</t>
        </is>
      </c>
      <c r="Y255" s="6" t="inlineStr">
        <is>
          <t>https://www.greystar.com/business/about-greystar/our-leadership</t>
        </is>
      </c>
      <c r="Z255" s="6" t="inlineStr"/>
    </row>
    <row r="256">
      <c r="A256" s="12" t="inlineStr">
        <is>
          <t>Brian Herwald</t>
        </is>
      </c>
      <c r="B256" s="12" t="inlineStr">
        <is>
          <t>Greystar (Summerwell)</t>
        </is>
      </c>
      <c r="C256" s="12" t="inlineStr">
        <is>
          <t>Managing Director of Development, Houston</t>
        </is>
      </c>
      <c r="D256" s="13" t="inlineStr">
        <is>
          <t>Off deck, screened out</t>
        </is>
      </c>
      <c r="E256" s="14" t="n">
        <v>1</v>
      </c>
      <c r="F256" s="12" t="inlineStr">
        <is>
          <t>Buys walls</t>
        </is>
      </c>
      <c r="G256" s="12" t="inlineStr">
        <is>
          <t>Charleston HQ / Katy, Harris-Waller</t>
        </is>
      </c>
      <c r="H256" s="12" t="inlineStr">
        <is>
          <t>Summerwell: 10,000+ homes, 50 properties</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HYPERLINK("https://www.linkedin.com/search/results/people/?keywords=Brian%20Herwald%20Greystar","search")</f>
        <v/>
      </c>
      <c r="R256" s="16">
        <f>IF(P256="","ADD LINKEDIN","ok")</f>
        <v/>
      </c>
      <c r="S256" s="12" t="inlineStr">
        <is>
          <t>https://www.greystar.com/</t>
        </is>
      </c>
      <c r="T256" s="15" t="inlineStr">
        <is>
          <t>156 units inside Sunterra, a Houston-based development director, and a 10,000-home national brand. Costs withheld.</t>
        </is>
      </c>
      <c r="U256" s="12" t="inlineStr"/>
      <c r="V256" s="15" t="inlineStr">
        <is>
          <t>Managing Director of Development, quoted on Greystar's first Houston logistics project.</t>
        </is>
      </c>
      <c r="W256" s="12" t="inlineStr">
        <is>
          <t>https://www.greystar.com/business/about-greystar/newsroom/greystar-completes-first-logistics-project-in-houston</t>
        </is>
      </c>
      <c r="X256" s="12" t="inlineStr">
        <is>
          <t>https://www.linkedin.com/company/greystar</t>
        </is>
      </c>
      <c r="Y256" s="12" t="inlineStr">
        <is>
          <t>https://www.greystar.com/business/about-greystar/our-leadership</t>
        </is>
      </c>
      <c r="Z256" s="12" t="inlineStr"/>
    </row>
    <row r="257">
      <c r="A257" s="6" t="inlineStr">
        <is>
          <t>Brian Dinerstein</t>
        </is>
      </c>
      <c r="B257" s="6" t="inlineStr">
        <is>
          <t>The Dinerstein Companies</t>
        </is>
      </c>
      <c r="C257" s="6" t="inlineStr">
        <is>
          <t>Chief Executive Officer</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10" t="inlineStr"/>
      <c r="Q257" s="6">
        <f>HYPERLINK("https://www.linkedin.com/search/results/people/?keywords=Brian%20Dinerstein%20The%20Dinerstein%20Companies","search")</f>
        <v/>
      </c>
      <c r="R257" s="11">
        <f>IF(P257="","ADD LINKEDIN","ok")</f>
        <v/>
      </c>
      <c r="S257" s="6" t="inlineStr">
        <is>
          <t>https://www.dinersteincos.com/</t>
        </is>
      </c>
      <c r="T257" s="9" t="inlineStr">
        <is>
          <t>186 build-to-rent homes with Harrison Street and 70 years in Houston. Launch coverage is amenities only.</t>
        </is>
      </c>
      <c r="U257" s="6" t="inlineStr"/>
      <c r="V257" s="9" t="inlineStr">
        <is>
          <t>The firm's own bio page. Chief Executive Officer of a developer and operator with $4.3 billion under management.</t>
        </is>
      </c>
      <c r="W257" s="6" t="inlineStr">
        <is>
          <t>https://www.dinersteincos.com/team/brian-dinerstein</t>
        </is>
      </c>
      <c r="X257" s="6" t="inlineStr">
        <is>
          <t>https://www.linkedin.com/company/the-dinerstein-companies/</t>
        </is>
      </c>
      <c r="Y257" s="6" t="inlineStr">
        <is>
          <t>https://www.dinersteincos.com/about-us</t>
        </is>
      </c>
      <c r="Z257" s="6" t="inlineStr"/>
    </row>
    <row r="258">
      <c r="A258" s="12" t="inlineStr">
        <is>
          <t>Jack Dinerstein</t>
        </is>
      </c>
      <c r="B258" s="12" t="inlineStr">
        <is>
          <t>The Dinerstein Companies</t>
        </is>
      </c>
      <c r="C258" s="12" t="inlineStr">
        <is>
          <t>Executive Chairman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6" t="inlineStr">
        <is>
          <t>https://www.linkedin.com/in/jack-dinerstein-4215073/</t>
        </is>
      </c>
      <c r="Q258" s="12" t="inlineStr"/>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Owner, Dinerstein Companies. Houston, Texas.</t>
        </is>
      </c>
      <c r="W258" s="12" t="inlineStr"/>
      <c r="X258" s="12" t="inlineStr">
        <is>
          <t>https://www.linkedin.com/company/the-dinerstein-companies/</t>
        </is>
      </c>
      <c r="Y258" s="12" t="inlineStr">
        <is>
          <t>https://www.dinersteincos.com/about-us</t>
        </is>
      </c>
      <c r="Z258" s="12" t="inlineStr"/>
    </row>
    <row r="259">
      <c r="A259" s="6" t="inlineStr">
        <is>
          <t>Brad Dinerstein</t>
        </is>
      </c>
      <c r="B259" s="6" t="inlineStr">
        <is>
          <t>The Dinerstein Companies</t>
        </is>
      </c>
      <c r="C259" s="6" t="inlineStr">
        <is>
          <t>Managing Partner of Development and Design</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HYPERLINK("https://www.linkedin.com/search/results/people/?keywords=Brad%20Dinerstein%20The%20Dinerstein%20Companies","search")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c r="W259" s="6" t="inlineStr">
        <is>
          <t>https://www.dinersteincos.com/about-us</t>
        </is>
      </c>
      <c r="X259" s="6" t="inlineStr">
        <is>
          <t>https://www.linkedin.com/company/the-dinerstein-companies/</t>
        </is>
      </c>
      <c r="Y259" s="6" t="inlineStr">
        <is>
          <t>https://www.dinersteincos.com/about-us</t>
        </is>
      </c>
      <c r="Z259" s="6" t="inlineStr"/>
    </row>
    <row r="260">
      <c r="A260" s="12" t="inlineStr">
        <is>
          <t>John Caltagirone</t>
        </is>
      </c>
      <c r="B260" s="12" t="inlineStr">
        <is>
          <t>The Dinerstein Companies</t>
        </is>
      </c>
      <c r="C260" s="12" t="inlineStr">
        <is>
          <t>President and Partner</t>
        </is>
      </c>
      <c r="D260" s="13" t="inlineStr">
        <is>
          <t>Off deck, screened out</t>
        </is>
      </c>
      <c r="E260" s="14" t="n">
        <v>1</v>
      </c>
      <c r="F260" s="12" t="inlineStr">
        <is>
          <t>Buys walls</t>
        </is>
      </c>
      <c r="G260" s="12" t="inlineStr">
        <is>
          <t>Houston HQ / Fort Bend</t>
        </is>
      </c>
      <c r="H260" s="12" t="inlineStr">
        <is>
          <t>186 BTR homes, Harrison Street JV</t>
        </is>
      </c>
      <c r="I260" s="14" t="inlineStr">
        <is>
          <t>Partly</t>
        </is>
      </c>
      <c r="J260" s="15" t="inlineStr"/>
      <c r="K260" s="14" t="inlineStr">
        <is>
          <t>No</t>
        </is>
      </c>
      <c r="L260" s="15" t="inlineStr"/>
      <c r="M260" s="14" t="inlineStr">
        <is>
          <t>No</t>
        </is>
      </c>
      <c r="N260" s="15" t="inlineStr"/>
      <c r="O260" s="14" t="inlineStr">
        <is>
          <t>Yes</t>
        </is>
      </c>
      <c r="P260" s="10" t="inlineStr"/>
      <c r="Q260" s="12">
        <f>HYPERLINK("https://www.linkedin.com/search/results/people/?keywords=John%20Caltagirone%20The%20Dinerstein%20Companies","search")</f>
        <v/>
      </c>
      <c r="R260" s="16">
        <f>IF(P260="","ADD LINKEDIN","ok")</f>
        <v/>
      </c>
      <c r="S260" s="12" t="inlineStr">
        <is>
          <t>https://www.dinersteincos.com/</t>
        </is>
      </c>
      <c r="T260" s="15" t="inlineStr">
        <is>
          <t>186 build-to-rent homes with Harrison Street and 70 years in Houston. Launch coverage is amenities only.</t>
        </is>
      </c>
      <c r="U260" s="12" t="inlineStr"/>
      <c r="V260" s="15" t="inlineStr"/>
      <c r="W260" s="12" t="inlineStr">
        <is>
          <t>https://www.dinersteincos.com/about-us</t>
        </is>
      </c>
      <c r="X260" s="12" t="inlineStr">
        <is>
          <t>https://www.linkedin.com/company/the-dinerstein-companies/</t>
        </is>
      </c>
      <c r="Y260" s="12" t="inlineStr">
        <is>
          <t>https://www.dinersteincos.com/about-us</t>
        </is>
      </c>
      <c r="Z260" s="12" t="inlineStr"/>
    </row>
    <row r="261">
      <c r="A261" s="6" t="inlineStr">
        <is>
          <t>Jason Baker</t>
        </is>
      </c>
      <c r="B261" s="6" t="inlineStr">
        <is>
          <t>Baker Katz</t>
        </is>
      </c>
      <c r="C261" s="6" t="inlineStr">
        <is>
          <t>Leads the tenant representation team,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HYPERLINK("https://www.linkedin.com/search/results/people/?keywords=Jason%20Baker%20Baker%20Katz","search")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tenant representation team, with more than twenty-five years in Houston retail. The page carries bios without formal titles.</t>
        </is>
      </c>
      <c r="W261" s="6" t="inlineStr">
        <is>
          <t>https://bakerkatz.com/about-us/</t>
        </is>
      </c>
      <c r="X261" s="6" t="inlineStr">
        <is>
          <t>https://www.linkedin.com/company/baker-katz</t>
        </is>
      </c>
      <c r="Y261" s="6" t="inlineStr">
        <is>
          <t>https://bakerkatz.com/about-us/</t>
        </is>
      </c>
      <c r="Z261" s="6" t="inlineStr"/>
    </row>
    <row r="262">
      <c r="A262" s="12" t="inlineStr">
        <is>
          <t>Kenneth Katz</t>
        </is>
      </c>
      <c r="B262" s="12" t="inlineStr">
        <is>
          <t>Baker Katz</t>
        </is>
      </c>
      <c r="C262" s="12" t="inlineStr">
        <is>
          <t>Leads the investment and development practice,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HYPERLINK("https://www.linkedin.com/search/results/people/?keywords=Kenneth%20Katz%20Baker%20Katz","search")</f>
        <v/>
      </c>
      <c r="R262" s="16">
        <f>IF(P262="","ADD LINKEDIN","ok")</f>
        <v/>
      </c>
      <c r="S262" s="12" t="inlineStr">
        <is>
          <t>https://bakerkatz.com/</t>
        </is>
      </c>
      <c r="T262" s="15" t="inlineStr">
        <is>
          <t>More than 80 retail projects, but recent Houston activity is buying existing centres rather than building.</t>
        </is>
      </c>
      <c r="U262" s="12" t="inlineStr"/>
      <c r="V262" s="15" t="inlineStr">
        <is>
          <t>Leads the real estate investment and development practice, covering ground-up development and redevelopment.</t>
        </is>
      </c>
      <c r="W262" s="12" t="inlineStr">
        <is>
          <t>https://bakerkatz.com/about-us/</t>
        </is>
      </c>
      <c r="X262" s="12" t="inlineStr">
        <is>
          <t>https://www.linkedin.com/company/baker-katz</t>
        </is>
      </c>
      <c r="Y262" s="12" t="inlineStr">
        <is>
          <t>https://bakerkatz.com/about-us/</t>
        </is>
      </c>
      <c r="Z262" s="12" t="inlineStr"/>
    </row>
    <row r="263">
      <c r="A263" s="6" t="inlineStr">
        <is>
          <t>Martin Mendoza</t>
        </is>
      </c>
      <c r="B263" s="6" t="inlineStr">
        <is>
          <t>Baker Katz</t>
        </is>
      </c>
      <c r="C263" s="6" t="inlineStr">
        <is>
          <t>Oversees design and construction, Baker Katz</t>
        </is>
      </c>
      <c r="D263" s="7" t="inlineStr">
        <is>
          <t>Off deck, screened out</t>
        </is>
      </c>
      <c r="E263" s="8" t="n">
        <v>1</v>
      </c>
      <c r="F263" s="6" t="inlineStr">
        <is>
          <t>Buys walls</t>
        </is>
      </c>
      <c r="G263" s="6" t="inlineStr">
        <is>
          <t>Houston / Harris, Galveston</t>
        </is>
      </c>
      <c r="H263" s="6" t="inlineStr"/>
      <c r="I263" s="8" t="inlineStr">
        <is>
          <t>Partly</t>
        </is>
      </c>
      <c r="J263" s="9" t="inlineStr"/>
      <c r="K263" s="8" t="inlineStr">
        <is>
          <t>No</t>
        </is>
      </c>
      <c r="L263" s="9" t="inlineStr"/>
      <c r="M263" s="8" t="inlineStr">
        <is>
          <t>No</t>
        </is>
      </c>
      <c r="N263" s="9" t="inlineStr"/>
      <c r="O263" s="8" t="inlineStr">
        <is>
          <t>Partly</t>
        </is>
      </c>
      <c r="P263" s="10" t="inlineStr"/>
      <c r="Q263" s="6">
        <f>HYPERLINK("https://www.linkedin.com/search/results/people/?keywords=Martin%20Mendoza%20Baker%20Katz","search")</f>
        <v/>
      </c>
      <c r="R263" s="11">
        <f>IF(P263="","ADD LINKEDIN","ok")</f>
        <v/>
      </c>
      <c r="S263" s="6" t="inlineStr">
        <is>
          <t>https://bakerkatz.com/</t>
        </is>
      </c>
      <c r="T263" s="9" t="inlineStr">
        <is>
          <t>More than 80 retail projects, but recent Houston activity is buying existing centres rather than building.</t>
        </is>
      </c>
      <c r="U263" s="6" t="inlineStr">
        <is>
          <t>YES</t>
        </is>
      </c>
      <c r="V263" s="9" t="inlineStr">
        <is>
          <t>Joined in August 2024 responsible for overseeing design and construction phases. The page gives no title, so the function rather than the rank is what places him here.</t>
        </is>
      </c>
      <c r="W263" s="6" t="inlineStr">
        <is>
          <t>https://bakerkatz.com/about-us/</t>
        </is>
      </c>
      <c r="X263" s="6" t="inlineStr">
        <is>
          <t>https://www.linkedin.com/company/baker-katz</t>
        </is>
      </c>
      <c r="Y263" s="6" t="inlineStr">
        <is>
          <t>https://bakerkatz.com/about-us/</t>
        </is>
      </c>
      <c r="Z263" s="6" t="inlineStr"/>
    </row>
    <row r="264">
      <c r="A264" s="12" t="inlineStr">
        <is>
          <t>Bob Sellingsloh</t>
        </is>
      </c>
      <c r="B264" s="12" t="inlineStr">
        <is>
          <t>Wulfe &amp; Co.</t>
        </is>
      </c>
      <c r="C264" s="12" t="inlineStr">
        <is>
          <t>President and Principal,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HYPERLINK("https://www.linkedin.com/search/results/people/?keywords=Bob%20Sellingsloh%20Wulfe%20%26%20Co.","search")</f>
        <v/>
      </c>
      <c r="R264" s="16">
        <f>IF(P264="","ADD LINKEDIN","ok")</f>
        <v/>
      </c>
      <c r="S264" s="12" t="inlineStr">
        <is>
          <t>https://www.wulfe.com/</t>
        </is>
      </c>
      <c r="T264" s="15" t="inlineStr">
        <is>
          <t>7.2M sf across nine centres. Current activity is leasing and management, not ground-up.</t>
        </is>
      </c>
      <c r="U264" s="12" t="inlineStr"/>
      <c r="V264" s="15" t="inlineStr">
        <is>
          <t>President and Principal, listed first under leadership. Ed Wulfe no longer appears on the leadership page.</t>
        </is>
      </c>
      <c r="W264" s="12" t="inlineStr">
        <is>
          <t>https://www.wulfe.com/people</t>
        </is>
      </c>
      <c r="X264" s="12" t="inlineStr">
        <is>
          <t>https://www.linkedin.com/company/wulfe</t>
        </is>
      </c>
      <c r="Y264" s="12" t="inlineStr">
        <is>
          <t>https://www.wulfe.com/people</t>
        </is>
      </c>
      <c r="Z264" s="12" t="inlineStr"/>
    </row>
    <row r="265">
      <c r="A265" s="6" t="inlineStr">
        <is>
          <t>Tammy Smith</t>
        </is>
      </c>
      <c r="B265" s="6" t="inlineStr">
        <is>
          <t>Wulfe &amp; Co.</t>
        </is>
      </c>
      <c r="C265" s="6" t="inlineStr">
        <is>
          <t>Director of Construction, Wulfe &amp; Co.</t>
        </is>
      </c>
      <c r="D265" s="7" t="inlineStr">
        <is>
          <t>Off deck, screened out</t>
        </is>
      </c>
      <c r="E265" s="8" t="n">
        <v>1</v>
      </c>
      <c r="F265" s="6" t="inlineStr">
        <is>
          <t>Buys walls</t>
        </is>
      </c>
      <c r="G265" s="6" t="inlineStr">
        <is>
          <t>Post Oak / Harris, Galveston</t>
        </is>
      </c>
      <c r="H265" s="6" t="inlineStr"/>
      <c r="I265" s="8" t="inlineStr">
        <is>
          <t>Partly</t>
        </is>
      </c>
      <c r="J265" s="9" t="inlineStr"/>
      <c r="K265" s="8" t="inlineStr">
        <is>
          <t>No</t>
        </is>
      </c>
      <c r="L265" s="9" t="inlineStr"/>
      <c r="M265" s="8" t="inlineStr">
        <is>
          <t>No</t>
        </is>
      </c>
      <c r="N265" s="9" t="inlineStr"/>
      <c r="O265" s="8" t="inlineStr">
        <is>
          <t>No</t>
        </is>
      </c>
      <c r="P265" s="10" t="inlineStr"/>
      <c r="Q265" s="6">
        <f>HYPERLINK("https://www.linkedin.com/search/results/people/?keywords=Tammy%20Smith%20Wulfe%20%26%20Co.","search")</f>
        <v/>
      </c>
      <c r="R265" s="11">
        <f>IF(P265="","ADD LINKEDIN","ok")</f>
        <v/>
      </c>
      <c r="S265" s="6" t="inlineStr">
        <is>
          <t>https://www.wulfe.com/</t>
        </is>
      </c>
      <c r="T265" s="9" t="inlineStr">
        <is>
          <t>7.2M sf across nine centres. Current activity is leasing and management, not ground-up.</t>
        </is>
      </c>
      <c r="U265" s="6" t="inlineStr">
        <is>
          <t>YES</t>
        </is>
      </c>
      <c r="V265" s="9" t="inlineStr"/>
      <c r="W265" s="6" t="inlineStr">
        <is>
          <t>https://www.wulfe.com/people</t>
        </is>
      </c>
      <c r="X265" s="6" t="inlineStr">
        <is>
          <t>https://www.linkedin.com/company/wulfe</t>
        </is>
      </c>
      <c r="Y265" s="6" t="inlineStr">
        <is>
          <t>https://www.wulfe.com/people</t>
        </is>
      </c>
      <c r="Z265" s="6" t="inlineStr"/>
    </row>
    <row r="267">
      <c r="A267"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49, 2026-09-11.</t>
        </is>
      </c>
    </row>
  </sheetData>
  <autoFilter ref="A6:Z2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2026-09-12T19:37:36Z</dcterms:created>
  <dcterms:modified xmlns:dcterms="http://purl.org/dc/terms/" xmlns:xsi="http://www.w3.org/2001/XMLSchema-instance" xsi:type="dcterms:W3CDTF">2026-09-12T19:37:37Z</dcterms:modified>
</cp:coreProperties>
</file>